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User\Desktop\Weekly Report Meeting\"/>
    </mc:Choice>
  </mc:AlternateContent>
  <xr:revisionPtr revIDLastSave="0" documentId="13_ncr:1_{FFDCDE4B-374F-4537-B199-48337088A1F0}" xr6:coauthVersionLast="47" xr6:coauthVersionMax="47" xr10:uidLastSave="{00000000-0000-0000-0000-000000000000}"/>
  <bookViews>
    <workbookView xWindow="-98" yWindow="-98" windowWidth="21795" windowHeight="12975" xr2:uid="{00000000-000D-0000-FFFF-FFFF00000000}"/>
  </bookViews>
  <sheets>
    <sheet name="PSR Overall Cycle" sheetId="3" r:id="rId1"/>
    <sheet name="Sheet1" sheetId="8" r:id="rId2"/>
    <sheet name="P6" sheetId="7" state="hidden" r:id="rId3"/>
    <sheet name="Before Award" sheetId="1" state="hidden" r:id="rId4"/>
    <sheet name="After Award" sheetId="2" state="hidden" r:id="rId5"/>
    <sheet name="Thai Holidays" sheetId="5" r:id="rId6"/>
    <sheet name="China Holidays" sheetId="6"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s>
  <definedNames>
    <definedName name="\c">#N/A</definedName>
    <definedName name="\i">#N/A</definedName>
    <definedName name="\z">#N/A</definedName>
    <definedName name="________Sh7" localSheetId="6" hidden="1">{#N/A,#N/A,FALSE,"Vessel1 1";#N/A,#N/A,FALSE,"Vessel1 2";#N/A,#N/A,FALSE,"Vessel1 3";#N/A,#N/A,FALSE,"Vessel1 4";#N/A,#N/A,FALSE,"Vessel1 5";#N/A,#N/A,FALSE,"Vessel1 6";#N/A,#N/A,FALSE,"Vessel1 7";#N/A,#N/A,FALSE,"Vessel1 8";#N/A,#N/A,FALSE,"Vessel1 9";#N/A,#N/A,FALSE,"Vessel1 10";#N/A,#N/A,FALSE,"Vessel1 11"}</definedName>
    <definedName name="________Sh7" hidden="1">{#N/A,#N/A,FALSE,"Vessel1 1";#N/A,#N/A,FALSE,"Vessel1 2";#N/A,#N/A,FALSE,"Vessel1 3";#N/A,#N/A,FALSE,"Vessel1 4";#N/A,#N/A,FALSE,"Vessel1 5";#N/A,#N/A,FALSE,"Vessel1 6";#N/A,#N/A,FALSE,"Vessel1 7";#N/A,#N/A,FALSE,"Vessel1 8";#N/A,#N/A,FALSE,"Vessel1 9";#N/A,#N/A,FALSE,"Vessel1 10";#N/A,#N/A,FALSE,"Vessel1 11"}</definedName>
    <definedName name="_______Sh7" localSheetId="6" hidden="1">{#N/A,#N/A,FALSE,"Vessel1 1";#N/A,#N/A,FALSE,"Vessel1 2";#N/A,#N/A,FALSE,"Vessel1 3";#N/A,#N/A,FALSE,"Vessel1 4";#N/A,#N/A,FALSE,"Vessel1 5";#N/A,#N/A,FALSE,"Vessel1 6";#N/A,#N/A,FALSE,"Vessel1 7";#N/A,#N/A,FALSE,"Vessel1 8";#N/A,#N/A,FALSE,"Vessel1 9";#N/A,#N/A,FALSE,"Vessel1 10";#N/A,#N/A,FALSE,"Vessel1 11"}</definedName>
    <definedName name="_______Sh7" hidden="1">{#N/A,#N/A,FALSE,"Vessel1 1";#N/A,#N/A,FALSE,"Vessel1 2";#N/A,#N/A,FALSE,"Vessel1 3";#N/A,#N/A,FALSE,"Vessel1 4";#N/A,#N/A,FALSE,"Vessel1 5";#N/A,#N/A,FALSE,"Vessel1 6";#N/A,#N/A,FALSE,"Vessel1 7";#N/A,#N/A,FALSE,"Vessel1 8";#N/A,#N/A,FALSE,"Vessel1 9";#N/A,#N/A,FALSE,"Vessel1 10";#N/A,#N/A,FALSE,"Vessel1 11"}</definedName>
    <definedName name="_____Sh7" localSheetId="6" hidden="1">{#N/A,#N/A,FALSE,"Vessel1 1";#N/A,#N/A,FALSE,"Vessel1 2";#N/A,#N/A,FALSE,"Vessel1 3";#N/A,#N/A,FALSE,"Vessel1 4";#N/A,#N/A,FALSE,"Vessel1 5";#N/A,#N/A,FALSE,"Vessel1 6";#N/A,#N/A,FALSE,"Vessel1 7";#N/A,#N/A,FALSE,"Vessel1 8";#N/A,#N/A,FALSE,"Vessel1 9";#N/A,#N/A,FALSE,"Vessel1 10";#N/A,#N/A,FALSE,"Vessel1 11"}</definedName>
    <definedName name="_____Sh7" hidden="1">{#N/A,#N/A,FALSE,"Vessel1 1";#N/A,#N/A,FALSE,"Vessel1 2";#N/A,#N/A,FALSE,"Vessel1 3";#N/A,#N/A,FALSE,"Vessel1 4";#N/A,#N/A,FALSE,"Vessel1 5";#N/A,#N/A,FALSE,"Vessel1 6";#N/A,#N/A,FALSE,"Vessel1 7";#N/A,#N/A,FALSE,"Vessel1 8";#N/A,#N/A,FALSE,"Vessel1 9";#N/A,#N/A,FALSE,"Vessel1 10";#N/A,#N/A,FALSE,"Vessel1 11"}</definedName>
    <definedName name="___Sh7" localSheetId="6" hidden="1">{#N/A,#N/A,FALSE,"Vessel1 1";#N/A,#N/A,FALSE,"Vessel1 2";#N/A,#N/A,FALSE,"Vessel1 3";#N/A,#N/A,FALSE,"Vessel1 4";#N/A,#N/A,FALSE,"Vessel1 5";#N/A,#N/A,FALSE,"Vessel1 6";#N/A,#N/A,FALSE,"Vessel1 7";#N/A,#N/A,FALSE,"Vessel1 8";#N/A,#N/A,FALSE,"Vessel1 9";#N/A,#N/A,FALSE,"Vessel1 10";#N/A,#N/A,FALSE,"Vessel1 11"}</definedName>
    <definedName name="___Sh7" hidden="1">{#N/A,#N/A,FALSE,"Vessel1 1";#N/A,#N/A,FALSE,"Vessel1 2";#N/A,#N/A,FALSE,"Vessel1 3";#N/A,#N/A,FALSE,"Vessel1 4";#N/A,#N/A,FALSE,"Vessel1 5";#N/A,#N/A,FALSE,"Vessel1 6";#N/A,#N/A,FALSE,"Vessel1 7";#N/A,#N/A,FALSE,"Vessel1 8";#N/A,#N/A,FALSE,"Vessel1 9";#N/A,#N/A,FALSE,"Vessel1 10";#N/A,#N/A,FALSE,"Vessel1 11"}</definedName>
    <definedName name="__123Graph_A" hidden="1">[1]List!#REF!</definedName>
    <definedName name="__123Graph_AABSKVA" hidden="1">'[2]2695 Intercross STEAM Load Bal.'!#REF!</definedName>
    <definedName name="__123Graph_AABSKW" hidden="1">'[3]Consumer List and Load B'!#REF!</definedName>
    <definedName name="__123Graph_AMIDKW" hidden="1">'[3]Consumer List and Load B'!#REF!</definedName>
    <definedName name="__123Graph_ANCF" hidden="1">'[4]Cashflow Analysis'!#REF!</definedName>
    <definedName name="__123Graph_ASIMKVA" hidden="1">'[2]2695 Intercross STEAM Load Bal.'!#REF!</definedName>
    <definedName name="__123Graph_ASIMKW" hidden="1">'[3]Consumer List and Load B'!#REF!</definedName>
    <definedName name="__123Graph_B" hidden="1">[1]List!#REF!</definedName>
    <definedName name="__123Graph_BABSKVA" hidden="1">'[3]Consumer List and Load B'!#REF!</definedName>
    <definedName name="__123Graph_BABSKW" hidden="1">'[3]Consumer List and Load B'!#REF!</definedName>
    <definedName name="__123Graph_BNCF" hidden="1">'[4]Cashflow Analysis'!#REF!</definedName>
    <definedName name="__123Graph_BPERFORMANCE" hidden="1">[5]BQMPALOC!#REF!</definedName>
    <definedName name="__123Graph_BSIMKVA" hidden="1">'[3]Consumer List and Load B'!#REF!</definedName>
    <definedName name="__123Graph_BSIMKW" hidden="1">'[3]Consumer List and Load B'!#REF!</definedName>
    <definedName name="__123Graph_C" hidden="1">[1]List!#REF!</definedName>
    <definedName name="__123Graph_D" hidden="1">[1]List!#REF!</definedName>
    <definedName name="__123Graph_E" hidden="1">[1]List!#REF!</definedName>
    <definedName name="__123Graph_X" hidden="1">'[6]Cashflow Analysis'!$E$63:$BL$63</definedName>
    <definedName name="__123Graph_XABSKVA" hidden="1">'[3]Consumer List and Load B'!#REF!</definedName>
    <definedName name="__123Graph_XABSKW" hidden="1">'[3]Consumer List and Load B'!#REF!</definedName>
    <definedName name="__123Graph_XMIDKW" hidden="1">'[3]Consumer List and Load B'!#REF!</definedName>
    <definedName name="__123Graph_XNCF" hidden="1">'[6]Cashflow Analysis'!$E$63:$BL$63</definedName>
    <definedName name="__123Graph_XSIMKVA" hidden="1">'[3]Consumer List and Load B'!#REF!</definedName>
    <definedName name="__123Graph_XSIMKW" hidden="1">'[3]Consumer List and Load B'!#REF!</definedName>
    <definedName name="__material_he_tubes_alternative">#REF!</definedName>
    <definedName name="__sf400">'[7]Pull-Down Menus'!$J$2486:$J$2491</definedName>
    <definedName name="__sf404">'[7]Pull-Down Menus'!$J$699:$J$701</definedName>
    <definedName name="_1__123Graph_ACONTRAC._OIL" hidden="1">'[4]Cashflow Analysis'!#REF!</definedName>
    <definedName name="_1_0_0_F" hidden="1">'[8]#REF'!#REF!</definedName>
    <definedName name="_1F" hidden="1">'[9]CAB.XLS'!#REF!</definedName>
    <definedName name="_2__123Graph_BCONTRAC._OIL" hidden="1">'[4]Cashflow Analysis'!#REF!</definedName>
    <definedName name="_3__123Graph_CCONTRAC._OIL" hidden="1">'[4]Cashflow Analysis'!#REF!</definedName>
    <definedName name="_4__123Graph_DCONTRAC._OIL" hidden="1">'[4]Cashflow Analysis'!#REF!</definedName>
    <definedName name="_5__123Graph_XCONTRAC._OIL" hidden="1">'[6]Cashflow Analysis'!$E$63:$BL$63</definedName>
    <definedName name="_AtRisk_SimSetting_AutomaticallyGenerateReports" hidden="1">FALSE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FALSE</definedName>
    <definedName name="_AtRisk_SimSetting_LiveUpdatePeriod" hidden="1">-1</definedName>
    <definedName name="_AtRisk_SimSetting_RandomNumberGenerator" hidden="1">0</definedName>
    <definedName name="_AtRisk_SimSetting_ReportsList" hidden="1">1</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bal11">[10]bal11!$B$1:$AV$66</definedName>
    <definedName name="_bal12">[10]bal12!$B$1:$AU$66</definedName>
    <definedName name="_bal6">[10]bal6!$B$1:$CN$66</definedName>
    <definedName name="_DESIGN_MAT_SHELL">#REF!</definedName>
    <definedName name="_DESIGN_MAT_TUBES">#REF!</definedName>
    <definedName name="_DESIGN_TEMP_MAX_1">#REF!</definedName>
    <definedName name="_DESIGN_TEMP_MAX_2">#REF!</definedName>
    <definedName name="_DESIGN_TEMP_MIN_1">#REF!</definedName>
    <definedName name="_DESIGN_TEMP_MIN_2">#REF!</definedName>
    <definedName name="_DIMENSIONS_BOT">#REF!</definedName>
    <definedName name="_DIMENSIONS_MID">#REF!</definedName>
    <definedName name="_DIMENSIONS_PIPE_SHELL">#REF!</definedName>
    <definedName name="_DIMENSIONS_PIPE_TUBE">#REF!</definedName>
    <definedName name="_DIMENSIONS_TOP_MAIN">#REF!</definedName>
    <definedName name="_din24420">#REF!</definedName>
    <definedName name="_din28005">#REF!</definedName>
    <definedName name="_din28006">#REF!</definedName>
    <definedName name="_din28007">#REF!</definedName>
    <definedName name="_din28008">#REF!</definedName>
    <definedName name="_din28015">#REF!</definedName>
    <definedName name="_din28017">#REF!</definedName>
    <definedName name="_din28083">#REF!</definedName>
    <definedName name="_din28084">#REF!</definedName>
    <definedName name="_din28105">#REF!</definedName>
    <definedName name="_din28161">#REF!</definedName>
    <definedName name="_din28182">#REF!</definedName>
    <definedName name="_din4119">#REF!</definedName>
    <definedName name="_doc_foundation_plan_loads_digital">#REF!</definedName>
    <definedName name="_doc_foundation_plan_loads_paper">#REF!</definedName>
    <definedName name="_doc_foundation_plan_loads_week">#REF!</definedName>
    <definedName name="_Fill" hidden="1">#REF!</definedName>
    <definedName name="_xlnm._FilterDatabase" localSheetId="3" hidden="1">'Before Award'!$A$16:$BK$247</definedName>
    <definedName name="_xlnm._FilterDatabase" localSheetId="6" hidden="1">'China Holidays'!$A$1:$I$80</definedName>
    <definedName name="_xlnm._FilterDatabase" localSheetId="0" hidden="1">'PSR Overall Cycle'!$A$18:$AV$315</definedName>
    <definedName name="_xlnm._FilterDatabase" localSheetId="5" hidden="1">'Thai Holidays'!$A$1:$I$47</definedName>
    <definedName name="_xlnm._FilterDatabase" hidden="1">'[11]PROCPLAN-TOTAL'!#REF!</definedName>
    <definedName name="_installed_area_per_unit">#REF!</definedName>
    <definedName name="_Jos2">#REF!</definedName>
    <definedName name="_Key1" hidden="1">#REF!</definedName>
    <definedName name="_Key2" hidden="1">#REF!</definedName>
    <definedName name="_mat1">#REF!</definedName>
    <definedName name="_mat2">#REF!</definedName>
    <definedName name="_mat3">#REF!</definedName>
    <definedName name="_mat4">#REF!</definedName>
    <definedName name="_material_he_tubes">#REF!</definedName>
    <definedName name="_MatInverse_In" hidden="1">#REF!</definedName>
    <definedName name="_mc230">#REF!</definedName>
    <definedName name="_mc240">#REF!</definedName>
    <definedName name="_mc245">#REF!</definedName>
    <definedName name="_mc250">#REF!</definedName>
    <definedName name="_mc251">#REF!</definedName>
    <definedName name="_mc252">#REF!</definedName>
    <definedName name="_mc253">#REF!</definedName>
    <definedName name="_mc254">#REF!</definedName>
    <definedName name="_mc255">#REF!</definedName>
    <definedName name="_mc260">#REF!</definedName>
    <definedName name="_mc310">#REF!</definedName>
    <definedName name="_mc311">#REF!</definedName>
    <definedName name="_mc335">#REF!</definedName>
    <definedName name="_mc336">#REF!</definedName>
    <definedName name="_mc337">#REF!</definedName>
    <definedName name="_mc338">#REF!</definedName>
    <definedName name="_mc339">#REF!</definedName>
    <definedName name="_mc340">#REF!</definedName>
    <definedName name="_mc341">#REF!</definedName>
    <definedName name="_mc342">#REF!</definedName>
    <definedName name="_mc343">#REF!</definedName>
    <definedName name="_mc344">#REF!</definedName>
    <definedName name="_md_bracket_support_enabled">'[12]P. 5'!#REF!</definedName>
    <definedName name="_md_checkbox_notice2">'[12]P. 6'!#REF!</definedName>
    <definedName name="_md_guide_support_enabled">'[12]P. 5'!#REF!</definedName>
    <definedName name="_md_saddles_enabled">'[12]P. 5'!#REF!</definedName>
    <definedName name="_md_saddles_value">'[12]P. 5'!#REF!</definedName>
    <definedName name="_md_skirt_enabled">'[12]P. 5'!#REF!</definedName>
    <definedName name="_md_struct_steel_support_legs_enabled">'[12]P. 5'!#REF!</definedName>
    <definedName name="_md_support_ring_enabled">'[12]P. 5'!#REF!</definedName>
    <definedName name="_md_support_ring_value">'[12]P. 5'!#REF!</definedName>
    <definedName name="_md_tubular_support_value">'[12]P. 5'!#REF!</definedName>
    <definedName name="_md_vendor_enabled">'[12]P. 5'!#REF!</definedName>
    <definedName name="_Order1" hidden="1">255</definedName>
    <definedName name="_Order2" hidden="1">255</definedName>
    <definedName name="_Parse_Out" hidden="1">#REF!</definedName>
    <definedName name="_Regression_Int" hidden="1">1</definedName>
    <definedName name="_sf300">#REF!</definedName>
    <definedName name="_sf400">#REF!</definedName>
    <definedName name="_sf401">#REF!</definedName>
    <definedName name="_sf404">#REF!</definedName>
    <definedName name="_sf450">#REF!</definedName>
    <definedName name="_Sh7" localSheetId="6" hidden="1">{#N/A,#N/A,FALSE,"Vessel1 1";#N/A,#N/A,FALSE,"Vessel1 2";#N/A,#N/A,FALSE,"Vessel1 3";#N/A,#N/A,FALSE,"Vessel1 4";#N/A,#N/A,FALSE,"Vessel1 5";#N/A,#N/A,FALSE,"Vessel1 6";#N/A,#N/A,FALSE,"Vessel1 7";#N/A,#N/A,FALSE,"Vessel1 8";#N/A,#N/A,FALSE,"Vessel1 9";#N/A,#N/A,FALSE,"Vessel1 10";#N/A,#N/A,FALSE,"Vessel1 11"}</definedName>
    <definedName name="_Sh7" hidden="1">{#N/A,#N/A,FALSE,"Vessel1 1";#N/A,#N/A,FALSE,"Vessel1 2";#N/A,#N/A,FALSE,"Vessel1 3";#N/A,#N/A,FALSE,"Vessel1 4";#N/A,#N/A,FALSE,"Vessel1 5";#N/A,#N/A,FALSE,"Vessel1 6";#N/A,#N/A,FALSE,"Vessel1 7";#N/A,#N/A,FALSE,"Vessel1 8";#N/A,#N/A,FALSE,"Vessel1 9";#N/A,#N/A,FALSE,"Vessel1 10";#N/A,#N/A,FALSE,"Vessel1 11"}</definedName>
    <definedName name="_shell_side_p_max">#REF!</definedName>
    <definedName name="_shell_side_p_min">#REF!</definedName>
    <definedName name="_sliding_plates_scope_delivery">'[12]P. 6'!#REF!</definedName>
    <definedName name="_Sort" hidden="1">#REF!</definedName>
    <definedName name="_Table1_In1" hidden="1">#REF!</definedName>
    <definedName name="_Table2_In1" hidden="1">#REF!</definedName>
    <definedName name="_TL3">'[13]2.0-A4'!#REF!</definedName>
    <definedName name="_tube_side_p_max">#REF!</definedName>
    <definedName name="_tube_side_p_min">#REF!</definedName>
    <definedName name="_tubes_he_diameter">#REF!</definedName>
    <definedName name="_tubes_he_length">#REF!</definedName>
    <definedName name="_vol1">#REF!</definedName>
    <definedName name="A">#N/A</definedName>
    <definedName name="aa">#REF!</definedName>
    <definedName name="aaaa" hidden="1">#REF!</definedName>
    <definedName name="AAAAA" localSheetId="6" hidden="1">{#N/A,#N/A,FALSE,"Ejector 1";#N/A,#N/A,FALSE,"Ejector 2"}</definedName>
    <definedName name="AAAAA" hidden="1">{#N/A,#N/A,FALSE,"Ejector 1";#N/A,#N/A,FALSE,"Ejector 2"}</definedName>
    <definedName name="abcd" localSheetId="6" hidden="1">{"'장비'!$A$3:$M$12"}</definedName>
    <definedName name="abcd" hidden="1">{"'장비'!$A$3:$M$12"}</definedName>
    <definedName name="access">#REF!</definedName>
    <definedName name="Access_Button" hidden="1">"PCDA_Commercial_evaluation__Iss_D3__Liste"</definedName>
    <definedName name="AccessDatabase" hidden="1">"Q:\2122\5922\EMR\INSTRUM\BESCHAFF\411 PCDA\Angebotsvergleich\PCDA.mdb"</definedName>
    <definedName name="ad" hidden="1">[1]List!#REF!</definedName>
    <definedName name="adfad" localSheetId="6" hidden="1">{#N/A,#N/A,FALSE,"cover";#N/A,#N/A,FALSE,"page_1";#N/A,#N/A,FALSE,"page_2";#N/A,#N/A,FALSE,"page_3";#N/A,#N/A,FALSE,"page_4"}</definedName>
    <definedName name="adfad" hidden="1">{#N/A,#N/A,FALSE,"cover";#N/A,#N/A,FALSE,"page_1";#N/A,#N/A,FALSE,"page_2";#N/A,#N/A,FALSE,"page_3";#N/A,#N/A,FALSE,"page_4"}</definedName>
    <definedName name="aggregationstate">#REF!</definedName>
    <definedName name="agibolts">#REF!</definedName>
    <definedName name="agiboltsmat">#REF!</definedName>
    <definedName name="agidesign">#REF!</definedName>
    <definedName name="agigasketmat">#REF!</definedName>
    <definedName name="agigasketmatagitatorunit">#REF!</definedName>
    <definedName name="agigaskettype">#REF!</definedName>
    <definedName name="agigaskettypeagitatorunit">#REF!</definedName>
    <definedName name="agitatordrive">#REF!</definedName>
    <definedName name="agitatordrivespec">#REF!</definedName>
    <definedName name="agitatorflange">#REF!</definedName>
    <definedName name="agitatortype">#REF!</definedName>
    <definedName name="agiwallthick">#REF!</definedName>
    <definedName name="airflow">#REF!</definedName>
    <definedName name="airquality">#REF!</definedName>
    <definedName name="amit" localSheetId="6" hidden="1">{"Cost Summary",#N/A,FALSE,"B";"Cost Detail 1",#N/A,FALSE,"C";"Cost Detail 2",#N/A,FALSE,"C"}</definedName>
    <definedName name="amit" hidden="1">{"Cost Summary",#N/A,FALSE,"B";"Cost Detail 1",#N/A,FALSE,"C";"Cost Detail 2",#N/A,FALSE,"C"}</definedName>
    <definedName name="anchorboltmat">#REF!</definedName>
    <definedName name="antivoba">#REF!</definedName>
    <definedName name="area">#REF!</definedName>
    <definedName name="areaload">#REF!</definedName>
    <definedName name="arrangement">#REF!</definedName>
    <definedName name="AS" localSheetId="6" hidden="1">{#N/A,#N/A,FALSE,"Ejector 1";#N/A,#N/A,FALSE,"Ejector 2"}</definedName>
    <definedName name="AS" hidden="1">{#N/A,#N/A,FALSE,"Ejector 1";#N/A,#N/A,FALSE,"Ejector 2"}</definedName>
    <definedName name="assemblydimensions">#REF!</definedName>
    <definedName name="authority">#REF!</definedName>
    <definedName name="authorityaircooler">#REF!</definedName>
    <definedName name="AUX_PI_PL_LIST">#REF!</definedName>
    <definedName name="B">[14]SV!#REF!</definedName>
    <definedName name="baffletype">#REF!</definedName>
    <definedName name="balancequalitygrade">#REF!</definedName>
    <definedName name="baseline">#REF!</definedName>
    <definedName name="baselineagreement">#REF!</definedName>
    <definedName name="baselinecompetencecenter">#REF!</definedName>
    <definedName name="baselineinspectionemail">#REF!</definedName>
    <definedName name="baselinetubes">#REF!</definedName>
    <definedName name="BBBBB" localSheetId="6" hidden="1">{#N/A,#N/A,FALSE,"Ejector 1";#N/A,#N/A,FALSE,"Ejector 2"}</definedName>
    <definedName name="BBBBB" hidden="1">{#N/A,#N/A,FALSE,"Ejector 1";#N/A,#N/A,FALSE,"Ejector 2"}</definedName>
    <definedName name="bearing">#REF!</definedName>
    <definedName name="bearingrotor">#REF!</definedName>
    <definedName name="beltdrivetype">#REF!</definedName>
    <definedName name="bgv">#REF!</definedName>
    <definedName name="bladepitch">#REF!</definedName>
    <definedName name="bodyfl">#REF!</definedName>
    <definedName name="Boiling">#REF!</definedName>
    <definedName name="boltmat">#REF!</definedName>
    <definedName name="bolts">#REF!</definedName>
    <definedName name="boltsize">#REF!</definedName>
    <definedName name="boltsmountingflange">#REF!</definedName>
    <definedName name="bottomdesignstandard">#REF!</definedName>
    <definedName name="bottomslope">#REF!</definedName>
    <definedName name="bottomwelding">#REF!</definedName>
    <definedName name="bracket">#REF!</definedName>
    <definedName name="breakup" localSheetId="6" hidden="1">{"'Sheet1'!$L$16"}</definedName>
    <definedName name="breakup" hidden="1">{"'Sheet1'!$L$16"}</definedName>
    <definedName name="bridging">[15]Unit!$E$4:$E$7</definedName>
    <definedName name="bubble">#REF!</definedName>
    <definedName name="bubblepressure">#REF!</definedName>
    <definedName name="bufferfluid">#REF!</definedName>
    <definedName name="bufferfluidproperties">#REF!</definedName>
    <definedName name="buffervesselmat1">#REF!</definedName>
    <definedName name="buffervesselmat2">#REF!</definedName>
    <definedName name="C_">[14]SV!#REF!</definedName>
    <definedName name="CABLE_SCHEDULE">'[9]#REF'!$A$1:$BP$4565</definedName>
    <definedName name="CABLE_SIZE">#REF!</definedName>
    <definedName name="CBLTYPE">#N/A</definedName>
    <definedName name="CBWorkbookPriority" hidden="1">-1411612577</definedName>
    <definedName name="CC" localSheetId="6" hidden="1">{#N/A,#N/A,TRUE,"COVER";#N/A,#N/A,TRUE,"CONTENTS";#N/A,#N/A,TRUE,"CALC SHEET FOR MMA AND PET";#N/A,#N/A,TRUE,"LOAD LIST FOR MMA AND PET"}</definedName>
    <definedName name="CC" hidden="1">{#N/A,#N/A,TRUE,"COVER";#N/A,#N/A,TRUE,"CONTENTS";#N/A,#N/A,TRUE,"CALC SHEET FOR MMA AND PET";#N/A,#N/A,TRUE,"LOAD LIST FOR MMA AND PET"}</definedName>
    <definedName name="CC_Graph1">"グラフ 52"</definedName>
    <definedName name="CCCC" localSheetId="6" hidden="1">{#N/A,#N/A,FALSE,"Ejector 1";#N/A,#N/A,FALSE,"Ejector 2"}</definedName>
    <definedName name="CCCC" hidden="1">{#N/A,#N/A,FALSE,"Ejector 1";#N/A,#N/A,FALSE,"Ejector 2"}</definedName>
    <definedName name="CERT">#N/A</definedName>
    <definedName name="certificateaddress">#REF!</definedName>
    <definedName name="certifiedwelder">#REF!</definedName>
    <definedName name="certifiedwelderagitatorunit">#REF!</definedName>
    <definedName name="chimney">#REF!</definedName>
    <definedName name="chlorid">#REF!</definedName>
    <definedName name="chloridtank">#REF!</definedName>
    <definedName name="choice1">#REF!</definedName>
    <definedName name="choice2">#REF!</definedName>
    <definedName name="ChoixSys">[16]Parameters!$A$30:$A$32</definedName>
    <definedName name="circulationpump">#REF!</definedName>
    <definedName name="circumspeed">#REF!</definedName>
    <definedName name="circumveloc">#REF!</definedName>
    <definedName name="cladding">#REF!</definedName>
    <definedName name="cladmat">#REF!</definedName>
    <definedName name="classification">#REF!</definedName>
    <definedName name="cleansyscontrol">#REF!</definedName>
    <definedName name="cleansystype">#REF!</definedName>
    <definedName name="clearancetotankshell">#REF!</definedName>
    <definedName name="closure">#REF!</definedName>
    <definedName name="coildiam">#REF!</definedName>
    <definedName name="completecs">#REF!</definedName>
    <definedName name="completess">#REF!</definedName>
    <definedName name="compressionring">#REF!</definedName>
    <definedName name="concentration">#REF!</definedName>
    <definedName name="CONSTRUCTION">#REF!</definedName>
    <definedName name="CONSUMER_DAT_AB">#N/A</definedName>
    <definedName name="CONSUMER_DAT_BL">#N/A</definedName>
    <definedName name="CONSUMER_DAT_CR">#N/A</definedName>
    <definedName name="CONSUMER_DAT_DB">#REF!</definedName>
    <definedName name="CONSUMER_DAT_DF">#N/A</definedName>
    <definedName name="CONSUMER_DAT_EN">#N/A</definedName>
    <definedName name="CONSUMER_DAT_MA">#N/A</definedName>
    <definedName name="contactaddress">#REF!</definedName>
    <definedName name="CONTACTOR">[17]contactor!$A$5:$J$37</definedName>
    <definedName name="coolingbufferfluid">#REF!</definedName>
    <definedName name="copyright">#REF!</definedName>
    <definedName name="corrosion">#REF!</definedName>
    <definedName name="corrosion1">#REF!</definedName>
    <definedName name="COSQ">#REF!</definedName>
    <definedName name="COSQLR">#REF!</definedName>
    <definedName name="coupling">#REF!</definedName>
    <definedName name="covering">#REF!</definedName>
    <definedName name="_xlnm.Criteria">#REF!</definedName>
    <definedName name="criticalspeed">#REF!</definedName>
    <definedName name="CV" localSheetId="6" hidden="1">{#N/A,#N/A,FALSE,"Vessel1 1";#N/A,#N/A,FALSE,"Vessel1 2";#N/A,#N/A,FALSE,"Vessel1 3";#N/A,#N/A,FALSE,"Vessel1 4";#N/A,#N/A,FALSE,"Vessel1 5";#N/A,#N/A,FALSE,"Vessel1 6";#N/A,#N/A,FALSE,"Vessel1 7";#N/A,#N/A,FALSE,"Vessel1 8";#N/A,#N/A,FALSE,"Vessel1 9";#N/A,#N/A,FALSE,"Vessel1 10";#N/A,#N/A,FALSE,"Vessel1 11"}</definedName>
    <definedName name="CV" hidden="1">{#N/A,#N/A,FALSE,"Vessel1 1";#N/A,#N/A,FALSE,"Vessel1 2";#N/A,#N/A,FALSE,"Vessel1 3";#N/A,#N/A,FALSE,"Vessel1 4";#N/A,#N/A,FALSE,"Vessel1 5";#N/A,#N/A,FALSE,"Vessel1 6";#N/A,#N/A,FALSE,"Vessel1 7";#N/A,#N/A,FALSE,"Vessel1 8";#N/A,#N/A,FALSE,"Vessel1 9";#N/A,#N/A,FALSE,"Vessel1 10";#N/A,#N/A,FALSE,"Vessel1 11"}</definedName>
    <definedName name="CW_PIPE_PN_LIST">#REF!</definedName>
    <definedName name="D">[14]SV!#REF!</definedName>
    <definedName name="Data">#REF!</definedName>
    <definedName name="_xlnm.Database">#REF!</definedName>
    <definedName name="Database_MI">#REF!</definedName>
    <definedName name="DATE">#REF!</definedName>
    <definedName name="date_révision">[16]Parameters!$AL$8</definedName>
    <definedName name="davit">#REF!</definedName>
    <definedName name="ddd" localSheetId="6" hidden="1">{#N/A,#N/A,FALSE,"Vessel1 1";#N/A,#N/A,FALSE,"Vessel1 2";#N/A,#N/A,FALSE,"Vessel1 3";#N/A,#N/A,FALSE,"Vessel1 4";#N/A,#N/A,FALSE,"Vessel1 5";#N/A,#N/A,FALSE,"Vessel1 6";#N/A,#N/A,FALSE,"Vessel1 7";#N/A,#N/A,FALSE,"Vessel1 8";#N/A,#N/A,FALSE,"Vessel1 9";#N/A,#N/A,FALSE,"Vessel1 10";#N/A,#N/A,FALSE,"Vessel1 11"}</definedName>
    <definedName name="ddd" hidden="1">{#N/A,#N/A,FALSE,"Vessel1 1";#N/A,#N/A,FALSE,"Vessel1 2";#N/A,#N/A,FALSE,"Vessel1 3";#N/A,#N/A,FALSE,"Vessel1 4";#N/A,#N/A,FALSE,"Vessel1 5";#N/A,#N/A,FALSE,"Vessel1 6";#N/A,#N/A,FALSE,"Vessel1 7";#N/A,#N/A,FALSE,"Vessel1 8";#N/A,#N/A,FALSE,"Vessel1 9";#N/A,#N/A,FALSE,"Vessel1 10";#N/A,#N/A,FALSE,"Vessel1 11"}</definedName>
    <definedName name="Débit">'[18]Liste Récept'!$F$15:$F$31</definedName>
    <definedName name="del" localSheetId="6" hidden="1">{#N/A,#N/A,FALSE,"B-Rated fire doors"}</definedName>
    <definedName name="del" hidden="1">{#N/A,#N/A,FALSE,"B-Rated fire doors"}</definedName>
    <definedName name="density">#REF!</definedName>
    <definedName name="departmentcode">#REF!</definedName>
    <definedName name="DESCRA">#REF!</definedName>
    <definedName name="DESCRB">#REF!</definedName>
    <definedName name="designcode">#REF!</definedName>
    <definedName name="designcodeaircooler">#REF!</definedName>
    <definedName name="designcodeheatexchanger">#REF!</definedName>
    <definedName name="designcodeplateexchanger">#REF!</definedName>
    <definedName name="designcodespiralexchanger">#REF!</definedName>
    <definedName name="designcodetank">#REF!</definedName>
    <definedName name="designcodetower">#REF!</definedName>
    <definedName name="designreqplateexchanger">#REF!</definedName>
    <definedName name="designreqspiralexchanger">#REF!</definedName>
    <definedName name="df" localSheetId="6" hidden="1">{#N/A,#N/A,TRUE,"COVER";#N/A,#N/A,TRUE,"CONTENTS";#N/A,#N/A,TRUE,"CALC SHEET FOR MMA AND PET";#N/A,#N/A,TRUE,"LOAD LIST FOR MMA AND PET"}</definedName>
    <definedName name="df" hidden="1">{#N/A,#N/A,TRUE,"COVER";#N/A,#N/A,TRUE,"CONTENTS";#N/A,#N/A,TRUE,"CALC SHEET FOR MMA AND PET";#N/A,#N/A,TRUE,"LOAD LIST FOR MMA AND PET"}</definedName>
    <definedName name="dfd" hidden="1">'[8]#REF'!#REF!</definedName>
    <definedName name="dfsag" localSheetId="6" hidden="1">{#N/A,#N/A,FALSE,"COVER";#N/A,#N/A,FALSE,"CONTENTS";#N/A,#N/A,FALSE,"CALC SHEET FOR MMA AND PET DOL";#N/A,#N/A,FALSE,"LOAD LIST FOR MMA AND PET DOL"}</definedName>
    <definedName name="dfsag" hidden="1">{#N/A,#N/A,FALSE,"COVER";#N/A,#N/A,FALSE,"CONTENTS";#N/A,#N/A,FALSE,"CALC SHEET FOR MMA AND PET DOL";#N/A,#N/A,FALSE,"LOAD LIST FOR MMA AND PET DOL"}</definedName>
    <definedName name="dghjdxj" localSheetId="6" hidden="1">{#N/A,#N/A,FALSE,"cover";#N/A,#N/A,FALSE,"page_1";#N/A,#N/A,FALSE,"page_2";#N/A,#N/A,FALSE,"page_3";#N/A,#N/A,FALSE,"page_4"}</definedName>
    <definedName name="dghjdxj" hidden="1">{#N/A,#N/A,FALSE,"cover";#N/A,#N/A,FALSE,"page_1";#N/A,#N/A,FALSE,"page_2";#N/A,#N/A,FALSE,"page_3";#N/A,#N/A,FALSE,"page_4"}</definedName>
    <definedName name="din28005_28008">#REF!</definedName>
    <definedName name="din28005_28008_iso13920">#REF!</definedName>
    <definedName name="din28017_1">#REF!</definedName>
    <definedName name="din28017_2">#REF!</definedName>
    <definedName name="din28017_3">#REF!</definedName>
    <definedName name="din28017_4">#REF!</definedName>
    <definedName name="din28081_1">#REF!</definedName>
    <definedName name="din28081_2">#REF!</definedName>
    <definedName name="dippipesupport">#REF!</definedName>
    <definedName name="directiveex">#REF!</definedName>
    <definedName name="DISCH_POSIT_LIST">#REF!</definedName>
    <definedName name="display">#REF!</definedName>
    <definedName name="Dissolved_water_in_WS_outlet_D1220">[19]Data!$E$31</definedName>
    <definedName name="Dissolved_water_in_WS_outlet_E1250">[19]Data!$E$32</definedName>
    <definedName name="DME_BeforeCloseCompleted" hidden="1">[20]XDO_HIDDEN!#REF!</definedName>
    <definedName name="DME_Dirty" hidden="1">[20]XDO_HIDDEN!#REF!</definedName>
    <definedName name="DME_LocalFile" hidden="1">"True"</definedName>
    <definedName name="DME_ODMALinks1" hidden="1">"::ODMA\DME-MSE\HGS-43444=C:\DOCUME~1\sk\LOCALS~1\Temp\Dme\HGS-43444.xls"</definedName>
    <definedName name="DME_ODMALinks2" hidden="1">"::ODMA\DME-MSE\HGS-39952=C:\DOCUME~1\bha\LOCALS~1\Temp\Dme\HGS-39952.xls"</definedName>
    <definedName name="DME_ODMALinks3" hidden="1">"::ODMA\DME-MSE\HGS-59436=C:\DOCUME~1\sk\LOCALS~1\Temp\Dme\HGS-59436.xls"</definedName>
    <definedName name="DME_ODMALinks4" hidden="1">"::ODMA\DME-MSE\HGS-57294=C:\DOCUME~1\sk\LOCALS~1\Temp\Dme\HGS-57294(2).xls"</definedName>
    <definedName name="DME_ODMALinks5" hidden="1">"::ODMA\DME-MSE\HGS-58308=C:\DOCUME~1\sk\LOCALS~1\Temp\Dme\DME58308.xls"</definedName>
    <definedName name="DME_ODMALinks6" hidden="1">"::ODMA\DME-MSE\HGS-50279=C:\DOCUME~1\sk\LOCALS~1\Temp\Dme\HGS-50279.xls"</definedName>
    <definedName name="DME_ODMALinks7" hidden="1">"::ODMA\DME-MSE\HGS-94737=C:\DOCUME~1\sk\LOCALS~1\Temp\Dme\HGS-94737.xls"</definedName>
    <definedName name="DME_ODMALinksCount" hidden="1">"6"</definedName>
    <definedName name="DNEW" hidden="1">'[11]PROCPLAN-TOTAL'!#REF!</definedName>
    <definedName name="doublebottom">#REF!</definedName>
    <definedName name="drawing">'[9]#REF'!$A$2:$A$80</definedName>
    <definedName name="drawingexamination">#REF!</definedName>
    <definedName name="drive">#REF!</definedName>
    <definedName name="driveagitatorunit">#REF!</definedName>
    <definedName name="driveposition">#REF!</definedName>
    <definedName name="drivescope">#REF!</definedName>
    <definedName name="DWPRICE" hidden="1">[21]Quantity!#REF!</definedName>
    <definedName name="dynvisco">#REF!</definedName>
    <definedName name="earthquake">#REF!</definedName>
    <definedName name="earthquaketank">#REF!</definedName>
    <definedName name="EEPC3">'[13]2.0-A4'!#REF!</definedName>
    <definedName name="EFF">#REF!</definedName>
    <definedName name="eniso4287">#REF!</definedName>
    <definedName name="esmc211_1">#REF!</definedName>
    <definedName name="esmc211_2">#REF!</definedName>
    <definedName name="EV__LASTREFTIME__" hidden="1">39890.5126388889</definedName>
    <definedName name="EV__LASTREFTIME___1" hidden="1">39742.5442013889</definedName>
    <definedName name="expanjoint">#REF!</definedName>
    <definedName name="expediting">#REF!</definedName>
    <definedName name="exproof">#REF!</definedName>
    <definedName name="exprotect">#REF!</definedName>
    <definedName name="extension">#REF!</definedName>
    <definedName name="_xlnm.Extract">[22]P!#REF!</definedName>
    <definedName name="exzone">#REF!</definedName>
    <definedName name="F1_CR">#N/A</definedName>
    <definedName name="F2_CR">#N/A</definedName>
    <definedName name="F3_CR">#N/A</definedName>
    <definedName name="F4_CR">#N/A</definedName>
    <definedName name="F5_CR">#N/A</definedName>
    <definedName name="F6_CR">#N/A</definedName>
    <definedName name="F7_CR">#N/A</definedName>
    <definedName name="fadsf" localSheetId="6" hidden="1">{#N/A,#N/A,TRUE,"COVER";#N/A,#N/A,TRUE,"CONTENTS";#N/A,#N/A,TRUE,"CALC SHEET FOR MMA AND PET";#N/A,#N/A,TRUE,"LOAD LIST FOR MMA AND PET"}</definedName>
    <definedName name="fadsf" hidden="1">{#N/A,#N/A,TRUE,"COVER";#N/A,#N/A,TRUE,"CONTENTS";#N/A,#N/A,TRUE,"CALC SHEET FOR MMA AND PET";#N/A,#N/A,TRUE,"LOAD LIST FOR MMA AND PET"}</definedName>
    <definedName name="fanblademat">#REF!</definedName>
    <definedName name="fancontrol">#REF!</definedName>
    <definedName name="fatiguestrength">#REF!</definedName>
    <definedName name="FDRTYPE">#REF!</definedName>
    <definedName name="fff" localSheetId="6" hidden="1">{#N/A,#N/A,FALSE,"cover";#N/A,#N/A,FALSE,"page_1";#N/A,#N/A,FALSE,"page_2";#N/A,#N/A,FALSE,"page_3";#N/A,#N/A,FALSE,"page_4"}</definedName>
    <definedName name="fff" hidden="1">{#N/A,#N/A,FALSE,"cover";#N/A,#N/A,FALSE,"page_1";#N/A,#N/A,FALSE,"page_2";#N/A,#N/A,FALSE,"page_3";#N/A,#N/A,FALSE,"page_4"}</definedName>
    <definedName name="fffff" hidden="1">'[23]Page 5 of 7'!#REF!</definedName>
    <definedName name="fg" hidden="1">#REF!</definedName>
    <definedName name="fillt" hidden="1">#REF!</definedName>
    <definedName name="filterelement">#REF!</definedName>
    <definedName name="filterinstall">#REF!</definedName>
    <definedName name="filterremoval">#REF!</definedName>
    <definedName name="find_cable_length_differences">'[9]#REF'!$A$1:$C$134</definedName>
    <definedName name="finsmat">#REF!</definedName>
    <definedName name="flangeface">#REF!</definedName>
    <definedName name="flangestd">#REF!</definedName>
    <definedName name="flangetype">#REF!</definedName>
    <definedName name="FLC">#REF!</definedName>
    <definedName name="flowdirect1">#REF!</definedName>
    <definedName name="flowdirect2">#REF!</definedName>
    <definedName name="flowindicator">#REF!</definedName>
    <definedName name="flowpattern">#REF!</definedName>
    <definedName name="fluid1">#REF!</definedName>
    <definedName name="fluidf">#REF!</definedName>
    <definedName name="fluidfiltered">#REF!</definedName>
    <definedName name="fluidstate">[15]Unit!$D$4:$D$12</definedName>
    <definedName name="format1">#REF!</definedName>
    <definedName name="format2">#REF!</definedName>
    <definedName name="fouling">#REF!</definedName>
    <definedName name="foundationtolerance">#REF!</definedName>
    <definedName name="Free_water_in_WS_outlet_D1220">[19]Data!$E$30</definedName>
    <definedName name="freeflowarea">#REF!</definedName>
    <definedName name="FUSE">#REF!</definedName>
    <definedName name="galvanizingbolts">#REF!</definedName>
    <definedName name="galvanizingplatform">#REF!</definedName>
    <definedName name="gasketfix">#REF!</definedName>
    <definedName name="gasketmat">#REF!</definedName>
    <definedName name="gasketplates">#REF!</definedName>
    <definedName name="gaskettype">#REF!</definedName>
    <definedName name="gb" localSheetId="6" hidden="1">{#N/A,#N/A,FALSE,"Vessel1 1";#N/A,#N/A,FALSE,"Vessel1 2";#N/A,#N/A,FALSE,"Vessel1 3";#N/A,#N/A,FALSE,"Vessel1 4";#N/A,#N/A,FALSE,"Vessel1 5";#N/A,#N/A,FALSE,"Vessel1 6";#N/A,#N/A,FALSE,"Vessel1 7";#N/A,#N/A,FALSE,"Vessel1 8";#N/A,#N/A,FALSE,"Vessel1 9";#N/A,#N/A,FALSE,"Vessel1 10";#N/A,#N/A,FALSE,"Vessel1 11"}</definedName>
    <definedName name="gb" hidden="1">{#N/A,#N/A,FALSE,"Vessel1 1";#N/A,#N/A,FALSE,"Vessel1 2";#N/A,#N/A,FALSE,"Vessel1 3";#N/A,#N/A,FALSE,"Vessel1 4";#N/A,#N/A,FALSE,"Vessel1 5";#N/A,#N/A,FALSE,"Vessel1 6";#N/A,#N/A,FALSE,"Vessel1 7";#N/A,#N/A,FALSE,"Vessel1 8";#N/A,#N/A,FALSE,"Vessel1 9";#N/A,#N/A,FALSE,"Vessel1 10";#N/A,#N/A,FALSE,"Vessel1 11"}</definedName>
    <definedName name="gearequipment">#REF!</definedName>
    <definedName name="gearsuppliers">#REF!</definedName>
    <definedName name="geartype">#REF!</definedName>
    <definedName name="generalspec">#REF!</definedName>
    <definedName name="generalspec2">#REF!</definedName>
    <definedName name="generalspecagitatorunit">#REF!</definedName>
    <definedName name="generalspecaircooler">#REF!</definedName>
    <definedName name="generalspecexchanger">#REF!</definedName>
    <definedName name="generalspecpacking">#REF!</definedName>
    <definedName name="generalspecplateexchanger">#REF!</definedName>
    <definedName name="generalspectank">#REF!</definedName>
    <definedName name="generalspectrays">#REF!</definedName>
    <definedName name="ghfhf" localSheetId="6" hidden="1">{#N/A,#N/A,FALSE,"cover";#N/A,#N/A,FALSE,"page_1";#N/A,#N/A,FALSE,"page_2";#N/A,#N/A,FALSE,"page_3";#N/A,#N/A,FALSE,"page_4"}</definedName>
    <definedName name="ghfhf" hidden="1">{#N/A,#N/A,FALSE,"cover";#N/A,#N/A,FALSE,"page_1";#N/A,#N/A,FALSE,"page_2";#N/A,#N/A,FALSE,"page_3";#N/A,#N/A,FALSE,"page_4"}</definedName>
    <definedName name="glasslining">#REF!</definedName>
    <definedName name="glassliningtest">#REF!</definedName>
    <definedName name="grindarea">#REF!</definedName>
    <definedName name="grindareaagitatorunit">#REF!</definedName>
    <definedName name="ground">#REF!</definedName>
    <definedName name="GROUP1">[14]SV!$B$8:$O$50</definedName>
    <definedName name="GROUP2">[14]SV!#REF!</definedName>
    <definedName name="GROUP3">[14]SV!#REF!</definedName>
    <definedName name="GROUP4">[14]SV!#REF!</definedName>
    <definedName name="GROUP5">[14]SV!#REF!</definedName>
    <definedName name="gsg" localSheetId="6" hidden="1">{#N/A,#N/A,FALSE,"Pumps 1";#N/A,#N/A,FALSE,"Pumps 2";#N/A,#N/A,FALSE,"Pumps 3";#N/A,#N/A,FALSE,"Pumps 4";#N/A,#N/A,FALSE,"Pumps 5";#N/A,#N/A,FALSE,"Pumps 6"}</definedName>
    <definedName name="gsg" hidden="1">{#N/A,#N/A,FALSE,"Pumps 1";#N/A,#N/A,FALSE,"Pumps 2";#N/A,#N/A,FALSE,"Pumps 3";#N/A,#N/A,FALSE,"Pumps 4";#N/A,#N/A,FALSE,"Pumps 5";#N/A,#N/A,FALSE,"Pumps 6"}</definedName>
    <definedName name="guideline">#REF!</definedName>
    <definedName name="H" hidden="1">'[8]#REF'!#REF!</definedName>
    <definedName name="H3PO4_concentration">[19]Data!$E$19</definedName>
    <definedName name="handrefillpump">#REF!</definedName>
    <definedName name="hardness">#REF!</definedName>
    <definedName name="header">#REF!</definedName>
    <definedName name="headtype">#REF!</definedName>
    <definedName name="heatcapacity">#REF!</definedName>
    <definedName name="heatcool">#REF!</definedName>
    <definedName name="heatcooltank">#REF!</definedName>
    <definedName name="heatduty">#REF!</definedName>
    <definedName name="heatingfluid">#REF!</definedName>
    <definedName name="heattrans">#REF!</definedName>
    <definedName name="helium">#REF!</definedName>
    <definedName name="hgh" localSheetId="6" hidden="1">{#N/A,#N/A,FALSE,"cover";#N/A,#N/A,FALSE,"page_1";#N/A,#N/A,FALSE,"page_2";#N/A,#N/A,FALSE,"page_3";#N/A,#N/A,FALSE,"page_4"}</definedName>
    <definedName name="hgh" hidden="1">{#N/A,#N/A,FALSE,"cover";#N/A,#N/A,FALSE,"page_1";#N/A,#N/A,FALSE,"page_2";#N/A,#N/A,FALSE,"page_3";#N/A,#N/A,FALSE,"page_4"}</definedName>
    <definedName name="HHH" localSheetId="6" hidden="1">{#N/A,#N/A,FALSE,"Vessel1 1";#N/A,#N/A,FALSE,"Vessel1 2";#N/A,#N/A,FALSE,"Vessel1 3";#N/A,#N/A,FALSE,"Vessel1 4";#N/A,#N/A,FALSE,"Vessel1 5";#N/A,#N/A,FALSE,"Vessel1 6";#N/A,#N/A,FALSE,"Vessel1 7";#N/A,#N/A,FALSE,"Vessel1 8";#N/A,#N/A,FALSE,"Vessel1 9";#N/A,#N/A,FALSE,"Vessel1 10";#N/A,#N/A,FALSE,"Vessel1 11"}</definedName>
    <definedName name="HHH" hidden="1">{#N/A,#N/A,FALSE,"Vessel1 1";#N/A,#N/A,FALSE,"Vessel1 2";#N/A,#N/A,FALSE,"Vessel1 3";#N/A,#N/A,FALSE,"Vessel1 4";#N/A,#N/A,FALSE,"Vessel1 5";#N/A,#N/A,FALSE,"Vessel1 6";#N/A,#N/A,FALSE,"Vessel1 7";#N/A,#N/A,FALSE,"Vessel1 8";#N/A,#N/A,FALSE,"Vessel1 9";#N/A,#N/A,FALSE,"Vessel1 10";#N/A,#N/A,FALSE,"Vessel1 11"}</definedName>
    <definedName name="hhhjhj" localSheetId="6" hidden="1">{#N/A,#N/A,FALSE,"cover";#N/A,#N/A,FALSE,"page_1";#N/A,#N/A,FALSE,"page_2";#N/A,#N/A,FALSE,"page_3";#N/A,#N/A,FALSE,"page_4"}</definedName>
    <definedName name="hhhjhj" hidden="1">{#N/A,#N/A,FALSE,"cover";#N/A,#N/A,FALSE,"page_1";#N/A,#N/A,FALSE,"page_2";#N/A,#N/A,FALSE,"page_3";#N/A,#N/A,FALSE,"page_4"}</definedName>
    <definedName name="hjjk" localSheetId="6" hidden="1">{#N/A,#N/A,FALSE,"cover";#N/A,#N/A,FALSE,"page_1";#N/A,#N/A,FALSE,"page_2";#N/A,#N/A,FALSE,"page_3";#N/A,#N/A,FALSE,"page_4"}</definedName>
    <definedName name="hjjk" hidden="1">{#N/A,#N/A,FALSE,"cover";#N/A,#N/A,FALSE,"page_1";#N/A,#N/A,FALSE,"page_2";#N/A,#N/A,FALSE,"page_3";#N/A,#N/A,FALSE,"page_4"}</definedName>
    <definedName name="HOOK_UP">#REF!</definedName>
    <definedName name="HTML_CodePage" hidden="1">949</definedName>
    <definedName name="HTML_Control" localSheetId="6" hidden="1">{"'장비'!$A$3:$M$12"}</definedName>
    <definedName name="HTML_Control" hidden="1">{"'장비'!$A$3:$M$12"}</definedName>
    <definedName name="HTML_Description" hidden="1">""</definedName>
    <definedName name="HTML_Email" hidden="1">""</definedName>
    <definedName name="HTML_Header" hidden="1">"장비"</definedName>
    <definedName name="HTML_LastUpdate" hidden="1">"97-08-05"</definedName>
    <definedName name="HTML_LineAfter" hidden="1">FALSE</definedName>
    <definedName name="HTML_LineBefore" hidden="1">FALSE</definedName>
    <definedName name="HTML_Name" hidden="1">"이진화"</definedName>
    <definedName name="HTML_OBDlg2" hidden="1">TRUE</definedName>
    <definedName name="HTML_OBDlg4" hidden="1">TRUE</definedName>
    <definedName name="HTML_OS" hidden="1">0</definedName>
    <definedName name="HTML_PathFile" hidden="1">"C:\My Documents\MyHTML.htm"</definedName>
    <definedName name="HTML_Title" hidden="1">"가산동미라보"</definedName>
    <definedName name="HTML1_1" hidden="1">"[RDS00701.xls]Sheet1!$A$1:$J$68"</definedName>
    <definedName name="HTML1_10" hidden="1">""</definedName>
    <definedName name="HTML1_11" hidden="1">1</definedName>
    <definedName name="HTML1_12" hidden="1">"C:\My Documents\FERD_ST\R_MECHAN\RCR00102\DATAARK\RDS007\MyHTML.htm"</definedName>
    <definedName name="HTML1_2" hidden="1">1</definedName>
    <definedName name="HTML1_3" hidden="1">"RDS00701"</definedName>
    <definedName name="HTML1_4" hidden="1">"Sheet1"</definedName>
    <definedName name="HTML1_5" hidden="1">""</definedName>
    <definedName name="HTML1_6" hidden="1">-4146</definedName>
    <definedName name="HTML1_7" hidden="1">-4146</definedName>
    <definedName name="HTML1_8" hidden="1">"30.04.96"</definedName>
    <definedName name="HTML1_9" hidden="1">"NTS"</definedName>
    <definedName name="HTMLCount" hidden="1">1</definedName>
    <definedName name="huy" localSheetId="6" hidden="1">{"'Sheet1'!$L$16"}</definedName>
    <definedName name="huy" hidden="1">{"'Sheet1'!$L$16"}</definedName>
    <definedName name="i" localSheetId="6" hidden="1">{#N/A,#N/A,FALSE,"cover";#N/A,#N/A,FALSE,"page_1";#N/A,#N/A,FALSE,"page_2";#N/A,#N/A,FALSE,"page_3";#N/A,#N/A,FALSE,"page_4"}</definedName>
    <definedName name="i" hidden="1">{#N/A,#N/A,FALSE,"cover";#N/A,#N/A,FALSE,"page_1";#N/A,#N/A,FALSE,"page_2";#N/A,#N/A,FALSE,"page_3";#N/A,#N/A,FALSE,"page_4"}</definedName>
    <definedName name="impingeprotec">#REF!</definedName>
    <definedName name="importancefactor">#REF!</definedName>
    <definedName name="incomers">'[9]#REF'!$A$6:$O$77</definedName>
    <definedName name="independenceshaft">#REF!</definedName>
    <definedName name="inspectcode">#REF!</definedName>
    <definedName name="inspectcodeaircooler">#REF!</definedName>
    <definedName name="inspectcodeheatexchanger">#REF!</definedName>
    <definedName name="inspectcodeplateexchanger">#REF!</definedName>
    <definedName name="inspectcodespiralexchanger">#REF!</definedName>
    <definedName name="inspectcodetank">#REF!</definedName>
    <definedName name="inspectcodetower">#REF!</definedName>
    <definedName name="INSTALL_AUTRE">[16]Other!$H:$H</definedName>
    <definedName name="INSTALL_CHO">[16]Vessels!$H:$H</definedName>
    <definedName name="INSTALL_TOU">[16]Rotating!$H:$H</definedName>
    <definedName name="installationmixingelement">#REF!</definedName>
    <definedName name="insulcollar">#REF!</definedName>
    <definedName name="insulcollartank">#REF!</definedName>
    <definedName name="insuldiscs">#REF!</definedName>
    <definedName name="insuldiscstank">#REF!</definedName>
    <definedName name="insulsupp">#REF!</definedName>
    <definedName name="insultype">#REF!</definedName>
    <definedName name="integraltesting">#REF!</definedName>
    <definedName name="InterlockPP">#REF!</definedName>
    <definedName name="intracs" localSheetId="6" hidden="1">{"cost",#N/A,FALSE,"B";"Sum",#N/A,FALSE,"C";"Sal1",#N/A,FALSE,"D";"Sal2",#N/A,FALSE,"D";"Mob",#N/A,FALSE,"E";"Eqpcst1",#N/A,FALSE,"F";"Eqpcst2",#N/A,FALSE,"F";"Eqpcst3",#N/A,FALSE,"F";"Est1",#N/A,FALSE,"G";"Est2",#N/A,FALSE,"G";"Fin",#N/A,FALSE,"H";"EqpCal",#N/A,FALSE,"I";"ManCal1",#N/A,FALSE,"J";"ManCal2",#N/A,FALSE,"J";"Consm",#N/A,FALSE,"L";"B O",#N/A,FALSE,"M";"S C",#N/A,FALSE,"N"}</definedName>
    <definedName name="intracs" hidden="1">{"cost",#N/A,FALSE,"B";"Sum",#N/A,FALSE,"C";"Sal1",#N/A,FALSE,"D";"Sal2",#N/A,FALSE,"D";"Mob",#N/A,FALSE,"E";"Eqpcst1",#N/A,FALSE,"F";"Eqpcst2",#N/A,FALSE,"F";"Eqpcst3",#N/A,FALSE,"F";"Est1",#N/A,FALSE,"G";"Est2",#N/A,FALSE,"G";"Fin",#N/A,FALSE,"H";"EqpCal",#N/A,FALSE,"I";"ManCal1",#N/A,FALSE,"J";"ManCal2",#N/A,FALSE,"J";"Consm",#N/A,FALSE,"L";"B O",#N/A,FALSE,"M";"S C",#N/A,FALSE,"N"}</definedName>
    <definedName name="JLUcheck">'[9]#REF'!$A$1:$F$1872</definedName>
    <definedName name="jointprep1">#REF!</definedName>
    <definedName name="jointprep2">#REF!</definedName>
    <definedName name="jointprepagitatorunit">#REF!</definedName>
    <definedName name="JOS">#REF!</definedName>
    <definedName name="JOSLUYENDIJK">#REF!</definedName>
    <definedName name="kjhkjh" localSheetId="6" hidden="1">{#N/A,#N/A,FALSE,"cover";#N/A,#N/A,FALSE,"page_1";#N/A,#N/A,FALSE,"page_2";#N/A,#N/A,FALSE,"page_3";#N/A,#N/A,FALSE,"page_4"}</definedName>
    <definedName name="kjhkjh" hidden="1">{#N/A,#N/A,FALSE,"cover";#N/A,#N/A,FALSE,"page_1";#N/A,#N/A,FALSE,"page_2";#N/A,#N/A,FALSE,"page_3";#N/A,#N/A,FALSE,"page_4"}</definedName>
    <definedName name="kkk" hidden="1">#REF!</definedName>
    <definedName name="L" localSheetId="6" hidden="1">{#N/A,#N/A,FALSE,"Vessel1 1";#N/A,#N/A,FALSE,"Vessel1 2";#N/A,#N/A,FALSE,"Vessel1 3";#N/A,#N/A,FALSE,"Vessel1 4";#N/A,#N/A,FALSE,"Vessel1 5";#N/A,#N/A,FALSE,"Vessel1 6";#N/A,#N/A,FALSE,"Vessel1 7";#N/A,#N/A,FALSE,"Vessel1 8";#N/A,#N/A,FALSE,"Vessel1 9";#N/A,#N/A,FALSE,"Vessel1 10";#N/A,#N/A,FALSE,"Vessel1 11"}</definedName>
    <definedName name="L" hidden="1">{#N/A,#N/A,FALSE,"Vessel1 1";#N/A,#N/A,FALSE,"Vessel1 2";#N/A,#N/A,FALSE,"Vessel1 3";#N/A,#N/A,FALSE,"Vessel1 4";#N/A,#N/A,FALSE,"Vessel1 5";#N/A,#N/A,FALSE,"Vessel1 6";#N/A,#N/A,FALSE,"Vessel1 7";#N/A,#N/A,FALSE,"Vessel1 8";#N/A,#N/A,FALSE,"Vessel1 9";#N/A,#N/A,FALSE,"Vessel1 10";#N/A,#N/A,FALSE,"Vessel1 11"}</definedName>
    <definedName name="language">#REF!</definedName>
    <definedName name="lanternspec">#REF!</definedName>
    <definedName name="latentheat">#REF!</definedName>
    <definedName name="leakage">#REF!</definedName>
    <definedName name="LENGTH">#REF!</definedName>
    <definedName name="length1">#REF!</definedName>
    <definedName name="length2">#REF!</definedName>
    <definedName name="length3">#REF!</definedName>
    <definedName name="length4">#REF!</definedName>
    <definedName name="length5">#REF!</definedName>
    <definedName name="letterheight1">#REF!</definedName>
    <definedName name="letterheight2">#REF!</definedName>
    <definedName name="levelindicator">#REF!</definedName>
    <definedName name="lipsealtype">#REF!</definedName>
    <definedName name="liquidpenetrant">#REF!</definedName>
    <definedName name="LLLLLLLLLLLLLL" localSheetId="6" hidden="1">{#N/A,#N/A,FALSE,"Ejector 1";#N/A,#N/A,FALSE,"Ejector 2"}</definedName>
    <definedName name="LLLLLLLLLLLLLL" hidden="1">{#N/A,#N/A,FALSE,"Ejector 1";#N/A,#N/A,FALSE,"Ejector 2"}</definedName>
    <definedName name="LM_SteamConfig" hidden="1">'[24]ProSteam Config'!$A$8</definedName>
    <definedName name="LOAD">#REF!</definedName>
    <definedName name="load1">#REF!</definedName>
    <definedName name="load2">#REF!</definedName>
    <definedName name="loadcycles">#REF!</definedName>
    <definedName name="loadtank1">#REF!</definedName>
    <definedName name="loadtank2">#REF!</definedName>
    <definedName name="loadtank3">#REF!</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uvers">#REF!</definedName>
    <definedName name="LRC">#REF!</definedName>
    <definedName name="machinerydirective">#REF!</definedName>
    <definedName name="machinerydirective2">#REF!</definedName>
    <definedName name="magneticparticle">#REF!</definedName>
    <definedName name="MANPOWER2" localSheetId="6" hidden="1">{"Total Indirect Manpower",#N/A,FALSE,"J";"Total Direct Manpower",#N/A,FALSE,"J";"Direct Structural Manpower",#N/A,FALSE,"J";"Direct Mechanical Manpower",#N/A,FALSE,"J";"Direct Piping Manpower",#N/A,FALSE,"J";"Direct Tanks Manpower",#N/A,FALSE,"J";"Direct ElecInstrSS Manpower",#N/A,FALSE,"J"}</definedName>
    <definedName name="MANPOWER2" hidden="1">{"Total Indirect Manpower",#N/A,FALSE,"J";"Total Direct Manpower",#N/A,FALSE,"J";"Direct Structural Manpower",#N/A,FALSE,"J";"Direct Mechanical Manpower",#N/A,FALSE,"J";"Direct Piping Manpower",#N/A,FALSE,"J";"Direct Tanks Manpower",#N/A,FALSE,"J";"Direct ElecInstrSS Manpower",#N/A,FALSE,"J"}</definedName>
    <definedName name="massflow1">#REF!</definedName>
    <definedName name="massflow2">#REF!</definedName>
    <definedName name="massflow3">#REF!</definedName>
    <definedName name="matcode">#REF!</definedName>
    <definedName name="matcodeaircooler">#REF!</definedName>
    <definedName name="matcodeplateexchanger">#REF!</definedName>
    <definedName name="matcodespiralexchanger">#REF!</definedName>
    <definedName name="matcodetank">#REF!</definedName>
    <definedName name="maxdeflect">#REF!</definedName>
    <definedName name="mc245tr">#REF!</definedName>
    <definedName name="mc254tank">#REF!</definedName>
    <definedName name="mechanicsealarrange">#REF!</definedName>
    <definedName name="mechanicsealmanufac">#REF!</definedName>
    <definedName name="mechanicsealstandard">#REF!</definedName>
    <definedName name="mechanicsealtype">#REF!</definedName>
    <definedName name="mediumremoved">#REF!</definedName>
    <definedName name="MELTTIME">#REF!</definedName>
    <definedName name="Methodology3" localSheetId="6" hidden="1">{#N/A,#N/A,FALSE,"cover";#N/A,#N/A,FALSE,"page_1";#N/A,#N/A,FALSE,"page_2";#N/A,#N/A,FALSE,"page_3";#N/A,#N/A,FALSE,"page_4"}</definedName>
    <definedName name="Methodology3" hidden="1">{#N/A,#N/A,FALSE,"cover";#N/A,#N/A,FALSE,"page_1";#N/A,#N/A,FALSE,"page_2";#N/A,#N/A,FALSE,"page_3";#N/A,#N/A,FALSE,"page_4"}</definedName>
    <definedName name="minfinpitch">#REF!</definedName>
    <definedName name="minplatethick">#REF!</definedName>
    <definedName name="minplatethickness">#REF!</definedName>
    <definedName name="minrequi1">#REF!</definedName>
    <definedName name="minrequi2">#REF!</definedName>
    <definedName name="minrequi3">#REF!</definedName>
    <definedName name="minwallthick">#REF!</definedName>
    <definedName name="minwallthickexchanger">#REF!</definedName>
    <definedName name="mixerinstallation">#REF!</definedName>
    <definedName name="mixertype">#REF!</definedName>
    <definedName name="mixingelements">#REF!</definedName>
    <definedName name="mixingnozzledesign">#REF!</definedName>
    <definedName name="mixingnozzleinstall">#REF!</definedName>
    <definedName name="mixingtask">#REF!</definedName>
    <definedName name="module" hidden="1">'[11]PROCPLAN-TOTAL'!#REF!</definedName>
    <definedName name="motor">#REF!</definedName>
    <definedName name="mounting">#REF!</definedName>
    <definedName name="mountingflange">#REF!</definedName>
    <definedName name="mountingflangescope">#REF!</definedName>
    <definedName name="mpas___°C">#N/A</definedName>
    <definedName name="nameplatedata">#REF!</definedName>
    <definedName name="ncbcb" localSheetId="6" hidden="1">{#N/A,#N/A,FALSE,"cover";#N/A,#N/A,FALSE,"page_1";#N/A,#N/A,FALSE,"page_2";#N/A,#N/A,FALSE,"page_3";#N/A,#N/A,FALSE,"page_4"}</definedName>
    <definedName name="ncbcb" hidden="1">{#N/A,#N/A,FALSE,"cover";#N/A,#N/A,FALSE,"page_1";#N/A,#N/A,FALSE,"page_2";#N/A,#N/A,FALSE,"page_3";#N/A,#N/A,FALSE,"page_4"}</definedName>
    <definedName name="NNN" localSheetId="6" hidden="1">{#N/A,#N/A,FALSE,"Ejector 1";#N/A,#N/A,FALSE,"Ejector 2"}</definedName>
    <definedName name="NNN" hidden="1">{#N/A,#N/A,FALSE,"Ejector 1";#N/A,#N/A,FALSE,"Ejector 2"}</definedName>
    <definedName name="NomMenu_Liste">[16]Parameters!$B$35</definedName>
    <definedName name="normconcentration">#REF!</definedName>
    <definedName name="notifiedbody">#REF!</definedName>
    <definedName name="nozzle1">#REF!</definedName>
    <definedName name="nozzle2">#REF!</definedName>
    <definedName name="nozzleelement">#REF!</definedName>
    <definedName name="nozzlelength">#REF!</definedName>
    <definedName name="nozzleloc">#REF!</definedName>
    <definedName name="nozzleprimsec">#REF!</definedName>
    <definedName name="nps">#REF!</definedName>
    <definedName name="npsagitatorunit">#REF!</definedName>
    <definedName name="NumListe">[16]Parameters!$AL$6</definedName>
    <definedName name="ODH" hidden="1">[25]산근!#REF!</definedName>
    <definedName name="opening">#REF!</definedName>
    <definedName name="openingagitatorunit">#REF!</definedName>
    <definedName name="OPERATION">#REF!</definedName>
    <definedName name="operatmode">#REF!</definedName>
    <definedName name="Organic_cycle_flow_rate">'[26]C201 RevB Design'!$B$2</definedName>
    <definedName name="organiccoat">#REF!</definedName>
    <definedName name="organiccoatingtest">#REF!</definedName>
    <definedName name="organiclining">#REF!</definedName>
    <definedName name="organicliningtype">#REF!</definedName>
    <definedName name="otherapplicablerules">#REF!</definedName>
    <definedName name="page" hidden="1">'[11]PROCPLAN-TOTAL'!#REF!</definedName>
    <definedName name="PAGE1">[14]SV!$B$8:$O$50</definedName>
    <definedName name="PAGE10">[14]SV!#REF!</definedName>
    <definedName name="PAGE11">[14]SV!#REF!</definedName>
    <definedName name="PAGE12">[14]SV!#REF!</definedName>
    <definedName name="PAGE13">[14]SV!#REF!</definedName>
    <definedName name="PAGE14">[14]SV!#REF!</definedName>
    <definedName name="PAGE15">[14]SV!#REF!</definedName>
    <definedName name="PAGE16">[14]SV!#REF!</definedName>
    <definedName name="PAGE17">[14]SV!#REF!</definedName>
    <definedName name="PAGE18">[14]SV!#REF!</definedName>
    <definedName name="PAGE19">[14]SV!#REF!</definedName>
    <definedName name="PAGE2">[14]SV!#REF!</definedName>
    <definedName name="PAGE20">[14]SV!#REF!</definedName>
    <definedName name="PAGE21">[14]SV!#REF!</definedName>
    <definedName name="PAGE22">[14]SV!#REF!</definedName>
    <definedName name="PAGE23">[14]SV!#REF!</definedName>
    <definedName name="PAGE24">[14]SV!#REF!</definedName>
    <definedName name="PAGE25">[14]SV!#REF!</definedName>
    <definedName name="PAGE26">[14]SV!#REF!</definedName>
    <definedName name="PAGE27">[14]SV!#REF!</definedName>
    <definedName name="PAGE28">[14]SV!#REF!</definedName>
    <definedName name="PAGE29">[14]SV!#REF!</definedName>
    <definedName name="PAGE3">[14]SV!#REF!</definedName>
    <definedName name="PAGE30">[14]SV!#REF!</definedName>
    <definedName name="PAGE31">[14]SV!#REF!</definedName>
    <definedName name="PAGE32">[14]SV!#REF!</definedName>
    <definedName name="PAGE33">[14]SV!#REF!</definedName>
    <definedName name="PAGE34">[14]SV!#REF!</definedName>
    <definedName name="PAGE36">[14]SV!#REF!</definedName>
    <definedName name="PAGE37">[14]SV!#REF!</definedName>
    <definedName name="PAGE38">[14]SV!#REF!</definedName>
    <definedName name="PAGE39">[14]SV!#REF!</definedName>
    <definedName name="PAGE4">[14]SV!#REF!</definedName>
    <definedName name="PAGE40">[14]SV!#REF!</definedName>
    <definedName name="PAGE41">[14]SV!#REF!</definedName>
    <definedName name="PAGE42">[14]SV!#REF!</definedName>
    <definedName name="PAGE43">[14]SV!#REF!</definedName>
    <definedName name="PAGE44">[14]SV!#REF!</definedName>
    <definedName name="PAGE45">[14]SV!#REF!</definedName>
    <definedName name="PAGE46">[14]SV!#REF!</definedName>
    <definedName name="PAGE47">[14]SV!#REF!</definedName>
    <definedName name="PAGE48">[14]SV!#REF!</definedName>
    <definedName name="PAGE49">[14]SV!#REF!</definedName>
    <definedName name="PAGE5">[14]SV!#REF!</definedName>
    <definedName name="PAGE50">[14]SV!#REF!</definedName>
    <definedName name="PAGE6">[14]SV!#REF!</definedName>
    <definedName name="PAGE7">[14]SV!#REF!</definedName>
    <definedName name="PAGE8">[14]SV!#REF!</definedName>
    <definedName name="PAGE9">[14]SV!#REF!</definedName>
    <definedName name="Pal_Workbook_GUID" hidden="1">"1CM6GDAYHQNFEXWP2WH7TBEI"</definedName>
    <definedName name="PANEL_">#REF!</definedName>
    <definedName name="PARTI_DB">#N/A</definedName>
    <definedName name="PARTII_DB">#N/A</definedName>
    <definedName name="partsize">#REF!</definedName>
    <definedName name="passpartition">#REF!</definedName>
    <definedName name="ped">#REF!</definedName>
    <definedName name="performer">#REF!</definedName>
    <definedName name="phonenumber">#REF!</definedName>
    <definedName name="pipesupport">#REF!</definedName>
    <definedName name="Piping" hidden="1">'[11]PROCPLAN-TOTAL'!#REF!</definedName>
    <definedName name="pipingbuffersystemmat">#REF!</definedName>
    <definedName name="pivotframe">#REF!</definedName>
    <definedName name="pl"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pl"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platemat">#REF!</definedName>
    <definedName name="platetype">#REF!</definedName>
    <definedName name="platform">#REF!</definedName>
    <definedName name="platformassembly">#REF!</definedName>
    <definedName name="platformmat">#REF!</definedName>
    <definedName name="platformshipment">#REF!</definedName>
    <definedName name="Pmoteur">'[18]Liste Récept'!$L$15:$L$31</definedName>
    <definedName name="POLES">#REF!</definedName>
    <definedName name="power">#REF!</definedName>
    <definedName name="power1">#REF!</definedName>
    <definedName name="pressdrop1">#REF!</definedName>
    <definedName name="pressdrop2">#REF!</definedName>
    <definedName name="pressure">#REF!</definedName>
    <definedName name="pressuregasconnection">#REF!</definedName>
    <definedName name="pressuregauge">#REF!</definedName>
    <definedName name="pressurerating">#REF!</definedName>
    <definedName name="pressureretainingunit">#REF!</definedName>
    <definedName name="primercs">#REF!</definedName>
    <definedName name="primerss">#REF!</definedName>
    <definedName name="_xlnm.Print_Area" localSheetId="3">'Before Award'!$A$1:$AK$247</definedName>
    <definedName name="_xlnm.Print_Area" localSheetId="6">'China Holidays'!$A$1:$B$82</definedName>
    <definedName name="_xlnm.Print_Area" localSheetId="0">'PSR Overall Cycle'!$A$3:$AU$321</definedName>
    <definedName name="_xlnm.Print_Area" localSheetId="5">'Thai Holidays'!$A$1:$F$63</definedName>
    <definedName name="_xlnm.Print_Titles" localSheetId="0">'PSR Overall Cycle'!$16:$16</definedName>
    <definedName name="Print_Titles_MI">[14]SV!$A$2:$IV$7</definedName>
    <definedName name="procurement" localSheetId="6" hidden="1">{"Total Indirect Manpower",#N/A,FALSE,"J";"Total Direct Manpower",#N/A,FALSE,"J";"Direct Structural Manpower",#N/A,FALSE,"J";"Direct Mechanical Manpower",#N/A,FALSE,"J";"Direct Piping Manpower",#N/A,FALSE,"J";"Direct Tanks Manpower",#N/A,FALSE,"J";"Direct ElecInstrSS Manpower",#N/A,FALSE,"J"}</definedName>
    <definedName name="procurement" hidden="1">{"Total Indirect Manpower",#N/A,FALSE,"J";"Total Direct Manpower",#N/A,FALSE,"J";"Direct Structural Manpower",#N/A,FALSE,"J";"Direct Mechanical Manpower",#N/A,FALSE,"J";"Direct Piping Manpower",#N/A,FALSE,"J";"Direct Tanks Manpower",#N/A,FALSE,"J";"Direct ElecInstrSS Manpower",#N/A,FALSE,"J"}</definedName>
    <definedName name="project">#REF!</definedName>
    <definedName name="PROTCLASS">#REF!</definedName>
    <definedName name="qq" hidden="1">'[11]PROCPLAN-TOTAL'!#REF!</definedName>
    <definedName name="qrq"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qrq"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qualitylevel1">#REF!</definedName>
    <definedName name="qualitylevel2">#REF!</definedName>
    <definedName name="qw" localSheetId="6" hidden="1">{"'장비'!$A$3:$M$12"}</definedName>
    <definedName name="qw" hidden="1">{"'장비'!$A$3:$M$12"}</definedName>
    <definedName name="RA">'[27]Pipe Calc'!$A$11:$BI$46</definedName>
    <definedName name="railing">#REF!</definedName>
    <definedName name="railingheight">#REF!</definedName>
    <definedName name="rainskirt">#REF!</definedName>
    <definedName name="range2">'[28]CAB.XLS'!#REF!</definedName>
    <definedName name="RATING">#REF!</definedName>
    <definedName name="RB_30">"ピクチャ 29"</definedName>
    <definedName name="RB_45">"ピクチャ 31"</definedName>
    <definedName name="RB_60">"ピクチャ 32"</definedName>
    <definedName name="RB_90">"ピクチャ 30"</definedName>
    <definedName name="RB_B">"楕円 26"</definedName>
    <definedName name="RB_C">"楕円 28"</definedName>
    <definedName name="RB_NO">"楕円 14"</definedName>
    <definedName name="RB_R">"楕円 24"</definedName>
    <definedName name="RB_YES">"楕円 16"</definedName>
    <definedName name="readyforshipmentemail">#REF!</definedName>
    <definedName name="readyforshipmentfax">#REF!</definedName>
    <definedName name="Rec_30">"四角形 38"</definedName>
    <definedName name="Rec_45">"四角形 41"</definedName>
    <definedName name="Rec_60">"四角形 39"</definedName>
    <definedName name="Rec_90">"四角形 40"</definedName>
    <definedName name="REC_NO">#N/A</definedName>
    <definedName name="recipient">#REF!</definedName>
    <definedName name="regulation">[15]Unit!$F$4:$F$13</definedName>
    <definedName name="REMARKS">#REF!</definedName>
    <definedName name="RESTART">#REF!</definedName>
    <definedName name="retainerdesign">#REF!</definedName>
    <definedName name="REV">#REF!</definedName>
    <definedName name="révision">[16]Parameters!$AL$7</definedName>
    <definedName name="revolution">#REF!</definedName>
    <definedName name="risk_phrase">[15]Unit!$G$4:$G$22</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TRUE</definedName>
    <definedName name="RiskUseDifferentSeedForEachSim" hidden="1">FALSE</definedName>
    <definedName name="RiskUseFixedSeed" hidden="1">FALSE</definedName>
    <definedName name="RiskUseMultipleCPUs" hidden="1">TRUE</definedName>
    <definedName name="RO">#REF!</definedName>
    <definedName name="roofslope">#REF!</definedName>
    <definedName name="roofsupportingdesign">#REF!</definedName>
    <definedName name="roofsupportingposition">#REF!</definedName>
    <definedName name="rooftype">#REF!</definedName>
    <definedName name="roofwelding">#REF!</definedName>
    <definedName name="rotation">#REF!</definedName>
    <definedName name="rotorshape">#REF!</definedName>
    <definedName name="rotortype">#REF!</definedName>
    <definedName name="roughness">#REF!</definedName>
    <definedName name="roughtype">#REF!</definedName>
    <definedName name="rr" localSheetId="6" hidden="1">{#N/A,#N/A,FALSE,"COVER";#N/A,#N/A,FALSE,"CONTENTS";#N/A,#N/A,FALSE,"CALC SHEET FOR MMA AND PET DOL";#N/A,#N/A,FALSE,"LOAD LIST FOR MMA AND PET DOL"}</definedName>
    <definedName name="rr" hidden="1">{#N/A,#N/A,FALSE,"COVER";#N/A,#N/A,FALSE,"CONTENTS";#N/A,#N/A,FALSE,"CALC SHEET FOR MMA AND PET DOL";#N/A,#N/A,FALSE,"LOAD LIST FOR MMA AND PET DOL"}</definedName>
    <definedName name="rrr" localSheetId="6" hidden="1">{#N/A,#N/A,FALSE,"COVER";#N/A,#N/A,FALSE,"CONTENTS";#N/A,#N/A,FALSE,"CALC SHEET FOR MMA AND PET DOL";#N/A,#N/A,FALSE,"LOAD LIST FOR MMA AND PET DOL"}</definedName>
    <definedName name="rrr" hidden="1">{#N/A,#N/A,FALSE,"COVER";#N/A,#N/A,FALSE,"CONTENTS";#N/A,#N/A,FALSE,"CALC SHEET FOR MMA AND PET DOL";#N/A,#N/A,FALSE,"LOAD LIST FOR MMA AND PET DOL"}</definedName>
    <definedName name="rt" localSheetId="6" hidden="1">{#N/A,#N/A,TRUE,"COVER";#N/A,#N/A,TRUE,"CONTENTS";#N/A,#N/A,TRUE,"CALC SHEET FOR MMA AND PET";#N/A,#N/A,TRUE,"LOAD LIST FOR MMA AND PET"}</definedName>
    <definedName name="rt" hidden="1">{#N/A,#N/A,TRUE,"COVER";#N/A,#N/A,TRUE,"CONTENTS";#N/A,#N/A,TRUE,"CALC SHEET FOR MMA AND PET";#N/A,#N/A,TRUE,"LOAD LIST FOR MMA AND PET"}</definedName>
    <definedName name="rtduy" hidden="1">[5]BQMPALOC!#REF!</definedName>
    <definedName name="RUA">'[27]Pipe Calc'!$AF$1:$BI$2</definedName>
    <definedName name="rustproofing">#REF!</definedName>
    <definedName name="rwr"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rwr"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saddles_enabled">'[12]P. 5'!#REF!</definedName>
    <definedName name="SAPBEXdnldView" hidden="1">"3ZMJLLIT5ZT9ACAOXDQNBDLBJ"</definedName>
    <definedName name="SAPBEXsysID" hidden="1">"PB6"</definedName>
    <definedName name="SD">#REF!</definedName>
    <definedName name="SDC">'[9]#REF'!$B$2:$B$80</definedName>
    <definedName name="sdf" hidden="1">#REF!</definedName>
    <definedName name="sdfds" hidden="1">#REF!</definedName>
    <definedName name="SEAL_PI_PL_LIST">#REF!</definedName>
    <definedName name="sealface">#REF!</definedName>
    <definedName name="sealingtapemat">#REF!</definedName>
    <definedName name="sealmat">#REF!</definedName>
    <definedName name="seamlesstubecoat">#REF!</definedName>
    <definedName name="seamlesstubecs">#REF!</definedName>
    <definedName name="seamlesstubess">#REF!</definedName>
    <definedName name="SECOURS_TOU">[16]Rotating!$J:$J</definedName>
    <definedName name="sencount" hidden="1">1</definedName>
    <definedName name="SERVICE_TOU">[16]Rotating!$I:$I</definedName>
    <definedName name="servicefactor">#REF!</definedName>
    <definedName name="shaftdesign">#REF!</definedName>
    <definedName name="shaftend">#REF!</definedName>
    <definedName name="shaftring">#REF!</definedName>
    <definedName name="shaftseal">#REF!</definedName>
    <definedName name="shaftsealing">#REF!</definedName>
    <definedName name="shaftsealscope">#REF!</definedName>
    <definedName name="ship">"H907"</definedName>
    <definedName name="Shipping" localSheetId="6"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ppingaddress">#REF!</definedName>
    <definedName name="sightglass">#REF!</definedName>
    <definedName name="slett" hidden="1">'[3]Consumer List and Load B'!#REF!</definedName>
    <definedName name="soilground">#REF!</definedName>
    <definedName name="solidproperty">#REF!</definedName>
    <definedName name="solubility">#REF!</definedName>
    <definedName name="soundpower">#REF!</definedName>
    <definedName name="springmat">#REF!</definedName>
    <definedName name="SSS" localSheetId="6" hidden="1">{#N/A,#N/A,FALSE,"Vessel1 1";#N/A,#N/A,FALSE,"Vessel1 2";#N/A,#N/A,FALSE,"Vessel1 3";#N/A,#N/A,FALSE,"Vessel1 4";#N/A,#N/A,FALSE,"Vessel1 5";#N/A,#N/A,FALSE,"Vessel1 6";#N/A,#N/A,FALSE,"Vessel1 7";#N/A,#N/A,FALSE,"Vessel1 8";#N/A,#N/A,FALSE,"Vessel1 9";#N/A,#N/A,FALSE,"Vessel1 10";#N/A,#N/A,FALSE,"Vessel1 11"}</definedName>
    <definedName name="SSS" hidden="1">{#N/A,#N/A,FALSE,"Vessel1 1";#N/A,#N/A,FALSE,"Vessel1 2";#N/A,#N/A,FALSE,"Vessel1 3";#N/A,#N/A,FALSE,"Vessel1 4";#N/A,#N/A,FALSE,"Vessel1 5";#N/A,#N/A,FALSE,"Vessel1 6";#N/A,#N/A,FALSE,"Vessel1 7";#N/A,#N/A,FALSE,"Vessel1 8";#N/A,#N/A,FALSE,"Vessel1 9";#N/A,#N/A,FALSE,"Vessel1 10";#N/A,#N/A,FALSE,"Vessel1 11"}</definedName>
    <definedName name="SSSSS" hidden="1">'[29]M 11'!#REF!</definedName>
    <definedName name="sstreatment">#REF!</definedName>
    <definedName name="sstreatmenttype">#REF!</definedName>
    <definedName name="stamp">#REF!</definedName>
    <definedName name="STARTTIME">#REF!</definedName>
    <definedName name="staticheight">#REF!</definedName>
    <definedName name="STATUS">#REF!</definedName>
    <definedName name="STATUT_AUTRE">[16]Other!$L:$L</definedName>
    <definedName name="STATUT_CHO">[16]Vessels!$L:$L</definedName>
    <definedName name="STATUT_TOU">[16]Rotating!$L:$L</definedName>
    <definedName name="strain">#REF!</definedName>
    <definedName name="strength">#REF!</definedName>
    <definedName name="SUCT_FACE_LIST">#REF!</definedName>
    <definedName name="SUCT_POSIT_LIST">#REF!</definedName>
    <definedName name="supplier">#REF!</definedName>
    <definedName name="supply1">#REF!</definedName>
    <definedName name="supply2">#REF!</definedName>
    <definedName name="supportgratedesigncode">#REF!</definedName>
    <definedName name="supportgrateflatness">#REF!</definedName>
    <definedName name="supportgratemat">#REF!</definedName>
    <definedName name="surface">#REF!</definedName>
    <definedName name="surfacequality">#REF!</definedName>
    <definedName name="surfacetension">#REF!</definedName>
    <definedName name="SWBRD">#REF!</definedName>
    <definedName name="swk" hidden="1">'[30]Page 1'!#REF!</definedName>
    <definedName name="T">#REF!</definedName>
    <definedName name="tabel2">'[28]CAB.XLS'!#REF!</definedName>
    <definedName name="Table_moteur">'[31]Motor list'!$B$5:$C$44</definedName>
    <definedName name="TAGNO">#REF!</definedName>
    <definedName name="tata" localSheetId="6" hidden="1">{"AH36 MTO BOM - Landscape",#N/A,TRUE,"MTO BOM Summary Data - AH36";"EH36 MTO BOM - Landscape",#N/A,TRUE,"MTO BOM Summary Data - EH36";"MTO Plt - Landscape",#N/A,TRUE,"MTO Plt";"MTO Pipe - Portrait",#N/A,TRUE,"MTO Pipe"}</definedName>
    <definedName name="tata" hidden="1">{"AH36 MTO BOM - Landscape",#N/A,TRUE,"MTO BOM Summary Data - AH36";"EH36 MTO BOM - Landscape",#N/A,TRUE,"MTO BOM Summary Data - EH36";"MTO Plt - Landscape",#N/A,TRUE,"MTO Plt";"MTO Pipe - Portrait",#N/A,TRUE,"MTO Pipe"}</definedName>
    <definedName name="temp">#REF!</definedName>
    <definedName name="temperature">[15]Unit!$C$4:$C$9</definedName>
    <definedName name="temporaneo" localSheetId="6" hidden="1">{#N/A,#N/A,FALSE,"1 SUMM";#N/A,#N/A,FALSE,"4 FACIL"}</definedName>
    <definedName name="temporaneo" hidden="1">{#N/A,#N/A,FALSE,"1 SUMM";#N/A,#N/A,FALSE,"4 FACIL"}</definedName>
    <definedName name="TEST" localSheetId="6" hidden="1">{#N/A,#N/A,FALSE,"Ejector 1";#N/A,#N/A,FALSE,"Ejector 2"}</definedName>
    <definedName name="TEST" hidden="1">{#N/A,#N/A,FALSE,"Ejector 1";#N/A,#N/A,FALSE,"Ejector 2"}</definedName>
    <definedName name="testweld">#REF!</definedName>
    <definedName name="TG">[32]L!#REF!</definedName>
    <definedName name="thermconduct">#REF!</definedName>
    <definedName name="TITLE">[14]SV!$B$1:$O$7</definedName>
    <definedName name="toleranceplateexchanger">#REF!</definedName>
    <definedName name="tolerancespiralexchanger">#REF!</definedName>
    <definedName name="TOPBORDER">[14]SV!$B$2:$O$7</definedName>
    <definedName name="topcompletecs">#REF!</definedName>
    <definedName name="topcompletess">#REF!</definedName>
    <definedName name="transrate">#REF!</definedName>
    <definedName name="traydeflect">#REF!</definedName>
    <definedName name="trays">#REF!</definedName>
    <definedName name="traythickcs">#REF!</definedName>
    <definedName name="traythickss">#REF!</definedName>
    <definedName name="treadsurface">#REF!</definedName>
    <definedName name="tubebundle">#REF!</definedName>
    <definedName name="tubejoint">#REF!</definedName>
    <definedName name="tubejointbundle">#REF!</definedName>
    <definedName name="tubetype">#REF!</definedName>
    <definedName name="tubular_support_enabled">'[12]P. 5'!#REF!</definedName>
    <definedName name="type">#REF!</definedName>
    <definedName name="typearra">#REF!</definedName>
    <definedName name="typedraft">#REF!</definedName>
    <definedName name="u" hidden="1">'[11]PROCPLAN-TOTAL'!#REF!</definedName>
    <definedName name="UNI_AA_VERSION" hidden="1">"322.3.0"</definedName>
    <definedName name="UNI_FILT_OFFSPEC" hidden="1">2</definedName>
    <definedName name="UNI_FILT_ONSPEC" hidden="1">1</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MSTIME" hidden="1">8192</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loadingpoint">#REF!</definedName>
    <definedName name="us">#REF!</definedName>
    <definedName name="User_Language">#REF!</definedName>
    <definedName name="User_Level">#REF!</definedName>
    <definedName name="User_Region">#REF!</definedName>
    <definedName name="User_Site_AP">#REF!</definedName>
    <definedName name="User_Site_EU">#REF!</definedName>
    <definedName name="User_Site_NA">#REF!</definedName>
    <definedName name="User_Status">#REF!</definedName>
    <definedName name="user_status_de">#REF!</definedName>
    <definedName name="user_status_en">#REF!</definedName>
    <definedName name="User_TDS_Type">#REF!</definedName>
    <definedName name="User_Type">#REF!</definedName>
    <definedName name="uu" localSheetId="6" hidden="1">{#N/A,#N/A,TRUE,"COVER";#N/A,#N/A,TRUE,"CONTENTS";#N/A,#N/A,TRUE,"CALC SHEET FOR MMA AND PET";#N/A,#N/A,TRUE,"LOAD LIST FOR MMA AND PET"}</definedName>
    <definedName name="uu" hidden="1">{#N/A,#N/A,TRUE,"COVER";#N/A,#N/A,TRUE,"CONTENTS";#N/A,#N/A,TRUE,"CALC SHEET FOR MMA AND PET";#N/A,#N/A,TRUE,"LOAD LIST FOR MMA AND PET"}</definedName>
    <definedName name="vbnc" localSheetId="6" hidden="1">{#N/A,#N/A,FALSE,"cover";#N/A,#N/A,FALSE,"page_1";#N/A,#N/A,FALSE,"page_2";#N/A,#N/A,FALSE,"page_3";#N/A,#N/A,FALSE,"page_4"}</definedName>
    <definedName name="vbnc" hidden="1">{#N/A,#N/A,FALSE,"cover";#N/A,#N/A,FALSE,"page_1";#N/A,#N/A,FALSE,"page_2";#N/A,#N/A,FALSE,"page_3";#N/A,#N/A,FALSE,"page_4"}</definedName>
    <definedName name="VITAL">#REF!</definedName>
    <definedName name="VK" localSheetId="6" hidden="1">{#N/A,#N/A,FALSE,"Vessel1 1";#N/A,#N/A,FALSE,"Vessel1 2";#N/A,#N/A,FALSE,"Vessel1 3";#N/A,#N/A,FALSE,"Vessel1 4";#N/A,#N/A,FALSE,"Vessel1 5";#N/A,#N/A,FALSE,"Vessel1 6";#N/A,#N/A,FALSE,"Vessel1 7";#N/A,#N/A,FALSE,"Vessel1 8";#N/A,#N/A,FALSE,"Vessel1 9";#N/A,#N/A,FALSE,"Vessel1 10";#N/A,#N/A,FALSE,"Vessel1 11"}</definedName>
    <definedName name="VK" hidden="1">{#N/A,#N/A,FALSE,"Vessel1 1";#N/A,#N/A,FALSE,"Vessel1 2";#N/A,#N/A,FALSE,"Vessel1 3";#N/A,#N/A,FALSE,"Vessel1 4";#N/A,#N/A,FALSE,"Vessel1 5";#N/A,#N/A,FALSE,"Vessel1 6";#N/A,#N/A,FALSE,"Vessel1 7";#N/A,#N/A,FALSE,"Vessel1 8";#N/A,#N/A,FALSE,"Vessel1 9";#N/A,#N/A,FALSE,"Vessel1 10";#N/A,#N/A,FALSE,"Vessel1 11"}</definedName>
    <definedName name="vol">#REF!</definedName>
    <definedName name="volflow">#REF!</definedName>
    <definedName name="volmassflow">#REF!</definedName>
    <definedName name="VOLT">#REF!</definedName>
    <definedName name="voltagesupply">#REF!</definedName>
    <definedName name="volume">#REF!</definedName>
    <definedName name="vz"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vz"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w" hidden="1">#REF!</definedName>
    <definedName name="washer">#REF!</definedName>
    <definedName name="waterhazardclass">#REF!</definedName>
    <definedName name="weight">#REF!</definedName>
    <definedName name="weldedtubess">#REF!</definedName>
    <definedName name="weldedtubesscoat">#REF!</definedName>
    <definedName name="weldfactor">#REF!</definedName>
    <definedName name="windload">#REF!</definedName>
    <definedName name="windloadtank">#REF!</definedName>
    <definedName name="wiperelementsmat">#REF!</definedName>
    <definedName name="wpq">#REF!</definedName>
    <definedName name="wrn.A." localSheetId="6" hidden="1">{#N/A,#N/A,FALSE,"Pumps 1";#N/A,#N/A,FALSE,"Pumps 2";#N/A,#N/A,FALSE,"Pumps 3";#N/A,#N/A,FALSE,"Pumps 4";#N/A,#N/A,FALSE,"Pumps 5";#N/A,#N/A,FALSE,"Pumps 6"}</definedName>
    <definedName name="wrn.A." hidden="1">{#N/A,#N/A,FALSE,"Pumps 1";#N/A,#N/A,FALSE,"Pumps 2";#N/A,#N/A,FALSE,"Pumps 3";#N/A,#N/A,FALSE,"Pumps 4";#N/A,#N/A,FALSE,"Pumps 5";#N/A,#N/A,FALSE,"Pumps 6"}</definedName>
    <definedName name="wrn.AUTOTR." localSheetId="6" hidden="1">{#N/A,#N/A,TRUE,"COVER";#N/A,#N/A,TRUE,"CONTENTS";#N/A,#N/A,TRUE,"CALC SHEET FOR MMA AND PET";#N/A,#N/A,TRUE,"LOAD LIST FOR MMA AND PET"}</definedName>
    <definedName name="wrn.AUTOTR." hidden="1">{#N/A,#N/A,TRUE,"COVER";#N/A,#N/A,TRUE,"CONTENTS";#N/A,#N/A,TRUE,"CALC SHEET FOR MMA AND PET";#N/A,#N/A,TRUE,"LOAD LIST FOR MMA AND PET"}</definedName>
    <definedName name="wrn.BOM._.OPTI._.6000._.ALT._.2." localSheetId="6" hidden="1">{"AH36 MTO BOM - Landscape",#N/A,TRUE,"MTO BOM Summary Data - AH36";"EH36 MTO BOM - Landscape",#N/A,TRUE,"MTO BOM Summary Data - EH36";"MTO Plt - Landscape",#N/A,TRUE,"MTO Plt";"MTO Pipe - Portrait",#N/A,TRUE,"MTO Pipe"}</definedName>
    <definedName name="wrn.BOM._.OPTI._.6000._.ALT._.2." hidden="1">{"AH36 MTO BOM - Landscape",#N/A,TRUE,"MTO BOM Summary Data - AH36";"EH36 MTO BOM - Landscape",#N/A,TRUE,"MTO BOM Summary Data - EH36";"MTO Plt - Landscape",#N/A,TRUE,"MTO Plt";"MTO Pipe - Portrait",#N/A,TRUE,"MTO Pipe"}</definedName>
    <definedName name="wrn.calculation._.sheets" localSheetId="6" hidden="1">{#N/A,#N/A,FALSE,"cover";#N/A,#N/A,FALSE,"page_1";#N/A,#N/A,FALSE,"page_2";#N/A,#N/A,FALSE,"page_3";#N/A,#N/A,FALSE,"page_4"}</definedName>
    <definedName name="wrn.calculation._.sheets" hidden="1">{#N/A,#N/A,FALSE,"cover";#N/A,#N/A,FALSE,"page_1";#N/A,#N/A,FALSE,"page_2";#N/A,#N/A,FALSE,"page_3";#N/A,#N/A,FALSE,"page_4"}</definedName>
    <definedName name="wrn.Calulation._.Sheets." localSheetId="6" hidden="1">{#N/A,#N/A,FALSE,"cover";#N/A,#N/A,FALSE,"page_1";#N/A,#N/A,FALSE,"page_2";#N/A,#N/A,FALSE,"page_3";#N/A,#N/A,FALSE,"page_4"}</definedName>
    <definedName name="wrn.Calulation._.Sheets." hidden="1">{#N/A,#N/A,FALSE,"cover";#N/A,#N/A,FALSE,"page_1";#N/A,#N/A,FALSE,"page_2";#N/A,#N/A,FALSE,"page_3";#N/A,#N/A,FALSE,"page_4"}</definedName>
    <definedName name="wrn.Complete._.Cost._.Sheet." localSheetId="6"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st._.Summary." localSheetId="6" hidden="1">{"Cost Summary",#N/A,FALSE,"B";"Cost Detail 1",#N/A,FALSE,"C";"Cost Detail 2",#N/A,FALSE,"C"}</definedName>
    <definedName name="wrn.Cost._.Summary." hidden="1">{"Cost Summary",#N/A,FALSE,"B";"Cost Detail 1",#N/A,FALSE,"C";"Cost Detail 2",#N/A,FALSE,"C"}</definedName>
    <definedName name="wrn.costprint." localSheetId="6"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6"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OL." localSheetId="6" hidden="1">{#N/A,#N/A,FALSE,"COVER";#N/A,#N/A,FALSE,"CONTENTS";#N/A,#N/A,FALSE,"CALC SHEET FOR MMA AND PET DOL";#N/A,#N/A,FALSE,"LOAD LIST FOR MMA AND PET DOL"}</definedName>
    <definedName name="wrn.DOL." hidden="1">{#N/A,#N/A,FALSE,"COVER";#N/A,#N/A,FALSE,"CONTENTS";#N/A,#N/A,FALSE,"CALC SHEET FOR MMA AND PET DOL";#N/A,#N/A,FALSE,"LOAD LIST FOR MMA AND PET DOL"}</definedName>
    <definedName name="wrn.Equip._.List." localSheetId="6" hidden="1">{#N/A,#N/A,FALSE,"COVER";#N/A,#N/A,FALSE,"CPPEQUIP"}</definedName>
    <definedName name="wrn.Equip._.List." hidden="1">{#N/A,#N/A,FALSE,"COVER";#N/A,#N/A,FALSE,"CPPEQUIP"}</definedName>
    <definedName name="wrn.Equipment._.List." localSheetId="6" hidden="1">{#N/A,#N/A,FALSE,"Sheet2";#N/A,#N/A,FALSE,"Sheet1"}</definedName>
    <definedName name="wrn.Equipment._.List." hidden="1">{#N/A,#N/A,FALSE,"Sheet2";#N/A,#N/A,FALSE,"Sheet1"}</definedName>
    <definedName name="wrn.Extended._.Equipment._.List." localSheetId="6" hidden="1">{#N/A,#N/A,FALSE,"Sheet2";#N/A,#N/A,FALSE,"Sheet1 (2)";#N/A,#N/A,FALSE,"Sheet1 (3)";#N/A,#N/A,FALSE,"Sheet1 (4)";#N/A,#N/A,FALSE,"Sheet1 (5)";#N/A,#N/A,FALSE,"Sheet1 (6)";#N/A,#N/A,FALSE,"Sheet1 (7)";#N/A,#N/A,FALSE,"Sheet1 (8)";#N/A,#N/A,FALSE,"Sheet1 (9)";#N/A,#N/A,FALSE,"Sheet1 (10)"}</definedName>
    <definedName name="wrn.Extended._.Equipment._.List." hidden="1">{#N/A,#N/A,FALSE,"Sheet2";#N/A,#N/A,FALSE,"Sheet1 (2)";#N/A,#N/A,FALSE,"Sheet1 (3)";#N/A,#N/A,FALSE,"Sheet1 (4)";#N/A,#N/A,FALSE,"Sheet1 (5)";#N/A,#N/A,FALSE,"Sheet1 (6)";#N/A,#N/A,FALSE,"Sheet1 (7)";#N/A,#N/A,FALSE,"Sheet1 (8)";#N/A,#N/A,FALSE,"Sheet1 (9)";#N/A,#N/A,FALSE,"Sheet1 (10)"}</definedName>
    <definedName name="wrn.full." localSheetId="6"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Manpower._.Details." localSheetId="6"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Printing." localSheetId="6"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Requisition." localSheetId="6" hidden="1">{#N/A,#N/A,FALSE,"INT.TRANSMIT ";#N/A,#N/A,FALSE,"SCOPE";#N/A,#N/A,FALSE,"General notes";#N/A,#N/A,FALSE,"Manufacturing &amp;Inspection";#N/A,#N/A,FALSE,"Shipping";#N/A,#N/A,FALSE,"VDR-301 (3)";#N/A,#N/A,FALSE,"Instruct. Handling Vdr Docs (4)";#N/A,#N/A,FALSE,"Quality Dossier (5)";#N/A,#N/A,FALSE,"IOM (6)"}</definedName>
    <definedName name="wrn.Requisition." hidden="1">{#N/A,#N/A,FALSE,"INT.TRANSMIT ";#N/A,#N/A,FALSE,"SCOPE";#N/A,#N/A,FALSE,"General notes";#N/A,#N/A,FALSE,"Manufacturing &amp;Inspection";#N/A,#N/A,FALSE,"Shipping";#N/A,#N/A,FALSE,"VDR-301 (3)";#N/A,#N/A,FALSE,"Instruct. Handling Vdr Docs (4)";#N/A,#N/A,FALSE,"Quality Dossier (5)";#N/A,#N/A,FALSE,"IOM (6)"}</definedName>
    <definedName name="wrn.Sensitivity._.Pack._.Add._.Equity." localSheetId="6" hidden="1">{"Sens: Input",#N/A,FALSE,"Input parameters";"Sens: Cash Con",#N/A,FALSE,"Input parameters";"Sens: P&amp;L Con",#N/A,FALSE,"Input parameters"}</definedName>
    <definedName name="wrn.Sensitivity._.Pack._.Add._.Equity." hidden="1">{"Sens: Input",#N/A,FALSE,"Input parameters";"Sens: Cash Con",#N/A,FALSE,"Input parameters";"Sens: P&amp;L Con",#N/A,FALSE,"Input parameters"}</definedName>
    <definedName name="wrn.Sensitivity._.Pack._.All." localSheetId="6" hidden="1">{"Sens: Input",#N/A,FALSE,"Input parameters";"Sens: P&amp;L Con",#N/A,FALSE,"Input parameters";"Sens: Cash Con",#N/A,FALSE,"Input parameters";"Sens: P&amp;L Harry",#N/A,FALSE,"Input parameters";"Sens: P&amp;L ROC",#N/A,FALSE,"Input parameters";"Sens: Cash Harry",#N/A,FALSE,"Input parameters";"Sens: Cash ROC",#N/A,FALSE,"Input parameters";"Sens: Swap",#N/A,FALSE,"Input parameters";"Sens: Prod",#N/A,FALSE,"Input parameters";"Sens: Sales",#N/A,FALSE,"Input parameters";"Sens: Opex",#N/A,FALSE,"Input parameters";"Sens: Fcapex",#N/A,FALSE,"Input parameters";"Sens: Amort",#N/A,FALSE,"Amort";"Sens: Aband",#N/A,FALSE,"Aband"}</definedName>
    <definedName name="wrn.Sensitivity._.Pack._.All." hidden="1">{"Sens: Input",#N/A,FALSE,"Input parameters";"Sens: P&amp;L Con",#N/A,FALSE,"Input parameters";"Sens: Cash Con",#N/A,FALSE,"Input parameters";"Sens: P&amp;L Harry",#N/A,FALSE,"Input parameters";"Sens: P&amp;L ROC",#N/A,FALSE,"Input parameters";"Sens: Cash Harry",#N/A,FALSE,"Input parameters";"Sens: Cash ROC",#N/A,FALSE,"Input parameters";"Sens: Swap",#N/A,FALSE,"Input parameters";"Sens: Prod",#N/A,FALSE,"Input parameters";"Sens: Sales",#N/A,FALSE,"Input parameters";"Sens: Opex",#N/A,FALSE,"Input parameters";"Sens: Fcapex",#N/A,FALSE,"Input parameters";"Sens: Amort",#N/A,FALSE,"Amort";"Sens: Aband",#N/A,FALSE,"Aband"}</definedName>
    <definedName name="wrn.Sensitivity._.Pack._.FX._.Rate." localSheetId="6" hidden="1">{"Sens: Input",#N/A,FALSE,"Input parameters";"Sens: P&amp;L Con",#N/A,FALSE,"Input parameters";"Sens: Cash Con",#N/A,FALSE,"Input parameters";"Sens: Cash Harry",#N/A,FALSE,"Input parameters";"Sens: Cash ROC",#N/A,FALSE,"Input parameters";"Sens: Sales",#N/A,FALSE,"Input parameters";"Sens: Swap",#N/A,FALSE,"Input parameters";"Sens: Opex",#N/A,FALSE,"Input parameters";"Sens: Fcapex",#N/A,FALSE,"Input parameters";"Sens: Amort",#N/A,FALSE,"Input parameters";"Sens: Aband",#N/A,FALSE,"Input parameters"}</definedName>
    <definedName name="wrn.Sensitivity._.Pack._.FX._.Rate." hidden="1">{"Sens: Input",#N/A,FALSE,"Input parameters";"Sens: P&amp;L Con",#N/A,FALSE,"Input parameters";"Sens: Cash Con",#N/A,FALSE,"Input parameters";"Sens: Cash Harry",#N/A,FALSE,"Input parameters";"Sens: Cash ROC",#N/A,FALSE,"Input parameters";"Sens: Sales",#N/A,FALSE,"Input parameters";"Sens: Swap",#N/A,FALSE,"Input parameters";"Sens: Opex",#N/A,FALSE,"Input parameters";"Sens: Fcapex",#N/A,FALSE,"Input parameters";"Sens: Amort",#N/A,FALSE,"Input parameters";"Sens: Aband",#N/A,FALSE,"Input parameters"}</definedName>
    <definedName name="wrn.Sensitivity._.Pack._.Interest._.Rate." localSheetId="6" hidden="1">{"Sens: Input",#N/A,FALSE,"Input parameters";"Sens: P&amp;L Con",#N/A,FALSE,"Input parameters";"Sens: Cash Con",#N/A,FALSE,"Input parameters";"Sens: Cash Harry",#N/A,FALSE,"Input parameters"}</definedName>
    <definedName name="wrn.Sensitivity._.Pack._.Interest._.Rate." hidden="1">{"Sens: Input",#N/A,FALSE,"Input parameters";"Sens: P&amp;L Con",#N/A,FALSE,"Input parameters";"Sens: Cash Con",#N/A,FALSE,"Input parameters";"Sens: Cash Harry",#N/A,FALSE,"Input parameters"}</definedName>
    <definedName name="wrn.Sensitivity._.Pack._.Oil._.Price." localSheetId="6" hidden="1">{"Sens: Input",#N/A,FALSE,"Input parameters";"Sens: P&amp;L Con",#N/A,FALSE,"Input parameters";"Sens: Cash Con",#N/A,FALSE,"Input parameters";"Sens: Sales",#N/A,FALSE,"Input parameters";"Sens: Swap",#N/A,FALSE,"Input parameters"}</definedName>
    <definedName name="wrn.Sensitivity._.Pack._.Oil._.Price." hidden="1">{"Sens: Input",#N/A,FALSE,"Input parameters";"Sens: P&amp;L Con",#N/A,FALSE,"Input parameters";"Sens: Cash Con",#N/A,FALSE,"Input parameters";"Sens: Sales",#N/A,FALSE,"Input parameters";"Sens: Swap",#N/A,FALSE,"Input parameters"}</definedName>
    <definedName name="wrn.Sensitivity._.Pack._.Opex." localSheetId="6" hidden="1">{"Sens: Input",#N/A,FALSE,"Input parameters";"Sens: P&amp;L Con",#N/A,FALSE,"Input parameters";"Sens: Cash Con",#N/A,FALSE,"Input parameters";"Sens: Opex",#N/A,FALSE,"Input parameters"}</definedName>
    <definedName name="wrn.Sensitivity._.Pack._.Opex." hidden="1">{"Sens: Input",#N/A,FALSE,"Input parameters";"Sens: P&amp;L Con",#N/A,FALSE,"Input parameters";"Sens: Cash Con",#N/A,FALSE,"Input parameters";"Sens: Opex",#N/A,FALSE,"Input parameters"}</definedName>
    <definedName name="wrn.Sensitivity._.Pack._.Prod._.Delay." localSheetId="6" hidden="1">{"Sens: Input",#N/A,FALSE,"Input parameters";"Sens: P&amp;L Con",#N/A,FALSE,"Input parameters";"Sens: Cash Con",#N/A,FALSE,"Input parameters";"Sens: Prod",#N/A,FALSE,"Input parameters";"Sens: Opex",#N/A,FALSE,"Input parameters";"Sens: Sales",#N/A,FALSE,"Input parameters"}</definedName>
    <definedName name="wrn.Sensitivity._.Pack._.Prod._.Delay." hidden="1">{"Sens: Input",#N/A,FALSE,"Input parameters";"Sens: P&amp;L Con",#N/A,FALSE,"Input parameters";"Sens: Cash Con",#N/A,FALSE,"Input parameters";"Sens: Prod",#N/A,FALSE,"Input parameters";"Sens: Opex",#N/A,FALSE,"Input parameters";"Sens: Sales",#N/A,FALSE,"Input parameters"}</definedName>
    <definedName name="wrn.Sensitivity._.Pack._.Production." localSheetId="6" hidden="1">{"Sens: Input",#N/A,FALSE,"Input parameters";"Sens: P&amp;L Con",#N/A,FALSE,"Input parameters";"Sens: Cash Con",#N/A,FALSE,"Input parameters";"Sens: Prod",#N/A,FALSE,"Input parameters"}</definedName>
    <definedName name="wrn.Sensitivity._.Pack._.Production." hidden="1">{"Sens: Input",#N/A,FALSE,"Input parameters";"Sens: P&amp;L Con",#N/A,FALSE,"Input parameters";"Sens: Cash Con",#N/A,FALSE,"Input parameters";"Sens: Prod",#N/A,FALSE,"Input parameters"}</definedName>
    <definedName name="wrn.Sensitivity._.Pack._.Saltfltby._.Reserves." localSheetId="6" hidden="1">{"Sens: Input",#N/A,FALSE,"Input parameters";"Sens: P&amp;L Con",#N/A,FALSE,"Input parameters";"Sens: Cash Con",#N/A,FALSE,"Input parameters";"Sens: Reserves",#N/A,FALSE,"Input parameters";"Sens: Prod",#N/A,FALSE,"Input parameters";"Sens: Opex",#N/A,FALSE,"Input parameters";"Sens: Fcapex",#N/A,FALSE,"FCapex";"Sens: Amort",#N/A,FALSE,"Input parameters";"Sens: Aband",#N/A,FALSE,"Input parameters"}</definedName>
    <definedName name="wrn.Sensitivity._.Pack._.Saltfltby._.Reserves." hidden="1">{"Sens: Input",#N/A,FALSE,"Input parameters";"Sens: P&amp;L Con",#N/A,FALSE,"Input parameters";"Sens: Cash Con",#N/A,FALSE,"Input parameters";"Sens: Reserves",#N/A,FALSE,"Input parameters";"Sens: Prod",#N/A,FALSE,"Input parameters";"Sens: Opex",#N/A,FALSE,"Input parameters";"Sens: Fcapex",#N/A,FALSE,"FCapex";"Sens: Amort",#N/A,FALSE,"Input parameters";"Sens: Aband",#N/A,FALSE,"Input parameters"}</definedName>
    <definedName name="wrn.sintesi." localSheetId="6" hidden="1">{#N/A,#N/A,FALSE,"1 SUMM";#N/A,#N/A,FALSE,"4 FACIL"}</definedName>
    <definedName name="wrn.sintesi." hidden="1">{#N/A,#N/A,FALSE,"1 SUMM";#N/A,#N/A,FALSE,"4 FACIL"}</definedName>
    <definedName name="wrn.TO._.HITACHI." localSheetId="6" hidden="1">{#N/A,#N/A,FALSE,"B-Rated fire doors"}</definedName>
    <definedName name="wrn.TO._.HITACHI." hidden="1">{#N/A,#N/A,FALSE,"B-Rated fire doors"}</definedName>
    <definedName name="x" localSheetId="6" hidden="1">{"Sens: Input",#N/A,FALSE,"Input parameters";"Sens: P&amp;L Con",#N/A,FALSE,"Input parameters";"Sens: Cash Con",#N/A,FALSE,"Input parameters";"Sens: Cash Harry",#N/A,FALSE,"Input parameters"}</definedName>
    <definedName name="x" hidden="1">{"Sens: Input",#N/A,FALSE,"Input parameters";"Sens: P&amp;L Con",#N/A,FALSE,"Input parameters";"Sens: Cash Con",#N/A,FALSE,"Input parameters";"Sens: Cash Harry",#N/A,FALSE,"Input parameters"}</definedName>
    <definedName name="xray">#REF!</definedName>
    <definedName name="xv" localSheetId="6" hidden="1">{#N/A,#N/A,FALSE,"cover";#N/A,#N/A,FALSE,"page_1";#N/A,#N/A,FALSE,"page_2";#N/A,#N/A,FALSE,"page_3";#N/A,#N/A,FALSE,"page_4"}</definedName>
    <definedName name="xv" hidden="1">{#N/A,#N/A,FALSE,"cover";#N/A,#N/A,FALSE,"page_1";#N/A,#N/A,FALSE,"page_2";#N/A,#N/A,FALSE,"page_3";#N/A,#N/A,FALSE,"page_4"}</definedName>
    <definedName name="xx" localSheetId="6" hidden="1">{#N/A,#N/A,FALSE,"Vessel1 1";#N/A,#N/A,FALSE,"Vessel1 2";#N/A,#N/A,FALSE,"Vessel1 3";#N/A,#N/A,FALSE,"Vessel1 4";#N/A,#N/A,FALSE,"Vessel1 5";#N/A,#N/A,FALSE,"Vessel1 6";#N/A,#N/A,FALSE,"Vessel1 7";#N/A,#N/A,FALSE,"Vessel1 8";#N/A,#N/A,FALSE,"Vessel1 9";#N/A,#N/A,FALSE,"Vessel1 10";#N/A,#N/A,FALSE,"Vessel1 11"}</definedName>
    <definedName name="xx" hidden="1">{#N/A,#N/A,FALSE,"Vessel1 1";#N/A,#N/A,FALSE,"Vessel1 2";#N/A,#N/A,FALSE,"Vessel1 3";#N/A,#N/A,FALSE,"Vessel1 4";#N/A,#N/A,FALSE,"Vessel1 5";#N/A,#N/A,FALSE,"Vessel1 6";#N/A,#N/A,FALSE,"Vessel1 7";#N/A,#N/A,FALSE,"Vessel1 8";#N/A,#N/A,FALSE,"Vessel1 9";#N/A,#N/A,FALSE,"Vessel1 10";#N/A,#N/A,FALSE,"Vessel1 11"}</definedName>
    <definedName name="xxx" localSheetId="6" hidden="1">{#N/A,#N/A,FALSE,"Vessel1 1";#N/A,#N/A,FALSE,"Vessel1 2";#N/A,#N/A,FALSE,"Vessel1 3";#N/A,#N/A,FALSE,"Vessel1 4";#N/A,#N/A,FALSE,"Vessel1 5";#N/A,#N/A,FALSE,"Vessel1 6";#N/A,#N/A,FALSE,"Vessel1 7";#N/A,#N/A,FALSE,"Vessel1 8";#N/A,#N/A,FALSE,"Vessel1 9";#N/A,#N/A,FALSE,"Vessel1 10";#N/A,#N/A,FALSE,"Vessel1 11"}</definedName>
    <definedName name="xxx" hidden="1">{#N/A,#N/A,FALSE,"Vessel1 1";#N/A,#N/A,FALSE,"Vessel1 2";#N/A,#N/A,FALSE,"Vessel1 3";#N/A,#N/A,FALSE,"Vessel1 4";#N/A,#N/A,FALSE,"Vessel1 5";#N/A,#N/A,FALSE,"Vessel1 6";#N/A,#N/A,FALSE,"Vessel1 7";#N/A,#N/A,FALSE,"Vessel1 8";#N/A,#N/A,FALSE,"Vessel1 9";#N/A,#N/A,FALSE,"Vessel1 10";#N/A,#N/A,FALSE,"Vessel1 11"}</definedName>
    <definedName name="xza"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xza"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yellowchromate">#REF!</definedName>
    <definedName name="zone">#REF!</definedName>
    <definedName name="zz" hidden="1">'[11]PROCPLAN-TOTAL'!#REF!</definedName>
    <definedName name="zzz" hidden="1">'[33]M 11'!#REF!</definedName>
    <definedName name="zzzz" localSheetId="6" hidden="1">{#N/A,#N/A,FALSE,"cover";#N/A,#N/A,FALSE,"page_1";#N/A,#N/A,FALSE,"page_2";#N/A,#N/A,FALSE,"page_3";#N/A,#N/A,FALSE,"page_4"}</definedName>
    <definedName name="zzzz" hidden="1">{#N/A,#N/A,FALSE,"cover";#N/A,#N/A,FALSE,"page_1";#N/A,#N/A,FALSE,"page_2";#N/A,#N/A,FALSE,"page_3";#N/A,#N/A,FALSE,"page_4"}</definedName>
    <definedName name="zzzzz" localSheetId="6" hidden="1">{#N/A,#N/A,FALSE,"cover";#N/A,#N/A,FALSE,"page_1";#N/A,#N/A,FALSE,"page_2";#N/A,#N/A,FALSE,"page_3";#N/A,#N/A,FALSE,"page_4"}</definedName>
    <definedName name="zzzzz" hidden="1">{#N/A,#N/A,FALSE,"cover";#N/A,#N/A,FALSE,"page_1";#N/A,#N/A,FALSE,"page_2";#N/A,#N/A,FALSE,"page_3";#N/A,#N/A,FALSE,"page_4"}</definedName>
    <definedName name="zzzzzz" localSheetId="6" hidden="1">{#N/A,#N/A,FALSE,"cover";#N/A,#N/A,FALSE,"page_1";#N/A,#N/A,FALSE,"page_2";#N/A,#N/A,FALSE,"page_3";#N/A,#N/A,FALSE,"page_4"}</definedName>
    <definedName name="zzzzzz" hidden="1">{#N/A,#N/A,FALSE,"cover";#N/A,#N/A,FALSE,"page_1";#N/A,#N/A,FALSE,"page_2";#N/A,#N/A,FALSE,"page_3";#N/A,#N/A,FALSE,"page_4"}</definedName>
    <definedName name="견적갑지무" localSheetId="6" hidden="1">{"'장비'!$A$3:$M$12"}</definedName>
    <definedName name="견적갑지무" hidden="1">{"'장비'!$A$3:$M$12"}</definedName>
    <definedName name="견적조건" hidden="1">[34]산근!#REF!</definedName>
    <definedName name="부대공사"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170" i="3" l="1"/>
  <c r="U302" i="3"/>
  <c r="V302" i="3" s="1"/>
  <c r="X302" i="3" s="1"/>
  <c r="U227" i="3"/>
  <c r="U209" i="3"/>
  <c r="U221" i="3"/>
  <c r="U218" i="3"/>
  <c r="U212" i="3"/>
  <c r="V212" i="3" s="1"/>
  <c r="X212" i="3" s="1"/>
  <c r="U206" i="3"/>
  <c r="V206" i="3" s="1"/>
  <c r="X206" i="3" s="1"/>
  <c r="U215" i="3"/>
  <c r="V215" i="3" s="1"/>
  <c r="X215" i="3" s="1"/>
  <c r="U224" i="3"/>
  <c r="V224" i="3" s="1"/>
  <c r="X224" i="3" s="1"/>
  <c r="V218" i="3"/>
  <c r="X218" i="3" s="1"/>
  <c r="AA32" i="3"/>
  <c r="AB32" i="3" s="1"/>
  <c r="AC32" i="3" s="1"/>
  <c r="AD32" i="3" s="1"/>
  <c r="AE32" i="3" s="1"/>
  <c r="AV300" i="2"/>
  <c r="AU300" i="2"/>
  <c r="AT300" i="2"/>
  <c r="AS300" i="2"/>
  <c r="AR300" i="2"/>
  <c r="AQ300" i="2"/>
  <c r="AP300" i="2"/>
  <c r="AO300" i="2"/>
  <c r="AN300" i="2"/>
  <c r="AM300" i="2"/>
  <c r="I300" i="2"/>
  <c r="F300" i="2"/>
  <c r="E300" i="2"/>
  <c r="AV299" i="2"/>
  <c r="AU299" i="2"/>
  <c r="AT299" i="2"/>
  <c r="AS299" i="2"/>
  <c r="AR299" i="2"/>
  <c r="AQ299" i="2"/>
  <c r="AP299" i="2"/>
  <c r="AO299" i="2"/>
  <c r="AN299" i="2"/>
  <c r="AM299" i="2"/>
  <c r="AB299" i="2"/>
  <c r="AA299" i="2"/>
  <c r="Z299" i="2"/>
  <c r="Y299" i="2"/>
  <c r="X299" i="2"/>
  <c r="W299" i="2"/>
  <c r="V299" i="2"/>
  <c r="U299" i="2"/>
  <c r="T299" i="2"/>
  <c r="S299" i="2"/>
  <c r="L299" i="2"/>
  <c r="I299" i="2"/>
  <c r="F299" i="2"/>
  <c r="E299" i="2"/>
  <c r="AV298" i="2"/>
  <c r="AU298" i="2"/>
  <c r="AT298" i="2"/>
  <c r="AS298" i="2"/>
  <c r="AR298" i="2"/>
  <c r="AQ298" i="2"/>
  <c r="AP298" i="2"/>
  <c r="AO298" i="2"/>
  <c r="AN298" i="2"/>
  <c r="AM298" i="2"/>
  <c r="AJ298" i="2"/>
  <c r="AF298" i="2"/>
  <c r="AB298" i="2"/>
  <c r="AA298" i="2"/>
  <c r="Z298" i="2"/>
  <c r="Y298" i="2"/>
  <c r="X298" i="2"/>
  <c r="W298" i="2"/>
  <c r="V298" i="2"/>
  <c r="U298" i="2"/>
  <c r="T298" i="2"/>
  <c r="S298" i="2"/>
  <c r="K298" i="2"/>
  <c r="A298" i="2"/>
  <c r="AV297" i="2"/>
  <c r="AU297" i="2"/>
  <c r="AT297" i="2"/>
  <c r="AS297" i="2"/>
  <c r="AR297" i="2"/>
  <c r="AQ297" i="2"/>
  <c r="AP297" i="2"/>
  <c r="AO297" i="2"/>
  <c r="AN297" i="2"/>
  <c r="AM297" i="2"/>
  <c r="I297" i="2"/>
  <c r="H297" i="2"/>
  <c r="F297" i="2"/>
  <c r="E297" i="2"/>
  <c r="D297" i="2"/>
  <c r="AV296" i="2"/>
  <c r="AU296" i="2"/>
  <c r="AT296" i="2"/>
  <c r="AS296" i="2"/>
  <c r="AR296" i="2"/>
  <c r="AQ296" i="2"/>
  <c r="AP296" i="2"/>
  <c r="AO296" i="2"/>
  <c r="AN296" i="2"/>
  <c r="AM296" i="2"/>
  <c r="AB296" i="2"/>
  <c r="AA296" i="2"/>
  <c r="Z296" i="2"/>
  <c r="Y296" i="2"/>
  <c r="X296" i="2"/>
  <c r="W296" i="2"/>
  <c r="V296" i="2"/>
  <c r="U296" i="2"/>
  <c r="T296" i="2"/>
  <c r="S296" i="2"/>
  <c r="L296" i="2"/>
  <c r="I296" i="2"/>
  <c r="H296" i="2"/>
  <c r="F296" i="2"/>
  <c r="E296" i="2"/>
  <c r="D296" i="2"/>
  <c r="AV295" i="2"/>
  <c r="AU295" i="2"/>
  <c r="AT295" i="2"/>
  <c r="AS295" i="2"/>
  <c r="AR295" i="2"/>
  <c r="AQ295" i="2"/>
  <c r="AP295" i="2"/>
  <c r="AO295" i="2"/>
  <c r="AN295" i="2"/>
  <c r="AM295" i="2"/>
  <c r="AJ295" i="2"/>
  <c r="AF295" i="2"/>
  <c r="AB295" i="2"/>
  <c r="AA295" i="2"/>
  <c r="Z295" i="2"/>
  <c r="Y295" i="2"/>
  <c r="X295" i="2"/>
  <c r="W295" i="2"/>
  <c r="V295" i="2"/>
  <c r="U295" i="2"/>
  <c r="T295" i="2"/>
  <c r="S295" i="2"/>
  <c r="K295" i="2"/>
  <c r="A295" i="2"/>
  <c r="AV294" i="2"/>
  <c r="AU294" i="2"/>
  <c r="AT294" i="2"/>
  <c r="AS294" i="2"/>
  <c r="AR294" i="2"/>
  <c r="AQ294" i="2"/>
  <c r="AP294" i="2"/>
  <c r="AO294" i="2"/>
  <c r="AN294" i="2"/>
  <c r="AM294" i="2"/>
  <c r="I294" i="2"/>
  <c r="H294" i="2"/>
  <c r="F294" i="2"/>
  <c r="E294" i="2"/>
  <c r="D294" i="2"/>
  <c r="AV293" i="2"/>
  <c r="AU293" i="2"/>
  <c r="AT293" i="2"/>
  <c r="AS293" i="2"/>
  <c r="AR293" i="2"/>
  <c r="AQ293" i="2"/>
  <c r="AP293" i="2"/>
  <c r="AO293" i="2"/>
  <c r="AN293" i="2"/>
  <c r="AM293" i="2"/>
  <c r="AB293" i="2"/>
  <c r="AA293" i="2"/>
  <c r="Z293" i="2"/>
  <c r="Y293" i="2"/>
  <c r="X293" i="2"/>
  <c r="W293" i="2"/>
  <c r="V293" i="2"/>
  <c r="U293" i="2"/>
  <c r="T293" i="2"/>
  <c r="S293" i="2"/>
  <c r="L293" i="2"/>
  <c r="I293" i="2"/>
  <c r="H293" i="2"/>
  <c r="F293" i="2"/>
  <c r="E293" i="2"/>
  <c r="D293" i="2"/>
  <c r="AV292" i="2"/>
  <c r="AU292" i="2"/>
  <c r="AT292" i="2"/>
  <c r="AS292" i="2"/>
  <c r="AR292" i="2"/>
  <c r="AQ292" i="2"/>
  <c r="AP292" i="2"/>
  <c r="AO292" i="2"/>
  <c r="AN292" i="2"/>
  <c r="AM292" i="2"/>
  <c r="AJ292" i="2"/>
  <c r="AF292" i="2"/>
  <c r="AB292" i="2"/>
  <c r="AA292" i="2"/>
  <c r="Z292" i="2"/>
  <c r="Y292" i="2"/>
  <c r="X292" i="2"/>
  <c r="W292" i="2"/>
  <c r="V292" i="2"/>
  <c r="U292" i="2"/>
  <c r="T292" i="2"/>
  <c r="S292" i="2"/>
  <c r="K292" i="2"/>
  <c r="A292" i="2"/>
  <c r="AV291" i="2"/>
  <c r="AU291" i="2"/>
  <c r="AT291" i="2"/>
  <c r="AS291" i="2"/>
  <c r="AR291" i="2"/>
  <c r="AQ291" i="2"/>
  <c r="AP291" i="2"/>
  <c r="AO291" i="2"/>
  <c r="AN291" i="2"/>
  <c r="AM291" i="2"/>
  <c r="I291" i="2"/>
  <c r="H291" i="2"/>
  <c r="F291" i="2"/>
  <c r="E291" i="2"/>
  <c r="D291" i="2"/>
  <c r="AV290" i="2"/>
  <c r="AU290" i="2"/>
  <c r="AT290" i="2"/>
  <c r="AS290" i="2"/>
  <c r="AR290" i="2"/>
  <c r="AQ290" i="2"/>
  <c r="AP290" i="2"/>
  <c r="AO290" i="2"/>
  <c r="AN290" i="2"/>
  <c r="AM290" i="2"/>
  <c r="AB290" i="2"/>
  <c r="AA290" i="2"/>
  <c r="Z290" i="2"/>
  <c r="Y290" i="2"/>
  <c r="X290" i="2"/>
  <c r="W290" i="2"/>
  <c r="V290" i="2"/>
  <c r="U290" i="2"/>
  <c r="T290" i="2"/>
  <c r="S290" i="2"/>
  <c r="L290" i="2"/>
  <c r="I290" i="2"/>
  <c r="H290" i="2"/>
  <c r="F290" i="2"/>
  <c r="E290" i="2"/>
  <c r="D290" i="2"/>
  <c r="AV289" i="2"/>
  <c r="AU289" i="2"/>
  <c r="AT289" i="2"/>
  <c r="AS289" i="2"/>
  <c r="AR289" i="2"/>
  <c r="AQ289" i="2"/>
  <c r="AP289" i="2"/>
  <c r="AO289" i="2"/>
  <c r="AN289" i="2"/>
  <c r="AM289" i="2"/>
  <c r="AJ289" i="2"/>
  <c r="AF289" i="2"/>
  <c r="AB289" i="2"/>
  <c r="AA289" i="2"/>
  <c r="Z289" i="2"/>
  <c r="Y289" i="2"/>
  <c r="X289" i="2"/>
  <c r="W289" i="2"/>
  <c r="V289" i="2"/>
  <c r="U289" i="2"/>
  <c r="T289" i="2"/>
  <c r="S289" i="2"/>
  <c r="K289" i="2"/>
  <c r="A289" i="2"/>
  <c r="AV288" i="2"/>
  <c r="AU288" i="2"/>
  <c r="AT288" i="2"/>
  <c r="AS288" i="2"/>
  <c r="AR288" i="2"/>
  <c r="AQ288" i="2"/>
  <c r="AP288" i="2"/>
  <c r="AO288" i="2"/>
  <c r="AN288" i="2"/>
  <c r="AM288" i="2"/>
  <c r="I288" i="2"/>
  <c r="H288" i="2"/>
  <c r="F288" i="2"/>
  <c r="E288" i="2"/>
  <c r="D288" i="2"/>
  <c r="AV287" i="2"/>
  <c r="AU287" i="2"/>
  <c r="AT287" i="2"/>
  <c r="AS287" i="2"/>
  <c r="AR287" i="2"/>
  <c r="AQ287" i="2"/>
  <c r="AP287" i="2"/>
  <c r="AO287" i="2"/>
  <c r="AN287" i="2"/>
  <c r="AM287" i="2"/>
  <c r="AB287" i="2"/>
  <c r="AA287" i="2"/>
  <c r="Z287" i="2"/>
  <c r="Y287" i="2"/>
  <c r="X287" i="2"/>
  <c r="W287" i="2"/>
  <c r="V287" i="2"/>
  <c r="U287" i="2"/>
  <c r="T287" i="2"/>
  <c r="S287" i="2"/>
  <c r="L287" i="2"/>
  <c r="I287" i="2"/>
  <c r="H287" i="2"/>
  <c r="F287" i="2"/>
  <c r="E287" i="2"/>
  <c r="D287" i="2"/>
  <c r="AV286" i="2"/>
  <c r="AU286" i="2"/>
  <c r="AT286" i="2"/>
  <c r="AS286" i="2"/>
  <c r="AR286" i="2"/>
  <c r="AQ286" i="2"/>
  <c r="AP286" i="2"/>
  <c r="AO286" i="2"/>
  <c r="AN286" i="2"/>
  <c r="AM286" i="2"/>
  <c r="AJ286" i="2"/>
  <c r="AF286" i="2"/>
  <c r="AB286" i="2"/>
  <c r="AA286" i="2"/>
  <c r="Z286" i="2"/>
  <c r="Y286" i="2"/>
  <c r="X286" i="2"/>
  <c r="W286" i="2"/>
  <c r="V286" i="2"/>
  <c r="U286" i="2"/>
  <c r="T286" i="2"/>
  <c r="S286" i="2"/>
  <c r="K286" i="2"/>
  <c r="A286" i="2"/>
  <c r="AV285" i="2"/>
  <c r="AU285" i="2"/>
  <c r="AT285" i="2"/>
  <c r="AS285" i="2"/>
  <c r="AR285" i="2"/>
  <c r="AQ285" i="2"/>
  <c r="AP285" i="2"/>
  <c r="AO285" i="2"/>
  <c r="AN285" i="2"/>
  <c r="AM285" i="2"/>
  <c r="I285" i="2"/>
  <c r="H285" i="2"/>
  <c r="F285" i="2"/>
  <c r="E285" i="2"/>
  <c r="D285" i="2"/>
  <c r="AV284" i="2"/>
  <c r="AU284" i="2"/>
  <c r="AT284" i="2"/>
  <c r="AS284" i="2"/>
  <c r="AR284" i="2"/>
  <c r="AQ284" i="2"/>
  <c r="AP284" i="2"/>
  <c r="AO284" i="2"/>
  <c r="AN284" i="2"/>
  <c r="AM284" i="2"/>
  <c r="AB284" i="2"/>
  <c r="AA284" i="2"/>
  <c r="Z284" i="2"/>
  <c r="Y284" i="2"/>
  <c r="X284" i="2"/>
  <c r="W284" i="2"/>
  <c r="V284" i="2"/>
  <c r="U284" i="2"/>
  <c r="T284" i="2"/>
  <c r="S284" i="2"/>
  <c r="L284" i="2"/>
  <c r="I284" i="2"/>
  <c r="H284" i="2"/>
  <c r="F284" i="2"/>
  <c r="E284" i="2"/>
  <c r="D284" i="2"/>
  <c r="AV283" i="2"/>
  <c r="AU283" i="2"/>
  <c r="AT283" i="2"/>
  <c r="AS283" i="2"/>
  <c r="AR283" i="2"/>
  <c r="AQ283" i="2"/>
  <c r="AP283" i="2"/>
  <c r="AO283" i="2"/>
  <c r="AN283" i="2"/>
  <c r="AM283" i="2"/>
  <c r="AJ283" i="2"/>
  <c r="AF283" i="2"/>
  <c r="AB283" i="2"/>
  <c r="AA283" i="2"/>
  <c r="Z283" i="2"/>
  <c r="Y283" i="2"/>
  <c r="X283" i="2"/>
  <c r="W283" i="2"/>
  <c r="V283" i="2"/>
  <c r="U283" i="2"/>
  <c r="T283" i="2"/>
  <c r="S283" i="2"/>
  <c r="K283" i="2"/>
  <c r="A283" i="2"/>
  <c r="AV282" i="2"/>
  <c r="AU282" i="2"/>
  <c r="AT282" i="2"/>
  <c r="AS282" i="2"/>
  <c r="AR282" i="2"/>
  <c r="AQ282" i="2"/>
  <c r="AP282" i="2"/>
  <c r="AO282" i="2"/>
  <c r="AN282" i="2"/>
  <c r="AM282" i="2"/>
  <c r="I282" i="2"/>
  <c r="H282" i="2"/>
  <c r="F282" i="2"/>
  <c r="E282" i="2"/>
  <c r="D282" i="2"/>
  <c r="AV281" i="2"/>
  <c r="AU281" i="2"/>
  <c r="AT281" i="2"/>
  <c r="AS281" i="2"/>
  <c r="AR281" i="2"/>
  <c r="AQ281" i="2"/>
  <c r="AP281" i="2"/>
  <c r="AO281" i="2"/>
  <c r="AN281" i="2"/>
  <c r="AM281" i="2"/>
  <c r="AB281" i="2"/>
  <c r="AA281" i="2"/>
  <c r="Z281" i="2"/>
  <c r="Y281" i="2"/>
  <c r="X281" i="2"/>
  <c r="W281" i="2"/>
  <c r="V281" i="2"/>
  <c r="U281" i="2"/>
  <c r="T281" i="2"/>
  <c r="S281" i="2"/>
  <c r="L281" i="2"/>
  <c r="I281" i="2"/>
  <c r="H281" i="2"/>
  <c r="F281" i="2"/>
  <c r="E281" i="2"/>
  <c r="D281" i="2"/>
  <c r="AV280" i="2"/>
  <c r="AU280" i="2"/>
  <c r="AT280" i="2"/>
  <c r="AS280" i="2"/>
  <c r="AR280" i="2"/>
  <c r="AQ280" i="2"/>
  <c r="AP280" i="2"/>
  <c r="AO280" i="2"/>
  <c r="AN280" i="2"/>
  <c r="AM280" i="2"/>
  <c r="AJ280" i="2"/>
  <c r="AF280" i="2"/>
  <c r="AB280" i="2"/>
  <c r="AA280" i="2"/>
  <c r="Z280" i="2"/>
  <c r="Y280" i="2"/>
  <c r="X280" i="2"/>
  <c r="W280" i="2"/>
  <c r="V280" i="2"/>
  <c r="U280" i="2"/>
  <c r="T280" i="2"/>
  <c r="S280" i="2"/>
  <c r="K280" i="2"/>
  <c r="A280" i="2"/>
  <c r="AV279" i="2"/>
  <c r="AU279" i="2"/>
  <c r="AT279" i="2"/>
  <c r="AS279" i="2"/>
  <c r="AR279" i="2"/>
  <c r="AQ279" i="2"/>
  <c r="AP279" i="2"/>
  <c r="AO279" i="2"/>
  <c r="AN279" i="2"/>
  <c r="AM279" i="2"/>
  <c r="I279" i="2"/>
  <c r="H279" i="2"/>
  <c r="F279" i="2"/>
  <c r="E279" i="2"/>
  <c r="D279" i="2"/>
  <c r="AV278" i="2"/>
  <c r="AU278" i="2"/>
  <c r="AT278" i="2"/>
  <c r="AS278" i="2"/>
  <c r="AR278" i="2"/>
  <c r="AQ278" i="2"/>
  <c r="AP278" i="2"/>
  <c r="AO278" i="2"/>
  <c r="AN278" i="2"/>
  <c r="AM278" i="2"/>
  <c r="AB278" i="2"/>
  <c r="AA278" i="2"/>
  <c r="Z278" i="2"/>
  <c r="Y278" i="2"/>
  <c r="X278" i="2"/>
  <c r="W278" i="2"/>
  <c r="V278" i="2"/>
  <c r="U278" i="2"/>
  <c r="T278" i="2"/>
  <c r="S278" i="2"/>
  <c r="L278" i="2"/>
  <c r="I278" i="2"/>
  <c r="H278" i="2"/>
  <c r="F278" i="2"/>
  <c r="E278" i="2"/>
  <c r="D278" i="2"/>
  <c r="AV277" i="2"/>
  <c r="AU277" i="2"/>
  <c r="AT277" i="2"/>
  <c r="AS277" i="2"/>
  <c r="AR277" i="2"/>
  <c r="AQ277" i="2"/>
  <c r="AP277" i="2"/>
  <c r="AO277" i="2"/>
  <c r="AN277" i="2"/>
  <c r="AM277" i="2"/>
  <c r="AJ277" i="2"/>
  <c r="AF277" i="2"/>
  <c r="AB277" i="2"/>
  <c r="AA277" i="2"/>
  <c r="Z277" i="2"/>
  <c r="Y277" i="2"/>
  <c r="X277" i="2"/>
  <c r="W277" i="2"/>
  <c r="V277" i="2"/>
  <c r="U277" i="2"/>
  <c r="T277" i="2"/>
  <c r="S277" i="2"/>
  <c r="K277" i="2"/>
  <c r="A277" i="2"/>
  <c r="AV276" i="2"/>
  <c r="AU276" i="2"/>
  <c r="AT276" i="2"/>
  <c r="AS276" i="2"/>
  <c r="AR276" i="2"/>
  <c r="AQ276" i="2"/>
  <c r="AP276" i="2"/>
  <c r="AO276" i="2"/>
  <c r="AN276" i="2"/>
  <c r="AM276" i="2"/>
  <c r="I276" i="2"/>
  <c r="H276" i="2"/>
  <c r="F276" i="2"/>
  <c r="E276" i="2"/>
  <c r="D276" i="2"/>
  <c r="AV275" i="2"/>
  <c r="AU275" i="2"/>
  <c r="AT275" i="2"/>
  <c r="AS275" i="2"/>
  <c r="AR275" i="2"/>
  <c r="AQ275" i="2"/>
  <c r="AP275" i="2"/>
  <c r="AO275" i="2"/>
  <c r="AN275" i="2"/>
  <c r="AM275" i="2"/>
  <c r="AB275" i="2"/>
  <c r="AA275" i="2"/>
  <c r="Z275" i="2"/>
  <c r="Y275" i="2"/>
  <c r="X275" i="2"/>
  <c r="W275" i="2"/>
  <c r="V275" i="2"/>
  <c r="U275" i="2"/>
  <c r="T275" i="2"/>
  <c r="S275" i="2"/>
  <c r="L275" i="2"/>
  <c r="I275" i="2"/>
  <c r="H275" i="2"/>
  <c r="F275" i="2"/>
  <c r="E275" i="2"/>
  <c r="D275" i="2"/>
  <c r="AV274" i="2"/>
  <c r="AU274" i="2"/>
  <c r="AT274" i="2"/>
  <c r="AS274" i="2"/>
  <c r="AR274" i="2"/>
  <c r="AQ274" i="2"/>
  <c r="AP274" i="2"/>
  <c r="AO274" i="2"/>
  <c r="AN274" i="2"/>
  <c r="AM274" i="2"/>
  <c r="AJ274" i="2"/>
  <c r="AF274" i="2"/>
  <c r="AB274" i="2"/>
  <c r="AA274" i="2"/>
  <c r="Z274" i="2"/>
  <c r="Y274" i="2"/>
  <c r="X274" i="2"/>
  <c r="W274" i="2"/>
  <c r="V274" i="2"/>
  <c r="U274" i="2"/>
  <c r="T274" i="2"/>
  <c r="S274" i="2"/>
  <c r="K274" i="2"/>
  <c r="A274" i="2"/>
  <c r="AV273" i="2"/>
  <c r="AU273" i="2"/>
  <c r="AT273" i="2"/>
  <c r="AS273" i="2"/>
  <c r="AR273" i="2"/>
  <c r="AQ273" i="2"/>
  <c r="AP273" i="2"/>
  <c r="AO273" i="2"/>
  <c r="AN273" i="2"/>
  <c r="AM273" i="2"/>
  <c r="I273" i="2"/>
  <c r="H273" i="2"/>
  <c r="F273" i="2"/>
  <c r="E273" i="2"/>
  <c r="D273" i="2"/>
  <c r="AV272" i="2"/>
  <c r="AU272" i="2"/>
  <c r="AT272" i="2"/>
  <c r="AS272" i="2"/>
  <c r="AR272" i="2"/>
  <c r="AQ272" i="2"/>
  <c r="AP272" i="2"/>
  <c r="AO272" i="2"/>
  <c r="AN272" i="2"/>
  <c r="AM272" i="2"/>
  <c r="AB272" i="2"/>
  <c r="AA272" i="2"/>
  <c r="Z272" i="2"/>
  <c r="Y272" i="2"/>
  <c r="X272" i="2"/>
  <c r="W272" i="2"/>
  <c r="V272" i="2"/>
  <c r="U272" i="2"/>
  <c r="T272" i="2"/>
  <c r="S272" i="2"/>
  <c r="L272" i="2"/>
  <c r="I272" i="2"/>
  <c r="H272" i="2"/>
  <c r="F272" i="2"/>
  <c r="E272" i="2"/>
  <c r="D272" i="2"/>
  <c r="AV271" i="2"/>
  <c r="AU271" i="2"/>
  <c r="AT271" i="2"/>
  <c r="AS271" i="2"/>
  <c r="AR271" i="2"/>
  <c r="AQ271" i="2"/>
  <c r="AP271" i="2"/>
  <c r="AO271" i="2"/>
  <c r="AN271" i="2"/>
  <c r="AM271" i="2"/>
  <c r="AJ271" i="2"/>
  <c r="AF271" i="2"/>
  <c r="AB271" i="2"/>
  <c r="AA271" i="2"/>
  <c r="Z271" i="2"/>
  <c r="Y271" i="2"/>
  <c r="X271" i="2"/>
  <c r="W271" i="2"/>
  <c r="V271" i="2"/>
  <c r="U271" i="2"/>
  <c r="T271" i="2"/>
  <c r="S271" i="2"/>
  <c r="K271" i="2"/>
  <c r="A271" i="2"/>
  <c r="AV270" i="2"/>
  <c r="AU270" i="2"/>
  <c r="AT270" i="2"/>
  <c r="AS270" i="2"/>
  <c r="AR270" i="2"/>
  <c r="AQ270" i="2"/>
  <c r="AP270" i="2"/>
  <c r="AO270" i="2"/>
  <c r="AN270" i="2"/>
  <c r="AM270" i="2"/>
  <c r="I270" i="2"/>
  <c r="H270" i="2"/>
  <c r="F270" i="2"/>
  <c r="E270" i="2"/>
  <c r="D270" i="2"/>
  <c r="AV269" i="2"/>
  <c r="AU269" i="2"/>
  <c r="AT269" i="2"/>
  <c r="AS269" i="2"/>
  <c r="AR269" i="2"/>
  <c r="AQ269" i="2"/>
  <c r="AP269" i="2"/>
  <c r="AO269" i="2"/>
  <c r="AN269" i="2"/>
  <c r="AM269" i="2"/>
  <c r="AB269" i="2"/>
  <c r="AA269" i="2"/>
  <c r="Z269" i="2"/>
  <c r="Y269" i="2"/>
  <c r="X269" i="2"/>
  <c r="W269" i="2"/>
  <c r="V269" i="2"/>
  <c r="U269" i="2"/>
  <c r="T269" i="2"/>
  <c r="S269" i="2"/>
  <c r="L269" i="2"/>
  <c r="I269" i="2"/>
  <c r="H269" i="2"/>
  <c r="F269" i="2"/>
  <c r="E269" i="2"/>
  <c r="D269" i="2"/>
  <c r="AV268" i="2"/>
  <c r="AU268" i="2"/>
  <c r="AT268" i="2"/>
  <c r="AS268" i="2"/>
  <c r="AR268" i="2"/>
  <c r="AQ268" i="2"/>
  <c r="AP268" i="2"/>
  <c r="AO268" i="2"/>
  <c r="AN268" i="2"/>
  <c r="AM268" i="2"/>
  <c r="AJ268" i="2"/>
  <c r="AF268" i="2"/>
  <c r="AB268" i="2"/>
  <c r="AA268" i="2"/>
  <c r="Z268" i="2"/>
  <c r="Y268" i="2"/>
  <c r="X268" i="2"/>
  <c r="W268" i="2"/>
  <c r="V268" i="2"/>
  <c r="U268" i="2"/>
  <c r="T268" i="2"/>
  <c r="S268" i="2"/>
  <c r="K268" i="2"/>
  <c r="A268" i="2"/>
  <c r="AV267" i="2"/>
  <c r="AU267" i="2"/>
  <c r="AT267" i="2"/>
  <c r="AS267" i="2"/>
  <c r="AR267" i="2"/>
  <c r="AQ267" i="2"/>
  <c r="AP267" i="2"/>
  <c r="AO267" i="2"/>
  <c r="AN267" i="2"/>
  <c r="AM267" i="2"/>
  <c r="I267" i="2"/>
  <c r="H267" i="2"/>
  <c r="F267" i="2"/>
  <c r="E267" i="2"/>
  <c r="D267" i="2"/>
  <c r="AV266" i="2"/>
  <c r="AU266" i="2"/>
  <c r="AT266" i="2"/>
  <c r="AS266" i="2"/>
  <c r="AR266" i="2"/>
  <c r="AQ266" i="2"/>
  <c r="AP266" i="2"/>
  <c r="AO266" i="2"/>
  <c r="AN266" i="2"/>
  <c r="AM266" i="2"/>
  <c r="AB266" i="2"/>
  <c r="AA266" i="2"/>
  <c r="Z266" i="2"/>
  <c r="Y266" i="2"/>
  <c r="X266" i="2"/>
  <c r="W266" i="2"/>
  <c r="V266" i="2"/>
  <c r="U266" i="2"/>
  <c r="T266" i="2"/>
  <c r="S266" i="2"/>
  <c r="L266" i="2"/>
  <c r="I266" i="2"/>
  <c r="H266" i="2"/>
  <c r="F266" i="2"/>
  <c r="E266" i="2"/>
  <c r="D266" i="2"/>
  <c r="AV265" i="2"/>
  <c r="AU265" i="2"/>
  <c r="AT265" i="2"/>
  <c r="AS265" i="2"/>
  <c r="AR265" i="2"/>
  <c r="AQ265" i="2"/>
  <c r="AP265" i="2"/>
  <c r="AO265" i="2"/>
  <c r="AN265" i="2"/>
  <c r="AM265" i="2"/>
  <c r="AJ265" i="2"/>
  <c r="AF265" i="2"/>
  <c r="AB265" i="2"/>
  <c r="AA265" i="2"/>
  <c r="Z265" i="2"/>
  <c r="Y265" i="2"/>
  <c r="X265" i="2"/>
  <c r="W265" i="2"/>
  <c r="V265" i="2"/>
  <c r="U265" i="2"/>
  <c r="T265" i="2"/>
  <c r="S265" i="2"/>
  <c r="K265" i="2"/>
  <c r="A265" i="2"/>
  <c r="AV264" i="2"/>
  <c r="AU264" i="2"/>
  <c r="AT264" i="2"/>
  <c r="AS264" i="2"/>
  <c r="AR264" i="2"/>
  <c r="AQ264" i="2"/>
  <c r="AP264" i="2"/>
  <c r="AO264" i="2"/>
  <c r="AN264" i="2"/>
  <c r="AM264" i="2"/>
  <c r="I264" i="2"/>
  <c r="H264" i="2"/>
  <c r="F264" i="2"/>
  <c r="E264" i="2"/>
  <c r="D264" i="2"/>
  <c r="AV263" i="2"/>
  <c r="AU263" i="2"/>
  <c r="AT263" i="2"/>
  <c r="AS263" i="2"/>
  <c r="AR263" i="2"/>
  <c r="AQ263" i="2"/>
  <c r="AP263" i="2"/>
  <c r="AO263" i="2"/>
  <c r="AN263" i="2"/>
  <c r="AM263" i="2"/>
  <c r="AB263" i="2"/>
  <c r="AA263" i="2"/>
  <c r="Z263" i="2"/>
  <c r="Y263" i="2"/>
  <c r="X263" i="2"/>
  <c r="W263" i="2"/>
  <c r="V263" i="2"/>
  <c r="U263" i="2"/>
  <c r="T263" i="2"/>
  <c r="S263" i="2"/>
  <c r="L263" i="2"/>
  <c r="I263" i="2"/>
  <c r="H263" i="2"/>
  <c r="F263" i="2"/>
  <c r="E263" i="2"/>
  <c r="D263" i="2"/>
  <c r="AV262" i="2"/>
  <c r="AU262" i="2"/>
  <c r="AT262" i="2"/>
  <c r="AS262" i="2"/>
  <c r="AR262" i="2"/>
  <c r="AQ262" i="2"/>
  <c r="AP262" i="2"/>
  <c r="AO262" i="2"/>
  <c r="AN262" i="2"/>
  <c r="AM262" i="2"/>
  <c r="AJ262" i="2"/>
  <c r="AF262" i="2"/>
  <c r="AB262" i="2"/>
  <c r="AA262" i="2"/>
  <c r="Z262" i="2"/>
  <c r="Y262" i="2"/>
  <c r="X262" i="2"/>
  <c r="W262" i="2"/>
  <c r="V262" i="2"/>
  <c r="U262" i="2"/>
  <c r="T262" i="2"/>
  <c r="S262" i="2"/>
  <c r="K262" i="2"/>
  <c r="A262" i="2"/>
  <c r="AV261" i="2"/>
  <c r="AU261" i="2"/>
  <c r="AT261" i="2"/>
  <c r="AS261" i="2"/>
  <c r="AR261" i="2"/>
  <c r="AQ261" i="2"/>
  <c r="AP261" i="2"/>
  <c r="AO261" i="2"/>
  <c r="AN261" i="2"/>
  <c r="AM261" i="2"/>
  <c r="I261" i="2"/>
  <c r="H261" i="2"/>
  <c r="F261" i="2"/>
  <c r="E261" i="2"/>
  <c r="D261" i="2"/>
  <c r="AV260" i="2"/>
  <c r="AU260" i="2"/>
  <c r="AT260" i="2"/>
  <c r="AS260" i="2"/>
  <c r="AR260" i="2"/>
  <c r="AQ260" i="2"/>
  <c r="AP260" i="2"/>
  <c r="AO260" i="2"/>
  <c r="AN260" i="2"/>
  <c r="AM260" i="2"/>
  <c r="AB260" i="2"/>
  <c r="AA260" i="2"/>
  <c r="Z260" i="2"/>
  <c r="Y260" i="2"/>
  <c r="X260" i="2"/>
  <c r="W260" i="2"/>
  <c r="V260" i="2"/>
  <c r="U260" i="2"/>
  <c r="T260" i="2"/>
  <c r="S260" i="2"/>
  <c r="L260" i="2"/>
  <c r="I260" i="2"/>
  <c r="H260" i="2"/>
  <c r="F260" i="2"/>
  <c r="E260" i="2"/>
  <c r="D260" i="2"/>
  <c r="AV259" i="2"/>
  <c r="AU259" i="2"/>
  <c r="AT259" i="2"/>
  <c r="AS259" i="2"/>
  <c r="AR259" i="2"/>
  <c r="AQ259" i="2"/>
  <c r="AP259" i="2"/>
  <c r="AO259" i="2"/>
  <c r="AN259" i="2"/>
  <c r="AM259" i="2"/>
  <c r="AJ259" i="2"/>
  <c r="AF259" i="2"/>
  <c r="AB259" i="2"/>
  <c r="AA259" i="2"/>
  <c r="Z259" i="2"/>
  <c r="Y259" i="2"/>
  <c r="X259" i="2"/>
  <c r="W259" i="2"/>
  <c r="V259" i="2"/>
  <c r="U259" i="2"/>
  <c r="T259" i="2"/>
  <c r="S259" i="2"/>
  <c r="K259" i="2"/>
  <c r="A259" i="2"/>
  <c r="AV258" i="2"/>
  <c r="AU258" i="2"/>
  <c r="AT258" i="2"/>
  <c r="AS258" i="2"/>
  <c r="AR258" i="2"/>
  <c r="AQ258" i="2"/>
  <c r="AP258" i="2"/>
  <c r="AO258" i="2"/>
  <c r="AN258" i="2"/>
  <c r="AM258" i="2"/>
  <c r="I258" i="2"/>
  <c r="H258" i="2"/>
  <c r="F258" i="2"/>
  <c r="E258" i="2"/>
  <c r="D258" i="2"/>
  <c r="AV257" i="2"/>
  <c r="AU257" i="2"/>
  <c r="AT257" i="2"/>
  <c r="AS257" i="2"/>
  <c r="AR257" i="2"/>
  <c r="AQ257" i="2"/>
  <c r="AP257" i="2"/>
  <c r="AO257" i="2"/>
  <c r="AN257" i="2"/>
  <c r="AM257" i="2"/>
  <c r="AB257" i="2"/>
  <c r="AA257" i="2"/>
  <c r="Z257" i="2"/>
  <c r="Y257" i="2"/>
  <c r="X257" i="2"/>
  <c r="W257" i="2"/>
  <c r="V257" i="2"/>
  <c r="U257" i="2"/>
  <c r="T257" i="2"/>
  <c r="S257" i="2"/>
  <c r="L257" i="2"/>
  <c r="I257" i="2"/>
  <c r="H257" i="2"/>
  <c r="F257" i="2"/>
  <c r="E257" i="2"/>
  <c r="D257" i="2"/>
  <c r="AV256" i="2"/>
  <c r="AU256" i="2"/>
  <c r="AT256" i="2"/>
  <c r="AS256" i="2"/>
  <c r="AR256" i="2"/>
  <c r="AQ256" i="2"/>
  <c r="AP256" i="2"/>
  <c r="AO256" i="2"/>
  <c r="AN256" i="2"/>
  <c r="AM256" i="2"/>
  <c r="AJ256" i="2"/>
  <c r="AF256" i="2"/>
  <c r="AB256" i="2"/>
  <c r="AA256" i="2"/>
  <c r="Z256" i="2"/>
  <c r="Y256" i="2"/>
  <c r="X256" i="2"/>
  <c r="W256" i="2"/>
  <c r="V256" i="2"/>
  <c r="U256" i="2"/>
  <c r="T256" i="2"/>
  <c r="S256" i="2"/>
  <c r="K256" i="2"/>
  <c r="A256" i="2"/>
  <c r="AV255" i="2"/>
  <c r="AU255" i="2"/>
  <c r="AT255" i="2"/>
  <c r="AS255" i="2"/>
  <c r="AR255" i="2"/>
  <c r="AQ255" i="2"/>
  <c r="AP255" i="2"/>
  <c r="AO255" i="2"/>
  <c r="AN255" i="2"/>
  <c r="AM255" i="2"/>
  <c r="I255" i="2"/>
  <c r="H255" i="2"/>
  <c r="F255" i="2"/>
  <c r="E255" i="2"/>
  <c r="D255" i="2"/>
  <c r="AV254" i="2"/>
  <c r="AU254" i="2"/>
  <c r="AT254" i="2"/>
  <c r="AS254" i="2"/>
  <c r="AR254" i="2"/>
  <c r="AQ254" i="2"/>
  <c r="AP254" i="2"/>
  <c r="AO254" i="2"/>
  <c r="AN254" i="2"/>
  <c r="AM254" i="2"/>
  <c r="AB254" i="2"/>
  <c r="AA254" i="2"/>
  <c r="Z254" i="2"/>
  <c r="Y254" i="2"/>
  <c r="X254" i="2"/>
  <c r="W254" i="2"/>
  <c r="V254" i="2"/>
  <c r="U254" i="2"/>
  <c r="T254" i="2"/>
  <c r="S254" i="2"/>
  <c r="L254" i="2"/>
  <c r="I254" i="2"/>
  <c r="H254" i="2"/>
  <c r="F254" i="2"/>
  <c r="E254" i="2"/>
  <c r="D254" i="2"/>
  <c r="AV253" i="2"/>
  <c r="AU253" i="2"/>
  <c r="AT253" i="2"/>
  <c r="AS253" i="2"/>
  <c r="AR253" i="2"/>
  <c r="AQ253" i="2"/>
  <c r="AP253" i="2"/>
  <c r="AO253" i="2"/>
  <c r="AN253" i="2"/>
  <c r="AM253" i="2"/>
  <c r="AJ253" i="2"/>
  <c r="AF253" i="2"/>
  <c r="AB253" i="2"/>
  <c r="AA253" i="2"/>
  <c r="Z253" i="2"/>
  <c r="Y253" i="2"/>
  <c r="X253" i="2"/>
  <c r="W253" i="2"/>
  <c r="V253" i="2"/>
  <c r="U253" i="2"/>
  <c r="T253" i="2"/>
  <c r="S253" i="2"/>
  <c r="K253" i="2"/>
  <c r="A253" i="2"/>
  <c r="AV252" i="2"/>
  <c r="AU252" i="2"/>
  <c r="AT252" i="2"/>
  <c r="AS252" i="2"/>
  <c r="AR252" i="2"/>
  <c r="AQ252" i="2"/>
  <c r="AP252" i="2"/>
  <c r="AO252" i="2"/>
  <c r="AN252" i="2"/>
  <c r="AM252" i="2"/>
  <c r="I252" i="2"/>
  <c r="H252" i="2"/>
  <c r="F252" i="2"/>
  <c r="E252" i="2"/>
  <c r="D252" i="2"/>
  <c r="AV251" i="2"/>
  <c r="AU251" i="2"/>
  <c r="AT251" i="2"/>
  <c r="AS251" i="2"/>
  <c r="AR251" i="2"/>
  <c r="AQ251" i="2"/>
  <c r="AP251" i="2"/>
  <c r="AO251" i="2"/>
  <c r="AN251" i="2"/>
  <c r="AM251" i="2"/>
  <c r="AB251" i="2"/>
  <c r="AA251" i="2"/>
  <c r="Z251" i="2"/>
  <c r="Y251" i="2"/>
  <c r="X251" i="2"/>
  <c r="W251" i="2"/>
  <c r="V251" i="2"/>
  <c r="U251" i="2"/>
  <c r="T251" i="2"/>
  <c r="S251" i="2"/>
  <c r="L251" i="2"/>
  <c r="I251" i="2"/>
  <c r="H251" i="2"/>
  <c r="F251" i="2"/>
  <c r="E251" i="2"/>
  <c r="D251" i="2"/>
  <c r="AV250" i="2"/>
  <c r="AU250" i="2"/>
  <c r="AT250" i="2"/>
  <c r="AS250" i="2"/>
  <c r="AR250" i="2"/>
  <c r="AQ250" i="2"/>
  <c r="AP250" i="2"/>
  <c r="AO250" i="2"/>
  <c r="AN250" i="2"/>
  <c r="AM250" i="2"/>
  <c r="AJ250" i="2"/>
  <c r="AF250" i="2"/>
  <c r="AB250" i="2"/>
  <c r="AA250" i="2"/>
  <c r="Z250" i="2"/>
  <c r="Y250" i="2"/>
  <c r="X250" i="2"/>
  <c r="W250" i="2"/>
  <c r="V250" i="2"/>
  <c r="U250" i="2"/>
  <c r="T250" i="2"/>
  <c r="S250" i="2"/>
  <c r="K250" i="2"/>
  <c r="A250" i="2"/>
  <c r="AV249" i="2"/>
  <c r="AU249" i="2"/>
  <c r="AT249" i="2"/>
  <c r="AS249" i="2"/>
  <c r="AR249" i="2"/>
  <c r="AQ249" i="2"/>
  <c r="AP249" i="2"/>
  <c r="AO249" i="2"/>
  <c r="AN249" i="2"/>
  <c r="AM249" i="2"/>
  <c r="I249" i="2"/>
  <c r="H249" i="2"/>
  <c r="F249" i="2"/>
  <c r="E249" i="2"/>
  <c r="D249" i="2"/>
  <c r="AV248" i="2"/>
  <c r="AU248" i="2"/>
  <c r="AT248" i="2"/>
  <c r="AS248" i="2"/>
  <c r="AR248" i="2"/>
  <c r="AQ248" i="2"/>
  <c r="AP248" i="2"/>
  <c r="AO248" i="2"/>
  <c r="AN248" i="2"/>
  <c r="AM248" i="2"/>
  <c r="AB248" i="2"/>
  <c r="AA248" i="2"/>
  <c r="Z248" i="2"/>
  <c r="Y248" i="2"/>
  <c r="X248" i="2"/>
  <c r="W248" i="2"/>
  <c r="V248" i="2"/>
  <c r="U248" i="2"/>
  <c r="T248" i="2"/>
  <c r="S248" i="2"/>
  <c r="L248" i="2"/>
  <c r="I248" i="2"/>
  <c r="H248" i="2"/>
  <c r="F248" i="2"/>
  <c r="E248" i="2"/>
  <c r="D248" i="2"/>
  <c r="AV247" i="2"/>
  <c r="AU247" i="2"/>
  <c r="AT247" i="2"/>
  <c r="AS247" i="2"/>
  <c r="AR247" i="2"/>
  <c r="AQ247" i="2"/>
  <c r="AP247" i="2"/>
  <c r="AO247" i="2"/>
  <c r="AN247" i="2"/>
  <c r="AM247" i="2"/>
  <c r="AJ247" i="2"/>
  <c r="AF247" i="2"/>
  <c r="AB247" i="2"/>
  <c r="AA247" i="2"/>
  <c r="Z247" i="2"/>
  <c r="Y247" i="2"/>
  <c r="X247" i="2"/>
  <c r="W247" i="2"/>
  <c r="V247" i="2"/>
  <c r="U247" i="2"/>
  <c r="T247" i="2"/>
  <c r="S247" i="2"/>
  <c r="K247" i="2"/>
  <c r="A247" i="2"/>
  <c r="AV246" i="2"/>
  <c r="AU246" i="2"/>
  <c r="AT246" i="2"/>
  <c r="AS246" i="2"/>
  <c r="AR246" i="2"/>
  <c r="AQ246" i="2"/>
  <c r="AP246" i="2"/>
  <c r="AO246" i="2"/>
  <c r="AN246" i="2"/>
  <c r="AM246" i="2"/>
  <c r="I246" i="2"/>
  <c r="H246" i="2"/>
  <c r="F246" i="2"/>
  <c r="E246" i="2"/>
  <c r="D246" i="2"/>
  <c r="AV245" i="2"/>
  <c r="AU245" i="2"/>
  <c r="AT245" i="2"/>
  <c r="AS245" i="2"/>
  <c r="AR245" i="2"/>
  <c r="AQ245" i="2"/>
  <c r="AP245" i="2"/>
  <c r="AO245" i="2"/>
  <c r="AN245" i="2"/>
  <c r="AM245" i="2"/>
  <c r="AB245" i="2"/>
  <c r="AA245" i="2"/>
  <c r="Z245" i="2"/>
  <c r="Y245" i="2"/>
  <c r="X245" i="2"/>
  <c r="W245" i="2"/>
  <c r="V245" i="2"/>
  <c r="U245" i="2"/>
  <c r="T245" i="2"/>
  <c r="S245" i="2"/>
  <c r="L245" i="2"/>
  <c r="I245" i="2"/>
  <c r="H245" i="2"/>
  <c r="F245" i="2"/>
  <c r="E245" i="2"/>
  <c r="D245" i="2"/>
  <c r="AV244" i="2"/>
  <c r="AU244" i="2"/>
  <c r="AT244" i="2"/>
  <c r="AS244" i="2"/>
  <c r="AR244" i="2"/>
  <c r="AQ244" i="2"/>
  <c r="AP244" i="2"/>
  <c r="AO244" i="2"/>
  <c r="AN244" i="2"/>
  <c r="AM244" i="2"/>
  <c r="AJ244" i="2"/>
  <c r="AF244" i="2"/>
  <c r="AB244" i="2"/>
  <c r="AA244" i="2"/>
  <c r="Z244" i="2"/>
  <c r="Y244" i="2"/>
  <c r="X244" i="2"/>
  <c r="W244" i="2"/>
  <c r="V244" i="2"/>
  <c r="U244" i="2"/>
  <c r="T244" i="2"/>
  <c r="S244" i="2"/>
  <c r="K244" i="2"/>
  <c r="A244" i="2"/>
  <c r="AV243" i="2"/>
  <c r="AU243" i="2"/>
  <c r="AT243" i="2"/>
  <c r="AS243" i="2"/>
  <c r="AR243" i="2"/>
  <c r="AQ243" i="2"/>
  <c r="AP243" i="2"/>
  <c r="AO243" i="2"/>
  <c r="AN243" i="2"/>
  <c r="AM243" i="2"/>
  <c r="I243" i="2"/>
  <c r="H243" i="2"/>
  <c r="F243" i="2"/>
  <c r="E243" i="2"/>
  <c r="D243" i="2"/>
  <c r="AV242" i="2"/>
  <c r="AU242" i="2"/>
  <c r="AT242" i="2"/>
  <c r="AS242" i="2"/>
  <c r="AR242" i="2"/>
  <c r="AQ242" i="2"/>
  <c r="AP242" i="2"/>
  <c r="AO242" i="2"/>
  <c r="AN242" i="2"/>
  <c r="AM242" i="2"/>
  <c r="AB242" i="2"/>
  <c r="AA242" i="2"/>
  <c r="Z242" i="2"/>
  <c r="Y242" i="2"/>
  <c r="X242" i="2"/>
  <c r="W242" i="2"/>
  <c r="V242" i="2"/>
  <c r="U242" i="2"/>
  <c r="T242" i="2"/>
  <c r="S242" i="2"/>
  <c r="L242" i="2"/>
  <c r="I242" i="2"/>
  <c r="H242" i="2"/>
  <c r="F242" i="2"/>
  <c r="E242" i="2"/>
  <c r="D242" i="2"/>
  <c r="AV241" i="2"/>
  <c r="AU241" i="2"/>
  <c r="AT241" i="2"/>
  <c r="AS241" i="2"/>
  <c r="AR241" i="2"/>
  <c r="AQ241" i="2"/>
  <c r="AP241" i="2"/>
  <c r="AO241" i="2"/>
  <c r="AN241" i="2"/>
  <c r="AM241" i="2"/>
  <c r="AJ241" i="2"/>
  <c r="AF241" i="2"/>
  <c r="AB241" i="2"/>
  <c r="AA241" i="2"/>
  <c r="Z241" i="2"/>
  <c r="Y241" i="2"/>
  <c r="X241" i="2"/>
  <c r="W241" i="2"/>
  <c r="V241" i="2"/>
  <c r="U241" i="2"/>
  <c r="T241" i="2"/>
  <c r="S241" i="2"/>
  <c r="K241" i="2"/>
  <c r="A241" i="2"/>
  <c r="AV240" i="2"/>
  <c r="AU240" i="2"/>
  <c r="AT240" i="2"/>
  <c r="AS240" i="2"/>
  <c r="AR240" i="2"/>
  <c r="AQ240" i="2"/>
  <c r="AP240" i="2"/>
  <c r="AO240" i="2"/>
  <c r="AN240" i="2"/>
  <c r="AM240" i="2"/>
  <c r="I240" i="2"/>
  <c r="H240" i="2"/>
  <c r="F240" i="2"/>
  <c r="E240" i="2"/>
  <c r="D240" i="2"/>
  <c r="AV239" i="2"/>
  <c r="AU239" i="2"/>
  <c r="AT239" i="2"/>
  <c r="AS239" i="2"/>
  <c r="AR239" i="2"/>
  <c r="AQ239" i="2"/>
  <c r="AP239" i="2"/>
  <c r="AO239" i="2"/>
  <c r="AN239" i="2"/>
  <c r="AM239" i="2"/>
  <c r="AB239" i="2"/>
  <c r="AA239" i="2"/>
  <c r="Z239" i="2"/>
  <c r="Y239" i="2"/>
  <c r="X239" i="2"/>
  <c r="W239" i="2"/>
  <c r="V239" i="2"/>
  <c r="U239" i="2"/>
  <c r="T239" i="2"/>
  <c r="S239" i="2"/>
  <c r="L239" i="2"/>
  <c r="I239" i="2"/>
  <c r="H239" i="2"/>
  <c r="F239" i="2"/>
  <c r="E239" i="2"/>
  <c r="D239" i="2"/>
  <c r="AV238" i="2"/>
  <c r="AU238" i="2"/>
  <c r="AT238" i="2"/>
  <c r="AS238" i="2"/>
  <c r="AR238" i="2"/>
  <c r="AQ238" i="2"/>
  <c r="AP238" i="2"/>
  <c r="AO238" i="2"/>
  <c r="AN238" i="2"/>
  <c r="AM238" i="2"/>
  <c r="AJ238" i="2"/>
  <c r="AF238" i="2"/>
  <c r="AB238" i="2"/>
  <c r="AA238" i="2"/>
  <c r="Z238" i="2"/>
  <c r="Y238" i="2"/>
  <c r="X238" i="2"/>
  <c r="W238" i="2"/>
  <c r="V238" i="2"/>
  <c r="U238" i="2"/>
  <c r="T238" i="2"/>
  <c r="S238" i="2"/>
  <c r="K238" i="2"/>
  <c r="A238" i="2"/>
  <c r="AV237" i="2"/>
  <c r="AU237" i="2"/>
  <c r="AT237" i="2"/>
  <c r="AS237" i="2"/>
  <c r="AR237" i="2"/>
  <c r="AQ237" i="2"/>
  <c r="AP237" i="2"/>
  <c r="AO237" i="2"/>
  <c r="AN237" i="2"/>
  <c r="AM237" i="2"/>
  <c r="I237" i="2"/>
  <c r="H237" i="2"/>
  <c r="F237" i="2"/>
  <c r="E237" i="2"/>
  <c r="D237" i="2"/>
  <c r="AV236" i="2"/>
  <c r="AU236" i="2"/>
  <c r="AT236" i="2"/>
  <c r="AS236" i="2"/>
  <c r="AR236" i="2"/>
  <c r="AQ236" i="2"/>
  <c r="AP236" i="2"/>
  <c r="AO236" i="2"/>
  <c r="AN236" i="2"/>
  <c r="AM236" i="2"/>
  <c r="AB236" i="2"/>
  <c r="AA236" i="2"/>
  <c r="Z236" i="2"/>
  <c r="Y236" i="2"/>
  <c r="X236" i="2"/>
  <c r="W236" i="2"/>
  <c r="V236" i="2"/>
  <c r="U236" i="2"/>
  <c r="T236" i="2"/>
  <c r="S236" i="2"/>
  <c r="L236" i="2"/>
  <c r="I236" i="2"/>
  <c r="H236" i="2"/>
  <c r="F236" i="2"/>
  <c r="E236" i="2"/>
  <c r="D236" i="2"/>
  <c r="AV235" i="2"/>
  <c r="AU235" i="2"/>
  <c r="AT235" i="2"/>
  <c r="AS235" i="2"/>
  <c r="AR235" i="2"/>
  <c r="AQ235" i="2"/>
  <c r="AP235" i="2"/>
  <c r="AO235" i="2"/>
  <c r="AN235" i="2"/>
  <c r="AM235" i="2"/>
  <c r="AJ235" i="2"/>
  <c r="AF235" i="2"/>
  <c r="AB235" i="2"/>
  <c r="AA235" i="2"/>
  <c r="Z235" i="2"/>
  <c r="Y235" i="2"/>
  <c r="X235" i="2"/>
  <c r="W235" i="2"/>
  <c r="V235" i="2"/>
  <c r="U235" i="2"/>
  <c r="T235" i="2"/>
  <c r="S235" i="2"/>
  <c r="K235" i="2"/>
  <c r="A235" i="2"/>
  <c r="AV234" i="2"/>
  <c r="AU234" i="2"/>
  <c r="AT234" i="2"/>
  <c r="AS234" i="2"/>
  <c r="AR234" i="2"/>
  <c r="AQ234" i="2"/>
  <c r="AP234" i="2"/>
  <c r="AO234" i="2"/>
  <c r="AN234" i="2"/>
  <c r="AM234" i="2"/>
  <c r="I234" i="2"/>
  <c r="H234" i="2"/>
  <c r="F234" i="2"/>
  <c r="E234" i="2"/>
  <c r="D234" i="2"/>
  <c r="AV233" i="2"/>
  <c r="AU233" i="2"/>
  <c r="AT233" i="2"/>
  <c r="AS233" i="2"/>
  <c r="AR233" i="2"/>
  <c r="AQ233" i="2"/>
  <c r="AP233" i="2"/>
  <c r="AO233" i="2"/>
  <c r="AN233" i="2"/>
  <c r="AM233" i="2"/>
  <c r="AB233" i="2"/>
  <c r="AA233" i="2"/>
  <c r="Z233" i="2"/>
  <c r="Y233" i="2"/>
  <c r="X233" i="2"/>
  <c r="W233" i="2"/>
  <c r="V233" i="2"/>
  <c r="U233" i="2"/>
  <c r="T233" i="2"/>
  <c r="S233" i="2"/>
  <c r="L233" i="2"/>
  <c r="I233" i="2"/>
  <c r="H233" i="2"/>
  <c r="F233" i="2"/>
  <c r="E233" i="2"/>
  <c r="D233" i="2"/>
  <c r="AV232" i="2"/>
  <c r="AU232" i="2"/>
  <c r="AT232" i="2"/>
  <c r="AS232" i="2"/>
  <c r="AR232" i="2"/>
  <c r="AQ232" i="2"/>
  <c r="AP232" i="2"/>
  <c r="AO232" i="2"/>
  <c r="AN232" i="2"/>
  <c r="AM232" i="2"/>
  <c r="AJ232" i="2"/>
  <c r="AF232" i="2"/>
  <c r="AB232" i="2"/>
  <c r="AA232" i="2"/>
  <c r="Z232" i="2"/>
  <c r="Y232" i="2"/>
  <c r="X232" i="2"/>
  <c r="W232" i="2"/>
  <c r="V232" i="2"/>
  <c r="U232" i="2"/>
  <c r="T232" i="2"/>
  <c r="S232" i="2"/>
  <c r="K232" i="2"/>
  <c r="A232" i="2"/>
  <c r="AV231" i="2"/>
  <c r="AU231" i="2"/>
  <c r="AT231" i="2"/>
  <c r="AS231" i="2"/>
  <c r="AR231" i="2"/>
  <c r="AQ231" i="2"/>
  <c r="AP231" i="2"/>
  <c r="AO231" i="2"/>
  <c r="AN231" i="2"/>
  <c r="AM231" i="2"/>
  <c r="I231" i="2"/>
  <c r="H231" i="2"/>
  <c r="F231" i="2"/>
  <c r="E231" i="2"/>
  <c r="D231" i="2"/>
  <c r="AV230" i="2"/>
  <c r="AU230" i="2"/>
  <c r="AT230" i="2"/>
  <c r="AS230" i="2"/>
  <c r="AR230" i="2"/>
  <c r="AQ230" i="2"/>
  <c r="AP230" i="2"/>
  <c r="AO230" i="2"/>
  <c r="AN230" i="2"/>
  <c r="AM230" i="2"/>
  <c r="AB230" i="2"/>
  <c r="AA230" i="2"/>
  <c r="Z230" i="2"/>
  <c r="Y230" i="2"/>
  <c r="X230" i="2"/>
  <c r="W230" i="2"/>
  <c r="V230" i="2"/>
  <c r="U230" i="2"/>
  <c r="T230" i="2"/>
  <c r="S230" i="2"/>
  <c r="L230" i="2"/>
  <c r="I230" i="2"/>
  <c r="H230" i="2"/>
  <c r="F230" i="2"/>
  <c r="E230" i="2"/>
  <c r="D230" i="2"/>
  <c r="AV229" i="2"/>
  <c r="AU229" i="2"/>
  <c r="AT229" i="2"/>
  <c r="AS229" i="2"/>
  <c r="AR229" i="2"/>
  <c r="AQ229" i="2"/>
  <c r="AP229" i="2"/>
  <c r="AO229" i="2"/>
  <c r="AN229" i="2"/>
  <c r="AM229" i="2"/>
  <c r="AJ229" i="2"/>
  <c r="AF229" i="2"/>
  <c r="AB229" i="2"/>
  <c r="AA229" i="2"/>
  <c r="Z229" i="2"/>
  <c r="Y229" i="2"/>
  <c r="X229" i="2"/>
  <c r="W229" i="2"/>
  <c r="V229" i="2"/>
  <c r="U229" i="2"/>
  <c r="T229" i="2"/>
  <c r="S229" i="2"/>
  <c r="K229" i="2"/>
  <c r="A229" i="2"/>
  <c r="AV228" i="2"/>
  <c r="AU228" i="2"/>
  <c r="AT228" i="2"/>
  <c r="AS228" i="2"/>
  <c r="AR228" i="2"/>
  <c r="AQ228" i="2"/>
  <c r="AP228" i="2"/>
  <c r="AO228" i="2"/>
  <c r="AN228" i="2"/>
  <c r="AM228" i="2"/>
  <c r="I228" i="2"/>
  <c r="H228" i="2"/>
  <c r="F228" i="2"/>
  <c r="E228" i="2"/>
  <c r="D228" i="2"/>
  <c r="AV227" i="2"/>
  <c r="AU227" i="2"/>
  <c r="AT227" i="2"/>
  <c r="AS227" i="2"/>
  <c r="AR227" i="2"/>
  <c r="AQ227" i="2"/>
  <c r="AP227" i="2"/>
  <c r="AO227" i="2"/>
  <c r="AN227" i="2"/>
  <c r="AM227" i="2"/>
  <c r="AB227" i="2"/>
  <c r="AA227" i="2"/>
  <c r="Z227" i="2"/>
  <c r="Y227" i="2"/>
  <c r="X227" i="2"/>
  <c r="W227" i="2"/>
  <c r="V227" i="2"/>
  <c r="U227" i="2"/>
  <c r="T227" i="2"/>
  <c r="S227" i="2"/>
  <c r="L227" i="2"/>
  <c r="I227" i="2"/>
  <c r="H227" i="2"/>
  <c r="F227" i="2"/>
  <c r="E227" i="2"/>
  <c r="D227" i="2"/>
  <c r="AV226" i="2"/>
  <c r="AU226" i="2"/>
  <c r="AT226" i="2"/>
  <c r="AS226" i="2"/>
  <c r="AR226" i="2"/>
  <c r="AQ226" i="2"/>
  <c r="AP226" i="2"/>
  <c r="AO226" i="2"/>
  <c r="AN226" i="2"/>
  <c r="AM226" i="2"/>
  <c r="AJ226" i="2"/>
  <c r="AF226" i="2"/>
  <c r="AB226" i="2"/>
  <c r="AA226" i="2"/>
  <c r="Z226" i="2"/>
  <c r="Y226" i="2"/>
  <c r="X226" i="2"/>
  <c r="W226" i="2"/>
  <c r="V226" i="2"/>
  <c r="U226" i="2"/>
  <c r="T226" i="2"/>
  <c r="S226" i="2"/>
  <c r="K226" i="2"/>
  <c r="A226" i="2"/>
  <c r="AV225" i="2"/>
  <c r="AU225" i="2"/>
  <c r="AT225" i="2"/>
  <c r="AS225" i="2"/>
  <c r="AR225" i="2"/>
  <c r="AQ225" i="2"/>
  <c r="AP225" i="2"/>
  <c r="AO225" i="2"/>
  <c r="AN225" i="2"/>
  <c r="AM225" i="2"/>
  <c r="I225" i="2"/>
  <c r="H225" i="2"/>
  <c r="F225" i="2"/>
  <c r="E225" i="2"/>
  <c r="D225" i="2"/>
  <c r="AV224" i="2"/>
  <c r="AU224" i="2"/>
  <c r="AT224" i="2"/>
  <c r="AS224" i="2"/>
  <c r="AR224" i="2"/>
  <c r="AQ224" i="2"/>
  <c r="AP224" i="2"/>
  <c r="AO224" i="2"/>
  <c r="AN224" i="2"/>
  <c r="AM224" i="2"/>
  <c r="AB224" i="2"/>
  <c r="AA224" i="2"/>
  <c r="Z224" i="2"/>
  <c r="Y224" i="2"/>
  <c r="X224" i="2"/>
  <c r="W224" i="2"/>
  <c r="V224" i="2"/>
  <c r="U224" i="2"/>
  <c r="T224" i="2"/>
  <c r="S224" i="2"/>
  <c r="L224" i="2"/>
  <c r="I224" i="2"/>
  <c r="H224" i="2"/>
  <c r="F224" i="2"/>
  <c r="E224" i="2"/>
  <c r="D224" i="2"/>
  <c r="AV223" i="2"/>
  <c r="AU223" i="2"/>
  <c r="AT223" i="2"/>
  <c r="AS223" i="2"/>
  <c r="AR223" i="2"/>
  <c r="AQ223" i="2"/>
  <c r="AP223" i="2"/>
  <c r="AO223" i="2"/>
  <c r="AN223" i="2"/>
  <c r="AM223" i="2"/>
  <c r="AJ223" i="2"/>
  <c r="AF223" i="2"/>
  <c r="AB223" i="2"/>
  <c r="AA223" i="2"/>
  <c r="Z223" i="2"/>
  <c r="Y223" i="2"/>
  <c r="X223" i="2"/>
  <c r="W223" i="2"/>
  <c r="V223" i="2"/>
  <c r="U223" i="2"/>
  <c r="T223" i="2"/>
  <c r="S223" i="2"/>
  <c r="K223" i="2"/>
  <c r="A223" i="2"/>
  <c r="AV222" i="2"/>
  <c r="AU222" i="2"/>
  <c r="AT222" i="2"/>
  <c r="AS222" i="2"/>
  <c r="AR222" i="2"/>
  <c r="AQ222" i="2"/>
  <c r="AP222" i="2"/>
  <c r="AO222" i="2"/>
  <c r="AN222" i="2"/>
  <c r="AM222" i="2"/>
  <c r="I222" i="2"/>
  <c r="H222" i="2"/>
  <c r="F222" i="2"/>
  <c r="E222" i="2"/>
  <c r="D222" i="2"/>
  <c r="AV221" i="2"/>
  <c r="AU221" i="2"/>
  <c r="AT221" i="2"/>
  <c r="AS221" i="2"/>
  <c r="AR221" i="2"/>
  <c r="AQ221" i="2"/>
  <c r="AP221" i="2"/>
  <c r="AO221" i="2"/>
  <c r="AN221" i="2"/>
  <c r="AM221" i="2"/>
  <c r="AB221" i="2"/>
  <c r="AA221" i="2"/>
  <c r="Z221" i="2"/>
  <c r="Y221" i="2"/>
  <c r="X221" i="2"/>
  <c r="W221" i="2"/>
  <c r="V221" i="2"/>
  <c r="U221" i="2"/>
  <c r="T221" i="2"/>
  <c r="S221" i="2"/>
  <c r="L221" i="2"/>
  <c r="I221" i="2"/>
  <c r="H221" i="2"/>
  <c r="F221" i="2"/>
  <c r="E221" i="2"/>
  <c r="D221" i="2"/>
  <c r="AV220" i="2"/>
  <c r="AU220" i="2"/>
  <c r="AT220" i="2"/>
  <c r="AS220" i="2"/>
  <c r="AR220" i="2"/>
  <c r="AQ220" i="2"/>
  <c r="AP220" i="2"/>
  <c r="AO220" i="2"/>
  <c r="AN220" i="2"/>
  <c r="AM220" i="2"/>
  <c r="AJ220" i="2"/>
  <c r="AF220" i="2"/>
  <c r="AB220" i="2"/>
  <c r="AA220" i="2"/>
  <c r="Z220" i="2"/>
  <c r="Y220" i="2"/>
  <c r="X220" i="2"/>
  <c r="W220" i="2"/>
  <c r="V220" i="2"/>
  <c r="U220" i="2"/>
  <c r="T220" i="2"/>
  <c r="S220" i="2"/>
  <c r="K220" i="2"/>
  <c r="A220" i="2"/>
  <c r="AV219" i="2"/>
  <c r="AU219" i="2"/>
  <c r="AT219" i="2"/>
  <c r="AS219" i="2"/>
  <c r="AR219" i="2"/>
  <c r="AQ219" i="2"/>
  <c r="AP219" i="2"/>
  <c r="AO219" i="2"/>
  <c r="AN219" i="2"/>
  <c r="AM219" i="2"/>
  <c r="I219" i="2"/>
  <c r="H219" i="2"/>
  <c r="F219" i="2"/>
  <c r="E219" i="2"/>
  <c r="D219" i="2"/>
  <c r="AV218" i="2"/>
  <c r="AU218" i="2"/>
  <c r="AT218" i="2"/>
  <c r="AS218" i="2"/>
  <c r="AR218" i="2"/>
  <c r="AQ218" i="2"/>
  <c r="AP218" i="2"/>
  <c r="AO218" i="2"/>
  <c r="AN218" i="2"/>
  <c r="AM218" i="2"/>
  <c r="AB218" i="2"/>
  <c r="AA218" i="2"/>
  <c r="Z218" i="2"/>
  <c r="Y218" i="2"/>
  <c r="X218" i="2"/>
  <c r="W218" i="2"/>
  <c r="V218" i="2"/>
  <c r="U218" i="2"/>
  <c r="T218" i="2"/>
  <c r="S218" i="2"/>
  <c r="L218" i="2"/>
  <c r="I218" i="2"/>
  <c r="H218" i="2"/>
  <c r="F218" i="2"/>
  <c r="E218" i="2"/>
  <c r="D218" i="2"/>
  <c r="AV217" i="2"/>
  <c r="AU217" i="2"/>
  <c r="AT217" i="2"/>
  <c r="AS217" i="2"/>
  <c r="AR217" i="2"/>
  <c r="AQ217" i="2"/>
  <c r="AP217" i="2"/>
  <c r="AO217" i="2"/>
  <c r="AN217" i="2"/>
  <c r="AM217" i="2"/>
  <c r="AJ217" i="2"/>
  <c r="AF217" i="2"/>
  <c r="AB217" i="2"/>
  <c r="AA217" i="2"/>
  <c r="Z217" i="2"/>
  <c r="Y217" i="2"/>
  <c r="X217" i="2"/>
  <c r="W217" i="2"/>
  <c r="V217" i="2"/>
  <c r="U217" i="2"/>
  <c r="T217" i="2"/>
  <c r="S217" i="2"/>
  <c r="K217" i="2"/>
  <c r="A217" i="2"/>
  <c r="AV216" i="2"/>
  <c r="AU216" i="2"/>
  <c r="AT216" i="2"/>
  <c r="AS216" i="2"/>
  <c r="AR216" i="2"/>
  <c r="AQ216" i="2"/>
  <c r="AP216" i="2"/>
  <c r="AO216" i="2"/>
  <c r="AN216" i="2"/>
  <c r="AM216" i="2"/>
  <c r="I216" i="2"/>
  <c r="H216" i="2"/>
  <c r="F216" i="2"/>
  <c r="E216" i="2"/>
  <c r="D216" i="2"/>
  <c r="AV215" i="2"/>
  <c r="AU215" i="2"/>
  <c r="AT215" i="2"/>
  <c r="AS215" i="2"/>
  <c r="AR215" i="2"/>
  <c r="AQ215" i="2"/>
  <c r="AP215" i="2"/>
  <c r="AO215" i="2"/>
  <c r="AN215" i="2"/>
  <c r="AM215" i="2"/>
  <c r="AB215" i="2"/>
  <c r="AA215" i="2"/>
  <c r="Z215" i="2"/>
  <c r="Y215" i="2"/>
  <c r="X215" i="2"/>
  <c r="W215" i="2"/>
  <c r="V215" i="2"/>
  <c r="U215" i="2"/>
  <c r="T215" i="2"/>
  <c r="S215" i="2"/>
  <c r="L215" i="2"/>
  <c r="I215" i="2"/>
  <c r="H215" i="2"/>
  <c r="F215" i="2"/>
  <c r="E215" i="2"/>
  <c r="D215" i="2"/>
  <c r="AV214" i="2"/>
  <c r="AU214" i="2"/>
  <c r="AT214" i="2"/>
  <c r="AS214" i="2"/>
  <c r="AR214" i="2"/>
  <c r="AQ214" i="2"/>
  <c r="AP214" i="2"/>
  <c r="AO214" i="2"/>
  <c r="AN214" i="2"/>
  <c r="AM214" i="2"/>
  <c r="AJ214" i="2"/>
  <c r="AF214" i="2"/>
  <c r="AB214" i="2"/>
  <c r="AA214" i="2"/>
  <c r="Z214" i="2"/>
  <c r="Y214" i="2"/>
  <c r="X214" i="2"/>
  <c r="W214" i="2"/>
  <c r="V214" i="2"/>
  <c r="U214" i="2"/>
  <c r="T214" i="2"/>
  <c r="S214" i="2"/>
  <c r="K214" i="2"/>
  <c r="A214" i="2"/>
  <c r="AV213" i="2"/>
  <c r="AU213" i="2"/>
  <c r="AT213" i="2"/>
  <c r="AS213" i="2"/>
  <c r="AR213" i="2"/>
  <c r="AQ213" i="2"/>
  <c r="AP213" i="2"/>
  <c r="AO213" i="2"/>
  <c r="AN213" i="2"/>
  <c r="AM213" i="2"/>
  <c r="I213" i="2"/>
  <c r="H213" i="2"/>
  <c r="F213" i="2"/>
  <c r="E213" i="2"/>
  <c r="D213" i="2"/>
  <c r="AV212" i="2"/>
  <c r="AU212" i="2"/>
  <c r="AT212" i="2"/>
  <c r="AS212" i="2"/>
  <c r="AR212" i="2"/>
  <c r="AQ212" i="2"/>
  <c r="AP212" i="2"/>
  <c r="AO212" i="2"/>
  <c r="AN212" i="2"/>
  <c r="AM212" i="2"/>
  <c r="AB212" i="2"/>
  <c r="AA212" i="2"/>
  <c r="Z212" i="2"/>
  <c r="Y212" i="2"/>
  <c r="X212" i="2"/>
  <c r="W212" i="2"/>
  <c r="V212" i="2"/>
  <c r="U212" i="2"/>
  <c r="T212" i="2"/>
  <c r="S212" i="2"/>
  <c r="L212" i="2"/>
  <c r="I212" i="2"/>
  <c r="H212" i="2"/>
  <c r="F212" i="2"/>
  <c r="E212" i="2"/>
  <c r="D212" i="2"/>
  <c r="AV211" i="2"/>
  <c r="AU211" i="2"/>
  <c r="AT211" i="2"/>
  <c r="AS211" i="2"/>
  <c r="AR211" i="2"/>
  <c r="AQ211" i="2"/>
  <c r="AP211" i="2"/>
  <c r="AO211" i="2"/>
  <c r="AN211" i="2"/>
  <c r="AM211" i="2"/>
  <c r="AJ211" i="2"/>
  <c r="AF211" i="2"/>
  <c r="AB211" i="2"/>
  <c r="AA211" i="2"/>
  <c r="Z211" i="2"/>
  <c r="Y211" i="2"/>
  <c r="X211" i="2"/>
  <c r="W211" i="2"/>
  <c r="V211" i="2"/>
  <c r="U211" i="2"/>
  <c r="T211" i="2"/>
  <c r="S211" i="2"/>
  <c r="K211" i="2"/>
  <c r="A211" i="2"/>
  <c r="AV210" i="2"/>
  <c r="AU210" i="2"/>
  <c r="AT210" i="2"/>
  <c r="AS210" i="2"/>
  <c r="AR210" i="2"/>
  <c r="AQ210" i="2"/>
  <c r="AP210" i="2"/>
  <c r="AO210" i="2"/>
  <c r="AN210" i="2"/>
  <c r="AM210" i="2"/>
  <c r="I210" i="2"/>
  <c r="H210" i="2"/>
  <c r="F210" i="2"/>
  <c r="E210" i="2"/>
  <c r="D210" i="2"/>
  <c r="AV209" i="2"/>
  <c r="AU209" i="2"/>
  <c r="AT209" i="2"/>
  <c r="AS209" i="2"/>
  <c r="AR209" i="2"/>
  <c r="AQ209" i="2"/>
  <c r="AP209" i="2"/>
  <c r="AO209" i="2"/>
  <c r="AN209" i="2"/>
  <c r="AM209" i="2"/>
  <c r="AB209" i="2"/>
  <c r="AA209" i="2"/>
  <c r="Z209" i="2"/>
  <c r="Y209" i="2"/>
  <c r="X209" i="2"/>
  <c r="W209" i="2"/>
  <c r="V209" i="2"/>
  <c r="U209" i="2"/>
  <c r="T209" i="2"/>
  <c r="S209" i="2"/>
  <c r="L209" i="2"/>
  <c r="I209" i="2"/>
  <c r="H209" i="2"/>
  <c r="F209" i="2"/>
  <c r="E209" i="2"/>
  <c r="D209" i="2"/>
  <c r="AV208" i="2"/>
  <c r="AU208" i="2"/>
  <c r="AT208" i="2"/>
  <c r="AS208" i="2"/>
  <c r="AR208" i="2"/>
  <c r="AQ208" i="2"/>
  <c r="AP208" i="2"/>
  <c r="AO208" i="2"/>
  <c r="AN208" i="2"/>
  <c r="AM208" i="2"/>
  <c r="AJ208" i="2"/>
  <c r="AF208" i="2"/>
  <c r="AB208" i="2"/>
  <c r="AA208" i="2"/>
  <c r="Z208" i="2"/>
  <c r="Y208" i="2"/>
  <c r="X208" i="2"/>
  <c r="W208" i="2"/>
  <c r="V208" i="2"/>
  <c r="U208" i="2"/>
  <c r="T208" i="2"/>
  <c r="S208" i="2"/>
  <c r="K208" i="2"/>
  <c r="A208" i="2"/>
  <c r="AV207" i="2"/>
  <c r="AU207" i="2"/>
  <c r="AT207" i="2"/>
  <c r="AS207" i="2"/>
  <c r="AR207" i="2"/>
  <c r="AQ207" i="2"/>
  <c r="AP207" i="2"/>
  <c r="AO207" i="2"/>
  <c r="AN207" i="2"/>
  <c r="AM207" i="2"/>
  <c r="I207" i="2"/>
  <c r="H207" i="2"/>
  <c r="F207" i="2"/>
  <c r="E207" i="2"/>
  <c r="D207" i="2"/>
  <c r="AV206" i="2"/>
  <c r="AU206" i="2"/>
  <c r="AT206" i="2"/>
  <c r="AS206" i="2"/>
  <c r="AR206" i="2"/>
  <c r="AQ206" i="2"/>
  <c r="AP206" i="2"/>
  <c r="AO206" i="2"/>
  <c r="AN206" i="2"/>
  <c r="AM206" i="2"/>
  <c r="AB206" i="2"/>
  <c r="AA206" i="2"/>
  <c r="Z206" i="2"/>
  <c r="Y206" i="2"/>
  <c r="X206" i="2"/>
  <c r="W206" i="2"/>
  <c r="V206" i="2"/>
  <c r="U206" i="2"/>
  <c r="T206" i="2"/>
  <c r="S206" i="2"/>
  <c r="L206" i="2"/>
  <c r="I206" i="2"/>
  <c r="H206" i="2"/>
  <c r="F206" i="2"/>
  <c r="E206" i="2"/>
  <c r="D206" i="2"/>
  <c r="AV205" i="2"/>
  <c r="AU205" i="2"/>
  <c r="AT205" i="2"/>
  <c r="AS205" i="2"/>
  <c r="AR205" i="2"/>
  <c r="AQ205" i="2"/>
  <c r="AP205" i="2"/>
  <c r="AO205" i="2"/>
  <c r="AN205" i="2"/>
  <c r="AM205" i="2"/>
  <c r="AJ205" i="2"/>
  <c r="AF205" i="2"/>
  <c r="AB205" i="2"/>
  <c r="AA205" i="2"/>
  <c r="Z205" i="2"/>
  <c r="Y205" i="2"/>
  <c r="X205" i="2"/>
  <c r="W205" i="2"/>
  <c r="V205" i="2"/>
  <c r="U205" i="2"/>
  <c r="T205" i="2"/>
  <c r="S205" i="2"/>
  <c r="K205" i="2"/>
  <c r="A205" i="2"/>
  <c r="AV204" i="2"/>
  <c r="AU204" i="2"/>
  <c r="AT204" i="2"/>
  <c r="AS204" i="2"/>
  <c r="AR204" i="2"/>
  <c r="AQ204" i="2"/>
  <c r="AP204" i="2"/>
  <c r="AO204" i="2"/>
  <c r="AN204" i="2"/>
  <c r="AM204" i="2"/>
  <c r="I204" i="2"/>
  <c r="H204" i="2"/>
  <c r="F204" i="2"/>
  <c r="E204" i="2"/>
  <c r="D204" i="2"/>
  <c r="AV203" i="2"/>
  <c r="AU203" i="2"/>
  <c r="AT203" i="2"/>
  <c r="AS203" i="2"/>
  <c r="AR203" i="2"/>
  <c r="AQ203" i="2"/>
  <c r="AP203" i="2"/>
  <c r="AO203" i="2"/>
  <c r="AN203" i="2"/>
  <c r="AM203" i="2"/>
  <c r="AB203" i="2"/>
  <c r="AA203" i="2"/>
  <c r="Z203" i="2"/>
  <c r="Y203" i="2"/>
  <c r="X203" i="2"/>
  <c r="W203" i="2"/>
  <c r="V203" i="2"/>
  <c r="U203" i="2"/>
  <c r="T203" i="2"/>
  <c r="S203" i="2"/>
  <c r="L203" i="2"/>
  <c r="I203" i="2"/>
  <c r="H203" i="2"/>
  <c r="F203" i="2"/>
  <c r="E203" i="2"/>
  <c r="D203" i="2"/>
  <c r="AV202" i="2"/>
  <c r="AU202" i="2"/>
  <c r="AT202" i="2"/>
  <c r="AS202" i="2"/>
  <c r="AR202" i="2"/>
  <c r="AQ202" i="2"/>
  <c r="AP202" i="2"/>
  <c r="AO202" i="2"/>
  <c r="AN202" i="2"/>
  <c r="AM202" i="2"/>
  <c r="AJ202" i="2"/>
  <c r="AF202" i="2"/>
  <c r="AB202" i="2"/>
  <c r="AA202" i="2"/>
  <c r="Z202" i="2"/>
  <c r="Y202" i="2"/>
  <c r="X202" i="2"/>
  <c r="W202" i="2"/>
  <c r="V202" i="2"/>
  <c r="U202" i="2"/>
  <c r="T202" i="2"/>
  <c r="S202" i="2"/>
  <c r="K202" i="2"/>
  <c r="A202" i="2"/>
  <c r="AV201" i="2"/>
  <c r="AU201" i="2"/>
  <c r="AT201" i="2"/>
  <c r="AS201" i="2"/>
  <c r="AR201" i="2"/>
  <c r="AQ201" i="2"/>
  <c r="AP201" i="2"/>
  <c r="AO201" i="2"/>
  <c r="AN201" i="2"/>
  <c r="AM201" i="2"/>
  <c r="I201" i="2"/>
  <c r="H201" i="2"/>
  <c r="F201" i="2"/>
  <c r="E201" i="2"/>
  <c r="D201" i="2"/>
  <c r="AV200" i="2"/>
  <c r="AU200" i="2"/>
  <c r="AT200" i="2"/>
  <c r="AS200" i="2"/>
  <c r="AR200" i="2"/>
  <c r="AQ200" i="2"/>
  <c r="AP200" i="2"/>
  <c r="AO200" i="2"/>
  <c r="AN200" i="2"/>
  <c r="AM200" i="2"/>
  <c r="AB200" i="2"/>
  <c r="AA200" i="2"/>
  <c r="Z200" i="2"/>
  <c r="Y200" i="2"/>
  <c r="X200" i="2"/>
  <c r="W200" i="2"/>
  <c r="V200" i="2"/>
  <c r="U200" i="2"/>
  <c r="T200" i="2"/>
  <c r="S200" i="2"/>
  <c r="L200" i="2"/>
  <c r="I200" i="2"/>
  <c r="H200" i="2"/>
  <c r="F200" i="2"/>
  <c r="E200" i="2"/>
  <c r="D200" i="2"/>
  <c r="AV199" i="2"/>
  <c r="AU199" i="2"/>
  <c r="AT199" i="2"/>
  <c r="AS199" i="2"/>
  <c r="AR199" i="2"/>
  <c r="AQ199" i="2"/>
  <c r="AP199" i="2"/>
  <c r="AO199" i="2"/>
  <c r="AN199" i="2"/>
  <c r="AM199" i="2"/>
  <c r="AJ199" i="2"/>
  <c r="AF199" i="2"/>
  <c r="AB199" i="2"/>
  <c r="AA199" i="2"/>
  <c r="Z199" i="2"/>
  <c r="Y199" i="2"/>
  <c r="X199" i="2"/>
  <c r="W199" i="2"/>
  <c r="V199" i="2"/>
  <c r="U199" i="2"/>
  <c r="T199" i="2"/>
  <c r="S199" i="2"/>
  <c r="K199" i="2"/>
  <c r="A199" i="2"/>
  <c r="AV198" i="2"/>
  <c r="AU198" i="2"/>
  <c r="AT198" i="2"/>
  <c r="AS198" i="2"/>
  <c r="AR198" i="2"/>
  <c r="AQ198" i="2"/>
  <c r="AP198" i="2"/>
  <c r="AO198" i="2"/>
  <c r="AN198" i="2"/>
  <c r="AM198" i="2"/>
  <c r="I198" i="2"/>
  <c r="H198" i="2"/>
  <c r="F198" i="2"/>
  <c r="E198" i="2"/>
  <c r="D198" i="2"/>
  <c r="AV197" i="2"/>
  <c r="AU197" i="2"/>
  <c r="AT197" i="2"/>
  <c r="AS197" i="2"/>
  <c r="AR197" i="2"/>
  <c r="AQ197" i="2"/>
  <c r="AP197" i="2"/>
  <c r="AO197" i="2"/>
  <c r="AN197" i="2"/>
  <c r="AM197" i="2"/>
  <c r="AB197" i="2"/>
  <c r="AA197" i="2"/>
  <c r="Z197" i="2"/>
  <c r="Y197" i="2"/>
  <c r="X197" i="2"/>
  <c r="W197" i="2"/>
  <c r="V197" i="2"/>
  <c r="U197" i="2"/>
  <c r="T197" i="2"/>
  <c r="S197" i="2"/>
  <c r="L197" i="2"/>
  <c r="I197" i="2"/>
  <c r="H197" i="2"/>
  <c r="F197" i="2"/>
  <c r="E197" i="2"/>
  <c r="D197" i="2"/>
  <c r="AV196" i="2"/>
  <c r="AU196" i="2"/>
  <c r="AT196" i="2"/>
  <c r="AS196" i="2"/>
  <c r="AR196" i="2"/>
  <c r="AQ196" i="2"/>
  <c r="AP196" i="2"/>
  <c r="AO196" i="2"/>
  <c r="AN196" i="2"/>
  <c r="AM196" i="2"/>
  <c r="AJ196" i="2"/>
  <c r="AF196" i="2"/>
  <c r="AB196" i="2"/>
  <c r="AA196" i="2"/>
  <c r="Z196" i="2"/>
  <c r="Y196" i="2"/>
  <c r="X196" i="2"/>
  <c r="W196" i="2"/>
  <c r="V196" i="2"/>
  <c r="U196" i="2"/>
  <c r="T196" i="2"/>
  <c r="S196" i="2"/>
  <c r="K196" i="2"/>
  <c r="A196" i="2"/>
  <c r="AV195" i="2"/>
  <c r="AU195" i="2"/>
  <c r="AT195" i="2"/>
  <c r="AS195" i="2"/>
  <c r="AR195" i="2"/>
  <c r="AQ195" i="2"/>
  <c r="AP195" i="2"/>
  <c r="AO195" i="2"/>
  <c r="AN195" i="2"/>
  <c r="AM195" i="2"/>
  <c r="I195" i="2"/>
  <c r="H195" i="2"/>
  <c r="F195" i="2"/>
  <c r="E195" i="2"/>
  <c r="D195" i="2"/>
  <c r="AV194" i="2"/>
  <c r="AU194" i="2"/>
  <c r="AT194" i="2"/>
  <c r="AS194" i="2"/>
  <c r="AR194" i="2"/>
  <c r="AQ194" i="2"/>
  <c r="AP194" i="2"/>
  <c r="AO194" i="2"/>
  <c r="AN194" i="2"/>
  <c r="AM194" i="2"/>
  <c r="AB194" i="2"/>
  <c r="AA194" i="2"/>
  <c r="Z194" i="2"/>
  <c r="Y194" i="2"/>
  <c r="X194" i="2"/>
  <c r="W194" i="2"/>
  <c r="V194" i="2"/>
  <c r="U194" i="2"/>
  <c r="T194" i="2"/>
  <c r="S194" i="2"/>
  <c r="L194" i="2"/>
  <c r="I194" i="2"/>
  <c r="H194" i="2"/>
  <c r="F194" i="2"/>
  <c r="E194" i="2"/>
  <c r="D194" i="2"/>
  <c r="AV193" i="2"/>
  <c r="AU193" i="2"/>
  <c r="AT193" i="2"/>
  <c r="AS193" i="2"/>
  <c r="AR193" i="2"/>
  <c r="AQ193" i="2"/>
  <c r="AP193" i="2"/>
  <c r="AO193" i="2"/>
  <c r="AN193" i="2"/>
  <c r="AM193" i="2"/>
  <c r="AJ193" i="2"/>
  <c r="AF193" i="2"/>
  <c r="AB193" i="2"/>
  <c r="AA193" i="2"/>
  <c r="Z193" i="2"/>
  <c r="Y193" i="2"/>
  <c r="X193" i="2"/>
  <c r="W193" i="2"/>
  <c r="V193" i="2"/>
  <c r="U193" i="2"/>
  <c r="T193" i="2"/>
  <c r="S193" i="2"/>
  <c r="K193" i="2"/>
  <c r="A193" i="2"/>
  <c r="AV192" i="2"/>
  <c r="AU192" i="2"/>
  <c r="AT192" i="2"/>
  <c r="AS192" i="2"/>
  <c r="AR192" i="2"/>
  <c r="AQ192" i="2"/>
  <c r="AP192" i="2"/>
  <c r="AO192" i="2"/>
  <c r="AN192" i="2"/>
  <c r="AM192" i="2"/>
  <c r="I192" i="2"/>
  <c r="H192" i="2"/>
  <c r="F192" i="2"/>
  <c r="E192" i="2"/>
  <c r="D192" i="2"/>
  <c r="AV191" i="2"/>
  <c r="AU191" i="2"/>
  <c r="AT191" i="2"/>
  <c r="AS191" i="2"/>
  <c r="AR191" i="2"/>
  <c r="AQ191" i="2"/>
  <c r="AP191" i="2"/>
  <c r="AO191" i="2"/>
  <c r="AN191" i="2"/>
  <c r="AM191" i="2"/>
  <c r="AB191" i="2"/>
  <c r="AA191" i="2"/>
  <c r="Z191" i="2"/>
  <c r="Y191" i="2"/>
  <c r="X191" i="2"/>
  <c r="W191" i="2"/>
  <c r="V191" i="2"/>
  <c r="U191" i="2"/>
  <c r="T191" i="2"/>
  <c r="S191" i="2"/>
  <c r="L191" i="2"/>
  <c r="I191" i="2"/>
  <c r="H191" i="2"/>
  <c r="F191" i="2"/>
  <c r="E191" i="2"/>
  <c r="D191" i="2"/>
  <c r="AV190" i="2"/>
  <c r="AU190" i="2"/>
  <c r="AT190" i="2"/>
  <c r="AS190" i="2"/>
  <c r="AR190" i="2"/>
  <c r="AQ190" i="2"/>
  <c r="AP190" i="2"/>
  <c r="AO190" i="2"/>
  <c r="AN190" i="2"/>
  <c r="AM190" i="2"/>
  <c r="AJ190" i="2"/>
  <c r="AF190" i="2"/>
  <c r="AB190" i="2"/>
  <c r="AA190" i="2"/>
  <c r="Z190" i="2"/>
  <c r="Y190" i="2"/>
  <c r="X190" i="2"/>
  <c r="W190" i="2"/>
  <c r="V190" i="2"/>
  <c r="U190" i="2"/>
  <c r="T190" i="2"/>
  <c r="S190" i="2"/>
  <c r="K190" i="2"/>
  <c r="A190" i="2"/>
  <c r="AV189" i="2"/>
  <c r="AU189" i="2"/>
  <c r="AT189" i="2"/>
  <c r="AS189" i="2"/>
  <c r="AR189" i="2"/>
  <c r="AQ189" i="2"/>
  <c r="AP189" i="2"/>
  <c r="AO189" i="2"/>
  <c r="AN189" i="2"/>
  <c r="AM189" i="2"/>
  <c r="I189" i="2"/>
  <c r="H189" i="2"/>
  <c r="F189" i="2"/>
  <c r="E189" i="2"/>
  <c r="D189" i="2"/>
  <c r="AV188" i="2"/>
  <c r="AU188" i="2"/>
  <c r="AT188" i="2"/>
  <c r="AS188" i="2"/>
  <c r="AR188" i="2"/>
  <c r="AQ188" i="2"/>
  <c r="AP188" i="2"/>
  <c r="AO188" i="2"/>
  <c r="AN188" i="2"/>
  <c r="AM188" i="2"/>
  <c r="AB188" i="2"/>
  <c r="AA188" i="2"/>
  <c r="Z188" i="2"/>
  <c r="Y188" i="2"/>
  <c r="X188" i="2"/>
  <c r="W188" i="2"/>
  <c r="V188" i="2"/>
  <c r="U188" i="2"/>
  <c r="T188" i="2"/>
  <c r="S188" i="2"/>
  <c r="L188" i="2"/>
  <c r="I188" i="2"/>
  <c r="H188" i="2"/>
  <c r="F188" i="2"/>
  <c r="E188" i="2"/>
  <c r="D188" i="2"/>
  <c r="AV187" i="2"/>
  <c r="AU187" i="2"/>
  <c r="AT187" i="2"/>
  <c r="AS187" i="2"/>
  <c r="AR187" i="2"/>
  <c r="AQ187" i="2"/>
  <c r="AP187" i="2"/>
  <c r="AO187" i="2"/>
  <c r="AN187" i="2"/>
  <c r="AM187" i="2"/>
  <c r="AJ187" i="2"/>
  <c r="AF187" i="2"/>
  <c r="AB187" i="2"/>
  <c r="AA187" i="2"/>
  <c r="Z187" i="2"/>
  <c r="Y187" i="2"/>
  <c r="X187" i="2"/>
  <c r="W187" i="2"/>
  <c r="V187" i="2"/>
  <c r="U187" i="2"/>
  <c r="T187" i="2"/>
  <c r="S187" i="2"/>
  <c r="K187" i="2"/>
  <c r="A187" i="2"/>
  <c r="AV186" i="2"/>
  <c r="AU186" i="2"/>
  <c r="AT186" i="2"/>
  <c r="AS186" i="2"/>
  <c r="AR186" i="2"/>
  <c r="AQ186" i="2"/>
  <c r="AP186" i="2"/>
  <c r="AO186" i="2"/>
  <c r="AN186" i="2"/>
  <c r="AM186" i="2"/>
  <c r="I186" i="2"/>
  <c r="H186" i="2"/>
  <c r="F186" i="2"/>
  <c r="E186" i="2"/>
  <c r="D186" i="2"/>
  <c r="AV185" i="2"/>
  <c r="AU185" i="2"/>
  <c r="AT185" i="2"/>
  <c r="AS185" i="2"/>
  <c r="AR185" i="2"/>
  <c r="AQ185" i="2"/>
  <c r="AP185" i="2"/>
  <c r="AO185" i="2"/>
  <c r="AN185" i="2"/>
  <c r="AM185" i="2"/>
  <c r="AB185" i="2"/>
  <c r="AA185" i="2"/>
  <c r="Z185" i="2"/>
  <c r="Y185" i="2"/>
  <c r="X185" i="2"/>
  <c r="W185" i="2"/>
  <c r="V185" i="2"/>
  <c r="U185" i="2"/>
  <c r="T185" i="2"/>
  <c r="S185" i="2"/>
  <c r="L185" i="2"/>
  <c r="I185" i="2"/>
  <c r="H185" i="2"/>
  <c r="F185" i="2"/>
  <c r="E185" i="2"/>
  <c r="D185" i="2"/>
  <c r="AV184" i="2"/>
  <c r="AU184" i="2"/>
  <c r="AT184" i="2"/>
  <c r="AS184" i="2"/>
  <c r="AR184" i="2"/>
  <c r="AQ184" i="2"/>
  <c r="AP184" i="2"/>
  <c r="AO184" i="2"/>
  <c r="AN184" i="2"/>
  <c r="AM184" i="2"/>
  <c r="AJ184" i="2"/>
  <c r="AF184" i="2"/>
  <c r="AB184" i="2"/>
  <c r="AA184" i="2"/>
  <c r="Z184" i="2"/>
  <c r="Y184" i="2"/>
  <c r="X184" i="2"/>
  <c r="W184" i="2"/>
  <c r="V184" i="2"/>
  <c r="U184" i="2"/>
  <c r="T184" i="2"/>
  <c r="S184" i="2"/>
  <c r="K184" i="2"/>
  <c r="A184" i="2"/>
  <c r="AV183" i="2"/>
  <c r="AU183" i="2"/>
  <c r="AT183" i="2"/>
  <c r="AS183" i="2"/>
  <c r="AR183" i="2"/>
  <c r="AQ183" i="2"/>
  <c r="AP183" i="2"/>
  <c r="AO183" i="2"/>
  <c r="AN183" i="2"/>
  <c r="AM183" i="2"/>
  <c r="I183" i="2"/>
  <c r="H183" i="2"/>
  <c r="F183" i="2"/>
  <c r="E183" i="2"/>
  <c r="D183" i="2"/>
  <c r="AV182" i="2"/>
  <c r="AU182" i="2"/>
  <c r="AT182" i="2"/>
  <c r="AS182" i="2"/>
  <c r="AR182" i="2"/>
  <c r="AQ182" i="2"/>
  <c r="AP182" i="2"/>
  <c r="AO182" i="2"/>
  <c r="AN182" i="2"/>
  <c r="AM182" i="2"/>
  <c r="AB182" i="2"/>
  <c r="AA182" i="2"/>
  <c r="Z182" i="2"/>
  <c r="Y182" i="2"/>
  <c r="X182" i="2"/>
  <c r="W182" i="2"/>
  <c r="V182" i="2"/>
  <c r="U182" i="2"/>
  <c r="T182" i="2"/>
  <c r="S182" i="2"/>
  <c r="L182" i="2"/>
  <c r="I182" i="2"/>
  <c r="H182" i="2"/>
  <c r="F182" i="2"/>
  <c r="E182" i="2"/>
  <c r="D182" i="2"/>
  <c r="AV181" i="2"/>
  <c r="AU181" i="2"/>
  <c r="AT181" i="2"/>
  <c r="AS181" i="2"/>
  <c r="AR181" i="2"/>
  <c r="AQ181" i="2"/>
  <c r="AP181" i="2"/>
  <c r="AO181" i="2"/>
  <c r="AN181" i="2"/>
  <c r="AM181" i="2"/>
  <c r="AJ181" i="2"/>
  <c r="AF181" i="2"/>
  <c r="AB181" i="2"/>
  <c r="AA181" i="2"/>
  <c r="Z181" i="2"/>
  <c r="Y181" i="2"/>
  <c r="X181" i="2"/>
  <c r="W181" i="2"/>
  <c r="V181" i="2"/>
  <c r="U181" i="2"/>
  <c r="T181" i="2"/>
  <c r="S181" i="2"/>
  <c r="K181" i="2"/>
  <c r="A181" i="2"/>
  <c r="AV180" i="2"/>
  <c r="AU180" i="2"/>
  <c r="AT180" i="2"/>
  <c r="AS180" i="2"/>
  <c r="AR180" i="2"/>
  <c r="AQ180" i="2"/>
  <c r="AP180" i="2"/>
  <c r="AO180" i="2"/>
  <c r="AN180" i="2"/>
  <c r="AM180" i="2"/>
  <c r="I180" i="2"/>
  <c r="H180" i="2"/>
  <c r="F180" i="2"/>
  <c r="E180" i="2"/>
  <c r="D180" i="2"/>
  <c r="AV179" i="2"/>
  <c r="AU179" i="2"/>
  <c r="AT179" i="2"/>
  <c r="AS179" i="2"/>
  <c r="AR179" i="2"/>
  <c r="AQ179" i="2"/>
  <c r="AP179" i="2"/>
  <c r="AO179" i="2"/>
  <c r="AN179" i="2"/>
  <c r="AM179" i="2"/>
  <c r="AB179" i="2"/>
  <c r="AA179" i="2"/>
  <c r="Z179" i="2"/>
  <c r="Y179" i="2"/>
  <c r="X179" i="2"/>
  <c r="W179" i="2"/>
  <c r="V179" i="2"/>
  <c r="U179" i="2"/>
  <c r="T179" i="2"/>
  <c r="S179" i="2"/>
  <c r="L179" i="2"/>
  <c r="I179" i="2"/>
  <c r="H179" i="2"/>
  <c r="F179" i="2"/>
  <c r="E179" i="2"/>
  <c r="D179" i="2"/>
  <c r="AV178" i="2"/>
  <c r="AU178" i="2"/>
  <c r="AT178" i="2"/>
  <c r="AS178" i="2"/>
  <c r="AR178" i="2"/>
  <c r="AQ178" i="2"/>
  <c r="AP178" i="2"/>
  <c r="AO178" i="2"/>
  <c r="AN178" i="2"/>
  <c r="AM178" i="2"/>
  <c r="AJ178" i="2"/>
  <c r="AF178" i="2"/>
  <c r="AB178" i="2"/>
  <c r="W178" i="2"/>
  <c r="U178" i="2"/>
  <c r="T178" i="2"/>
  <c r="S178" i="2"/>
  <c r="R178" i="2"/>
  <c r="K178" i="2"/>
  <c r="A178" i="2"/>
  <c r="AV177" i="2"/>
  <c r="AU177" i="2"/>
  <c r="AT177" i="2"/>
  <c r="AS177" i="2"/>
  <c r="AR177" i="2"/>
  <c r="AQ177" i="2"/>
  <c r="AP177" i="2"/>
  <c r="AO177" i="2"/>
  <c r="AN177" i="2"/>
  <c r="AM177" i="2"/>
  <c r="I177" i="2"/>
  <c r="H177" i="2"/>
  <c r="F177" i="2"/>
  <c r="E177" i="2"/>
  <c r="D177" i="2"/>
  <c r="AV176" i="2"/>
  <c r="AU176" i="2"/>
  <c r="AT176" i="2"/>
  <c r="AS176" i="2"/>
  <c r="AR176" i="2"/>
  <c r="AQ176" i="2"/>
  <c r="AP176" i="2"/>
  <c r="AO176" i="2"/>
  <c r="AN176" i="2"/>
  <c r="AM176" i="2"/>
  <c r="AB176" i="2"/>
  <c r="AA176" i="2"/>
  <c r="Z176" i="2"/>
  <c r="Y176" i="2"/>
  <c r="X176" i="2"/>
  <c r="W176" i="2"/>
  <c r="V176" i="2"/>
  <c r="U176" i="2"/>
  <c r="T176" i="2"/>
  <c r="S176" i="2"/>
  <c r="L176" i="2"/>
  <c r="I176" i="2"/>
  <c r="H176" i="2"/>
  <c r="F176" i="2"/>
  <c r="E176" i="2"/>
  <c r="D176" i="2"/>
  <c r="AV175" i="2"/>
  <c r="AU175" i="2"/>
  <c r="AT175" i="2"/>
  <c r="AS175" i="2"/>
  <c r="AR175" i="2"/>
  <c r="AQ175" i="2"/>
  <c r="AP175" i="2"/>
  <c r="AO175" i="2"/>
  <c r="AN175" i="2"/>
  <c r="AM175" i="2"/>
  <c r="AJ175" i="2"/>
  <c r="AG175" i="2"/>
  <c r="AF175" i="2"/>
  <c r="AE175" i="2"/>
  <c r="AB175" i="2"/>
  <c r="W175" i="2"/>
  <c r="U175" i="2"/>
  <c r="T175" i="2"/>
  <c r="S175" i="2"/>
  <c r="R175" i="2"/>
  <c r="K175" i="2"/>
  <c r="F175" i="2"/>
  <c r="A175" i="2"/>
  <c r="AV174" i="2"/>
  <c r="AU174" i="2"/>
  <c r="AT174" i="2"/>
  <c r="AS174" i="2"/>
  <c r="AR174" i="2"/>
  <c r="AQ174" i="2"/>
  <c r="AP174" i="2"/>
  <c r="AO174" i="2"/>
  <c r="AN174" i="2"/>
  <c r="AM174" i="2"/>
  <c r="I174" i="2"/>
  <c r="H174" i="2"/>
  <c r="F174" i="2"/>
  <c r="E174" i="2"/>
  <c r="D174" i="2"/>
  <c r="AV173" i="2"/>
  <c r="AU173" i="2"/>
  <c r="AT173" i="2"/>
  <c r="AS173" i="2"/>
  <c r="AR173" i="2"/>
  <c r="AQ173" i="2"/>
  <c r="AP173" i="2"/>
  <c r="AO173" i="2"/>
  <c r="AN173" i="2"/>
  <c r="AM173" i="2"/>
  <c r="AB173" i="2"/>
  <c r="AA173" i="2"/>
  <c r="Z173" i="2"/>
  <c r="Y173" i="2"/>
  <c r="X173" i="2"/>
  <c r="W173" i="2"/>
  <c r="V173" i="2"/>
  <c r="U173" i="2"/>
  <c r="T173" i="2"/>
  <c r="S173" i="2"/>
  <c r="L173" i="2"/>
  <c r="I173" i="2"/>
  <c r="H173" i="2"/>
  <c r="F173" i="2"/>
  <c r="E173" i="2"/>
  <c r="D173" i="2"/>
  <c r="AV172" i="2"/>
  <c r="AU172" i="2"/>
  <c r="AT172" i="2"/>
  <c r="AS172" i="2"/>
  <c r="AR172" i="2"/>
  <c r="AQ172" i="2"/>
  <c r="AP172" i="2"/>
  <c r="AO172" i="2"/>
  <c r="AN172" i="2"/>
  <c r="AM172" i="2"/>
  <c r="AJ172" i="2"/>
  <c r="AG172" i="2"/>
  <c r="AF172" i="2"/>
  <c r="AE172" i="2"/>
  <c r="AB172" i="2"/>
  <c r="W172" i="2"/>
  <c r="U172" i="2"/>
  <c r="T172" i="2"/>
  <c r="S172" i="2"/>
  <c r="R172" i="2"/>
  <c r="K172" i="2"/>
  <c r="F172" i="2"/>
  <c r="A172" i="2"/>
  <c r="AV171" i="2"/>
  <c r="AU171" i="2"/>
  <c r="AT171" i="2"/>
  <c r="AS171" i="2"/>
  <c r="AR171" i="2"/>
  <c r="AQ171" i="2"/>
  <c r="AP171" i="2"/>
  <c r="AO171" i="2"/>
  <c r="AN171" i="2"/>
  <c r="AM171" i="2"/>
  <c r="I171" i="2"/>
  <c r="H171" i="2"/>
  <c r="F171" i="2"/>
  <c r="E171" i="2"/>
  <c r="D171" i="2"/>
  <c r="AV170" i="2"/>
  <c r="AU170" i="2"/>
  <c r="AT170" i="2"/>
  <c r="AS170" i="2"/>
  <c r="AR170" i="2"/>
  <c r="AQ170" i="2"/>
  <c r="AP170" i="2"/>
  <c r="AO170" i="2"/>
  <c r="AN170" i="2"/>
  <c r="AM170" i="2"/>
  <c r="AB170" i="2"/>
  <c r="AA170" i="2"/>
  <c r="Z170" i="2"/>
  <c r="Y170" i="2"/>
  <c r="X170" i="2"/>
  <c r="W170" i="2"/>
  <c r="V170" i="2"/>
  <c r="U170" i="2"/>
  <c r="T170" i="2"/>
  <c r="S170" i="2"/>
  <c r="L170" i="2"/>
  <c r="I170" i="2"/>
  <c r="H170" i="2"/>
  <c r="F170" i="2"/>
  <c r="E170" i="2"/>
  <c r="D170" i="2"/>
  <c r="AV169" i="2"/>
  <c r="AU169" i="2"/>
  <c r="AT169" i="2"/>
  <c r="AS169" i="2"/>
  <c r="AR169" i="2"/>
  <c r="AQ169" i="2"/>
  <c r="AP169" i="2"/>
  <c r="AO169" i="2"/>
  <c r="AN169" i="2"/>
  <c r="AM169" i="2"/>
  <c r="AJ169" i="2"/>
  <c r="AG169" i="2"/>
  <c r="AF169" i="2"/>
  <c r="AB169" i="2"/>
  <c r="W169" i="2"/>
  <c r="U169" i="2"/>
  <c r="T169" i="2"/>
  <c r="S169" i="2"/>
  <c r="R169" i="2"/>
  <c r="K169" i="2"/>
  <c r="F169" i="2"/>
  <c r="A169" i="2"/>
  <c r="AV168" i="2"/>
  <c r="AU168" i="2"/>
  <c r="AT168" i="2"/>
  <c r="AS168" i="2"/>
  <c r="AR168" i="2"/>
  <c r="AQ168" i="2"/>
  <c r="AP168" i="2"/>
  <c r="AO168" i="2"/>
  <c r="AN168" i="2"/>
  <c r="AM168" i="2"/>
  <c r="I168" i="2"/>
  <c r="H168" i="2"/>
  <c r="F168" i="2"/>
  <c r="E168" i="2"/>
  <c r="D168" i="2"/>
  <c r="AV167" i="2"/>
  <c r="AU167" i="2"/>
  <c r="AT167" i="2"/>
  <c r="AS167" i="2"/>
  <c r="AR167" i="2"/>
  <c r="AQ167" i="2"/>
  <c r="AP167" i="2"/>
  <c r="AO167" i="2"/>
  <c r="AN167" i="2"/>
  <c r="AM167" i="2"/>
  <c r="AB167" i="2"/>
  <c r="AA167" i="2"/>
  <c r="Z167" i="2"/>
  <c r="Y167" i="2"/>
  <c r="X167" i="2"/>
  <c r="W167" i="2"/>
  <c r="V167" i="2"/>
  <c r="U167" i="2"/>
  <c r="T167" i="2"/>
  <c r="S167" i="2"/>
  <c r="L167" i="2"/>
  <c r="I167" i="2"/>
  <c r="H167" i="2"/>
  <c r="F167" i="2"/>
  <c r="E167" i="2"/>
  <c r="D167" i="2"/>
  <c r="AV166" i="2"/>
  <c r="AU166" i="2"/>
  <c r="AT166" i="2"/>
  <c r="AS166" i="2"/>
  <c r="AR166" i="2"/>
  <c r="AQ166" i="2"/>
  <c r="AP166" i="2"/>
  <c r="AO166" i="2"/>
  <c r="AN166" i="2"/>
  <c r="AM166" i="2"/>
  <c r="AJ166" i="2"/>
  <c r="AG166" i="2"/>
  <c r="AF166" i="2"/>
  <c r="AB166" i="2"/>
  <c r="W166" i="2"/>
  <c r="U166" i="2"/>
  <c r="T166" i="2"/>
  <c r="S166" i="2"/>
  <c r="R166" i="2"/>
  <c r="K166" i="2"/>
  <c r="A166" i="2"/>
  <c r="AV165" i="2"/>
  <c r="AU165" i="2"/>
  <c r="AT165" i="2"/>
  <c r="AS165" i="2"/>
  <c r="AR165" i="2"/>
  <c r="AQ165" i="2"/>
  <c r="AP165" i="2"/>
  <c r="AO165" i="2"/>
  <c r="AN165" i="2"/>
  <c r="AM165" i="2"/>
  <c r="I165" i="2"/>
  <c r="H165" i="2"/>
  <c r="F165" i="2"/>
  <c r="E165" i="2"/>
  <c r="D165" i="2"/>
  <c r="AV164" i="2"/>
  <c r="AU164" i="2"/>
  <c r="AT164" i="2"/>
  <c r="AS164" i="2"/>
  <c r="AR164" i="2"/>
  <c r="AQ164" i="2"/>
  <c r="AP164" i="2"/>
  <c r="AO164" i="2"/>
  <c r="AN164" i="2"/>
  <c r="AM164" i="2"/>
  <c r="AB164" i="2"/>
  <c r="AA164" i="2"/>
  <c r="Z164" i="2"/>
  <c r="Y164" i="2"/>
  <c r="X164" i="2"/>
  <c r="W164" i="2"/>
  <c r="V164" i="2"/>
  <c r="U164" i="2"/>
  <c r="T164" i="2"/>
  <c r="S164" i="2"/>
  <c r="L164" i="2"/>
  <c r="I164" i="2"/>
  <c r="H164" i="2"/>
  <c r="F164" i="2"/>
  <c r="E164" i="2"/>
  <c r="AV163" i="2"/>
  <c r="AU163" i="2"/>
  <c r="AT163" i="2"/>
  <c r="AS163" i="2"/>
  <c r="AR163" i="2"/>
  <c r="AQ163" i="2"/>
  <c r="AP163" i="2"/>
  <c r="AO163" i="2"/>
  <c r="AN163" i="2"/>
  <c r="AM163" i="2"/>
  <c r="AJ163" i="2"/>
  <c r="AG163" i="2"/>
  <c r="AF163" i="2"/>
  <c r="AB163" i="2"/>
  <c r="W163" i="2"/>
  <c r="U163" i="2"/>
  <c r="T163" i="2"/>
  <c r="S163" i="2"/>
  <c r="R163" i="2"/>
  <c r="K163" i="2"/>
  <c r="A163" i="2"/>
  <c r="AV162" i="2"/>
  <c r="AU162" i="2"/>
  <c r="AT162" i="2"/>
  <c r="AS162" i="2"/>
  <c r="AR162" i="2"/>
  <c r="AQ162" i="2"/>
  <c r="AP162" i="2"/>
  <c r="AO162" i="2"/>
  <c r="AN162" i="2"/>
  <c r="AM162" i="2"/>
  <c r="I162" i="2"/>
  <c r="H162" i="2"/>
  <c r="F162" i="2"/>
  <c r="E162" i="2"/>
  <c r="D162" i="2"/>
  <c r="AV161" i="2"/>
  <c r="AU161" i="2"/>
  <c r="AT161" i="2"/>
  <c r="AS161" i="2"/>
  <c r="AR161" i="2"/>
  <c r="AQ161" i="2"/>
  <c r="AP161" i="2"/>
  <c r="AO161" i="2"/>
  <c r="AN161" i="2"/>
  <c r="AM161" i="2"/>
  <c r="AB161" i="2"/>
  <c r="AA161" i="2"/>
  <c r="Z161" i="2"/>
  <c r="Y161" i="2"/>
  <c r="X161" i="2"/>
  <c r="W161" i="2"/>
  <c r="V161" i="2"/>
  <c r="U161" i="2"/>
  <c r="T161" i="2"/>
  <c r="S161" i="2"/>
  <c r="L161" i="2"/>
  <c r="I161" i="2"/>
  <c r="H161" i="2"/>
  <c r="F161" i="2"/>
  <c r="E161" i="2"/>
  <c r="D161" i="2"/>
  <c r="AV160" i="2"/>
  <c r="AU160" i="2"/>
  <c r="AT160" i="2"/>
  <c r="AS160" i="2"/>
  <c r="AR160" i="2"/>
  <c r="AQ160" i="2"/>
  <c r="AP160" i="2"/>
  <c r="AO160" i="2"/>
  <c r="AN160" i="2"/>
  <c r="AM160" i="2"/>
  <c r="AJ160" i="2"/>
  <c r="AG160" i="2"/>
  <c r="AF160" i="2"/>
  <c r="AB160" i="2"/>
  <c r="W160" i="2"/>
  <c r="U160" i="2"/>
  <c r="T160" i="2"/>
  <c r="S160" i="2"/>
  <c r="R160" i="2"/>
  <c r="K160" i="2"/>
  <c r="A160" i="2"/>
  <c r="AV159" i="2"/>
  <c r="AU159" i="2"/>
  <c r="AT159" i="2"/>
  <c r="AS159" i="2"/>
  <c r="AR159" i="2"/>
  <c r="AQ159" i="2"/>
  <c r="AP159" i="2"/>
  <c r="AO159" i="2"/>
  <c r="AN159" i="2"/>
  <c r="AM159" i="2"/>
  <c r="I159" i="2"/>
  <c r="H159" i="2"/>
  <c r="F159" i="2"/>
  <c r="E159" i="2"/>
  <c r="D159" i="2"/>
  <c r="AV158" i="2"/>
  <c r="AU158" i="2"/>
  <c r="AT158" i="2"/>
  <c r="AS158" i="2"/>
  <c r="AR158" i="2"/>
  <c r="AQ158" i="2"/>
  <c r="AP158" i="2"/>
  <c r="AO158" i="2"/>
  <c r="AN158" i="2"/>
  <c r="AM158" i="2"/>
  <c r="AB158" i="2"/>
  <c r="AA158" i="2"/>
  <c r="Z158" i="2"/>
  <c r="Y158" i="2"/>
  <c r="X158" i="2"/>
  <c r="W158" i="2"/>
  <c r="V158" i="2"/>
  <c r="U158" i="2"/>
  <c r="T158" i="2"/>
  <c r="S158" i="2"/>
  <c r="L158" i="2"/>
  <c r="I158" i="2"/>
  <c r="H158" i="2"/>
  <c r="F158" i="2"/>
  <c r="E158" i="2"/>
  <c r="D158" i="2"/>
  <c r="AV157" i="2"/>
  <c r="AU157" i="2"/>
  <c r="AT157" i="2"/>
  <c r="AS157" i="2"/>
  <c r="AR157" i="2"/>
  <c r="AQ157" i="2"/>
  <c r="AP157" i="2"/>
  <c r="AO157" i="2"/>
  <c r="AN157" i="2"/>
  <c r="AM157" i="2"/>
  <c r="AJ157" i="2"/>
  <c r="AG157" i="2"/>
  <c r="AF157" i="2"/>
  <c r="AB157" i="2"/>
  <c r="W157" i="2"/>
  <c r="U157" i="2"/>
  <c r="T157" i="2"/>
  <c r="S157" i="2"/>
  <c r="R157" i="2"/>
  <c r="K157" i="2"/>
  <c r="A157" i="2"/>
  <c r="AV156" i="2"/>
  <c r="AU156" i="2"/>
  <c r="AT156" i="2"/>
  <c r="AS156" i="2"/>
  <c r="AR156" i="2"/>
  <c r="AQ156" i="2"/>
  <c r="AP156" i="2"/>
  <c r="AO156" i="2"/>
  <c r="AN156" i="2"/>
  <c r="AM156" i="2"/>
  <c r="I156" i="2"/>
  <c r="H156" i="2"/>
  <c r="F156" i="2"/>
  <c r="E156" i="2"/>
  <c r="D156" i="2"/>
  <c r="AV155" i="2"/>
  <c r="AU155" i="2"/>
  <c r="AT155" i="2"/>
  <c r="AS155" i="2"/>
  <c r="AR155" i="2"/>
  <c r="AQ155" i="2"/>
  <c r="AP155" i="2"/>
  <c r="AO155" i="2"/>
  <c r="AN155" i="2"/>
  <c r="AM155" i="2"/>
  <c r="AB155" i="2"/>
  <c r="AA155" i="2"/>
  <c r="Z155" i="2"/>
  <c r="Y155" i="2"/>
  <c r="X155" i="2"/>
  <c r="W155" i="2"/>
  <c r="V155" i="2"/>
  <c r="U155" i="2"/>
  <c r="T155" i="2"/>
  <c r="S155" i="2"/>
  <c r="L155" i="2"/>
  <c r="I155" i="2"/>
  <c r="H155" i="2"/>
  <c r="F155" i="2"/>
  <c r="E155" i="2"/>
  <c r="D155" i="2"/>
  <c r="AV154" i="2"/>
  <c r="AU154" i="2"/>
  <c r="AT154" i="2"/>
  <c r="AS154" i="2"/>
  <c r="AR154" i="2"/>
  <c r="AQ154" i="2"/>
  <c r="AP154" i="2"/>
  <c r="AO154" i="2"/>
  <c r="AN154" i="2"/>
  <c r="AM154" i="2"/>
  <c r="AJ154" i="2"/>
  <c r="AG154" i="2"/>
  <c r="AF154" i="2"/>
  <c r="AB154" i="2"/>
  <c r="W154" i="2"/>
  <c r="U154" i="2"/>
  <c r="T154" i="2"/>
  <c r="S154" i="2"/>
  <c r="R154" i="2"/>
  <c r="K154" i="2"/>
  <c r="A154" i="2"/>
  <c r="AV153" i="2"/>
  <c r="AU153" i="2"/>
  <c r="AT153" i="2"/>
  <c r="AS153" i="2"/>
  <c r="AR153" i="2"/>
  <c r="AQ153" i="2"/>
  <c r="AP153" i="2"/>
  <c r="AO153" i="2"/>
  <c r="AN153" i="2"/>
  <c r="AM153" i="2"/>
  <c r="I153" i="2"/>
  <c r="H153" i="2"/>
  <c r="F153" i="2"/>
  <c r="E153" i="2"/>
  <c r="D153" i="2"/>
  <c r="AV152" i="2"/>
  <c r="AU152" i="2"/>
  <c r="AT152" i="2"/>
  <c r="AS152" i="2"/>
  <c r="AR152" i="2"/>
  <c r="AQ152" i="2"/>
  <c r="AP152" i="2"/>
  <c r="AO152" i="2"/>
  <c r="AN152" i="2"/>
  <c r="AM152" i="2"/>
  <c r="AB152" i="2"/>
  <c r="AA152" i="2"/>
  <c r="Z152" i="2"/>
  <c r="Y152" i="2"/>
  <c r="X152" i="2"/>
  <c r="W152" i="2"/>
  <c r="V152" i="2"/>
  <c r="U152" i="2"/>
  <c r="T152" i="2"/>
  <c r="S152" i="2"/>
  <c r="L152" i="2"/>
  <c r="I152" i="2"/>
  <c r="H152" i="2"/>
  <c r="F152" i="2"/>
  <c r="E152" i="2"/>
  <c r="D152" i="2"/>
  <c r="AV151" i="2"/>
  <c r="AU151" i="2"/>
  <c r="AT151" i="2"/>
  <c r="AS151" i="2"/>
  <c r="AR151" i="2"/>
  <c r="AQ151" i="2"/>
  <c r="AP151" i="2"/>
  <c r="AO151" i="2"/>
  <c r="AN151" i="2"/>
  <c r="AM151" i="2"/>
  <c r="AJ151" i="2"/>
  <c r="AG151" i="2"/>
  <c r="AF151" i="2"/>
  <c r="AB151" i="2"/>
  <c r="W151" i="2"/>
  <c r="U151" i="2"/>
  <c r="T151" i="2"/>
  <c r="S151" i="2"/>
  <c r="R151" i="2"/>
  <c r="K151" i="2"/>
  <c r="A151" i="2"/>
  <c r="AV150" i="2"/>
  <c r="AU150" i="2"/>
  <c r="AT150" i="2"/>
  <c r="AS150" i="2"/>
  <c r="AR150" i="2"/>
  <c r="AQ150" i="2"/>
  <c r="AP150" i="2"/>
  <c r="AO150" i="2"/>
  <c r="AN150" i="2"/>
  <c r="AM150" i="2"/>
  <c r="I150" i="2"/>
  <c r="H150" i="2"/>
  <c r="F150" i="2"/>
  <c r="E150" i="2"/>
  <c r="D150" i="2"/>
  <c r="AV149" i="2"/>
  <c r="AU149" i="2"/>
  <c r="AT149" i="2"/>
  <c r="AS149" i="2"/>
  <c r="AR149" i="2"/>
  <c r="AQ149" i="2"/>
  <c r="AP149" i="2"/>
  <c r="AO149" i="2"/>
  <c r="AN149" i="2"/>
  <c r="AM149" i="2"/>
  <c r="AB149" i="2"/>
  <c r="AA149" i="2"/>
  <c r="Z149" i="2"/>
  <c r="Y149" i="2"/>
  <c r="X149" i="2"/>
  <c r="W149" i="2"/>
  <c r="V149" i="2"/>
  <c r="U149" i="2"/>
  <c r="T149" i="2"/>
  <c r="S149" i="2"/>
  <c r="L149" i="2"/>
  <c r="I149" i="2"/>
  <c r="F149" i="2"/>
  <c r="E149" i="2"/>
  <c r="D149" i="2"/>
  <c r="AV148" i="2"/>
  <c r="AU148" i="2"/>
  <c r="AT148" i="2"/>
  <c r="AS148" i="2"/>
  <c r="AR148" i="2"/>
  <c r="AQ148" i="2"/>
  <c r="AP148" i="2"/>
  <c r="AO148" i="2"/>
  <c r="AN148" i="2"/>
  <c r="AM148" i="2"/>
  <c r="AJ148" i="2"/>
  <c r="AG148" i="2"/>
  <c r="AF148" i="2"/>
  <c r="AE148" i="2"/>
  <c r="AB148" i="2"/>
  <c r="W148" i="2"/>
  <c r="U148" i="2"/>
  <c r="T148" i="2"/>
  <c r="S148" i="2"/>
  <c r="R148" i="2"/>
  <c r="K148" i="2"/>
  <c r="A148" i="2"/>
  <c r="AV147" i="2"/>
  <c r="AU147" i="2"/>
  <c r="AT147" i="2"/>
  <c r="AS147" i="2"/>
  <c r="AR147" i="2"/>
  <c r="AQ147" i="2"/>
  <c r="AP147" i="2"/>
  <c r="AO147" i="2"/>
  <c r="AN147" i="2"/>
  <c r="AM147" i="2"/>
  <c r="I147" i="2"/>
  <c r="H147" i="2"/>
  <c r="F147" i="2"/>
  <c r="E147" i="2"/>
  <c r="D147" i="2"/>
  <c r="AV146" i="2"/>
  <c r="AU146" i="2"/>
  <c r="AT146" i="2"/>
  <c r="AS146" i="2"/>
  <c r="AR146" i="2"/>
  <c r="AQ146" i="2"/>
  <c r="AP146" i="2"/>
  <c r="AO146" i="2"/>
  <c r="AN146" i="2"/>
  <c r="AM146" i="2"/>
  <c r="AB146" i="2"/>
  <c r="AA146" i="2"/>
  <c r="Z146" i="2"/>
  <c r="Y146" i="2"/>
  <c r="X146" i="2"/>
  <c r="W146" i="2"/>
  <c r="V146" i="2"/>
  <c r="U146" i="2"/>
  <c r="T146" i="2"/>
  <c r="S146" i="2"/>
  <c r="L146" i="2"/>
  <c r="I146" i="2"/>
  <c r="H146" i="2"/>
  <c r="F146" i="2"/>
  <c r="E146" i="2"/>
  <c r="D146" i="2"/>
  <c r="AV145" i="2"/>
  <c r="AU145" i="2"/>
  <c r="AT145" i="2"/>
  <c r="AS145" i="2"/>
  <c r="AR145" i="2"/>
  <c r="AQ145" i="2"/>
  <c r="AP145" i="2"/>
  <c r="AO145" i="2"/>
  <c r="AN145" i="2"/>
  <c r="AM145" i="2"/>
  <c r="AJ145" i="2"/>
  <c r="AG145" i="2"/>
  <c r="AF145" i="2"/>
  <c r="AB145" i="2"/>
  <c r="W145" i="2"/>
  <c r="U145" i="2"/>
  <c r="T145" i="2"/>
  <c r="S145" i="2"/>
  <c r="R145" i="2"/>
  <c r="K145" i="2"/>
  <c r="A145" i="2"/>
  <c r="AV144" i="2"/>
  <c r="AU144" i="2"/>
  <c r="AT144" i="2"/>
  <c r="AS144" i="2"/>
  <c r="AR144" i="2"/>
  <c r="AQ144" i="2"/>
  <c r="AP144" i="2"/>
  <c r="AO144" i="2"/>
  <c r="AN144" i="2"/>
  <c r="AM144" i="2"/>
  <c r="I144" i="2"/>
  <c r="H144" i="2"/>
  <c r="F144" i="2"/>
  <c r="E144" i="2"/>
  <c r="D144" i="2"/>
  <c r="AV143" i="2"/>
  <c r="AU143" i="2"/>
  <c r="AT143" i="2"/>
  <c r="AS143" i="2"/>
  <c r="AR143" i="2"/>
  <c r="AQ143" i="2"/>
  <c r="AP143" i="2"/>
  <c r="AO143" i="2"/>
  <c r="AN143" i="2"/>
  <c r="AM143" i="2"/>
  <c r="AB143" i="2"/>
  <c r="AA143" i="2"/>
  <c r="Z143" i="2"/>
  <c r="Y143" i="2"/>
  <c r="X143" i="2"/>
  <c r="W143" i="2"/>
  <c r="V143" i="2"/>
  <c r="U143" i="2"/>
  <c r="T143" i="2"/>
  <c r="S143" i="2"/>
  <c r="L143" i="2"/>
  <c r="I143" i="2"/>
  <c r="H143" i="2"/>
  <c r="F143" i="2"/>
  <c r="E143" i="2"/>
  <c r="D143" i="2"/>
  <c r="AV142" i="2"/>
  <c r="AU142" i="2"/>
  <c r="AT142" i="2"/>
  <c r="AS142" i="2"/>
  <c r="AR142" i="2"/>
  <c r="AQ142" i="2"/>
  <c r="AP142" i="2"/>
  <c r="AO142" i="2"/>
  <c r="AN142" i="2"/>
  <c r="AM142" i="2"/>
  <c r="AJ142" i="2"/>
  <c r="AG142" i="2"/>
  <c r="AF142" i="2"/>
  <c r="AE142" i="2"/>
  <c r="AB142" i="2"/>
  <c r="W142" i="2"/>
  <c r="U142" i="2"/>
  <c r="T142" i="2"/>
  <c r="S142" i="2"/>
  <c r="R142" i="2"/>
  <c r="K142" i="2"/>
  <c r="A142" i="2"/>
  <c r="AV141" i="2"/>
  <c r="AU141" i="2"/>
  <c r="AT141" i="2"/>
  <c r="AS141" i="2"/>
  <c r="AR141" i="2"/>
  <c r="AQ141" i="2"/>
  <c r="AP141" i="2"/>
  <c r="AO141" i="2"/>
  <c r="AN141" i="2"/>
  <c r="AM141" i="2"/>
  <c r="I141" i="2"/>
  <c r="H141" i="2"/>
  <c r="F141" i="2"/>
  <c r="E141" i="2"/>
  <c r="D141" i="2"/>
  <c r="AV140" i="2"/>
  <c r="AU140" i="2"/>
  <c r="AT140" i="2"/>
  <c r="AS140" i="2"/>
  <c r="AR140" i="2"/>
  <c r="AQ140" i="2"/>
  <c r="AP140" i="2"/>
  <c r="AO140" i="2"/>
  <c r="AN140" i="2"/>
  <c r="AM140" i="2"/>
  <c r="AB140" i="2"/>
  <c r="AA140" i="2"/>
  <c r="Z140" i="2"/>
  <c r="Y140" i="2"/>
  <c r="X140" i="2"/>
  <c r="W140" i="2"/>
  <c r="V140" i="2"/>
  <c r="U140" i="2"/>
  <c r="T140" i="2"/>
  <c r="S140" i="2"/>
  <c r="L140" i="2"/>
  <c r="I140" i="2"/>
  <c r="H140" i="2"/>
  <c r="F140" i="2"/>
  <c r="E140" i="2"/>
  <c r="D140" i="2"/>
  <c r="AV139" i="2"/>
  <c r="AU139" i="2"/>
  <c r="AT139" i="2"/>
  <c r="AS139" i="2"/>
  <c r="AR139" i="2"/>
  <c r="AQ139" i="2"/>
  <c r="AP139" i="2"/>
  <c r="AO139" i="2"/>
  <c r="AN139" i="2"/>
  <c r="AM139" i="2"/>
  <c r="AJ139" i="2"/>
  <c r="AG139" i="2"/>
  <c r="AF139" i="2"/>
  <c r="AB139" i="2"/>
  <c r="W139" i="2"/>
  <c r="U139" i="2"/>
  <c r="T139" i="2"/>
  <c r="S139" i="2"/>
  <c r="R139" i="2"/>
  <c r="K139" i="2"/>
  <c r="A139" i="2"/>
  <c r="AV138" i="2"/>
  <c r="AU138" i="2"/>
  <c r="AT138" i="2"/>
  <c r="AS138" i="2"/>
  <c r="AR138" i="2"/>
  <c r="AQ138" i="2"/>
  <c r="AP138" i="2"/>
  <c r="AO138" i="2"/>
  <c r="AN138" i="2"/>
  <c r="AM138" i="2"/>
  <c r="I138" i="2"/>
  <c r="H138" i="2"/>
  <c r="F138" i="2"/>
  <c r="E138" i="2"/>
  <c r="D138" i="2"/>
  <c r="AV137" i="2"/>
  <c r="AU137" i="2"/>
  <c r="AT137" i="2"/>
  <c r="AS137" i="2"/>
  <c r="AR137" i="2"/>
  <c r="AQ137" i="2"/>
  <c r="AP137" i="2"/>
  <c r="AO137" i="2"/>
  <c r="AN137" i="2"/>
  <c r="AM137" i="2"/>
  <c r="AB137" i="2"/>
  <c r="AA137" i="2"/>
  <c r="Z137" i="2"/>
  <c r="Y137" i="2"/>
  <c r="X137" i="2"/>
  <c r="W137" i="2"/>
  <c r="V137" i="2"/>
  <c r="U137" i="2"/>
  <c r="T137" i="2"/>
  <c r="S137" i="2"/>
  <c r="L137" i="2"/>
  <c r="I137" i="2"/>
  <c r="H137" i="2"/>
  <c r="F137" i="2"/>
  <c r="E137" i="2"/>
  <c r="D137" i="2"/>
  <c r="AV136" i="2"/>
  <c r="AU136" i="2"/>
  <c r="AT136" i="2"/>
  <c r="AS136" i="2"/>
  <c r="AR136" i="2"/>
  <c r="AQ136" i="2"/>
  <c r="AP136" i="2"/>
  <c r="AO136" i="2"/>
  <c r="AN136" i="2"/>
  <c r="AM136" i="2"/>
  <c r="AJ136" i="2"/>
  <c r="AG136" i="2"/>
  <c r="AF136" i="2"/>
  <c r="AB136" i="2"/>
  <c r="W136" i="2"/>
  <c r="U136" i="2"/>
  <c r="T136" i="2"/>
  <c r="S136" i="2"/>
  <c r="R136" i="2"/>
  <c r="K136" i="2"/>
  <c r="A136" i="2"/>
  <c r="AV135" i="2"/>
  <c r="AU135" i="2"/>
  <c r="AT135" i="2"/>
  <c r="AS135" i="2"/>
  <c r="AR135" i="2"/>
  <c r="AQ135" i="2"/>
  <c r="AP135" i="2"/>
  <c r="AO135" i="2"/>
  <c r="AN135" i="2"/>
  <c r="AM135" i="2"/>
  <c r="I135" i="2"/>
  <c r="H135" i="2"/>
  <c r="F135" i="2"/>
  <c r="E135" i="2"/>
  <c r="D135" i="2"/>
  <c r="AV134" i="2"/>
  <c r="AU134" i="2"/>
  <c r="AT134" i="2"/>
  <c r="AS134" i="2"/>
  <c r="AR134" i="2"/>
  <c r="AQ134" i="2"/>
  <c r="AP134" i="2"/>
  <c r="AO134" i="2"/>
  <c r="AN134" i="2"/>
  <c r="AM134" i="2"/>
  <c r="AB134" i="2"/>
  <c r="AA134" i="2"/>
  <c r="Z134" i="2"/>
  <c r="Y134" i="2"/>
  <c r="X134" i="2"/>
  <c r="W134" i="2"/>
  <c r="V134" i="2"/>
  <c r="U134" i="2"/>
  <c r="T134" i="2"/>
  <c r="S134" i="2"/>
  <c r="L134" i="2"/>
  <c r="I134" i="2"/>
  <c r="H134" i="2"/>
  <c r="F134" i="2"/>
  <c r="E134" i="2"/>
  <c r="D134" i="2"/>
  <c r="AV133" i="2"/>
  <c r="AU133" i="2"/>
  <c r="AT133" i="2"/>
  <c r="AS133" i="2"/>
  <c r="AR133" i="2"/>
  <c r="AQ133" i="2"/>
  <c r="AP133" i="2"/>
  <c r="AO133" i="2"/>
  <c r="AN133" i="2"/>
  <c r="AM133" i="2"/>
  <c r="AJ133" i="2"/>
  <c r="AG133" i="2"/>
  <c r="AF133" i="2"/>
  <c r="AE133" i="2"/>
  <c r="AB133" i="2"/>
  <c r="W133" i="2"/>
  <c r="U133" i="2"/>
  <c r="T133" i="2"/>
  <c r="S133" i="2"/>
  <c r="R133" i="2"/>
  <c r="K133" i="2"/>
  <c r="A133" i="2"/>
  <c r="AV132" i="2"/>
  <c r="AU132" i="2"/>
  <c r="AT132" i="2"/>
  <c r="AS132" i="2"/>
  <c r="AR132" i="2"/>
  <c r="AQ132" i="2"/>
  <c r="AP132" i="2"/>
  <c r="AO132" i="2"/>
  <c r="AN132" i="2"/>
  <c r="AM132" i="2"/>
  <c r="I132" i="2"/>
  <c r="H132" i="2"/>
  <c r="F132" i="2"/>
  <c r="E132" i="2"/>
  <c r="D132" i="2"/>
  <c r="AV131" i="2"/>
  <c r="AU131" i="2"/>
  <c r="AT131" i="2"/>
  <c r="AS131" i="2"/>
  <c r="AR131" i="2"/>
  <c r="AQ131" i="2"/>
  <c r="AP131" i="2"/>
  <c r="AO131" i="2"/>
  <c r="AN131" i="2"/>
  <c r="AM131" i="2"/>
  <c r="AB131" i="2"/>
  <c r="AA131" i="2"/>
  <c r="Z131" i="2"/>
  <c r="Y131" i="2"/>
  <c r="X131" i="2"/>
  <c r="W131" i="2"/>
  <c r="V131" i="2"/>
  <c r="U131" i="2"/>
  <c r="T131" i="2"/>
  <c r="S131" i="2"/>
  <c r="L131" i="2"/>
  <c r="I131" i="2"/>
  <c r="H131" i="2"/>
  <c r="F131" i="2"/>
  <c r="E131" i="2"/>
  <c r="D131" i="2"/>
  <c r="AV130" i="2"/>
  <c r="AU130" i="2"/>
  <c r="AT130" i="2"/>
  <c r="AS130" i="2"/>
  <c r="AR130" i="2"/>
  <c r="AQ130" i="2"/>
  <c r="AP130" i="2"/>
  <c r="AO130" i="2"/>
  <c r="AN130" i="2"/>
  <c r="AM130" i="2"/>
  <c r="AJ130" i="2"/>
  <c r="AG130" i="2"/>
  <c r="AF130" i="2"/>
  <c r="AE130" i="2"/>
  <c r="AB130" i="2"/>
  <c r="W130" i="2"/>
  <c r="U130" i="2"/>
  <c r="T130" i="2"/>
  <c r="S130" i="2"/>
  <c r="R130" i="2"/>
  <c r="K130" i="2"/>
  <c r="A130" i="2"/>
  <c r="AV129" i="2"/>
  <c r="AU129" i="2"/>
  <c r="AT129" i="2"/>
  <c r="AS129" i="2"/>
  <c r="AR129" i="2"/>
  <c r="AQ129" i="2"/>
  <c r="AP129" i="2"/>
  <c r="AO129" i="2"/>
  <c r="AN129" i="2"/>
  <c r="AM129" i="2"/>
  <c r="I129" i="2"/>
  <c r="H129" i="2"/>
  <c r="F129" i="2"/>
  <c r="E129" i="2"/>
  <c r="D129" i="2"/>
  <c r="AV128" i="2"/>
  <c r="AU128" i="2"/>
  <c r="AT128" i="2"/>
  <c r="AS128" i="2"/>
  <c r="AR128" i="2"/>
  <c r="AQ128" i="2"/>
  <c r="AP128" i="2"/>
  <c r="AO128" i="2"/>
  <c r="AN128" i="2"/>
  <c r="AM128" i="2"/>
  <c r="AB128" i="2"/>
  <c r="AA128" i="2"/>
  <c r="Z128" i="2"/>
  <c r="Y128" i="2"/>
  <c r="X128" i="2"/>
  <c r="W128" i="2"/>
  <c r="V128" i="2"/>
  <c r="U128" i="2"/>
  <c r="T128" i="2"/>
  <c r="S128" i="2"/>
  <c r="L128" i="2"/>
  <c r="I128" i="2"/>
  <c r="H128" i="2"/>
  <c r="F128" i="2"/>
  <c r="E128" i="2"/>
  <c r="D128" i="2"/>
  <c r="AV127" i="2"/>
  <c r="AU127" i="2"/>
  <c r="AT127" i="2"/>
  <c r="AS127" i="2"/>
  <c r="AR127" i="2"/>
  <c r="AQ127" i="2"/>
  <c r="AP127" i="2"/>
  <c r="AO127" i="2"/>
  <c r="AN127" i="2"/>
  <c r="AM127" i="2"/>
  <c r="AJ127" i="2"/>
  <c r="AG127" i="2"/>
  <c r="AF127" i="2"/>
  <c r="AE127" i="2"/>
  <c r="AB127" i="2"/>
  <c r="W127" i="2"/>
  <c r="U127" i="2"/>
  <c r="T127" i="2"/>
  <c r="S127" i="2"/>
  <c r="R127" i="2"/>
  <c r="K127" i="2"/>
  <c r="A127" i="2"/>
  <c r="AV126" i="2"/>
  <c r="AU126" i="2"/>
  <c r="AT126" i="2"/>
  <c r="AS126" i="2"/>
  <c r="AR126" i="2"/>
  <c r="AQ126" i="2"/>
  <c r="AP126" i="2"/>
  <c r="AO126" i="2"/>
  <c r="AN126" i="2"/>
  <c r="AM126" i="2"/>
  <c r="I126" i="2"/>
  <c r="H126" i="2"/>
  <c r="F126" i="2"/>
  <c r="E126" i="2"/>
  <c r="D126" i="2"/>
  <c r="AV125" i="2"/>
  <c r="AU125" i="2"/>
  <c r="AT125" i="2"/>
  <c r="AS125" i="2"/>
  <c r="AR125" i="2"/>
  <c r="AQ125" i="2"/>
  <c r="AP125" i="2"/>
  <c r="AO125" i="2"/>
  <c r="AN125" i="2"/>
  <c r="AM125" i="2"/>
  <c r="AB125" i="2"/>
  <c r="AA125" i="2"/>
  <c r="Z125" i="2"/>
  <c r="Y125" i="2"/>
  <c r="X125" i="2"/>
  <c r="W125" i="2"/>
  <c r="V125" i="2"/>
  <c r="U125" i="2"/>
  <c r="T125" i="2"/>
  <c r="S125" i="2"/>
  <c r="L125" i="2"/>
  <c r="I125" i="2"/>
  <c r="H125" i="2"/>
  <c r="F125" i="2"/>
  <c r="E125" i="2"/>
  <c r="D125" i="2"/>
  <c r="AV124" i="2"/>
  <c r="AU124" i="2"/>
  <c r="AT124" i="2"/>
  <c r="AS124" i="2"/>
  <c r="AR124" i="2"/>
  <c r="AQ124" i="2"/>
  <c r="AP124" i="2"/>
  <c r="AO124" i="2"/>
  <c r="AN124" i="2"/>
  <c r="AM124" i="2"/>
  <c r="AJ124" i="2"/>
  <c r="AG124" i="2"/>
  <c r="AF124" i="2"/>
  <c r="AE124" i="2"/>
  <c r="AB124" i="2"/>
  <c r="W124" i="2"/>
  <c r="U124" i="2"/>
  <c r="T124" i="2"/>
  <c r="S124" i="2"/>
  <c r="R124" i="2"/>
  <c r="K124" i="2"/>
  <c r="A124" i="2"/>
  <c r="AV123" i="2"/>
  <c r="AU123" i="2"/>
  <c r="AT123" i="2"/>
  <c r="AS123" i="2"/>
  <c r="AR123" i="2"/>
  <c r="AQ123" i="2"/>
  <c r="AP123" i="2"/>
  <c r="AO123" i="2"/>
  <c r="AN123" i="2"/>
  <c r="AM123" i="2"/>
  <c r="I123" i="2"/>
  <c r="H123" i="2"/>
  <c r="F123" i="2"/>
  <c r="E123" i="2"/>
  <c r="D123" i="2"/>
  <c r="AV122" i="2"/>
  <c r="AU122" i="2"/>
  <c r="AT122" i="2"/>
  <c r="AS122" i="2"/>
  <c r="AR122" i="2"/>
  <c r="AQ122" i="2"/>
  <c r="AP122" i="2"/>
  <c r="AO122" i="2"/>
  <c r="AN122" i="2"/>
  <c r="AM122" i="2"/>
  <c r="AB122" i="2"/>
  <c r="AA122" i="2"/>
  <c r="Z122" i="2"/>
  <c r="Y122" i="2"/>
  <c r="X122" i="2"/>
  <c r="W122" i="2"/>
  <c r="V122" i="2"/>
  <c r="U122" i="2"/>
  <c r="T122" i="2"/>
  <c r="S122" i="2"/>
  <c r="L122" i="2"/>
  <c r="I122" i="2"/>
  <c r="H122" i="2"/>
  <c r="F122" i="2"/>
  <c r="E122" i="2"/>
  <c r="D122" i="2"/>
  <c r="AV121" i="2"/>
  <c r="AU121" i="2"/>
  <c r="AT121" i="2"/>
  <c r="AS121" i="2"/>
  <c r="AR121" i="2"/>
  <c r="AQ121" i="2"/>
  <c r="AP121" i="2"/>
  <c r="AO121" i="2"/>
  <c r="AN121" i="2"/>
  <c r="AM121" i="2"/>
  <c r="AJ121" i="2"/>
  <c r="AG121" i="2"/>
  <c r="AF121" i="2"/>
  <c r="AB121" i="2"/>
  <c r="W121" i="2"/>
  <c r="U121" i="2"/>
  <c r="T121" i="2"/>
  <c r="S121" i="2"/>
  <c r="R121" i="2"/>
  <c r="K121" i="2"/>
  <c r="A121" i="2"/>
  <c r="AV120" i="2"/>
  <c r="AU120" i="2"/>
  <c r="AT120" i="2"/>
  <c r="AS120" i="2"/>
  <c r="AR120" i="2"/>
  <c r="AQ120" i="2"/>
  <c r="AP120" i="2"/>
  <c r="AO120" i="2"/>
  <c r="AN120" i="2"/>
  <c r="AM120" i="2"/>
  <c r="I120" i="2"/>
  <c r="H120" i="2"/>
  <c r="F120" i="2"/>
  <c r="E120" i="2"/>
  <c r="D120" i="2"/>
  <c r="AV119" i="2"/>
  <c r="AU119" i="2"/>
  <c r="AT119" i="2"/>
  <c r="AS119" i="2"/>
  <c r="AR119" i="2"/>
  <c r="AQ119" i="2"/>
  <c r="AP119" i="2"/>
  <c r="AO119" i="2"/>
  <c r="AN119" i="2"/>
  <c r="AM119" i="2"/>
  <c r="AB119" i="2"/>
  <c r="AA119" i="2"/>
  <c r="Z119" i="2"/>
  <c r="Y119" i="2"/>
  <c r="X119" i="2"/>
  <c r="W119" i="2"/>
  <c r="V119" i="2"/>
  <c r="U119" i="2"/>
  <c r="T119" i="2"/>
  <c r="S119" i="2"/>
  <c r="L119" i="2"/>
  <c r="I119" i="2"/>
  <c r="H119" i="2"/>
  <c r="F119" i="2"/>
  <c r="E119" i="2"/>
  <c r="D119" i="2"/>
  <c r="AV118" i="2"/>
  <c r="AU118" i="2"/>
  <c r="AT118" i="2"/>
  <c r="AS118" i="2"/>
  <c r="AR118" i="2"/>
  <c r="AQ118" i="2"/>
  <c r="AP118" i="2"/>
  <c r="AO118" i="2"/>
  <c r="AN118" i="2"/>
  <c r="AM118" i="2"/>
  <c r="AJ118" i="2"/>
  <c r="AG118" i="2"/>
  <c r="AF118" i="2"/>
  <c r="AE118" i="2"/>
  <c r="AB118" i="2"/>
  <c r="W118" i="2"/>
  <c r="U118" i="2"/>
  <c r="T118" i="2"/>
  <c r="S118" i="2"/>
  <c r="R118" i="2"/>
  <c r="K118" i="2"/>
  <c r="A118" i="2"/>
  <c r="AV117" i="2"/>
  <c r="AU117" i="2"/>
  <c r="AT117" i="2"/>
  <c r="AS117" i="2"/>
  <c r="AR117" i="2"/>
  <c r="AQ117" i="2"/>
  <c r="AP117" i="2"/>
  <c r="AO117" i="2"/>
  <c r="AN117" i="2"/>
  <c r="AM117" i="2"/>
  <c r="I117" i="2"/>
  <c r="H117" i="2"/>
  <c r="F117" i="2"/>
  <c r="E117" i="2"/>
  <c r="D117" i="2"/>
  <c r="AV116" i="2"/>
  <c r="AU116" i="2"/>
  <c r="AT116" i="2"/>
  <c r="AS116" i="2"/>
  <c r="AR116" i="2"/>
  <c r="AQ116" i="2"/>
  <c r="AP116" i="2"/>
  <c r="AO116" i="2"/>
  <c r="AN116" i="2"/>
  <c r="AM116" i="2"/>
  <c r="AB116" i="2"/>
  <c r="AA116" i="2"/>
  <c r="Z116" i="2"/>
  <c r="Y116" i="2"/>
  <c r="X116" i="2"/>
  <c r="W116" i="2"/>
  <c r="V116" i="2"/>
  <c r="U116" i="2"/>
  <c r="T116" i="2"/>
  <c r="S116" i="2"/>
  <c r="L116" i="2"/>
  <c r="I116" i="2"/>
  <c r="H116" i="2"/>
  <c r="F116" i="2"/>
  <c r="E116" i="2"/>
  <c r="D116" i="2"/>
  <c r="AV115" i="2"/>
  <c r="AU115" i="2"/>
  <c r="AT115" i="2"/>
  <c r="AS115" i="2"/>
  <c r="AR115" i="2"/>
  <c r="AQ115" i="2"/>
  <c r="AP115" i="2"/>
  <c r="AO115" i="2"/>
  <c r="AN115" i="2"/>
  <c r="AM115" i="2"/>
  <c r="AJ115" i="2"/>
  <c r="AG115" i="2"/>
  <c r="AF115" i="2"/>
  <c r="AB115" i="2"/>
  <c r="W115" i="2"/>
  <c r="U115" i="2"/>
  <c r="T115" i="2"/>
  <c r="S115" i="2"/>
  <c r="R115" i="2"/>
  <c r="K115" i="2"/>
  <c r="A115" i="2"/>
  <c r="AV114" i="2"/>
  <c r="AU114" i="2"/>
  <c r="AT114" i="2"/>
  <c r="AS114" i="2"/>
  <c r="AR114" i="2"/>
  <c r="AQ114" i="2"/>
  <c r="AP114" i="2"/>
  <c r="AO114" i="2"/>
  <c r="AN114" i="2"/>
  <c r="AM114" i="2"/>
  <c r="I114" i="2"/>
  <c r="H114" i="2"/>
  <c r="F114" i="2"/>
  <c r="E114" i="2"/>
  <c r="D114" i="2"/>
  <c r="AV113" i="2"/>
  <c r="AU113" i="2"/>
  <c r="AT113" i="2"/>
  <c r="AS113" i="2"/>
  <c r="AR113" i="2"/>
  <c r="AQ113" i="2"/>
  <c r="AP113" i="2"/>
  <c r="AO113" i="2"/>
  <c r="AN113" i="2"/>
  <c r="AM113" i="2"/>
  <c r="AB113" i="2"/>
  <c r="AA113" i="2"/>
  <c r="Z113" i="2"/>
  <c r="Y113" i="2"/>
  <c r="X113" i="2"/>
  <c r="W113" i="2"/>
  <c r="V113" i="2"/>
  <c r="U113" i="2"/>
  <c r="T113" i="2"/>
  <c r="S113" i="2"/>
  <c r="L113" i="2"/>
  <c r="I113" i="2"/>
  <c r="H113" i="2"/>
  <c r="F113" i="2"/>
  <c r="E113" i="2"/>
  <c r="D113" i="2"/>
  <c r="AV112" i="2"/>
  <c r="AU112" i="2"/>
  <c r="AT112" i="2"/>
  <c r="AS112" i="2"/>
  <c r="AR112" i="2"/>
  <c r="AQ112" i="2"/>
  <c r="AP112" i="2"/>
  <c r="AO112" i="2"/>
  <c r="AN112" i="2"/>
  <c r="AM112" i="2"/>
  <c r="AJ112" i="2"/>
  <c r="AG112" i="2"/>
  <c r="AF112" i="2"/>
  <c r="AE112" i="2"/>
  <c r="AB112" i="2"/>
  <c r="W112" i="2"/>
  <c r="U112" i="2"/>
  <c r="T112" i="2"/>
  <c r="S112" i="2"/>
  <c r="R112" i="2"/>
  <c r="K112" i="2"/>
  <c r="A112" i="2"/>
  <c r="AV111" i="2"/>
  <c r="AU111" i="2"/>
  <c r="AT111" i="2"/>
  <c r="AS111" i="2"/>
  <c r="AR111" i="2"/>
  <c r="AQ111" i="2"/>
  <c r="AP111" i="2"/>
  <c r="AO111" i="2"/>
  <c r="AN111" i="2"/>
  <c r="AM111" i="2"/>
  <c r="I111" i="2"/>
  <c r="H111" i="2"/>
  <c r="F111" i="2"/>
  <c r="E111" i="2"/>
  <c r="D111" i="2"/>
  <c r="AV110" i="2"/>
  <c r="AU110" i="2"/>
  <c r="AT110" i="2"/>
  <c r="AS110" i="2"/>
  <c r="AR110" i="2"/>
  <c r="AQ110" i="2"/>
  <c r="AP110" i="2"/>
  <c r="AO110" i="2"/>
  <c r="AN110" i="2"/>
  <c r="AM110" i="2"/>
  <c r="AB110" i="2"/>
  <c r="AA110" i="2"/>
  <c r="Z110" i="2"/>
  <c r="Y110" i="2"/>
  <c r="X110" i="2"/>
  <c r="W110" i="2"/>
  <c r="V110" i="2"/>
  <c r="U110" i="2"/>
  <c r="T110" i="2"/>
  <c r="S110" i="2"/>
  <c r="L110" i="2"/>
  <c r="I110" i="2"/>
  <c r="H110" i="2"/>
  <c r="F110" i="2"/>
  <c r="E110" i="2"/>
  <c r="D110" i="2"/>
  <c r="AV109" i="2"/>
  <c r="AU109" i="2"/>
  <c r="AT109" i="2"/>
  <c r="AS109" i="2"/>
  <c r="AR109" i="2"/>
  <c r="AQ109" i="2"/>
  <c r="AP109" i="2"/>
  <c r="AO109" i="2"/>
  <c r="AN109" i="2"/>
  <c r="AM109" i="2"/>
  <c r="AJ109" i="2"/>
  <c r="AG109" i="2"/>
  <c r="AF109" i="2"/>
  <c r="AE109" i="2"/>
  <c r="AB109" i="2"/>
  <c r="W109" i="2"/>
  <c r="U109" i="2"/>
  <c r="T109" i="2"/>
  <c r="S109" i="2"/>
  <c r="R109" i="2"/>
  <c r="K109" i="2"/>
  <c r="A109" i="2"/>
  <c r="AV108" i="2"/>
  <c r="AU108" i="2"/>
  <c r="AT108" i="2"/>
  <c r="AS108" i="2"/>
  <c r="AR108" i="2"/>
  <c r="AQ108" i="2"/>
  <c r="AP108" i="2"/>
  <c r="AO108" i="2"/>
  <c r="AN108" i="2"/>
  <c r="AM108" i="2"/>
  <c r="I108" i="2"/>
  <c r="H108" i="2"/>
  <c r="F108" i="2"/>
  <c r="E108" i="2"/>
  <c r="D108" i="2"/>
  <c r="AV107" i="2"/>
  <c r="AU107" i="2"/>
  <c r="AT107" i="2"/>
  <c r="AS107" i="2"/>
  <c r="AR107" i="2"/>
  <c r="AQ107" i="2"/>
  <c r="AP107" i="2"/>
  <c r="AO107" i="2"/>
  <c r="AN107" i="2"/>
  <c r="AM107" i="2"/>
  <c r="AB107" i="2"/>
  <c r="AA107" i="2"/>
  <c r="Z107" i="2"/>
  <c r="Y107" i="2"/>
  <c r="X107" i="2"/>
  <c r="W107" i="2"/>
  <c r="V107" i="2"/>
  <c r="U107" i="2"/>
  <c r="T107" i="2"/>
  <c r="S107" i="2"/>
  <c r="L107" i="2"/>
  <c r="I107" i="2"/>
  <c r="H107" i="2"/>
  <c r="F107" i="2"/>
  <c r="E107" i="2"/>
  <c r="D107" i="2"/>
  <c r="AV106" i="2"/>
  <c r="AU106" i="2"/>
  <c r="AT106" i="2"/>
  <c r="AS106" i="2"/>
  <c r="AR106" i="2"/>
  <c r="AQ106" i="2"/>
  <c r="AP106" i="2"/>
  <c r="AO106" i="2"/>
  <c r="AN106" i="2"/>
  <c r="AM106" i="2"/>
  <c r="AJ106" i="2"/>
  <c r="AG106" i="2"/>
  <c r="AF106" i="2"/>
  <c r="AE106" i="2"/>
  <c r="AB106" i="2"/>
  <c r="W106" i="2"/>
  <c r="U106" i="2"/>
  <c r="T106" i="2"/>
  <c r="S106" i="2"/>
  <c r="R106" i="2"/>
  <c r="K106" i="2"/>
  <c r="A106" i="2"/>
  <c r="AV105" i="2"/>
  <c r="AU105" i="2"/>
  <c r="AT105" i="2"/>
  <c r="AS105" i="2"/>
  <c r="AR105" i="2"/>
  <c r="AQ105" i="2"/>
  <c r="AP105" i="2"/>
  <c r="AO105" i="2"/>
  <c r="AN105" i="2"/>
  <c r="AM105" i="2"/>
  <c r="I105" i="2"/>
  <c r="H105" i="2"/>
  <c r="F105" i="2"/>
  <c r="E105" i="2"/>
  <c r="D105" i="2"/>
  <c r="AV104" i="2"/>
  <c r="AU104" i="2"/>
  <c r="AT104" i="2"/>
  <c r="AS104" i="2"/>
  <c r="AR104" i="2"/>
  <c r="AQ104" i="2"/>
  <c r="AP104" i="2"/>
  <c r="AO104" i="2"/>
  <c r="AN104" i="2"/>
  <c r="AM104" i="2"/>
  <c r="AB104" i="2"/>
  <c r="AA104" i="2"/>
  <c r="Z104" i="2"/>
  <c r="Y104" i="2"/>
  <c r="X104" i="2"/>
  <c r="W104" i="2"/>
  <c r="V104" i="2"/>
  <c r="U104" i="2"/>
  <c r="T104" i="2"/>
  <c r="S104" i="2"/>
  <c r="L104" i="2"/>
  <c r="I104" i="2"/>
  <c r="H104" i="2"/>
  <c r="F104" i="2"/>
  <c r="E104" i="2"/>
  <c r="D104" i="2"/>
  <c r="AV103" i="2"/>
  <c r="AU103" i="2"/>
  <c r="AT103" i="2"/>
  <c r="AS103" i="2"/>
  <c r="AR103" i="2"/>
  <c r="AQ103" i="2"/>
  <c r="AP103" i="2"/>
  <c r="AO103" i="2"/>
  <c r="AN103" i="2"/>
  <c r="AM103" i="2"/>
  <c r="AJ103" i="2"/>
  <c r="AG103" i="2"/>
  <c r="AF103" i="2"/>
  <c r="AE103" i="2"/>
  <c r="AB103" i="2"/>
  <c r="W103" i="2"/>
  <c r="U103" i="2"/>
  <c r="T103" i="2"/>
  <c r="S103" i="2"/>
  <c r="R103" i="2"/>
  <c r="K103" i="2"/>
  <c r="A103" i="2"/>
  <c r="AV102" i="2"/>
  <c r="AU102" i="2"/>
  <c r="AT102" i="2"/>
  <c r="AS102" i="2"/>
  <c r="AR102" i="2"/>
  <c r="AQ102" i="2"/>
  <c r="AP102" i="2"/>
  <c r="AO102" i="2"/>
  <c r="AN102" i="2"/>
  <c r="AM102" i="2"/>
  <c r="I102" i="2"/>
  <c r="H102" i="2"/>
  <c r="F102" i="2"/>
  <c r="E102" i="2"/>
  <c r="D102" i="2"/>
  <c r="AV101" i="2"/>
  <c r="AU101" i="2"/>
  <c r="AT101" i="2"/>
  <c r="AS101" i="2"/>
  <c r="AR101" i="2"/>
  <c r="AQ101" i="2"/>
  <c r="AP101" i="2"/>
  <c r="AO101" i="2"/>
  <c r="AN101" i="2"/>
  <c r="AM101" i="2"/>
  <c r="AB101" i="2"/>
  <c r="AA101" i="2"/>
  <c r="Z101" i="2"/>
  <c r="Y101" i="2"/>
  <c r="X101" i="2"/>
  <c r="W101" i="2"/>
  <c r="V101" i="2"/>
  <c r="U101" i="2"/>
  <c r="T101" i="2"/>
  <c r="S101" i="2"/>
  <c r="L101" i="2"/>
  <c r="I101" i="2"/>
  <c r="H101" i="2"/>
  <c r="F101" i="2"/>
  <c r="E101" i="2"/>
  <c r="D101" i="2"/>
  <c r="AV100" i="2"/>
  <c r="AU100" i="2"/>
  <c r="AT100" i="2"/>
  <c r="AS100" i="2"/>
  <c r="AR100" i="2"/>
  <c r="AQ100" i="2"/>
  <c r="AP100" i="2"/>
  <c r="AO100" i="2"/>
  <c r="AN100" i="2"/>
  <c r="AM100" i="2"/>
  <c r="AJ100" i="2"/>
  <c r="AG100" i="2"/>
  <c r="AF100" i="2"/>
  <c r="AE100" i="2"/>
  <c r="AB100" i="2"/>
  <c r="W100" i="2"/>
  <c r="U100" i="2"/>
  <c r="T100" i="2"/>
  <c r="S100" i="2"/>
  <c r="R100" i="2"/>
  <c r="K100" i="2"/>
  <c r="A100" i="2"/>
  <c r="AV99" i="2"/>
  <c r="AU99" i="2"/>
  <c r="AT99" i="2"/>
  <c r="AS99" i="2"/>
  <c r="AR99" i="2"/>
  <c r="AQ99" i="2"/>
  <c r="AP99" i="2"/>
  <c r="AO99" i="2"/>
  <c r="AN99" i="2"/>
  <c r="AM99" i="2"/>
  <c r="I99" i="2"/>
  <c r="H99" i="2"/>
  <c r="F99" i="2"/>
  <c r="E99" i="2"/>
  <c r="D99" i="2"/>
  <c r="AV98" i="2"/>
  <c r="AU98" i="2"/>
  <c r="AT98" i="2"/>
  <c r="AS98" i="2"/>
  <c r="AR98" i="2"/>
  <c r="AQ98" i="2"/>
  <c r="AP98" i="2"/>
  <c r="AO98" i="2"/>
  <c r="AN98" i="2"/>
  <c r="AM98" i="2"/>
  <c r="AB98" i="2"/>
  <c r="AA98" i="2"/>
  <c r="Z98" i="2"/>
  <c r="Y98" i="2"/>
  <c r="X98" i="2"/>
  <c r="W98" i="2"/>
  <c r="V98" i="2"/>
  <c r="U98" i="2"/>
  <c r="T98" i="2"/>
  <c r="S98" i="2"/>
  <c r="L98" i="2"/>
  <c r="I98" i="2"/>
  <c r="H98" i="2"/>
  <c r="F98" i="2"/>
  <c r="E98" i="2"/>
  <c r="D98" i="2"/>
  <c r="AV97" i="2"/>
  <c r="AU97" i="2"/>
  <c r="AT97" i="2"/>
  <c r="AS97" i="2"/>
  <c r="AR97" i="2"/>
  <c r="AQ97" i="2"/>
  <c r="AP97" i="2"/>
  <c r="AO97" i="2"/>
  <c r="AN97" i="2"/>
  <c r="AM97" i="2"/>
  <c r="AJ97" i="2"/>
  <c r="AG97" i="2"/>
  <c r="AF97" i="2"/>
  <c r="AE97" i="2"/>
  <c r="AB97" i="2"/>
  <c r="W97" i="2"/>
  <c r="U97" i="2"/>
  <c r="T97" i="2"/>
  <c r="S97" i="2"/>
  <c r="R97" i="2"/>
  <c r="K97" i="2"/>
  <c r="A97" i="2"/>
  <c r="AV96" i="2"/>
  <c r="AU96" i="2"/>
  <c r="AT96" i="2"/>
  <c r="AS96" i="2"/>
  <c r="AR96" i="2"/>
  <c r="AQ96" i="2"/>
  <c r="AP96" i="2"/>
  <c r="AO96" i="2"/>
  <c r="AN96" i="2"/>
  <c r="AM96" i="2"/>
  <c r="I96" i="2"/>
  <c r="H96" i="2"/>
  <c r="F96" i="2"/>
  <c r="E96" i="2"/>
  <c r="D96" i="2"/>
  <c r="AV95" i="2"/>
  <c r="AU95" i="2"/>
  <c r="AT95" i="2"/>
  <c r="AS95" i="2"/>
  <c r="AR95" i="2"/>
  <c r="AQ95" i="2"/>
  <c r="AP95" i="2"/>
  <c r="AO95" i="2"/>
  <c r="AN95" i="2"/>
  <c r="AM95" i="2"/>
  <c r="AB95" i="2"/>
  <c r="AA95" i="2"/>
  <c r="Z95" i="2"/>
  <c r="Y95" i="2"/>
  <c r="X95" i="2"/>
  <c r="W95" i="2"/>
  <c r="V95" i="2"/>
  <c r="U95" i="2"/>
  <c r="T95" i="2"/>
  <c r="S95" i="2"/>
  <c r="L95" i="2"/>
  <c r="I95" i="2"/>
  <c r="H95" i="2"/>
  <c r="F95" i="2"/>
  <c r="E95" i="2"/>
  <c r="D95" i="2"/>
  <c r="AV94" i="2"/>
  <c r="AU94" i="2"/>
  <c r="AT94" i="2"/>
  <c r="AS94" i="2"/>
  <c r="AR94" i="2"/>
  <c r="AQ94" i="2"/>
  <c r="AP94" i="2"/>
  <c r="AO94" i="2"/>
  <c r="AN94" i="2"/>
  <c r="AM94" i="2"/>
  <c r="AJ94" i="2"/>
  <c r="AG94" i="2"/>
  <c r="AF94" i="2"/>
  <c r="AE94" i="2"/>
  <c r="AB94" i="2"/>
  <c r="W94" i="2"/>
  <c r="U94" i="2"/>
  <c r="T94" i="2"/>
  <c r="S94" i="2"/>
  <c r="R94" i="2"/>
  <c r="K94" i="2"/>
  <c r="A94" i="2"/>
  <c r="AV93" i="2"/>
  <c r="AU93" i="2"/>
  <c r="AT93" i="2"/>
  <c r="AS93" i="2"/>
  <c r="AR93" i="2"/>
  <c r="AQ93" i="2"/>
  <c r="AP93" i="2"/>
  <c r="AO93" i="2"/>
  <c r="AN93" i="2"/>
  <c r="AM93" i="2"/>
  <c r="I93" i="2"/>
  <c r="H93" i="2"/>
  <c r="F93" i="2"/>
  <c r="E93" i="2"/>
  <c r="D93" i="2"/>
  <c r="AV92" i="2"/>
  <c r="AU92" i="2"/>
  <c r="AT92" i="2"/>
  <c r="AS92" i="2"/>
  <c r="AR92" i="2"/>
  <c r="AQ92" i="2"/>
  <c r="AP92" i="2"/>
  <c r="AO92" i="2"/>
  <c r="AN92" i="2"/>
  <c r="AM92" i="2"/>
  <c r="AB92" i="2"/>
  <c r="AA92" i="2"/>
  <c r="Z92" i="2"/>
  <c r="Y92" i="2"/>
  <c r="X92" i="2"/>
  <c r="W92" i="2"/>
  <c r="V92" i="2"/>
  <c r="U92" i="2"/>
  <c r="T92" i="2"/>
  <c r="S92" i="2"/>
  <c r="L92" i="2"/>
  <c r="I92" i="2"/>
  <c r="H92" i="2"/>
  <c r="F92" i="2"/>
  <c r="E92" i="2"/>
  <c r="D92" i="2"/>
  <c r="AV91" i="2"/>
  <c r="AU91" i="2"/>
  <c r="AT91" i="2"/>
  <c r="AS91" i="2"/>
  <c r="AR91" i="2"/>
  <c r="AQ91" i="2"/>
  <c r="AP91" i="2"/>
  <c r="AO91" i="2"/>
  <c r="AN91" i="2"/>
  <c r="AM91" i="2"/>
  <c r="AJ91" i="2"/>
  <c r="AG91" i="2"/>
  <c r="AF91" i="2"/>
  <c r="AB91" i="2"/>
  <c r="W91" i="2"/>
  <c r="U91" i="2"/>
  <c r="T91" i="2"/>
  <c r="S91" i="2"/>
  <c r="R91" i="2"/>
  <c r="K91" i="2"/>
  <c r="A91" i="2"/>
  <c r="AV90" i="2"/>
  <c r="AU90" i="2"/>
  <c r="AT90" i="2"/>
  <c r="AS90" i="2"/>
  <c r="AR90" i="2"/>
  <c r="AQ90" i="2"/>
  <c r="AP90" i="2"/>
  <c r="AO90" i="2"/>
  <c r="AN90" i="2"/>
  <c r="AM90" i="2"/>
  <c r="I90" i="2"/>
  <c r="H90" i="2"/>
  <c r="F90" i="2"/>
  <c r="E90" i="2"/>
  <c r="D90" i="2"/>
  <c r="BB89" i="2" a="1"/>
  <c r="AV89" i="2"/>
  <c r="AU89" i="2"/>
  <c r="AT89" i="2"/>
  <c r="AS89" i="2"/>
  <c r="AR89" i="2"/>
  <c r="AQ89" i="2"/>
  <c r="AP89" i="2"/>
  <c r="AO89" i="2"/>
  <c r="AN89" i="2"/>
  <c r="AM89" i="2"/>
  <c r="AB89" i="2"/>
  <c r="AA89" i="2"/>
  <c r="Z89" i="2"/>
  <c r="Y89" i="2"/>
  <c r="X89" i="2"/>
  <c r="W89" i="2"/>
  <c r="V89" i="2"/>
  <c r="U89" i="2"/>
  <c r="T89" i="2"/>
  <c r="S89" i="2"/>
  <c r="L89" i="2"/>
  <c r="I89" i="2"/>
  <c r="H89" i="2"/>
  <c r="F89" i="2"/>
  <c r="E89" i="2"/>
  <c r="D89" i="2"/>
  <c r="AV88" i="2"/>
  <c r="AU88" i="2"/>
  <c r="AT88" i="2"/>
  <c r="AS88" i="2"/>
  <c r="AR88" i="2"/>
  <c r="AQ88" i="2"/>
  <c r="AP88" i="2"/>
  <c r="AO88" i="2"/>
  <c r="AN88" i="2"/>
  <c r="AM88" i="2"/>
  <c r="AJ88" i="2"/>
  <c r="AG88" i="2"/>
  <c r="AF88" i="2"/>
  <c r="AB88" i="2"/>
  <c r="W88" i="2"/>
  <c r="U88" i="2"/>
  <c r="T88" i="2"/>
  <c r="S88" i="2"/>
  <c r="R88" i="2"/>
  <c r="K88" i="2"/>
  <c r="A88" i="2"/>
  <c r="AV87" i="2"/>
  <c r="AU87" i="2"/>
  <c r="AT87" i="2"/>
  <c r="AS87" i="2"/>
  <c r="AR87" i="2"/>
  <c r="AQ87" i="2"/>
  <c r="AP87" i="2"/>
  <c r="AO87" i="2"/>
  <c r="AN87" i="2"/>
  <c r="AM87" i="2"/>
  <c r="I87" i="2"/>
  <c r="H87" i="2"/>
  <c r="F87" i="2"/>
  <c r="E87" i="2"/>
  <c r="D87" i="2"/>
  <c r="AV86" i="2"/>
  <c r="AU86" i="2"/>
  <c r="AT86" i="2"/>
  <c r="AS86" i="2"/>
  <c r="AR86" i="2"/>
  <c r="AQ86" i="2"/>
  <c r="AP86" i="2"/>
  <c r="AO86" i="2"/>
  <c r="AN86" i="2"/>
  <c r="AM86" i="2"/>
  <c r="AB86" i="2"/>
  <c r="AA86" i="2"/>
  <c r="Z86" i="2"/>
  <c r="Y86" i="2"/>
  <c r="X86" i="2"/>
  <c r="W86" i="2"/>
  <c r="V86" i="2"/>
  <c r="U86" i="2"/>
  <c r="T86" i="2"/>
  <c r="S86" i="2"/>
  <c r="L86" i="2"/>
  <c r="I86" i="2"/>
  <c r="H86" i="2"/>
  <c r="F86" i="2"/>
  <c r="E86" i="2"/>
  <c r="D86" i="2"/>
  <c r="AV85" i="2"/>
  <c r="AU85" i="2"/>
  <c r="AT85" i="2"/>
  <c r="AS85" i="2"/>
  <c r="AR85" i="2"/>
  <c r="AQ85" i="2"/>
  <c r="AP85" i="2"/>
  <c r="AO85" i="2"/>
  <c r="AN85" i="2"/>
  <c r="AM85" i="2"/>
  <c r="AJ85" i="2"/>
  <c r="AG85" i="2"/>
  <c r="AF85" i="2"/>
  <c r="AB85" i="2"/>
  <c r="W85" i="2"/>
  <c r="U85" i="2"/>
  <c r="T85" i="2"/>
  <c r="S85" i="2"/>
  <c r="R85" i="2"/>
  <c r="K85" i="2"/>
  <c r="A85" i="2"/>
  <c r="AV84" i="2"/>
  <c r="AU84" i="2"/>
  <c r="AT84" i="2"/>
  <c r="AS84" i="2"/>
  <c r="AR84" i="2"/>
  <c r="AQ84" i="2"/>
  <c r="AP84" i="2"/>
  <c r="AO84" i="2"/>
  <c r="AN84" i="2"/>
  <c r="AM84" i="2"/>
  <c r="I84" i="2"/>
  <c r="H84" i="2"/>
  <c r="F84" i="2"/>
  <c r="E84" i="2"/>
  <c r="D84" i="2"/>
  <c r="AV83" i="2"/>
  <c r="AU83" i="2"/>
  <c r="AT83" i="2"/>
  <c r="AS83" i="2"/>
  <c r="AR83" i="2"/>
  <c r="AQ83" i="2"/>
  <c r="AP83" i="2"/>
  <c r="AO83" i="2"/>
  <c r="AN83" i="2"/>
  <c r="AM83" i="2"/>
  <c r="AB83" i="2"/>
  <c r="AA83" i="2"/>
  <c r="Z83" i="2"/>
  <c r="Y83" i="2"/>
  <c r="X83" i="2"/>
  <c r="W83" i="2"/>
  <c r="V83" i="2"/>
  <c r="U83" i="2"/>
  <c r="T83" i="2"/>
  <c r="S83" i="2"/>
  <c r="L83" i="2"/>
  <c r="I83" i="2"/>
  <c r="H83" i="2"/>
  <c r="F83" i="2"/>
  <c r="E83" i="2"/>
  <c r="D83" i="2"/>
  <c r="AV82" i="2"/>
  <c r="AU82" i="2"/>
  <c r="AT82" i="2"/>
  <c r="AS82" i="2"/>
  <c r="AR82" i="2"/>
  <c r="AQ82" i="2"/>
  <c r="AP82" i="2"/>
  <c r="AO82" i="2"/>
  <c r="AN82" i="2"/>
  <c r="AM82" i="2"/>
  <c r="AJ82" i="2"/>
  <c r="AG82" i="2"/>
  <c r="AF82" i="2"/>
  <c r="AB82" i="2"/>
  <c r="W82" i="2"/>
  <c r="U82" i="2"/>
  <c r="T82" i="2"/>
  <c r="S82" i="2"/>
  <c r="R82" i="2"/>
  <c r="K82" i="2"/>
  <c r="F82" i="2"/>
  <c r="A82" i="2"/>
  <c r="AV81" i="2"/>
  <c r="AU81" i="2"/>
  <c r="AT81" i="2"/>
  <c r="AS81" i="2"/>
  <c r="AR81" i="2"/>
  <c r="AQ81" i="2"/>
  <c r="AP81" i="2"/>
  <c r="AO81" i="2"/>
  <c r="AN81" i="2"/>
  <c r="AM81" i="2"/>
  <c r="I81" i="2"/>
  <c r="H81" i="2"/>
  <c r="F81" i="2"/>
  <c r="E81" i="2"/>
  <c r="D81" i="2"/>
  <c r="AV80" i="2"/>
  <c r="AU80" i="2"/>
  <c r="AT80" i="2"/>
  <c r="AS80" i="2"/>
  <c r="AR80" i="2"/>
  <c r="AQ80" i="2"/>
  <c r="AP80" i="2"/>
  <c r="AO80" i="2"/>
  <c r="AN80" i="2"/>
  <c r="AM80" i="2"/>
  <c r="AB80" i="2"/>
  <c r="AA80" i="2"/>
  <c r="Z80" i="2"/>
  <c r="Y80" i="2"/>
  <c r="X80" i="2"/>
  <c r="W80" i="2"/>
  <c r="V80" i="2"/>
  <c r="U80" i="2"/>
  <c r="T80" i="2"/>
  <c r="S80" i="2"/>
  <c r="L80" i="2"/>
  <c r="I80" i="2"/>
  <c r="H80" i="2"/>
  <c r="F80" i="2"/>
  <c r="E80" i="2"/>
  <c r="D80" i="2"/>
  <c r="AV79" i="2"/>
  <c r="AU79" i="2"/>
  <c r="AT79" i="2"/>
  <c r="AS79" i="2"/>
  <c r="AR79" i="2"/>
  <c r="AQ79" i="2"/>
  <c r="AP79" i="2"/>
  <c r="AO79" i="2"/>
  <c r="AN79" i="2"/>
  <c r="AM79" i="2"/>
  <c r="AJ79" i="2"/>
  <c r="AG79" i="2"/>
  <c r="AF79" i="2"/>
  <c r="AE79" i="2"/>
  <c r="AB79" i="2"/>
  <c r="W79" i="2"/>
  <c r="U79" i="2"/>
  <c r="T79" i="2"/>
  <c r="S79" i="2"/>
  <c r="R79" i="2"/>
  <c r="K79" i="2"/>
  <c r="A79" i="2"/>
  <c r="AV78" i="2"/>
  <c r="AU78" i="2"/>
  <c r="AT78" i="2"/>
  <c r="AS78" i="2"/>
  <c r="AR78" i="2"/>
  <c r="AQ78" i="2"/>
  <c r="AP78" i="2"/>
  <c r="AO78" i="2"/>
  <c r="AN78" i="2"/>
  <c r="AM78" i="2"/>
  <c r="I78" i="2"/>
  <c r="H78" i="2"/>
  <c r="F78" i="2"/>
  <c r="E78" i="2"/>
  <c r="D78" i="2"/>
  <c r="AV77" i="2"/>
  <c r="AU77" i="2"/>
  <c r="AT77" i="2"/>
  <c r="AS77" i="2"/>
  <c r="AR77" i="2"/>
  <c r="AQ77" i="2"/>
  <c r="AP77" i="2"/>
  <c r="AO77" i="2"/>
  <c r="AN77" i="2"/>
  <c r="AM77" i="2"/>
  <c r="AB77" i="2"/>
  <c r="AA77" i="2"/>
  <c r="Z77" i="2"/>
  <c r="Y77" i="2"/>
  <c r="X77" i="2"/>
  <c r="W77" i="2"/>
  <c r="V77" i="2"/>
  <c r="U77" i="2"/>
  <c r="T77" i="2"/>
  <c r="S77" i="2"/>
  <c r="L77" i="2"/>
  <c r="I77" i="2"/>
  <c r="H77" i="2"/>
  <c r="F77" i="2"/>
  <c r="E77" i="2"/>
  <c r="D77" i="2"/>
  <c r="AV76" i="2"/>
  <c r="AU76" i="2"/>
  <c r="AT76" i="2"/>
  <c r="AS76" i="2"/>
  <c r="AR76" i="2"/>
  <c r="AQ76" i="2"/>
  <c r="AP76" i="2"/>
  <c r="AO76" i="2"/>
  <c r="AN76" i="2"/>
  <c r="AM76" i="2"/>
  <c r="AJ76" i="2"/>
  <c r="AG76" i="2"/>
  <c r="AF76" i="2"/>
  <c r="AE76" i="2"/>
  <c r="AB76" i="2"/>
  <c r="W76" i="2"/>
  <c r="U76" i="2"/>
  <c r="T76" i="2"/>
  <c r="S76" i="2"/>
  <c r="R76" i="2"/>
  <c r="K76" i="2"/>
  <c r="A76" i="2"/>
  <c r="AV75" i="2"/>
  <c r="AU75" i="2"/>
  <c r="AT75" i="2"/>
  <c r="AS75" i="2"/>
  <c r="AR75" i="2"/>
  <c r="AQ75" i="2"/>
  <c r="AP75" i="2"/>
  <c r="AO75" i="2"/>
  <c r="AN75" i="2"/>
  <c r="AM75" i="2"/>
  <c r="I75" i="2"/>
  <c r="H75" i="2"/>
  <c r="F75" i="2"/>
  <c r="E75" i="2"/>
  <c r="D75" i="2"/>
  <c r="AV74" i="2"/>
  <c r="AU74" i="2"/>
  <c r="AT74" i="2"/>
  <c r="AS74" i="2"/>
  <c r="AR74" i="2"/>
  <c r="AQ74" i="2"/>
  <c r="AP74" i="2"/>
  <c r="AO74" i="2"/>
  <c r="AN74" i="2"/>
  <c r="AM74" i="2"/>
  <c r="AB74" i="2"/>
  <c r="AA74" i="2"/>
  <c r="Z74" i="2"/>
  <c r="Y74" i="2"/>
  <c r="X74" i="2"/>
  <c r="W74" i="2"/>
  <c r="V74" i="2"/>
  <c r="U74" i="2"/>
  <c r="T74" i="2"/>
  <c r="S74" i="2"/>
  <c r="L74" i="2"/>
  <c r="I74" i="2"/>
  <c r="H74" i="2"/>
  <c r="F74" i="2"/>
  <c r="E74" i="2"/>
  <c r="D74" i="2"/>
  <c r="AV73" i="2"/>
  <c r="AU73" i="2"/>
  <c r="AT73" i="2"/>
  <c r="AS73" i="2"/>
  <c r="AR73" i="2"/>
  <c r="AQ73" i="2"/>
  <c r="AP73" i="2"/>
  <c r="AO73" i="2"/>
  <c r="AN73" i="2"/>
  <c r="AM73" i="2"/>
  <c r="AJ73" i="2"/>
  <c r="AG73" i="2"/>
  <c r="AF73" i="2"/>
  <c r="AB73" i="2"/>
  <c r="W73" i="2"/>
  <c r="U73" i="2"/>
  <c r="T73" i="2"/>
  <c r="S73" i="2"/>
  <c r="R73" i="2"/>
  <c r="K73" i="2"/>
  <c r="A73" i="2"/>
  <c r="AV72" i="2"/>
  <c r="AU72" i="2"/>
  <c r="AT72" i="2"/>
  <c r="AS72" i="2"/>
  <c r="AR72" i="2"/>
  <c r="AQ72" i="2"/>
  <c r="AP72" i="2"/>
  <c r="AO72" i="2"/>
  <c r="AN72" i="2"/>
  <c r="AM72" i="2"/>
  <c r="I72" i="2"/>
  <c r="H72" i="2"/>
  <c r="F72" i="2"/>
  <c r="E72" i="2"/>
  <c r="D72" i="2"/>
  <c r="AV71" i="2"/>
  <c r="AU71" i="2"/>
  <c r="AT71" i="2"/>
  <c r="AS71" i="2"/>
  <c r="AR71" i="2"/>
  <c r="AQ71" i="2"/>
  <c r="AP71" i="2"/>
  <c r="AO71" i="2"/>
  <c r="AN71" i="2"/>
  <c r="AM71" i="2"/>
  <c r="AB71" i="2"/>
  <c r="AA71" i="2"/>
  <c r="Z71" i="2"/>
  <c r="Y71" i="2"/>
  <c r="X71" i="2"/>
  <c r="W71" i="2"/>
  <c r="V71" i="2"/>
  <c r="U71" i="2"/>
  <c r="T71" i="2"/>
  <c r="S71" i="2"/>
  <c r="L71" i="2"/>
  <c r="I71" i="2"/>
  <c r="H71" i="2"/>
  <c r="F71" i="2"/>
  <c r="E71" i="2"/>
  <c r="D71" i="2"/>
  <c r="AV70" i="2"/>
  <c r="AU70" i="2"/>
  <c r="AT70" i="2"/>
  <c r="AS70" i="2"/>
  <c r="AR70" i="2"/>
  <c r="AQ70" i="2"/>
  <c r="AP70" i="2"/>
  <c r="AO70" i="2"/>
  <c r="AN70" i="2"/>
  <c r="AM70" i="2"/>
  <c r="AJ70" i="2"/>
  <c r="AG70" i="2"/>
  <c r="AF70" i="2"/>
  <c r="AB70" i="2"/>
  <c r="W70" i="2"/>
  <c r="U70" i="2"/>
  <c r="T70" i="2"/>
  <c r="S70" i="2"/>
  <c r="R70" i="2"/>
  <c r="K70" i="2"/>
  <c r="A70" i="2"/>
  <c r="AV69" i="2"/>
  <c r="AU69" i="2"/>
  <c r="AT69" i="2"/>
  <c r="AS69" i="2"/>
  <c r="AR69" i="2"/>
  <c r="AQ69" i="2"/>
  <c r="AP69" i="2"/>
  <c r="AO69" i="2"/>
  <c r="AN69" i="2"/>
  <c r="AM69" i="2"/>
  <c r="I69" i="2"/>
  <c r="H69" i="2"/>
  <c r="F69" i="2"/>
  <c r="E69" i="2"/>
  <c r="D69" i="2"/>
  <c r="AV68" i="2"/>
  <c r="AU68" i="2"/>
  <c r="AT68" i="2"/>
  <c r="AS68" i="2"/>
  <c r="AR68" i="2"/>
  <c r="AQ68" i="2"/>
  <c r="AP68" i="2"/>
  <c r="AO68" i="2"/>
  <c r="AN68" i="2"/>
  <c r="AM68" i="2"/>
  <c r="AB68" i="2"/>
  <c r="AA68" i="2"/>
  <c r="Z68" i="2"/>
  <c r="Y68" i="2"/>
  <c r="X68" i="2"/>
  <c r="W68" i="2"/>
  <c r="V68" i="2"/>
  <c r="U68" i="2"/>
  <c r="T68" i="2"/>
  <c r="S68" i="2"/>
  <c r="R68" i="2"/>
  <c r="L68" i="2"/>
  <c r="I68" i="2"/>
  <c r="H68" i="2"/>
  <c r="F68" i="2"/>
  <c r="E68" i="2"/>
  <c r="D68" i="2"/>
  <c r="AV67" i="2"/>
  <c r="AU67" i="2"/>
  <c r="AT67" i="2"/>
  <c r="AS67" i="2"/>
  <c r="AR67" i="2"/>
  <c r="AQ67" i="2"/>
  <c r="AP67" i="2"/>
  <c r="AO67" i="2"/>
  <c r="AN67" i="2"/>
  <c r="AM67" i="2"/>
  <c r="AJ67" i="2"/>
  <c r="AG67" i="2"/>
  <c r="AF67" i="2"/>
  <c r="AE67" i="2"/>
  <c r="AB67" i="2"/>
  <c r="W67" i="2"/>
  <c r="U67" i="2"/>
  <c r="T67" i="2"/>
  <c r="S67" i="2"/>
  <c r="R67" i="2"/>
  <c r="K67" i="2"/>
  <c r="A67" i="2"/>
  <c r="AV66" i="2"/>
  <c r="AU66" i="2"/>
  <c r="AT66" i="2"/>
  <c r="AS66" i="2"/>
  <c r="AR66" i="2"/>
  <c r="AQ66" i="2"/>
  <c r="AP66" i="2"/>
  <c r="AO66" i="2"/>
  <c r="AN66" i="2"/>
  <c r="AM66" i="2"/>
  <c r="I66" i="2"/>
  <c r="H66" i="2"/>
  <c r="F66" i="2"/>
  <c r="E66" i="2"/>
  <c r="D66" i="2"/>
  <c r="AV65" i="2"/>
  <c r="AU65" i="2"/>
  <c r="AT65" i="2"/>
  <c r="AS65" i="2"/>
  <c r="AR65" i="2"/>
  <c r="AQ65" i="2"/>
  <c r="AP65" i="2"/>
  <c r="AO65" i="2"/>
  <c r="AN65" i="2"/>
  <c r="AM65" i="2"/>
  <c r="AB65" i="2"/>
  <c r="AA65" i="2"/>
  <c r="Z65" i="2"/>
  <c r="Y65" i="2"/>
  <c r="X65" i="2"/>
  <c r="W65" i="2"/>
  <c r="V65" i="2"/>
  <c r="U65" i="2"/>
  <c r="T65" i="2"/>
  <c r="S65" i="2"/>
  <c r="R65" i="2"/>
  <c r="L65" i="2"/>
  <c r="I65" i="2"/>
  <c r="H65" i="2"/>
  <c r="F65" i="2"/>
  <c r="E65" i="2"/>
  <c r="D65" i="2"/>
  <c r="AV64" i="2"/>
  <c r="AU64" i="2"/>
  <c r="AT64" i="2"/>
  <c r="AS64" i="2"/>
  <c r="AR64" i="2"/>
  <c r="AQ64" i="2"/>
  <c r="AP64" i="2"/>
  <c r="AO64" i="2"/>
  <c r="AN64" i="2"/>
  <c r="AM64" i="2"/>
  <c r="AJ64" i="2"/>
  <c r="AG64" i="2"/>
  <c r="AF64" i="2"/>
  <c r="AB64" i="2"/>
  <c r="W64" i="2"/>
  <c r="U64" i="2"/>
  <c r="T64" i="2"/>
  <c r="S64" i="2"/>
  <c r="R64" i="2"/>
  <c r="K64" i="2"/>
  <c r="A64" i="2"/>
  <c r="AV63" i="2"/>
  <c r="AU63" i="2"/>
  <c r="AT63" i="2"/>
  <c r="AS63" i="2"/>
  <c r="AR63" i="2"/>
  <c r="AQ63" i="2"/>
  <c r="AP63" i="2"/>
  <c r="AO63" i="2"/>
  <c r="AN63" i="2"/>
  <c r="AM63" i="2"/>
  <c r="I63" i="2"/>
  <c r="H63" i="2"/>
  <c r="F63" i="2"/>
  <c r="E63" i="2"/>
  <c r="D63" i="2"/>
  <c r="AV62" i="2"/>
  <c r="AU62" i="2"/>
  <c r="AT62" i="2"/>
  <c r="AS62" i="2"/>
  <c r="AR62" i="2"/>
  <c r="AQ62" i="2"/>
  <c r="AP62" i="2"/>
  <c r="AO62" i="2"/>
  <c r="AN62" i="2"/>
  <c r="AM62" i="2"/>
  <c r="AB62" i="2"/>
  <c r="AA62" i="2"/>
  <c r="Z62" i="2"/>
  <c r="Y62" i="2"/>
  <c r="X62" i="2"/>
  <c r="W62" i="2"/>
  <c r="V62" i="2"/>
  <c r="U62" i="2"/>
  <c r="T62" i="2"/>
  <c r="S62" i="2"/>
  <c r="R62" i="2"/>
  <c r="L62" i="2"/>
  <c r="I62" i="2"/>
  <c r="H62" i="2"/>
  <c r="F62" i="2"/>
  <c r="E62" i="2"/>
  <c r="D62" i="2"/>
  <c r="AV61" i="2"/>
  <c r="AU61" i="2"/>
  <c r="AT61" i="2"/>
  <c r="AS61" i="2"/>
  <c r="AR61" i="2"/>
  <c r="AQ61" i="2"/>
  <c r="AP61" i="2"/>
  <c r="AO61" i="2"/>
  <c r="AN61" i="2"/>
  <c r="AM61" i="2"/>
  <c r="AJ61" i="2"/>
  <c r="AG61" i="2"/>
  <c r="AF61" i="2"/>
  <c r="AE61" i="2"/>
  <c r="AB61" i="2"/>
  <c r="W61" i="2"/>
  <c r="U61" i="2"/>
  <c r="T61" i="2"/>
  <c r="S61" i="2"/>
  <c r="R61" i="2"/>
  <c r="K61" i="2"/>
  <c r="F61" i="2"/>
  <c r="A61" i="2"/>
  <c r="AV60" i="2"/>
  <c r="AU60" i="2"/>
  <c r="AT60" i="2"/>
  <c r="AS60" i="2"/>
  <c r="AR60" i="2"/>
  <c r="AQ60" i="2"/>
  <c r="AP60" i="2"/>
  <c r="AO60" i="2"/>
  <c r="AN60" i="2"/>
  <c r="AM60" i="2"/>
  <c r="I60" i="2"/>
  <c r="H60" i="2"/>
  <c r="F60" i="2"/>
  <c r="E60" i="2"/>
  <c r="D60" i="2"/>
  <c r="AV59" i="2"/>
  <c r="AU59" i="2"/>
  <c r="AT59" i="2"/>
  <c r="AS59" i="2"/>
  <c r="AR59" i="2"/>
  <c r="AQ59" i="2"/>
  <c r="AP59" i="2"/>
  <c r="AO59" i="2"/>
  <c r="AN59" i="2"/>
  <c r="AM59" i="2"/>
  <c r="AB59" i="2"/>
  <c r="AA59" i="2"/>
  <c r="Z59" i="2"/>
  <c r="Y59" i="2"/>
  <c r="X59" i="2"/>
  <c r="W59" i="2"/>
  <c r="V59" i="2"/>
  <c r="U59" i="2"/>
  <c r="T59" i="2"/>
  <c r="S59" i="2"/>
  <c r="R59" i="2"/>
  <c r="L59" i="2"/>
  <c r="I59" i="2"/>
  <c r="H59" i="2"/>
  <c r="F59" i="2"/>
  <c r="E59" i="2"/>
  <c r="D59" i="2"/>
  <c r="AV58" i="2"/>
  <c r="AU58" i="2"/>
  <c r="AT58" i="2"/>
  <c r="AS58" i="2"/>
  <c r="AR58" i="2"/>
  <c r="AQ58" i="2"/>
  <c r="AP58" i="2"/>
  <c r="AO58" i="2"/>
  <c r="AN58" i="2"/>
  <c r="AM58" i="2"/>
  <c r="AJ58" i="2"/>
  <c r="AG58" i="2"/>
  <c r="AF58" i="2"/>
  <c r="AE58" i="2"/>
  <c r="AB58" i="2"/>
  <c r="W58" i="2"/>
  <c r="U58" i="2"/>
  <c r="T58" i="2"/>
  <c r="S58" i="2"/>
  <c r="R58" i="2"/>
  <c r="K58" i="2"/>
  <c r="A58" i="2"/>
  <c r="AV57" i="2"/>
  <c r="AU57" i="2"/>
  <c r="AT57" i="2"/>
  <c r="AS57" i="2"/>
  <c r="AR57" i="2"/>
  <c r="AQ57" i="2"/>
  <c r="AP57" i="2"/>
  <c r="AO57" i="2"/>
  <c r="AN57" i="2"/>
  <c r="AM57" i="2"/>
  <c r="I57" i="2"/>
  <c r="H57" i="2"/>
  <c r="F57" i="2"/>
  <c r="E57" i="2"/>
  <c r="D57" i="2"/>
  <c r="AV56" i="2"/>
  <c r="AU56" i="2"/>
  <c r="AT56" i="2"/>
  <c r="AS56" i="2"/>
  <c r="AR56" i="2"/>
  <c r="AQ56" i="2"/>
  <c r="AP56" i="2"/>
  <c r="AO56" i="2"/>
  <c r="AN56" i="2"/>
  <c r="AM56" i="2"/>
  <c r="AB56" i="2"/>
  <c r="AA56" i="2"/>
  <c r="Z56" i="2"/>
  <c r="Y56" i="2"/>
  <c r="X56" i="2"/>
  <c r="W56" i="2"/>
  <c r="V56" i="2"/>
  <c r="U56" i="2"/>
  <c r="T56" i="2"/>
  <c r="S56" i="2"/>
  <c r="R56" i="2"/>
  <c r="L56" i="2"/>
  <c r="I56" i="2"/>
  <c r="H56" i="2"/>
  <c r="F56" i="2"/>
  <c r="E56" i="2"/>
  <c r="D56" i="2"/>
  <c r="AV55" i="2"/>
  <c r="AU55" i="2"/>
  <c r="AT55" i="2"/>
  <c r="AS55" i="2"/>
  <c r="AR55" i="2"/>
  <c r="AQ55" i="2"/>
  <c r="AP55" i="2"/>
  <c r="AO55" i="2"/>
  <c r="AN55" i="2"/>
  <c r="AM55" i="2"/>
  <c r="AJ55" i="2"/>
  <c r="AG55" i="2"/>
  <c r="AF55" i="2"/>
  <c r="AE55" i="2"/>
  <c r="AB55" i="2"/>
  <c r="W55" i="2"/>
  <c r="U55" i="2"/>
  <c r="T55" i="2"/>
  <c r="S55" i="2"/>
  <c r="R55" i="2"/>
  <c r="K55" i="2"/>
  <c r="A55" i="2"/>
  <c r="AV54" i="2"/>
  <c r="AU54" i="2"/>
  <c r="AT54" i="2"/>
  <c r="AS54" i="2"/>
  <c r="AR54" i="2"/>
  <c r="AQ54" i="2"/>
  <c r="AP54" i="2"/>
  <c r="AO54" i="2"/>
  <c r="AN54" i="2"/>
  <c r="AM54" i="2"/>
  <c r="I54" i="2"/>
  <c r="H54" i="2"/>
  <c r="F54" i="2"/>
  <c r="E54" i="2"/>
  <c r="D54" i="2"/>
  <c r="AV53" i="2"/>
  <c r="AU53" i="2"/>
  <c r="AT53" i="2"/>
  <c r="AS53" i="2"/>
  <c r="AR53" i="2"/>
  <c r="AQ53" i="2"/>
  <c r="AP53" i="2"/>
  <c r="AO53" i="2"/>
  <c r="AN53" i="2"/>
  <c r="AM53" i="2"/>
  <c r="AB53" i="2"/>
  <c r="AA53" i="2"/>
  <c r="Z53" i="2"/>
  <c r="Y53" i="2"/>
  <c r="X53" i="2"/>
  <c r="W53" i="2"/>
  <c r="V53" i="2"/>
  <c r="U53" i="2"/>
  <c r="T53" i="2"/>
  <c r="S53" i="2"/>
  <c r="R53" i="2"/>
  <c r="L53" i="2"/>
  <c r="I53" i="2"/>
  <c r="H53" i="2"/>
  <c r="F53" i="2"/>
  <c r="E53" i="2"/>
  <c r="D53" i="2"/>
  <c r="AV52" i="2"/>
  <c r="AU52" i="2"/>
  <c r="AT52" i="2"/>
  <c r="AS52" i="2"/>
  <c r="AR52" i="2"/>
  <c r="AQ52" i="2"/>
  <c r="AP52" i="2"/>
  <c r="AO52" i="2"/>
  <c r="AN52" i="2"/>
  <c r="AM52" i="2"/>
  <c r="AJ52" i="2"/>
  <c r="AG52" i="2"/>
  <c r="AF52" i="2"/>
  <c r="AE52" i="2"/>
  <c r="AB52" i="2"/>
  <c r="W52" i="2"/>
  <c r="U52" i="2"/>
  <c r="T52" i="2"/>
  <c r="S52" i="2"/>
  <c r="R52" i="2"/>
  <c r="K52" i="2"/>
  <c r="A52" i="2"/>
  <c r="AV51" i="2"/>
  <c r="AU51" i="2"/>
  <c r="AT51" i="2"/>
  <c r="AS51" i="2"/>
  <c r="AR51" i="2"/>
  <c r="AQ51" i="2"/>
  <c r="AP51" i="2"/>
  <c r="AO51" i="2"/>
  <c r="AN51" i="2"/>
  <c r="AM51" i="2"/>
  <c r="I51" i="2"/>
  <c r="H51" i="2"/>
  <c r="F51" i="2"/>
  <c r="E51" i="2"/>
  <c r="D51" i="2"/>
  <c r="AV50" i="2"/>
  <c r="AU50" i="2"/>
  <c r="AT50" i="2"/>
  <c r="AS50" i="2"/>
  <c r="AR50" i="2"/>
  <c r="AQ50" i="2"/>
  <c r="AP50" i="2"/>
  <c r="AO50" i="2"/>
  <c r="AN50" i="2"/>
  <c r="AM50" i="2"/>
  <c r="AB50" i="2"/>
  <c r="AA50" i="2"/>
  <c r="Z50" i="2"/>
  <c r="Y50" i="2"/>
  <c r="X50" i="2"/>
  <c r="W50" i="2"/>
  <c r="V50" i="2"/>
  <c r="U50" i="2"/>
  <c r="T50" i="2"/>
  <c r="S50" i="2"/>
  <c r="R50" i="2"/>
  <c r="L50" i="2"/>
  <c r="I50" i="2"/>
  <c r="H50" i="2"/>
  <c r="F50" i="2"/>
  <c r="E50" i="2"/>
  <c r="D50" i="2"/>
  <c r="AV49" i="2"/>
  <c r="AU49" i="2"/>
  <c r="AT49" i="2"/>
  <c r="AS49" i="2"/>
  <c r="AR49" i="2"/>
  <c r="AQ49" i="2"/>
  <c r="AP49" i="2"/>
  <c r="AO49" i="2"/>
  <c r="AN49" i="2"/>
  <c r="AM49" i="2"/>
  <c r="AJ49" i="2"/>
  <c r="AG49" i="2"/>
  <c r="AF49" i="2"/>
  <c r="AE49" i="2"/>
  <c r="AB49" i="2"/>
  <c r="W49" i="2"/>
  <c r="U49" i="2"/>
  <c r="T49" i="2"/>
  <c r="S49" i="2"/>
  <c r="R49" i="2"/>
  <c r="K49" i="2"/>
  <c r="F49" i="2"/>
  <c r="A49" i="2"/>
  <c r="AV48" i="2"/>
  <c r="AU48" i="2"/>
  <c r="AT48" i="2"/>
  <c r="AS48" i="2"/>
  <c r="AR48" i="2"/>
  <c r="AQ48" i="2"/>
  <c r="AP48" i="2"/>
  <c r="AO48" i="2"/>
  <c r="AN48" i="2"/>
  <c r="AM48" i="2"/>
  <c r="I48" i="2"/>
  <c r="H48" i="2"/>
  <c r="F48" i="2"/>
  <c r="E48" i="2"/>
  <c r="D48" i="2"/>
  <c r="AV47" i="2"/>
  <c r="AU47" i="2"/>
  <c r="AT47" i="2"/>
  <c r="AS47" i="2"/>
  <c r="AR47" i="2"/>
  <c r="AQ47" i="2"/>
  <c r="AP47" i="2"/>
  <c r="AO47" i="2"/>
  <c r="AN47" i="2"/>
  <c r="AM47" i="2"/>
  <c r="AB47" i="2"/>
  <c r="AA47" i="2"/>
  <c r="Z47" i="2"/>
  <c r="Y47" i="2"/>
  <c r="X47" i="2"/>
  <c r="W47" i="2"/>
  <c r="V47" i="2"/>
  <c r="U47" i="2"/>
  <c r="T47" i="2"/>
  <c r="S47" i="2"/>
  <c r="R47" i="2"/>
  <c r="L47" i="2"/>
  <c r="I47" i="2"/>
  <c r="H47" i="2"/>
  <c r="F47" i="2"/>
  <c r="E47" i="2"/>
  <c r="D47" i="2"/>
  <c r="AV46" i="2"/>
  <c r="AU46" i="2"/>
  <c r="AT46" i="2"/>
  <c r="AS46" i="2"/>
  <c r="AR46" i="2"/>
  <c r="AQ46" i="2"/>
  <c r="AP46" i="2"/>
  <c r="AO46" i="2"/>
  <c r="AN46" i="2"/>
  <c r="AM46" i="2"/>
  <c r="AJ46" i="2"/>
  <c r="AG46" i="2"/>
  <c r="AF46" i="2"/>
  <c r="AB46" i="2"/>
  <c r="W46" i="2"/>
  <c r="U46" i="2"/>
  <c r="T46" i="2"/>
  <c r="S46" i="2"/>
  <c r="R46" i="2"/>
  <c r="K46" i="2"/>
  <c r="F46" i="2"/>
  <c r="A46" i="2"/>
  <c r="AV45" i="2"/>
  <c r="AU45" i="2"/>
  <c r="AT45" i="2"/>
  <c r="AS45" i="2"/>
  <c r="AR45" i="2"/>
  <c r="AQ45" i="2"/>
  <c r="AP45" i="2"/>
  <c r="AO45" i="2"/>
  <c r="AN45" i="2"/>
  <c r="AM45" i="2"/>
  <c r="I45" i="2"/>
  <c r="H45" i="2"/>
  <c r="F45" i="2"/>
  <c r="E45" i="2"/>
  <c r="D45" i="2"/>
  <c r="AV44" i="2"/>
  <c r="AU44" i="2"/>
  <c r="AT44" i="2"/>
  <c r="AS44" i="2"/>
  <c r="AR44" i="2"/>
  <c r="AQ44" i="2"/>
  <c r="AP44" i="2"/>
  <c r="AO44" i="2"/>
  <c r="AN44" i="2"/>
  <c r="AM44" i="2"/>
  <c r="AB44" i="2"/>
  <c r="AA44" i="2"/>
  <c r="Z44" i="2"/>
  <c r="Y44" i="2"/>
  <c r="X44" i="2"/>
  <c r="W44" i="2"/>
  <c r="V44" i="2"/>
  <c r="U44" i="2"/>
  <c r="T44" i="2"/>
  <c r="S44" i="2"/>
  <c r="R44" i="2"/>
  <c r="L44" i="2"/>
  <c r="I44" i="2"/>
  <c r="H44" i="2"/>
  <c r="F44" i="2"/>
  <c r="E44" i="2"/>
  <c r="D44" i="2"/>
  <c r="AV43" i="2"/>
  <c r="AU43" i="2"/>
  <c r="AT43" i="2"/>
  <c r="AS43" i="2"/>
  <c r="AR43" i="2"/>
  <c r="AQ43" i="2"/>
  <c r="AP43" i="2"/>
  <c r="AO43" i="2"/>
  <c r="AN43" i="2"/>
  <c r="AM43" i="2"/>
  <c r="AJ43" i="2"/>
  <c r="AG43" i="2"/>
  <c r="AF43" i="2"/>
  <c r="AB43" i="2"/>
  <c r="W43" i="2"/>
  <c r="U43" i="2"/>
  <c r="T43" i="2"/>
  <c r="S43" i="2"/>
  <c r="R43" i="2"/>
  <c r="K43" i="2"/>
  <c r="F43" i="2"/>
  <c r="A43" i="2"/>
  <c r="AV42" i="2"/>
  <c r="AU42" i="2"/>
  <c r="AT42" i="2"/>
  <c r="AS42" i="2"/>
  <c r="AR42" i="2"/>
  <c r="AQ42" i="2"/>
  <c r="AP42" i="2"/>
  <c r="AO42" i="2"/>
  <c r="AN42" i="2"/>
  <c r="AM42" i="2"/>
  <c r="I42" i="2"/>
  <c r="H42" i="2"/>
  <c r="F42" i="2"/>
  <c r="E42" i="2"/>
  <c r="D42" i="2"/>
  <c r="AV41" i="2"/>
  <c r="AU41" i="2"/>
  <c r="AT41" i="2"/>
  <c r="AS41" i="2"/>
  <c r="AR41" i="2"/>
  <c r="AQ41" i="2"/>
  <c r="AP41" i="2"/>
  <c r="AO41" i="2"/>
  <c r="AN41" i="2"/>
  <c r="AM41" i="2"/>
  <c r="AB41" i="2"/>
  <c r="AA41" i="2"/>
  <c r="Z41" i="2"/>
  <c r="Y41" i="2"/>
  <c r="X41" i="2"/>
  <c r="W41" i="2"/>
  <c r="V41" i="2"/>
  <c r="U41" i="2"/>
  <c r="T41" i="2"/>
  <c r="S41" i="2"/>
  <c r="R41" i="2"/>
  <c r="L41" i="2"/>
  <c r="I41" i="2"/>
  <c r="H41" i="2"/>
  <c r="F41" i="2"/>
  <c r="E41" i="2"/>
  <c r="D41" i="2"/>
  <c r="AV40" i="2"/>
  <c r="AU40" i="2"/>
  <c r="AT40" i="2"/>
  <c r="AS40" i="2"/>
  <c r="AR40" i="2"/>
  <c r="AQ40" i="2"/>
  <c r="AP40" i="2"/>
  <c r="AO40" i="2"/>
  <c r="AN40" i="2"/>
  <c r="AM40" i="2"/>
  <c r="AJ40" i="2"/>
  <c r="AG40" i="2"/>
  <c r="AF40" i="2"/>
  <c r="AB40" i="2"/>
  <c r="W40" i="2"/>
  <c r="U40" i="2"/>
  <c r="T40" i="2"/>
  <c r="S40" i="2"/>
  <c r="R40" i="2"/>
  <c r="K40" i="2"/>
  <c r="A40" i="2"/>
  <c r="AV39" i="2"/>
  <c r="AU39" i="2"/>
  <c r="AT39" i="2"/>
  <c r="AS39" i="2"/>
  <c r="AR39" i="2"/>
  <c r="AQ39" i="2"/>
  <c r="AP39" i="2"/>
  <c r="AO39" i="2"/>
  <c r="AN39" i="2"/>
  <c r="AM39" i="2"/>
  <c r="I39" i="2"/>
  <c r="H39" i="2"/>
  <c r="F39" i="2"/>
  <c r="E39" i="2"/>
  <c r="D39" i="2"/>
  <c r="AV38" i="2"/>
  <c r="AU38" i="2"/>
  <c r="AT38" i="2"/>
  <c r="AS38" i="2"/>
  <c r="AR38" i="2"/>
  <c r="AQ38" i="2"/>
  <c r="AP38" i="2"/>
  <c r="AO38" i="2"/>
  <c r="AN38" i="2"/>
  <c r="AM38" i="2"/>
  <c r="AB38" i="2"/>
  <c r="AA38" i="2"/>
  <c r="Z38" i="2"/>
  <c r="Y38" i="2"/>
  <c r="X38" i="2"/>
  <c r="W38" i="2"/>
  <c r="V38" i="2"/>
  <c r="U38" i="2"/>
  <c r="T38" i="2"/>
  <c r="S38" i="2"/>
  <c r="R38" i="2"/>
  <c r="L38" i="2"/>
  <c r="I38" i="2"/>
  <c r="H38" i="2"/>
  <c r="F38" i="2"/>
  <c r="E38" i="2"/>
  <c r="D38" i="2"/>
  <c r="AV37" i="2"/>
  <c r="AU37" i="2"/>
  <c r="AT37" i="2"/>
  <c r="AS37" i="2"/>
  <c r="AR37" i="2"/>
  <c r="AQ37" i="2"/>
  <c r="AP37" i="2"/>
  <c r="AO37" i="2"/>
  <c r="AN37" i="2"/>
  <c r="AM37" i="2"/>
  <c r="AJ37" i="2"/>
  <c r="AG37" i="2"/>
  <c r="AF37" i="2"/>
  <c r="AB37" i="2"/>
  <c r="W37" i="2"/>
  <c r="U37" i="2"/>
  <c r="T37" i="2"/>
  <c r="S37" i="2"/>
  <c r="R37" i="2"/>
  <c r="K37" i="2"/>
  <c r="F37" i="2"/>
  <c r="A37" i="2"/>
  <c r="AV36" i="2"/>
  <c r="AU36" i="2"/>
  <c r="AT36" i="2"/>
  <c r="AS36" i="2"/>
  <c r="AR36" i="2"/>
  <c r="AQ36" i="2"/>
  <c r="AP36" i="2"/>
  <c r="AO36" i="2"/>
  <c r="AN36" i="2"/>
  <c r="AM36" i="2"/>
  <c r="I36" i="2"/>
  <c r="H36" i="2"/>
  <c r="F36" i="2"/>
  <c r="E36" i="2"/>
  <c r="D36" i="2"/>
  <c r="AV35" i="2"/>
  <c r="AU35" i="2"/>
  <c r="AT35" i="2"/>
  <c r="AS35" i="2"/>
  <c r="AR35" i="2"/>
  <c r="AQ35" i="2"/>
  <c r="AP35" i="2"/>
  <c r="AO35" i="2"/>
  <c r="AN35" i="2"/>
  <c r="AM35" i="2"/>
  <c r="AB35" i="2"/>
  <c r="AA35" i="2"/>
  <c r="Z35" i="2"/>
  <c r="Y35" i="2"/>
  <c r="X35" i="2"/>
  <c r="W35" i="2"/>
  <c r="V35" i="2"/>
  <c r="U35" i="2"/>
  <c r="T35" i="2"/>
  <c r="S35" i="2"/>
  <c r="R35" i="2"/>
  <c r="L35" i="2"/>
  <c r="I35" i="2"/>
  <c r="H35" i="2"/>
  <c r="F35" i="2"/>
  <c r="E35" i="2"/>
  <c r="D35" i="2"/>
  <c r="AV34" i="2"/>
  <c r="AU34" i="2"/>
  <c r="AT34" i="2"/>
  <c r="AS34" i="2"/>
  <c r="AR34" i="2"/>
  <c r="AQ34" i="2"/>
  <c r="AP34" i="2"/>
  <c r="AO34" i="2"/>
  <c r="AN34" i="2"/>
  <c r="AM34" i="2"/>
  <c r="AJ34" i="2"/>
  <c r="AG34" i="2"/>
  <c r="AF34" i="2"/>
  <c r="AB34" i="2"/>
  <c r="W34" i="2"/>
  <c r="U34" i="2"/>
  <c r="T34" i="2"/>
  <c r="S34" i="2"/>
  <c r="R34" i="2"/>
  <c r="K34" i="2"/>
  <c r="F34" i="2"/>
  <c r="A34" i="2"/>
  <c r="AV33" i="2"/>
  <c r="AU33" i="2"/>
  <c r="AT33" i="2"/>
  <c r="AS33" i="2"/>
  <c r="AR33" i="2"/>
  <c r="AQ33" i="2"/>
  <c r="AP33" i="2"/>
  <c r="AO33" i="2"/>
  <c r="AN33" i="2"/>
  <c r="AM33" i="2"/>
  <c r="I33" i="2"/>
  <c r="H33" i="2"/>
  <c r="F33" i="2"/>
  <c r="E33" i="2"/>
  <c r="D33" i="2"/>
  <c r="AV32" i="2"/>
  <c r="AU32" i="2"/>
  <c r="AT32" i="2"/>
  <c r="AS32" i="2"/>
  <c r="AR32" i="2"/>
  <c r="AQ32" i="2"/>
  <c r="AP32" i="2"/>
  <c r="AO32" i="2"/>
  <c r="AN32" i="2"/>
  <c r="AM32" i="2"/>
  <c r="AB32" i="2"/>
  <c r="AA32" i="2"/>
  <c r="Z32" i="2"/>
  <c r="Y32" i="2"/>
  <c r="X32" i="2"/>
  <c r="W32" i="2"/>
  <c r="V32" i="2"/>
  <c r="U32" i="2"/>
  <c r="T32" i="2"/>
  <c r="S32" i="2"/>
  <c r="R32" i="2"/>
  <c r="L32" i="2"/>
  <c r="I32" i="2"/>
  <c r="H32" i="2"/>
  <c r="F32" i="2"/>
  <c r="E32" i="2"/>
  <c r="D32" i="2"/>
  <c r="AV31" i="2"/>
  <c r="AU31" i="2"/>
  <c r="AT31" i="2"/>
  <c r="AS31" i="2"/>
  <c r="AR31" i="2"/>
  <c r="AQ31" i="2"/>
  <c r="AP31" i="2"/>
  <c r="AO31" i="2"/>
  <c r="AN31" i="2"/>
  <c r="AM31" i="2"/>
  <c r="AJ31" i="2"/>
  <c r="AG31" i="2"/>
  <c r="AF31" i="2"/>
  <c r="AB31" i="2"/>
  <c r="W31" i="2"/>
  <c r="U31" i="2"/>
  <c r="T31" i="2"/>
  <c r="S31" i="2"/>
  <c r="R31" i="2"/>
  <c r="K31" i="2"/>
  <c r="F31" i="2"/>
  <c r="A31" i="2"/>
  <c r="AV30" i="2"/>
  <c r="AU30" i="2"/>
  <c r="AT30" i="2"/>
  <c r="AS30" i="2"/>
  <c r="AR30" i="2"/>
  <c r="AQ30" i="2"/>
  <c r="AP30" i="2"/>
  <c r="AO30" i="2"/>
  <c r="AN30" i="2"/>
  <c r="AM30" i="2"/>
  <c r="I30" i="2"/>
  <c r="H30" i="2"/>
  <c r="F30" i="2"/>
  <c r="E30" i="2"/>
  <c r="D30" i="2"/>
  <c r="AV29" i="2"/>
  <c r="AU29" i="2"/>
  <c r="AT29" i="2"/>
  <c r="AS29" i="2"/>
  <c r="AR29" i="2"/>
  <c r="AQ29" i="2"/>
  <c r="AP29" i="2"/>
  <c r="AO29" i="2"/>
  <c r="AN29" i="2"/>
  <c r="AM29" i="2"/>
  <c r="AB29" i="2"/>
  <c r="AA29" i="2"/>
  <c r="Z29" i="2"/>
  <c r="Y29" i="2"/>
  <c r="X29" i="2"/>
  <c r="W29" i="2"/>
  <c r="V29" i="2"/>
  <c r="U29" i="2"/>
  <c r="T29" i="2"/>
  <c r="S29" i="2"/>
  <c r="R29" i="2"/>
  <c r="L29" i="2"/>
  <c r="I29" i="2"/>
  <c r="H29" i="2"/>
  <c r="F29" i="2"/>
  <c r="E29" i="2"/>
  <c r="D29" i="2"/>
  <c r="AV28" i="2"/>
  <c r="AU28" i="2"/>
  <c r="AT28" i="2"/>
  <c r="AS28" i="2"/>
  <c r="AR28" i="2"/>
  <c r="AQ28" i="2"/>
  <c r="AP28" i="2"/>
  <c r="AO28" i="2"/>
  <c r="AN28" i="2"/>
  <c r="AM28" i="2"/>
  <c r="AJ28" i="2"/>
  <c r="AG28" i="2"/>
  <c r="AF28" i="2"/>
  <c r="AE28" i="2"/>
  <c r="AB28" i="2"/>
  <c r="W28" i="2"/>
  <c r="U28" i="2"/>
  <c r="T28" i="2"/>
  <c r="S28" i="2"/>
  <c r="R28" i="2"/>
  <c r="K28" i="2"/>
  <c r="A28" i="2"/>
  <c r="AV27" i="2"/>
  <c r="AU27" i="2"/>
  <c r="AT27" i="2"/>
  <c r="AS27" i="2"/>
  <c r="AR27" i="2"/>
  <c r="AQ27" i="2"/>
  <c r="AP27" i="2"/>
  <c r="AO27" i="2"/>
  <c r="AN27" i="2"/>
  <c r="AM27" i="2"/>
  <c r="I27" i="2"/>
  <c r="H27" i="2"/>
  <c r="F27" i="2"/>
  <c r="E27" i="2"/>
  <c r="D27" i="2"/>
  <c r="AV26" i="2"/>
  <c r="AU26" i="2"/>
  <c r="AT26" i="2"/>
  <c r="AS26" i="2"/>
  <c r="AR26" i="2"/>
  <c r="AQ26" i="2"/>
  <c r="AP26" i="2"/>
  <c r="AO26" i="2"/>
  <c r="AN26" i="2"/>
  <c r="AM26" i="2"/>
  <c r="AB26" i="2"/>
  <c r="AA26" i="2"/>
  <c r="Z26" i="2"/>
  <c r="Y26" i="2"/>
  <c r="X26" i="2"/>
  <c r="W26" i="2"/>
  <c r="V26" i="2"/>
  <c r="U26" i="2"/>
  <c r="T26" i="2"/>
  <c r="S26" i="2"/>
  <c r="R26" i="2"/>
  <c r="L26" i="2"/>
  <c r="I26" i="2"/>
  <c r="H26" i="2"/>
  <c r="F26" i="2"/>
  <c r="E26" i="2"/>
  <c r="D26" i="2"/>
  <c r="AV25" i="2"/>
  <c r="AU25" i="2"/>
  <c r="AT25" i="2"/>
  <c r="AS25" i="2"/>
  <c r="AR25" i="2"/>
  <c r="AQ25" i="2"/>
  <c r="AP25" i="2"/>
  <c r="AO25" i="2"/>
  <c r="AN25" i="2"/>
  <c r="AM25" i="2"/>
  <c r="AJ25" i="2"/>
  <c r="AG25" i="2"/>
  <c r="AF25" i="2"/>
  <c r="AE25" i="2"/>
  <c r="AB25" i="2"/>
  <c r="W25" i="2"/>
  <c r="U25" i="2"/>
  <c r="T25" i="2"/>
  <c r="S25" i="2"/>
  <c r="R25" i="2"/>
  <c r="K25" i="2"/>
  <c r="A25" i="2"/>
  <c r="AV24" i="2"/>
  <c r="AU24" i="2"/>
  <c r="AT24" i="2"/>
  <c r="AS24" i="2"/>
  <c r="AR24" i="2"/>
  <c r="AQ24" i="2"/>
  <c r="AP24" i="2"/>
  <c r="AO24" i="2"/>
  <c r="AN24" i="2"/>
  <c r="AM24" i="2"/>
  <c r="I24" i="2"/>
  <c r="H24" i="2"/>
  <c r="F24" i="2"/>
  <c r="E24" i="2"/>
  <c r="D24" i="2"/>
  <c r="AV23" i="2"/>
  <c r="AU23" i="2"/>
  <c r="AT23" i="2"/>
  <c r="AS23" i="2"/>
  <c r="AR23" i="2"/>
  <c r="AQ23" i="2"/>
  <c r="AP23" i="2"/>
  <c r="AO23" i="2"/>
  <c r="AN23" i="2"/>
  <c r="AM23" i="2"/>
  <c r="AB23" i="2"/>
  <c r="AA23" i="2"/>
  <c r="Z23" i="2"/>
  <c r="Y23" i="2"/>
  <c r="X23" i="2"/>
  <c r="W23" i="2"/>
  <c r="V23" i="2"/>
  <c r="U23" i="2"/>
  <c r="T23" i="2"/>
  <c r="S23" i="2"/>
  <c r="R23" i="2"/>
  <c r="L23" i="2"/>
  <c r="I23" i="2"/>
  <c r="H23" i="2"/>
  <c r="F23" i="2"/>
  <c r="E23" i="2"/>
  <c r="D23" i="2"/>
  <c r="AV22" i="2"/>
  <c r="AU22" i="2"/>
  <c r="AT22" i="2"/>
  <c r="AS22" i="2"/>
  <c r="AR22" i="2"/>
  <c r="AQ22" i="2"/>
  <c r="AP22" i="2"/>
  <c r="AO22" i="2"/>
  <c r="AN22" i="2"/>
  <c r="AM22" i="2"/>
  <c r="AJ22" i="2"/>
  <c r="AG22" i="2"/>
  <c r="AF22" i="2"/>
  <c r="AB22" i="2"/>
  <c r="W22" i="2"/>
  <c r="U22" i="2"/>
  <c r="T22" i="2"/>
  <c r="S22" i="2"/>
  <c r="R22" i="2"/>
  <c r="K22" i="2"/>
  <c r="A22" i="2"/>
  <c r="AV21" i="2"/>
  <c r="AU21" i="2"/>
  <c r="AT21" i="2"/>
  <c r="AS21" i="2"/>
  <c r="AR21" i="2"/>
  <c r="AQ21" i="2"/>
  <c r="AP21" i="2"/>
  <c r="AO21" i="2"/>
  <c r="AN21" i="2"/>
  <c r="AM21" i="2"/>
  <c r="I21" i="2"/>
  <c r="H21" i="2"/>
  <c r="F21" i="2"/>
  <c r="E21" i="2"/>
  <c r="D21" i="2"/>
  <c r="AV20" i="2"/>
  <c r="AU20" i="2"/>
  <c r="AT20" i="2"/>
  <c r="AS20" i="2"/>
  <c r="AR20" i="2"/>
  <c r="AQ20" i="2"/>
  <c r="AP20" i="2"/>
  <c r="AO20" i="2"/>
  <c r="AN20" i="2"/>
  <c r="AM20" i="2"/>
  <c r="AB20" i="2"/>
  <c r="AA20" i="2"/>
  <c r="Z20" i="2"/>
  <c r="Y20" i="2"/>
  <c r="X20" i="2"/>
  <c r="W20" i="2"/>
  <c r="V20" i="2"/>
  <c r="U20" i="2"/>
  <c r="T20" i="2"/>
  <c r="S20" i="2"/>
  <c r="R20" i="2"/>
  <c r="L20" i="2"/>
  <c r="I20" i="2"/>
  <c r="H20" i="2"/>
  <c r="F20" i="2"/>
  <c r="E20" i="2"/>
  <c r="D20" i="2"/>
  <c r="AV19" i="2"/>
  <c r="AU19" i="2"/>
  <c r="AT19" i="2"/>
  <c r="AS19" i="2"/>
  <c r="AR19" i="2"/>
  <c r="AQ19" i="2"/>
  <c r="AP19" i="2"/>
  <c r="AO19" i="2"/>
  <c r="AN19" i="2"/>
  <c r="AM19" i="2"/>
  <c r="AJ19" i="2"/>
  <c r="AG19" i="2"/>
  <c r="AF19" i="2"/>
  <c r="AB19" i="2"/>
  <c r="W19" i="2"/>
  <c r="U19" i="2"/>
  <c r="T19" i="2"/>
  <c r="S19" i="2"/>
  <c r="R19" i="2"/>
  <c r="K19" i="2"/>
  <c r="F19" i="2"/>
  <c r="A19" i="2"/>
  <c r="AV18" i="2"/>
  <c r="AU18" i="2"/>
  <c r="AT18" i="2"/>
  <c r="AS18" i="2"/>
  <c r="AR18" i="2"/>
  <c r="AQ18" i="2"/>
  <c r="AP18" i="2"/>
  <c r="AO18" i="2"/>
  <c r="AN18" i="2"/>
  <c r="AM18" i="2"/>
  <c r="I18" i="2"/>
  <c r="H18" i="2"/>
  <c r="F18" i="2"/>
  <c r="E18" i="2"/>
  <c r="D18" i="2"/>
  <c r="AV17" i="2"/>
  <c r="AU17" i="2"/>
  <c r="AT17" i="2"/>
  <c r="AS17" i="2"/>
  <c r="AR17" i="2"/>
  <c r="AQ17" i="2"/>
  <c r="AP17" i="2"/>
  <c r="AO17" i="2"/>
  <c r="AN17" i="2"/>
  <c r="AM17" i="2"/>
  <c r="AB17" i="2"/>
  <c r="AA17" i="2"/>
  <c r="Z17" i="2"/>
  <c r="Y17" i="2"/>
  <c r="X17" i="2"/>
  <c r="W17" i="2"/>
  <c r="V17" i="2"/>
  <c r="U17" i="2"/>
  <c r="T17" i="2"/>
  <c r="S17" i="2"/>
  <c r="R17" i="2"/>
  <c r="L17" i="2"/>
  <c r="I17" i="2"/>
  <c r="H17" i="2"/>
  <c r="F17" i="2"/>
  <c r="E17" i="2"/>
  <c r="D17" i="2"/>
  <c r="AV16" i="2"/>
  <c r="AU16" i="2"/>
  <c r="AT16" i="2"/>
  <c r="AS16" i="2"/>
  <c r="AR16" i="2"/>
  <c r="AQ16" i="2"/>
  <c r="AP16" i="2"/>
  <c r="AO16" i="2"/>
  <c r="AN16" i="2"/>
  <c r="AM16" i="2"/>
  <c r="AJ16" i="2"/>
  <c r="AG16" i="2"/>
  <c r="AF16" i="2"/>
  <c r="AB16" i="2"/>
  <c r="W16" i="2"/>
  <c r="U16" i="2"/>
  <c r="T16" i="2"/>
  <c r="S16" i="2"/>
  <c r="R16" i="2"/>
  <c r="K16" i="2"/>
  <c r="A16" i="2"/>
  <c r="AV15" i="2"/>
  <c r="AU15" i="2"/>
  <c r="AT15" i="2"/>
  <c r="AS15" i="2"/>
  <c r="AR15" i="2"/>
  <c r="AQ15" i="2"/>
  <c r="AP15" i="2"/>
  <c r="AO15" i="2"/>
  <c r="AN15" i="2"/>
  <c r="AM15" i="2"/>
  <c r="I15" i="2"/>
  <c r="H15" i="2"/>
  <c r="F15" i="2"/>
  <c r="E15" i="2"/>
  <c r="D15" i="2"/>
  <c r="AV14" i="2"/>
  <c r="AU14" i="2"/>
  <c r="AT14" i="2"/>
  <c r="AS14" i="2"/>
  <c r="AR14" i="2"/>
  <c r="AQ14" i="2"/>
  <c r="AP14" i="2"/>
  <c r="AO14" i="2"/>
  <c r="AN14" i="2"/>
  <c r="AM14" i="2"/>
  <c r="AB14" i="2"/>
  <c r="AA14" i="2"/>
  <c r="Z14" i="2"/>
  <c r="Y14" i="2"/>
  <c r="X14" i="2"/>
  <c r="W14" i="2"/>
  <c r="V14" i="2"/>
  <c r="U14" i="2"/>
  <c r="T14" i="2"/>
  <c r="S14" i="2"/>
  <c r="R14" i="2"/>
  <c r="L14" i="2"/>
  <c r="I14" i="2"/>
  <c r="H14" i="2"/>
  <c r="F14" i="2"/>
  <c r="E14" i="2"/>
  <c r="D14" i="2"/>
  <c r="AV13" i="2"/>
  <c r="AU13" i="2"/>
  <c r="AT13" i="2"/>
  <c r="AS13" i="2"/>
  <c r="AR13" i="2"/>
  <c r="AQ13" i="2"/>
  <c r="AP13" i="2"/>
  <c r="AO13" i="2"/>
  <c r="AN13" i="2"/>
  <c r="AM13" i="2"/>
  <c r="AJ13" i="2"/>
  <c r="AG13" i="2"/>
  <c r="AF13" i="2"/>
  <c r="AB13" i="2"/>
  <c r="W13" i="2"/>
  <c r="U13" i="2"/>
  <c r="T13" i="2"/>
  <c r="S13" i="2"/>
  <c r="R13" i="2"/>
  <c r="K13" i="2"/>
  <c r="A13" i="2"/>
  <c r="AV12" i="2"/>
  <c r="AU12" i="2"/>
  <c r="AT12" i="2"/>
  <c r="AS12" i="2"/>
  <c r="AR12" i="2"/>
  <c r="AQ12" i="2"/>
  <c r="AP12" i="2"/>
  <c r="AO12" i="2"/>
  <c r="AN12" i="2"/>
  <c r="AM12" i="2"/>
  <c r="I12" i="2"/>
  <c r="H12" i="2"/>
  <c r="F12" i="2"/>
  <c r="E12" i="2"/>
  <c r="D12" i="2"/>
  <c r="AV11" i="2"/>
  <c r="AU11" i="2"/>
  <c r="AT11" i="2"/>
  <c r="AS11" i="2"/>
  <c r="AR11" i="2"/>
  <c r="AQ11" i="2"/>
  <c r="AP11" i="2"/>
  <c r="AO11" i="2"/>
  <c r="AN11" i="2"/>
  <c r="AM11" i="2"/>
  <c r="AB11" i="2"/>
  <c r="AA11" i="2"/>
  <c r="Z11" i="2"/>
  <c r="Y11" i="2"/>
  <c r="X11" i="2"/>
  <c r="W11" i="2"/>
  <c r="T11" i="2"/>
  <c r="S11" i="2"/>
  <c r="R11" i="2"/>
  <c r="L11" i="2"/>
  <c r="I11" i="2"/>
  <c r="H11" i="2"/>
  <c r="F11" i="2"/>
  <c r="E11" i="2"/>
  <c r="D11" i="2"/>
  <c r="BB10" i="2" a="1"/>
  <c r="AV10" i="2"/>
  <c r="AU10" i="2"/>
  <c r="AT10" i="2"/>
  <c r="AS10" i="2"/>
  <c r="AR10" i="2"/>
  <c r="AQ10" i="2"/>
  <c r="AP10" i="2"/>
  <c r="AO10" i="2"/>
  <c r="AN10" i="2"/>
  <c r="AM10" i="2"/>
  <c r="AJ10" i="2"/>
  <c r="AG10" i="2"/>
  <c r="AF10" i="2"/>
  <c r="AB10" i="2"/>
  <c r="W10" i="2"/>
  <c r="U10" i="2"/>
  <c r="T10" i="2"/>
  <c r="S10" i="2"/>
  <c r="R10" i="2"/>
  <c r="K10" i="2"/>
  <c r="F10" i="2"/>
  <c r="BB8" i="2"/>
  <c r="AW6" i="2"/>
  <c r="AW103" i="2" s="1"/>
  <c r="M5" i="2"/>
  <c r="AL247" i="1"/>
  <c r="AK247" i="1"/>
  <c r="AJ247" i="1"/>
  <c r="AI247" i="1"/>
  <c r="AH247" i="1"/>
  <c r="AG247" i="1"/>
  <c r="AF247" i="1"/>
  <c r="AE247" i="1"/>
  <c r="AD247" i="1"/>
  <c r="AC247" i="1"/>
  <c r="I247" i="1"/>
  <c r="G247" i="1"/>
  <c r="F247" i="1"/>
  <c r="AR246" i="1"/>
  <c r="AQ246" i="1"/>
  <c r="AP246" i="1"/>
  <c r="AL246" i="1"/>
  <c r="AK246" i="1"/>
  <c r="AJ246" i="1"/>
  <c r="AI246" i="1"/>
  <c r="AH246" i="1"/>
  <c r="AG246" i="1"/>
  <c r="AF246" i="1"/>
  <c r="AE246" i="1"/>
  <c r="AD246" i="1"/>
  <c r="AC246" i="1"/>
  <c r="X246" i="1"/>
  <c r="V246" i="1"/>
  <c r="U246" i="1"/>
  <c r="T246" i="1"/>
  <c r="S246" i="1"/>
  <c r="R246" i="1"/>
  <c r="O246" i="1"/>
  <c r="N246" i="1"/>
  <c r="M246" i="1"/>
  <c r="L246" i="1"/>
  <c r="K246" i="1"/>
  <c r="I246" i="1"/>
  <c r="G246" i="1"/>
  <c r="F246" i="1"/>
  <c r="AR245" i="1"/>
  <c r="AQ245" i="1"/>
  <c r="AP245" i="1"/>
  <c r="AL245" i="1"/>
  <c r="AK245" i="1"/>
  <c r="AJ245" i="1"/>
  <c r="AI245" i="1"/>
  <c r="AH245" i="1"/>
  <c r="AG245" i="1"/>
  <c r="AF245" i="1"/>
  <c r="AE245" i="1"/>
  <c r="AD245" i="1"/>
  <c r="AC245" i="1"/>
  <c r="AB245" i="1"/>
  <c r="X245" i="1"/>
  <c r="W245" i="1"/>
  <c r="V245" i="1"/>
  <c r="U245" i="1"/>
  <c r="T245" i="1"/>
  <c r="S245" i="1"/>
  <c r="R245" i="1"/>
  <c r="P245" i="1"/>
  <c r="O245" i="1"/>
  <c r="N245" i="1"/>
  <c r="M245" i="1"/>
  <c r="L245" i="1"/>
  <c r="K245" i="1"/>
  <c r="AL244" i="1"/>
  <c r="AK244" i="1"/>
  <c r="AJ244" i="1"/>
  <c r="AI244" i="1"/>
  <c r="AH244" i="1"/>
  <c r="AG244" i="1"/>
  <c r="AF244" i="1"/>
  <c r="AE244" i="1"/>
  <c r="AD244" i="1"/>
  <c r="AC244" i="1"/>
  <c r="I244" i="1"/>
  <c r="G244" i="1"/>
  <c r="F244" i="1"/>
  <c r="AR243" i="1"/>
  <c r="AQ243" i="1"/>
  <c r="AP243" i="1"/>
  <c r="AL243" i="1"/>
  <c r="AK243" i="1"/>
  <c r="AJ243" i="1"/>
  <c r="AI243" i="1"/>
  <c r="AH243" i="1"/>
  <c r="AG243" i="1"/>
  <c r="AF243" i="1"/>
  <c r="AE243" i="1"/>
  <c r="AD243" i="1"/>
  <c r="AC243" i="1"/>
  <c r="X243" i="1"/>
  <c r="V243" i="1"/>
  <c r="U243" i="1"/>
  <c r="T243" i="1"/>
  <c r="S243" i="1"/>
  <c r="R243" i="1"/>
  <c r="O243" i="1"/>
  <c r="N243" i="1"/>
  <c r="M243" i="1"/>
  <c r="L243" i="1"/>
  <c r="K243" i="1"/>
  <c r="I243" i="1"/>
  <c r="G243" i="1"/>
  <c r="F243" i="1"/>
  <c r="AR242" i="1"/>
  <c r="AQ242" i="1"/>
  <c r="AP242" i="1"/>
  <c r="AL242" i="1"/>
  <c r="AK242" i="1"/>
  <c r="AJ242" i="1"/>
  <c r="AI242" i="1"/>
  <c r="AH242" i="1"/>
  <c r="AG242" i="1"/>
  <c r="AF242" i="1"/>
  <c r="AE242" i="1"/>
  <c r="AD242" i="1"/>
  <c r="AC242" i="1"/>
  <c r="AB242" i="1"/>
  <c r="X242" i="1"/>
  <c r="W242" i="1"/>
  <c r="V242" i="1"/>
  <c r="U242" i="1"/>
  <c r="T242" i="1"/>
  <c r="S242" i="1"/>
  <c r="R242" i="1"/>
  <c r="P242" i="1"/>
  <c r="O242" i="1"/>
  <c r="N242" i="1"/>
  <c r="M242" i="1"/>
  <c r="L242" i="1"/>
  <c r="K242" i="1"/>
  <c r="AL241" i="1"/>
  <c r="AK241" i="1"/>
  <c r="AJ241" i="1"/>
  <c r="AI241" i="1"/>
  <c r="AH241" i="1"/>
  <c r="AG241" i="1"/>
  <c r="AF241" i="1"/>
  <c r="AE241" i="1"/>
  <c r="AD241" i="1"/>
  <c r="AC241" i="1"/>
  <c r="I241" i="1"/>
  <c r="G241" i="1"/>
  <c r="F241" i="1"/>
  <c r="AR240" i="1"/>
  <c r="AQ240" i="1"/>
  <c r="AP240" i="1"/>
  <c r="AL240" i="1"/>
  <c r="AK240" i="1"/>
  <c r="AJ240" i="1"/>
  <c r="AI240" i="1"/>
  <c r="AH240" i="1"/>
  <c r="AG240" i="1"/>
  <c r="AF240" i="1"/>
  <c r="AE240" i="1"/>
  <c r="AD240" i="1"/>
  <c r="AC240" i="1"/>
  <c r="X240" i="1"/>
  <c r="V240" i="1"/>
  <c r="U240" i="1"/>
  <c r="T240" i="1"/>
  <c r="S240" i="1"/>
  <c r="R240" i="1"/>
  <c r="O240" i="1"/>
  <c r="N240" i="1"/>
  <c r="M240" i="1"/>
  <c r="L240" i="1"/>
  <c r="K240" i="1"/>
  <c r="I240" i="1"/>
  <c r="G240" i="1"/>
  <c r="F240" i="1"/>
  <c r="AR239" i="1"/>
  <c r="AQ239" i="1"/>
  <c r="AP239" i="1"/>
  <c r="AL239" i="1"/>
  <c r="AK239" i="1"/>
  <c r="AJ239" i="1"/>
  <c r="AI239" i="1"/>
  <c r="AH239" i="1"/>
  <c r="AG239" i="1"/>
  <c r="AF239" i="1"/>
  <c r="AE239" i="1"/>
  <c r="AD239" i="1"/>
  <c r="AC239" i="1"/>
  <c r="AB239" i="1"/>
  <c r="X239" i="1"/>
  <c r="W239" i="1"/>
  <c r="V239" i="1"/>
  <c r="U239" i="1"/>
  <c r="T239" i="1"/>
  <c r="S239" i="1"/>
  <c r="R239" i="1"/>
  <c r="P239" i="1"/>
  <c r="O239" i="1"/>
  <c r="N239" i="1"/>
  <c r="M239" i="1"/>
  <c r="L239" i="1"/>
  <c r="K239" i="1"/>
  <c r="AL238" i="1"/>
  <c r="AK238" i="1"/>
  <c r="AJ238" i="1"/>
  <c r="AI238" i="1"/>
  <c r="AH238" i="1"/>
  <c r="AG238" i="1"/>
  <c r="AF238" i="1"/>
  <c r="AE238" i="1"/>
  <c r="AD238" i="1"/>
  <c r="AC238" i="1"/>
  <c r="I238" i="1"/>
  <c r="G238" i="1"/>
  <c r="F238" i="1"/>
  <c r="AR237" i="1"/>
  <c r="AQ237" i="1"/>
  <c r="AP237" i="1"/>
  <c r="AL237" i="1"/>
  <c r="AK237" i="1"/>
  <c r="AJ237" i="1"/>
  <c r="AI237" i="1"/>
  <c r="AH237" i="1"/>
  <c r="AG237" i="1"/>
  <c r="AF237" i="1"/>
  <c r="AE237" i="1"/>
  <c r="AD237" i="1"/>
  <c r="AC237" i="1"/>
  <c r="X237" i="1"/>
  <c r="V237" i="1"/>
  <c r="U237" i="1"/>
  <c r="T237" i="1"/>
  <c r="S237" i="1"/>
  <c r="R237" i="1"/>
  <c r="O237" i="1"/>
  <c r="N237" i="1"/>
  <c r="M237" i="1"/>
  <c r="L237" i="1"/>
  <c r="K237" i="1"/>
  <c r="I237" i="1"/>
  <c r="G237" i="1"/>
  <c r="F237" i="1"/>
  <c r="AR236" i="1"/>
  <c r="AQ236" i="1"/>
  <c r="AP236" i="1"/>
  <c r="AL236" i="1"/>
  <c r="AK236" i="1"/>
  <c r="AJ236" i="1"/>
  <c r="AI236" i="1"/>
  <c r="AH236" i="1"/>
  <c r="AG236" i="1"/>
  <c r="AF236" i="1"/>
  <c r="AE236" i="1"/>
  <c r="AD236" i="1"/>
  <c r="AC236" i="1"/>
  <c r="AB236" i="1"/>
  <c r="X236" i="1"/>
  <c r="W236" i="1"/>
  <c r="V236" i="1"/>
  <c r="U236" i="1"/>
  <c r="T236" i="1"/>
  <c r="S236" i="1"/>
  <c r="R236" i="1"/>
  <c r="P236" i="1"/>
  <c r="O236" i="1"/>
  <c r="N236" i="1"/>
  <c r="M236" i="1"/>
  <c r="L236" i="1"/>
  <c r="K236" i="1"/>
  <c r="AL235" i="1"/>
  <c r="AK235" i="1"/>
  <c r="AJ235" i="1"/>
  <c r="AI235" i="1"/>
  <c r="AH235" i="1"/>
  <c r="AG235" i="1"/>
  <c r="AF235" i="1"/>
  <c r="AE235" i="1"/>
  <c r="AD235" i="1"/>
  <c r="AC235" i="1"/>
  <c r="I235" i="1"/>
  <c r="G235" i="1"/>
  <c r="F235" i="1"/>
  <c r="AR234" i="1"/>
  <c r="AQ234" i="1"/>
  <c r="AP234" i="1"/>
  <c r="AL234" i="1"/>
  <c r="AK234" i="1"/>
  <c r="AJ234" i="1"/>
  <c r="AI234" i="1"/>
  <c r="AH234" i="1"/>
  <c r="AG234" i="1"/>
  <c r="AF234" i="1"/>
  <c r="AE234" i="1"/>
  <c r="AD234" i="1"/>
  <c r="AC234" i="1"/>
  <c r="X234" i="1"/>
  <c r="V234" i="1"/>
  <c r="U234" i="1"/>
  <c r="T234" i="1"/>
  <c r="S234" i="1"/>
  <c r="R234" i="1"/>
  <c r="O234" i="1"/>
  <c r="N234" i="1"/>
  <c r="M234" i="1"/>
  <c r="L234" i="1"/>
  <c r="K234" i="1"/>
  <c r="I234" i="1"/>
  <c r="G234" i="1"/>
  <c r="F234" i="1"/>
  <c r="AR233" i="1"/>
  <c r="AQ233" i="1"/>
  <c r="AP233" i="1"/>
  <c r="AL233" i="1"/>
  <c r="AK233" i="1"/>
  <c r="AJ233" i="1"/>
  <c r="AI233" i="1"/>
  <c r="AH233" i="1"/>
  <c r="AG233" i="1"/>
  <c r="AF233" i="1"/>
  <c r="AE233" i="1"/>
  <c r="AD233" i="1"/>
  <c r="AC233" i="1"/>
  <c r="AB233" i="1"/>
  <c r="X233" i="1"/>
  <c r="W233" i="1"/>
  <c r="V233" i="1"/>
  <c r="U233" i="1"/>
  <c r="T233" i="1"/>
  <c r="S233" i="1"/>
  <c r="R233" i="1"/>
  <c r="P233" i="1"/>
  <c r="O233" i="1"/>
  <c r="N233" i="1"/>
  <c r="M233" i="1"/>
  <c r="L233" i="1"/>
  <c r="K233" i="1"/>
  <c r="AL232" i="1"/>
  <c r="AK232" i="1"/>
  <c r="AJ232" i="1"/>
  <c r="AI232" i="1"/>
  <c r="AH232" i="1"/>
  <c r="AG232" i="1"/>
  <c r="AF232" i="1"/>
  <c r="AE232" i="1"/>
  <c r="AD232" i="1"/>
  <c r="AC232" i="1"/>
  <c r="I232" i="1"/>
  <c r="G232" i="1"/>
  <c r="F232" i="1"/>
  <c r="AR231" i="1"/>
  <c r="AQ231" i="1"/>
  <c r="AP231" i="1"/>
  <c r="AL231" i="1"/>
  <c r="AK231" i="1"/>
  <c r="AJ231" i="1"/>
  <c r="AI231" i="1"/>
  <c r="AH231" i="1"/>
  <c r="AG231" i="1"/>
  <c r="AF231" i="1"/>
  <c r="AE231" i="1"/>
  <c r="AD231" i="1"/>
  <c r="AC231" i="1"/>
  <c r="X231" i="1"/>
  <c r="V231" i="1"/>
  <c r="U231" i="1"/>
  <c r="T231" i="1"/>
  <c r="S231" i="1"/>
  <c r="R231" i="1"/>
  <c r="O231" i="1"/>
  <c r="N231" i="1"/>
  <c r="M231" i="1"/>
  <c r="L231" i="1"/>
  <c r="K231" i="1"/>
  <c r="I231" i="1"/>
  <c r="G231" i="1"/>
  <c r="F231" i="1"/>
  <c r="AR230" i="1"/>
  <c r="AQ230" i="1"/>
  <c r="AP230" i="1"/>
  <c r="AL230" i="1"/>
  <c r="AK230" i="1"/>
  <c r="AJ230" i="1"/>
  <c r="AI230" i="1"/>
  <c r="AH230" i="1"/>
  <c r="AG230" i="1"/>
  <c r="AF230" i="1"/>
  <c r="AE230" i="1"/>
  <c r="AD230" i="1"/>
  <c r="AC230" i="1"/>
  <c r="AB230" i="1"/>
  <c r="X230" i="1"/>
  <c r="W230" i="1"/>
  <c r="V230" i="1"/>
  <c r="U230" i="1"/>
  <c r="T230" i="1"/>
  <c r="S230" i="1"/>
  <c r="R230" i="1"/>
  <c r="P230" i="1"/>
  <c r="O230" i="1"/>
  <c r="N230" i="1"/>
  <c r="M230" i="1"/>
  <c r="L230" i="1"/>
  <c r="K230" i="1"/>
  <c r="AL229" i="1"/>
  <c r="AK229" i="1"/>
  <c r="AJ229" i="1"/>
  <c r="AI229" i="1"/>
  <c r="AH229" i="1"/>
  <c r="AG229" i="1"/>
  <c r="AF229" i="1"/>
  <c r="AE229" i="1"/>
  <c r="AD229" i="1"/>
  <c r="AC229" i="1"/>
  <c r="I229" i="1"/>
  <c r="G229" i="1"/>
  <c r="F229" i="1"/>
  <c r="AR228" i="1"/>
  <c r="AQ228" i="1"/>
  <c r="AP228" i="1"/>
  <c r="AL228" i="1"/>
  <c r="AK228" i="1"/>
  <c r="AJ228" i="1"/>
  <c r="AI228" i="1"/>
  <c r="AH228" i="1"/>
  <c r="AG228" i="1"/>
  <c r="AF228" i="1"/>
  <c r="AE228" i="1"/>
  <c r="AD228" i="1"/>
  <c r="AC228" i="1"/>
  <c r="X228" i="1"/>
  <c r="V228" i="1"/>
  <c r="U228" i="1"/>
  <c r="T228" i="1"/>
  <c r="S228" i="1"/>
  <c r="R228" i="1"/>
  <c r="O228" i="1"/>
  <c r="N228" i="1"/>
  <c r="M228" i="1"/>
  <c r="L228" i="1"/>
  <c r="K228" i="1"/>
  <c r="I228" i="1"/>
  <c r="G228" i="1"/>
  <c r="F228" i="1"/>
  <c r="AR227" i="1"/>
  <c r="AQ227" i="1"/>
  <c r="AP227" i="1"/>
  <c r="AL227" i="1"/>
  <c r="AK227" i="1"/>
  <c r="AJ227" i="1"/>
  <c r="AI227" i="1"/>
  <c r="AH227" i="1"/>
  <c r="AG227" i="1"/>
  <c r="AF227" i="1"/>
  <c r="AE227" i="1"/>
  <c r="AD227" i="1"/>
  <c r="AC227" i="1"/>
  <c r="AB227" i="1"/>
  <c r="X227" i="1"/>
  <c r="W227" i="1"/>
  <c r="V227" i="1"/>
  <c r="U227" i="1"/>
  <c r="T227" i="1"/>
  <c r="S227" i="1"/>
  <c r="R227" i="1"/>
  <c r="P227" i="1"/>
  <c r="O227" i="1"/>
  <c r="N227" i="1"/>
  <c r="M227" i="1"/>
  <c r="L227" i="1"/>
  <c r="K227" i="1"/>
  <c r="AL226" i="1"/>
  <c r="AK226" i="1"/>
  <c r="AJ226" i="1"/>
  <c r="AI226" i="1"/>
  <c r="AH226" i="1"/>
  <c r="AG226" i="1"/>
  <c r="AF226" i="1"/>
  <c r="AE226" i="1"/>
  <c r="AD226" i="1"/>
  <c r="AC226" i="1"/>
  <c r="I226" i="1"/>
  <c r="G226" i="1"/>
  <c r="F226" i="1"/>
  <c r="AR225" i="1"/>
  <c r="AQ225" i="1"/>
  <c r="AP225" i="1"/>
  <c r="AL225" i="1"/>
  <c r="AK225" i="1"/>
  <c r="AJ225" i="1"/>
  <c r="AI225" i="1"/>
  <c r="AH225" i="1"/>
  <c r="AG225" i="1"/>
  <c r="AF225" i="1"/>
  <c r="AE225" i="1"/>
  <c r="AD225" i="1"/>
  <c r="AC225" i="1"/>
  <c r="X225" i="1"/>
  <c r="V225" i="1"/>
  <c r="U225" i="1"/>
  <c r="T225" i="1"/>
  <c r="S225" i="1"/>
  <c r="R225" i="1"/>
  <c r="O225" i="1"/>
  <c r="N225" i="1"/>
  <c r="M225" i="1"/>
  <c r="L225" i="1"/>
  <c r="K225" i="1"/>
  <c r="I225" i="1"/>
  <c r="G225" i="1"/>
  <c r="F225" i="1"/>
  <c r="AR224" i="1"/>
  <c r="AQ224" i="1"/>
  <c r="AP224" i="1"/>
  <c r="AL224" i="1"/>
  <c r="AK224" i="1"/>
  <c r="AJ224" i="1"/>
  <c r="AI224" i="1"/>
  <c r="AH224" i="1"/>
  <c r="AG224" i="1"/>
  <c r="AF224" i="1"/>
  <c r="AE224" i="1"/>
  <c r="AD224" i="1"/>
  <c r="AC224" i="1"/>
  <c r="AB224" i="1"/>
  <c r="X224" i="1"/>
  <c r="W224" i="1"/>
  <c r="V224" i="1"/>
  <c r="U224" i="1"/>
  <c r="T224" i="1"/>
  <c r="S224" i="1"/>
  <c r="R224" i="1"/>
  <c r="P224" i="1"/>
  <c r="O224" i="1"/>
  <c r="N224" i="1"/>
  <c r="M224" i="1"/>
  <c r="L224" i="1"/>
  <c r="K224" i="1"/>
  <c r="AL223" i="1"/>
  <c r="AK223" i="1"/>
  <c r="AJ223" i="1"/>
  <c r="AI223" i="1"/>
  <c r="AH223" i="1"/>
  <c r="AG223" i="1"/>
  <c r="AF223" i="1"/>
  <c r="AE223" i="1"/>
  <c r="AD223" i="1"/>
  <c r="AC223" i="1"/>
  <c r="I223" i="1"/>
  <c r="G223" i="1"/>
  <c r="F223" i="1"/>
  <c r="AR222" i="1"/>
  <c r="AQ222" i="1"/>
  <c r="AP222" i="1"/>
  <c r="AL222" i="1"/>
  <c r="AK222" i="1"/>
  <c r="AJ222" i="1"/>
  <c r="AI222" i="1"/>
  <c r="AH222" i="1"/>
  <c r="AG222" i="1"/>
  <c r="AF222" i="1"/>
  <c r="AE222" i="1"/>
  <c r="AD222" i="1"/>
  <c r="AC222" i="1"/>
  <c r="X222" i="1"/>
  <c r="V222" i="1"/>
  <c r="U222" i="1"/>
  <c r="T222" i="1"/>
  <c r="S222" i="1"/>
  <c r="R222" i="1"/>
  <c r="O222" i="1"/>
  <c r="N222" i="1"/>
  <c r="M222" i="1"/>
  <c r="L222" i="1"/>
  <c r="K222" i="1"/>
  <c r="I222" i="1"/>
  <c r="G222" i="1"/>
  <c r="F222" i="1"/>
  <c r="AR221" i="1"/>
  <c r="AQ221" i="1"/>
  <c r="AP221" i="1"/>
  <c r="AL221" i="1"/>
  <c r="AK221" i="1"/>
  <c r="AJ221" i="1"/>
  <c r="AI221" i="1"/>
  <c r="AH221" i="1"/>
  <c r="AG221" i="1"/>
  <c r="AF221" i="1"/>
  <c r="AE221" i="1"/>
  <c r="AD221" i="1"/>
  <c r="AC221" i="1"/>
  <c r="AB221" i="1"/>
  <c r="X221" i="1"/>
  <c r="W221" i="1"/>
  <c r="V221" i="1"/>
  <c r="U221" i="1"/>
  <c r="T221" i="1"/>
  <c r="S221" i="1"/>
  <c r="R221" i="1"/>
  <c r="P221" i="1"/>
  <c r="O221" i="1"/>
  <c r="N221" i="1"/>
  <c r="M221" i="1"/>
  <c r="L221" i="1"/>
  <c r="K221" i="1"/>
  <c r="AL220" i="1"/>
  <c r="AK220" i="1"/>
  <c r="AJ220" i="1"/>
  <c r="AI220" i="1"/>
  <c r="AH220" i="1"/>
  <c r="AG220" i="1"/>
  <c r="AF220" i="1"/>
  <c r="AE220" i="1"/>
  <c r="AD220" i="1"/>
  <c r="AC220" i="1"/>
  <c r="I220" i="1"/>
  <c r="G220" i="1"/>
  <c r="F220" i="1"/>
  <c r="AR219" i="1"/>
  <c r="AQ219" i="1"/>
  <c r="AP219" i="1"/>
  <c r="AL219" i="1"/>
  <c r="AK219" i="1"/>
  <c r="AJ219" i="1"/>
  <c r="AI219" i="1"/>
  <c r="AH219" i="1"/>
  <c r="AG219" i="1"/>
  <c r="AF219" i="1"/>
  <c r="AE219" i="1"/>
  <c r="AD219" i="1"/>
  <c r="AC219" i="1"/>
  <c r="X219" i="1"/>
  <c r="V219" i="1"/>
  <c r="U219" i="1"/>
  <c r="T219" i="1"/>
  <c r="S219" i="1"/>
  <c r="R219" i="1"/>
  <c r="O219" i="1"/>
  <c r="N219" i="1"/>
  <c r="M219" i="1"/>
  <c r="L219" i="1"/>
  <c r="K219" i="1"/>
  <c r="I219" i="1"/>
  <c r="G219" i="1"/>
  <c r="F219" i="1"/>
  <c r="AR218" i="1"/>
  <c r="AQ218" i="1"/>
  <c r="AP218" i="1"/>
  <c r="AL218" i="1"/>
  <c r="AK218" i="1"/>
  <c r="AJ218" i="1"/>
  <c r="AI218" i="1"/>
  <c r="AH218" i="1"/>
  <c r="AG218" i="1"/>
  <c r="AF218" i="1"/>
  <c r="AE218" i="1"/>
  <c r="AD218" i="1"/>
  <c r="AC218" i="1"/>
  <c r="AB218" i="1"/>
  <c r="X218" i="1"/>
  <c r="W218" i="1"/>
  <c r="V218" i="1"/>
  <c r="U218" i="1"/>
  <c r="T218" i="1"/>
  <c r="S218" i="1"/>
  <c r="R218" i="1"/>
  <c r="P218" i="1"/>
  <c r="O218" i="1"/>
  <c r="N218" i="1"/>
  <c r="M218" i="1"/>
  <c r="L218" i="1"/>
  <c r="K218" i="1"/>
  <c r="AL217" i="1"/>
  <c r="AK217" i="1"/>
  <c r="AJ217" i="1"/>
  <c r="AI217" i="1"/>
  <c r="AH217" i="1"/>
  <c r="AG217" i="1"/>
  <c r="AF217" i="1"/>
  <c r="AE217" i="1"/>
  <c r="AD217" i="1"/>
  <c r="AC217" i="1"/>
  <c r="I217" i="1"/>
  <c r="G217" i="1"/>
  <c r="F217" i="1"/>
  <c r="AR216" i="1"/>
  <c r="AQ216" i="1"/>
  <c r="AP216" i="1"/>
  <c r="AL216" i="1"/>
  <c r="AK216" i="1"/>
  <c r="AJ216" i="1"/>
  <c r="AI216" i="1"/>
  <c r="AH216" i="1"/>
  <c r="AG216" i="1"/>
  <c r="AF216" i="1"/>
  <c r="AE216" i="1"/>
  <c r="AD216" i="1"/>
  <c r="AC216" i="1"/>
  <c r="X216" i="1"/>
  <c r="V216" i="1"/>
  <c r="U216" i="1"/>
  <c r="T216" i="1"/>
  <c r="S216" i="1"/>
  <c r="R216" i="1"/>
  <c r="O216" i="1"/>
  <c r="N216" i="1"/>
  <c r="M216" i="1"/>
  <c r="L216" i="1"/>
  <c r="K216" i="1"/>
  <c r="I216" i="1"/>
  <c r="G216" i="1"/>
  <c r="F216" i="1"/>
  <c r="AR215" i="1"/>
  <c r="AQ215" i="1"/>
  <c r="AP215" i="1"/>
  <c r="AL215" i="1"/>
  <c r="AK215" i="1"/>
  <c r="AJ215" i="1"/>
  <c r="AI215" i="1"/>
  <c r="AH215" i="1"/>
  <c r="AG215" i="1"/>
  <c r="AF215" i="1"/>
  <c r="AE215" i="1"/>
  <c r="AD215" i="1"/>
  <c r="AC215" i="1"/>
  <c r="AB215" i="1"/>
  <c r="X215" i="1"/>
  <c r="W215" i="1"/>
  <c r="V215" i="1"/>
  <c r="U215" i="1"/>
  <c r="T215" i="1"/>
  <c r="S215" i="1"/>
  <c r="R215" i="1"/>
  <c r="P215" i="1"/>
  <c r="O215" i="1"/>
  <c r="N215" i="1"/>
  <c r="M215" i="1"/>
  <c r="L215" i="1"/>
  <c r="K215" i="1"/>
  <c r="AL214" i="1"/>
  <c r="AK214" i="1"/>
  <c r="AJ214" i="1"/>
  <c r="AI214" i="1"/>
  <c r="AH214" i="1"/>
  <c r="AG214" i="1"/>
  <c r="AF214" i="1"/>
  <c r="AE214" i="1"/>
  <c r="AD214" i="1"/>
  <c r="AC214" i="1"/>
  <c r="I214" i="1"/>
  <c r="G214" i="1"/>
  <c r="F214" i="1"/>
  <c r="AR213" i="1"/>
  <c r="AQ213" i="1"/>
  <c r="AP213" i="1"/>
  <c r="AL213" i="1"/>
  <c r="AK213" i="1"/>
  <c r="AJ213" i="1"/>
  <c r="AI213" i="1"/>
  <c r="AH213" i="1"/>
  <c r="AG213" i="1"/>
  <c r="AF213" i="1"/>
  <c r="AE213" i="1"/>
  <c r="AD213" i="1"/>
  <c r="AC213" i="1"/>
  <c r="X213" i="1"/>
  <c r="V213" i="1"/>
  <c r="U213" i="1"/>
  <c r="T213" i="1"/>
  <c r="S213" i="1"/>
  <c r="R213" i="1"/>
  <c r="O213" i="1"/>
  <c r="N213" i="1"/>
  <c r="M213" i="1"/>
  <c r="L213" i="1"/>
  <c r="K213" i="1"/>
  <c r="I213" i="1"/>
  <c r="G213" i="1"/>
  <c r="F213" i="1"/>
  <c r="AR212" i="1"/>
  <c r="AQ212" i="1"/>
  <c r="AP212" i="1"/>
  <c r="AL212" i="1"/>
  <c r="AK212" i="1"/>
  <c r="AJ212" i="1"/>
  <c r="AI212" i="1"/>
  <c r="AH212" i="1"/>
  <c r="AG212" i="1"/>
  <c r="AF212" i="1"/>
  <c r="AE212" i="1"/>
  <c r="AD212" i="1"/>
  <c r="AC212" i="1"/>
  <c r="AB212" i="1"/>
  <c r="X212" i="1"/>
  <c r="W212" i="1"/>
  <c r="V212" i="1"/>
  <c r="U212" i="1"/>
  <c r="T212" i="1"/>
  <c r="S212" i="1"/>
  <c r="R212" i="1"/>
  <c r="P212" i="1"/>
  <c r="O212" i="1"/>
  <c r="N212" i="1"/>
  <c r="M212" i="1"/>
  <c r="L212" i="1"/>
  <c r="K212" i="1"/>
  <c r="I211" i="1"/>
  <c r="G211" i="1"/>
  <c r="X210" i="1"/>
  <c r="V210" i="1"/>
  <c r="U210" i="1"/>
  <c r="T210" i="1"/>
  <c r="S210" i="1"/>
  <c r="R210" i="1"/>
  <c r="O210" i="1"/>
  <c r="N210" i="1"/>
  <c r="M210" i="1"/>
  <c r="L210" i="1"/>
  <c r="K210" i="1"/>
  <c r="I210" i="1"/>
  <c r="G210" i="1"/>
  <c r="AB209" i="1"/>
  <c r="Y209" i="1"/>
  <c r="X209" i="1"/>
  <c r="W209" i="1"/>
  <c r="V209" i="1"/>
  <c r="U209" i="1"/>
  <c r="T209" i="1"/>
  <c r="S209" i="1"/>
  <c r="R209" i="1"/>
  <c r="P209" i="1"/>
  <c r="O209" i="1"/>
  <c r="N209" i="1"/>
  <c r="M209" i="1"/>
  <c r="L209" i="1"/>
  <c r="K209" i="1"/>
  <c r="I209" i="1"/>
  <c r="G209" i="1"/>
  <c r="I208" i="1"/>
  <c r="G208" i="1"/>
  <c r="X207" i="1"/>
  <c r="V207" i="1"/>
  <c r="U207" i="1"/>
  <c r="T207" i="1"/>
  <c r="S207" i="1"/>
  <c r="R207" i="1"/>
  <c r="O207" i="1"/>
  <c r="N207" i="1"/>
  <c r="M207" i="1"/>
  <c r="L207" i="1"/>
  <c r="K207" i="1"/>
  <c r="I207" i="1"/>
  <c r="G207" i="1"/>
  <c r="AB206" i="1"/>
  <c r="X206" i="1"/>
  <c r="W206" i="1"/>
  <c r="V206" i="1"/>
  <c r="U206" i="1"/>
  <c r="T206" i="1"/>
  <c r="S206" i="1"/>
  <c r="R206" i="1"/>
  <c r="P206" i="1"/>
  <c r="O206" i="1"/>
  <c r="N206" i="1"/>
  <c r="M206" i="1"/>
  <c r="L206" i="1"/>
  <c r="K206" i="1"/>
  <c r="I206" i="1"/>
  <c r="G206" i="1"/>
  <c r="I205" i="1"/>
  <c r="G205" i="1"/>
  <c r="X204" i="1"/>
  <c r="V204" i="1"/>
  <c r="U204" i="1"/>
  <c r="T204" i="1"/>
  <c r="S204" i="1"/>
  <c r="R204" i="1"/>
  <c r="O204" i="1"/>
  <c r="N204" i="1"/>
  <c r="M204" i="1"/>
  <c r="L204" i="1"/>
  <c r="K204" i="1"/>
  <c r="I204" i="1"/>
  <c r="G204" i="1"/>
  <c r="AB203" i="1"/>
  <c r="Y203" i="1"/>
  <c r="X203" i="1"/>
  <c r="W203" i="1"/>
  <c r="V203" i="1"/>
  <c r="U203" i="1"/>
  <c r="T203" i="1"/>
  <c r="S203" i="1"/>
  <c r="R203" i="1"/>
  <c r="P203" i="1"/>
  <c r="O203" i="1"/>
  <c r="N203" i="1"/>
  <c r="M203" i="1"/>
  <c r="L203" i="1"/>
  <c r="K203" i="1"/>
  <c r="I203" i="1"/>
  <c r="G203" i="1"/>
  <c r="I202" i="1"/>
  <c r="G202" i="1"/>
  <c r="X201" i="1"/>
  <c r="V201" i="1"/>
  <c r="U201" i="1"/>
  <c r="T201" i="1"/>
  <c r="S201" i="1"/>
  <c r="R201" i="1"/>
  <c r="O201" i="1"/>
  <c r="N201" i="1"/>
  <c r="M201" i="1"/>
  <c r="L201" i="1"/>
  <c r="K201" i="1"/>
  <c r="I201" i="1"/>
  <c r="G201" i="1"/>
  <c r="AB200" i="1"/>
  <c r="Y200" i="1"/>
  <c r="X200" i="1"/>
  <c r="W200" i="1"/>
  <c r="V200" i="1"/>
  <c r="U200" i="1"/>
  <c r="T200" i="1"/>
  <c r="S200" i="1"/>
  <c r="R200" i="1"/>
  <c r="P200" i="1"/>
  <c r="O200" i="1"/>
  <c r="N200" i="1"/>
  <c r="M200" i="1"/>
  <c r="L200" i="1"/>
  <c r="K200" i="1"/>
  <c r="I200" i="1"/>
  <c r="G200" i="1"/>
  <c r="I199" i="1"/>
  <c r="G199" i="1"/>
  <c r="X198" i="1"/>
  <c r="V198" i="1"/>
  <c r="U198" i="1"/>
  <c r="T198" i="1"/>
  <c r="S198" i="1"/>
  <c r="R198" i="1"/>
  <c r="O198" i="1"/>
  <c r="N198" i="1"/>
  <c r="M198" i="1"/>
  <c r="L198" i="1"/>
  <c r="K198" i="1"/>
  <c r="I198" i="1"/>
  <c r="G198" i="1"/>
  <c r="AB197" i="1"/>
  <c r="Y197" i="1"/>
  <c r="X197" i="1"/>
  <c r="W197" i="1"/>
  <c r="V197" i="1"/>
  <c r="U197" i="1"/>
  <c r="T197" i="1"/>
  <c r="S197" i="1"/>
  <c r="R197" i="1"/>
  <c r="P197" i="1"/>
  <c r="O197" i="1"/>
  <c r="N197" i="1"/>
  <c r="M197" i="1"/>
  <c r="L197" i="1"/>
  <c r="K197" i="1"/>
  <c r="I197" i="1"/>
  <c r="G197" i="1"/>
  <c r="I196" i="1"/>
  <c r="G196" i="1"/>
  <c r="X195" i="1"/>
  <c r="V195" i="1"/>
  <c r="U195" i="1"/>
  <c r="T195" i="1"/>
  <c r="S195" i="1"/>
  <c r="R195" i="1"/>
  <c r="O195" i="1"/>
  <c r="N195" i="1"/>
  <c r="M195" i="1"/>
  <c r="L195" i="1"/>
  <c r="K195" i="1"/>
  <c r="I195" i="1"/>
  <c r="G195" i="1"/>
  <c r="AU194" i="1"/>
  <c r="AB194" i="1"/>
  <c r="X194" i="1"/>
  <c r="W194" i="1"/>
  <c r="V194" i="1"/>
  <c r="U194" i="1"/>
  <c r="T194" i="1"/>
  <c r="S194" i="1"/>
  <c r="R194" i="1"/>
  <c r="P194" i="1"/>
  <c r="O194" i="1"/>
  <c r="N194" i="1"/>
  <c r="M194" i="1"/>
  <c r="L194" i="1"/>
  <c r="K194" i="1"/>
  <c r="I194" i="1"/>
  <c r="G194" i="1"/>
  <c r="I193" i="1"/>
  <c r="G193" i="1"/>
  <c r="X192" i="1"/>
  <c r="V192" i="1"/>
  <c r="U192" i="1"/>
  <c r="T192" i="1"/>
  <c r="S192" i="1"/>
  <c r="R192" i="1"/>
  <c r="O192" i="1"/>
  <c r="N192" i="1"/>
  <c r="M192" i="1"/>
  <c r="L192" i="1"/>
  <c r="K192" i="1"/>
  <c r="I192" i="1"/>
  <c r="G192" i="1"/>
  <c r="AB191" i="1"/>
  <c r="Y191" i="1"/>
  <c r="X191" i="1"/>
  <c r="W191" i="1"/>
  <c r="V191" i="1"/>
  <c r="U191" i="1"/>
  <c r="T191" i="1"/>
  <c r="S191" i="1"/>
  <c r="R191" i="1"/>
  <c r="P191" i="1"/>
  <c r="O191" i="1"/>
  <c r="N191" i="1"/>
  <c r="M191" i="1"/>
  <c r="L191" i="1"/>
  <c r="K191" i="1"/>
  <c r="I191" i="1"/>
  <c r="G191" i="1"/>
  <c r="I190" i="1"/>
  <c r="G190" i="1"/>
  <c r="X189" i="1"/>
  <c r="V189" i="1"/>
  <c r="U189" i="1"/>
  <c r="T189" i="1"/>
  <c r="S189" i="1"/>
  <c r="R189" i="1"/>
  <c r="O189" i="1"/>
  <c r="N189" i="1"/>
  <c r="M189" i="1"/>
  <c r="L189" i="1"/>
  <c r="K189" i="1"/>
  <c r="I189" i="1"/>
  <c r="G189" i="1"/>
  <c r="AB188" i="1"/>
  <c r="X188" i="1"/>
  <c r="W188" i="1"/>
  <c r="V188" i="1"/>
  <c r="U188" i="1"/>
  <c r="T188" i="1"/>
  <c r="S188" i="1"/>
  <c r="R188" i="1"/>
  <c r="P188" i="1"/>
  <c r="O188" i="1"/>
  <c r="N188" i="1"/>
  <c r="M188" i="1"/>
  <c r="L188" i="1"/>
  <c r="K188" i="1"/>
  <c r="I188" i="1"/>
  <c r="G188" i="1"/>
  <c r="I187" i="1"/>
  <c r="G187" i="1"/>
  <c r="X186" i="1"/>
  <c r="V186" i="1"/>
  <c r="U186" i="1"/>
  <c r="T186" i="1"/>
  <c r="S186" i="1"/>
  <c r="R186" i="1"/>
  <c r="O186" i="1"/>
  <c r="N186" i="1"/>
  <c r="M186" i="1"/>
  <c r="L186" i="1"/>
  <c r="K186" i="1"/>
  <c r="I186" i="1"/>
  <c r="G186" i="1"/>
  <c r="AB185" i="1"/>
  <c r="X185" i="1"/>
  <c r="W185" i="1"/>
  <c r="V185" i="1"/>
  <c r="U185" i="1"/>
  <c r="T185" i="1"/>
  <c r="S185" i="1"/>
  <c r="R185" i="1"/>
  <c r="P185" i="1"/>
  <c r="O185" i="1"/>
  <c r="N185" i="1"/>
  <c r="M185" i="1"/>
  <c r="L185" i="1"/>
  <c r="K185" i="1"/>
  <c r="I185" i="1"/>
  <c r="G185" i="1"/>
  <c r="AL184" i="1"/>
  <c r="AK184" i="1"/>
  <c r="AJ184" i="1"/>
  <c r="AI184" i="1"/>
  <c r="AH184" i="1"/>
  <c r="AG184" i="1"/>
  <c r="AF184" i="1"/>
  <c r="AE184" i="1"/>
  <c r="AD184" i="1"/>
  <c r="AC184" i="1"/>
  <c r="I184" i="1"/>
  <c r="G184" i="1"/>
  <c r="AR183" i="1"/>
  <c r="AQ183" i="1"/>
  <c r="AP183" i="1"/>
  <c r="AL183" i="1"/>
  <c r="AK183" i="1"/>
  <c r="AJ183" i="1"/>
  <c r="AI183" i="1"/>
  <c r="AH183" i="1"/>
  <c r="AG183" i="1"/>
  <c r="AF183" i="1"/>
  <c r="AE183" i="1"/>
  <c r="AD183" i="1"/>
  <c r="AC183" i="1"/>
  <c r="X183" i="1"/>
  <c r="V183" i="1"/>
  <c r="U183" i="1"/>
  <c r="T183" i="1"/>
  <c r="S183" i="1"/>
  <c r="R183" i="1"/>
  <c r="O183" i="1"/>
  <c r="N183" i="1"/>
  <c r="M183" i="1"/>
  <c r="L183" i="1"/>
  <c r="K183" i="1"/>
  <c r="I183" i="1"/>
  <c r="G183" i="1"/>
  <c r="AR182" i="1"/>
  <c r="AQ182" i="1"/>
  <c r="AP182" i="1"/>
  <c r="AL182" i="1"/>
  <c r="AK182" i="1"/>
  <c r="AJ182" i="1"/>
  <c r="AI182" i="1"/>
  <c r="AH182" i="1"/>
  <c r="AG182" i="1"/>
  <c r="AF182" i="1"/>
  <c r="AE182" i="1"/>
  <c r="AD182" i="1"/>
  <c r="AC182" i="1"/>
  <c r="AB182" i="1"/>
  <c r="Y182" i="1"/>
  <c r="X182" i="1"/>
  <c r="W182" i="1"/>
  <c r="V182" i="1"/>
  <c r="U182" i="1"/>
  <c r="T182" i="1"/>
  <c r="S182" i="1"/>
  <c r="R182" i="1"/>
  <c r="P182" i="1"/>
  <c r="O182" i="1"/>
  <c r="N182" i="1"/>
  <c r="M182" i="1"/>
  <c r="L182" i="1"/>
  <c r="K182" i="1"/>
  <c r="G182" i="1"/>
  <c r="AL181" i="1"/>
  <c r="AK181" i="1"/>
  <c r="AJ181" i="1"/>
  <c r="AI181" i="1"/>
  <c r="AH181" i="1"/>
  <c r="AG181" i="1"/>
  <c r="AF181" i="1"/>
  <c r="AE181" i="1"/>
  <c r="AD181" i="1"/>
  <c r="AC181" i="1"/>
  <c r="I181" i="1"/>
  <c r="G181" i="1"/>
  <c r="AR180" i="1"/>
  <c r="AQ180" i="1"/>
  <c r="AP180" i="1"/>
  <c r="AL180" i="1"/>
  <c r="AK180" i="1"/>
  <c r="AJ180" i="1"/>
  <c r="AI180" i="1"/>
  <c r="AH180" i="1"/>
  <c r="AG180" i="1"/>
  <c r="AF180" i="1"/>
  <c r="AE180" i="1"/>
  <c r="AD180" i="1"/>
  <c r="AC180" i="1"/>
  <c r="X180" i="1"/>
  <c r="V180" i="1"/>
  <c r="U180" i="1"/>
  <c r="T180" i="1"/>
  <c r="S180" i="1"/>
  <c r="R180" i="1"/>
  <c r="O180" i="1"/>
  <c r="N180" i="1"/>
  <c r="M180" i="1"/>
  <c r="L180" i="1"/>
  <c r="K180" i="1"/>
  <c r="I180" i="1"/>
  <c r="G180" i="1"/>
  <c r="AR179" i="1"/>
  <c r="AQ179" i="1"/>
  <c r="AP179" i="1"/>
  <c r="AL179" i="1"/>
  <c r="AK179" i="1"/>
  <c r="AJ179" i="1"/>
  <c r="AI179" i="1"/>
  <c r="AH179" i="1"/>
  <c r="AG179" i="1"/>
  <c r="AF179" i="1"/>
  <c r="AE179" i="1"/>
  <c r="AD179" i="1"/>
  <c r="AC179" i="1"/>
  <c r="AB179" i="1"/>
  <c r="X179" i="1"/>
  <c r="W179" i="1"/>
  <c r="V179" i="1"/>
  <c r="U179" i="1"/>
  <c r="T179" i="1"/>
  <c r="S179" i="1"/>
  <c r="R179" i="1"/>
  <c r="P179" i="1"/>
  <c r="O179" i="1"/>
  <c r="N179" i="1"/>
  <c r="M179" i="1"/>
  <c r="L179" i="1"/>
  <c r="K179" i="1"/>
  <c r="G179" i="1"/>
  <c r="AL178" i="1"/>
  <c r="AK178" i="1"/>
  <c r="AJ178" i="1"/>
  <c r="AI178" i="1"/>
  <c r="AH178" i="1"/>
  <c r="AG178" i="1"/>
  <c r="AF178" i="1"/>
  <c r="AE178" i="1"/>
  <c r="AD178" i="1"/>
  <c r="AC178" i="1"/>
  <c r="I178" i="1"/>
  <c r="G178" i="1"/>
  <c r="AR177" i="1"/>
  <c r="AQ177" i="1"/>
  <c r="AP177" i="1"/>
  <c r="AL177" i="1"/>
  <c r="AK177" i="1"/>
  <c r="AJ177" i="1"/>
  <c r="AI177" i="1"/>
  <c r="AH177" i="1"/>
  <c r="AG177" i="1"/>
  <c r="AF177" i="1"/>
  <c r="AE177" i="1"/>
  <c r="AD177" i="1"/>
  <c r="AC177" i="1"/>
  <c r="X177" i="1"/>
  <c r="V177" i="1"/>
  <c r="U177" i="1"/>
  <c r="T177" i="1"/>
  <c r="S177" i="1"/>
  <c r="R177" i="1"/>
  <c r="O177" i="1"/>
  <c r="N177" i="1"/>
  <c r="M177" i="1"/>
  <c r="L177" i="1"/>
  <c r="K177" i="1"/>
  <c r="I177" i="1"/>
  <c r="G177" i="1"/>
  <c r="AR176" i="1"/>
  <c r="AQ176" i="1"/>
  <c r="AP176" i="1"/>
  <c r="AL176" i="1"/>
  <c r="AK176" i="1"/>
  <c r="AJ176" i="1"/>
  <c r="AI176" i="1"/>
  <c r="AH176" i="1"/>
  <c r="AG176" i="1"/>
  <c r="AF176" i="1"/>
  <c r="AE176" i="1"/>
  <c r="AD176" i="1"/>
  <c r="AC176" i="1"/>
  <c r="AB176" i="1"/>
  <c r="X176" i="1"/>
  <c r="W176" i="1"/>
  <c r="V176" i="1"/>
  <c r="U176" i="1"/>
  <c r="T176" i="1"/>
  <c r="S176" i="1"/>
  <c r="R176" i="1"/>
  <c r="P176" i="1"/>
  <c r="O176" i="1"/>
  <c r="N176" i="1"/>
  <c r="M176" i="1"/>
  <c r="L176" i="1"/>
  <c r="K176" i="1"/>
  <c r="G176" i="1"/>
  <c r="AL175" i="1"/>
  <c r="AK175" i="1"/>
  <c r="AJ175" i="1"/>
  <c r="AI175" i="1"/>
  <c r="AH175" i="1"/>
  <c r="AG175" i="1"/>
  <c r="AF175" i="1"/>
  <c r="AE175" i="1"/>
  <c r="AD175" i="1"/>
  <c r="AC175" i="1"/>
  <c r="I175" i="1"/>
  <c r="G175" i="1"/>
  <c r="F175" i="1"/>
  <c r="D175" i="1"/>
  <c r="C175" i="1"/>
  <c r="AR174" i="1"/>
  <c r="AQ174" i="1"/>
  <c r="AP174" i="1"/>
  <c r="AL174" i="1"/>
  <c r="AK174" i="1"/>
  <c r="AJ174" i="1"/>
  <c r="AI174" i="1"/>
  <c r="AH174" i="1"/>
  <c r="AG174" i="1"/>
  <c r="AF174" i="1"/>
  <c r="AE174" i="1"/>
  <c r="AD174" i="1"/>
  <c r="AC174" i="1"/>
  <c r="X174" i="1"/>
  <c r="V174" i="1"/>
  <c r="U174" i="1"/>
  <c r="T174" i="1"/>
  <c r="S174" i="1"/>
  <c r="R174" i="1"/>
  <c r="O174" i="1"/>
  <c r="N174" i="1"/>
  <c r="M174" i="1"/>
  <c r="L174" i="1"/>
  <c r="K174" i="1"/>
  <c r="I174" i="1"/>
  <c r="G174" i="1"/>
  <c r="F174" i="1"/>
  <c r="D174" i="1"/>
  <c r="C174" i="1"/>
  <c r="AR173" i="1"/>
  <c r="AQ173" i="1"/>
  <c r="AP173" i="1"/>
  <c r="AL173" i="1"/>
  <c r="AK173" i="1"/>
  <c r="AJ173" i="1"/>
  <c r="AI173" i="1"/>
  <c r="AH173" i="1"/>
  <c r="AG173" i="1"/>
  <c r="AF173" i="1"/>
  <c r="AE173" i="1"/>
  <c r="AD173" i="1"/>
  <c r="AC173" i="1"/>
  <c r="AB173" i="1"/>
  <c r="X173" i="1"/>
  <c r="W173" i="1"/>
  <c r="V173" i="1"/>
  <c r="U173" i="1"/>
  <c r="T173" i="1"/>
  <c r="S173" i="1"/>
  <c r="R173" i="1"/>
  <c r="P173" i="1"/>
  <c r="O173" i="1"/>
  <c r="N173" i="1"/>
  <c r="M173" i="1"/>
  <c r="L173" i="1"/>
  <c r="K173" i="1"/>
  <c r="A173" i="1"/>
  <c r="AL172" i="1"/>
  <c r="AK172" i="1"/>
  <c r="AJ172" i="1"/>
  <c r="AI172" i="1"/>
  <c r="AH172" i="1"/>
  <c r="AG172" i="1"/>
  <c r="AF172" i="1"/>
  <c r="AE172" i="1"/>
  <c r="AD172" i="1"/>
  <c r="AC172" i="1"/>
  <c r="I172" i="1"/>
  <c r="G172" i="1"/>
  <c r="F172" i="1"/>
  <c r="D172" i="1"/>
  <c r="C172" i="1"/>
  <c r="AR171" i="1"/>
  <c r="AQ171" i="1"/>
  <c r="AP171" i="1"/>
  <c r="AL171" i="1"/>
  <c r="AK171" i="1"/>
  <c r="AJ171" i="1"/>
  <c r="AI171" i="1"/>
  <c r="AH171" i="1"/>
  <c r="AG171" i="1"/>
  <c r="AF171" i="1"/>
  <c r="AE171" i="1"/>
  <c r="AD171" i="1"/>
  <c r="AC171" i="1"/>
  <c r="X171" i="1"/>
  <c r="V171" i="1"/>
  <c r="U171" i="1"/>
  <c r="T171" i="1"/>
  <c r="S171" i="1"/>
  <c r="R171" i="1"/>
  <c r="O171" i="1"/>
  <c r="N171" i="1"/>
  <c r="M171" i="1"/>
  <c r="L171" i="1"/>
  <c r="K171" i="1"/>
  <c r="I171" i="1"/>
  <c r="G171" i="1"/>
  <c r="F171" i="1"/>
  <c r="D171" i="1"/>
  <c r="C171" i="1"/>
  <c r="AR170" i="1"/>
  <c r="AQ170" i="1"/>
  <c r="AP170" i="1"/>
  <c r="AL170" i="1"/>
  <c r="AK170" i="1"/>
  <c r="AJ170" i="1"/>
  <c r="AI170" i="1"/>
  <c r="AH170" i="1"/>
  <c r="AG170" i="1"/>
  <c r="AF170" i="1"/>
  <c r="AE170" i="1"/>
  <c r="AD170" i="1"/>
  <c r="AC170" i="1"/>
  <c r="AB170" i="1"/>
  <c r="X170" i="1"/>
  <c r="W170" i="1"/>
  <c r="V170" i="1"/>
  <c r="U170" i="1"/>
  <c r="T170" i="1"/>
  <c r="S170" i="1"/>
  <c r="R170" i="1"/>
  <c r="P170" i="1"/>
  <c r="O170" i="1"/>
  <c r="N170" i="1"/>
  <c r="M170" i="1"/>
  <c r="L170" i="1"/>
  <c r="K170" i="1"/>
  <c r="A170" i="1"/>
  <c r="AL169" i="1"/>
  <c r="AK169" i="1"/>
  <c r="AJ169" i="1"/>
  <c r="AI169" i="1"/>
  <c r="AH169" i="1"/>
  <c r="AG169" i="1"/>
  <c r="AF169" i="1"/>
  <c r="AE169" i="1"/>
  <c r="AD169" i="1"/>
  <c r="AC169" i="1"/>
  <c r="I169" i="1"/>
  <c r="G169" i="1"/>
  <c r="F169" i="1"/>
  <c r="D169" i="1"/>
  <c r="C169" i="1"/>
  <c r="AR168" i="1"/>
  <c r="AQ168" i="1"/>
  <c r="AP168" i="1"/>
  <c r="AL168" i="1"/>
  <c r="AK168" i="1"/>
  <c r="AJ168" i="1"/>
  <c r="AI168" i="1"/>
  <c r="AH168" i="1"/>
  <c r="AG168" i="1"/>
  <c r="AF168" i="1"/>
  <c r="AE168" i="1"/>
  <c r="AD168" i="1"/>
  <c r="AC168" i="1"/>
  <c r="X168" i="1"/>
  <c r="V168" i="1"/>
  <c r="U168" i="1"/>
  <c r="T168" i="1"/>
  <c r="S168" i="1"/>
  <c r="R168" i="1"/>
  <c r="O168" i="1"/>
  <c r="N168" i="1"/>
  <c r="M168" i="1"/>
  <c r="L168" i="1"/>
  <c r="K168" i="1"/>
  <c r="I168" i="1"/>
  <c r="G168" i="1"/>
  <c r="F168" i="1"/>
  <c r="D168" i="1"/>
  <c r="C168" i="1"/>
  <c r="AR167" i="1"/>
  <c r="AQ167" i="1"/>
  <c r="AP167" i="1"/>
  <c r="AL167" i="1"/>
  <c r="AK167" i="1"/>
  <c r="AJ167" i="1"/>
  <c r="AI167" i="1"/>
  <c r="AH167" i="1"/>
  <c r="AG167" i="1"/>
  <c r="AF167" i="1"/>
  <c r="AE167" i="1"/>
  <c r="AD167" i="1"/>
  <c r="AC167" i="1"/>
  <c r="AB167" i="1"/>
  <c r="X167" i="1"/>
  <c r="W167" i="1"/>
  <c r="V167" i="1"/>
  <c r="U167" i="1"/>
  <c r="T167" i="1"/>
  <c r="S167" i="1"/>
  <c r="R167" i="1"/>
  <c r="P167" i="1"/>
  <c r="O167" i="1"/>
  <c r="N167" i="1"/>
  <c r="M167" i="1"/>
  <c r="L167" i="1"/>
  <c r="K167" i="1"/>
  <c r="A167" i="1"/>
  <c r="AL166" i="1"/>
  <c r="AK166" i="1"/>
  <c r="AJ166" i="1"/>
  <c r="AI166" i="1"/>
  <c r="AH166" i="1"/>
  <c r="AG166" i="1"/>
  <c r="AF166" i="1"/>
  <c r="AE166" i="1"/>
  <c r="AD166" i="1"/>
  <c r="AC166" i="1"/>
  <c r="I166" i="1"/>
  <c r="G166" i="1"/>
  <c r="F166" i="1"/>
  <c r="D166" i="1"/>
  <c r="C166" i="1"/>
  <c r="AR165" i="1"/>
  <c r="AQ165" i="1"/>
  <c r="AP165" i="1"/>
  <c r="AL165" i="1"/>
  <c r="AK165" i="1"/>
  <c r="AJ165" i="1"/>
  <c r="AI165" i="1"/>
  <c r="AH165" i="1"/>
  <c r="AG165" i="1"/>
  <c r="AF165" i="1"/>
  <c r="AE165" i="1"/>
  <c r="AD165" i="1"/>
  <c r="AC165" i="1"/>
  <c r="X165" i="1"/>
  <c r="V165" i="1"/>
  <c r="U165" i="1"/>
  <c r="T165" i="1"/>
  <c r="S165" i="1"/>
  <c r="R165" i="1"/>
  <c r="O165" i="1"/>
  <c r="N165" i="1"/>
  <c r="M165" i="1"/>
  <c r="L165" i="1"/>
  <c r="K165" i="1"/>
  <c r="I165" i="1"/>
  <c r="G165" i="1"/>
  <c r="F165" i="1"/>
  <c r="D165" i="1"/>
  <c r="C165" i="1"/>
  <c r="AR164" i="1"/>
  <c r="AQ164" i="1"/>
  <c r="AP164" i="1"/>
  <c r="AL164" i="1"/>
  <c r="AK164" i="1"/>
  <c r="AJ164" i="1"/>
  <c r="AI164" i="1"/>
  <c r="AH164" i="1"/>
  <c r="AG164" i="1"/>
  <c r="AF164" i="1"/>
  <c r="AE164" i="1"/>
  <c r="AD164" i="1"/>
  <c r="AC164" i="1"/>
  <c r="AB164" i="1"/>
  <c r="X164" i="1"/>
  <c r="W164" i="1"/>
  <c r="V164" i="1"/>
  <c r="U164" i="1"/>
  <c r="T164" i="1"/>
  <c r="S164" i="1"/>
  <c r="R164" i="1"/>
  <c r="P164" i="1"/>
  <c r="O164" i="1"/>
  <c r="N164" i="1"/>
  <c r="M164" i="1"/>
  <c r="L164" i="1"/>
  <c r="K164" i="1"/>
  <c r="A164" i="1"/>
  <c r="AL163" i="1"/>
  <c r="AK163" i="1"/>
  <c r="AJ163" i="1"/>
  <c r="AI163" i="1"/>
  <c r="AH163" i="1"/>
  <c r="AG163" i="1"/>
  <c r="AF163" i="1"/>
  <c r="AE163" i="1"/>
  <c r="AD163" i="1"/>
  <c r="AC163" i="1"/>
  <c r="I163" i="1"/>
  <c r="G163" i="1"/>
  <c r="F163" i="1"/>
  <c r="D163" i="1"/>
  <c r="C163" i="1"/>
  <c r="AR162" i="1"/>
  <c r="AQ162" i="1"/>
  <c r="AP162" i="1"/>
  <c r="AL162" i="1"/>
  <c r="AK162" i="1"/>
  <c r="AJ162" i="1"/>
  <c r="AI162" i="1"/>
  <c r="AH162" i="1"/>
  <c r="AG162" i="1"/>
  <c r="AF162" i="1"/>
  <c r="AE162" i="1"/>
  <c r="AD162" i="1"/>
  <c r="AC162" i="1"/>
  <c r="X162" i="1"/>
  <c r="V162" i="1"/>
  <c r="U162" i="1"/>
  <c r="T162" i="1"/>
  <c r="S162" i="1"/>
  <c r="R162" i="1"/>
  <c r="O162" i="1"/>
  <c r="N162" i="1"/>
  <c r="M162" i="1"/>
  <c r="L162" i="1"/>
  <c r="K162" i="1"/>
  <c r="I162" i="1"/>
  <c r="G162" i="1"/>
  <c r="F162" i="1"/>
  <c r="D162" i="1"/>
  <c r="C162" i="1"/>
  <c r="AR161" i="1"/>
  <c r="AQ161" i="1"/>
  <c r="AP161" i="1"/>
  <c r="AL161" i="1"/>
  <c r="AK161" i="1"/>
  <c r="AJ161" i="1"/>
  <c r="AI161" i="1"/>
  <c r="AH161" i="1"/>
  <c r="AG161" i="1"/>
  <c r="AF161" i="1"/>
  <c r="AE161" i="1"/>
  <c r="AD161" i="1"/>
  <c r="AC161" i="1"/>
  <c r="AB161" i="1"/>
  <c r="X161" i="1"/>
  <c r="W161" i="1"/>
  <c r="V161" i="1"/>
  <c r="U161" i="1"/>
  <c r="T161" i="1"/>
  <c r="S161" i="1"/>
  <c r="R161" i="1"/>
  <c r="P161" i="1"/>
  <c r="O161" i="1"/>
  <c r="N161" i="1"/>
  <c r="M161" i="1"/>
  <c r="L161" i="1"/>
  <c r="K161" i="1"/>
  <c r="A161" i="1"/>
  <c r="AL160" i="1"/>
  <c r="AK160" i="1"/>
  <c r="AJ160" i="1"/>
  <c r="AI160" i="1"/>
  <c r="AH160" i="1"/>
  <c r="AG160" i="1"/>
  <c r="AF160" i="1"/>
  <c r="AE160" i="1"/>
  <c r="AD160" i="1"/>
  <c r="AC160" i="1"/>
  <c r="I160" i="1"/>
  <c r="G160" i="1"/>
  <c r="F160" i="1"/>
  <c r="D160" i="1"/>
  <c r="C160" i="1"/>
  <c r="AR159" i="1"/>
  <c r="AQ159" i="1"/>
  <c r="AP159" i="1"/>
  <c r="AL159" i="1"/>
  <c r="AK159" i="1"/>
  <c r="AJ159" i="1"/>
  <c r="AI159" i="1"/>
  <c r="AH159" i="1"/>
  <c r="AG159" i="1"/>
  <c r="AF159" i="1"/>
  <c r="AE159" i="1"/>
  <c r="AD159" i="1"/>
  <c r="AC159" i="1"/>
  <c r="X159" i="1"/>
  <c r="V159" i="1"/>
  <c r="U159" i="1"/>
  <c r="T159" i="1"/>
  <c r="S159" i="1"/>
  <c r="R159" i="1"/>
  <c r="O159" i="1"/>
  <c r="N159" i="1"/>
  <c r="M159" i="1"/>
  <c r="L159" i="1"/>
  <c r="K159" i="1"/>
  <c r="I159" i="1"/>
  <c r="G159" i="1"/>
  <c r="F159" i="1"/>
  <c r="D159" i="1"/>
  <c r="C159" i="1"/>
  <c r="AR158" i="1"/>
  <c r="AQ158" i="1"/>
  <c r="AP158" i="1"/>
  <c r="AL158" i="1"/>
  <c r="AK158" i="1"/>
  <c r="AJ158" i="1"/>
  <c r="AI158" i="1"/>
  <c r="AH158" i="1"/>
  <c r="AG158" i="1"/>
  <c r="AF158" i="1"/>
  <c r="AE158" i="1"/>
  <c r="AD158" i="1"/>
  <c r="AC158" i="1"/>
  <c r="AB158" i="1"/>
  <c r="X158" i="1"/>
  <c r="W158" i="1"/>
  <c r="V158" i="1"/>
  <c r="U158" i="1"/>
  <c r="T158" i="1"/>
  <c r="S158" i="1"/>
  <c r="R158" i="1"/>
  <c r="P158" i="1"/>
  <c r="O158" i="1"/>
  <c r="N158" i="1"/>
  <c r="M158" i="1"/>
  <c r="L158" i="1"/>
  <c r="K158" i="1"/>
  <c r="A158" i="1"/>
  <c r="AL157" i="1"/>
  <c r="AK157" i="1"/>
  <c r="AJ157" i="1"/>
  <c r="AI157" i="1"/>
  <c r="AH157" i="1"/>
  <c r="AG157" i="1"/>
  <c r="AF157" i="1"/>
  <c r="AE157" i="1"/>
  <c r="AD157" i="1"/>
  <c r="AC157" i="1"/>
  <c r="I157" i="1"/>
  <c r="G157" i="1"/>
  <c r="F157" i="1"/>
  <c r="D157" i="1"/>
  <c r="C157" i="1"/>
  <c r="AR156" i="1"/>
  <c r="AQ156" i="1"/>
  <c r="AP156" i="1"/>
  <c r="AL156" i="1"/>
  <c r="AK156" i="1"/>
  <c r="AJ156" i="1"/>
  <c r="AI156" i="1"/>
  <c r="AH156" i="1"/>
  <c r="AG156" i="1"/>
  <c r="AF156" i="1"/>
  <c r="AE156" i="1"/>
  <c r="AD156" i="1"/>
  <c r="AC156" i="1"/>
  <c r="X156" i="1"/>
  <c r="V156" i="1"/>
  <c r="U156" i="1"/>
  <c r="T156" i="1"/>
  <c r="S156" i="1"/>
  <c r="R156" i="1"/>
  <c r="O156" i="1"/>
  <c r="N156" i="1"/>
  <c r="M156" i="1"/>
  <c r="L156" i="1"/>
  <c r="K156" i="1"/>
  <c r="I156" i="1"/>
  <c r="G156" i="1"/>
  <c r="F156" i="1"/>
  <c r="C156" i="1"/>
  <c r="AR155" i="1"/>
  <c r="AQ155" i="1"/>
  <c r="AP155" i="1"/>
  <c r="AL155" i="1"/>
  <c r="AK155" i="1"/>
  <c r="AJ155" i="1"/>
  <c r="AI155" i="1"/>
  <c r="AH155" i="1"/>
  <c r="AG155" i="1"/>
  <c r="AF155" i="1"/>
  <c r="AE155" i="1"/>
  <c r="AD155" i="1"/>
  <c r="AC155" i="1"/>
  <c r="AB155" i="1"/>
  <c r="Y155" i="1"/>
  <c r="X155" i="1"/>
  <c r="W155" i="1"/>
  <c r="V155" i="1"/>
  <c r="U155" i="1"/>
  <c r="T155" i="1"/>
  <c r="S155" i="1"/>
  <c r="R155" i="1"/>
  <c r="P155" i="1"/>
  <c r="O155" i="1"/>
  <c r="N155" i="1"/>
  <c r="M155" i="1"/>
  <c r="L155" i="1"/>
  <c r="K155" i="1"/>
  <c r="A155" i="1"/>
  <c r="AL154" i="1"/>
  <c r="AK154" i="1"/>
  <c r="AJ154" i="1"/>
  <c r="AI154" i="1"/>
  <c r="AH154" i="1"/>
  <c r="AG154" i="1"/>
  <c r="AF154" i="1"/>
  <c r="AE154" i="1"/>
  <c r="AD154" i="1"/>
  <c r="AC154" i="1"/>
  <c r="I154" i="1"/>
  <c r="G154" i="1"/>
  <c r="F154" i="1"/>
  <c r="D154" i="1"/>
  <c r="C154" i="1"/>
  <c r="AR153" i="1"/>
  <c r="AQ153" i="1"/>
  <c r="AP153" i="1"/>
  <c r="AL153" i="1"/>
  <c r="AK153" i="1"/>
  <c r="AJ153" i="1"/>
  <c r="AI153" i="1"/>
  <c r="AH153" i="1"/>
  <c r="AG153" i="1"/>
  <c r="AF153" i="1"/>
  <c r="AE153" i="1"/>
  <c r="AD153" i="1"/>
  <c r="AC153" i="1"/>
  <c r="X153" i="1"/>
  <c r="V153" i="1"/>
  <c r="U153" i="1"/>
  <c r="T153" i="1"/>
  <c r="S153" i="1"/>
  <c r="R153" i="1"/>
  <c r="O153" i="1"/>
  <c r="N153" i="1"/>
  <c r="M153" i="1"/>
  <c r="L153" i="1"/>
  <c r="K153" i="1"/>
  <c r="I153" i="1"/>
  <c r="G153" i="1"/>
  <c r="F153" i="1"/>
  <c r="D153" i="1"/>
  <c r="C153" i="1"/>
  <c r="AR152" i="1"/>
  <c r="AQ152" i="1"/>
  <c r="AP152" i="1"/>
  <c r="AL152" i="1"/>
  <c r="AK152" i="1"/>
  <c r="AJ152" i="1"/>
  <c r="AI152" i="1"/>
  <c r="AH152" i="1"/>
  <c r="AG152" i="1"/>
  <c r="AF152" i="1"/>
  <c r="AE152" i="1"/>
  <c r="AD152" i="1"/>
  <c r="AC152" i="1"/>
  <c r="AB152" i="1"/>
  <c r="X152" i="1"/>
  <c r="W152" i="1"/>
  <c r="V152" i="1"/>
  <c r="U152" i="1"/>
  <c r="T152" i="1"/>
  <c r="S152" i="1"/>
  <c r="R152" i="1"/>
  <c r="P152" i="1"/>
  <c r="O152" i="1"/>
  <c r="N152" i="1"/>
  <c r="M152" i="1"/>
  <c r="L152" i="1"/>
  <c r="K152" i="1"/>
  <c r="A152" i="1"/>
  <c r="AL151" i="1"/>
  <c r="AK151" i="1"/>
  <c r="AJ151" i="1"/>
  <c r="AI151" i="1"/>
  <c r="AH151" i="1"/>
  <c r="AG151" i="1"/>
  <c r="AF151" i="1"/>
  <c r="AE151" i="1"/>
  <c r="AD151" i="1"/>
  <c r="AC151" i="1"/>
  <c r="I151" i="1"/>
  <c r="G151" i="1"/>
  <c r="F151" i="1"/>
  <c r="D151" i="1"/>
  <c r="C151" i="1"/>
  <c r="AR150" i="1"/>
  <c r="AQ150" i="1"/>
  <c r="AP150" i="1"/>
  <c r="AL150" i="1"/>
  <c r="AK150" i="1"/>
  <c r="AJ150" i="1"/>
  <c r="AI150" i="1"/>
  <c r="AH150" i="1"/>
  <c r="AG150" i="1"/>
  <c r="AF150" i="1"/>
  <c r="AE150" i="1"/>
  <c r="AD150" i="1"/>
  <c r="AC150" i="1"/>
  <c r="X150" i="1"/>
  <c r="V150" i="1"/>
  <c r="U150" i="1"/>
  <c r="T150" i="1"/>
  <c r="S150" i="1"/>
  <c r="R150" i="1"/>
  <c r="O150" i="1"/>
  <c r="N150" i="1"/>
  <c r="M150" i="1"/>
  <c r="L150" i="1"/>
  <c r="K150" i="1"/>
  <c r="I150" i="1"/>
  <c r="G150" i="1"/>
  <c r="F150" i="1"/>
  <c r="D150" i="1"/>
  <c r="C150" i="1"/>
  <c r="AR149" i="1"/>
  <c r="AQ149" i="1"/>
  <c r="AP149" i="1"/>
  <c r="AL149" i="1"/>
  <c r="AK149" i="1"/>
  <c r="AJ149" i="1"/>
  <c r="AI149" i="1"/>
  <c r="AH149" i="1"/>
  <c r="AG149" i="1"/>
  <c r="AF149" i="1"/>
  <c r="AE149" i="1"/>
  <c r="AD149" i="1"/>
  <c r="AC149" i="1"/>
  <c r="AB149" i="1"/>
  <c r="Y149" i="1"/>
  <c r="X149" i="1"/>
  <c r="W149" i="1"/>
  <c r="V149" i="1"/>
  <c r="U149" i="1"/>
  <c r="T149" i="1"/>
  <c r="S149" i="1"/>
  <c r="R149" i="1"/>
  <c r="P149" i="1"/>
  <c r="O149" i="1"/>
  <c r="N149" i="1"/>
  <c r="M149" i="1"/>
  <c r="L149" i="1"/>
  <c r="K149" i="1"/>
  <c r="A149" i="1"/>
  <c r="AL148" i="1"/>
  <c r="AK148" i="1"/>
  <c r="AJ148" i="1"/>
  <c r="AI148" i="1"/>
  <c r="AH148" i="1"/>
  <c r="AG148" i="1"/>
  <c r="AF148" i="1"/>
  <c r="AE148" i="1"/>
  <c r="AD148" i="1"/>
  <c r="AC148" i="1"/>
  <c r="I148" i="1"/>
  <c r="G148" i="1"/>
  <c r="F148" i="1"/>
  <c r="D148" i="1"/>
  <c r="C148" i="1"/>
  <c r="AR147" i="1"/>
  <c r="AQ147" i="1"/>
  <c r="AP147" i="1"/>
  <c r="AL147" i="1"/>
  <c r="AK147" i="1"/>
  <c r="AJ147" i="1"/>
  <c r="AI147" i="1"/>
  <c r="AH147" i="1"/>
  <c r="AG147" i="1"/>
  <c r="AF147" i="1"/>
  <c r="AE147" i="1"/>
  <c r="AD147" i="1"/>
  <c r="AC147" i="1"/>
  <c r="X147" i="1"/>
  <c r="V147" i="1"/>
  <c r="U147" i="1"/>
  <c r="T147" i="1"/>
  <c r="S147" i="1"/>
  <c r="R147" i="1"/>
  <c r="O147" i="1"/>
  <c r="N147" i="1"/>
  <c r="M147" i="1"/>
  <c r="L147" i="1"/>
  <c r="K147" i="1"/>
  <c r="I147" i="1"/>
  <c r="G147" i="1"/>
  <c r="F147" i="1"/>
  <c r="D147" i="1"/>
  <c r="C147" i="1"/>
  <c r="AR146" i="1"/>
  <c r="AQ146" i="1"/>
  <c r="AP146" i="1"/>
  <c r="AL146" i="1"/>
  <c r="AK146" i="1"/>
  <c r="AJ146" i="1"/>
  <c r="AI146" i="1"/>
  <c r="AH146" i="1"/>
  <c r="AG146" i="1"/>
  <c r="AF146" i="1"/>
  <c r="AE146" i="1"/>
  <c r="AD146" i="1"/>
  <c r="AC146" i="1"/>
  <c r="AB146" i="1"/>
  <c r="X146" i="1"/>
  <c r="W146" i="1"/>
  <c r="V146" i="1"/>
  <c r="U146" i="1"/>
  <c r="T146" i="1"/>
  <c r="S146" i="1"/>
  <c r="R146" i="1"/>
  <c r="P146" i="1"/>
  <c r="O146" i="1"/>
  <c r="N146" i="1"/>
  <c r="M146" i="1"/>
  <c r="L146" i="1"/>
  <c r="K146" i="1"/>
  <c r="A146" i="1"/>
  <c r="AL145" i="1"/>
  <c r="AK145" i="1"/>
  <c r="AJ145" i="1"/>
  <c r="AI145" i="1"/>
  <c r="AH145" i="1"/>
  <c r="AG145" i="1"/>
  <c r="AF145" i="1"/>
  <c r="AE145" i="1"/>
  <c r="AD145" i="1"/>
  <c r="AC145" i="1"/>
  <c r="I145" i="1"/>
  <c r="G145" i="1"/>
  <c r="F145" i="1"/>
  <c r="D145" i="1"/>
  <c r="C145" i="1"/>
  <c r="AR144" i="1"/>
  <c r="AQ144" i="1"/>
  <c r="AP144" i="1"/>
  <c r="AL144" i="1"/>
  <c r="AK144" i="1"/>
  <c r="AJ144" i="1"/>
  <c r="AI144" i="1"/>
  <c r="AH144" i="1"/>
  <c r="AG144" i="1"/>
  <c r="AF144" i="1"/>
  <c r="AE144" i="1"/>
  <c r="AD144" i="1"/>
  <c r="AC144" i="1"/>
  <c r="X144" i="1"/>
  <c r="V144" i="1"/>
  <c r="U144" i="1"/>
  <c r="T144" i="1"/>
  <c r="S144" i="1"/>
  <c r="R144" i="1"/>
  <c r="O144" i="1"/>
  <c r="N144" i="1"/>
  <c r="M144" i="1"/>
  <c r="L144" i="1"/>
  <c r="K144" i="1"/>
  <c r="I144" i="1"/>
  <c r="G144" i="1"/>
  <c r="F144" i="1"/>
  <c r="D144" i="1"/>
  <c r="C144" i="1"/>
  <c r="AR143" i="1"/>
  <c r="AQ143" i="1"/>
  <c r="AP143" i="1"/>
  <c r="AL143" i="1"/>
  <c r="AK143" i="1"/>
  <c r="AJ143" i="1"/>
  <c r="AI143" i="1"/>
  <c r="AH143" i="1"/>
  <c r="AG143" i="1"/>
  <c r="AF143" i="1"/>
  <c r="AE143" i="1"/>
  <c r="AD143" i="1"/>
  <c r="AC143" i="1"/>
  <c r="AB143" i="1"/>
  <c r="X143" i="1"/>
  <c r="W143" i="1"/>
  <c r="V143" i="1"/>
  <c r="U143" i="1"/>
  <c r="T143" i="1"/>
  <c r="S143" i="1"/>
  <c r="R143" i="1"/>
  <c r="P143" i="1"/>
  <c r="O143" i="1"/>
  <c r="N143" i="1"/>
  <c r="M143" i="1"/>
  <c r="L143" i="1"/>
  <c r="K143" i="1"/>
  <c r="A143" i="1"/>
  <c r="AL142" i="1"/>
  <c r="AK142" i="1"/>
  <c r="AJ142" i="1"/>
  <c r="AI142" i="1"/>
  <c r="AH142" i="1"/>
  <c r="AG142" i="1"/>
  <c r="AF142" i="1"/>
  <c r="AE142" i="1"/>
  <c r="AD142" i="1"/>
  <c r="AC142" i="1"/>
  <c r="I142" i="1"/>
  <c r="G142" i="1"/>
  <c r="F142" i="1"/>
  <c r="D142" i="1"/>
  <c r="C142" i="1"/>
  <c r="AR141" i="1"/>
  <c r="AQ141" i="1"/>
  <c r="AP141" i="1"/>
  <c r="AL141" i="1"/>
  <c r="AK141" i="1"/>
  <c r="AJ141" i="1"/>
  <c r="AI141" i="1"/>
  <c r="AH141" i="1"/>
  <c r="AG141" i="1"/>
  <c r="AF141" i="1"/>
  <c r="AE141" i="1"/>
  <c r="AD141" i="1"/>
  <c r="AC141" i="1"/>
  <c r="X141" i="1"/>
  <c r="V141" i="1"/>
  <c r="U141" i="1"/>
  <c r="T141" i="1"/>
  <c r="S141" i="1"/>
  <c r="R141" i="1"/>
  <c r="O141" i="1"/>
  <c r="N141" i="1"/>
  <c r="M141" i="1"/>
  <c r="L141" i="1"/>
  <c r="K141" i="1"/>
  <c r="I141" i="1"/>
  <c r="G141" i="1"/>
  <c r="F141" i="1"/>
  <c r="D141" i="1"/>
  <c r="C141" i="1"/>
  <c r="AR140" i="1"/>
  <c r="AQ140" i="1"/>
  <c r="AP140" i="1"/>
  <c r="AL140" i="1"/>
  <c r="AK140" i="1"/>
  <c r="AJ140" i="1"/>
  <c r="AI140" i="1"/>
  <c r="AH140" i="1"/>
  <c r="AG140" i="1"/>
  <c r="AF140" i="1"/>
  <c r="AE140" i="1"/>
  <c r="AD140" i="1"/>
  <c r="AC140" i="1"/>
  <c r="AB140" i="1"/>
  <c r="Y140" i="1"/>
  <c r="X140" i="1"/>
  <c r="W140" i="1"/>
  <c r="V140" i="1"/>
  <c r="U140" i="1"/>
  <c r="T140" i="1"/>
  <c r="S140" i="1"/>
  <c r="R140" i="1"/>
  <c r="P140" i="1"/>
  <c r="O140" i="1"/>
  <c r="N140" i="1"/>
  <c r="M140" i="1"/>
  <c r="L140" i="1"/>
  <c r="K140" i="1"/>
  <c r="A140" i="1"/>
  <c r="AL139" i="1"/>
  <c r="AK139" i="1"/>
  <c r="AJ139" i="1"/>
  <c r="AI139" i="1"/>
  <c r="AH139" i="1"/>
  <c r="AG139" i="1"/>
  <c r="AF139" i="1"/>
  <c r="AE139" i="1"/>
  <c r="AD139" i="1"/>
  <c r="AC139" i="1"/>
  <c r="I139" i="1"/>
  <c r="G139" i="1"/>
  <c r="F139" i="1"/>
  <c r="D139" i="1"/>
  <c r="C139" i="1"/>
  <c r="AR138" i="1"/>
  <c r="AQ138" i="1"/>
  <c r="AP138" i="1"/>
  <c r="AL138" i="1"/>
  <c r="AK138" i="1"/>
  <c r="AJ138" i="1"/>
  <c r="AI138" i="1"/>
  <c r="AH138" i="1"/>
  <c r="AG138" i="1"/>
  <c r="AF138" i="1"/>
  <c r="AE138" i="1"/>
  <c r="AD138" i="1"/>
  <c r="AC138" i="1"/>
  <c r="X138" i="1"/>
  <c r="V138" i="1"/>
  <c r="U138" i="1"/>
  <c r="T138" i="1"/>
  <c r="S138" i="1"/>
  <c r="R138" i="1"/>
  <c r="O138" i="1"/>
  <c r="N138" i="1"/>
  <c r="M138" i="1"/>
  <c r="L138" i="1"/>
  <c r="K138" i="1"/>
  <c r="I138" i="1"/>
  <c r="G138" i="1"/>
  <c r="F138" i="1"/>
  <c r="D138" i="1"/>
  <c r="C138" i="1"/>
  <c r="AR137" i="1"/>
  <c r="AQ137" i="1"/>
  <c r="AP137" i="1"/>
  <c r="AL137" i="1"/>
  <c r="AK137" i="1"/>
  <c r="AJ137" i="1"/>
  <c r="AI137" i="1"/>
  <c r="AH137" i="1"/>
  <c r="AG137" i="1"/>
  <c r="AF137" i="1"/>
  <c r="AE137" i="1"/>
  <c r="AD137" i="1"/>
  <c r="AC137" i="1"/>
  <c r="AB137" i="1"/>
  <c r="Y137" i="1"/>
  <c r="X137" i="1"/>
  <c r="W137" i="1"/>
  <c r="V137" i="1"/>
  <c r="U137" i="1"/>
  <c r="T137" i="1"/>
  <c r="S137" i="1"/>
  <c r="R137" i="1"/>
  <c r="P137" i="1"/>
  <c r="O137" i="1"/>
  <c r="N137" i="1"/>
  <c r="M137" i="1"/>
  <c r="L137" i="1"/>
  <c r="K137" i="1"/>
  <c r="A137" i="1"/>
  <c r="AL136" i="1"/>
  <c r="AK136" i="1"/>
  <c r="AJ136" i="1"/>
  <c r="AI136" i="1"/>
  <c r="AH136" i="1"/>
  <c r="AG136" i="1"/>
  <c r="AF136" i="1"/>
  <c r="AE136" i="1"/>
  <c r="AD136" i="1"/>
  <c r="AC136" i="1"/>
  <c r="I136" i="1"/>
  <c r="G136" i="1"/>
  <c r="F136" i="1"/>
  <c r="D136" i="1"/>
  <c r="C136" i="1"/>
  <c r="AR135" i="1"/>
  <c r="AQ135" i="1"/>
  <c r="AP135" i="1"/>
  <c r="AL135" i="1"/>
  <c r="AK135" i="1"/>
  <c r="AJ135" i="1"/>
  <c r="AI135" i="1"/>
  <c r="AH135" i="1"/>
  <c r="AG135" i="1"/>
  <c r="AF135" i="1"/>
  <c r="AE135" i="1"/>
  <c r="AD135" i="1"/>
  <c r="AC135" i="1"/>
  <c r="X135" i="1"/>
  <c r="V135" i="1"/>
  <c r="U135" i="1"/>
  <c r="T135" i="1"/>
  <c r="S135" i="1"/>
  <c r="R135" i="1"/>
  <c r="O135" i="1"/>
  <c r="N135" i="1"/>
  <c r="M135" i="1"/>
  <c r="L135" i="1"/>
  <c r="K135" i="1"/>
  <c r="I135" i="1"/>
  <c r="G135" i="1"/>
  <c r="F135" i="1"/>
  <c r="D135" i="1"/>
  <c r="C135" i="1"/>
  <c r="AR134" i="1"/>
  <c r="AQ134" i="1"/>
  <c r="AP134" i="1"/>
  <c r="AL134" i="1"/>
  <c r="AK134" i="1"/>
  <c r="AJ134" i="1"/>
  <c r="AI134" i="1"/>
  <c r="AH134" i="1"/>
  <c r="AG134" i="1"/>
  <c r="AF134" i="1"/>
  <c r="AE134" i="1"/>
  <c r="AD134" i="1"/>
  <c r="AC134" i="1"/>
  <c r="AB134" i="1"/>
  <c r="Y134" i="1"/>
  <c r="X134" i="1"/>
  <c r="W134" i="1"/>
  <c r="V134" i="1"/>
  <c r="U134" i="1"/>
  <c r="T134" i="1"/>
  <c r="S134" i="1"/>
  <c r="R134" i="1"/>
  <c r="P134" i="1"/>
  <c r="O134" i="1"/>
  <c r="N134" i="1"/>
  <c r="M134" i="1"/>
  <c r="L134" i="1"/>
  <c r="K134" i="1"/>
  <c r="A134" i="1"/>
  <c r="AL133" i="1"/>
  <c r="AK133" i="1"/>
  <c r="AJ133" i="1"/>
  <c r="AI133" i="1"/>
  <c r="AH133" i="1"/>
  <c r="AG133" i="1"/>
  <c r="AF133" i="1"/>
  <c r="AE133" i="1"/>
  <c r="AD133" i="1"/>
  <c r="AC133" i="1"/>
  <c r="I133" i="1"/>
  <c r="G133" i="1"/>
  <c r="F133" i="1"/>
  <c r="D133" i="1"/>
  <c r="C133" i="1"/>
  <c r="AR132" i="1"/>
  <c r="AQ132" i="1"/>
  <c r="AP132" i="1"/>
  <c r="AL132" i="1"/>
  <c r="AK132" i="1"/>
  <c r="AJ132" i="1"/>
  <c r="AI132" i="1"/>
  <c r="AH132" i="1"/>
  <c r="AG132" i="1"/>
  <c r="AF132" i="1"/>
  <c r="AE132" i="1"/>
  <c r="AD132" i="1"/>
  <c r="AC132" i="1"/>
  <c r="X132" i="1"/>
  <c r="V132" i="1"/>
  <c r="U132" i="1"/>
  <c r="T132" i="1"/>
  <c r="S132" i="1"/>
  <c r="R132" i="1"/>
  <c r="O132" i="1"/>
  <c r="N132" i="1"/>
  <c r="M132" i="1"/>
  <c r="L132" i="1"/>
  <c r="K132" i="1"/>
  <c r="I132" i="1"/>
  <c r="G132" i="1"/>
  <c r="F132" i="1"/>
  <c r="D132" i="1"/>
  <c r="C132" i="1"/>
  <c r="AR131" i="1"/>
  <c r="AQ131" i="1"/>
  <c r="AP131" i="1"/>
  <c r="AL131" i="1"/>
  <c r="AK131" i="1"/>
  <c r="AJ131" i="1"/>
  <c r="AI131" i="1"/>
  <c r="AH131" i="1"/>
  <c r="AG131" i="1"/>
  <c r="AF131" i="1"/>
  <c r="AE131" i="1"/>
  <c r="AD131" i="1"/>
  <c r="AC131" i="1"/>
  <c r="AB131" i="1"/>
  <c r="Y131" i="1"/>
  <c r="X131" i="1"/>
  <c r="W131" i="1"/>
  <c r="V131" i="1"/>
  <c r="U131" i="1"/>
  <c r="T131" i="1"/>
  <c r="S131" i="1"/>
  <c r="R131" i="1"/>
  <c r="P131" i="1"/>
  <c r="O131" i="1"/>
  <c r="N131" i="1"/>
  <c r="M131" i="1"/>
  <c r="L131" i="1"/>
  <c r="K131" i="1"/>
  <c r="A131" i="1"/>
  <c r="AL130" i="1"/>
  <c r="AK130" i="1"/>
  <c r="AJ130" i="1"/>
  <c r="AI130" i="1"/>
  <c r="AH130" i="1"/>
  <c r="AG130" i="1"/>
  <c r="AF130" i="1"/>
  <c r="AE130" i="1"/>
  <c r="AD130" i="1"/>
  <c r="AC130" i="1"/>
  <c r="I130" i="1"/>
  <c r="G130" i="1"/>
  <c r="F130" i="1"/>
  <c r="D130" i="1"/>
  <c r="C130" i="1"/>
  <c r="AR129" i="1"/>
  <c r="AQ129" i="1"/>
  <c r="AP129" i="1"/>
  <c r="AL129" i="1"/>
  <c r="AK129" i="1"/>
  <c r="AJ129" i="1"/>
  <c r="AI129" i="1"/>
  <c r="AH129" i="1"/>
  <c r="AG129" i="1"/>
  <c r="AF129" i="1"/>
  <c r="AE129" i="1"/>
  <c r="AD129" i="1"/>
  <c r="AC129" i="1"/>
  <c r="X129" i="1"/>
  <c r="V129" i="1"/>
  <c r="U129" i="1"/>
  <c r="T129" i="1"/>
  <c r="S129" i="1"/>
  <c r="R129" i="1"/>
  <c r="O129" i="1"/>
  <c r="N129" i="1"/>
  <c r="M129" i="1"/>
  <c r="L129" i="1"/>
  <c r="K129" i="1"/>
  <c r="I129" i="1"/>
  <c r="G129" i="1"/>
  <c r="F129" i="1"/>
  <c r="D129" i="1"/>
  <c r="C129" i="1"/>
  <c r="AR128" i="1"/>
  <c r="AQ128" i="1"/>
  <c r="AP128" i="1"/>
  <c r="AL128" i="1"/>
  <c r="AK128" i="1"/>
  <c r="AJ128" i="1"/>
  <c r="AI128" i="1"/>
  <c r="AH128" i="1"/>
  <c r="AG128" i="1"/>
  <c r="AF128" i="1"/>
  <c r="AE128" i="1"/>
  <c r="AD128" i="1"/>
  <c r="AC128" i="1"/>
  <c r="AB128" i="1"/>
  <c r="X128" i="1"/>
  <c r="W128" i="1"/>
  <c r="V128" i="1"/>
  <c r="U128" i="1"/>
  <c r="T128" i="1"/>
  <c r="S128" i="1"/>
  <c r="R128" i="1"/>
  <c r="P128" i="1"/>
  <c r="O128" i="1"/>
  <c r="N128" i="1"/>
  <c r="M128" i="1"/>
  <c r="L128" i="1"/>
  <c r="K128" i="1"/>
  <c r="A128" i="1"/>
  <c r="AL127" i="1"/>
  <c r="AK127" i="1"/>
  <c r="AJ127" i="1"/>
  <c r="AI127" i="1"/>
  <c r="AH127" i="1"/>
  <c r="AG127" i="1"/>
  <c r="AF127" i="1"/>
  <c r="AE127" i="1"/>
  <c r="AD127" i="1"/>
  <c r="AC127" i="1"/>
  <c r="I127" i="1"/>
  <c r="G127" i="1"/>
  <c r="F127" i="1"/>
  <c r="D127" i="1"/>
  <c r="C127" i="1"/>
  <c r="AR126" i="1"/>
  <c r="AQ126" i="1"/>
  <c r="AP126" i="1"/>
  <c r="AL126" i="1"/>
  <c r="AK126" i="1"/>
  <c r="AJ126" i="1"/>
  <c r="AI126" i="1"/>
  <c r="AH126" i="1"/>
  <c r="AG126" i="1"/>
  <c r="AF126" i="1"/>
  <c r="AE126" i="1"/>
  <c r="AD126" i="1"/>
  <c r="AC126" i="1"/>
  <c r="X126" i="1"/>
  <c r="V126" i="1"/>
  <c r="U126" i="1"/>
  <c r="T126" i="1"/>
  <c r="S126" i="1"/>
  <c r="R126" i="1"/>
  <c r="O126" i="1"/>
  <c r="N126" i="1"/>
  <c r="M126" i="1"/>
  <c r="L126" i="1"/>
  <c r="K126" i="1"/>
  <c r="I126" i="1"/>
  <c r="G126" i="1"/>
  <c r="F126" i="1"/>
  <c r="D126" i="1"/>
  <c r="C126" i="1"/>
  <c r="AR125" i="1"/>
  <c r="AQ125" i="1"/>
  <c r="AP125" i="1"/>
  <c r="AL125" i="1"/>
  <c r="AK125" i="1"/>
  <c r="AJ125" i="1"/>
  <c r="AI125" i="1"/>
  <c r="AH125" i="1"/>
  <c r="AG125" i="1"/>
  <c r="AF125" i="1"/>
  <c r="AE125" i="1"/>
  <c r="AD125" i="1"/>
  <c r="AC125" i="1"/>
  <c r="AB125" i="1"/>
  <c r="Y125" i="1"/>
  <c r="X125" i="1"/>
  <c r="W125" i="1"/>
  <c r="V125" i="1"/>
  <c r="U125" i="1"/>
  <c r="T125" i="1"/>
  <c r="S125" i="1"/>
  <c r="R125" i="1"/>
  <c r="P125" i="1"/>
  <c r="O125" i="1"/>
  <c r="N125" i="1"/>
  <c r="M125" i="1"/>
  <c r="L125" i="1"/>
  <c r="K125" i="1"/>
  <c r="A125" i="1"/>
  <c r="AL124" i="1"/>
  <c r="AK124" i="1"/>
  <c r="AJ124" i="1"/>
  <c r="AI124" i="1"/>
  <c r="AH124" i="1"/>
  <c r="AG124" i="1"/>
  <c r="AF124" i="1"/>
  <c r="AE124" i="1"/>
  <c r="AD124" i="1"/>
  <c r="AC124" i="1"/>
  <c r="I124" i="1"/>
  <c r="G124" i="1"/>
  <c r="F124" i="1"/>
  <c r="D124" i="1"/>
  <c r="C124" i="1"/>
  <c r="AR123" i="1"/>
  <c r="AQ123" i="1"/>
  <c r="AP123" i="1"/>
  <c r="AL123" i="1"/>
  <c r="AK123" i="1"/>
  <c r="AJ123" i="1"/>
  <c r="AI123" i="1"/>
  <c r="AH123" i="1"/>
  <c r="AG123" i="1"/>
  <c r="AF123" i="1"/>
  <c r="AE123" i="1"/>
  <c r="AD123" i="1"/>
  <c r="AC123" i="1"/>
  <c r="X123" i="1"/>
  <c r="V123" i="1"/>
  <c r="U123" i="1"/>
  <c r="T123" i="1"/>
  <c r="S123" i="1"/>
  <c r="R123" i="1"/>
  <c r="O123" i="1"/>
  <c r="N123" i="1"/>
  <c r="M123" i="1"/>
  <c r="L123" i="1"/>
  <c r="K123" i="1"/>
  <c r="I123" i="1"/>
  <c r="G123" i="1"/>
  <c r="F123" i="1"/>
  <c r="D123" i="1"/>
  <c r="C123" i="1"/>
  <c r="AR122" i="1"/>
  <c r="AQ122" i="1"/>
  <c r="AP122" i="1"/>
  <c r="AL122" i="1"/>
  <c r="AK122" i="1"/>
  <c r="AJ122" i="1"/>
  <c r="AI122" i="1"/>
  <c r="AH122" i="1"/>
  <c r="AG122" i="1"/>
  <c r="AF122" i="1"/>
  <c r="AE122" i="1"/>
  <c r="AD122" i="1"/>
  <c r="AC122" i="1"/>
  <c r="AB122" i="1"/>
  <c r="X122" i="1"/>
  <c r="W122" i="1"/>
  <c r="V122" i="1"/>
  <c r="U122" i="1"/>
  <c r="T122" i="1"/>
  <c r="S122" i="1"/>
  <c r="R122" i="1"/>
  <c r="P122" i="1"/>
  <c r="O122" i="1"/>
  <c r="N122" i="1"/>
  <c r="M122" i="1"/>
  <c r="L122" i="1"/>
  <c r="K122" i="1"/>
  <c r="A122" i="1"/>
  <c r="AL121" i="1"/>
  <c r="AK121" i="1"/>
  <c r="AJ121" i="1"/>
  <c r="AI121" i="1"/>
  <c r="AH121" i="1"/>
  <c r="AG121" i="1"/>
  <c r="AF121" i="1"/>
  <c r="AE121" i="1"/>
  <c r="AD121" i="1"/>
  <c r="AC121" i="1"/>
  <c r="I121" i="1"/>
  <c r="G121" i="1"/>
  <c r="F121" i="1"/>
  <c r="D121" i="1"/>
  <c r="C121" i="1"/>
  <c r="AR120" i="1"/>
  <c r="AQ120" i="1"/>
  <c r="AP120" i="1"/>
  <c r="AL120" i="1"/>
  <c r="AK120" i="1"/>
  <c r="AJ120" i="1"/>
  <c r="AI120" i="1"/>
  <c r="AH120" i="1"/>
  <c r="AG120" i="1"/>
  <c r="AF120" i="1"/>
  <c r="AE120" i="1"/>
  <c r="AD120" i="1"/>
  <c r="AC120" i="1"/>
  <c r="X120" i="1"/>
  <c r="V120" i="1"/>
  <c r="U120" i="1"/>
  <c r="T120" i="1"/>
  <c r="S120" i="1"/>
  <c r="R120" i="1"/>
  <c r="O120" i="1"/>
  <c r="N120" i="1"/>
  <c r="M120" i="1"/>
  <c r="L120" i="1"/>
  <c r="K120" i="1"/>
  <c r="I120" i="1"/>
  <c r="G120" i="1"/>
  <c r="F120" i="1"/>
  <c r="D120" i="1"/>
  <c r="C120" i="1"/>
  <c r="AR119" i="1"/>
  <c r="AQ119" i="1"/>
  <c r="AP119" i="1"/>
  <c r="AL119" i="1"/>
  <c r="AK119" i="1"/>
  <c r="AJ119" i="1"/>
  <c r="AI119" i="1"/>
  <c r="AH119" i="1"/>
  <c r="AG119" i="1"/>
  <c r="AF119" i="1"/>
  <c r="AE119" i="1"/>
  <c r="AD119" i="1"/>
  <c r="AC119" i="1"/>
  <c r="AB119" i="1"/>
  <c r="Y119" i="1"/>
  <c r="X119" i="1"/>
  <c r="W119" i="1"/>
  <c r="V119" i="1"/>
  <c r="U119" i="1"/>
  <c r="T119" i="1"/>
  <c r="S119" i="1"/>
  <c r="R119" i="1"/>
  <c r="P119" i="1"/>
  <c r="O119" i="1"/>
  <c r="N119" i="1"/>
  <c r="M119" i="1"/>
  <c r="L119" i="1"/>
  <c r="K119" i="1"/>
  <c r="A119" i="1"/>
  <c r="AL118" i="1"/>
  <c r="AK118" i="1"/>
  <c r="AJ118" i="1"/>
  <c r="AI118" i="1"/>
  <c r="AH118" i="1"/>
  <c r="AG118" i="1"/>
  <c r="AF118" i="1"/>
  <c r="AE118" i="1"/>
  <c r="AD118" i="1"/>
  <c r="AC118" i="1"/>
  <c r="I118" i="1"/>
  <c r="G118" i="1"/>
  <c r="F118" i="1"/>
  <c r="D118" i="1"/>
  <c r="C118" i="1"/>
  <c r="AR117" i="1"/>
  <c r="AQ117" i="1"/>
  <c r="AP117" i="1"/>
  <c r="AL117" i="1"/>
  <c r="AK117" i="1"/>
  <c r="AJ117" i="1"/>
  <c r="AI117" i="1"/>
  <c r="AH117" i="1"/>
  <c r="AG117" i="1"/>
  <c r="AF117" i="1"/>
  <c r="AE117" i="1"/>
  <c r="AD117" i="1"/>
  <c r="AC117" i="1"/>
  <c r="X117" i="1"/>
  <c r="V117" i="1"/>
  <c r="U117" i="1"/>
  <c r="T117" i="1"/>
  <c r="S117" i="1"/>
  <c r="R117" i="1"/>
  <c r="O117" i="1"/>
  <c r="N117" i="1"/>
  <c r="M117" i="1"/>
  <c r="L117" i="1"/>
  <c r="K117" i="1"/>
  <c r="I117" i="1"/>
  <c r="G117" i="1"/>
  <c r="F117" i="1"/>
  <c r="D117" i="1"/>
  <c r="C117" i="1"/>
  <c r="AR116" i="1"/>
  <c r="AQ116" i="1"/>
  <c r="AP116" i="1"/>
  <c r="AL116" i="1"/>
  <c r="AK116" i="1"/>
  <c r="AJ116" i="1"/>
  <c r="AI116" i="1"/>
  <c r="AH116" i="1"/>
  <c r="AG116" i="1"/>
  <c r="AF116" i="1"/>
  <c r="AE116" i="1"/>
  <c r="AD116" i="1"/>
  <c r="AC116" i="1"/>
  <c r="AB116" i="1"/>
  <c r="Y116" i="1"/>
  <c r="X116" i="1"/>
  <c r="W116" i="1"/>
  <c r="V116" i="1"/>
  <c r="U116" i="1"/>
  <c r="T116" i="1"/>
  <c r="S116" i="1"/>
  <c r="R116" i="1"/>
  <c r="P116" i="1"/>
  <c r="O116" i="1"/>
  <c r="N116" i="1"/>
  <c r="M116" i="1"/>
  <c r="L116" i="1"/>
  <c r="K116" i="1"/>
  <c r="A116" i="1"/>
  <c r="AL115" i="1"/>
  <c r="AK115" i="1"/>
  <c r="AJ115" i="1"/>
  <c r="AI115" i="1"/>
  <c r="AH115" i="1"/>
  <c r="AG115" i="1"/>
  <c r="AF115" i="1"/>
  <c r="AE115" i="1"/>
  <c r="AD115" i="1"/>
  <c r="AC115" i="1"/>
  <c r="I115" i="1"/>
  <c r="G115" i="1"/>
  <c r="F115" i="1"/>
  <c r="D115" i="1"/>
  <c r="C115" i="1"/>
  <c r="AR114" i="1"/>
  <c r="AQ114" i="1"/>
  <c r="AP114" i="1"/>
  <c r="AL114" i="1"/>
  <c r="AK114" i="1"/>
  <c r="AJ114" i="1"/>
  <c r="AI114" i="1"/>
  <c r="AH114" i="1"/>
  <c r="AG114" i="1"/>
  <c r="AF114" i="1"/>
  <c r="AE114" i="1"/>
  <c r="AD114" i="1"/>
  <c r="AC114" i="1"/>
  <c r="X114" i="1"/>
  <c r="V114" i="1"/>
  <c r="U114" i="1"/>
  <c r="T114" i="1"/>
  <c r="S114" i="1"/>
  <c r="R114" i="1"/>
  <c r="O114" i="1"/>
  <c r="N114" i="1"/>
  <c r="M114" i="1"/>
  <c r="L114" i="1"/>
  <c r="K114" i="1"/>
  <c r="I114" i="1"/>
  <c r="G114" i="1"/>
  <c r="F114" i="1"/>
  <c r="D114" i="1"/>
  <c r="C114" i="1"/>
  <c r="AR113" i="1"/>
  <c r="AQ113" i="1"/>
  <c r="AP113" i="1"/>
  <c r="AL113" i="1"/>
  <c r="AK113" i="1"/>
  <c r="AJ113" i="1"/>
  <c r="AI113" i="1"/>
  <c r="AH113" i="1"/>
  <c r="AG113" i="1"/>
  <c r="AF113" i="1"/>
  <c r="AE113" i="1"/>
  <c r="AD113" i="1"/>
  <c r="AC113" i="1"/>
  <c r="AB113" i="1"/>
  <c r="Y113" i="1"/>
  <c r="X113" i="1"/>
  <c r="W113" i="1"/>
  <c r="V113" i="1"/>
  <c r="U113" i="1"/>
  <c r="T113" i="1"/>
  <c r="S113" i="1"/>
  <c r="R113" i="1"/>
  <c r="P113" i="1"/>
  <c r="O113" i="1"/>
  <c r="N113" i="1"/>
  <c r="M113" i="1"/>
  <c r="L113" i="1"/>
  <c r="K113" i="1"/>
  <c r="A113" i="1"/>
  <c r="AL112" i="1"/>
  <c r="AK112" i="1"/>
  <c r="AJ112" i="1"/>
  <c r="AI112" i="1"/>
  <c r="AH112" i="1"/>
  <c r="AG112" i="1"/>
  <c r="AF112" i="1"/>
  <c r="AE112" i="1"/>
  <c r="AD112" i="1"/>
  <c r="AC112" i="1"/>
  <c r="I112" i="1"/>
  <c r="G112" i="1"/>
  <c r="F112" i="1"/>
  <c r="D112" i="1"/>
  <c r="C112" i="1"/>
  <c r="AR111" i="1"/>
  <c r="AQ111" i="1"/>
  <c r="AP111" i="1"/>
  <c r="AL111" i="1"/>
  <c r="AK111" i="1"/>
  <c r="AJ111" i="1"/>
  <c r="AI111" i="1"/>
  <c r="AH111" i="1"/>
  <c r="AG111" i="1"/>
  <c r="AF111" i="1"/>
  <c r="AE111" i="1"/>
  <c r="AD111" i="1"/>
  <c r="AC111" i="1"/>
  <c r="X111" i="1"/>
  <c r="V111" i="1"/>
  <c r="U111" i="1"/>
  <c r="T111" i="1"/>
  <c r="S111" i="1"/>
  <c r="R111" i="1"/>
  <c r="O111" i="1"/>
  <c r="N111" i="1"/>
  <c r="M111" i="1"/>
  <c r="L111" i="1"/>
  <c r="K111" i="1"/>
  <c r="I111" i="1"/>
  <c r="G111" i="1"/>
  <c r="F111" i="1"/>
  <c r="D111" i="1"/>
  <c r="C111" i="1"/>
  <c r="AR110" i="1"/>
  <c r="AQ110" i="1"/>
  <c r="AP110" i="1"/>
  <c r="AL110" i="1"/>
  <c r="AK110" i="1"/>
  <c r="AJ110" i="1"/>
  <c r="AI110" i="1"/>
  <c r="AH110" i="1"/>
  <c r="AG110" i="1"/>
  <c r="AF110" i="1"/>
  <c r="AE110" i="1"/>
  <c r="AD110" i="1"/>
  <c r="AC110" i="1"/>
  <c r="AB110" i="1"/>
  <c r="Y110" i="1"/>
  <c r="X110" i="1"/>
  <c r="W110" i="1"/>
  <c r="V110" i="1"/>
  <c r="U110" i="1"/>
  <c r="T110" i="1"/>
  <c r="S110" i="1"/>
  <c r="R110" i="1"/>
  <c r="P110" i="1"/>
  <c r="O110" i="1"/>
  <c r="N110" i="1"/>
  <c r="M110" i="1"/>
  <c r="L110" i="1"/>
  <c r="K110" i="1"/>
  <c r="A110" i="1"/>
  <c r="AL109" i="1"/>
  <c r="AK109" i="1"/>
  <c r="AJ109" i="1"/>
  <c r="AI109" i="1"/>
  <c r="AH109" i="1"/>
  <c r="AG109" i="1"/>
  <c r="AF109" i="1"/>
  <c r="AE109" i="1"/>
  <c r="AD109" i="1"/>
  <c r="AC109" i="1"/>
  <c r="I109" i="1"/>
  <c r="G109" i="1"/>
  <c r="F109" i="1"/>
  <c r="D109" i="1"/>
  <c r="C109" i="1"/>
  <c r="AR108" i="1"/>
  <c r="AQ108" i="1"/>
  <c r="AP108" i="1"/>
  <c r="AL108" i="1"/>
  <c r="AK108" i="1"/>
  <c r="AJ108" i="1"/>
  <c r="AI108" i="1"/>
  <c r="AH108" i="1"/>
  <c r="AG108" i="1"/>
  <c r="AF108" i="1"/>
  <c r="AE108" i="1"/>
  <c r="AD108" i="1"/>
  <c r="AC108" i="1"/>
  <c r="X108" i="1"/>
  <c r="V108" i="1"/>
  <c r="U108" i="1"/>
  <c r="T108" i="1"/>
  <c r="S108" i="1"/>
  <c r="R108" i="1"/>
  <c r="O108" i="1"/>
  <c r="N108" i="1"/>
  <c r="M108" i="1"/>
  <c r="L108" i="1"/>
  <c r="K108" i="1"/>
  <c r="I108" i="1"/>
  <c r="G108" i="1"/>
  <c r="F108" i="1"/>
  <c r="D108" i="1"/>
  <c r="C108" i="1"/>
  <c r="AR107" i="1"/>
  <c r="AQ107" i="1"/>
  <c r="AP107" i="1"/>
  <c r="AL107" i="1"/>
  <c r="AK107" i="1"/>
  <c r="AJ107" i="1"/>
  <c r="AI107" i="1"/>
  <c r="AH107" i="1"/>
  <c r="AG107" i="1"/>
  <c r="AF107" i="1"/>
  <c r="AE107" i="1"/>
  <c r="AD107" i="1"/>
  <c r="AC107" i="1"/>
  <c r="AB107" i="1"/>
  <c r="Y107" i="1"/>
  <c r="X107" i="1"/>
  <c r="W107" i="1"/>
  <c r="V107" i="1"/>
  <c r="U107" i="1"/>
  <c r="T107" i="1"/>
  <c r="S107" i="1"/>
  <c r="R107" i="1"/>
  <c r="P107" i="1"/>
  <c r="O107" i="1"/>
  <c r="N107" i="1"/>
  <c r="M107" i="1"/>
  <c r="L107" i="1"/>
  <c r="K107" i="1"/>
  <c r="A107" i="1"/>
  <c r="AL106" i="1"/>
  <c r="AK106" i="1"/>
  <c r="AJ106" i="1"/>
  <c r="AI106" i="1"/>
  <c r="AH106" i="1"/>
  <c r="AG106" i="1"/>
  <c r="AF106" i="1"/>
  <c r="AE106" i="1"/>
  <c r="AD106" i="1"/>
  <c r="AC106" i="1"/>
  <c r="I106" i="1"/>
  <c r="G106" i="1"/>
  <c r="F106" i="1"/>
  <c r="D106" i="1"/>
  <c r="C106" i="1"/>
  <c r="AR105" i="1"/>
  <c r="AQ105" i="1"/>
  <c r="AP105" i="1"/>
  <c r="AL105" i="1"/>
  <c r="AK105" i="1"/>
  <c r="AJ105" i="1"/>
  <c r="AI105" i="1"/>
  <c r="AH105" i="1"/>
  <c r="AG105" i="1"/>
  <c r="AF105" i="1"/>
  <c r="AE105" i="1"/>
  <c r="AD105" i="1"/>
  <c r="AC105" i="1"/>
  <c r="X105" i="1"/>
  <c r="V105" i="1"/>
  <c r="U105" i="1"/>
  <c r="T105" i="1"/>
  <c r="S105" i="1"/>
  <c r="R105" i="1"/>
  <c r="O105" i="1"/>
  <c r="N105" i="1"/>
  <c r="M105" i="1"/>
  <c r="L105" i="1"/>
  <c r="K105" i="1"/>
  <c r="I105" i="1"/>
  <c r="G105" i="1"/>
  <c r="F105" i="1"/>
  <c r="D105" i="1"/>
  <c r="C105" i="1"/>
  <c r="AR104" i="1"/>
  <c r="AQ104" i="1"/>
  <c r="AP104" i="1"/>
  <c r="AL104" i="1"/>
  <c r="AK104" i="1"/>
  <c r="AJ104" i="1"/>
  <c r="AI104" i="1"/>
  <c r="AH104" i="1"/>
  <c r="AG104" i="1"/>
  <c r="AF104" i="1"/>
  <c r="AE104" i="1"/>
  <c r="AD104" i="1"/>
  <c r="AC104" i="1"/>
  <c r="AB104" i="1"/>
  <c r="Y104" i="1"/>
  <c r="X104" i="1"/>
  <c r="W104" i="1"/>
  <c r="V104" i="1"/>
  <c r="U104" i="1"/>
  <c r="T104" i="1"/>
  <c r="S104" i="1"/>
  <c r="R104" i="1"/>
  <c r="P104" i="1"/>
  <c r="O104" i="1"/>
  <c r="N104" i="1"/>
  <c r="M104" i="1"/>
  <c r="L104" i="1"/>
  <c r="K104" i="1"/>
  <c r="A104" i="1"/>
  <c r="AL103" i="1"/>
  <c r="AK103" i="1"/>
  <c r="AJ103" i="1"/>
  <c r="AI103" i="1"/>
  <c r="AH103" i="1"/>
  <c r="AG103" i="1"/>
  <c r="AF103" i="1"/>
  <c r="AE103" i="1"/>
  <c r="AD103" i="1"/>
  <c r="AC103" i="1"/>
  <c r="I103" i="1"/>
  <c r="G103" i="1"/>
  <c r="F103" i="1"/>
  <c r="D103" i="1"/>
  <c r="C103" i="1"/>
  <c r="AR102" i="1"/>
  <c r="AQ102" i="1"/>
  <c r="AP102" i="1"/>
  <c r="AL102" i="1"/>
  <c r="AK102" i="1"/>
  <c r="AJ102" i="1"/>
  <c r="AI102" i="1"/>
  <c r="AH102" i="1"/>
  <c r="AG102" i="1"/>
  <c r="AF102" i="1"/>
  <c r="AE102" i="1"/>
  <c r="AD102" i="1"/>
  <c r="AC102" i="1"/>
  <c r="X102" i="1"/>
  <c r="V102" i="1"/>
  <c r="U102" i="1"/>
  <c r="T102" i="1"/>
  <c r="S102" i="1"/>
  <c r="R102" i="1"/>
  <c r="O102" i="1"/>
  <c r="N102" i="1"/>
  <c r="M102" i="1"/>
  <c r="L102" i="1"/>
  <c r="K102" i="1"/>
  <c r="I102" i="1"/>
  <c r="G102" i="1"/>
  <c r="F102" i="1"/>
  <c r="D102" i="1"/>
  <c r="C102" i="1"/>
  <c r="AR101" i="1"/>
  <c r="AQ101" i="1"/>
  <c r="AP101" i="1"/>
  <c r="AL101" i="1"/>
  <c r="AK101" i="1"/>
  <c r="AJ101" i="1"/>
  <c r="AI101" i="1"/>
  <c r="AH101" i="1"/>
  <c r="AG101" i="1"/>
  <c r="AF101" i="1"/>
  <c r="AE101" i="1"/>
  <c r="AD101" i="1"/>
  <c r="AC101" i="1"/>
  <c r="AB101" i="1"/>
  <c r="Y101" i="1"/>
  <c r="X101" i="1"/>
  <c r="W101" i="1"/>
  <c r="V101" i="1"/>
  <c r="U101" i="1"/>
  <c r="T101" i="1"/>
  <c r="S101" i="1"/>
  <c r="R101" i="1"/>
  <c r="P101" i="1"/>
  <c r="O101" i="1"/>
  <c r="N101" i="1"/>
  <c r="M101" i="1"/>
  <c r="L101" i="1"/>
  <c r="K101" i="1"/>
  <c r="A101" i="1"/>
  <c r="AL100" i="1"/>
  <c r="AK100" i="1"/>
  <c r="AJ100" i="1"/>
  <c r="AI100" i="1"/>
  <c r="AH100" i="1"/>
  <c r="AG100" i="1"/>
  <c r="AF100" i="1"/>
  <c r="AE100" i="1"/>
  <c r="AD100" i="1"/>
  <c r="AC100" i="1"/>
  <c r="I100" i="1"/>
  <c r="G100" i="1"/>
  <c r="F100" i="1"/>
  <c r="D100" i="1"/>
  <c r="C100" i="1"/>
  <c r="AR99" i="1"/>
  <c r="AQ99" i="1"/>
  <c r="AP99" i="1"/>
  <c r="AL99" i="1"/>
  <c r="AK99" i="1"/>
  <c r="AJ99" i="1"/>
  <c r="AI99" i="1"/>
  <c r="AH99" i="1"/>
  <c r="AG99" i="1"/>
  <c r="AF99" i="1"/>
  <c r="AE99" i="1"/>
  <c r="AD99" i="1"/>
  <c r="AC99" i="1"/>
  <c r="X99" i="1"/>
  <c r="V99" i="1"/>
  <c r="U99" i="1"/>
  <c r="T99" i="1"/>
  <c r="S99" i="1"/>
  <c r="R99" i="1"/>
  <c r="O99" i="1"/>
  <c r="N99" i="1"/>
  <c r="M99" i="1"/>
  <c r="L99" i="1"/>
  <c r="K99" i="1"/>
  <c r="I99" i="1"/>
  <c r="G99" i="1"/>
  <c r="F99" i="1"/>
  <c r="D99" i="1"/>
  <c r="C99" i="1"/>
  <c r="AR98" i="1"/>
  <c r="AQ98" i="1"/>
  <c r="AP98" i="1"/>
  <c r="AL98" i="1"/>
  <c r="AK98" i="1"/>
  <c r="AJ98" i="1"/>
  <c r="AI98" i="1"/>
  <c r="AH98" i="1"/>
  <c r="AG98" i="1"/>
  <c r="AF98" i="1"/>
  <c r="AE98" i="1"/>
  <c r="AD98" i="1"/>
  <c r="AC98" i="1"/>
  <c r="AB98" i="1"/>
  <c r="X98" i="1"/>
  <c r="W98" i="1"/>
  <c r="V98" i="1"/>
  <c r="U98" i="1"/>
  <c r="T98" i="1"/>
  <c r="S98" i="1"/>
  <c r="R98" i="1"/>
  <c r="P98" i="1"/>
  <c r="O98" i="1"/>
  <c r="N98" i="1"/>
  <c r="M98" i="1"/>
  <c r="L98" i="1"/>
  <c r="K98" i="1"/>
  <c r="A98" i="1"/>
  <c r="AL97" i="1"/>
  <c r="AK97" i="1"/>
  <c r="AJ97" i="1"/>
  <c r="AI97" i="1"/>
  <c r="AH97" i="1"/>
  <c r="AG97" i="1"/>
  <c r="AF97" i="1"/>
  <c r="AE97" i="1"/>
  <c r="AD97" i="1"/>
  <c r="AC97" i="1"/>
  <c r="I97" i="1"/>
  <c r="G97" i="1"/>
  <c r="F97" i="1"/>
  <c r="D97" i="1"/>
  <c r="C97" i="1"/>
  <c r="AW96" i="1" a="1"/>
  <c r="AR96" i="1"/>
  <c r="AQ96" i="1"/>
  <c r="AP96" i="1"/>
  <c r="AL96" i="1"/>
  <c r="AK96" i="1"/>
  <c r="AJ96" i="1"/>
  <c r="AI96" i="1"/>
  <c r="AH96" i="1"/>
  <c r="AG96" i="1"/>
  <c r="AF96" i="1"/>
  <c r="AE96" i="1"/>
  <c r="AD96" i="1"/>
  <c r="AC96" i="1"/>
  <c r="X96" i="1"/>
  <c r="V96" i="1"/>
  <c r="U96" i="1"/>
  <c r="T96" i="1"/>
  <c r="S96" i="1"/>
  <c r="R96" i="1"/>
  <c r="O96" i="1"/>
  <c r="N96" i="1"/>
  <c r="M96" i="1"/>
  <c r="L96" i="1"/>
  <c r="K96" i="1"/>
  <c r="I96" i="1"/>
  <c r="G96" i="1"/>
  <c r="F96" i="1"/>
  <c r="D96" i="1"/>
  <c r="C96" i="1"/>
  <c r="AR95" i="1"/>
  <c r="AQ95" i="1"/>
  <c r="AP95" i="1"/>
  <c r="AL95" i="1"/>
  <c r="AK95" i="1"/>
  <c r="AJ95" i="1"/>
  <c r="AI95" i="1"/>
  <c r="AH95" i="1"/>
  <c r="AG95" i="1"/>
  <c r="AF95" i="1"/>
  <c r="AE95" i="1"/>
  <c r="AD95" i="1"/>
  <c r="AC95" i="1"/>
  <c r="AB95" i="1"/>
  <c r="X95" i="1"/>
  <c r="W95" i="1"/>
  <c r="V95" i="1"/>
  <c r="U95" i="1"/>
  <c r="T95" i="1"/>
  <c r="S95" i="1"/>
  <c r="R95" i="1"/>
  <c r="P95" i="1"/>
  <c r="O95" i="1"/>
  <c r="N95" i="1"/>
  <c r="M95" i="1"/>
  <c r="L95" i="1"/>
  <c r="K95" i="1"/>
  <c r="A95" i="1"/>
  <c r="AL94" i="1"/>
  <c r="AK94" i="1"/>
  <c r="AJ94" i="1"/>
  <c r="AI94" i="1"/>
  <c r="AH94" i="1"/>
  <c r="AG94" i="1"/>
  <c r="AF94" i="1"/>
  <c r="AE94" i="1"/>
  <c r="AD94" i="1"/>
  <c r="AC94" i="1"/>
  <c r="I94" i="1"/>
  <c r="G94" i="1"/>
  <c r="F94" i="1"/>
  <c r="D94" i="1"/>
  <c r="C94" i="1"/>
  <c r="AR93" i="1"/>
  <c r="AQ93" i="1"/>
  <c r="AP93" i="1"/>
  <c r="AL93" i="1"/>
  <c r="AK93" i="1"/>
  <c r="AJ93" i="1"/>
  <c r="AI93" i="1"/>
  <c r="AH93" i="1"/>
  <c r="AG93" i="1"/>
  <c r="AF93" i="1"/>
  <c r="AE93" i="1"/>
  <c r="AD93" i="1"/>
  <c r="AC93" i="1"/>
  <c r="X93" i="1"/>
  <c r="V93" i="1"/>
  <c r="U93" i="1"/>
  <c r="T93" i="1"/>
  <c r="S93" i="1"/>
  <c r="R93" i="1"/>
  <c r="O93" i="1"/>
  <c r="N93" i="1"/>
  <c r="M93" i="1"/>
  <c r="L93" i="1"/>
  <c r="K93" i="1"/>
  <c r="I93" i="1"/>
  <c r="G93" i="1"/>
  <c r="F93" i="1"/>
  <c r="D93" i="1"/>
  <c r="C93" i="1"/>
  <c r="AR92" i="1"/>
  <c r="AQ92" i="1"/>
  <c r="AP92" i="1"/>
  <c r="AL92" i="1"/>
  <c r="AK92" i="1"/>
  <c r="AJ92" i="1"/>
  <c r="AI92" i="1"/>
  <c r="AH92" i="1"/>
  <c r="AG92" i="1"/>
  <c r="AF92" i="1"/>
  <c r="AE92" i="1"/>
  <c r="AD92" i="1"/>
  <c r="AC92" i="1"/>
  <c r="AB92" i="1"/>
  <c r="X92" i="1"/>
  <c r="W92" i="1"/>
  <c r="V92" i="1"/>
  <c r="U92" i="1"/>
  <c r="T92" i="1"/>
  <c r="S92" i="1"/>
  <c r="R92" i="1"/>
  <c r="P92" i="1"/>
  <c r="O92" i="1"/>
  <c r="N92" i="1"/>
  <c r="M92" i="1"/>
  <c r="L92" i="1"/>
  <c r="K92" i="1"/>
  <c r="A92" i="1"/>
  <c r="AL91" i="1"/>
  <c r="AK91" i="1"/>
  <c r="AJ91" i="1"/>
  <c r="AI91" i="1"/>
  <c r="AH91" i="1"/>
  <c r="AG91" i="1"/>
  <c r="AF91" i="1"/>
  <c r="AE91" i="1"/>
  <c r="AD91" i="1"/>
  <c r="AC91" i="1"/>
  <c r="I91" i="1"/>
  <c r="G91" i="1"/>
  <c r="F91" i="1"/>
  <c r="D91" i="1"/>
  <c r="C91" i="1"/>
  <c r="AR90" i="1"/>
  <c r="AQ90" i="1"/>
  <c r="AP90" i="1"/>
  <c r="AL90" i="1"/>
  <c r="AK90" i="1"/>
  <c r="AJ90" i="1"/>
  <c r="AI90" i="1"/>
  <c r="AH90" i="1"/>
  <c r="AG90" i="1"/>
  <c r="AF90" i="1"/>
  <c r="AE90" i="1"/>
  <c r="AD90" i="1"/>
  <c r="AC90" i="1"/>
  <c r="X90" i="1"/>
  <c r="V90" i="1"/>
  <c r="U90" i="1"/>
  <c r="T90" i="1"/>
  <c r="S90" i="1"/>
  <c r="R90" i="1"/>
  <c r="O90" i="1"/>
  <c r="N90" i="1"/>
  <c r="M90" i="1"/>
  <c r="L90" i="1"/>
  <c r="K90" i="1"/>
  <c r="I90" i="1"/>
  <c r="G90" i="1"/>
  <c r="F90" i="1"/>
  <c r="D90" i="1"/>
  <c r="C90" i="1"/>
  <c r="AR89" i="1"/>
  <c r="AQ89" i="1"/>
  <c r="AP89" i="1"/>
  <c r="AL89" i="1"/>
  <c r="AK89" i="1"/>
  <c r="AJ89" i="1"/>
  <c r="AI89" i="1"/>
  <c r="AH89" i="1"/>
  <c r="AG89" i="1"/>
  <c r="AF89" i="1"/>
  <c r="AE89" i="1"/>
  <c r="AD89" i="1"/>
  <c r="AC89" i="1"/>
  <c r="AB89" i="1"/>
  <c r="X89" i="1"/>
  <c r="W89" i="1"/>
  <c r="V89" i="1"/>
  <c r="U89" i="1"/>
  <c r="T89" i="1"/>
  <c r="S89" i="1"/>
  <c r="R89" i="1"/>
  <c r="P89" i="1"/>
  <c r="O89" i="1"/>
  <c r="N89" i="1"/>
  <c r="M89" i="1"/>
  <c r="L89" i="1"/>
  <c r="K89" i="1"/>
  <c r="G89" i="1"/>
  <c r="A89" i="1"/>
  <c r="AL88" i="1"/>
  <c r="AK88" i="1"/>
  <c r="AJ88" i="1"/>
  <c r="AI88" i="1"/>
  <c r="AH88" i="1"/>
  <c r="AG88" i="1"/>
  <c r="AF88" i="1"/>
  <c r="AE88" i="1"/>
  <c r="AD88" i="1"/>
  <c r="AC88" i="1"/>
  <c r="I88" i="1"/>
  <c r="G88" i="1"/>
  <c r="F88" i="1"/>
  <c r="D88" i="1"/>
  <c r="C88" i="1"/>
  <c r="AR87" i="1"/>
  <c r="AQ87" i="1"/>
  <c r="AP87" i="1"/>
  <c r="AL87" i="1"/>
  <c r="AK87" i="1"/>
  <c r="AJ87" i="1"/>
  <c r="AI87" i="1"/>
  <c r="AH87" i="1"/>
  <c r="AG87" i="1"/>
  <c r="AF87" i="1"/>
  <c r="AE87" i="1"/>
  <c r="AD87" i="1"/>
  <c r="AC87" i="1"/>
  <c r="X87" i="1"/>
  <c r="V87" i="1"/>
  <c r="U87" i="1"/>
  <c r="T87" i="1"/>
  <c r="S87" i="1"/>
  <c r="R87" i="1"/>
  <c r="O87" i="1"/>
  <c r="N87" i="1"/>
  <c r="M87" i="1"/>
  <c r="L87" i="1"/>
  <c r="K87" i="1"/>
  <c r="I87" i="1"/>
  <c r="G87" i="1"/>
  <c r="F87" i="1"/>
  <c r="D87" i="1"/>
  <c r="C87" i="1"/>
  <c r="AR86" i="1"/>
  <c r="AQ86" i="1"/>
  <c r="AP86" i="1"/>
  <c r="AL86" i="1"/>
  <c r="AK86" i="1"/>
  <c r="AJ86" i="1"/>
  <c r="AI86" i="1"/>
  <c r="AH86" i="1"/>
  <c r="AG86" i="1"/>
  <c r="AF86" i="1"/>
  <c r="AE86" i="1"/>
  <c r="AD86" i="1"/>
  <c r="AC86" i="1"/>
  <c r="AB86" i="1"/>
  <c r="Y86" i="1"/>
  <c r="X86" i="1"/>
  <c r="W86" i="1"/>
  <c r="V86" i="1"/>
  <c r="U86" i="1"/>
  <c r="T86" i="1"/>
  <c r="S86" i="1"/>
  <c r="R86" i="1"/>
  <c r="P86" i="1"/>
  <c r="O86" i="1"/>
  <c r="N86" i="1"/>
  <c r="M86" i="1"/>
  <c r="L86" i="1"/>
  <c r="K86" i="1"/>
  <c r="A86" i="1"/>
  <c r="AL85" i="1"/>
  <c r="AK85" i="1"/>
  <c r="AJ85" i="1"/>
  <c r="AI85" i="1"/>
  <c r="AH85" i="1"/>
  <c r="AG85" i="1"/>
  <c r="AF85" i="1"/>
  <c r="AE85" i="1"/>
  <c r="AD85" i="1"/>
  <c r="AC85" i="1"/>
  <c r="I85" i="1"/>
  <c r="G85" i="1"/>
  <c r="F85" i="1"/>
  <c r="D85" i="1"/>
  <c r="C85" i="1"/>
  <c r="AR84" i="1"/>
  <c r="AQ84" i="1"/>
  <c r="AP84" i="1"/>
  <c r="AL84" i="1"/>
  <c r="AK84" i="1"/>
  <c r="AJ84" i="1"/>
  <c r="AI84" i="1"/>
  <c r="AH84" i="1"/>
  <c r="AG84" i="1"/>
  <c r="AF84" i="1"/>
  <c r="AE84" i="1"/>
  <c r="AD84" i="1"/>
  <c r="AC84" i="1"/>
  <c r="X84" i="1"/>
  <c r="V84" i="1"/>
  <c r="U84" i="1"/>
  <c r="T84" i="1"/>
  <c r="S84" i="1"/>
  <c r="R84" i="1"/>
  <c r="O84" i="1"/>
  <c r="N84" i="1"/>
  <c r="M84" i="1"/>
  <c r="L84" i="1"/>
  <c r="K84" i="1"/>
  <c r="I84" i="1"/>
  <c r="G84" i="1"/>
  <c r="F84" i="1"/>
  <c r="D84" i="1"/>
  <c r="C84" i="1"/>
  <c r="AR83" i="1"/>
  <c r="AQ83" i="1"/>
  <c r="AP83" i="1"/>
  <c r="AL83" i="1"/>
  <c r="AK83" i="1"/>
  <c r="AJ83" i="1"/>
  <c r="AI83" i="1"/>
  <c r="AH83" i="1"/>
  <c r="AG83" i="1"/>
  <c r="AF83" i="1"/>
  <c r="AE83" i="1"/>
  <c r="AD83" i="1"/>
  <c r="AC83" i="1"/>
  <c r="AB83" i="1"/>
  <c r="Y83" i="1"/>
  <c r="X83" i="1"/>
  <c r="W83" i="1"/>
  <c r="V83" i="1"/>
  <c r="U83" i="1"/>
  <c r="T83" i="1"/>
  <c r="S83" i="1"/>
  <c r="R83" i="1"/>
  <c r="P83" i="1"/>
  <c r="O83" i="1"/>
  <c r="N83" i="1"/>
  <c r="M83" i="1"/>
  <c r="L83" i="1"/>
  <c r="K83" i="1"/>
  <c r="A83" i="1"/>
  <c r="AL82" i="1"/>
  <c r="AK82" i="1"/>
  <c r="AJ82" i="1"/>
  <c r="AI82" i="1"/>
  <c r="AH82" i="1"/>
  <c r="AG82" i="1"/>
  <c r="AF82" i="1"/>
  <c r="AE82" i="1"/>
  <c r="AD82" i="1"/>
  <c r="AC82" i="1"/>
  <c r="I82" i="1"/>
  <c r="G82" i="1"/>
  <c r="F82" i="1"/>
  <c r="D82" i="1"/>
  <c r="C82" i="1"/>
  <c r="AR81" i="1"/>
  <c r="AQ81" i="1"/>
  <c r="AP81" i="1"/>
  <c r="AL81" i="1"/>
  <c r="AK81" i="1"/>
  <c r="AJ81" i="1"/>
  <c r="AI81" i="1"/>
  <c r="AH81" i="1"/>
  <c r="AG81" i="1"/>
  <c r="AF81" i="1"/>
  <c r="AE81" i="1"/>
  <c r="AD81" i="1"/>
  <c r="AC81" i="1"/>
  <c r="X81" i="1"/>
  <c r="V81" i="1"/>
  <c r="U81" i="1"/>
  <c r="T81" i="1"/>
  <c r="S81" i="1"/>
  <c r="R81" i="1"/>
  <c r="O81" i="1"/>
  <c r="N81" i="1"/>
  <c r="M81" i="1"/>
  <c r="L81" i="1"/>
  <c r="K81" i="1"/>
  <c r="I81" i="1"/>
  <c r="G81" i="1"/>
  <c r="F81" i="1"/>
  <c r="D81" i="1"/>
  <c r="C81" i="1"/>
  <c r="AR80" i="1"/>
  <c r="AQ80" i="1"/>
  <c r="AP80" i="1"/>
  <c r="AL80" i="1"/>
  <c r="AK80" i="1"/>
  <c r="AJ80" i="1"/>
  <c r="AI80" i="1"/>
  <c r="AH80" i="1"/>
  <c r="AG80" i="1"/>
  <c r="AF80" i="1"/>
  <c r="AE80" i="1"/>
  <c r="AD80" i="1"/>
  <c r="AC80" i="1"/>
  <c r="AB80" i="1"/>
  <c r="X80" i="1"/>
  <c r="W80" i="1"/>
  <c r="V80" i="1"/>
  <c r="U80" i="1"/>
  <c r="T80" i="1"/>
  <c r="S80" i="1"/>
  <c r="R80" i="1"/>
  <c r="P80" i="1"/>
  <c r="O80" i="1"/>
  <c r="N80" i="1"/>
  <c r="M80" i="1"/>
  <c r="L80" i="1"/>
  <c r="K80" i="1"/>
  <c r="A80" i="1"/>
  <c r="AL79" i="1"/>
  <c r="AK79" i="1"/>
  <c r="AJ79" i="1"/>
  <c r="AI79" i="1"/>
  <c r="AH79" i="1"/>
  <c r="AG79" i="1"/>
  <c r="AF79" i="1"/>
  <c r="AE79" i="1"/>
  <c r="AD79" i="1"/>
  <c r="AC79" i="1"/>
  <c r="I79" i="1"/>
  <c r="G79" i="1"/>
  <c r="F79" i="1"/>
  <c r="D79" i="1"/>
  <c r="C79" i="1"/>
  <c r="AR78" i="1"/>
  <c r="AQ78" i="1"/>
  <c r="AP78" i="1"/>
  <c r="AL78" i="1"/>
  <c r="AK78" i="1"/>
  <c r="AJ78" i="1"/>
  <c r="AI78" i="1"/>
  <c r="AH78" i="1"/>
  <c r="AG78" i="1"/>
  <c r="AF78" i="1"/>
  <c r="AE78" i="1"/>
  <c r="AD78" i="1"/>
  <c r="AC78" i="1"/>
  <c r="X78" i="1"/>
  <c r="V78" i="1"/>
  <c r="U78" i="1"/>
  <c r="T78" i="1"/>
  <c r="S78" i="1"/>
  <c r="R78" i="1"/>
  <c r="O78" i="1"/>
  <c r="N78" i="1"/>
  <c r="M78" i="1"/>
  <c r="L78" i="1"/>
  <c r="K78" i="1"/>
  <c r="I78" i="1"/>
  <c r="G78" i="1"/>
  <c r="F78" i="1"/>
  <c r="D78" i="1"/>
  <c r="C78" i="1"/>
  <c r="AR77" i="1"/>
  <c r="AQ77" i="1"/>
  <c r="AP77" i="1"/>
  <c r="AL77" i="1"/>
  <c r="AK77" i="1"/>
  <c r="AJ77" i="1"/>
  <c r="AI77" i="1"/>
  <c r="AH77" i="1"/>
  <c r="AG77" i="1"/>
  <c r="AF77" i="1"/>
  <c r="AE77" i="1"/>
  <c r="AD77" i="1"/>
  <c r="AC77" i="1"/>
  <c r="AB77" i="1"/>
  <c r="X77" i="1"/>
  <c r="W77" i="1"/>
  <c r="V77" i="1"/>
  <c r="U77" i="1"/>
  <c r="T77" i="1"/>
  <c r="S77" i="1"/>
  <c r="R77" i="1"/>
  <c r="P77" i="1"/>
  <c r="O77" i="1"/>
  <c r="N77" i="1"/>
  <c r="M77" i="1"/>
  <c r="L77" i="1"/>
  <c r="K77" i="1"/>
  <c r="A77" i="1"/>
  <c r="AL76" i="1"/>
  <c r="AK76" i="1"/>
  <c r="AJ76" i="1"/>
  <c r="AI76" i="1"/>
  <c r="AH76" i="1"/>
  <c r="AG76" i="1"/>
  <c r="AF76" i="1"/>
  <c r="AE76" i="1"/>
  <c r="AD76" i="1"/>
  <c r="AC76" i="1"/>
  <c r="I76" i="1"/>
  <c r="G76" i="1"/>
  <c r="D76" i="1"/>
  <c r="C76" i="1"/>
  <c r="AR75" i="1"/>
  <c r="AQ75" i="1"/>
  <c r="AP75" i="1"/>
  <c r="AL75" i="1"/>
  <c r="AK75" i="1"/>
  <c r="AJ75" i="1"/>
  <c r="AI75" i="1"/>
  <c r="AH75" i="1"/>
  <c r="AG75" i="1"/>
  <c r="AF75" i="1"/>
  <c r="AE75" i="1"/>
  <c r="AD75" i="1"/>
  <c r="AC75" i="1"/>
  <c r="X75" i="1"/>
  <c r="V75" i="1"/>
  <c r="U75" i="1"/>
  <c r="T75" i="1"/>
  <c r="S75" i="1"/>
  <c r="R75" i="1"/>
  <c r="O75" i="1"/>
  <c r="N75" i="1"/>
  <c r="M75" i="1"/>
  <c r="L75" i="1"/>
  <c r="K75" i="1"/>
  <c r="I75" i="1"/>
  <c r="G75" i="1"/>
  <c r="D75" i="1"/>
  <c r="C75" i="1"/>
  <c r="AR74" i="1"/>
  <c r="AQ74" i="1"/>
  <c r="AP74" i="1"/>
  <c r="AL74" i="1"/>
  <c r="AK74" i="1"/>
  <c r="AJ74" i="1"/>
  <c r="AI74" i="1"/>
  <c r="AH74" i="1"/>
  <c r="AG74" i="1"/>
  <c r="AF74" i="1"/>
  <c r="AE74" i="1"/>
  <c r="AD74" i="1"/>
  <c r="AC74" i="1"/>
  <c r="AB74" i="1"/>
  <c r="Y74" i="1"/>
  <c r="X74" i="1"/>
  <c r="W74" i="1"/>
  <c r="V74" i="1"/>
  <c r="U74" i="1"/>
  <c r="T74" i="1"/>
  <c r="S74" i="1"/>
  <c r="R74" i="1"/>
  <c r="P74" i="1"/>
  <c r="O74" i="1"/>
  <c r="N74" i="1"/>
  <c r="M74" i="1"/>
  <c r="L74" i="1"/>
  <c r="K74" i="1"/>
  <c r="A74" i="1"/>
  <c r="AL73" i="1"/>
  <c r="AK73" i="1"/>
  <c r="AJ73" i="1"/>
  <c r="AI73" i="1"/>
  <c r="AH73" i="1"/>
  <c r="AG73" i="1"/>
  <c r="AF73" i="1"/>
  <c r="AE73" i="1"/>
  <c r="AD73" i="1"/>
  <c r="AC73" i="1"/>
  <c r="I73" i="1"/>
  <c r="G73" i="1"/>
  <c r="D73" i="1"/>
  <c r="C73" i="1"/>
  <c r="AR72" i="1"/>
  <c r="AQ72" i="1"/>
  <c r="AP72" i="1"/>
  <c r="AL72" i="1"/>
  <c r="AK72" i="1"/>
  <c r="AJ72" i="1"/>
  <c r="AI72" i="1"/>
  <c r="AH72" i="1"/>
  <c r="AG72" i="1"/>
  <c r="AF72" i="1"/>
  <c r="AE72" i="1"/>
  <c r="AD72" i="1"/>
  <c r="AC72" i="1"/>
  <c r="X72" i="1"/>
  <c r="V72" i="1"/>
  <c r="U72" i="1"/>
  <c r="T72" i="1"/>
  <c r="S72" i="1"/>
  <c r="R72" i="1"/>
  <c r="O72" i="1"/>
  <c r="N72" i="1"/>
  <c r="M72" i="1"/>
  <c r="L72" i="1"/>
  <c r="K72" i="1"/>
  <c r="I72" i="1"/>
  <c r="G72" i="1"/>
  <c r="D72" i="1"/>
  <c r="C72" i="1"/>
  <c r="AR71" i="1"/>
  <c r="AQ71" i="1"/>
  <c r="AP71" i="1"/>
  <c r="AO71" i="1"/>
  <c r="AL71" i="1"/>
  <c r="AK71" i="1"/>
  <c r="AJ71" i="1"/>
  <c r="AI71" i="1"/>
  <c r="AH71" i="1"/>
  <c r="AG71" i="1"/>
  <c r="AF71" i="1"/>
  <c r="AE71" i="1"/>
  <c r="AD71" i="1"/>
  <c r="AC71" i="1"/>
  <c r="AB71" i="1"/>
  <c r="X71" i="1"/>
  <c r="W71" i="1"/>
  <c r="V71" i="1"/>
  <c r="U71" i="1"/>
  <c r="T71" i="1"/>
  <c r="S71" i="1"/>
  <c r="R71" i="1"/>
  <c r="P71" i="1"/>
  <c r="O71" i="1"/>
  <c r="N71" i="1"/>
  <c r="M71" i="1"/>
  <c r="L71" i="1"/>
  <c r="K71" i="1"/>
  <c r="A71" i="1"/>
  <c r="AO70" i="1"/>
  <c r="AL70" i="1"/>
  <c r="AK70" i="1"/>
  <c r="AJ70" i="1"/>
  <c r="AI70" i="1"/>
  <c r="AH70" i="1"/>
  <c r="AG70" i="1"/>
  <c r="AF70" i="1"/>
  <c r="AE70" i="1"/>
  <c r="AD70" i="1"/>
  <c r="AC70" i="1"/>
  <c r="I70" i="1"/>
  <c r="G70" i="1"/>
  <c r="D70" i="1"/>
  <c r="C70" i="1"/>
  <c r="AR69" i="1"/>
  <c r="AQ69" i="1"/>
  <c r="AP69" i="1"/>
  <c r="AO69" i="1"/>
  <c r="AL69" i="1"/>
  <c r="AK69" i="1"/>
  <c r="AJ69" i="1"/>
  <c r="AI69" i="1"/>
  <c r="AH69" i="1"/>
  <c r="AG69" i="1"/>
  <c r="AF69" i="1"/>
  <c r="AE69" i="1"/>
  <c r="AD69" i="1"/>
  <c r="AC69" i="1"/>
  <c r="X69" i="1"/>
  <c r="V69" i="1"/>
  <c r="U69" i="1"/>
  <c r="T69" i="1"/>
  <c r="S69" i="1"/>
  <c r="R69" i="1"/>
  <c r="O69" i="1"/>
  <c r="N69" i="1"/>
  <c r="M69" i="1"/>
  <c r="L69" i="1"/>
  <c r="K69" i="1"/>
  <c r="I69" i="1"/>
  <c r="G69" i="1"/>
  <c r="D69" i="1"/>
  <c r="C69" i="1"/>
  <c r="AR68" i="1"/>
  <c r="AQ68" i="1"/>
  <c r="AP68" i="1"/>
  <c r="AO68" i="1"/>
  <c r="AL68" i="1"/>
  <c r="AK68" i="1"/>
  <c r="AJ68" i="1"/>
  <c r="AI68" i="1"/>
  <c r="AH68" i="1"/>
  <c r="AG68" i="1"/>
  <c r="AF68" i="1"/>
  <c r="AE68" i="1"/>
  <c r="AD68" i="1"/>
  <c r="AC68" i="1"/>
  <c r="AB68" i="1"/>
  <c r="Y68" i="1"/>
  <c r="X68" i="1"/>
  <c r="W68" i="1"/>
  <c r="V68" i="1"/>
  <c r="U68" i="1"/>
  <c r="T68" i="1"/>
  <c r="S68" i="1"/>
  <c r="R68" i="1"/>
  <c r="P68" i="1"/>
  <c r="O68" i="1"/>
  <c r="N68" i="1"/>
  <c r="M68" i="1"/>
  <c r="L68" i="1"/>
  <c r="K68" i="1"/>
  <c r="G68" i="1"/>
  <c r="A68" i="1"/>
  <c r="AO67" i="1"/>
  <c r="AL67" i="1"/>
  <c r="AK67" i="1"/>
  <c r="AJ67" i="1"/>
  <c r="AI67" i="1"/>
  <c r="AH67" i="1"/>
  <c r="AG67" i="1"/>
  <c r="AF67" i="1"/>
  <c r="AE67" i="1"/>
  <c r="AD67" i="1"/>
  <c r="AC67" i="1"/>
  <c r="I67" i="1"/>
  <c r="G67" i="1"/>
  <c r="D67" i="1"/>
  <c r="C67" i="1"/>
  <c r="AR66" i="1"/>
  <c r="AQ66" i="1"/>
  <c r="AP66" i="1"/>
  <c r="AO66" i="1"/>
  <c r="AL66" i="1"/>
  <c r="AK66" i="1"/>
  <c r="AJ66" i="1"/>
  <c r="AI66" i="1"/>
  <c r="AH66" i="1"/>
  <c r="AG66" i="1"/>
  <c r="AF66" i="1"/>
  <c r="AE66" i="1"/>
  <c r="AD66" i="1"/>
  <c r="AC66" i="1"/>
  <c r="X66" i="1"/>
  <c r="V66" i="1"/>
  <c r="U66" i="1"/>
  <c r="T66" i="1"/>
  <c r="S66" i="1"/>
  <c r="R66" i="1"/>
  <c r="O66" i="1"/>
  <c r="N66" i="1"/>
  <c r="M66" i="1"/>
  <c r="L66" i="1"/>
  <c r="K66" i="1"/>
  <c r="I66" i="1"/>
  <c r="G66" i="1"/>
  <c r="D66" i="1"/>
  <c r="C66" i="1"/>
  <c r="AR65" i="1"/>
  <c r="AQ65" i="1"/>
  <c r="AP65" i="1"/>
  <c r="AO65" i="1"/>
  <c r="AL65" i="1"/>
  <c r="AK65" i="1"/>
  <c r="AJ65" i="1"/>
  <c r="AI65" i="1"/>
  <c r="AH65" i="1"/>
  <c r="AG65" i="1"/>
  <c r="AF65" i="1"/>
  <c r="AE65" i="1"/>
  <c r="AD65" i="1"/>
  <c r="AC65" i="1"/>
  <c r="AB65" i="1"/>
  <c r="Y65" i="1"/>
  <c r="X65" i="1"/>
  <c r="W65" i="1"/>
  <c r="V65" i="1"/>
  <c r="U65" i="1"/>
  <c r="T65" i="1"/>
  <c r="S65" i="1"/>
  <c r="R65" i="1"/>
  <c r="P65" i="1"/>
  <c r="O65" i="1"/>
  <c r="N65" i="1"/>
  <c r="M65" i="1"/>
  <c r="L65" i="1"/>
  <c r="K65" i="1"/>
  <c r="A65" i="1"/>
  <c r="AO64" i="1"/>
  <c r="AL64" i="1"/>
  <c r="AK64" i="1"/>
  <c r="AJ64" i="1"/>
  <c r="AI64" i="1"/>
  <c r="AH64" i="1"/>
  <c r="AG64" i="1"/>
  <c r="AF64" i="1"/>
  <c r="AE64" i="1"/>
  <c r="AD64" i="1"/>
  <c r="AC64" i="1"/>
  <c r="I64" i="1"/>
  <c r="G64" i="1"/>
  <c r="D64" i="1"/>
  <c r="C64" i="1"/>
  <c r="AR63" i="1"/>
  <c r="AQ63" i="1"/>
  <c r="AP63" i="1"/>
  <c r="AO63" i="1"/>
  <c r="AL63" i="1"/>
  <c r="AK63" i="1"/>
  <c r="AJ63" i="1"/>
  <c r="AI63" i="1"/>
  <c r="AH63" i="1"/>
  <c r="AG63" i="1"/>
  <c r="AF63" i="1"/>
  <c r="AE63" i="1"/>
  <c r="AD63" i="1"/>
  <c r="AC63" i="1"/>
  <c r="X63" i="1"/>
  <c r="V63" i="1"/>
  <c r="U63" i="1"/>
  <c r="T63" i="1"/>
  <c r="S63" i="1"/>
  <c r="R63" i="1"/>
  <c r="O63" i="1"/>
  <c r="N63" i="1"/>
  <c r="M63" i="1"/>
  <c r="L63" i="1"/>
  <c r="K63" i="1"/>
  <c r="I63" i="1"/>
  <c r="G63" i="1"/>
  <c r="D63" i="1"/>
  <c r="C63" i="1"/>
  <c r="AR62" i="1"/>
  <c r="AQ62" i="1"/>
  <c r="AP62" i="1"/>
  <c r="AO62" i="1"/>
  <c r="AL62" i="1"/>
  <c r="AK62" i="1"/>
  <c r="AJ62" i="1"/>
  <c r="AI62" i="1"/>
  <c r="AH62" i="1"/>
  <c r="AG62" i="1"/>
  <c r="AF62" i="1"/>
  <c r="AE62" i="1"/>
  <c r="AD62" i="1"/>
  <c r="AC62" i="1"/>
  <c r="AB62" i="1"/>
  <c r="Y62" i="1"/>
  <c r="X62" i="1"/>
  <c r="W62" i="1"/>
  <c r="V62" i="1"/>
  <c r="U62" i="1"/>
  <c r="T62" i="1"/>
  <c r="S62" i="1"/>
  <c r="R62" i="1"/>
  <c r="P62" i="1"/>
  <c r="O62" i="1"/>
  <c r="N62" i="1"/>
  <c r="M62" i="1"/>
  <c r="L62" i="1"/>
  <c r="K62" i="1"/>
  <c r="A62" i="1"/>
  <c r="AO61" i="1"/>
  <c r="AL61" i="1"/>
  <c r="AK61" i="1"/>
  <c r="AJ61" i="1"/>
  <c r="AI61" i="1"/>
  <c r="AH61" i="1"/>
  <c r="AG61" i="1"/>
  <c r="AF61" i="1"/>
  <c r="AE61" i="1"/>
  <c r="AD61" i="1"/>
  <c r="AC61" i="1"/>
  <c r="I61" i="1"/>
  <c r="G61" i="1"/>
  <c r="D61" i="1"/>
  <c r="C61" i="1"/>
  <c r="AR60" i="1"/>
  <c r="AQ60" i="1"/>
  <c r="AP60" i="1"/>
  <c r="AO60" i="1"/>
  <c r="AL60" i="1"/>
  <c r="AK60" i="1"/>
  <c r="AJ60" i="1"/>
  <c r="AI60" i="1"/>
  <c r="AH60" i="1"/>
  <c r="AG60" i="1"/>
  <c r="AF60" i="1"/>
  <c r="AE60" i="1"/>
  <c r="AD60" i="1"/>
  <c r="AC60" i="1"/>
  <c r="X60" i="1"/>
  <c r="V60" i="1"/>
  <c r="U60" i="1"/>
  <c r="T60" i="1"/>
  <c r="S60" i="1"/>
  <c r="R60" i="1"/>
  <c r="O60" i="1"/>
  <c r="N60" i="1"/>
  <c r="M60" i="1"/>
  <c r="L60" i="1"/>
  <c r="K60" i="1"/>
  <c r="I60" i="1"/>
  <c r="G60" i="1"/>
  <c r="D60" i="1"/>
  <c r="C60" i="1"/>
  <c r="AR59" i="1"/>
  <c r="AQ59" i="1"/>
  <c r="AP59" i="1"/>
  <c r="AO59" i="1"/>
  <c r="AL59" i="1"/>
  <c r="AK59" i="1"/>
  <c r="AJ59" i="1"/>
  <c r="AI59" i="1"/>
  <c r="AH59" i="1"/>
  <c r="AG59" i="1"/>
  <c r="AF59" i="1"/>
  <c r="AE59" i="1"/>
  <c r="AD59" i="1"/>
  <c r="AC59" i="1"/>
  <c r="AB59" i="1"/>
  <c r="Y59" i="1"/>
  <c r="X59" i="1"/>
  <c r="W59" i="1"/>
  <c r="V59" i="1"/>
  <c r="U59" i="1"/>
  <c r="T59" i="1"/>
  <c r="S59" i="1"/>
  <c r="R59" i="1"/>
  <c r="P59" i="1"/>
  <c r="O59" i="1"/>
  <c r="N59" i="1"/>
  <c r="M59" i="1"/>
  <c r="L59" i="1"/>
  <c r="K59" i="1"/>
  <c r="A59" i="1"/>
  <c r="AO58" i="1"/>
  <c r="AL58" i="1"/>
  <c r="AK58" i="1"/>
  <c r="AJ58" i="1"/>
  <c r="AI58" i="1"/>
  <c r="AH58" i="1"/>
  <c r="AG58" i="1"/>
  <c r="AF58" i="1"/>
  <c r="AE58" i="1"/>
  <c r="AD58" i="1"/>
  <c r="AC58" i="1"/>
  <c r="I58" i="1"/>
  <c r="G58" i="1"/>
  <c r="D58" i="1"/>
  <c r="C58" i="1"/>
  <c r="AR57" i="1"/>
  <c r="AQ57" i="1"/>
  <c r="AP57" i="1"/>
  <c r="AO57" i="1"/>
  <c r="AL57" i="1"/>
  <c r="AK57" i="1"/>
  <c r="AJ57" i="1"/>
  <c r="AI57" i="1"/>
  <c r="AH57" i="1"/>
  <c r="AG57" i="1"/>
  <c r="AF57" i="1"/>
  <c r="AE57" i="1"/>
  <c r="AD57" i="1"/>
  <c r="AC57" i="1"/>
  <c r="X57" i="1"/>
  <c r="V57" i="1"/>
  <c r="U57" i="1"/>
  <c r="T57" i="1"/>
  <c r="S57" i="1"/>
  <c r="R57" i="1"/>
  <c r="O57" i="1"/>
  <c r="N57" i="1"/>
  <c r="M57" i="1"/>
  <c r="L57" i="1"/>
  <c r="K57" i="1"/>
  <c r="I57" i="1"/>
  <c r="G57" i="1"/>
  <c r="D57" i="1"/>
  <c r="C57" i="1"/>
  <c r="AR56" i="1"/>
  <c r="AQ56" i="1"/>
  <c r="AP56" i="1"/>
  <c r="AO56" i="1"/>
  <c r="AL56" i="1"/>
  <c r="AK56" i="1"/>
  <c r="AJ56" i="1"/>
  <c r="AI56" i="1"/>
  <c r="AH56" i="1"/>
  <c r="AG56" i="1"/>
  <c r="AF56" i="1"/>
  <c r="AE56" i="1"/>
  <c r="AD56" i="1"/>
  <c r="AC56" i="1"/>
  <c r="AB56" i="1"/>
  <c r="Y56" i="1"/>
  <c r="X56" i="1"/>
  <c r="W56" i="1"/>
  <c r="V56" i="1"/>
  <c r="U56" i="1"/>
  <c r="T56" i="1"/>
  <c r="S56" i="1"/>
  <c r="R56" i="1"/>
  <c r="P56" i="1"/>
  <c r="O56" i="1"/>
  <c r="N56" i="1"/>
  <c r="M56" i="1"/>
  <c r="L56" i="1"/>
  <c r="K56" i="1"/>
  <c r="G56" i="1"/>
  <c r="A56" i="1"/>
  <c r="AO55" i="1"/>
  <c r="AL55" i="1"/>
  <c r="AK55" i="1"/>
  <c r="AJ55" i="1"/>
  <c r="AI55" i="1"/>
  <c r="AH55" i="1"/>
  <c r="AG55" i="1"/>
  <c r="AF55" i="1"/>
  <c r="AE55" i="1"/>
  <c r="AD55" i="1"/>
  <c r="AC55" i="1"/>
  <c r="I55" i="1"/>
  <c r="G55" i="1"/>
  <c r="D55" i="1"/>
  <c r="C55" i="1"/>
  <c r="AO54" i="1"/>
  <c r="AL54" i="1"/>
  <c r="AK54" i="1"/>
  <c r="AJ54" i="1"/>
  <c r="AI54" i="1"/>
  <c r="AH54" i="1"/>
  <c r="AG54" i="1"/>
  <c r="AF54" i="1"/>
  <c r="AE54" i="1"/>
  <c r="AD54" i="1"/>
  <c r="AC54" i="1"/>
  <c r="I54" i="1"/>
  <c r="G54" i="1"/>
  <c r="D54" i="1"/>
  <c r="C54" i="1"/>
  <c r="AO53" i="1"/>
  <c r="AL53" i="1"/>
  <c r="AK53" i="1"/>
  <c r="AJ53" i="1"/>
  <c r="AI53" i="1"/>
  <c r="AH53" i="1"/>
  <c r="AG53" i="1"/>
  <c r="AF53" i="1"/>
  <c r="AE53" i="1"/>
  <c r="AD53" i="1"/>
  <c r="AC53" i="1"/>
  <c r="AB53" i="1"/>
  <c r="Y53" i="1"/>
  <c r="P53" i="1"/>
  <c r="G53" i="1"/>
  <c r="A53" i="1"/>
  <c r="AO52" i="1"/>
  <c r="AL52" i="1"/>
  <c r="AK52" i="1"/>
  <c r="AJ52" i="1"/>
  <c r="AI52" i="1"/>
  <c r="AH52" i="1"/>
  <c r="AG52" i="1"/>
  <c r="AF52" i="1"/>
  <c r="AE52" i="1"/>
  <c r="AD52" i="1"/>
  <c r="AC52" i="1"/>
  <c r="I52" i="1"/>
  <c r="G52" i="1"/>
  <c r="D52" i="1"/>
  <c r="C52" i="1"/>
  <c r="AO51" i="1"/>
  <c r="AL51" i="1"/>
  <c r="AK51" i="1"/>
  <c r="AJ51" i="1"/>
  <c r="AI51" i="1"/>
  <c r="AH51" i="1"/>
  <c r="AG51" i="1"/>
  <c r="AF51" i="1"/>
  <c r="AE51" i="1"/>
  <c r="AD51" i="1"/>
  <c r="AC51" i="1"/>
  <c r="I51" i="1"/>
  <c r="G51" i="1"/>
  <c r="D51" i="1"/>
  <c r="C51" i="1"/>
  <c r="AO50" i="1"/>
  <c r="AL50" i="1"/>
  <c r="AK50" i="1"/>
  <c r="AJ50" i="1"/>
  <c r="AI50" i="1"/>
  <c r="AH50" i="1"/>
  <c r="AG50" i="1"/>
  <c r="AF50" i="1"/>
  <c r="AE50" i="1"/>
  <c r="AD50" i="1"/>
  <c r="AC50" i="1"/>
  <c r="AB50" i="1"/>
  <c r="Y50" i="1"/>
  <c r="P50" i="1"/>
  <c r="G50" i="1"/>
  <c r="A50" i="1"/>
  <c r="AO49" i="1"/>
  <c r="AL49" i="1"/>
  <c r="AK49" i="1"/>
  <c r="AJ49" i="1"/>
  <c r="AI49" i="1"/>
  <c r="AH49" i="1"/>
  <c r="AG49" i="1"/>
  <c r="AF49" i="1"/>
  <c r="AE49" i="1"/>
  <c r="AD49" i="1"/>
  <c r="AC49" i="1"/>
  <c r="I49" i="1"/>
  <c r="G49" i="1"/>
  <c r="D49" i="1"/>
  <c r="C49" i="1"/>
  <c r="AO48" i="1"/>
  <c r="AL48" i="1"/>
  <c r="AK48" i="1"/>
  <c r="AJ48" i="1"/>
  <c r="AI48" i="1"/>
  <c r="AH48" i="1"/>
  <c r="AG48" i="1"/>
  <c r="AF48" i="1"/>
  <c r="AE48" i="1"/>
  <c r="AD48" i="1"/>
  <c r="AC48" i="1"/>
  <c r="I48" i="1"/>
  <c r="G48" i="1"/>
  <c r="D48" i="1"/>
  <c r="C48" i="1"/>
  <c r="AO47" i="1"/>
  <c r="AL47" i="1"/>
  <c r="AK47" i="1"/>
  <c r="AJ47" i="1"/>
  <c r="AI47" i="1"/>
  <c r="AH47" i="1"/>
  <c r="AG47" i="1"/>
  <c r="AF47" i="1"/>
  <c r="AE47" i="1"/>
  <c r="AD47" i="1"/>
  <c r="AC47" i="1"/>
  <c r="AB47" i="1"/>
  <c r="Y47" i="1"/>
  <c r="P47" i="1"/>
  <c r="A47" i="1"/>
  <c r="AO46" i="1"/>
  <c r="AL46" i="1"/>
  <c r="AK46" i="1"/>
  <c r="AJ46" i="1"/>
  <c r="AI46" i="1"/>
  <c r="AH46" i="1"/>
  <c r="AG46" i="1"/>
  <c r="AF46" i="1"/>
  <c r="AE46" i="1"/>
  <c r="AD46" i="1"/>
  <c r="AC46" i="1"/>
  <c r="I46" i="1"/>
  <c r="G46" i="1"/>
  <c r="D46" i="1"/>
  <c r="C46" i="1"/>
  <c r="AO45" i="1"/>
  <c r="AL45" i="1"/>
  <c r="AK45" i="1"/>
  <c r="AJ45" i="1"/>
  <c r="AI45" i="1"/>
  <c r="AH45" i="1"/>
  <c r="AG45" i="1"/>
  <c r="AF45" i="1"/>
  <c r="AE45" i="1"/>
  <c r="AD45" i="1"/>
  <c r="AC45" i="1"/>
  <c r="I45" i="1"/>
  <c r="G45" i="1"/>
  <c r="D45" i="1"/>
  <c r="C45" i="1"/>
  <c r="AO44" i="1"/>
  <c r="AL44" i="1"/>
  <c r="AK44" i="1"/>
  <c r="AJ44" i="1"/>
  <c r="AI44" i="1"/>
  <c r="AH44" i="1"/>
  <c r="AG44" i="1"/>
  <c r="AF44" i="1"/>
  <c r="AE44" i="1"/>
  <c r="AD44" i="1"/>
  <c r="AC44" i="1"/>
  <c r="AB44" i="1"/>
  <c r="Y44" i="1"/>
  <c r="P44" i="1"/>
  <c r="G44" i="1"/>
  <c r="A44" i="1"/>
  <c r="AO43" i="1"/>
  <c r="AL43" i="1"/>
  <c r="AK43" i="1"/>
  <c r="AJ43" i="1"/>
  <c r="AI43" i="1"/>
  <c r="AH43" i="1"/>
  <c r="AG43" i="1"/>
  <c r="AF43" i="1"/>
  <c r="AE43" i="1"/>
  <c r="AD43" i="1"/>
  <c r="AC43" i="1"/>
  <c r="I43" i="1"/>
  <c r="G43" i="1"/>
  <c r="D43" i="1"/>
  <c r="C43" i="1"/>
  <c r="AO42" i="1"/>
  <c r="AL42" i="1"/>
  <c r="AK42" i="1"/>
  <c r="AJ42" i="1"/>
  <c r="AI42" i="1"/>
  <c r="AH42" i="1"/>
  <c r="AG42" i="1"/>
  <c r="AF42" i="1"/>
  <c r="AE42" i="1"/>
  <c r="AD42" i="1"/>
  <c r="AC42" i="1"/>
  <c r="I42" i="1"/>
  <c r="G42" i="1"/>
  <c r="D42" i="1"/>
  <c r="C42" i="1"/>
  <c r="AO41" i="1"/>
  <c r="AL41" i="1"/>
  <c r="AK41" i="1"/>
  <c r="AJ41" i="1"/>
  <c r="AI41" i="1"/>
  <c r="AH41" i="1"/>
  <c r="AG41" i="1"/>
  <c r="AF41" i="1"/>
  <c r="AE41" i="1"/>
  <c r="AD41" i="1"/>
  <c r="AC41" i="1"/>
  <c r="AB41" i="1"/>
  <c r="Y41" i="1"/>
  <c r="P41" i="1"/>
  <c r="G41" i="1"/>
  <c r="A41" i="1"/>
  <c r="AO40" i="1"/>
  <c r="AL40" i="1"/>
  <c r="AK40" i="1"/>
  <c r="AJ40" i="1"/>
  <c r="AI40" i="1"/>
  <c r="AH40" i="1"/>
  <c r="AG40" i="1"/>
  <c r="AF40" i="1"/>
  <c r="AE40" i="1"/>
  <c r="AD40" i="1"/>
  <c r="AC40" i="1"/>
  <c r="I40" i="1"/>
  <c r="G40" i="1"/>
  <c r="D40" i="1"/>
  <c r="C40" i="1"/>
  <c r="AO39" i="1"/>
  <c r="AL39" i="1"/>
  <c r="AK39" i="1"/>
  <c r="AJ39" i="1"/>
  <c r="AI39" i="1"/>
  <c r="AH39" i="1"/>
  <c r="AG39" i="1"/>
  <c r="AF39" i="1"/>
  <c r="AE39" i="1"/>
  <c r="AD39" i="1"/>
  <c r="AC39" i="1"/>
  <c r="I39" i="1"/>
  <c r="G39" i="1"/>
  <c r="D39" i="1"/>
  <c r="C39" i="1"/>
  <c r="AO38" i="1"/>
  <c r="AL38" i="1"/>
  <c r="AK38" i="1"/>
  <c r="AJ38" i="1"/>
  <c r="AI38" i="1"/>
  <c r="AH38" i="1"/>
  <c r="AG38" i="1"/>
  <c r="AF38" i="1"/>
  <c r="AE38" i="1"/>
  <c r="AD38" i="1"/>
  <c r="AC38" i="1"/>
  <c r="AB38" i="1"/>
  <c r="Y38" i="1"/>
  <c r="P38" i="1"/>
  <c r="G38" i="1"/>
  <c r="A38" i="1"/>
  <c r="AO37" i="1"/>
  <c r="AL37" i="1"/>
  <c r="AK37" i="1"/>
  <c r="AJ37" i="1"/>
  <c r="AI37" i="1"/>
  <c r="AH37" i="1"/>
  <c r="AG37" i="1"/>
  <c r="AF37" i="1"/>
  <c r="AE37" i="1"/>
  <c r="AD37" i="1"/>
  <c r="AC37" i="1"/>
  <c r="I37" i="1"/>
  <c r="G37" i="1"/>
  <c r="D37" i="1"/>
  <c r="C37" i="1"/>
  <c r="AR36" i="1"/>
  <c r="AQ36" i="1"/>
  <c r="AP36" i="1"/>
  <c r="AO36" i="1"/>
  <c r="AL36" i="1"/>
  <c r="AK36" i="1"/>
  <c r="AJ36" i="1"/>
  <c r="AI36" i="1"/>
  <c r="AH36" i="1"/>
  <c r="AG36" i="1"/>
  <c r="AF36" i="1"/>
  <c r="AE36" i="1"/>
  <c r="AD36" i="1"/>
  <c r="AC36" i="1"/>
  <c r="X36" i="1"/>
  <c r="V36" i="1"/>
  <c r="U36" i="1"/>
  <c r="T36" i="1"/>
  <c r="S36" i="1"/>
  <c r="R36" i="1"/>
  <c r="O36" i="1"/>
  <c r="N36" i="1"/>
  <c r="M36" i="1"/>
  <c r="L36" i="1"/>
  <c r="K36" i="1"/>
  <c r="I36" i="1"/>
  <c r="G36" i="1"/>
  <c r="D36" i="1"/>
  <c r="C36" i="1"/>
  <c r="AR35" i="1"/>
  <c r="AQ35" i="1"/>
  <c r="AP35" i="1"/>
  <c r="AO35" i="1"/>
  <c r="AL35" i="1"/>
  <c r="AK35" i="1"/>
  <c r="AJ35" i="1"/>
  <c r="AI35" i="1"/>
  <c r="AH35" i="1"/>
  <c r="AG35" i="1"/>
  <c r="AF35" i="1"/>
  <c r="AE35" i="1"/>
  <c r="AD35" i="1"/>
  <c r="AC35" i="1"/>
  <c r="AB35" i="1"/>
  <c r="Y35" i="1"/>
  <c r="X35" i="1"/>
  <c r="W35" i="1"/>
  <c r="V35" i="1"/>
  <c r="U35" i="1"/>
  <c r="T35" i="1"/>
  <c r="S35" i="1"/>
  <c r="R35" i="1"/>
  <c r="P35" i="1"/>
  <c r="O35" i="1"/>
  <c r="N35" i="1"/>
  <c r="M35" i="1"/>
  <c r="L35" i="1"/>
  <c r="K35" i="1"/>
  <c r="A35" i="1"/>
  <c r="AO34" i="1"/>
  <c r="AL34" i="1"/>
  <c r="AK34" i="1"/>
  <c r="AJ34" i="1"/>
  <c r="AI34" i="1"/>
  <c r="AH34" i="1"/>
  <c r="AG34" i="1"/>
  <c r="AF34" i="1"/>
  <c r="AE34" i="1"/>
  <c r="AD34" i="1"/>
  <c r="AC34" i="1"/>
  <c r="I34" i="1"/>
  <c r="G34" i="1"/>
  <c r="C34" i="1"/>
  <c r="AR33" i="1"/>
  <c r="AQ33" i="1"/>
  <c r="AP33" i="1"/>
  <c r="AO33" i="1"/>
  <c r="AL33" i="1"/>
  <c r="AK33" i="1"/>
  <c r="AJ33" i="1"/>
  <c r="AI33" i="1"/>
  <c r="AH33" i="1"/>
  <c r="AG33" i="1"/>
  <c r="AF33" i="1"/>
  <c r="AE33" i="1"/>
  <c r="AD33" i="1"/>
  <c r="AC33" i="1"/>
  <c r="X33" i="1"/>
  <c r="V33" i="1"/>
  <c r="U33" i="1"/>
  <c r="T33" i="1"/>
  <c r="S33" i="1"/>
  <c r="R33" i="1"/>
  <c r="O33" i="1"/>
  <c r="N33" i="1"/>
  <c r="M33" i="1"/>
  <c r="L33" i="1"/>
  <c r="K33" i="1"/>
  <c r="I33" i="1"/>
  <c r="G33" i="1"/>
  <c r="C33" i="1"/>
  <c r="AR32" i="1"/>
  <c r="AQ32" i="1"/>
  <c r="AP32" i="1"/>
  <c r="AO32" i="1"/>
  <c r="AL32" i="1"/>
  <c r="AK32" i="1"/>
  <c r="AJ32" i="1"/>
  <c r="AI32" i="1"/>
  <c r="AH32" i="1"/>
  <c r="AG32" i="1"/>
  <c r="AF32" i="1"/>
  <c r="AE32" i="1"/>
  <c r="AD32" i="1"/>
  <c r="AC32" i="1"/>
  <c r="AB32" i="1"/>
  <c r="Y32" i="1"/>
  <c r="X32" i="1"/>
  <c r="W32" i="1"/>
  <c r="V32" i="1"/>
  <c r="U32" i="1"/>
  <c r="T32" i="1"/>
  <c r="S32" i="1"/>
  <c r="R32" i="1"/>
  <c r="P32" i="1"/>
  <c r="O32" i="1"/>
  <c r="N32" i="1"/>
  <c r="M32" i="1"/>
  <c r="L32" i="1"/>
  <c r="K32" i="1"/>
  <c r="A32" i="1"/>
  <c r="AO31" i="1"/>
  <c r="AL31" i="1"/>
  <c r="AK31" i="1"/>
  <c r="AJ31" i="1"/>
  <c r="AI31" i="1"/>
  <c r="AH31" i="1"/>
  <c r="AG31" i="1"/>
  <c r="AF31" i="1"/>
  <c r="AE31" i="1"/>
  <c r="AD31" i="1"/>
  <c r="AC31" i="1"/>
  <c r="I31" i="1"/>
  <c r="G31" i="1"/>
  <c r="F31" i="1"/>
  <c r="D31" i="1"/>
  <c r="C31" i="1"/>
  <c r="AO30" i="1"/>
  <c r="AL30" i="1"/>
  <c r="AK30" i="1"/>
  <c r="AJ30" i="1"/>
  <c r="AI30" i="1"/>
  <c r="AH30" i="1"/>
  <c r="AG30" i="1"/>
  <c r="AF30" i="1"/>
  <c r="AE30" i="1"/>
  <c r="AD30" i="1"/>
  <c r="AC30" i="1"/>
  <c r="I30" i="1"/>
  <c r="G30" i="1"/>
  <c r="F30" i="1"/>
  <c r="D30" i="1"/>
  <c r="C30" i="1"/>
  <c r="AO29" i="1"/>
  <c r="AL29" i="1"/>
  <c r="AK29" i="1"/>
  <c r="AJ29" i="1"/>
  <c r="AI29" i="1"/>
  <c r="AH29" i="1"/>
  <c r="AG29" i="1"/>
  <c r="AF29" i="1"/>
  <c r="AE29" i="1"/>
  <c r="AD29" i="1"/>
  <c r="AC29" i="1"/>
  <c r="AB29" i="1"/>
  <c r="Y29" i="1"/>
  <c r="P29" i="1"/>
  <c r="A29" i="1"/>
  <c r="AO28" i="1"/>
  <c r="AL28" i="1"/>
  <c r="AK28" i="1"/>
  <c r="AJ28" i="1"/>
  <c r="AI28" i="1"/>
  <c r="AH28" i="1"/>
  <c r="AG28" i="1"/>
  <c r="AF28" i="1"/>
  <c r="AE28" i="1"/>
  <c r="AD28" i="1"/>
  <c r="AC28" i="1"/>
  <c r="I28" i="1"/>
  <c r="G28" i="1"/>
  <c r="D28" i="1"/>
  <c r="C28" i="1"/>
  <c r="AO27" i="1"/>
  <c r="AL27" i="1"/>
  <c r="AK27" i="1"/>
  <c r="AJ27" i="1"/>
  <c r="AI27" i="1"/>
  <c r="AH27" i="1"/>
  <c r="AG27" i="1"/>
  <c r="AF27" i="1"/>
  <c r="AE27" i="1"/>
  <c r="AD27" i="1"/>
  <c r="AC27" i="1"/>
  <c r="I27" i="1"/>
  <c r="G27" i="1"/>
  <c r="D27" i="1"/>
  <c r="C27" i="1"/>
  <c r="AO26" i="1"/>
  <c r="AL26" i="1"/>
  <c r="AK26" i="1"/>
  <c r="AJ26" i="1"/>
  <c r="AI26" i="1"/>
  <c r="AH26" i="1"/>
  <c r="AG26" i="1"/>
  <c r="AF26" i="1"/>
  <c r="AE26" i="1"/>
  <c r="AD26" i="1"/>
  <c r="AC26" i="1"/>
  <c r="AB26" i="1"/>
  <c r="Y26" i="1"/>
  <c r="P26" i="1"/>
  <c r="G26" i="1"/>
  <c r="A26" i="1"/>
  <c r="AO25" i="1"/>
  <c r="AL25" i="1"/>
  <c r="AK25" i="1"/>
  <c r="AJ25" i="1"/>
  <c r="AI25" i="1"/>
  <c r="AH25" i="1"/>
  <c r="AG25" i="1"/>
  <c r="AF25" i="1"/>
  <c r="AE25" i="1"/>
  <c r="AD25" i="1"/>
  <c r="AC25" i="1"/>
  <c r="I25" i="1"/>
  <c r="G25" i="1"/>
  <c r="D25" i="1"/>
  <c r="C25" i="1"/>
  <c r="AR24" i="1"/>
  <c r="AQ24" i="1"/>
  <c r="AP24" i="1"/>
  <c r="AO24" i="1"/>
  <c r="AL24" i="1"/>
  <c r="AK24" i="1"/>
  <c r="AJ24" i="1"/>
  <c r="AI24" i="1"/>
  <c r="AH24" i="1"/>
  <c r="AG24" i="1"/>
  <c r="AF24" i="1"/>
  <c r="AE24" i="1"/>
  <c r="AD24" i="1"/>
  <c r="AC24" i="1"/>
  <c r="X24" i="1"/>
  <c r="V24" i="1"/>
  <c r="U24" i="1"/>
  <c r="T24" i="1"/>
  <c r="S24" i="1"/>
  <c r="R24" i="1"/>
  <c r="O24" i="1"/>
  <c r="N24" i="1"/>
  <c r="M24" i="1"/>
  <c r="L24" i="1"/>
  <c r="K24" i="1"/>
  <c r="I24" i="1"/>
  <c r="G24" i="1"/>
  <c r="D24" i="1"/>
  <c r="C24" i="1"/>
  <c r="AR23" i="1"/>
  <c r="AQ23" i="1"/>
  <c r="AP23" i="1"/>
  <c r="AO23" i="1"/>
  <c r="AL23" i="1"/>
  <c r="AK23" i="1"/>
  <c r="AJ23" i="1"/>
  <c r="AI23" i="1"/>
  <c r="AH23" i="1"/>
  <c r="AG23" i="1"/>
  <c r="AF23" i="1"/>
  <c r="AE23" i="1"/>
  <c r="AD23" i="1"/>
  <c r="AC23" i="1"/>
  <c r="AB23" i="1"/>
  <c r="X23" i="1"/>
  <c r="W23" i="1"/>
  <c r="V23" i="1"/>
  <c r="U23" i="1"/>
  <c r="T23" i="1"/>
  <c r="S23" i="1"/>
  <c r="R23" i="1"/>
  <c r="P23" i="1"/>
  <c r="O23" i="1"/>
  <c r="N23" i="1"/>
  <c r="M23" i="1"/>
  <c r="L23" i="1"/>
  <c r="K23" i="1"/>
  <c r="A23" i="1"/>
  <c r="AO22" i="1"/>
  <c r="AL22" i="1"/>
  <c r="AK22" i="1"/>
  <c r="AJ22" i="1"/>
  <c r="AI22" i="1"/>
  <c r="AH22" i="1"/>
  <c r="AG22" i="1"/>
  <c r="AF22" i="1"/>
  <c r="AE22" i="1"/>
  <c r="AD22" i="1"/>
  <c r="AC22" i="1"/>
  <c r="I22" i="1"/>
  <c r="G22" i="1"/>
  <c r="D22" i="1"/>
  <c r="C22" i="1"/>
  <c r="AR21" i="1"/>
  <c r="AQ21" i="1"/>
  <c r="AP21" i="1"/>
  <c r="AO21" i="1"/>
  <c r="AL21" i="1"/>
  <c r="AK21" i="1"/>
  <c r="AJ21" i="1"/>
  <c r="AI21" i="1"/>
  <c r="AH21" i="1"/>
  <c r="AG21" i="1"/>
  <c r="AF21" i="1"/>
  <c r="AE21" i="1"/>
  <c r="AD21" i="1"/>
  <c r="AC21" i="1"/>
  <c r="X21" i="1"/>
  <c r="V21" i="1"/>
  <c r="U21" i="1"/>
  <c r="T21" i="1"/>
  <c r="S21" i="1"/>
  <c r="R21" i="1"/>
  <c r="O21" i="1"/>
  <c r="N21" i="1"/>
  <c r="M21" i="1"/>
  <c r="L21" i="1"/>
  <c r="K21" i="1"/>
  <c r="I21" i="1"/>
  <c r="G21" i="1"/>
  <c r="D21" i="1"/>
  <c r="C21" i="1"/>
  <c r="AR20" i="1"/>
  <c r="AQ20" i="1"/>
  <c r="AP20" i="1"/>
  <c r="AO20" i="1"/>
  <c r="AL20" i="1"/>
  <c r="AK20" i="1"/>
  <c r="AJ20" i="1"/>
  <c r="AI20" i="1"/>
  <c r="AH20" i="1"/>
  <c r="AG20" i="1"/>
  <c r="AF20" i="1"/>
  <c r="AE20" i="1"/>
  <c r="AD20" i="1"/>
  <c r="AC20" i="1"/>
  <c r="AB20" i="1"/>
  <c r="X20" i="1"/>
  <c r="W20" i="1"/>
  <c r="V20" i="1"/>
  <c r="U20" i="1"/>
  <c r="T20" i="1"/>
  <c r="S20" i="1"/>
  <c r="R20" i="1"/>
  <c r="P20" i="1"/>
  <c r="O20" i="1"/>
  <c r="N20" i="1"/>
  <c r="M20" i="1"/>
  <c r="L20" i="1"/>
  <c r="K20" i="1"/>
  <c r="A20" i="1"/>
  <c r="AO19" i="1"/>
  <c r="AL19" i="1"/>
  <c r="AK19" i="1"/>
  <c r="AJ19" i="1"/>
  <c r="AI19" i="1"/>
  <c r="AH19" i="1"/>
  <c r="AG19" i="1"/>
  <c r="AF19" i="1"/>
  <c r="AE19" i="1"/>
  <c r="AD19" i="1"/>
  <c r="AC19" i="1"/>
  <c r="I19" i="1"/>
  <c r="D19" i="1"/>
  <c r="C19" i="1"/>
  <c r="AR18" i="1"/>
  <c r="AQ18" i="1"/>
  <c r="AP18" i="1"/>
  <c r="AO18" i="1"/>
  <c r="AL18" i="1"/>
  <c r="AK18" i="1"/>
  <c r="AJ18" i="1"/>
  <c r="AI18" i="1"/>
  <c r="AH18" i="1"/>
  <c r="AG18" i="1"/>
  <c r="AF18" i="1"/>
  <c r="AE18" i="1"/>
  <c r="AD18" i="1"/>
  <c r="AC18" i="1"/>
  <c r="X18" i="1"/>
  <c r="V18" i="1"/>
  <c r="U18" i="1"/>
  <c r="T18" i="1"/>
  <c r="S18" i="1"/>
  <c r="R18" i="1"/>
  <c r="O18" i="1"/>
  <c r="N18" i="1"/>
  <c r="M18" i="1"/>
  <c r="L18" i="1"/>
  <c r="K18" i="1"/>
  <c r="I18" i="1"/>
  <c r="D18" i="1"/>
  <c r="C18" i="1"/>
  <c r="AW17" i="1" a="1"/>
  <c r="AR17" i="1"/>
  <c r="AQ17" i="1"/>
  <c r="AP17" i="1"/>
  <c r="AO17" i="1"/>
  <c r="AL17" i="1"/>
  <c r="AK17" i="1"/>
  <c r="AJ17" i="1"/>
  <c r="AI17" i="1"/>
  <c r="AH17" i="1"/>
  <c r="AG17" i="1"/>
  <c r="AF17" i="1"/>
  <c r="AE17" i="1"/>
  <c r="AD17" i="1"/>
  <c r="AC17" i="1"/>
  <c r="AB17" i="1"/>
  <c r="X17" i="1"/>
  <c r="W17" i="1"/>
  <c r="V17" i="1"/>
  <c r="U17" i="1"/>
  <c r="T17" i="1"/>
  <c r="S17" i="1"/>
  <c r="R17" i="1"/>
  <c r="P17" i="1"/>
  <c r="O17" i="1"/>
  <c r="N17" i="1"/>
  <c r="M17" i="1"/>
  <c r="L17" i="1"/>
  <c r="K17" i="1"/>
  <c r="G17" i="1"/>
  <c r="AM16" i="1"/>
  <c r="W15" i="1"/>
  <c r="W14" i="1"/>
  <c r="W13" i="1"/>
  <c r="W12" i="1"/>
  <c r="AK318" i="3"/>
  <c r="S315" i="3"/>
  <c r="T315" i="3" s="1"/>
  <c r="R315" i="3"/>
  <c r="G315" i="3"/>
  <c r="AO314" i="3"/>
  <c r="AN314" i="3"/>
  <c r="AN313" i="3" s="1"/>
  <c r="AL314" i="3"/>
  <c r="V314" i="3"/>
  <c r="X314" i="3" s="1"/>
  <c r="G314" i="3"/>
  <c r="AL313" i="3"/>
  <c r="AM313" i="3" s="1"/>
  <c r="G312" i="3"/>
  <c r="AO311" i="3"/>
  <c r="AL311" i="3"/>
  <c r="V311" i="3"/>
  <c r="X311" i="3" s="1"/>
  <c r="G311" i="3"/>
  <c r="AN310" i="3"/>
  <c r="AL310" i="3"/>
  <c r="AM310" i="3" s="1"/>
  <c r="AR310" i="3" s="1"/>
  <c r="AS309" i="3"/>
  <c r="R309" i="3"/>
  <c r="S309" i="3" s="1"/>
  <c r="T309" i="3" s="1"/>
  <c r="AS308" i="3"/>
  <c r="AO308" i="3"/>
  <c r="AL308" i="3"/>
  <c r="AM308" i="3" s="1"/>
  <c r="AB308" i="3"/>
  <c r="AN307" i="3"/>
  <c r="AL307" i="3"/>
  <c r="AM307" i="3" s="1"/>
  <c r="AR307" i="3" s="1"/>
  <c r="AO305" i="3"/>
  <c r="AN305" i="3"/>
  <c r="AL305" i="3"/>
  <c r="P305" i="3"/>
  <c r="Q305" i="3" s="1"/>
  <c r="R305" i="3" s="1"/>
  <c r="S305" i="3" s="1"/>
  <c r="T305" i="3" s="1"/>
  <c r="U305" i="3" s="1"/>
  <c r="V305" i="3" s="1"/>
  <c r="X305" i="3" s="1"/>
  <c r="AN304" i="3"/>
  <c r="AL304" i="3"/>
  <c r="AM304" i="3" s="1"/>
  <c r="AR304" i="3" s="1"/>
  <c r="AO302" i="3"/>
  <c r="AN302" i="3"/>
  <c r="AN301" i="3" s="1"/>
  <c r="AL302" i="3"/>
  <c r="AL301" i="3"/>
  <c r="AM301" i="3" s="1"/>
  <c r="AR301" i="3" s="1"/>
  <c r="AO299" i="3"/>
  <c r="AN299" i="3"/>
  <c r="AL299" i="3"/>
  <c r="V299" i="3"/>
  <c r="X299" i="3" s="1"/>
  <c r="AN298" i="3"/>
  <c r="AL298" i="3"/>
  <c r="AM298" i="3" s="1"/>
  <c r="AR298" i="3" s="1"/>
  <c r="AO296" i="3"/>
  <c r="AN296" i="3"/>
  <c r="AN295" i="3" s="1"/>
  <c r="AL296" i="3"/>
  <c r="V296" i="3"/>
  <c r="X296" i="3" s="1"/>
  <c r="AL295" i="3"/>
  <c r="AM295" i="3" s="1"/>
  <c r="AO293" i="3"/>
  <c r="AN293" i="3"/>
  <c r="AL293" i="3"/>
  <c r="V293" i="3"/>
  <c r="X293" i="3" s="1"/>
  <c r="AN292" i="3"/>
  <c r="AL292" i="3"/>
  <c r="AM292" i="3" s="1"/>
  <c r="AR292" i="3" s="1"/>
  <c r="AO290" i="3"/>
  <c r="AN290" i="3"/>
  <c r="AN289" i="3" s="1"/>
  <c r="AL290" i="3"/>
  <c r="V290" i="3"/>
  <c r="X290" i="3" s="1"/>
  <c r="AL289" i="3"/>
  <c r="AM289" i="3" s="1"/>
  <c r="AO287" i="3"/>
  <c r="AN287" i="3"/>
  <c r="AN286" i="3" s="1"/>
  <c r="AL287" i="3"/>
  <c r="V287" i="3"/>
  <c r="X287" i="3" s="1"/>
  <c r="AL286" i="3"/>
  <c r="AM286" i="3" s="1"/>
  <c r="AO284" i="3"/>
  <c r="AN284" i="3"/>
  <c r="AN283" i="3" s="1"/>
  <c r="AL284" i="3"/>
  <c r="V284" i="3"/>
  <c r="X284" i="3" s="1"/>
  <c r="AL283" i="3"/>
  <c r="AM283" i="3" s="1"/>
  <c r="AR283" i="3" s="1"/>
  <c r="AO281" i="3"/>
  <c r="AN281" i="3"/>
  <c r="AN280" i="3" s="1"/>
  <c r="AL281" i="3"/>
  <c r="V281" i="3"/>
  <c r="X281" i="3" s="1"/>
  <c r="AL280" i="3"/>
  <c r="AM280" i="3" s="1"/>
  <c r="AR280" i="3" s="1"/>
  <c r="AO278" i="3"/>
  <c r="AN278" i="3"/>
  <c r="AN277" i="3" s="1"/>
  <c r="AL278" i="3"/>
  <c r="P278" i="3"/>
  <c r="Q278" i="3" s="1"/>
  <c r="R278" i="3" s="1"/>
  <c r="S278" i="3" s="1"/>
  <c r="T278" i="3" s="1"/>
  <c r="U278" i="3" s="1"/>
  <c r="V278" i="3" s="1"/>
  <c r="X278" i="3" s="1"/>
  <c r="AM278" i="3" s="1"/>
  <c r="AL277" i="3"/>
  <c r="AM277" i="3" s="1"/>
  <c r="AR277" i="3" s="1"/>
  <c r="R276" i="3"/>
  <c r="AO275" i="3"/>
  <c r="AN275" i="3"/>
  <c r="AL275" i="3"/>
  <c r="AN274" i="3"/>
  <c r="AL274" i="3"/>
  <c r="AM274" i="3" s="1"/>
  <c r="AR274" i="3" s="1"/>
  <c r="AO272" i="3"/>
  <c r="AN272" i="3"/>
  <c r="AL272" i="3"/>
  <c r="AN271" i="3"/>
  <c r="AL271" i="3"/>
  <c r="AM271" i="3" s="1"/>
  <c r="AR271" i="3" s="1"/>
  <c r="R270" i="3"/>
  <c r="AO269" i="3"/>
  <c r="AN269" i="3"/>
  <c r="AN268" i="3" s="1"/>
  <c r="AL269" i="3"/>
  <c r="AL268" i="3"/>
  <c r="AM268" i="3" s="1"/>
  <c r="R267" i="3"/>
  <c r="AO266" i="3"/>
  <c r="AN266" i="3"/>
  <c r="AL266" i="3"/>
  <c r="AN265" i="3"/>
  <c r="AL265" i="3"/>
  <c r="AM265" i="3" s="1"/>
  <c r="AR265" i="3" s="1"/>
  <c r="R264" i="3"/>
  <c r="AO263" i="3"/>
  <c r="AN263" i="3"/>
  <c r="AN262" i="3" s="1"/>
  <c r="AL263" i="3"/>
  <c r="AL262" i="3"/>
  <c r="AM262" i="3" s="1"/>
  <c r="R261" i="3"/>
  <c r="AO260" i="3"/>
  <c r="AN260" i="3"/>
  <c r="AL260" i="3"/>
  <c r="AN259" i="3"/>
  <c r="AL259" i="3"/>
  <c r="AM259" i="3" s="1"/>
  <c r="AR259" i="3" s="1"/>
  <c r="AO257" i="3"/>
  <c r="AN257" i="3"/>
  <c r="AL257" i="3"/>
  <c r="Q257" i="3"/>
  <c r="R257" i="3" s="1"/>
  <c r="S257" i="3" s="1"/>
  <c r="T257" i="3" s="1"/>
  <c r="U257" i="3" s="1"/>
  <c r="V257" i="3" s="1"/>
  <c r="X257" i="3" s="1"/>
  <c r="AN256" i="3"/>
  <c r="AL256" i="3"/>
  <c r="AM256" i="3" s="1"/>
  <c r="AR256" i="3" s="1"/>
  <c r="AO254" i="3"/>
  <c r="AN254" i="3"/>
  <c r="AL254" i="3"/>
  <c r="Q254" i="3"/>
  <c r="R254" i="3" s="1"/>
  <c r="S254" i="3" s="1"/>
  <c r="T254" i="3" s="1"/>
  <c r="U254" i="3" s="1"/>
  <c r="V254" i="3" s="1"/>
  <c r="X254" i="3" s="1"/>
  <c r="AN253" i="3"/>
  <c r="AL253" i="3"/>
  <c r="AM253" i="3" s="1"/>
  <c r="AR253" i="3" s="1"/>
  <c r="AO251" i="3"/>
  <c r="AN251" i="3"/>
  <c r="AN250" i="3" s="1"/>
  <c r="AL251" i="3"/>
  <c r="Q251" i="3"/>
  <c r="R251" i="3" s="1"/>
  <c r="S251" i="3" s="1"/>
  <c r="T251" i="3" s="1"/>
  <c r="U251" i="3" s="1"/>
  <c r="V251" i="3" s="1"/>
  <c r="X251" i="3" s="1"/>
  <c r="AL250" i="3"/>
  <c r="AM250" i="3" s="1"/>
  <c r="AR250" i="3" s="1"/>
  <c r="AO248" i="3"/>
  <c r="AN248" i="3"/>
  <c r="AL248" i="3"/>
  <c r="P248" i="3"/>
  <c r="Q248" i="3" s="1"/>
  <c r="R248" i="3" s="1"/>
  <c r="S248" i="3" s="1"/>
  <c r="T248" i="3" s="1"/>
  <c r="U248" i="3" s="1"/>
  <c r="V248" i="3" s="1"/>
  <c r="X248" i="3" s="1"/>
  <c r="AN247" i="3"/>
  <c r="AL247" i="3"/>
  <c r="AM247" i="3" s="1"/>
  <c r="AR247" i="3" s="1"/>
  <c r="AO245" i="3"/>
  <c r="AN245" i="3"/>
  <c r="AL245" i="3"/>
  <c r="P245" i="3"/>
  <c r="Q245" i="3" s="1"/>
  <c r="R245" i="3" s="1"/>
  <c r="S245" i="3" s="1"/>
  <c r="T245" i="3" s="1"/>
  <c r="U245" i="3" s="1"/>
  <c r="V245" i="3" s="1"/>
  <c r="X245" i="3" s="1"/>
  <c r="AN244" i="3"/>
  <c r="AL244" i="3"/>
  <c r="AM244" i="3" s="1"/>
  <c r="AR244" i="3" s="1"/>
  <c r="AO242" i="3"/>
  <c r="AN242" i="3"/>
  <c r="AL242" i="3"/>
  <c r="Q242" i="3"/>
  <c r="R242" i="3" s="1"/>
  <c r="S242" i="3" s="1"/>
  <c r="T242" i="3" s="1"/>
  <c r="U242" i="3" s="1"/>
  <c r="V242" i="3" s="1"/>
  <c r="X242" i="3" s="1"/>
  <c r="AN241" i="3"/>
  <c r="AL241" i="3"/>
  <c r="AM241" i="3" s="1"/>
  <c r="AR241" i="3" s="1"/>
  <c r="AO239" i="3"/>
  <c r="AN239" i="3"/>
  <c r="AL239" i="3"/>
  <c r="P239" i="3"/>
  <c r="Q239" i="3" s="1"/>
  <c r="R239" i="3" s="1"/>
  <c r="S239" i="3" s="1"/>
  <c r="T239" i="3" s="1"/>
  <c r="U239" i="3" s="1"/>
  <c r="V239" i="3" s="1"/>
  <c r="X239" i="3" s="1"/>
  <c r="AN238" i="3"/>
  <c r="AL238" i="3"/>
  <c r="AM238" i="3" s="1"/>
  <c r="AR238" i="3" s="1"/>
  <c r="AO236" i="3"/>
  <c r="AN236" i="3"/>
  <c r="AL236" i="3"/>
  <c r="Q236" i="3"/>
  <c r="R236" i="3" s="1"/>
  <c r="S236" i="3" s="1"/>
  <c r="T236" i="3" s="1"/>
  <c r="U236" i="3" s="1"/>
  <c r="V236" i="3" s="1"/>
  <c r="X236" i="3" s="1"/>
  <c r="AN235" i="3"/>
  <c r="AL235" i="3"/>
  <c r="AM235" i="3" s="1"/>
  <c r="AR235" i="3" s="1"/>
  <c r="AO233" i="3"/>
  <c r="AN233" i="3"/>
  <c r="AL233" i="3"/>
  <c r="AM233" i="3" s="1"/>
  <c r="AR233" i="3" s="1"/>
  <c r="AN232" i="3"/>
  <c r="AL232" i="3"/>
  <c r="AM232" i="3" s="1"/>
  <c r="AR232" i="3" s="1"/>
  <c r="AO230" i="3"/>
  <c r="AN230" i="3"/>
  <c r="AL230" i="3"/>
  <c r="AM230" i="3" s="1"/>
  <c r="AN229" i="3"/>
  <c r="AL229" i="3"/>
  <c r="AM229" i="3" s="1"/>
  <c r="V228" i="3"/>
  <c r="R228" i="3"/>
  <c r="AO227" i="3"/>
  <c r="AN227" i="3" s="1"/>
  <c r="AL227" i="3"/>
  <c r="V227" i="3"/>
  <c r="X227" i="3" s="1"/>
  <c r="AL226" i="3"/>
  <c r="AM226" i="3" s="1"/>
  <c r="S225" i="3"/>
  <c r="AO224" i="3"/>
  <c r="AN224" i="3"/>
  <c r="AL224" i="3"/>
  <c r="AN223" i="3"/>
  <c r="AL223" i="3"/>
  <c r="AM223" i="3" s="1"/>
  <c r="AR223" i="3" s="1"/>
  <c r="V222" i="3"/>
  <c r="R222" i="3"/>
  <c r="AO221" i="3"/>
  <c r="AN221" i="3"/>
  <c r="AN220" i="3" s="1"/>
  <c r="AL221" i="3"/>
  <c r="V221" i="3"/>
  <c r="X221" i="3" s="1"/>
  <c r="AL220" i="3"/>
  <c r="AM220" i="3" s="1"/>
  <c r="AR220" i="3" s="1"/>
  <c r="V219" i="3"/>
  <c r="R219" i="3"/>
  <c r="AO218" i="3"/>
  <c r="AN218" i="3"/>
  <c r="AN217" i="3" s="1"/>
  <c r="AL218" i="3"/>
  <c r="AL217" i="3"/>
  <c r="AM217" i="3" s="1"/>
  <c r="AR217" i="3" s="1"/>
  <c r="V216" i="3"/>
  <c r="R216" i="3"/>
  <c r="S216" i="3" s="1"/>
  <c r="Q216" i="3"/>
  <c r="P216" i="3"/>
  <c r="AO215" i="3"/>
  <c r="AN215" i="3"/>
  <c r="AL215" i="3"/>
  <c r="AN214" i="3"/>
  <c r="AL214" i="3"/>
  <c r="AM214" i="3" s="1"/>
  <c r="AR214" i="3" s="1"/>
  <c r="V213" i="3"/>
  <c r="R213" i="3"/>
  <c r="AO212" i="3"/>
  <c r="AN212" i="3"/>
  <c r="AL212" i="3"/>
  <c r="AN211" i="3"/>
  <c r="AL211" i="3"/>
  <c r="AM211" i="3" s="1"/>
  <c r="AR211" i="3" s="1"/>
  <c r="S210" i="3"/>
  <c r="V209" i="3" s="1"/>
  <c r="X209" i="3" s="1"/>
  <c r="AO209" i="3"/>
  <c r="AN209" i="3"/>
  <c r="AL209" i="3"/>
  <c r="AN208" i="3"/>
  <c r="AL208" i="3"/>
  <c r="AM208" i="3" s="1"/>
  <c r="AR208" i="3" s="1"/>
  <c r="V207" i="3"/>
  <c r="R207" i="3"/>
  <c r="S207" i="3" s="1"/>
  <c r="Q207" i="3"/>
  <c r="P207" i="3"/>
  <c r="AO206" i="3"/>
  <c r="AN206" i="3"/>
  <c r="AN205" i="3" s="1"/>
  <c r="AL206" i="3"/>
  <c r="AL205" i="3"/>
  <c r="AM205" i="3" s="1"/>
  <c r="AR205" i="3" s="1"/>
  <c r="AS204" i="3"/>
  <c r="G204" i="3"/>
  <c r="AS203" i="3"/>
  <c r="AO203" i="3"/>
  <c r="AN203" i="3"/>
  <c r="AL203" i="3"/>
  <c r="AM203" i="3" s="1"/>
  <c r="AR203" i="3" s="1"/>
  <c r="AB203" i="3"/>
  <c r="G203" i="3"/>
  <c r="AN202" i="3"/>
  <c r="AL202" i="3"/>
  <c r="AM202" i="3" s="1"/>
  <c r="AR202" i="3" s="1"/>
  <c r="AS201" i="3"/>
  <c r="G201" i="3"/>
  <c r="AS200" i="3"/>
  <c r="AO200" i="3"/>
  <c r="AN200" i="3"/>
  <c r="AN199" i="3" s="1"/>
  <c r="AL200" i="3"/>
  <c r="AM200" i="3" s="1"/>
  <c r="Y200" i="3"/>
  <c r="Z200" i="3" s="1"/>
  <c r="AA200" i="3" s="1"/>
  <c r="AB200" i="3" s="1"/>
  <c r="G200" i="3"/>
  <c r="AL199" i="3"/>
  <c r="AM199" i="3" s="1"/>
  <c r="AS198" i="3"/>
  <c r="R198" i="3"/>
  <c r="G198" i="3"/>
  <c r="AS197" i="3"/>
  <c r="AL197" i="3"/>
  <c r="AM197" i="3" s="1"/>
  <c r="AB197" i="3"/>
  <c r="G197" i="3"/>
  <c r="AN196" i="3"/>
  <c r="AL196" i="3"/>
  <c r="AM196" i="3" s="1"/>
  <c r="AR196" i="3" s="1"/>
  <c r="G195" i="3"/>
  <c r="AN194" i="3"/>
  <c r="AN193" i="3" s="1"/>
  <c r="AL194" i="3"/>
  <c r="V194" i="3"/>
  <c r="X194" i="3" s="1"/>
  <c r="G194" i="3"/>
  <c r="AL193" i="3"/>
  <c r="AM193" i="3" s="1"/>
  <c r="AS192" i="3"/>
  <c r="G192" i="3"/>
  <c r="AS191" i="3"/>
  <c r="AL191" i="3"/>
  <c r="AM191" i="3" s="1"/>
  <c r="AD191" i="3"/>
  <c r="AE191" i="3" s="1"/>
  <c r="AC191" i="3"/>
  <c r="G191" i="3"/>
  <c r="AN190" i="3"/>
  <c r="AL190" i="3"/>
  <c r="AM190" i="3" s="1"/>
  <c r="AR190" i="3" s="1"/>
  <c r="AS189" i="3"/>
  <c r="G189" i="3"/>
  <c r="AS188" i="3"/>
  <c r="AO188" i="3"/>
  <c r="AN188" i="3"/>
  <c r="AL188" i="3"/>
  <c r="AM188" i="3" s="1"/>
  <c r="AB188" i="3"/>
  <c r="G188" i="3"/>
  <c r="AN187" i="3"/>
  <c r="AL187" i="3"/>
  <c r="AM187" i="3" s="1"/>
  <c r="AR187" i="3" s="1"/>
  <c r="G186" i="3"/>
  <c r="AO185" i="3"/>
  <c r="AN185" i="3"/>
  <c r="AN184" i="3" s="1"/>
  <c r="AL185" i="3"/>
  <c r="T185" i="3"/>
  <c r="U185" i="3" s="1"/>
  <c r="V185" i="3" s="1"/>
  <c r="X185" i="3" s="1"/>
  <c r="P185" i="3"/>
  <c r="Q185" i="3" s="1"/>
  <c r="R185" i="3" s="1"/>
  <c r="S185" i="3" s="1"/>
  <c r="N185" i="3"/>
  <c r="G185" i="3"/>
  <c r="AL184" i="3"/>
  <c r="AM184" i="3" s="1"/>
  <c r="G183" i="3"/>
  <c r="AO182" i="3"/>
  <c r="AN182" i="3"/>
  <c r="AL182" i="3"/>
  <c r="V182" i="3"/>
  <c r="X182" i="3" s="1"/>
  <c r="G182" i="3"/>
  <c r="AN181" i="3"/>
  <c r="AL181" i="3"/>
  <c r="AM181" i="3" s="1"/>
  <c r="AR181" i="3" s="1"/>
  <c r="R180" i="3"/>
  <c r="S180" i="3" s="1"/>
  <c r="T180" i="3" s="1"/>
  <c r="G180" i="3"/>
  <c r="AO179" i="3"/>
  <c r="AN179" i="3"/>
  <c r="AL179" i="3"/>
  <c r="V179" i="3"/>
  <c r="X179" i="3" s="1"/>
  <c r="G179" i="3"/>
  <c r="C179" i="3"/>
  <c r="C180" i="3" s="1"/>
  <c r="AN178" i="3"/>
  <c r="AL178" i="3"/>
  <c r="AM178" i="3" s="1"/>
  <c r="AR178" i="3" s="1"/>
  <c r="AS177" i="3"/>
  <c r="Y177" i="3"/>
  <c r="AU176" i="3"/>
  <c r="AN176" i="3" s="1"/>
  <c r="AS176" i="3"/>
  <c r="AO176" i="3"/>
  <c r="AL176" i="3"/>
  <c r="AM176" i="3" s="1"/>
  <c r="AB176" i="3"/>
  <c r="AL175" i="3"/>
  <c r="AM175" i="3" s="1"/>
  <c r="AS174" i="3"/>
  <c r="AS173" i="3"/>
  <c r="AO173" i="3"/>
  <c r="AN173" i="3"/>
  <c r="AL173" i="3"/>
  <c r="AM173" i="3" s="1"/>
  <c r="AD173" i="3"/>
  <c r="AE173" i="3" s="1"/>
  <c r="AC173" i="3"/>
  <c r="AN172" i="3"/>
  <c r="AL172" i="3"/>
  <c r="AM172" i="3" s="1"/>
  <c r="AR172" i="3" s="1"/>
  <c r="AO170" i="3"/>
  <c r="AN170" i="3"/>
  <c r="AN169" i="3" s="1"/>
  <c r="AL170" i="3"/>
  <c r="Y170" i="3"/>
  <c r="Z170" i="3" s="1"/>
  <c r="AA170" i="3" s="1"/>
  <c r="AB170" i="3" s="1"/>
  <c r="AC170" i="3" s="1"/>
  <c r="AD170" i="3" s="1"/>
  <c r="AE170" i="3" s="1"/>
  <c r="AL169" i="3"/>
  <c r="AM169" i="3" s="1"/>
  <c r="AR169" i="3" s="1"/>
  <c r="AO167" i="3"/>
  <c r="AN167" i="3"/>
  <c r="AN166" i="3" s="1"/>
  <c r="AL167" i="3"/>
  <c r="X167" i="3"/>
  <c r="AL166" i="3"/>
  <c r="AM166" i="3" s="1"/>
  <c r="AR166" i="3" s="1"/>
  <c r="AO164" i="3"/>
  <c r="AN164" i="3"/>
  <c r="AL164" i="3"/>
  <c r="X164" i="3"/>
  <c r="AN163" i="3"/>
  <c r="AL163" i="3"/>
  <c r="AM163" i="3" s="1"/>
  <c r="AR163" i="3" s="1"/>
  <c r="AO161" i="3"/>
  <c r="AN161" i="3"/>
  <c r="AN160" i="3" s="1"/>
  <c r="AL161" i="3"/>
  <c r="V161" i="3"/>
  <c r="X161" i="3" s="1"/>
  <c r="AL160" i="3"/>
  <c r="AM160" i="3" s="1"/>
  <c r="AR160" i="3" s="1"/>
  <c r="AO158" i="3"/>
  <c r="AN158" i="3"/>
  <c r="AL158" i="3"/>
  <c r="V158" i="3"/>
  <c r="X158" i="3" s="1"/>
  <c r="AN157" i="3"/>
  <c r="AL157" i="3"/>
  <c r="AM157" i="3" s="1"/>
  <c r="AR157" i="3" s="1"/>
  <c r="AO155" i="3"/>
  <c r="AN155" i="3"/>
  <c r="AL155" i="3"/>
  <c r="X155" i="3"/>
  <c r="AN154" i="3"/>
  <c r="AL154" i="3"/>
  <c r="AM154" i="3" s="1"/>
  <c r="AR154" i="3" s="1"/>
  <c r="AO152" i="3"/>
  <c r="AN152" i="3"/>
  <c r="AL152" i="3"/>
  <c r="X152" i="3"/>
  <c r="AN151" i="3"/>
  <c r="AL151" i="3"/>
  <c r="AM151" i="3" s="1"/>
  <c r="AR151" i="3" s="1"/>
  <c r="AO149" i="3"/>
  <c r="AN149" i="3"/>
  <c r="AL149" i="3"/>
  <c r="V149" i="3"/>
  <c r="X149" i="3" s="1"/>
  <c r="AN148" i="3"/>
  <c r="AL148" i="3"/>
  <c r="AM148" i="3" s="1"/>
  <c r="AR148" i="3" s="1"/>
  <c r="AO146" i="3"/>
  <c r="AN146" i="3"/>
  <c r="AL146" i="3"/>
  <c r="V146" i="3"/>
  <c r="X146" i="3" s="1"/>
  <c r="AN145" i="3"/>
  <c r="AL145" i="3"/>
  <c r="AM145" i="3" s="1"/>
  <c r="AR145" i="3" s="1"/>
  <c r="AO143" i="3"/>
  <c r="AN143" i="3"/>
  <c r="AL143" i="3"/>
  <c r="AM143" i="3" s="1"/>
  <c r="Y143" i="3"/>
  <c r="Z143" i="3" s="1"/>
  <c r="AA143" i="3" s="1"/>
  <c r="AB143" i="3" s="1"/>
  <c r="AC143" i="3" s="1"/>
  <c r="AD143" i="3" s="1"/>
  <c r="AE143" i="3" s="1"/>
  <c r="AN142" i="3"/>
  <c r="AL142" i="3"/>
  <c r="AM142" i="3" s="1"/>
  <c r="AR142" i="3" s="1"/>
  <c r="AO140" i="3"/>
  <c r="AN140" i="3"/>
  <c r="AL140" i="3"/>
  <c r="P140" i="3"/>
  <c r="Q140" i="3" s="1"/>
  <c r="R140" i="3" s="1"/>
  <c r="S140" i="3" s="1"/>
  <c r="T140" i="3" s="1"/>
  <c r="U140" i="3" s="1"/>
  <c r="V140" i="3" s="1"/>
  <c r="X140" i="3" s="1"/>
  <c r="AN139" i="3"/>
  <c r="AL139" i="3"/>
  <c r="AM139" i="3" s="1"/>
  <c r="AR139" i="3" s="1"/>
  <c r="AO137" i="3"/>
  <c r="AN137" i="3"/>
  <c r="AL137" i="3"/>
  <c r="P137" i="3"/>
  <c r="Q137" i="3" s="1"/>
  <c r="R137" i="3" s="1"/>
  <c r="S137" i="3" s="1"/>
  <c r="T137" i="3" s="1"/>
  <c r="U137" i="3" s="1"/>
  <c r="V137" i="3" s="1"/>
  <c r="X137" i="3" s="1"/>
  <c r="AN136" i="3"/>
  <c r="AL136" i="3"/>
  <c r="AM136" i="3" s="1"/>
  <c r="AR136" i="3" s="1"/>
  <c r="R135" i="3"/>
  <c r="AO134" i="3"/>
  <c r="AN134" i="3"/>
  <c r="AL134" i="3"/>
  <c r="T134" i="3"/>
  <c r="U134" i="3" s="1"/>
  <c r="V134" i="3" s="1"/>
  <c r="X134" i="3" s="1"/>
  <c r="AN133" i="3"/>
  <c r="AL133" i="3"/>
  <c r="AM133" i="3" s="1"/>
  <c r="AR133" i="3" s="1"/>
  <c r="R132" i="3"/>
  <c r="AO131" i="3"/>
  <c r="AN131" i="3"/>
  <c r="AL131" i="3"/>
  <c r="U131" i="3"/>
  <c r="V131" i="3" s="1"/>
  <c r="X131" i="3" s="1"/>
  <c r="AN130" i="3"/>
  <c r="AL130" i="3"/>
  <c r="AM130" i="3" s="1"/>
  <c r="AR130" i="3" s="1"/>
  <c r="AO128" i="3"/>
  <c r="AN128" i="3"/>
  <c r="AL128" i="3"/>
  <c r="P128" i="3"/>
  <c r="Q128" i="3" s="1"/>
  <c r="R128" i="3" s="1"/>
  <c r="S128" i="3" s="1"/>
  <c r="T128" i="3" s="1"/>
  <c r="U128" i="3" s="1"/>
  <c r="V128" i="3" s="1"/>
  <c r="X128" i="3" s="1"/>
  <c r="AN127" i="3"/>
  <c r="AL127" i="3"/>
  <c r="AM127" i="3" s="1"/>
  <c r="AR127" i="3" s="1"/>
  <c r="AO125" i="3"/>
  <c r="AN125" i="3"/>
  <c r="AL125" i="3"/>
  <c r="Q125" i="3"/>
  <c r="R125" i="3" s="1"/>
  <c r="S125" i="3" s="1"/>
  <c r="T125" i="3" s="1"/>
  <c r="U125" i="3" s="1"/>
  <c r="V125" i="3" s="1"/>
  <c r="X125" i="3" s="1"/>
  <c r="AN124" i="3"/>
  <c r="AL124" i="3"/>
  <c r="AM124" i="3" s="1"/>
  <c r="AR124" i="3" s="1"/>
  <c r="AO122" i="3"/>
  <c r="AN122" i="3"/>
  <c r="AL122" i="3"/>
  <c r="AM122" i="3" s="1"/>
  <c r="Y122" i="3"/>
  <c r="Z122" i="3" s="1"/>
  <c r="AA122" i="3" s="1"/>
  <c r="AB122" i="3" s="1"/>
  <c r="AC122" i="3" s="1"/>
  <c r="AD122" i="3" s="1"/>
  <c r="AE122" i="3" s="1"/>
  <c r="AN121" i="3"/>
  <c r="AL121" i="3"/>
  <c r="AM121" i="3" s="1"/>
  <c r="AR121" i="3" s="1"/>
  <c r="R120" i="3"/>
  <c r="AO119" i="3"/>
  <c r="AN119" i="3"/>
  <c r="AL119" i="3"/>
  <c r="U119" i="3"/>
  <c r="V119" i="3" s="1"/>
  <c r="X119" i="3" s="1"/>
  <c r="AN118" i="3"/>
  <c r="AL118" i="3"/>
  <c r="AM118" i="3" s="1"/>
  <c r="AR118" i="3" s="1"/>
  <c r="AO116" i="3"/>
  <c r="AN116" i="3"/>
  <c r="AN115" i="3" s="1"/>
  <c r="AL116" i="3"/>
  <c r="Q116" i="3"/>
  <c r="R116" i="3" s="1"/>
  <c r="S116" i="3" s="1"/>
  <c r="T116" i="3" s="1"/>
  <c r="U116" i="3" s="1"/>
  <c r="V116" i="3" s="1"/>
  <c r="X116" i="3" s="1"/>
  <c r="AL115" i="3"/>
  <c r="AM115" i="3" s="1"/>
  <c r="AR115" i="3" s="1"/>
  <c r="R114" i="3"/>
  <c r="AO113" i="3"/>
  <c r="AN113" i="3"/>
  <c r="AN112" i="3" s="1"/>
  <c r="AL113" i="3"/>
  <c r="U113" i="3"/>
  <c r="V113" i="3" s="1"/>
  <c r="X113" i="3" s="1"/>
  <c r="AL112" i="3"/>
  <c r="AM112" i="3" s="1"/>
  <c r="AR112" i="3" s="1"/>
  <c r="AO110" i="3"/>
  <c r="AN110" i="3"/>
  <c r="AL110" i="3"/>
  <c r="U110" i="3"/>
  <c r="V110" i="3" s="1"/>
  <c r="X110" i="3" s="1"/>
  <c r="AN109" i="3"/>
  <c r="AL109" i="3"/>
  <c r="AM109" i="3" s="1"/>
  <c r="AR109" i="3" s="1"/>
  <c r="AO107" i="3"/>
  <c r="AN107" i="3"/>
  <c r="AL107" i="3"/>
  <c r="Q107" i="3"/>
  <c r="R107" i="3" s="1"/>
  <c r="S107" i="3" s="1"/>
  <c r="T107" i="3" s="1"/>
  <c r="U107" i="3" s="1"/>
  <c r="V107" i="3" s="1"/>
  <c r="X107" i="3" s="1"/>
  <c r="AN106" i="3"/>
  <c r="AL106" i="3"/>
  <c r="AM106" i="3" s="1"/>
  <c r="AR106" i="3" s="1"/>
  <c r="AO104" i="3"/>
  <c r="AN104" i="3"/>
  <c r="AL104" i="3"/>
  <c r="Q104" i="3"/>
  <c r="R104" i="3" s="1"/>
  <c r="S104" i="3" s="1"/>
  <c r="T104" i="3" s="1"/>
  <c r="U104" i="3" s="1"/>
  <c r="V104" i="3" s="1"/>
  <c r="X104" i="3" s="1"/>
  <c r="AN103" i="3"/>
  <c r="AL103" i="3"/>
  <c r="AM103" i="3" s="1"/>
  <c r="AR103" i="3" s="1"/>
  <c r="AO101" i="3"/>
  <c r="AN101" i="3"/>
  <c r="AN100" i="3" s="1"/>
  <c r="AL101" i="3"/>
  <c r="Q101" i="3"/>
  <c r="R101" i="3" s="1"/>
  <c r="S101" i="3" s="1"/>
  <c r="T101" i="3" s="1"/>
  <c r="U101" i="3" s="1"/>
  <c r="V101" i="3" s="1"/>
  <c r="X101" i="3" s="1"/>
  <c r="AL100" i="3"/>
  <c r="AM100" i="3" s="1"/>
  <c r="AR100" i="3" s="1"/>
  <c r="R99" i="3"/>
  <c r="AO98" i="3"/>
  <c r="AN98" i="3"/>
  <c r="AL98" i="3"/>
  <c r="S98" i="3"/>
  <c r="T98" i="3" s="1"/>
  <c r="U98" i="3" s="1"/>
  <c r="V98" i="3" s="1"/>
  <c r="X98" i="3" s="1"/>
  <c r="AN97" i="3"/>
  <c r="AL97" i="3"/>
  <c r="AM97" i="3" s="1"/>
  <c r="AR97" i="3" s="1"/>
  <c r="AS96" i="3"/>
  <c r="AS95" i="3"/>
  <c r="AO95" i="3"/>
  <c r="AN95" i="3"/>
  <c r="AL95" i="3"/>
  <c r="AM95" i="3" s="1"/>
  <c r="AB95" i="3"/>
  <c r="AC95" i="3" s="1"/>
  <c r="AD95" i="3" s="1"/>
  <c r="AE95" i="3" s="1"/>
  <c r="AN94" i="3"/>
  <c r="AL94" i="3"/>
  <c r="AM94" i="3" s="1"/>
  <c r="AR94" i="3" s="1"/>
  <c r="R93" i="3"/>
  <c r="AO92" i="3"/>
  <c r="AN92" i="3"/>
  <c r="AL92" i="3"/>
  <c r="U92" i="3"/>
  <c r="V92" i="3" s="1"/>
  <c r="X92" i="3" s="1"/>
  <c r="AN91" i="3"/>
  <c r="AL91" i="3"/>
  <c r="AM91" i="3" s="1"/>
  <c r="AR91" i="3" s="1"/>
  <c r="T90" i="3"/>
  <c r="AO89" i="3"/>
  <c r="AN89" i="3"/>
  <c r="AL89" i="3"/>
  <c r="V89" i="3"/>
  <c r="X89" i="3" s="1"/>
  <c r="AN88" i="3"/>
  <c r="AL88" i="3"/>
  <c r="AM88" i="3" s="1"/>
  <c r="AR88" i="3" s="1"/>
  <c r="AS87" i="3"/>
  <c r="AS86" i="3"/>
  <c r="AO86" i="3"/>
  <c r="AN86" i="3"/>
  <c r="AL86" i="3"/>
  <c r="V86" i="3"/>
  <c r="X86" i="3" s="1"/>
  <c r="AN85" i="3"/>
  <c r="AL85" i="3"/>
  <c r="AM85" i="3" s="1"/>
  <c r="AR85" i="3" s="1"/>
  <c r="AS84" i="3"/>
  <c r="AS83" i="3"/>
  <c r="AO83" i="3"/>
  <c r="AN83" i="3"/>
  <c r="AN82" i="3" s="1"/>
  <c r="AL83" i="3"/>
  <c r="V83" i="3"/>
  <c r="X83" i="3" s="1"/>
  <c r="AL82" i="3"/>
  <c r="AM82" i="3" s="1"/>
  <c r="AR82" i="3" s="1"/>
  <c r="AS81" i="3"/>
  <c r="AS80" i="3"/>
  <c r="AO80" i="3"/>
  <c r="AN80" i="3"/>
  <c r="AL80" i="3"/>
  <c r="AM80" i="3" s="1"/>
  <c r="Y80" i="3"/>
  <c r="Z80" i="3" s="1"/>
  <c r="AA80" i="3" s="1"/>
  <c r="AB80" i="3" s="1"/>
  <c r="AC80" i="3" s="1"/>
  <c r="AD80" i="3" s="1"/>
  <c r="AE80" i="3" s="1"/>
  <c r="AN79" i="3"/>
  <c r="AL79" i="3"/>
  <c r="AM79" i="3" s="1"/>
  <c r="AR79" i="3" s="1"/>
  <c r="AO77" i="3"/>
  <c r="AN77" i="3"/>
  <c r="AL77" i="3"/>
  <c r="AM77" i="3" s="1"/>
  <c r="Y77" i="3"/>
  <c r="Z77" i="3" s="1"/>
  <c r="AA77" i="3" s="1"/>
  <c r="AB77" i="3" s="1"/>
  <c r="AC77" i="3" s="1"/>
  <c r="AD77" i="3" s="1"/>
  <c r="AE77" i="3" s="1"/>
  <c r="AN76" i="3"/>
  <c r="AL76" i="3"/>
  <c r="AM76" i="3" s="1"/>
  <c r="AR76" i="3" s="1"/>
  <c r="AO74" i="3"/>
  <c r="AN74" i="3"/>
  <c r="AL74" i="3"/>
  <c r="V74" i="3"/>
  <c r="X74" i="3" s="1"/>
  <c r="AN73" i="3"/>
  <c r="AL73" i="3"/>
  <c r="AM73" i="3" s="1"/>
  <c r="AR73" i="3" s="1"/>
  <c r="AS72" i="3"/>
  <c r="AS71" i="3"/>
  <c r="AO71" i="3"/>
  <c r="AN71" i="3"/>
  <c r="AL71" i="3"/>
  <c r="AM71" i="3" s="1"/>
  <c r="AN70" i="3"/>
  <c r="AL70" i="3"/>
  <c r="AM70" i="3" s="1"/>
  <c r="AR70" i="3" s="1"/>
  <c r="AS69" i="3"/>
  <c r="AS68" i="3"/>
  <c r="AO68" i="3"/>
  <c r="AN68" i="3"/>
  <c r="AL68" i="3"/>
  <c r="AM68" i="3" s="1"/>
  <c r="AB68" i="3"/>
  <c r="AC68" i="3" s="1"/>
  <c r="AD68" i="3" s="1"/>
  <c r="AE68" i="3" s="1"/>
  <c r="AN67" i="3"/>
  <c r="AL67" i="3"/>
  <c r="AM67" i="3" s="1"/>
  <c r="AR67" i="3" s="1"/>
  <c r="AS66" i="3"/>
  <c r="AS65" i="3"/>
  <c r="AO65" i="3"/>
  <c r="AN65" i="3"/>
  <c r="AL65" i="3"/>
  <c r="AM65" i="3" s="1"/>
  <c r="AB65" i="3"/>
  <c r="AC65" i="3" s="1"/>
  <c r="AD65" i="3" s="1"/>
  <c r="AE65" i="3" s="1"/>
  <c r="AN64" i="3"/>
  <c r="AL64" i="3"/>
  <c r="AM64" i="3" s="1"/>
  <c r="AR64" i="3" s="1"/>
  <c r="AS63" i="3"/>
  <c r="AS62" i="3"/>
  <c r="AO62" i="3"/>
  <c r="AN62" i="3"/>
  <c r="AL62" i="3"/>
  <c r="AM62" i="3" s="1"/>
  <c r="AB62" i="3"/>
  <c r="AC62" i="3" s="1"/>
  <c r="AD62" i="3" s="1"/>
  <c r="AE62" i="3" s="1"/>
  <c r="AN61" i="3"/>
  <c r="AL61" i="3"/>
  <c r="AM61" i="3" s="1"/>
  <c r="AR61" i="3" s="1"/>
  <c r="AO59" i="3"/>
  <c r="AN59" i="3"/>
  <c r="AL59" i="3"/>
  <c r="AM59" i="3" s="1"/>
  <c r="AH59" i="3" s="1"/>
  <c r="AG59" i="3" s="1"/>
  <c r="AF59" i="3" s="1"/>
  <c r="AB59" i="3"/>
  <c r="AC59" i="3" s="1"/>
  <c r="AD59" i="3" s="1"/>
  <c r="AE59" i="3" s="1"/>
  <c r="AN58" i="3"/>
  <c r="AL58" i="3"/>
  <c r="AM58" i="3" s="1"/>
  <c r="AR58" i="3" s="1"/>
  <c r="AO56" i="3"/>
  <c r="AN56" i="3"/>
  <c r="AN55" i="3" s="1"/>
  <c r="AL56" i="3"/>
  <c r="AM56" i="3" s="1"/>
  <c r="AB56" i="3"/>
  <c r="AC56" i="3" s="1"/>
  <c r="AD56" i="3" s="1"/>
  <c r="AE56" i="3" s="1"/>
  <c r="AL55" i="3"/>
  <c r="AM55" i="3" s="1"/>
  <c r="AS54" i="3"/>
  <c r="AS53" i="3"/>
  <c r="AO53" i="3"/>
  <c r="AN53" i="3"/>
  <c r="AN52" i="3" s="1"/>
  <c r="AL53" i="3"/>
  <c r="AM53" i="3" s="1"/>
  <c r="AB53" i="3"/>
  <c r="AC53" i="3" s="1"/>
  <c r="AD53" i="3" s="1"/>
  <c r="AE53" i="3" s="1"/>
  <c r="AL52" i="3"/>
  <c r="AM52" i="3" s="1"/>
  <c r="AR52" i="3" s="1"/>
  <c r="AO50" i="3"/>
  <c r="AN50" i="3"/>
  <c r="AL50" i="3"/>
  <c r="AM50" i="3" s="1"/>
  <c r="AA50" i="3"/>
  <c r="AB50" i="3" s="1"/>
  <c r="AC50" i="3" s="1"/>
  <c r="AD50" i="3" s="1"/>
  <c r="AE50" i="3" s="1"/>
  <c r="AN49" i="3"/>
  <c r="AL49" i="3"/>
  <c r="AM49" i="3" s="1"/>
  <c r="AR49" i="3" s="1"/>
  <c r="AS48" i="3"/>
  <c r="AS47" i="3"/>
  <c r="AO47" i="3"/>
  <c r="AN47" i="3"/>
  <c r="AL47" i="3"/>
  <c r="AM47" i="3" s="1"/>
  <c r="AA47" i="3"/>
  <c r="AB47" i="3" s="1"/>
  <c r="AC47" i="3" s="1"/>
  <c r="AD47" i="3" s="1"/>
  <c r="AE47" i="3" s="1"/>
  <c r="AN46" i="3"/>
  <c r="AL46" i="3"/>
  <c r="AM46" i="3" s="1"/>
  <c r="AR46" i="3" s="1"/>
  <c r="AO44" i="3"/>
  <c r="AN44" i="3"/>
  <c r="AL44" i="3"/>
  <c r="AM44" i="3" s="1"/>
  <c r="AA44" i="3"/>
  <c r="AB44" i="3" s="1"/>
  <c r="AC44" i="3" s="1"/>
  <c r="AD44" i="3" s="1"/>
  <c r="AE44" i="3" s="1"/>
  <c r="AN43" i="3"/>
  <c r="AL43" i="3"/>
  <c r="AM43" i="3" s="1"/>
  <c r="AR43" i="3" s="1"/>
  <c r="S42" i="3"/>
  <c r="R42" i="3"/>
  <c r="AO41" i="3"/>
  <c r="AN41" i="3"/>
  <c r="AL41" i="3"/>
  <c r="AM41" i="3" s="1"/>
  <c r="AB41" i="3"/>
  <c r="AC41" i="3" s="1"/>
  <c r="AD41" i="3" s="1"/>
  <c r="AE41" i="3" s="1"/>
  <c r="AN40" i="3"/>
  <c r="AL40" i="3"/>
  <c r="AM40" i="3" s="1"/>
  <c r="AR40" i="3" s="1"/>
  <c r="S39" i="3"/>
  <c r="R39" i="3"/>
  <c r="AO38" i="3"/>
  <c r="AN38" i="3"/>
  <c r="AL38" i="3"/>
  <c r="AM38" i="3" s="1"/>
  <c r="AB38" i="3"/>
  <c r="AC38" i="3" s="1"/>
  <c r="AD38" i="3" s="1"/>
  <c r="AE38" i="3" s="1"/>
  <c r="AN37" i="3"/>
  <c r="AL37" i="3"/>
  <c r="AM37" i="3" s="1"/>
  <c r="AR37" i="3" s="1"/>
  <c r="AS36" i="3"/>
  <c r="AS35" i="3"/>
  <c r="AO35" i="3"/>
  <c r="AN35" i="3"/>
  <c r="AL35" i="3"/>
  <c r="AM35" i="3" s="1"/>
  <c r="AR35" i="3" s="1"/>
  <c r="AB35" i="3"/>
  <c r="AC35" i="3" s="1"/>
  <c r="AD35" i="3" s="1"/>
  <c r="AE35" i="3" s="1"/>
  <c r="AN34" i="3"/>
  <c r="AL34" i="3"/>
  <c r="AM34" i="3" s="1"/>
  <c r="AR34" i="3" s="1"/>
  <c r="AO32" i="3"/>
  <c r="AN32" i="3"/>
  <c r="AL32" i="3"/>
  <c r="AM32" i="3" s="1"/>
  <c r="AN31" i="3"/>
  <c r="AL31" i="3"/>
  <c r="AM31" i="3" s="1"/>
  <c r="AR31" i="3" s="1"/>
  <c r="AS30" i="3"/>
  <c r="AS29" i="3"/>
  <c r="AO29" i="3"/>
  <c r="AN29" i="3"/>
  <c r="AL29" i="3"/>
  <c r="AM29" i="3" s="1"/>
  <c r="AA29" i="3"/>
  <c r="AB29" i="3" s="1"/>
  <c r="AC29" i="3" s="1"/>
  <c r="AD29" i="3" s="1"/>
  <c r="AE29" i="3" s="1"/>
  <c r="AN28" i="3"/>
  <c r="AL28" i="3"/>
  <c r="AM28" i="3" s="1"/>
  <c r="AR28" i="3" s="1"/>
  <c r="AO26" i="3"/>
  <c r="AN26" i="3"/>
  <c r="AL26" i="3"/>
  <c r="AM26" i="3" s="1"/>
  <c r="AI26" i="3" s="1"/>
  <c r="AA26" i="3"/>
  <c r="AB26" i="3" s="1"/>
  <c r="AC26" i="3" s="1"/>
  <c r="AD26" i="3" s="1"/>
  <c r="AE26" i="3" s="1"/>
  <c r="AN25" i="3"/>
  <c r="AL25" i="3"/>
  <c r="AM25" i="3" s="1"/>
  <c r="AR25" i="3" s="1"/>
  <c r="AN23" i="3"/>
  <c r="AL23" i="3"/>
  <c r="V23" i="3"/>
  <c r="X23" i="3" s="1"/>
  <c r="AN22" i="3"/>
  <c r="AL22" i="3"/>
  <c r="AM22" i="3" s="1"/>
  <c r="AR22" i="3" s="1"/>
  <c r="AS21" i="3"/>
  <c r="Q21" i="3"/>
  <c r="R21" i="3" s="1"/>
  <c r="S21" i="3" s="1"/>
  <c r="AS20" i="3"/>
  <c r="AO20" i="3"/>
  <c r="AN20" i="3"/>
  <c r="AL20" i="3"/>
  <c r="AM20" i="3" s="1"/>
  <c r="AB20" i="3"/>
  <c r="AC20" i="3" s="1"/>
  <c r="AD20" i="3" s="1"/>
  <c r="AE20" i="3" s="1"/>
  <c r="AN19" i="3"/>
  <c r="AL19" i="3"/>
  <c r="AM19" i="3" s="1"/>
  <c r="AR19" i="3" s="1"/>
  <c r="AR289" i="3" l="1"/>
  <c r="AR193" i="3"/>
  <c r="AR95" i="3"/>
  <c r="AR286" i="3"/>
  <c r="AR262" i="3"/>
  <c r="AR184" i="3"/>
  <c r="AR55" i="3"/>
  <c r="AR295" i="3"/>
  <c r="AR268" i="3"/>
  <c r="AN175" i="3"/>
  <c r="AR175" i="3"/>
  <c r="AR313" i="3"/>
  <c r="AR199" i="3"/>
  <c r="AR176" i="3"/>
  <c r="AR59" i="3"/>
  <c r="AR53" i="3"/>
  <c r="AR29" i="3"/>
  <c r="AR26" i="3"/>
  <c r="AR68" i="3"/>
  <c r="AR173" i="3"/>
  <c r="AR143" i="3"/>
  <c r="AR41" i="3"/>
  <c r="AR122" i="3"/>
  <c r="AR47" i="3"/>
  <c r="AI191" i="3"/>
  <c r="AJ191" i="3"/>
  <c r="AH191" i="3"/>
  <c r="AG191" i="3" s="1"/>
  <c r="AF191" i="3" s="1"/>
  <c r="AR191" i="3"/>
  <c r="AR77" i="3"/>
  <c r="AH77" i="3"/>
  <c r="AG77" i="3" s="1"/>
  <c r="AF77" i="3" s="1"/>
  <c r="Y314" i="3"/>
  <c r="Z314" i="3" s="1"/>
  <c r="AA314" i="3" s="1"/>
  <c r="AB314" i="3" s="1"/>
  <c r="AM314" i="3"/>
  <c r="AM311" i="3"/>
  <c r="Y311" i="3"/>
  <c r="Z311" i="3" s="1"/>
  <c r="AA311" i="3" s="1"/>
  <c r="AB311" i="3" s="1"/>
  <c r="AJ308" i="3"/>
  <c r="AH308" i="3"/>
  <c r="AG308" i="3" s="1"/>
  <c r="AF308" i="3" s="1"/>
  <c r="AI308" i="3"/>
  <c r="AR308" i="3"/>
  <c r="AC308" i="3"/>
  <c r="AD308" i="3"/>
  <c r="AE308" i="3" s="1"/>
  <c r="AM305" i="3"/>
  <c r="Y305" i="3"/>
  <c r="Z305" i="3" s="1"/>
  <c r="AA305" i="3" s="1"/>
  <c r="AB305" i="3" s="1"/>
  <c r="AC305" i="3" s="1"/>
  <c r="AD305" i="3" s="1"/>
  <c r="AE305" i="3" s="1"/>
  <c r="Y302" i="3"/>
  <c r="Z302" i="3" s="1"/>
  <c r="AA302" i="3" s="1"/>
  <c r="AM302" i="3"/>
  <c r="Y299" i="3"/>
  <c r="Z299" i="3" s="1"/>
  <c r="AA299" i="3" s="1"/>
  <c r="AB299" i="3" s="1"/>
  <c r="AC299" i="3" s="1"/>
  <c r="AD299" i="3" s="1"/>
  <c r="AE299" i="3" s="1"/>
  <c r="AM299" i="3"/>
  <c r="AM296" i="3"/>
  <c r="Y296" i="3"/>
  <c r="Z296" i="3" s="1"/>
  <c r="AA296" i="3" s="1"/>
  <c r="AB296" i="3" s="1"/>
  <c r="AC296" i="3" s="1"/>
  <c r="AD296" i="3" s="1"/>
  <c r="AE296" i="3" s="1"/>
  <c r="AM293" i="3"/>
  <c r="Y293" i="3"/>
  <c r="Z293" i="3" s="1"/>
  <c r="AA293" i="3" s="1"/>
  <c r="AB293" i="3" s="1"/>
  <c r="AC293" i="3" s="1"/>
  <c r="AD293" i="3" s="1"/>
  <c r="AE293" i="3" s="1"/>
  <c r="Y290" i="3"/>
  <c r="Z290" i="3" s="1"/>
  <c r="AA290" i="3" s="1"/>
  <c r="AB290" i="3" s="1"/>
  <c r="AC290" i="3" s="1"/>
  <c r="AD290" i="3" s="1"/>
  <c r="AE290" i="3" s="1"/>
  <c r="AM290" i="3"/>
  <c r="Y287" i="3"/>
  <c r="Z287" i="3" s="1"/>
  <c r="AA287" i="3" s="1"/>
  <c r="AB287" i="3" s="1"/>
  <c r="AC287" i="3" s="1"/>
  <c r="AD287" i="3" s="1"/>
  <c r="AE287" i="3" s="1"/>
  <c r="AM287" i="3"/>
  <c r="AM284" i="3"/>
  <c r="Y284" i="3"/>
  <c r="Z284" i="3" s="1"/>
  <c r="AA284" i="3" s="1"/>
  <c r="AB284" i="3" s="1"/>
  <c r="AC284" i="3" s="1"/>
  <c r="AD284" i="3" s="1"/>
  <c r="AE284" i="3" s="1"/>
  <c r="AM281" i="3"/>
  <c r="Y281" i="3"/>
  <c r="Z281" i="3" s="1"/>
  <c r="AA281" i="3" s="1"/>
  <c r="AB281" i="3" s="1"/>
  <c r="AC281" i="3" s="1"/>
  <c r="AD281" i="3" s="1"/>
  <c r="AE281" i="3" s="1"/>
  <c r="AM257" i="3"/>
  <c r="Y257" i="3"/>
  <c r="Z257" i="3" s="1"/>
  <c r="AA257" i="3" s="1"/>
  <c r="AB257" i="3" s="1"/>
  <c r="AC257" i="3" s="1"/>
  <c r="AD257" i="3" s="1"/>
  <c r="AE257" i="3" s="1"/>
  <c r="AM254" i="3"/>
  <c r="Y254" i="3"/>
  <c r="Z254" i="3" s="1"/>
  <c r="AA254" i="3" s="1"/>
  <c r="AB254" i="3" s="1"/>
  <c r="AC254" i="3" s="1"/>
  <c r="AD254" i="3" s="1"/>
  <c r="AE254" i="3" s="1"/>
  <c r="Y251" i="3"/>
  <c r="Z251" i="3" s="1"/>
  <c r="AA251" i="3" s="1"/>
  <c r="AB251" i="3" s="1"/>
  <c r="AC251" i="3" s="1"/>
  <c r="AD251" i="3" s="1"/>
  <c r="AE251" i="3" s="1"/>
  <c r="AM251" i="3"/>
  <c r="Y248" i="3"/>
  <c r="Z248" i="3" s="1"/>
  <c r="AA248" i="3" s="1"/>
  <c r="AB248" i="3" s="1"/>
  <c r="AC248" i="3" s="1"/>
  <c r="AD248" i="3" s="1"/>
  <c r="AE248" i="3" s="1"/>
  <c r="AM248" i="3"/>
  <c r="AM245" i="3"/>
  <c r="Y245" i="3"/>
  <c r="Z245" i="3" s="1"/>
  <c r="AA245" i="3" s="1"/>
  <c r="AB245" i="3" s="1"/>
  <c r="AC245" i="3" s="1"/>
  <c r="AD245" i="3" s="1"/>
  <c r="AE245" i="3" s="1"/>
  <c r="Y242" i="3"/>
  <c r="Z242" i="3" s="1"/>
  <c r="AA242" i="3" s="1"/>
  <c r="AB242" i="3" s="1"/>
  <c r="AC242" i="3" s="1"/>
  <c r="AD242" i="3" s="1"/>
  <c r="AE242" i="3" s="1"/>
  <c r="AM242" i="3"/>
  <c r="AM239" i="3"/>
  <c r="Y239" i="3"/>
  <c r="Z239" i="3" s="1"/>
  <c r="AA239" i="3" s="1"/>
  <c r="AB239" i="3" s="1"/>
  <c r="AC239" i="3" s="1"/>
  <c r="AD239" i="3" s="1"/>
  <c r="AE239" i="3" s="1"/>
  <c r="AM236" i="3"/>
  <c r="Y236" i="3"/>
  <c r="Z236" i="3" s="1"/>
  <c r="AA236" i="3" s="1"/>
  <c r="AB236" i="3" s="1"/>
  <c r="AC236" i="3" s="1"/>
  <c r="AD236" i="3" s="1"/>
  <c r="AE236" i="3" s="1"/>
  <c r="AR230" i="3"/>
  <c r="AR229" i="3"/>
  <c r="AN226" i="3"/>
  <c r="AR226" i="3"/>
  <c r="AM227" i="3"/>
  <c r="AR227" i="3" s="1"/>
  <c r="Y227" i="3"/>
  <c r="Z227" i="3" s="1"/>
  <c r="AA227" i="3" s="1"/>
  <c r="AB227" i="3" s="1"/>
  <c r="AC227" i="3" s="1"/>
  <c r="AD227" i="3" s="1"/>
  <c r="AE227" i="3" s="1"/>
  <c r="AM224" i="3"/>
  <c r="Y224" i="3"/>
  <c r="Z224" i="3" s="1"/>
  <c r="AA224" i="3" s="1"/>
  <c r="AB224" i="3" s="1"/>
  <c r="AC224" i="3" s="1"/>
  <c r="AD224" i="3" s="1"/>
  <c r="AE224" i="3" s="1"/>
  <c r="AM221" i="3"/>
  <c r="Y221" i="3"/>
  <c r="Z221" i="3" s="1"/>
  <c r="AA221" i="3" s="1"/>
  <c r="AB221" i="3" s="1"/>
  <c r="AC221" i="3" s="1"/>
  <c r="AD221" i="3" s="1"/>
  <c r="AE221" i="3" s="1"/>
  <c r="AM218" i="3"/>
  <c r="Y218" i="3"/>
  <c r="Z218" i="3" s="1"/>
  <c r="AA218" i="3" s="1"/>
  <c r="AB218" i="3" s="1"/>
  <c r="AC218" i="3" s="1"/>
  <c r="AD218" i="3" s="1"/>
  <c r="AE218" i="3" s="1"/>
  <c r="AM215" i="3"/>
  <c r="Y215" i="3"/>
  <c r="Z215" i="3" s="1"/>
  <c r="AA215" i="3" s="1"/>
  <c r="AB215" i="3" s="1"/>
  <c r="AC215" i="3" s="1"/>
  <c r="AD215" i="3" s="1"/>
  <c r="AE215" i="3" s="1"/>
  <c r="Y212" i="3"/>
  <c r="Z212" i="3" s="1"/>
  <c r="AA212" i="3" s="1"/>
  <c r="AB212" i="3" s="1"/>
  <c r="AC212" i="3" s="1"/>
  <c r="AD212" i="3" s="1"/>
  <c r="AE212" i="3" s="1"/>
  <c r="AM212" i="3"/>
  <c r="S267" i="3"/>
  <c r="T266" i="3" s="1"/>
  <c r="U266" i="3" s="1"/>
  <c r="V266" i="3" s="1"/>
  <c r="X266" i="3" s="1"/>
  <c r="S270" i="3"/>
  <c r="T269" i="3" s="1"/>
  <c r="U269" i="3" s="1"/>
  <c r="V269" i="3" s="1"/>
  <c r="X269" i="3" s="1"/>
  <c r="S264" i="3"/>
  <c r="T263" i="3" s="1"/>
  <c r="U263" i="3" s="1"/>
  <c r="V263" i="3" s="1"/>
  <c r="X263" i="3" s="1"/>
  <c r="S261" i="3"/>
  <c r="T260" i="3" s="1"/>
  <c r="U260" i="3" s="1"/>
  <c r="V260" i="3" s="1"/>
  <c r="X260" i="3" s="1"/>
  <c r="S219" i="3"/>
  <c r="S213" i="3"/>
  <c r="S222" i="3"/>
  <c r="S276" i="3"/>
  <c r="T275" i="3" s="1"/>
  <c r="U275" i="3" s="1"/>
  <c r="V275" i="3" s="1"/>
  <c r="X275" i="3" s="1"/>
  <c r="S228" i="3"/>
  <c r="S273" i="3"/>
  <c r="T272" i="3" s="1"/>
  <c r="U272" i="3" s="1"/>
  <c r="V272" i="3" s="1"/>
  <c r="X272" i="3" s="1"/>
  <c r="Y209" i="3"/>
  <c r="Z209" i="3" s="1"/>
  <c r="AA209" i="3" s="1"/>
  <c r="AB209" i="3" s="1"/>
  <c r="AC209" i="3" s="1"/>
  <c r="AD209" i="3" s="1"/>
  <c r="AE209" i="3" s="1"/>
  <c r="AM209" i="3"/>
  <c r="Y206" i="3"/>
  <c r="Z206" i="3" s="1"/>
  <c r="AA206" i="3" s="1"/>
  <c r="AB206" i="3" s="1"/>
  <c r="AC206" i="3" s="1"/>
  <c r="AD206" i="3" s="1"/>
  <c r="AE206" i="3" s="1"/>
  <c r="AM206" i="3"/>
  <c r="AJ203" i="3"/>
  <c r="AH203" i="3"/>
  <c r="AG203" i="3" s="1"/>
  <c r="AF203" i="3" s="1"/>
  <c r="AI203" i="3"/>
  <c r="AA203" i="3"/>
  <c r="AD203" i="3"/>
  <c r="AI200" i="3"/>
  <c r="AJ200" i="3"/>
  <c r="AH200" i="3"/>
  <c r="AD200" i="3"/>
  <c r="AE200" i="3" s="1"/>
  <c r="AC200" i="3"/>
  <c r="AI197" i="3"/>
  <c r="AR197" i="3"/>
  <c r="AH197" i="3"/>
  <c r="AG197" i="3" s="1"/>
  <c r="AJ197" i="3"/>
  <c r="AA197" i="3"/>
  <c r="AD197" i="3"/>
  <c r="AE197" i="3" s="1"/>
  <c r="AF197" i="3" s="1"/>
  <c r="AM194" i="3"/>
  <c r="Y194" i="3"/>
  <c r="Z194" i="3" s="1"/>
  <c r="AA194" i="3" s="1"/>
  <c r="AB194" i="3" s="1"/>
  <c r="AI188" i="3"/>
  <c r="AH188" i="3"/>
  <c r="AG188" i="3" s="1"/>
  <c r="AR188" i="3"/>
  <c r="AJ188" i="3"/>
  <c r="AD188" i="3"/>
  <c r="AE188" i="3" s="1"/>
  <c r="AF188" i="3" s="1"/>
  <c r="AA188" i="3"/>
  <c r="Y185" i="3"/>
  <c r="Z185" i="3" s="1"/>
  <c r="AA185" i="3" s="1"/>
  <c r="AB185" i="3" s="1"/>
  <c r="AM185" i="3"/>
  <c r="AM182" i="3"/>
  <c r="Y182" i="3"/>
  <c r="Z182" i="3" s="1"/>
  <c r="AA182" i="3" s="1"/>
  <c r="AB182" i="3" s="1"/>
  <c r="Y179" i="3"/>
  <c r="Z179" i="3" s="1"/>
  <c r="AA179" i="3" s="1"/>
  <c r="AB179" i="3" s="1"/>
  <c r="AM179" i="3"/>
  <c r="AJ176" i="3"/>
  <c r="AI176" i="3"/>
  <c r="AH176" i="3"/>
  <c r="AG176" i="3" s="1"/>
  <c r="AF176" i="3" s="1"/>
  <c r="AD176" i="3"/>
  <c r="AE176" i="3" s="1"/>
  <c r="AC176" i="3"/>
  <c r="AJ173" i="3"/>
  <c r="AH173" i="3"/>
  <c r="AG173" i="3" s="1"/>
  <c r="AF173" i="3" s="1"/>
  <c r="AI173" i="3"/>
  <c r="AJ170" i="3"/>
  <c r="AH170" i="3"/>
  <c r="AG170" i="3" s="1"/>
  <c r="AF170" i="3" s="1"/>
  <c r="AI170" i="3"/>
  <c r="Y167" i="3"/>
  <c r="Z167" i="3" s="1"/>
  <c r="AA167" i="3" s="1"/>
  <c r="AB167" i="3" s="1"/>
  <c r="AC167" i="3" s="1"/>
  <c r="AD167" i="3" s="1"/>
  <c r="AE167" i="3" s="1"/>
  <c r="AM167" i="3"/>
  <c r="AM164" i="3"/>
  <c r="Y164" i="3"/>
  <c r="Z164" i="3" s="1"/>
  <c r="AA164" i="3" s="1"/>
  <c r="AB164" i="3" s="1"/>
  <c r="AC164" i="3" s="1"/>
  <c r="AD164" i="3" s="1"/>
  <c r="AE164" i="3" s="1"/>
  <c r="Y161" i="3"/>
  <c r="Z161" i="3" s="1"/>
  <c r="AA161" i="3" s="1"/>
  <c r="AB161" i="3" s="1"/>
  <c r="AC161" i="3" s="1"/>
  <c r="AD161" i="3" s="1"/>
  <c r="AE161" i="3" s="1"/>
  <c r="AM161" i="3"/>
  <c r="AM158" i="3"/>
  <c r="Y158" i="3"/>
  <c r="Z158" i="3" s="1"/>
  <c r="AA158" i="3" s="1"/>
  <c r="AB158" i="3" s="1"/>
  <c r="AC158" i="3" s="1"/>
  <c r="AD158" i="3" s="1"/>
  <c r="AE158" i="3" s="1"/>
  <c r="Y155" i="3"/>
  <c r="Z155" i="3" s="1"/>
  <c r="AA155" i="3" s="1"/>
  <c r="AB155" i="3" s="1"/>
  <c r="AC155" i="3" s="1"/>
  <c r="AD155" i="3" s="1"/>
  <c r="AE155" i="3" s="1"/>
  <c r="AM155" i="3"/>
  <c r="AM152" i="3"/>
  <c r="Y152" i="3"/>
  <c r="Z152" i="3" s="1"/>
  <c r="AA152" i="3" s="1"/>
  <c r="AB152" i="3" s="1"/>
  <c r="AC152" i="3" s="1"/>
  <c r="AD152" i="3" s="1"/>
  <c r="AE152" i="3" s="1"/>
  <c r="AM149" i="3"/>
  <c r="Y149" i="3"/>
  <c r="Z149" i="3" s="1"/>
  <c r="AA149" i="3" s="1"/>
  <c r="AB149" i="3" s="1"/>
  <c r="AC149" i="3" s="1"/>
  <c r="AD149" i="3" s="1"/>
  <c r="AE149" i="3" s="1"/>
  <c r="AM146" i="3"/>
  <c r="Y146" i="3"/>
  <c r="Z146" i="3" s="1"/>
  <c r="AA146" i="3" s="1"/>
  <c r="AB146" i="3" s="1"/>
  <c r="AC146" i="3" s="1"/>
  <c r="AD146" i="3" s="1"/>
  <c r="AE146" i="3" s="1"/>
  <c r="AH143" i="3"/>
  <c r="AG143" i="3" s="1"/>
  <c r="AF143" i="3" s="1"/>
  <c r="AJ143" i="3"/>
  <c r="AI143" i="3"/>
  <c r="AM140" i="3"/>
  <c r="Y140" i="3"/>
  <c r="Z140" i="3" s="1"/>
  <c r="AA140" i="3" s="1"/>
  <c r="AB140" i="3" s="1"/>
  <c r="AC140" i="3" s="1"/>
  <c r="AD140" i="3" s="1"/>
  <c r="AE140" i="3" s="1"/>
  <c r="AM137" i="3"/>
  <c r="Y137" i="3"/>
  <c r="Z137" i="3" s="1"/>
  <c r="AA137" i="3" s="1"/>
  <c r="AB137" i="3" s="1"/>
  <c r="AC137" i="3" s="1"/>
  <c r="AD137" i="3" s="1"/>
  <c r="AE137" i="3" s="1"/>
  <c r="Y134" i="3"/>
  <c r="Z134" i="3" s="1"/>
  <c r="AA134" i="3" s="1"/>
  <c r="AB134" i="3" s="1"/>
  <c r="AC134" i="3" s="1"/>
  <c r="AD134" i="3" s="1"/>
  <c r="AE134" i="3" s="1"/>
  <c r="AM134" i="3"/>
  <c r="AM131" i="3"/>
  <c r="Y131" i="3"/>
  <c r="Z131" i="3" s="1"/>
  <c r="AA131" i="3" s="1"/>
  <c r="AB131" i="3" s="1"/>
  <c r="AC131" i="3" s="1"/>
  <c r="AD131" i="3" s="1"/>
  <c r="AE131" i="3" s="1"/>
  <c r="AM128" i="3"/>
  <c r="Y128" i="3"/>
  <c r="Z128" i="3" s="1"/>
  <c r="AA128" i="3" s="1"/>
  <c r="AB128" i="3" s="1"/>
  <c r="AC128" i="3" s="1"/>
  <c r="AD128" i="3" s="1"/>
  <c r="AE128" i="3" s="1"/>
  <c r="AM125" i="3"/>
  <c r="Y125" i="3"/>
  <c r="Z125" i="3" s="1"/>
  <c r="AA125" i="3" s="1"/>
  <c r="AB125" i="3" s="1"/>
  <c r="AC125" i="3" s="1"/>
  <c r="AD125" i="3" s="1"/>
  <c r="AE125" i="3" s="1"/>
  <c r="AH122" i="3"/>
  <c r="AG122" i="3" s="1"/>
  <c r="AF122" i="3" s="1"/>
  <c r="AI122" i="3"/>
  <c r="AJ122" i="3"/>
  <c r="Y119" i="3"/>
  <c r="Z119" i="3" s="1"/>
  <c r="AA119" i="3" s="1"/>
  <c r="AB119" i="3" s="1"/>
  <c r="AC119" i="3" s="1"/>
  <c r="AD119" i="3" s="1"/>
  <c r="AE119" i="3" s="1"/>
  <c r="AM119" i="3"/>
  <c r="Y116" i="3"/>
  <c r="Z116" i="3" s="1"/>
  <c r="AA116" i="3" s="1"/>
  <c r="AB116" i="3" s="1"/>
  <c r="AC116" i="3" s="1"/>
  <c r="AD116" i="3" s="1"/>
  <c r="AE116" i="3" s="1"/>
  <c r="AM116" i="3"/>
  <c r="Y113" i="3"/>
  <c r="Z113" i="3" s="1"/>
  <c r="AA113" i="3" s="1"/>
  <c r="AB113" i="3" s="1"/>
  <c r="AC113" i="3" s="1"/>
  <c r="AD113" i="3" s="1"/>
  <c r="AE113" i="3" s="1"/>
  <c r="AM113" i="3"/>
  <c r="Y110" i="3"/>
  <c r="Z110" i="3" s="1"/>
  <c r="AA110" i="3" s="1"/>
  <c r="AB110" i="3" s="1"/>
  <c r="AC110" i="3" s="1"/>
  <c r="AD110" i="3" s="1"/>
  <c r="AE110" i="3" s="1"/>
  <c r="AM110" i="3"/>
  <c r="AM107" i="3"/>
  <c r="Y107" i="3"/>
  <c r="Z107" i="3" s="1"/>
  <c r="AA107" i="3" s="1"/>
  <c r="AB107" i="3" s="1"/>
  <c r="AC107" i="3" s="1"/>
  <c r="AD107" i="3" s="1"/>
  <c r="AE107" i="3" s="1"/>
  <c r="Y104" i="3"/>
  <c r="Z104" i="3" s="1"/>
  <c r="AA104" i="3" s="1"/>
  <c r="AB104" i="3" s="1"/>
  <c r="AC104" i="3" s="1"/>
  <c r="AD104" i="3" s="1"/>
  <c r="AE104" i="3" s="1"/>
  <c r="AM104" i="3"/>
  <c r="Y101" i="3"/>
  <c r="Z101" i="3" s="1"/>
  <c r="AA101" i="3" s="1"/>
  <c r="AB101" i="3" s="1"/>
  <c r="AC101" i="3" s="1"/>
  <c r="AD101" i="3" s="1"/>
  <c r="AE101" i="3" s="1"/>
  <c r="AM101" i="3"/>
  <c r="Y98" i="3"/>
  <c r="Z98" i="3" s="1"/>
  <c r="AA98" i="3" s="1"/>
  <c r="AB98" i="3" s="1"/>
  <c r="AC98" i="3" s="1"/>
  <c r="AD98" i="3" s="1"/>
  <c r="AE98" i="3" s="1"/>
  <c r="AM98" i="3"/>
  <c r="AI95" i="3"/>
  <c r="AH95" i="3"/>
  <c r="AG95" i="3" s="1"/>
  <c r="AF95" i="3" s="1"/>
  <c r="AJ95" i="3"/>
  <c r="AM92" i="3"/>
  <c r="Y92" i="3"/>
  <c r="Z92" i="3" s="1"/>
  <c r="AA92" i="3" s="1"/>
  <c r="AB92" i="3" s="1"/>
  <c r="AC92" i="3" s="1"/>
  <c r="AD92" i="3" s="1"/>
  <c r="AE92" i="3" s="1"/>
  <c r="Y89" i="3"/>
  <c r="Z89" i="3" s="1"/>
  <c r="AA89" i="3" s="1"/>
  <c r="AB89" i="3" s="1"/>
  <c r="AC89" i="3" s="1"/>
  <c r="AD89" i="3" s="1"/>
  <c r="AE89" i="3" s="1"/>
  <c r="AM89" i="3"/>
  <c r="Y86" i="3"/>
  <c r="Z86" i="3" s="1"/>
  <c r="AA86" i="3" s="1"/>
  <c r="AB86" i="3" s="1"/>
  <c r="AC86" i="3" s="1"/>
  <c r="AD86" i="3" s="1"/>
  <c r="AE86" i="3" s="1"/>
  <c r="AM86" i="3"/>
  <c r="AM83" i="3"/>
  <c r="Y83" i="3"/>
  <c r="Z83" i="3" s="1"/>
  <c r="AA83" i="3" s="1"/>
  <c r="AB83" i="3" s="1"/>
  <c r="AC83" i="3" s="1"/>
  <c r="AD83" i="3" s="1"/>
  <c r="AE83" i="3" s="1"/>
  <c r="AH80" i="3"/>
  <c r="AG80" i="3" s="1"/>
  <c r="AF80" i="3" s="1"/>
  <c r="AI80" i="3"/>
  <c r="AJ80" i="3"/>
  <c r="AJ77" i="3"/>
  <c r="AI77" i="3"/>
  <c r="AM74" i="3"/>
  <c r="Y74" i="3"/>
  <c r="Z74" i="3" s="1"/>
  <c r="AA74" i="3" s="1"/>
  <c r="AB74" i="3" s="1"/>
  <c r="AC74" i="3" s="1"/>
  <c r="AD74" i="3" s="1"/>
  <c r="AE74" i="3" s="1"/>
  <c r="AH71" i="3"/>
  <c r="AG71" i="3" s="1"/>
  <c r="AF71" i="3" s="1"/>
  <c r="AJ71" i="3"/>
  <c r="AI71" i="3"/>
  <c r="AJ68" i="3"/>
  <c r="AI68" i="3"/>
  <c r="AH68" i="3"/>
  <c r="AG68" i="3" s="1"/>
  <c r="AF68" i="3" s="1"/>
  <c r="AI65" i="3"/>
  <c r="AJ65" i="3"/>
  <c r="AH65" i="3"/>
  <c r="AG65" i="3" s="1"/>
  <c r="AF65" i="3" s="1"/>
  <c r="AI62" i="3"/>
  <c r="AH62" i="3"/>
  <c r="AG62" i="3" s="1"/>
  <c r="AF62" i="3" s="1"/>
  <c r="AJ62" i="3"/>
  <c r="AJ59" i="3"/>
  <c r="AI59" i="3"/>
  <c r="AJ56" i="3"/>
  <c r="AH56" i="3"/>
  <c r="AG56" i="3" s="1"/>
  <c r="AF56" i="3" s="1"/>
  <c r="AI56" i="3"/>
  <c r="AJ53" i="3"/>
  <c r="AI53" i="3"/>
  <c r="AH53" i="3"/>
  <c r="AG53" i="3" s="1"/>
  <c r="AF53" i="3" s="1"/>
  <c r="AH50" i="3"/>
  <c r="AG50" i="3" s="1"/>
  <c r="AF50" i="3" s="1"/>
  <c r="AJ50" i="3"/>
  <c r="AI50" i="3"/>
  <c r="AI47" i="3"/>
  <c r="AH47" i="3"/>
  <c r="AG47" i="3" s="1"/>
  <c r="AF47" i="3" s="1"/>
  <c r="AJ47" i="3"/>
  <c r="AH44" i="3"/>
  <c r="AG44" i="3" s="1"/>
  <c r="AF44" i="3" s="1"/>
  <c r="AJ44" i="3"/>
  <c r="AI44" i="3"/>
  <c r="AH41" i="3"/>
  <c r="AG41" i="3" s="1"/>
  <c r="AF41" i="3" s="1"/>
  <c r="AJ41" i="3"/>
  <c r="AI41" i="3"/>
  <c r="AH38" i="3"/>
  <c r="AG38" i="3" s="1"/>
  <c r="AF38" i="3" s="1"/>
  <c r="AJ38" i="3"/>
  <c r="AI38" i="3"/>
  <c r="AH35" i="3"/>
  <c r="AG35" i="3" s="1"/>
  <c r="AF35" i="3" s="1"/>
  <c r="AI35" i="3"/>
  <c r="AJ35" i="3"/>
  <c r="AH32" i="3"/>
  <c r="AG32" i="3" s="1"/>
  <c r="AF32" i="3" s="1"/>
  <c r="AI32" i="3"/>
  <c r="AJ32" i="3"/>
  <c r="AI29" i="3"/>
  <c r="AJ29" i="3"/>
  <c r="AH29" i="3"/>
  <c r="AG29" i="3" s="1"/>
  <c r="AF29" i="3" s="1"/>
  <c r="AJ26" i="3"/>
  <c r="AH26" i="3"/>
  <c r="AG26" i="3" s="1"/>
  <c r="AF26" i="3" s="1"/>
  <c r="AM23" i="3"/>
  <c r="Y23" i="3"/>
  <c r="Z23" i="3" s="1"/>
  <c r="AA23" i="3" s="1"/>
  <c r="AB23" i="3" s="1"/>
  <c r="AC23" i="3" s="1"/>
  <c r="AD23" i="3" s="1"/>
  <c r="AE23" i="3" s="1"/>
  <c r="AJ20" i="3"/>
  <c r="AH20" i="3"/>
  <c r="AG20" i="3" s="1"/>
  <c r="AF20" i="3" s="1"/>
  <c r="AI20" i="3"/>
  <c r="AR50" i="3"/>
  <c r="AR278" i="3"/>
  <c r="AR65" i="3"/>
  <c r="AR62" i="3"/>
  <c r="AR44" i="3"/>
  <c r="AR32" i="3"/>
  <c r="AR20" i="3"/>
  <c r="AR200" i="3"/>
  <c r="AR71" i="3"/>
  <c r="AR56" i="3"/>
  <c r="AR38" i="3"/>
  <c r="AR170" i="3"/>
  <c r="AR80" i="3"/>
  <c r="AW300" i="2"/>
  <c r="AW299" i="2"/>
  <c r="AW298" i="2"/>
  <c r="AW297" i="2"/>
  <c r="AW296" i="2"/>
  <c r="AW295" i="2"/>
  <c r="AW294" i="2"/>
  <c r="AW293" i="2"/>
  <c r="AW292" i="2"/>
  <c r="AW291" i="2"/>
  <c r="AW290" i="2"/>
  <c r="AW289" i="2"/>
  <c r="AW288" i="2"/>
  <c r="AW287" i="2"/>
  <c r="AW286" i="2"/>
  <c r="AW285" i="2"/>
  <c r="AW284" i="2"/>
  <c r="AW283" i="2"/>
  <c r="AW282" i="2"/>
  <c r="AW281" i="2"/>
  <c r="AW280" i="2"/>
  <c r="AW279" i="2"/>
  <c r="AW278" i="2"/>
  <c r="AW277" i="2"/>
  <c r="AW276" i="2"/>
  <c r="AW275" i="2"/>
  <c r="AW274" i="2"/>
  <c r="AW273" i="2"/>
  <c r="AW272" i="2"/>
  <c r="AW271" i="2"/>
  <c r="AW270" i="2"/>
  <c r="AW269" i="2"/>
  <c r="AW268" i="2"/>
  <c r="AW267" i="2"/>
  <c r="AW266" i="2"/>
  <c r="AW265" i="2"/>
  <c r="AW264" i="2"/>
  <c r="AW263" i="2"/>
  <c r="AW262" i="2"/>
  <c r="AW193" i="2"/>
  <c r="AW190" i="2"/>
  <c r="AW187" i="2"/>
  <c r="AW184" i="2"/>
  <c r="AW83" i="2"/>
  <c r="AW77" i="2"/>
  <c r="AW74" i="2"/>
  <c r="AW70" i="2"/>
  <c r="AW66" i="2"/>
  <c r="AW32" i="2"/>
  <c r="AW29" i="2"/>
  <c r="AW27" i="2"/>
  <c r="AW112" i="2"/>
  <c r="AW111" i="2"/>
  <c r="AW110" i="2"/>
  <c r="AW109" i="2"/>
  <c r="AW108" i="2"/>
  <c r="AW107" i="2"/>
  <c r="AW106" i="2"/>
  <c r="AW105" i="2"/>
  <c r="AW104" i="2"/>
  <c r="AW102" i="2"/>
  <c r="AW233" i="2"/>
  <c r="AW101" i="2"/>
  <c r="AW100" i="2"/>
  <c r="AW99" i="2"/>
  <c r="AW98" i="2"/>
  <c r="AW97" i="2"/>
  <c r="AW96" i="2"/>
  <c r="AW95" i="2"/>
  <c r="AW94" i="2"/>
  <c r="AW93" i="2"/>
  <c r="AW92" i="2"/>
  <c r="AW91" i="2"/>
  <c r="AW90" i="2"/>
  <c r="AW89" i="2"/>
  <c r="AW88" i="2"/>
  <c r="AW87" i="2"/>
  <c r="AW86" i="2"/>
  <c r="AW85" i="2"/>
  <c r="AW82" i="2"/>
  <c r="AW80" i="2"/>
  <c r="AW76" i="2"/>
  <c r="AW72" i="2"/>
  <c r="AW68" i="2"/>
  <c r="AW65" i="2"/>
  <c r="AW31" i="2"/>
  <c r="AW28" i="2"/>
  <c r="AW26" i="2"/>
  <c r="AW17" i="2"/>
  <c r="AW63" i="2"/>
  <c r="AW62" i="2"/>
  <c r="AW61" i="2"/>
  <c r="AW60" i="2"/>
  <c r="AW59" i="2"/>
  <c r="AW261" i="2"/>
  <c r="AW260" i="2"/>
  <c r="AW259" i="2"/>
  <c r="AW258" i="2"/>
  <c r="AW257" i="2"/>
  <c r="AW256" i="2"/>
  <c r="AW255" i="2"/>
  <c r="AW254" i="2"/>
  <c r="AW253" i="2"/>
  <c r="AW252" i="2"/>
  <c r="AW251" i="2"/>
  <c r="AW250" i="2"/>
  <c r="AW249" i="2"/>
  <c r="AW248" i="2"/>
  <c r="AW247" i="2"/>
  <c r="AW246" i="2"/>
  <c r="AW245" i="2"/>
  <c r="AW244" i="2"/>
  <c r="AW243" i="2"/>
  <c r="AW242" i="2"/>
  <c r="AW241" i="2"/>
  <c r="AW240" i="2"/>
  <c r="AW239" i="2"/>
  <c r="AW238" i="2"/>
  <c r="AW237" i="2"/>
  <c r="AW236" i="2"/>
  <c r="AW235" i="2"/>
  <c r="AW234" i="2"/>
  <c r="AW58" i="2"/>
  <c r="AW232" i="2"/>
  <c r="AW231" i="2"/>
  <c r="AW230" i="2"/>
  <c r="AW229" i="2"/>
  <c r="AW228" i="2"/>
  <c r="AW227" i="2"/>
  <c r="AW226" i="2"/>
  <c r="AW225" i="2"/>
  <c r="AW224" i="2"/>
  <c r="AW223" i="2"/>
  <c r="AW191" i="2"/>
  <c r="AW188" i="2"/>
  <c r="AW185" i="2"/>
  <c r="AW78" i="2"/>
  <c r="AW71" i="2"/>
  <c r="AW64" i="2"/>
  <c r="AW57" i="2"/>
  <c r="AW56" i="2"/>
  <c r="AW55" i="2"/>
  <c r="AW54" i="2"/>
  <c r="AW53" i="2"/>
  <c r="AW52" i="2"/>
  <c r="AW51" i="2"/>
  <c r="AW50" i="2"/>
  <c r="AW49" i="2"/>
  <c r="AW48" i="2"/>
  <c r="AW47" i="2"/>
  <c r="AW46" i="2"/>
  <c r="AW45" i="2"/>
  <c r="AW44" i="2"/>
  <c r="AW43" i="2"/>
  <c r="AW42" i="2"/>
  <c r="AW41" i="2"/>
  <c r="AW40" i="2"/>
  <c r="AW39" i="2"/>
  <c r="AW222" i="2"/>
  <c r="AW221" i="2"/>
  <c r="AW220" i="2"/>
  <c r="AW219" i="2"/>
  <c r="AW218" i="2"/>
  <c r="AW217" i="2"/>
  <c r="AW216" i="2"/>
  <c r="AW215" i="2"/>
  <c r="AW214" i="2"/>
  <c r="AW213" i="2"/>
  <c r="AW212" i="2"/>
  <c r="AW211" i="2"/>
  <c r="AW210" i="2"/>
  <c r="AW209" i="2"/>
  <c r="AW208" i="2"/>
  <c r="AW207" i="2"/>
  <c r="AW206" i="2"/>
  <c r="AW205" i="2"/>
  <c r="AW204" i="2"/>
  <c r="AW203" i="2"/>
  <c r="AW202" i="2"/>
  <c r="AW201" i="2"/>
  <c r="AW200" i="2"/>
  <c r="AW199" i="2"/>
  <c r="AW198" i="2"/>
  <c r="AW197" i="2"/>
  <c r="AW196" i="2"/>
  <c r="AW195" i="2"/>
  <c r="AW194" i="2"/>
  <c r="AW192" i="2"/>
  <c r="AW189" i="2"/>
  <c r="AW186" i="2"/>
  <c r="AW81" i="2"/>
  <c r="AW75" i="2"/>
  <c r="AW69" i="2"/>
  <c r="AW25" i="2"/>
  <c r="AW38" i="2"/>
  <c r="AW37" i="2"/>
  <c r="AW36" i="2"/>
  <c r="AW35" i="2"/>
  <c r="AW34" i="2"/>
  <c r="AW33" i="2"/>
  <c r="AW30" i="2"/>
  <c r="AW24" i="2"/>
  <c r="AW23" i="2"/>
  <c r="AW22" i="2"/>
  <c r="AW21" i="2"/>
  <c r="AW20" i="2"/>
  <c r="AW19" i="2"/>
  <c r="AW18" i="2"/>
  <c r="AW16" i="2"/>
  <c r="AW15" i="2"/>
  <c r="AW14" i="2"/>
  <c r="AW13" i="2"/>
  <c r="AW12" i="2"/>
  <c r="AW11" i="2"/>
  <c r="AW10" i="2"/>
  <c r="AW183" i="2"/>
  <c r="AW182" i="2"/>
  <c r="AW181" i="2"/>
  <c r="AW180" i="2"/>
  <c r="AW179" i="2"/>
  <c r="AW178" i="2"/>
  <c r="AW177" i="2"/>
  <c r="AW176" i="2"/>
  <c r="AW175" i="2"/>
  <c r="AW174" i="2"/>
  <c r="AW173" i="2"/>
  <c r="AW172" i="2"/>
  <c r="AW171" i="2"/>
  <c r="AW170" i="2"/>
  <c r="AW169" i="2"/>
  <c r="AW168" i="2"/>
  <c r="AW167" i="2"/>
  <c r="AW166" i="2"/>
  <c r="AW165" i="2"/>
  <c r="AW164" i="2"/>
  <c r="AW163" i="2"/>
  <c r="AW162" i="2"/>
  <c r="AW161" i="2"/>
  <c r="AW160" i="2"/>
  <c r="AW159" i="2"/>
  <c r="AW158" i="2"/>
  <c r="AW157" i="2"/>
  <c r="AW156" i="2"/>
  <c r="AW155" i="2"/>
  <c r="AW154" i="2"/>
  <c r="AW153" i="2"/>
  <c r="AW152" i="2"/>
  <c r="AW151" i="2"/>
  <c r="AW150" i="2"/>
  <c r="AW149" i="2"/>
  <c r="AW148" i="2"/>
  <c r="AW147" i="2"/>
  <c r="AW146" i="2"/>
  <c r="AW145" i="2"/>
  <c r="AW144" i="2"/>
  <c r="AW84" i="2"/>
  <c r="AW79" i="2"/>
  <c r="AW73" i="2"/>
  <c r="AW67" i="2"/>
  <c r="AW143" i="2"/>
  <c r="AW142" i="2"/>
  <c r="AW141" i="2"/>
  <c r="AW140" i="2"/>
  <c r="AW139" i="2"/>
  <c r="AW138" i="2"/>
  <c r="AW137" i="2"/>
  <c r="AW136" i="2"/>
  <c r="AW135" i="2"/>
  <c r="AW134" i="2"/>
  <c r="AW133" i="2"/>
  <c r="AW132" i="2"/>
  <c r="AW131" i="2"/>
  <c r="AW130" i="2"/>
  <c r="AW129" i="2"/>
  <c r="AW128" i="2"/>
  <c r="AW127" i="2"/>
  <c r="AW126" i="2"/>
  <c r="AW125" i="2"/>
  <c r="AW124" i="2"/>
  <c r="AW123" i="2"/>
  <c r="AW122" i="2"/>
  <c r="AW121" i="2"/>
  <c r="AW120" i="2"/>
  <c r="AW119" i="2"/>
  <c r="AW118" i="2"/>
  <c r="AW117" i="2"/>
  <c r="AW116" i="2"/>
  <c r="AW115" i="2"/>
  <c r="AW114" i="2"/>
  <c r="AW113" i="2"/>
  <c r="AM246" i="1"/>
  <c r="AM242" i="1"/>
  <c r="AM239" i="1"/>
  <c r="AM236" i="1"/>
  <c r="AM232" i="1"/>
  <c r="AM228" i="1"/>
  <c r="AM225" i="1"/>
  <c r="AM215" i="1"/>
  <c r="AM184" i="1"/>
  <c r="AM180" i="1"/>
  <c r="AM173" i="1"/>
  <c r="AM167" i="1"/>
  <c r="AM163" i="1"/>
  <c r="AM160" i="1"/>
  <c r="AM156" i="1"/>
  <c r="AM152" i="1"/>
  <c r="AM147" i="1"/>
  <c r="AM142" i="1"/>
  <c r="AM137" i="1"/>
  <c r="AM133" i="1"/>
  <c r="AM130" i="1"/>
  <c r="AM126" i="1"/>
  <c r="AM122" i="1"/>
  <c r="AM117" i="1"/>
  <c r="AM113" i="1"/>
  <c r="AM109" i="1"/>
  <c r="AM105" i="1"/>
  <c r="AM101" i="1"/>
  <c r="AM96" i="1"/>
  <c r="AM91" i="1"/>
  <c r="AM85" i="1"/>
  <c r="AM81" i="1"/>
  <c r="AM76" i="1"/>
  <c r="AM70" i="1"/>
  <c r="AM54" i="1"/>
  <c r="AM50" i="1"/>
  <c r="AM44" i="1"/>
  <c r="AM39" i="1"/>
  <c r="AM33" i="1"/>
  <c r="AM27" i="1"/>
  <c r="AM22" i="1"/>
  <c r="AM17" i="1"/>
  <c r="AM176" i="1"/>
  <c r="AM244" i="1"/>
  <c r="AM235" i="1"/>
  <c r="AM230" i="1"/>
  <c r="AM179" i="1"/>
  <c r="AM169" i="1"/>
  <c r="AM162" i="1"/>
  <c r="AM150" i="1"/>
  <c r="AM141" i="1"/>
  <c r="AM136" i="1"/>
  <c r="AM131" i="1"/>
  <c r="AM120" i="1"/>
  <c r="AM106" i="1"/>
  <c r="AM98" i="1"/>
  <c r="AM87" i="1"/>
  <c r="AM77" i="1"/>
  <c r="AM62" i="1"/>
  <c r="AM53" i="1"/>
  <c r="AM41" i="1"/>
  <c r="AM30" i="1"/>
  <c r="AM241" i="1"/>
  <c r="AM229" i="1"/>
  <c r="AM213" i="1"/>
  <c r="AM175" i="1"/>
  <c r="AM165" i="1"/>
  <c r="AM155" i="1"/>
  <c r="AM145" i="1"/>
  <c r="AM140" i="1"/>
  <c r="AM135" i="1"/>
  <c r="AM128" i="1"/>
  <c r="AM119" i="1"/>
  <c r="AM111" i="1"/>
  <c r="AM102" i="1"/>
  <c r="AM93" i="1"/>
  <c r="AM86" i="1"/>
  <c r="AM74" i="1"/>
  <c r="AM66" i="1"/>
  <c r="AM59" i="1"/>
  <c r="AM48" i="1"/>
  <c r="AM34" i="1"/>
  <c r="AM19" i="1"/>
  <c r="AM95" i="1"/>
  <c r="AM92" i="1"/>
  <c r="AM88" i="1"/>
  <c r="AM82" i="1"/>
  <c r="AM78" i="1"/>
  <c r="AM72" i="1"/>
  <c r="AM67" i="1"/>
  <c r="AM64" i="1"/>
  <c r="AM60" i="1"/>
  <c r="AM56" i="1"/>
  <c r="AM51" i="1"/>
  <c r="AM45" i="1"/>
  <c r="AM40" i="1"/>
  <c r="AM35" i="1"/>
  <c r="AM29" i="1"/>
  <c r="AM24" i="1"/>
  <c r="AM20" i="1"/>
  <c r="AM161" i="1"/>
  <c r="AM153" i="1"/>
  <c r="AM146" i="1"/>
  <c r="AM139" i="1"/>
  <c r="AM134" i="1"/>
  <c r="AM125" i="1"/>
  <c r="AM115" i="1"/>
  <c r="AM107" i="1"/>
  <c r="AM97" i="1"/>
  <c r="AM89" i="1"/>
  <c r="AM80" i="1"/>
  <c r="AM71" i="1"/>
  <c r="AM57" i="1"/>
  <c r="AM46" i="1"/>
  <c r="AM38" i="1"/>
  <c r="AM25" i="1"/>
  <c r="AM245" i="1"/>
  <c r="AM233" i="1"/>
  <c r="AM227" i="1"/>
  <c r="AM212" i="1"/>
  <c r="AM247" i="1"/>
  <c r="AM243" i="1"/>
  <c r="AM240" i="1"/>
  <c r="AM238" i="1"/>
  <c r="AM234" i="1"/>
  <c r="AM231" i="1"/>
  <c r="AM226" i="1"/>
  <c r="AM217" i="1"/>
  <c r="AM214" i="1"/>
  <c r="AM182" i="1"/>
  <c r="AM178" i="1"/>
  <c r="AM174" i="1"/>
  <c r="AM237" i="1"/>
  <c r="AM124" i="1"/>
  <c r="AM84" i="1"/>
  <c r="AM170" i="1"/>
  <c r="AM166" i="1"/>
  <c r="AM159" i="1"/>
  <c r="AM157" i="1"/>
  <c r="AM151" i="1"/>
  <c r="AM148" i="1"/>
  <c r="AM144" i="1"/>
  <c r="AM103" i="1"/>
  <c r="AM127" i="1"/>
  <c r="AM123" i="1"/>
  <c r="AM118" i="1"/>
  <c r="AM114" i="1"/>
  <c r="AM110" i="1"/>
  <c r="AM171" i="1"/>
  <c r="AM99" i="1"/>
  <c r="AM75" i="1"/>
  <c r="AM69" i="1"/>
  <c r="AM65" i="1"/>
  <c r="AM61" i="1"/>
  <c r="AM55" i="1"/>
  <c r="AM49" i="1"/>
  <c r="AM43" i="1"/>
  <c r="AM37" i="1"/>
  <c r="AM32" i="1"/>
  <c r="AM28" i="1"/>
  <c r="AM23" i="1"/>
  <c r="AM18" i="1"/>
  <c r="AM224" i="1"/>
  <c r="AM223" i="1"/>
  <c r="AM222" i="1"/>
  <c r="AM221" i="1"/>
  <c r="AM220" i="1"/>
  <c r="AM219" i="1"/>
  <c r="AM218" i="1"/>
  <c r="AM216" i="1"/>
  <c r="AM183" i="1"/>
  <c r="AM181" i="1"/>
  <c r="AM177" i="1"/>
  <c r="AM172" i="1"/>
  <c r="AM168" i="1"/>
  <c r="AM164" i="1"/>
  <c r="AM158" i="1"/>
  <c r="AM154" i="1"/>
  <c r="AM149" i="1"/>
  <c r="AM143" i="1"/>
  <c r="AM138" i="1"/>
  <c r="AM132" i="1"/>
  <c r="AM129" i="1"/>
  <c r="AM121" i="1"/>
  <c r="AM116" i="1"/>
  <c r="AM112" i="1"/>
  <c r="AM108" i="1"/>
  <c r="AM104" i="1"/>
  <c r="AM100" i="1"/>
  <c r="AM94" i="1"/>
  <c r="AM90" i="1"/>
  <c r="AM83" i="1"/>
  <c r="AM79" i="1"/>
  <c r="AM73" i="1"/>
  <c r="AM68" i="1"/>
  <c r="AM63" i="1"/>
  <c r="AM58" i="1"/>
  <c r="AM52" i="1"/>
  <c r="AM47" i="1"/>
  <c r="AM42" i="1"/>
  <c r="AM36" i="1"/>
  <c r="AM31" i="1"/>
  <c r="AM26" i="1"/>
  <c r="AM21" i="1"/>
  <c r="AM266" i="3" l="1"/>
  <c r="Y266" i="3"/>
  <c r="Z266" i="3" s="1"/>
  <c r="AA266" i="3" s="1"/>
  <c r="AB266" i="3" s="1"/>
  <c r="AC266" i="3" s="1"/>
  <c r="AD266" i="3" s="1"/>
  <c r="AE266" i="3" s="1"/>
  <c r="Y269" i="3"/>
  <c r="Z269" i="3" s="1"/>
  <c r="AA269" i="3" s="1"/>
  <c r="AB269" i="3" s="1"/>
  <c r="AC269" i="3" s="1"/>
  <c r="AD269" i="3" s="1"/>
  <c r="AE269" i="3" s="1"/>
  <c r="AM269" i="3"/>
  <c r="AH269" i="3" s="1"/>
  <c r="AG269" i="3" s="1"/>
  <c r="AF269" i="3" s="1"/>
  <c r="Y263" i="3"/>
  <c r="Z263" i="3" s="1"/>
  <c r="AA263" i="3" s="1"/>
  <c r="AB263" i="3" s="1"/>
  <c r="AC263" i="3" s="1"/>
  <c r="AD263" i="3" s="1"/>
  <c r="AE263" i="3" s="1"/>
  <c r="AM263" i="3"/>
  <c r="AM260" i="3"/>
  <c r="Y260" i="3"/>
  <c r="Z260" i="3" s="1"/>
  <c r="AA260" i="3" s="1"/>
  <c r="AB260" i="3" s="1"/>
  <c r="AC260" i="3" s="1"/>
  <c r="AD260" i="3" s="1"/>
  <c r="AE260" i="3" s="1"/>
  <c r="Y275" i="3"/>
  <c r="Z275" i="3" s="1"/>
  <c r="AA275" i="3" s="1"/>
  <c r="AB275" i="3" s="1"/>
  <c r="AC275" i="3" s="1"/>
  <c r="AD275" i="3" s="1"/>
  <c r="AE275" i="3" s="1"/>
  <c r="AM275" i="3"/>
  <c r="AM272" i="3"/>
  <c r="Y272" i="3"/>
  <c r="Z272" i="3" s="1"/>
  <c r="AA272" i="3" s="1"/>
  <c r="AB272" i="3" s="1"/>
  <c r="AC272" i="3" s="1"/>
  <c r="AD272" i="3" s="1"/>
  <c r="AE272" i="3" s="1"/>
  <c r="AC314" i="3"/>
  <c r="AD314" i="3"/>
  <c r="AE314" i="3" s="1"/>
  <c r="AR314" i="3"/>
  <c r="AJ314" i="3"/>
  <c r="AH314" i="3"/>
  <c r="AG314" i="3" s="1"/>
  <c r="AF314" i="3" s="1"/>
  <c r="AI314" i="3"/>
  <c r="AH311" i="3"/>
  <c r="AG311" i="3" s="1"/>
  <c r="AF311" i="3" s="1"/>
  <c r="AR311" i="3"/>
  <c r="AJ311" i="3"/>
  <c r="AI311" i="3"/>
  <c r="AD311" i="3"/>
  <c r="AE311" i="3" s="1"/>
  <c r="AC311" i="3"/>
  <c r="AR305" i="3"/>
  <c r="AH305" i="3"/>
  <c r="AG305" i="3" s="1"/>
  <c r="AF305" i="3" s="1"/>
  <c r="AI305" i="3"/>
  <c r="AJ305" i="3"/>
  <c r="AB302" i="3"/>
  <c r="AC302" i="3"/>
  <c r="AD302" i="3" s="1"/>
  <c r="AE302" i="3" s="1"/>
  <c r="AR302" i="3"/>
  <c r="AH302" i="3"/>
  <c r="AG302" i="3" s="1"/>
  <c r="AF302" i="3" s="1"/>
  <c r="AI302" i="3"/>
  <c r="AJ302" i="3"/>
  <c r="AR299" i="3"/>
  <c r="AH299" i="3"/>
  <c r="AG299" i="3" s="1"/>
  <c r="AF299" i="3" s="1"/>
  <c r="AI299" i="3"/>
  <c r="AJ299" i="3"/>
  <c r="AR296" i="3"/>
  <c r="AH296" i="3"/>
  <c r="AG296" i="3" s="1"/>
  <c r="AF296" i="3" s="1"/>
  <c r="AI296" i="3"/>
  <c r="AJ296" i="3"/>
  <c r="AR293" i="3"/>
  <c r="AJ293" i="3"/>
  <c r="AH293" i="3"/>
  <c r="AG293" i="3" s="1"/>
  <c r="AF293" i="3" s="1"/>
  <c r="AI293" i="3"/>
  <c r="AH290" i="3"/>
  <c r="AG290" i="3" s="1"/>
  <c r="AF290" i="3" s="1"/>
  <c r="AI290" i="3"/>
  <c r="AJ290" i="3"/>
  <c r="AR290" i="3"/>
  <c r="AR287" i="3"/>
  <c r="AI287" i="3"/>
  <c r="AJ287" i="3"/>
  <c r="AH287" i="3"/>
  <c r="AG287" i="3" s="1"/>
  <c r="AF287" i="3" s="1"/>
  <c r="AR284" i="3"/>
  <c r="AH284" i="3"/>
  <c r="AG284" i="3" s="1"/>
  <c r="AF284" i="3" s="1"/>
  <c r="AJ284" i="3"/>
  <c r="AI284" i="3"/>
  <c r="AJ281" i="3"/>
  <c r="AH281" i="3"/>
  <c r="AG281" i="3" s="1"/>
  <c r="AF281" i="3" s="1"/>
  <c r="AR281" i="3"/>
  <c r="AI281" i="3"/>
  <c r="AR257" i="3"/>
  <c r="AH257" i="3"/>
  <c r="AG257" i="3" s="1"/>
  <c r="AF257" i="3" s="1"/>
  <c r="AJ257" i="3"/>
  <c r="AI257" i="3"/>
  <c r="AR254" i="3"/>
  <c r="AI254" i="3"/>
  <c r="AJ254" i="3"/>
  <c r="AH254" i="3"/>
  <c r="AG254" i="3" s="1"/>
  <c r="AF254" i="3" s="1"/>
  <c r="AR251" i="3"/>
  <c r="AI251" i="3"/>
  <c r="AJ251" i="3"/>
  <c r="AH251" i="3"/>
  <c r="AG251" i="3" s="1"/>
  <c r="AF251" i="3" s="1"/>
  <c r="AR248" i="3"/>
  <c r="AH248" i="3"/>
  <c r="AG248" i="3" s="1"/>
  <c r="AF248" i="3" s="1"/>
  <c r="AJ248" i="3"/>
  <c r="AI248" i="3"/>
  <c r="AR245" i="3"/>
  <c r="AH245" i="3"/>
  <c r="AG245" i="3" s="1"/>
  <c r="AF245" i="3" s="1"/>
  <c r="AJ245" i="3"/>
  <c r="AI245" i="3"/>
  <c r="AR242" i="3"/>
  <c r="AH242" i="3"/>
  <c r="AG242" i="3" s="1"/>
  <c r="AF242" i="3" s="1"/>
  <c r="AI242" i="3"/>
  <c r="AJ242" i="3"/>
  <c r="AR239" i="3"/>
  <c r="AI239" i="3"/>
  <c r="AJ239" i="3"/>
  <c r="AH239" i="3"/>
  <c r="AG239" i="3" s="1"/>
  <c r="AF239" i="3" s="1"/>
  <c r="AI236" i="3"/>
  <c r="AJ236" i="3"/>
  <c r="AR236" i="3"/>
  <c r="AH236" i="3"/>
  <c r="AG236" i="3" s="1"/>
  <c r="AF236" i="3" s="1"/>
  <c r="AH227" i="3"/>
  <c r="AG227" i="3" s="1"/>
  <c r="AF227" i="3" s="1"/>
  <c r="AI227" i="3"/>
  <c r="AJ227" i="3"/>
  <c r="AR224" i="3"/>
  <c r="AI224" i="3"/>
  <c r="AJ224" i="3"/>
  <c r="AH224" i="3"/>
  <c r="AG224" i="3" s="1"/>
  <c r="AF224" i="3" s="1"/>
  <c r="AJ221" i="3"/>
  <c r="AR221" i="3"/>
  <c r="AI221" i="3"/>
  <c r="AH221" i="3"/>
  <c r="AG221" i="3" s="1"/>
  <c r="AF221" i="3" s="1"/>
  <c r="AR218" i="3"/>
  <c r="AI218" i="3"/>
  <c r="AH218" i="3"/>
  <c r="AG218" i="3" s="1"/>
  <c r="AF218" i="3" s="1"/>
  <c r="AJ218" i="3"/>
  <c r="AR215" i="3"/>
  <c r="AH215" i="3"/>
  <c r="AG215" i="3" s="1"/>
  <c r="AF215" i="3" s="1"/>
  <c r="AJ215" i="3"/>
  <c r="AI215" i="3"/>
  <c r="AR212" i="3"/>
  <c r="AH212" i="3"/>
  <c r="AG212" i="3" s="1"/>
  <c r="AF212" i="3" s="1"/>
  <c r="AJ212" i="3"/>
  <c r="AI212" i="3"/>
  <c r="AI209" i="3"/>
  <c r="AR209" i="3"/>
  <c r="AH209" i="3"/>
  <c r="AG209" i="3" s="1"/>
  <c r="AF209" i="3" s="1"/>
  <c r="AJ209" i="3"/>
  <c r="AR206" i="3"/>
  <c r="AH206" i="3"/>
  <c r="AG206" i="3" s="1"/>
  <c r="AF206" i="3" s="1"/>
  <c r="AI206" i="3"/>
  <c r="AJ206" i="3"/>
  <c r="AE203" i="3"/>
  <c r="AG200" i="3"/>
  <c r="AF200" i="3" s="1"/>
  <c r="AR194" i="3"/>
  <c r="AJ194" i="3"/>
  <c r="AH194" i="3"/>
  <c r="AG194" i="3" s="1"/>
  <c r="AF194" i="3" s="1"/>
  <c r="AI194" i="3"/>
  <c r="AC194" i="3"/>
  <c r="AD194" i="3"/>
  <c r="AE194" i="3" s="1"/>
  <c r="AD185" i="3"/>
  <c r="AE185" i="3" s="1"/>
  <c r="AC185" i="3"/>
  <c r="AR185" i="3"/>
  <c r="AJ185" i="3"/>
  <c r="AI185" i="3"/>
  <c r="AH185" i="3"/>
  <c r="AG185" i="3" s="1"/>
  <c r="AF185" i="3" s="1"/>
  <c r="AR182" i="3"/>
  <c r="AH182" i="3"/>
  <c r="AG182" i="3" s="1"/>
  <c r="AF182" i="3" s="1"/>
  <c r="AI182" i="3"/>
  <c r="AJ182" i="3"/>
  <c r="AD182" i="3"/>
  <c r="AE182" i="3" s="1"/>
  <c r="AC182" i="3"/>
  <c r="AD179" i="3"/>
  <c r="AE179" i="3" s="1"/>
  <c r="AC179" i="3"/>
  <c r="AR179" i="3"/>
  <c r="AH179" i="3"/>
  <c r="AG179" i="3" s="1"/>
  <c r="AF179" i="3" s="1"/>
  <c r="AJ179" i="3"/>
  <c r="AI179" i="3"/>
  <c r="AR167" i="3"/>
  <c r="AH167" i="3"/>
  <c r="AG167" i="3" s="1"/>
  <c r="AF167" i="3" s="1"/>
  <c r="AJ167" i="3"/>
  <c r="AI167" i="3"/>
  <c r="AR164" i="3"/>
  <c r="AI164" i="3"/>
  <c r="AH164" i="3"/>
  <c r="AG164" i="3" s="1"/>
  <c r="AF164" i="3" s="1"/>
  <c r="AJ164" i="3"/>
  <c r="AR161" i="3"/>
  <c r="AH161" i="3"/>
  <c r="AG161" i="3" s="1"/>
  <c r="AF161" i="3" s="1"/>
  <c r="AI161" i="3"/>
  <c r="AJ161" i="3"/>
  <c r="AR158" i="3"/>
  <c r="AI158" i="3"/>
  <c r="AH158" i="3"/>
  <c r="AG158" i="3" s="1"/>
  <c r="AF158" i="3" s="1"/>
  <c r="AJ158" i="3"/>
  <c r="AR155" i="3"/>
  <c r="AI155" i="3"/>
  <c r="AJ155" i="3"/>
  <c r="AH155" i="3"/>
  <c r="AG155" i="3" s="1"/>
  <c r="AF155" i="3" s="1"/>
  <c r="AR152" i="3"/>
  <c r="AI152" i="3"/>
  <c r="AH152" i="3"/>
  <c r="AG152" i="3" s="1"/>
  <c r="AF152" i="3" s="1"/>
  <c r="AJ152" i="3"/>
  <c r="AR149" i="3"/>
  <c r="AH149" i="3"/>
  <c r="AR146" i="3"/>
  <c r="AH146" i="3"/>
  <c r="AG146" i="3" s="1"/>
  <c r="AF146" i="3" s="1"/>
  <c r="AJ146" i="3"/>
  <c r="AI146" i="3"/>
  <c r="AR140" i="3"/>
  <c r="AI140" i="3"/>
  <c r="AH140" i="3"/>
  <c r="AG140" i="3" s="1"/>
  <c r="AF140" i="3" s="1"/>
  <c r="AJ140" i="3"/>
  <c r="AJ137" i="3"/>
  <c r="AH137" i="3"/>
  <c r="AG137" i="3" s="1"/>
  <c r="AF137" i="3" s="1"/>
  <c r="AI137" i="3"/>
  <c r="AR137" i="3"/>
  <c r="AR134" i="3"/>
  <c r="AJ134" i="3"/>
  <c r="AI134" i="3"/>
  <c r="AH134" i="3"/>
  <c r="AG134" i="3" s="1"/>
  <c r="AF134" i="3" s="1"/>
  <c r="AH131" i="3"/>
  <c r="AG131" i="3" s="1"/>
  <c r="AF131" i="3" s="1"/>
  <c r="AI131" i="3"/>
  <c r="AR131" i="3"/>
  <c r="AJ131" i="3"/>
  <c r="AR128" i="3"/>
  <c r="AI128" i="3"/>
  <c r="AJ128" i="3"/>
  <c r="AH128" i="3"/>
  <c r="AG128" i="3" s="1"/>
  <c r="AF128" i="3" s="1"/>
  <c r="AR125" i="3"/>
  <c r="AH125" i="3"/>
  <c r="AG125" i="3" s="1"/>
  <c r="AF125" i="3" s="1"/>
  <c r="AI125" i="3"/>
  <c r="AJ125" i="3"/>
  <c r="AR119" i="3"/>
  <c r="AJ119" i="3"/>
  <c r="AH119" i="3"/>
  <c r="AG119" i="3" s="1"/>
  <c r="AF119" i="3" s="1"/>
  <c r="AI119" i="3"/>
  <c r="AR116" i="3"/>
  <c r="AJ116" i="3"/>
  <c r="AH116" i="3"/>
  <c r="AG116" i="3" s="1"/>
  <c r="AF116" i="3" s="1"/>
  <c r="AI116" i="3"/>
  <c r="AR113" i="3"/>
  <c r="AJ113" i="3"/>
  <c r="AI113" i="3"/>
  <c r="AH113" i="3"/>
  <c r="AG113" i="3" s="1"/>
  <c r="AF113" i="3" s="1"/>
  <c r="AR110" i="3"/>
  <c r="AI110" i="3"/>
  <c r="AJ110" i="3"/>
  <c r="AH110" i="3"/>
  <c r="AG110" i="3" s="1"/>
  <c r="AF110" i="3" s="1"/>
  <c r="AR107" i="3"/>
  <c r="AJ107" i="3"/>
  <c r="AH107" i="3"/>
  <c r="AG107" i="3" s="1"/>
  <c r="AF107" i="3" s="1"/>
  <c r="AI107" i="3"/>
  <c r="AR104" i="3"/>
  <c r="AH104" i="3"/>
  <c r="AG104" i="3" s="1"/>
  <c r="AF104" i="3" s="1"/>
  <c r="AI104" i="3"/>
  <c r="AJ104" i="3"/>
  <c r="AR101" i="3"/>
  <c r="AI101" i="3"/>
  <c r="AH101" i="3"/>
  <c r="AG101" i="3" s="1"/>
  <c r="AF101" i="3" s="1"/>
  <c r="AJ101" i="3"/>
  <c r="AR98" i="3"/>
  <c r="AI98" i="3"/>
  <c r="AH98" i="3"/>
  <c r="AG98" i="3" s="1"/>
  <c r="AF98" i="3" s="1"/>
  <c r="AJ98" i="3"/>
  <c r="AR92" i="3"/>
  <c r="AH92" i="3"/>
  <c r="AG92" i="3" s="1"/>
  <c r="AF92" i="3" s="1"/>
  <c r="AI92" i="3"/>
  <c r="AJ92" i="3"/>
  <c r="AR89" i="3"/>
  <c r="AJ89" i="3"/>
  <c r="AH89" i="3"/>
  <c r="AG89" i="3" s="1"/>
  <c r="AF89" i="3" s="1"/>
  <c r="AI89" i="3"/>
  <c r="AR86" i="3"/>
  <c r="AI86" i="3"/>
  <c r="AJ86" i="3"/>
  <c r="AH86" i="3"/>
  <c r="AG86" i="3" s="1"/>
  <c r="AF86" i="3" s="1"/>
  <c r="AR83" i="3"/>
  <c r="AI83" i="3"/>
  <c r="AJ83" i="3"/>
  <c r="AH83" i="3"/>
  <c r="AG83" i="3" s="1"/>
  <c r="AF83" i="3" s="1"/>
  <c r="AR74" i="3"/>
  <c r="AI74" i="3"/>
  <c r="AJ74" i="3"/>
  <c r="AH74" i="3"/>
  <c r="AG74" i="3" s="1"/>
  <c r="AF74" i="3" s="1"/>
  <c r="AH23" i="3"/>
  <c r="AG23" i="3" s="1"/>
  <c r="AF23" i="3" s="1"/>
  <c r="AJ23" i="3"/>
  <c r="AR23" i="3"/>
  <c r="AI23" i="3"/>
  <c r="AR266" i="3" l="1"/>
  <c r="AH266" i="3"/>
  <c r="AG266" i="3" s="1"/>
  <c r="AF266" i="3" s="1"/>
  <c r="AJ266" i="3"/>
  <c r="AI266" i="3"/>
  <c r="AR269" i="3"/>
  <c r="AI269" i="3"/>
  <c r="AJ269" i="3"/>
  <c r="AR263" i="3"/>
  <c r="AI263" i="3"/>
  <c r="AH263" i="3"/>
  <c r="AG263" i="3" s="1"/>
  <c r="AF263" i="3" s="1"/>
  <c r="AJ263" i="3"/>
  <c r="AR260" i="3"/>
  <c r="AI260" i="3"/>
  <c r="AJ260" i="3"/>
  <c r="AH260" i="3"/>
  <c r="AG260" i="3" s="1"/>
  <c r="AF260" i="3" s="1"/>
  <c r="AR275" i="3"/>
  <c r="AH275" i="3"/>
  <c r="AR272" i="3"/>
  <c r="AJ272" i="3"/>
  <c r="AI272" i="3"/>
  <c r="AH272" i="3"/>
  <c r="AG272" i="3" s="1"/>
  <c r="AF272" i="3" s="1"/>
  <c r="AG149" i="3"/>
  <c r="AF149" i="3" s="1"/>
  <c r="AJ149" i="3"/>
  <c r="AI149" i="3"/>
  <c r="AJ275" i="3" l="1"/>
  <c r="AG275" i="3"/>
  <c r="AF275" i="3" s="1"/>
  <c r="AI275" i="3"/>
  <c r="U210" i="3" l="1"/>
  <c r="U222" i="3"/>
  <c r="U219" i="3"/>
  <c r="U228" i="3"/>
  <c r="U213"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<sst xmlns="http://schemas.openxmlformats.org/spreadsheetml/2006/main" count="10691" uniqueCount="4996">
  <si>
    <t>Note:</t>
  </si>
  <si>
    <t>1. All MR Issuance with Attached File to be used IFR version, some long lead item to be used FEED document as MR Issuance basis which listed in Remark</t>
  </si>
  <si>
    <t>2. In principle, Datasheet - IFA version shall be issued before TBE issuance as much as possible to avoid the big gap of changes.</t>
  </si>
  <si>
    <t>3.TBE- AFC and MR-AFC should be issued before PO issuance.</t>
  </si>
  <si>
    <t>4.For the Steel Structural, TJE will sign the frame agreement with alternative vendors firstly, once the MTO&amp;IFA drawing issuance, TJE will purchase order promptly</t>
  </si>
  <si>
    <t>5.The 3rd line of Each procuremnt package with "Proposal from TJE" in column N , has been aligned with GCME about date of MR issuance with atteched relative documents, then forward schedule in procurement and leadtime to ETA, this line is the basis for schedule developing.</t>
  </si>
  <si>
    <t>LA</t>
  </si>
  <si>
    <t>LB</t>
  </si>
  <si>
    <t>LC</t>
  </si>
  <si>
    <t>LD</t>
  </si>
  <si>
    <t xml:space="preserve">ZM167 PTTEPI ASK Procurement Plan </t>
  </si>
  <si>
    <t>Update</t>
  </si>
  <si>
    <t>No.</t>
  </si>
  <si>
    <t>RFQ No.</t>
  </si>
  <si>
    <t>Package Name</t>
  </si>
  <si>
    <t>Actual Lead Time</t>
  </si>
  <si>
    <t>Delivery Duration (Weeks)</t>
  </si>
  <si>
    <t>Deviation</t>
  </si>
  <si>
    <t>Total Weight</t>
  </si>
  <si>
    <t>CODE</t>
  </si>
  <si>
    <t>Discripline</t>
  </si>
  <si>
    <t>Long Lead Item (Y/N)</t>
  </si>
  <si>
    <t>Criticality Rating</t>
  </si>
  <si>
    <t>Priority Level</t>
  </si>
  <si>
    <t>Bidder List Approval</t>
  </si>
  <si>
    <t>MR  Issued</t>
  </si>
  <si>
    <t>MR Approved</t>
  </si>
  <si>
    <t>RFQ Issued</t>
  </si>
  <si>
    <t>RFQ Approved</t>
  </si>
  <si>
    <t>CFT Issuance</t>
  </si>
  <si>
    <t>Bid Closing Date</t>
  </si>
  <si>
    <t>TBE Issued</t>
  </si>
  <si>
    <t>TBE Approved</t>
  </si>
  <si>
    <t>LOA SIGN</t>
  </si>
  <si>
    <t xml:space="preserve">PO Issued </t>
  </si>
  <si>
    <t>Vendor Acknowledgement</t>
  </si>
  <si>
    <t>KOM</t>
  </si>
  <si>
    <t>VD Submission</t>
  </si>
  <si>
    <t>Approval of Key Vendor Documents</t>
  </si>
  <si>
    <t>Delivery of Major Materials</t>
  </si>
  <si>
    <t>PIM</t>
  </si>
  <si>
    <t>Start Production</t>
  </si>
  <si>
    <t>FAT</t>
  </si>
  <si>
    <t>Ready for Shipment</t>
  </si>
  <si>
    <t>Receipt at WORKSITE</t>
  </si>
  <si>
    <t>Punch List Clearance</t>
  </si>
  <si>
    <t>Approval of Final Documentation  (To be confirmed later)</t>
  </si>
  <si>
    <t>Lead Time</t>
  </si>
  <si>
    <t>ETA date</t>
  </si>
  <si>
    <t>ROS date</t>
  </si>
  <si>
    <t>ROS date update</t>
  </si>
  <si>
    <t>Construction Date</t>
  </si>
  <si>
    <t>Remark</t>
  </si>
  <si>
    <t>Float</t>
  </si>
  <si>
    <t>Total Float</t>
  </si>
  <si>
    <t>Matrix</t>
  </si>
  <si>
    <t>Installation</t>
  </si>
  <si>
    <t>Holiday</t>
  </si>
  <si>
    <t>China</t>
  </si>
  <si>
    <t>Thai</t>
  </si>
  <si>
    <t>RFQ-MEC-001</t>
  </si>
  <si>
    <t>Offshore Pedestal Crane</t>
  </si>
  <si>
    <t>Mechanical</t>
  </si>
  <si>
    <t>New Plan</t>
  </si>
  <si>
    <t>Long Lead</t>
  </si>
  <si>
    <t>WPA-01</t>
  </si>
  <si>
    <t>4-2.1</t>
  </si>
  <si>
    <t>Y</t>
  </si>
  <si>
    <t>Forecast</t>
  </si>
  <si>
    <t>WPA-02</t>
  </si>
  <si>
    <t>Actual</t>
  </si>
  <si>
    <t>Upper Deck</t>
  </si>
  <si>
    <t>RFQ-MEC-002</t>
  </si>
  <si>
    <t>Material Handling Equipment</t>
  </si>
  <si>
    <t>4-2.2</t>
  </si>
  <si>
    <t>N</t>
  </si>
  <si>
    <t>check Location</t>
  </si>
  <si>
    <t>RFQ-MEC-003</t>
  </si>
  <si>
    <t>Instrument Gas Filter Coalescer</t>
  </si>
  <si>
    <t>4-2.4</t>
  </si>
  <si>
    <t>Lower Deck</t>
  </si>
  <si>
    <t>RFQ-MEC-004</t>
  </si>
  <si>
    <t>TEST AND PRODUCTION SEPARATOR</t>
  </si>
  <si>
    <t>4-2.3</t>
  </si>
  <si>
    <t>RFQ-PIP-005</t>
  </si>
  <si>
    <t>QUICK OPENING CLOSURE</t>
  </si>
  <si>
    <t>Piping</t>
  </si>
  <si>
    <t>4-2.6</t>
  </si>
  <si>
    <t>RFQ-MEC-006</t>
  </si>
  <si>
    <t>CHEMICAL INJECTION PUMPS PACKAGE</t>
  </si>
  <si>
    <t>4-2.8</t>
  </si>
  <si>
    <t>RFQ-MEC-008</t>
  </si>
  <si>
    <t>DEOILER HYDRO CYCLONE PACKAGE</t>
  </si>
  <si>
    <t>NA</t>
  </si>
  <si>
    <t>4-2.10</t>
  </si>
  <si>
    <t>only  WPA02</t>
  </si>
  <si>
    <t>RFQ-MEC-009</t>
  </si>
  <si>
    <t>DEGASSER DRUM</t>
  </si>
  <si>
    <t>4-2.11</t>
  </si>
  <si>
    <t>RFQ-MEC-010</t>
  </si>
  <si>
    <t>Skim Tank Vessel</t>
  </si>
  <si>
    <t>4-2.13</t>
  </si>
  <si>
    <t>RFQ-MEC-011</t>
  </si>
  <si>
    <t>Closed Drain Sump Vessel</t>
  </si>
  <si>
    <t>4-2.12</t>
  </si>
  <si>
    <t>Sump Deck</t>
  </si>
  <si>
    <t>RFQ-MEC-013</t>
  </si>
  <si>
    <t>Storage Tank</t>
  </si>
  <si>
    <t>4-2.17</t>
  </si>
  <si>
    <t>Mezz &amp; Lower</t>
  </si>
  <si>
    <t>RFQ-MEC-014</t>
  </si>
  <si>
    <t>CLOSED DRAIN SUMP PUMP AND RECOVERY WATER PUMP PACKAGE</t>
  </si>
  <si>
    <t>4-2.21</t>
  </si>
  <si>
    <t>RFQ-MEC-015</t>
  </si>
  <si>
    <t>DIESEL TRANSFER PUMP PACKAGE</t>
  </si>
  <si>
    <t>4-2.23</t>
  </si>
  <si>
    <t>RFQ-MEC-016</t>
  </si>
  <si>
    <t>OPEN DRAIN CAISSON PUMP PACKAGE</t>
  </si>
  <si>
    <t>4-2.24</t>
  </si>
  <si>
    <t>RFQ-ELE-017</t>
  </si>
  <si>
    <t>AC/DC Distribution Board</t>
  </si>
  <si>
    <t>Electrical</t>
  </si>
  <si>
    <t>4-3.1</t>
  </si>
  <si>
    <t>It is included in RFQ for Solar Power System</t>
  </si>
  <si>
    <t>RFQ-ELE-018</t>
  </si>
  <si>
    <t>Solar Power System</t>
  </si>
  <si>
    <t>4-3.3</t>
  </si>
  <si>
    <t>RFQ-ELE-019</t>
  </si>
  <si>
    <t>Navigation Aid System</t>
  </si>
  <si>
    <t>4-3.2</t>
  </si>
  <si>
    <t>RFQ-ELE-020</t>
  </si>
  <si>
    <t>External Battery Charger</t>
  </si>
  <si>
    <t>RFQ-INS-021</t>
  </si>
  <si>
    <t>Control Valve</t>
  </si>
  <si>
    <t>Instrument</t>
  </si>
  <si>
    <t>4-4.5</t>
  </si>
  <si>
    <t>installation during Reinstatement</t>
  </si>
  <si>
    <t>RFQ-INS-022</t>
  </si>
  <si>
    <t>Self Regulator Valve</t>
  </si>
  <si>
    <t>4-4.6</t>
  </si>
  <si>
    <t>RFQ-INS-023</t>
  </si>
  <si>
    <t>Actuated Choke Valve</t>
  </si>
  <si>
    <t>4-4.3</t>
  </si>
  <si>
    <t>RFQ-INS-024</t>
  </si>
  <si>
    <t>Actuated Ball Valve</t>
  </si>
  <si>
    <t>4-4.4</t>
  </si>
  <si>
    <t>RFQ-INS-025</t>
  </si>
  <si>
    <t>Actuated Compact Ball Valve</t>
  </si>
  <si>
    <t>RFQ-INS-026</t>
  </si>
  <si>
    <t>Safety Relief Valves</t>
  </si>
  <si>
    <t>4-4.7</t>
  </si>
  <si>
    <t>RFQ-INS-027</t>
  </si>
  <si>
    <t xml:space="preserve">Coriolis Flow Meters </t>
  </si>
  <si>
    <t>4-4.9</t>
  </si>
  <si>
    <t>RFQ-INS-028</t>
  </si>
  <si>
    <t>WELLHEAD CONTROL PANEL (WHCP)</t>
  </si>
  <si>
    <t>4-4.2</t>
  </si>
  <si>
    <t>RFQ-INS-029</t>
  </si>
  <si>
    <t>Pressure Gauge</t>
  </si>
  <si>
    <t>4-4.12</t>
  </si>
  <si>
    <t>RFQ-INS-030</t>
  </si>
  <si>
    <t>Pressure Transmitter</t>
  </si>
  <si>
    <t>RFQ-INS-031</t>
  </si>
  <si>
    <t>Temperature Gauge</t>
  </si>
  <si>
    <t>RFQ-INS-032</t>
  </si>
  <si>
    <t>Temperature Transmitter</t>
  </si>
  <si>
    <t>RFQ-INS-033</t>
  </si>
  <si>
    <t>Vortex Flow Meter</t>
  </si>
  <si>
    <t>4-4.10</t>
  </si>
  <si>
    <t>RFQ-INS-034</t>
  </si>
  <si>
    <t>LEVEL GAUGE AND TRANSMITTERS</t>
  </si>
  <si>
    <t>RFQ-INS-035</t>
  </si>
  <si>
    <t>Pig Signaller</t>
  </si>
  <si>
    <t>4-4.11</t>
  </si>
  <si>
    <t>RFQ-INS-036</t>
  </si>
  <si>
    <t>Rrestriction Orifice</t>
  </si>
  <si>
    <t>RFQ-INS-037</t>
  </si>
  <si>
    <t>PLC System</t>
  </si>
  <si>
    <t>4-4.1</t>
  </si>
  <si>
    <t>RFQ-INS-038</t>
  </si>
  <si>
    <t>Fire and Gas Detector</t>
  </si>
  <si>
    <t>4-4.20</t>
  </si>
  <si>
    <t>Dip Tape Level Indicator</t>
  </si>
  <si>
    <t>/</t>
  </si>
  <si>
    <t>RFQ-INS-040</t>
  </si>
  <si>
    <t>Position Limit Switches</t>
  </si>
  <si>
    <t>4-4.14</t>
  </si>
  <si>
    <t>RFQ-INS-041</t>
  </si>
  <si>
    <t>Guided Wave Radar Level Transmitter</t>
  </si>
  <si>
    <t>RFQ-INS-042</t>
  </si>
  <si>
    <t>OIL IN WATER ANALYZER</t>
  </si>
  <si>
    <t>4-4.8</t>
  </si>
  <si>
    <t>RFQ-INS-043</t>
  </si>
  <si>
    <t>Level Switch</t>
  </si>
  <si>
    <t>4-4.13</t>
  </si>
  <si>
    <t>RFQ-INS-044</t>
  </si>
  <si>
    <t>Flow Switch</t>
  </si>
  <si>
    <t>RFQ-INS-045</t>
  </si>
  <si>
    <t>SCADA System</t>
  </si>
  <si>
    <t>4-4.18</t>
  </si>
  <si>
    <t>RFQ-TEL-046</t>
  </si>
  <si>
    <t>TELECOMMUNICATION SYSTEM</t>
  </si>
  <si>
    <t>Telecommunication</t>
  </si>
  <si>
    <t>4-4.15</t>
  </si>
  <si>
    <t>RFQ-TEL-047</t>
  </si>
  <si>
    <t>MARINE RACON (RACON)</t>
  </si>
  <si>
    <t>4-4.16</t>
  </si>
  <si>
    <t>RFQ-PIP-048</t>
  </si>
  <si>
    <t>BALL VALVE (FLANGE END)</t>
  </si>
  <si>
    <t>4-1</t>
  </si>
  <si>
    <t>2/3</t>
  </si>
  <si>
    <t>install before Testing</t>
  </si>
  <si>
    <t>RFQ-PIP-049</t>
  </si>
  <si>
    <t>BALL VALVE (Welded END)</t>
  </si>
  <si>
    <t>RFQ-PIP-050</t>
  </si>
  <si>
    <t>GLOBE VALVE (FLANGE END)</t>
  </si>
  <si>
    <t>RFQ-PIP-051</t>
  </si>
  <si>
    <t>GLOBE VALVE (WELDED END)</t>
  </si>
  <si>
    <t>RFQ-PIP-052</t>
  </si>
  <si>
    <t>CHECK VALVE (FLANGE END)</t>
  </si>
  <si>
    <t>RFQ-PIP-053</t>
  </si>
  <si>
    <t>CHECK VALVE (WELDED END)</t>
  </si>
  <si>
    <t>RFQ-PIP-054</t>
  </si>
  <si>
    <t>COMPACT CHECK VALVE (WELDED END)</t>
  </si>
  <si>
    <t>RFQ-STR-055</t>
  </si>
  <si>
    <t>Primary Steel - Plates for topside</t>
  </si>
  <si>
    <t>Structural</t>
  </si>
  <si>
    <t>5-2</t>
  </si>
  <si>
    <t>1st Cutting Change to 16-Aug</t>
  </si>
  <si>
    <t>RFQ-STR-056</t>
  </si>
  <si>
    <t>Primary Steel – Beam for topside</t>
  </si>
  <si>
    <t>for Deck Pre-assembly</t>
  </si>
  <si>
    <t>RFQ-STR-057</t>
  </si>
  <si>
    <t>Secondary Steel – Beam for topside (W-Type)</t>
  </si>
  <si>
    <t>5-4</t>
  </si>
  <si>
    <t>RFQ-STR-102</t>
  </si>
  <si>
    <t>Secondary Steel – Beam for topside (L&amp;C Type)</t>
  </si>
  <si>
    <t>RFQ-STR-058</t>
  </si>
  <si>
    <t xml:space="preserve">Topside Tertiary Steel </t>
  </si>
  <si>
    <t>RFQ-STR-059</t>
  </si>
  <si>
    <t xml:space="preserve">Primary Steel - Tubular for topside </t>
  </si>
  <si>
    <t>Column and Brace</t>
  </si>
  <si>
    <t>RFQ-STR-060</t>
  </si>
  <si>
    <t>Primary Steel - Plates for jacket</t>
  </si>
  <si>
    <t>RFQ-STR-061</t>
  </si>
  <si>
    <t xml:space="preserve">Secondary Steel -Beam for jacket </t>
  </si>
  <si>
    <t>Same information with RFQ--057</t>
  </si>
  <si>
    <t>RFQ-STR-062</t>
  </si>
  <si>
    <t xml:space="preserve">Primary Steel -Tubular for jacket </t>
  </si>
  <si>
    <t>RFQ-STR-064</t>
  </si>
  <si>
    <t>Primary Steel - Plates for Pile</t>
  </si>
  <si>
    <t>5-3</t>
  </si>
  <si>
    <t>RFQ-STR-065</t>
  </si>
  <si>
    <t>Primary Steel -Tubular for Pile</t>
  </si>
  <si>
    <t>RFQ-PIP-067</t>
  </si>
  <si>
    <t>CS Fitting</t>
  </si>
  <si>
    <t>5-5</t>
  </si>
  <si>
    <t>RFQ-PIP-068</t>
  </si>
  <si>
    <t>SS  Fitting</t>
  </si>
  <si>
    <t>RFQ-PIP-103</t>
  </si>
  <si>
    <t>DSS Fitting</t>
  </si>
  <si>
    <t>RFQ-PIP-069</t>
  </si>
  <si>
    <t>CS Flange</t>
  </si>
  <si>
    <t>RFQ-PIP-070</t>
  </si>
  <si>
    <t>SS Flange</t>
  </si>
  <si>
    <t>RFQ-PIP-104</t>
  </si>
  <si>
    <t>DSS Flange</t>
  </si>
  <si>
    <t>RFQ-PIP-072</t>
  </si>
  <si>
    <t>CS Pipe</t>
  </si>
  <si>
    <t>RFQ-PIP-073</t>
  </si>
  <si>
    <t>SS AND DSS PIPE</t>
  </si>
  <si>
    <t>RFQ-PIP-075</t>
  </si>
  <si>
    <t>STUD BOLTS AND NUTS</t>
  </si>
  <si>
    <t>RFQ-PIP-076</t>
  </si>
  <si>
    <t>Gasket</t>
  </si>
  <si>
    <t>RFQ-ELE-077</t>
  </si>
  <si>
    <t>ELECTRICAL CABLES</t>
  </si>
  <si>
    <t>5-7</t>
  </si>
  <si>
    <t>RFQ-ELE-078</t>
  </si>
  <si>
    <t>ELECTRICAL BULK MATERIALS</t>
  </si>
  <si>
    <t>cable Tray</t>
  </si>
  <si>
    <t>RFQ-ELE-079</t>
  </si>
  <si>
    <t>FOG HORN</t>
  </si>
  <si>
    <t>RFQ-INS-080</t>
  </si>
  <si>
    <t>INSTRUMENT BULK MATERIALS</t>
  </si>
  <si>
    <t>5-8</t>
  </si>
  <si>
    <t>RFQ-INS-081</t>
  </si>
  <si>
    <t>Instrument Cables</t>
  </si>
  <si>
    <t>RFQ-SAF-082</t>
  </si>
  <si>
    <t>FIREFIGHTING EQUIPMENT</t>
  </si>
  <si>
    <t>Safety</t>
  </si>
  <si>
    <t>4-5</t>
  </si>
  <si>
    <t>RFQ-SAF-083</t>
  </si>
  <si>
    <t xml:space="preserve">LIFESAVING EQUIPMENT AND SAFETY EQUIPMENT </t>
  </si>
  <si>
    <t>RFQ-SAF-084</t>
  </si>
  <si>
    <t>SAFETY SIGNS</t>
  </si>
  <si>
    <t>RFQ-PLR-085</t>
  </si>
  <si>
    <t>PIPELINE FLANGES</t>
  </si>
  <si>
    <t>Piping &amp; Riser</t>
  </si>
  <si>
    <t>5-6</t>
  </si>
  <si>
    <t>RFQ-PLR-086</t>
  </si>
  <si>
    <t>BARRED TEE</t>
  </si>
  <si>
    <t>RFQ-PLR-087</t>
  </si>
  <si>
    <t>PIGGABLE WYE</t>
  </si>
  <si>
    <t>RFQ-PLR-088</t>
  </si>
  <si>
    <t>BARREL REDUCER</t>
  </si>
  <si>
    <t>Request CPY for support to shorten the approval cycle.</t>
  </si>
  <si>
    <t>RFQ-TEL- 089</t>
  </si>
  <si>
    <t>Telecommunication System Bulk Material</t>
  </si>
  <si>
    <t>5-9</t>
  </si>
  <si>
    <t>RFQ-STR-090</t>
  </si>
  <si>
    <t>JKT Anode</t>
  </si>
  <si>
    <t>5-11</t>
  </si>
  <si>
    <t>RFQ-PIP-093</t>
  </si>
  <si>
    <t>Coat</t>
  </si>
  <si>
    <t>Coating</t>
  </si>
  <si>
    <t>Topside Deck B&amp;P</t>
  </si>
  <si>
    <t>RFQ-PIP-092</t>
  </si>
  <si>
    <t>CORROSION FITTINGS (PROBE, COUPON AND CHEMICAL INJECTION QUILL)</t>
  </si>
  <si>
    <t>RFQ-PIP-094</t>
  </si>
  <si>
    <t>HOSE AND HOSE CONNECTOR</t>
  </si>
  <si>
    <t>RFQ-PIP-095</t>
  </si>
  <si>
    <t>STRAINER</t>
  </si>
  <si>
    <t>RFQ-PIP-096</t>
  </si>
  <si>
    <t>LIQUID TRAP</t>
  </si>
  <si>
    <t>RFQ-PIP-097</t>
  </si>
  <si>
    <t>G-CLAMP</t>
  </si>
  <si>
    <t>RFQ-PIP-098</t>
  </si>
  <si>
    <t>FLAME ARRESTOR</t>
  </si>
  <si>
    <t>RFQ-PIP-099</t>
  </si>
  <si>
    <t>Sightt Glass</t>
  </si>
  <si>
    <t>RFQ-PIP-100</t>
  </si>
  <si>
    <t>PIPE SUPPORT</t>
  </si>
  <si>
    <r>
      <rPr>
        <sz val="10"/>
        <rFont val="SimSun"/>
      </rPr>
      <t>基于</t>
    </r>
    <r>
      <rPr>
        <sz val="10"/>
        <rFont val="Arial"/>
        <family val="2"/>
      </rPr>
      <t>Standard Piping Support</t>
    </r>
  </si>
  <si>
    <t>RFQ-INS-101</t>
  </si>
  <si>
    <t>DP LEVEL TRANSMITERS</t>
  </si>
  <si>
    <t>DP LEVEL TRANSMITTERS</t>
  </si>
  <si>
    <t>RFQ-STR-105</t>
  </si>
  <si>
    <t>Primary Seamless Pipe</t>
  </si>
  <si>
    <t>RFQ-STR-106</t>
  </si>
  <si>
    <t xml:space="preserve">Secondary Steel – Seamless pipe </t>
  </si>
  <si>
    <t>Secondary Steel – Seamless pipe</t>
  </si>
  <si>
    <t>RFQ-STR-107</t>
  </si>
  <si>
    <t>Secondary Steel – Plate</t>
  </si>
  <si>
    <t>Description</t>
  </si>
  <si>
    <t>Delivery
To Site</t>
  </si>
  <si>
    <t>ActivityID</t>
  </si>
  <si>
    <t>Activity Name</t>
  </si>
  <si>
    <t>Planned Duration</t>
  </si>
  <si>
    <t>Start</t>
  </si>
  <si>
    <t>Finish</t>
  </si>
  <si>
    <t>Calendar</t>
  </si>
  <si>
    <t>DETAILENGINEERINGFORWELLHEADPLATFORMS(WPA01ANDWPA02)(ASKPROJECT)</t>
  </si>
  <si>
    <t>PTTME Office 5dx8h</t>
  </si>
  <si>
    <t>PROJECTMILESTONE</t>
  </si>
  <si>
    <t>MI-1000</t>
  </si>
  <si>
    <t>Project Start, KOM</t>
  </si>
  <si>
    <t>MI-1010</t>
  </si>
  <si>
    <t>P&amp;ID Issue for Review</t>
  </si>
  <si>
    <t>27-Apr-26*</t>
  </si>
  <si>
    <t>MI-1020</t>
  </si>
  <si>
    <t>30% Model Review</t>
  </si>
  <si>
    <t>MI-1030</t>
  </si>
  <si>
    <t>P&amp;ID issue for HAZOP</t>
  </si>
  <si>
    <t>MI-1040</t>
  </si>
  <si>
    <t>HAZID Review Meeting</t>
  </si>
  <si>
    <t>MI-1050</t>
  </si>
  <si>
    <t>HAZOP Review Meeting</t>
  </si>
  <si>
    <t>MI-1060</t>
  </si>
  <si>
    <t>SIL Review Meeting</t>
  </si>
  <si>
    <t>MI-1070</t>
  </si>
  <si>
    <t>Structural - Primary MTO Issue for review</t>
  </si>
  <si>
    <t>26-May-26*</t>
  </si>
  <si>
    <t>MI-1080</t>
  </si>
  <si>
    <t>60% Model Review</t>
  </si>
  <si>
    <t>MI-1090</t>
  </si>
  <si>
    <t>90% Model Review</t>
  </si>
  <si>
    <t>MI-1100</t>
  </si>
  <si>
    <t>Issue all AFC Documents /Drawing</t>
  </si>
  <si>
    <t>MI-1110</t>
  </si>
  <si>
    <t>Design Engineering Compilation</t>
  </si>
  <si>
    <t>GENERALSTUDIES</t>
  </si>
  <si>
    <t>PJ-1000</t>
  </si>
  <si>
    <t>Master Deliverable Register - IFR</t>
  </si>
  <si>
    <t>PJ-1010</t>
  </si>
  <si>
    <t>Master Deliverable Register - AFC</t>
  </si>
  <si>
    <t>PJ-1020</t>
  </si>
  <si>
    <t>Engineering Master Schedule - IFR</t>
  </si>
  <si>
    <t>PJ-1030</t>
  </si>
  <si>
    <t>Engineering Master Schedule - AFC</t>
  </si>
  <si>
    <t>PROCESSANDUTILITIESENGINEERING</t>
  </si>
  <si>
    <t>PR-1000</t>
  </si>
  <si>
    <t>Process Basis of Design - IFR</t>
  </si>
  <si>
    <t>PR-1010</t>
  </si>
  <si>
    <t>Process Basis of Design - IFA</t>
  </si>
  <si>
    <t>PR-1020</t>
  </si>
  <si>
    <t>Process Basis of Design - AFC</t>
  </si>
  <si>
    <t>PR-1090</t>
  </si>
  <si>
    <t>Process Simulation Report - IFR</t>
  </si>
  <si>
    <t>PR-1100</t>
  </si>
  <si>
    <t>Process Simulation Report - AFC</t>
  </si>
  <si>
    <t>PR-1110</t>
  </si>
  <si>
    <t>Utility Balance and Consumption Report - IFR</t>
  </si>
  <si>
    <t>PR-1120</t>
  </si>
  <si>
    <t>Utility Balance and Consumption Report - AFC</t>
  </si>
  <si>
    <t>PR-1130</t>
  </si>
  <si>
    <t>AIV And FIV Study Report - IFR</t>
  </si>
  <si>
    <t>PR-1140</t>
  </si>
  <si>
    <t>AIV And FIV Study Report - AFC</t>
  </si>
  <si>
    <t>PR-1150</t>
  </si>
  <si>
    <t>Depressurization and Low Temperature Study Report - IFR</t>
  </si>
  <si>
    <t>PR-1160</t>
  </si>
  <si>
    <t>Depressurization and Low Temperature Study Report - AFC</t>
  </si>
  <si>
    <t>PR-1170</t>
  </si>
  <si>
    <t>Vent Sizing and Relief Load Report - IFR</t>
  </si>
  <si>
    <t>PR-1180</t>
  </si>
  <si>
    <t>Vent Sizing and Relief Load Report - AFC</t>
  </si>
  <si>
    <t>PR-1190</t>
  </si>
  <si>
    <t>Instrument Gas System Study Report - IFR</t>
  </si>
  <si>
    <t>PR-1200</t>
  </si>
  <si>
    <t>Instrument Gas System Study Report - AFC</t>
  </si>
  <si>
    <t>PR-1201</t>
  </si>
  <si>
    <t>Produced Water Study Report - IFR</t>
  </si>
  <si>
    <t>PR-1202</t>
  </si>
  <si>
    <t>Produced Water Study Report - AFC</t>
  </si>
  <si>
    <t>PR-1210</t>
  </si>
  <si>
    <t>Topside Dynamic Overpressure Protection Study Report - IFR</t>
  </si>
  <si>
    <t>PR-1220</t>
  </si>
  <si>
    <t>Topside Dynamic Overpressure Protection Study Report - AFC</t>
  </si>
  <si>
    <t>PR-1230</t>
  </si>
  <si>
    <t>Process Line List - IFR</t>
  </si>
  <si>
    <t>PR-1240</t>
  </si>
  <si>
    <t>Process Line List - AFC</t>
  </si>
  <si>
    <t>PR-1250</t>
  </si>
  <si>
    <t>ESD Logic Diagram - IFR</t>
  </si>
  <si>
    <t>PR-1260</t>
  </si>
  <si>
    <t>ESD Logic Diagram - AFC</t>
  </si>
  <si>
    <t>PR-1270</t>
  </si>
  <si>
    <t>Operating, Control, Shutdown and Black Start Philosophy - IFR</t>
  </si>
  <si>
    <t>PR-1280</t>
  </si>
  <si>
    <t>Operating, Control, Shutdown and Black Start Philosophy - AFC</t>
  </si>
  <si>
    <t>PR-1290</t>
  </si>
  <si>
    <t>Isolation Philosophy - IFR</t>
  </si>
  <si>
    <t>PR-1300</t>
  </si>
  <si>
    <t>Isolation Philosophy - AFC</t>
  </si>
  <si>
    <t>PR-1310</t>
  </si>
  <si>
    <t>Vent and Drain Philosophy - AFC</t>
  </si>
  <si>
    <t>PR-1320</t>
  </si>
  <si>
    <t>Process Control Narrative - AFC</t>
  </si>
  <si>
    <t>PR-1330</t>
  </si>
  <si>
    <t>Process Flow Diagram (WP01) (1 Sheet) - IFR</t>
  </si>
  <si>
    <t>PR-1340</t>
  </si>
  <si>
    <t>Process Flow Diagram (WP01) (1 Sheet) - IFA</t>
  </si>
  <si>
    <t>PR-1350</t>
  </si>
  <si>
    <t>Process Flow Diagram (WP01) (1 Sheet)  - AFC</t>
  </si>
  <si>
    <t>PR-1360</t>
  </si>
  <si>
    <t>Utility Flow Diagram (WP01) (4 Sheets) - IFR</t>
  </si>
  <si>
    <t>PR-1370</t>
  </si>
  <si>
    <t>Utility Flow Diagram (WP01) (4 Sheets) - IFA</t>
  </si>
  <si>
    <t>PR-1380</t>
  </si>
  <si>
    <t>Utility Flow Diagram (WP01) (4 Sheets) - AFC</t>
  </si>
  <si>
    <t>PR-1390</t>
  </si>
  <si>
    <t>Process Flow Diagram (WP02) (3 Sheets) - IFR</t>
  </si>
  <si>
    <t>PR-1400</t>
  </si>
  <si>
    <t>Process Flow Diagram (WP02) (3 Sheets) - IFA</t>
  </si>
  <si>
    <t>PR-1410</t>
  </si>
  <si>
    <t>Process Flow Diagram (WP02) (3 Sheets)- AFC</t>
  </si>
  <si>
    <t>PR-1420</t>
  </si>
  <si>
    <t>Utility Flow Diagram (WP02) (4 Sheets) - IFR</t>
  </si>
  <si>
    <t>PR-1430</t>
  </si>
  <si>
    <t>Utility Flow Diagram (WP02) (4 Sheets) - IFA</t>
  </si>
  <si>
    <t>PR-1440</t>
  </si>
  <si>
    <t>Utility Flow Diagram (WP02) (4 Sheets) - AFC</t>
  </si>
  <si>
    <t>PR-1450</t>
  </si>
  <si>
    <t>Piping &amp; Instrumentation Diagram (10 Sheets) - IFR</t>
  </si>
  <si>
    <t>PR-1460</t>
  </si>
  <si>
    <t>Piping &amp; Instrumentation Diagram (10 Sheets) - IFA</t>
  </si>
  <si>
    <t>PR-1470</t>
  </si>
  <si>
    <t>Piping &amp; Instrumentation Diagram (10 Sheets) - AFC</t>
  </si>
  <si>
    <t>PR-1480</t>
  </si>
  <si>
    <t>Piping &amp; Instrumentation Diagram (WP01) (19 Sheets) - IFR</t>
  </si>
  <si>
    <t>PR-1490</t>
  </si>
  <si>
    <t>Piping &amp; Instrumentation Diagram (WP01) (19 Sheets) - IFA</t>
  </si>
  <si>
    <t>PR-1500</t>
  </si>
  <si>
    <t>Piping &amp; Instrumentation Diagram (WP01) (19 Sheets) - AFC</t>
  </si>
  <si>
    <t>PR-1510</t>
  </si>
  <si>
    <t>Piping &amp; Instrumentation Diagram (WP02) (10 Sheets) - IFR</t>
  </si>
  <si>
    <t>PR-1520</t>
  </si>
  <si>
    <t>Piping &amp; Instrumentation Diagram (WP02) (26 Sheets) - IFA</t>
  </si>
  <si>
    <t>PR-1530</t>
  </si>
  <si>
    <t>Piping &amp; Instrumentation Diagram (WP02) (26 Sheets) - AFC</t>
  </si>
  <si>
    <t>PR-1540</t>
  </si>
  <si>
    <t>Heat and Material Balance for WP01 - IFR</t>
  </si>
  <si>
    <t>PR-1550</t>
  </si>
  <si>
    <t>Heat and Material Balance for WP01 - AFC</t>
  </si>
  <si>
    <t>PR-1560</t>
  </si>
  <si>
    <t>Heat and Material Balance for WP02 - IFR</t>
  </si>
  <si>
    <t>PR-1570</t>
  </si>
  <si>
    <t>Heat and Material Balance for WP02 - AFC</t>
  </si>
  <si>
    <t>PR-1580</t>
  </si>
  <si>
    <t>Flow Assurance Basis of Design - IFR</t>
  </si>
  <si>
    <t>PR-1590</t>
  </si>
  <si>
    <t>Flow Assurance Basis of Design - IFA</t>
  </si>
  <si>
    <t>PR-1600</t>
  </si>
  <si>
    <t>Flow Assurance Basis of Design - AFC</t>
  </si>
  <si>
    <t>PR-1610</t>
  </si>
  <si>
    <t>Steady State Flow Assurance Study Report - IFR</t>
  </si>
  <si>
    <t>PR-1620</t>
  </si>
  <si>
    <t>Steady State Flow Assurance Study Report - AFC</t>
  </si>
  <si>
    <t>PR-1630</t>
  </si>
  <si>
    <t>Transient Flow Assurance Study Report - IFR</t>
  </si>
  <si>
    <t>PR-1640</t>
  </si>
  <si>
    <t>Transient Flow Assurance Study Report - IFA</t>
  </si>
  <si>
    <t>PR-1650</t>
  </si>
  <si>
    <t>Transient Flow Assurance Study Report - AFC</t>
  </si>
  <si>
    <t>ProcessCalculationNote</t>
  </si>
  <si>
    <t>PR-1660</t>
  </si>
  <si>
    <t>Process Calculation Note for Line Sizing  - IFR</t>
  </si>
  <si>
    <t>PR-1670</t>
  </si>
  <si>
    <t>Process Calculation Note for Line Sizing - AFC</t>
  </si>
  <si>
    <t>PR-1680</t>
  </si>
  <si>
    <t>Process Calculation Note for Test Separator Sizing - IFR</t>
  </si>
  <si>
    <t>PR-1690</t>
  </si>
  <si>
    <t>Process Calculation Note for Test Separator Sizing - AFC</t>
  </si>
  <si>
    <t>PR-1700</t>
  </si>
  <si>
    <t>Process Calculation Note for Production Separator (V-01001) - IFR</t>
  </si>
  <si>
    <t>PR-1710</t>
  </si>
  <si>
    <t>Process Calculation Note for Production Separator (V-01001) - AFC</t>
  </si>
  <si>
    <t>PR-1720</t>
  </si>
  <si>
    <t>Process Calculation Note for Skim Tank Vessel (V-10002) - IFR</t>
  </si>
  <si>
    <t>PR-1730</t>
  </si>
  <si>
    <t>Process Calculation Note for Skim Tank Vessel (V-10002) - AFC</t>
  </si>
  <si>
    <t>PR-1740</t>
  </si>
  <si>
    <t>Process Calculation Note for Degasser - IFR</t>
  </si>
  <si>
    <t>PR-1750</t>
  </si>
  <si>
    <t>Process Calculation Note for Degasser - AFC</t>
  </si>
  <si>
    <t>PR-1760</t>
  </si>
  <si>
    <t>Process Calculation Note for Closed Drain Sump Vessel Sizing (V-05001) - IFR</t>
  </si>
  <si>
    <t>PR-1770</t>
  </si>
  <si>
    <t>Process Calculation Note for Closed Drain Sump Vessel Sizing (V-05001) - AFC</t>
  </si>
  <si>
    <t>PR-1780</t>
  </si>
  <si>
    <t>Process Calculation Note for Closed Drain Sump Pump Sizing (P-05001) - IFR</t>
  </si>
  <si>
    <t>PR-1790</t>
  </si>
  <si>
    <t>Process Calculation Note for Closed Drain Sump Pump Sizing (P-05001) - AFC</t>
  </si>
  <si>
    <t>PR-1800</t>
  </si>
  <si>
    <t>Process Calculation Note for Open Drain Caisson Tank (T-05003) - IFR</t>
  </si>
  <si>
    <t>PR-1810</t>
  </si>
  <si>
    <t>Process Calculation Note for Open Drain Caisson Tank (T-05003) - AFC</t>
  </si>
  <si>
    <t>PR-1820</t>
  </si>
  <si>
    <t>Process Calculation Note for Open Drain Caisson Pump - IFR</t>
  </si>
  <si>
    <t>PR-1830</t>
  </si>
  <si>
    <t>Process Calculation Note for Open Drain Caisson Pump - AFC</t>
  </si>
  <si>
    <t>PR-1840</t>
  </si>
  <si>
    <t>Process Calculation Note for Recovered Water Pump  (P-05002) - IFR</t>
  </si>
  <si>
    <t>PR-1850</t>
  </si>
  <si>
    <t>Process Calculation Note for Recovered Water Pump  (P-05002) - AFC</t>
  </si>
  <si>
    <t>PR-1860</t>
  </si>
  <si>
    <t>Process Calculation Note for Instrument Gas Filter Coalescer and Stand Pipe Sizing - IFR</t>
  </si>
  <si>
    <t>PR-1870</t>
  </si>
  <si>
    <t>Process Calculation Note for Instrument Gas Filter Coalescer and Stand Pipe Sizing - AFC</t>
  </si>
  <si>
    <t>PR-1880</t>
  </si>
  <si>
    <t>Process Calculation Note for Corrosion Inhibitor/Volatile Corrosion Inhibitor Tank and Pump Sizing  - IFR</t>
  </si>
  <si>
    <t>PR-1890</t>
  </si>
  <si>
    <t>Process Calculation Note for Corrosion Inhibitor/Volatile Corrosion Inhibitor Tank and Pump Sizing - AFC</t>
  </si>
  <si>
    <t>PR-1900</t>
  </si>
  <si>
    <t>Process Calculation Note for Demulsifier / Water Clarifier Tank and Pump Sizing - IFR</t>
  </si>
  <si>
    <t>PR-1910</t>
  </si>
  <si>
    <t>Process Calculation Note for Demulsifier / Water Clarifier Tank and Pump Sizing - AFC</t>
  </si>
  <si>
    <t>PR-1920</t>
  </si>
  <si>
    <t>Process Calculation Note for Biocide Tank and Pump Sizing (Provision) - IFR</t>
  </si>
  <si>
    <t>PR-1930</t>
  </si>
  <si>
    <t>Process Calculation Note for Biocide Tank and Pump Sizing (Provision) - AFC</t>
  </si>
  <si>
    <t>PR-1940</t>
  </si>
  <si>
    <t>Process Calculation Note for Diesel Tote Tank, Day Tank and Diesel Transfer Pump - IFR</t>
  </si>
  <si>
    <t>PR-1950</t>
  </si>
  <si>
    <t>Process Calculation Note for Diesel Tote Tank, Day Tank and Diesel Transfer Pump - AFC</t>
  </si>
  <si>
    <t>PR-1960</t>
  </si>
  <si>
    <t>Process Calculation Note for Fresh Water Tote Tank - IFR</t>
  </si>
  <si>
    <t>PR-1970</t>
  </si>
  <si>
    <t>Process Calculation Note for Fresh Water Tote Tank - AFC</t>
  </si>
  <si>
    <t>PR-1980</t>
  </si>
  <si>
    <t>Process Calculation Note for Choke Valve Sizing - IFR</t>
  </si>
  <si>
    <t>PR-1990</t>
  </si>
  <si>
    <t>Process Calculation Note for Choke Valve Sizing - AFC</t>
  </si>
  <si>
    <t>PR-2000</t>
  </si>
  <si>
    <t>Process Calculation Note for Control Valve Sizing - IFR</t>
  </si>
  <si>
    <t>PR-2010</t>
  </si>
  <si>
    <t>Process Calculation Note for Control Valve Sizing - AFC</t>
  </si>
  <si>
    <t>PR-2020</t>
  </si>
  <si>
    <t>Process Calculation Note for RO Sizing - IFR</t>
  </si>
  <si>
    <t>PR-2030</t>
  </si>
  <si>
    <t>Process Calculation Note for RO Sizing - AFC</t>
  </si>
  <si>
    <t>PR-2040</t>
  </si>
  <si>
    <t>Process Calculation Note for PSV Sizing - IFR</t>
  </si>
  <si>
    <t>PR-2050</t>
  </si>
  <si>
    <t>Process Calculation Note for PSV Sizing - AFC</t>
  </si>
  <si>
    <t>PR-2060</t>
  </si>
  <si>
    <t>Process Calculation Note - Depressurization and Blowdown - IFR</t>
  </si>
  <si>
    <t>PR-2070</t>
  </si>
  <si>
    <t>Process Calculation Note - Depressurization and Blowdown - AFC</t>
  </si>
  <si>
    <t>MECHANICALENGINEERING</t>
  </si>
  <si>
    <t>ME-1000</t>
  </si>
  <si>
    <t>Mechanical Basis of Design - IFR</t>
  </si>
  <si>
    <t>ME-1010</t>
  </si>
  <si>
    <t>Mechanical Basis of Design - AFC</t>
  </si>
  <si>
    <t>ME-1020</t>
  </si>
  <si>
    <t>Material Handling Study Reports - IFR</t>
  </si>
  <si>
    <t>ME-1030</t>
  </si>
  <si>
    <t>Material Handling Study Reports - AFC</t>
  </si>
  <si>
    <t>ME-1040</t>
  </si>
  <si>
    <t>WPA01 Mechanical Equipment List - IFR</t>
  </si>
  <si>
    <t>ME-1050</t>
  </si>
  <si>
    <t>WPA01 Mechanical Equipment List - AFC</t>
  </si>
  <si>
    <t>ME-1060</t>
  </si>
  <si>
    <t>WPA02 Mechanical Equipment List - IFR</t>
  </si>
  <si>
    <t>ME-1070</t>
  </si>
  <si>
    <t>WPA02 Mechanical Equipment List - AFC</t>
  </si>
  <si>
    <t>ME-1080</t>
  </si>
  <si>
    <t>Project Particular Specification for Test and Production Separators - IFR</t>
  </si>
  <si>
    <t>ME-1090</t>
  </si>
  <si>
    <t>Project Particular Specification for Test and Production Separators - AFC</t>
  </si>
  <si>
    <t>ME-1100</t>
  </si>
  <si>
    <t>Project Particular Specification for Instrument Gas Filter coalescers - IFR</t>
  </si>
  <si>
    <t>ME-1110</t>
  </si>
  <si>
    <t>Project Particular Specification for Instrument Gas Filter coalescers - AFC</t>
  </si>
  <si>
    <t>ME-1120</t>
  </si>
  <si>
    <t>Project Particular Specification for Storage Tote Tanks - IFR</t>
  </si>
  <si>
    <t>ME-1130</t>
  </si>
  <si>
    <t>Project Particular Specification for Storage Tote Tanks - AFC</t>
  </si>
  <si>
    <t>ME-1140</t>
  </si>
  <si>
    <t>Project Particular Specification for Storage Tanks - IFR</t>
  </si>
  <si>
    <t>ME-1150</t>
  </si>
  <si>
    <t>Project Particular Specification for Storage Tanks - AFC</t>
  </si>
  <si>
    <t>ME-1160</t>
  </si>
  <si>
    <t>Project Particular Specification for Chemical Injection Pumps Package - IFR</t>
  </si>
  <si>
    <t>ME-1170</t>
  </si>
  <si>
    <t>Project Particular Specification for Chemical Injection Pumps Package - AFC</t>
  </si>
  <si>
    <t>ME-1180</t>
  </si>
  <si>
    <t>Project Particular Specification for Diesel Oil Transfer Pump Package - IFR</t>
  </si>
  <si>
    <t>ME-1190</t>
  </si>
  <si>
    <t>Project Particular Specification for Diesel Oil Transfer Pump Package - AFC</t>
  </si>
  <si>
    <t>ME-1200</t>
  </si>
  <si>
    <t>Project Particular Specification for Offshore Pedestal Crane - IFR</t>
  </si>
  <si>
    <t>ME-1210</t>
  </si>
  <si>
    <t>Project Particular Specification for Offshore Pedestal Crane - AFC</t>
  </si>
  <si>
    <t>ME-1220</t>
  </si>
  <si>
    <t>Project Particular Specification for Closed Drain Sump Vessels - IFR</t>
  </si>
  <si>
    <t>ME-1230</t>
  </si>
  <si>
    <t>Project Particular Specification for Closed Drain Sump Vessels - AFC</t>
  </si>
  <si>
    <t>ME-1240</t>
  </si>
  <si>
    <t>Project Particular Specification for Closed Drain Sump and Recovered Water Pump Package - IFR</t>
  </si>
  <si>
    <t>ME-1250</t>
  </si>
  <si>
    <t>Project Particular Specification for Closed Drain Sump and Recovered Water Pump Package - AFC</t>
  </si>
  <si>
    <t>ME-1260</t>
  </si>
  <si>
    <t>Project Particular Specification for Material Handling Equipment - IFR</t>
  </si>
  <si>
    <t>ME-1270</t>
  </si>
  <si>
    <t>Project Particular Specification for Material Handling Equipment - AFC</t>
  </si>
  <si>
    <t>ME-1280</t>
  </si>
  <si>
    <t>Project Particular Specification for Deoiler Hydro cyclone Package - IFR</t>
  </si>
  <si>
    <t>ME-1290</t>
  </si>
  <si>
    <t>Project Particular Specification for Deoiler Hydro cyclone Package - AFC</t>
  </si>
  <si>
    <t>ME-1300</t>
  </si>
  <si>
    <t>Project Particular Specification for Degasser Drum - IFR</t>
  </si>
  <si>
    <t>ME-1310</t>
  </si>
  <si>
    <t>Project Particular Specification for Degasser Drum - AFC</t>
  </si>
  <si>
    <t>ME-1320</t>
  </si>
  <si>
    <t>Project Particular Specification for Skim Tank Vessel - IFR</t>
  </si>
  <si>
    <t>ME-1330</t>
  </si>
  <si>
    <t>Project Particular Specification for Skim Tank Vessel - AFC</t>
  </si>
  <si>
    <t>ME-1340</t>
  </si>
  <si>
    <t>Project Particular Specification for Open Drain Caisson Pump Package - IFR</t>
  </si>
  <si>
    <t>ME-1350</t>
  </si>
  <si>
    <t>Project Particular Specification for Open Drain Caisson Pump Package - AFC</t>
  </si>
  <si>
    <t>ME-2510</t>
  </si>
  <si>
    <t>Criticality Rating Report for Equipment - IFR</t>
  </si>
  <si>
    <t>ME-2520</t>
  </si>
  <si>
    <t>Criticality Rating Report for Equipment - AFC</t>
  </si>
  <si>
    <t>Datasheets-Mechanical</t>
  </si>
  <si>
    <t>ME-1360</t>
  </si>
  <si>
    <t>Mechanical Datasheet for Corrosion Inhibitor Storage Tank  (T-09001) - IFR</t>
  </si>
  <si>
    <t>ME-1370</t>
  </si>
  <si>
    <t>Mechanical Datasheet for Corrosion Inhibitor Storage Tank  (T-09001) - IFA</t>
  </si>
  <si>
    <t>ME-1380</t>
  </si>
  <si>
    <t>Mechanical Datasheet for Corrosion Inhibitor Storage Tank  (T-09001) - AFC</t>
  </si>
  <si>
    <t>ME-1390</t>
  </si>
  <si>
    <t>Mechanical Datasheet for Corrosion Inhibitor Storage Tote Tank (T-09011) - IFR</t>
  </si>
  <si>
    <t>ME-1400</t>
  </si>
  <si>
    <t>Mechanical Datasheet for Corrosion Inhibitor Storage Tote Tank (T-09011) - IFA</t>
  </si>
  <si>
    <t>ME-1410</t>
  </si>
  <si>
    <t>Mechanical Datasheet for Corrosion Inhibitor Storage Tote Tank (T-09011) - AFC</t>
  </si>
  <si>
    <t>ME-1420</t>
  </si>
  <si>
    <t>Mechanical Datasheet for Utility Water Storage Tote Tank (T-07003, T-07013) - IFR</t>
  </si>
  <si>
    <t>ME-1430</t>
  </si>
  <si>
    <t>Mechanical Datasheet for Utility Water Storage Tote Tank (T-07003, T-07013) - IFA</t>
  </si>
  <si>
    <t>ME-1440</t>
  </si>
  <si>
    <t>Mechanical Datasheet for Utility Water Storage Tote Tank (T-07003, T-07013) - AFC</t>
  </si>
  <si>
    <t>ME-1450</t>
  </si>
  <si>
    <t>Mechanical Datasheet for Diesel Storage Tote Tank (T-07001,T-07011) - IFR</t>
  </si>
  <si>
    <t>ME-1460</t>
  </si>
  <si>
    <t>Mechanical Datasheet for Diesel Storage Tote Tank (T-07001,T-07011) - IFA</t>
  </si>
  <si>
    <t>ME-1470</t>
  </si>
  <si>
    <t>Mechanical Datasheet for Diesel Storage Tote Tank (T-07001,T-07011) - AFC</t>
  </si>
  <si>
    <t>ME-1480</t>
  </si>
  <si>
    <t>Mechanical Datasheet for Offshore Pedestal Crane CR-07001 - IFR</t>
  </si>
  <si>
    <t>ME-1490</t>
  </si>
  <si>
    <t>Mechanical Datasheet for Offshore Pedestal Crane CR-07001 - IFA</t>
  </si>
  <si>
    <t>ME-1500</t>
  </si>
  <si>
    <t>Mechanical Datasheet for Offshore Pedestal Crane CR-07001 - AFC</t>
  </si>
  <si>
    <t>ME-1540</t>
  </si>
  <si>
    <t>Mechanical Datasheet for Instrument Gas Filter coalescer (V-03001) - IFR</t>
  </si>
  <si>
    <t>ME-1550</t>
  </si>
  <si>
    <t>Mechanical Datasheet for Instrument Gas Filter coalescer (V-03001) - IFA</t>
  </si>
  <si>
    <t>ME-1560</t>
  </si>
  <si>
    <t>Mechanical Datasheet for Instrument Gas Filter coalescer (V-03001) - AFC</t>
  </si>
  <si>
    <t>ME-1570</t>
  </si>
  <si>
    <t>Mechanical Datasheet for Diesel Transfer Pump Package (Sk-07001) - IFR</t>
  </si>
  <si>
    <t>ME-1580</t>
  </si>
  <si>
    <t>Mechanical Datasheet for Diesel Transfer Pump Package (Sk-07001) - IFA</t>
  </si>
  <si>
    <t>ME-1590</t>
  </si>
  <si>
    <t>Mechanical Datasheet for Diesel Transfer Pump Package (Sk-07001) - AFC</t>
  </si>
  <si>
    <t>ME-1600</t>
  </si>
  <si>
    <t>WPA01 Mechanical Datasheet for Test Separator (V-01001) - IFR</t>
  </si>
  <si>
    <t>ME-1610</t>
  </si>
  <si>
    <t>WPA01 Mechanical Datasheet for Test Separator (V-01001) - IFA</t>
  </si>
  <si>
    <t>ME-1620</t>
  </si>
  <si>
    <t>WPA01 Mechanical Datasheet for Test Separator (V-01001) - AFC</t>
  </si>
  <si>
    <t>ME-1660</t>
  </si>
  <si>
    <t>WPA01 Mechanical Datasheet for Corrosion Inhibitor Injection Pump Package SK-09001 - IFR</t>
  </si>
  <si>
    <t>ME-1670</t>
  </si>
  <si>
    <t>WPA01 Mechanical Datasheet for Corrosion Inhibitor Injection Pump Package SK-09001 - IFA</t>
  </si>
  <si>
    <t>ME-1680</t>
  </si>
  <si>
    <t>WPA01 Mechanical Datasheet for Corrosion Inhibitor Injection Pump Package SK-09001 - AFC</t>
  </si>
  <si>
    <t>ME-1720</t>
  </si>
  <si>
    <t>WPA01 Mechanical Datasheet for Closed Drain Sump Vessel (V-05001) - IFR</t>
  </si>
  <si>
    <t>ME-1730</t>
  </si>
  <si>
    <t>WPA01 Mechanical Datasheet for Closed Drain Sump Vessel (V-05001) - IFA</t>
  </si>
  <si>
    <t>ME-1740</t>
  </si>
  <si>
    <t>WPA01 Mechanical Datasheet for Closed Drain Sump Vessel (V-05001) - AFC</t>
  </si>
  <si>
    <t>ME-1750</t>
  </si>
  <si>
    <t>WPA01 Mechanical Datasheet for Closed Drain Sump Pump (P-05001) - IFR</t>
  </si>
  <si>
    <t>ME-1760</t>
  </si>
  <si>
    <t>WPA01 Mechanical Datasheet for Closed Drain Sump Pump (P-05001) - IFA</t>
  </si>
  <si>
    <t>ME-1770</t>
  </si>
  <si>
    <t>WPA01 Mechanical Datasheet for Closed Drain Sump Pump (P-05001) - AFC</t>
  </si>
  <si>
    <t>ME-1780</t>
  </si>
  <si>
    <t>WPA01 Mechanical Datasheet for Material Handling Equipment - IFR</t>
  </si>
  <si>
    <t>ME-1790</t>
  </si>
  <si>
    <t>WPA01 Mechanical Datasheet for Material Handling Equipment - IFA</t>
  </si>
  <si>
    <t>ME-1800</t>
  </si>
  <si>
    <t>WPA01 Mechanical Datasheet for Material Handling Equipment - AFC</t>
  </si>
  <si>
    <t>ME-1810</t>
  </si>
  <si>
    <t>WPA02 Mechanical Datasheet for Test Separator (V-01001) - IFR</t>
  </si>
  <si>
    <t>ME-1820</t>
  </si>
  <si>
    <t>WPA02 Mechanical Datasheet for Test Separator (V-01001) - IFA</t>
  </si>
  <si>
    <t>ME-1830</t>
  </si>
  <si>
    <t>WPA02 Mechanical Datasheet for Test Separator (V-01001) - AFC</t>
  </si>
  <si>
    <t>ME-1840</t>
  </si>
  <si>
    <t>WPA02 Mechanical Datasheet for Production Separator (V-10001) - IFR</t>
  </si>
  <si>
    <t>ME-1850</t>
  </si>
  <si>
    <t>WPA02 Mechanical Datasheet for Production Separator (V-10001) - IFA</t>
  </si>
  <si>
    <t>ME-1860</t>
  </si>
  <si>
    <t>WPA02 Mechanical Datasheet for Production Separator (V-10001) - AFC</t>
  </si>
  <si>
    <t>ME-1900</t>
  </si>
  <si>
    <t>WPA02 Mechanical Datasheet for De-mulsifier / Water Clarifier Storage Tank (T-09003) - IFR</t>
  </si>
  <si>
    <t>ME-1910</t>
  </si>
  <si>
    <t>WPA02 Mechanical Datasheet for De-mulsifier / Water Clarifier Storage Tank (T-09003) - IFA</t>
  </si>
  <si>
    <t>ME-1920</t>
  </si>
  <si>
    <t>WPA02 Mechanical Datasheet for De-mulsifier / Water Clarifier Storage Tank (T-09003) - AFC</t>
  </si>
  <si>
    <t>ME-1930</t>
  </si>
  <si>
    <t>WPA02 Mechanical Datasheet for De-mulsifier / Water Clarifier Storage Tote Tank (T-09013) - IFR</t>
  </si>
  <si>
    <t>ME-1940</t>
  </si>
  <si>
    <t>WPA02 Mechanical Datasheet for De-mulsifier / Water Clarifier Storage Tote Tank (T-09013) - IFA</t>
  </si>
  <si>
    <t>ME-1950</t>
  </si>
  <si>
    <t>WPA02 Mechanical Datasheet for De-mulsifier / Water Clarifier Storage Tote Tank (T-09013) - AFC</t>
  </si>
  <si>
    <t>ME-1960</t>
  </si>
  <si>
    <t>WPA02 Mechanical Datasheet for Chemical Injection Pumps Package SK-09001 - IFR</t>
  </si>
  <si>
    <t>ME-1970</t>
  </si>
  <si>
    <t>WPA02 Mechanical Datasheet for Chemical Injection Pumps Package SK-09001 - IFA</t>
  </si>
  <si>
    <t>ME-1980</t>
  </si>
  <si>
    <t>WPA02 Mechanical Datasheet for Chemical Injection Pumps Package SK-09001 - AFC</t>
  </si>
  <si>
    <t>ME-2020</t>
  </si>
  <si>
    <t>WPA02 Mechanical Datasheet for Closed Drain Sump Vessel (V-05001) - IFR</t>
  </si>
  <si>
    <t>ME-2030</t>
  </si>
  <si>
    <t>WPA02 Mechanical Datasheet for Closed Drain Sump Vessel (V-05001) - IFA</t>
  </si>
  <si>
    <t>ME-2040</t>
  </si>
  <si>
    <t>WPA02 Mechanical Datasheet for Closed Drain Sump Vessel (V-05001) - AFC</t>
  </si>
  <si>
    <t>ME-2050</t>
  </si>
  <si>
    <t>WPA02 Mechanical Datasheet for Closed Drain Sump Pump and Recovery Water Pump (SK-05001) - IFR</t>
  </si>
  <si>
    <t>ME-2060</t>
  </si>
  <si>
    <t>WPA02 Mechanical Datasheet for Closed Drain Sump Pump and Recovery Water Pump (SK-05001) - IFA</t>
  </si>
  <si>
    <t>ME-2070</t>
  </si>
  <si>
    <t>WPA02 Mechanical Datasheet for Closed Drain Sump Pump and Recovery Water Pump (SK-05001) - AFC</t>
  </si>
  <si>
    <t>ME-2080</t>
  </si>
  <si>
    <t>WPA02 Mechanical Datasheet for Material Handling Equipment - IFR</t>
  </si>
  <si>
    <t>ME-2090</t>
  </si>
  <si>
    <t>WPA02 Mechanical Datasheet for Material Handling Equipment - IFA</t>
  </si>
  <si>
    <t>ME-2100</t>
  </si>
  <si>
    <t>WPA02 Mechanical Datasheet for Material Handling Equipment - AFC</t>
  </si>
  <si>
    <t>ME-2110</t>
  </si>
  <si>
    <t>WPA02 Mechanical Datasheet for Skim Tank Vessel (V-10002) - IFR</t>
  </si>
  <si>
    <t>ME-2120</t>
  </si>
  <si>
    <t>WPA02 Mechanical Datasheet for Skim Tank Vessel (V-10002) - IFA</t>
  </si>
  <si>
    <t>ME-2130</t>
  </si>
  <si>
    <t>WPA02 Mechanical Datasheet for Skim Tank Vessel (V-10002) - AFC</t>
  </si>
  <si>
    <t>ME-2140</t>
  </si>
  <si>
    <t>WPA02 Mechanical Datasheet for Deoiler Hydro cyclone Package (SK-11001) - IFR</t>
  </si>
  <si>
    <t>ME-2150</t>
  </si>
  <si>
    <t>WPA02 Mechanical Datasheet for Deoiler Hydro cyclone Package (SK-11001) - IFA</t>
  </si>
  <si>
    <t>ME-2160</t>
  </si>
  <si>
    <t>WPA02 Mechanical Datasheet for Deoiler Hydro cyclone Package (SK-11001) - AFC</t>
  </si>
  <si>
    <t>ME-2170</t>
  </si>
  <si>
    <t>WPA02 Mechanical Datasheet for Degasser Drum (V-11003) - IFR</t>
  </si>
  <si>
    <t>ME-2180</t>
  </si>
  <si>
    <t>WPA02 Mechanical Datasheet for Degasser Drum (V-11003) - IFA</t>
  </si>
  <si>
    <t>ME-2190</t>
  </si>
  <si>
    <t>WPA02 Mechanical Datasheet for Degasser Drum (V-11003) - AFC</t>
  </si>
  <si>
    <t>ME-2200</t>
  </si>
  <si>
    <t>WPA02 Mechanical Datasheet for Open Drain Caisson Pump Package SK-05003) - IFR</t>
  </si>
  <si>
    <t>ME-2210</t>
  </si>
  <si>
    <t>WPA02 Mechanical Datasheet for Open Drain Caisson Pump Package SK-05003) - IFA</t>
  </si>
  <si>
    <t>ME-2220</t>
  </si>
  <si>
    <t>WPA02 Mechanical Datasheet for Open Drain Caisson Pump Package SK-05003) - AFC</t>
  </si>
  <si>
    <t>MR-Mechanical</t>
  </si>
  <si>
    <t>ME-2230</t>
  </si>
  <si>
    <t>Material Requisition for Test and Production Separator - IFR</t>
  </si>
  <si>
    <t>ME-2240</t>
  </si>
  <si>
    <t>Material Requisition for Test and Production Separator - AFC</t>
  </si>
  <si>
    <t>ME-2250</t>
  </si>
  <si>
    <t>Material Requisition for Instrument Gas Filter coalescer - IFR</t>
  </si>
  <si>
    <t>ME-2260</t>
  </si>
  <si>
    <t>Material Requisition for Instrument Gas Filter coalescer - AFC</t>
  </si>
  <si>
    <t>ME-2270</t>
  </si>
  <si>
    <t>Material Requisition for Storage Tote Tanks - IFR</t>
  </si>
  <si>
    <t>ME-2280</t>
  </si>
  <si>
    <t>Material Requisition for Storage Tote Tanks - AFC</t>
  </si>
  <si>
    <t>ME-2290</t>
  </si>
  <si>
    <t>Material Requisition for Storage Tanks - IFR</t>
  </si>
  <si>
    <t>ME-2300</t>
  </si>
  <si>
    <t>Material Requisition for Storage Tanks - AFC</t>
  </si>
  <si>
    <t>ME-2310</t>
  </si>
  <si>
    <t>Material Requisition for Chemical Injection Pumps Package - IFR</t>
  </si>
  <si>
    <t>ME-2320</t>
  </si>
  <si>
    <t>Material Requisition for Chemical Injection Pumps Package - AFC</t>
  </si>
  <si>
    <t>ME-2330</t>
  </si>
  <si>
    <t>Material Requisition for Diesel Oil Transfer Pump Package - IFR</t>
  </si>
  <si>
    <t>ME-2340</t>
  </si>
  <si>
    <t>Material Requisition for Diesel Oil Transfer Pump Package - AFC</t>
  </si>
  <si>
    <t>ME-2350</t>
  </si>
  <si>
    <t>Material Requisition for Offshore Pedestal Crane - IFR</t>
  </si>
  <si>
    <t>ME-2360</t>
  </si>
  <si>
    <t>Material Requisition for Offshore Pedestal Crane - AFC</t>
  </si>
  <si>
    <t>ME-2370</t>
  </si>
  <si>
    <t>Material Requisition for Closed Drain Sump Vessel - IFR</t>
  </si>
  <si>
    <t>ME-2380</t>
  </si>
  <si>
    <t>Material Requisition for Closed Drain Sump Vessel - AFC</t>
  </si>
  <si>
    <t>ME-2390</t>
  </si>
  <si>
    <t>Material Requisition for Closed Drain Sump Pump and Recovery Water Pump Package - IFR</t>
  </si>
  <si>
    <t>ME-2400</t>
  </si>
  <si>
    <t>Material Requisition for Closed Drain Sump Pump and Recovery Water Pump Package - AFC</t>
  </si>
  <si>
    <t>ME-2410</t>
  </si>
  <si>
    <t>Material Requisition for Material Handling Equipment - IFR</t>
  </si>
  <si>
    <t>ME-2420</t>
  </si>
  <si>
    <t>Material Requisition for Material Handling Equipment - AFC</t>
  </si>
  <si>
    <t>ME-2430</t>
  </si>
  <si>
    <t>Material Requisition for Deoiler Hydro cyclone Package - IFR</t>
  </si>
  <si>
    <t>ME-2440</t>
  </si>
  <si>
    <t>Material Requisition for Deoiler Hydro cyclone Package - AFC</t>
  </si>
  <si>
    <t>ME-2450</t>
  </si>
  <si>
    <t>Material Requisition for Degasser Drum - IFR</t>
  </si>
  <si>
    <t>ME-2460</t>
  </si>
  <si>
    <t>Material Requisition for Degasser Drum - AFC</t>
  </si>
  <si>
    <t>ME-2470</t>
  </si>
  <si>
    <t>Material Requisition for Skim Tank Vessel - IFR</t>
  </si>
  <si>
    <t>ME-2480</t>
  </si>
  <si>
    <t>Material Requisition for Skim Tank Vessel - AFC</t>
  </si>
  <si>
    <t>ME-2490</t>
  </si>
  <si>
    <t>Material Requisition for Open Drain Caisson Pump - IFR</t>
  </si>
  <si>
    <t>ME-2500</t>
  </si>
  <si>
    <t>Material Requisition for Open Drain Caisson Pump - AFC</t>
  </si>
  <si>
    <t>TBE-Mechanical</t>
  </si>
  <si>
    <t>ME-2530</t>
  </si>
  <si>
    <t>Technical Bid Evaluation for Test and Production Separator - IFR</t>
  </si>
  <si>
    <t>ME-2540</t>
  </si>
  <si>
    <t>Technical Bid Evaluation for Test and Production Separator - AFC</t>
  </si>
  <si>
    <t>ME-2550</t>
  </si>
  <si>
    <t>Technical Bid Evaluation for Instrument Gas Filter coalescer - IFR</t>
  </si>
  <si>
    <t>ME-2560</t>
  </si>
  <si>
    <t>Technical Bid Evaluation for Instrument Gas Filter coalescer - AFC</t>
  </si>
  <si>
    <t>ME-2570</t>
  </si>
  <si>
    <t>Technical Bid Evaluation for Storage Tote Tanks - IFR</t>
  </si>
  <si>
    <t>ME-2580</t>
  </si>
  <si>
    <t>Technical Bid Evaluation for Storage Tote Tanks - AFC</t>
  </si>
  <si>
    <t>ME-2590</t>
  </si>
  <si>
    <t>Technical Bid Evaluation for Storage Tanks - IFR</t>
  </si>
  <si>
    <t>ME-2600</t>
  </si>
  <si>
    <t>Technical Bid Evaluation for Storage Tanks - AFC</t>
  </si>
  <si>
    <t>ME-2610</t>
  </si>
  <si>
    <t>Technical Bid Evaluation for Chemical Injection Pumps Package - IFR</t>
  </si>
  <si>
    <t>ME-2620</t>
  </si>
  <si>
    <t>Technical Bid Evaluation for Chemical Injection Pumps Package - AFC</t>
  </si>
  <si>
    <t>ME-2630</t>
  </si>
  <si>
    <t>Technical Bid Evaluation for Diesel Oil Transfer Pump Package - IFR</t>
  </si>
  <si>
    <t>ME-2640</t>
  </si>
  <si>
    <t>Technical Bid Evaluation for Diesel Oil Transfer Pump Package - AFC</t>
  </si>
  <si>
    <t>ME-2650</t>
  </si>
  <si>
    <t>Technical Bid Evaluation for Offshore Pedestal Crane - IFR</t>
  </si>
  <si>
    <t>ME-2660</t>
  </si>
  <si>
    <t>Technical Bid Evaluation for Offshore Pedestal Crane - AFC</t>
  </si>
  <si>
    <t>ME-2670</t>
  </si>
  <si>
    <t>Technical Bid Evaluation for Closed Drain Sump Vessel - IFR</t>
  </si>
  <si>
    <t>ME-2680</t>
  </si>
  <si>
    <t>Technical Bid Evaluation for Closed Drain Sump Vessel - AFC</t>
  </si>
  <si>
    <t>ME-2690</t>
  </si>
  <si>
    <t>Technical Bid Evaluation for Closed Drain Sump Pump and Recovery Water Pump Package - IFR</t>
  </si>
  <si>
    <t>ME-2700</t>
  </si>
  <si>
    <t>Technical Bid Evaluation for Closed Drain Sump Pump and Recovery Water Pump Package - AFC</t>
  </si>
  <si>
    <t>ME-2710</t>
  </si>
  <si>
    <t>Technical Bid Evaluation for Material Handling Equipment - IFR</t>
  </si>
  <si>
    <t>ME-2720</t>
  </si>
  <si>
    <t>Technical Bid Evaluation for Material Handling Equipment - AFC</t>
  </si>
  <si>
    <t>ME-2730</t>
  </si>
  <si>
    <t>Technical Bid Evaluation for Deoiler Hydro cyclone Package - IFR</t>
  </si>
  <si>
    <t>ME-2740</t>
  </si>
  <si>
    <t>Technical Bid Evaluation for Deoiler Hydro cyclone Package - AFC</t>
  </si>
  <si>
    <t>ME-2750</t>
  </si>
  <si>
    <t>Technical Bid Evaluation for Degasser Drum - IFR</t>
  </si>
  <si>
    <t>ME-2760</t>
  </si>
  <si>
    <t>Technical Bid Evaluation for Degasser Drum - AFC</t>
  </si>
  <si>
    <t>ME-2770</t>
  </si>
  <si>
    <t>Technical Bid Evaluation for Skim Tank Vessel - IFR</t>
  </si>
  <si>
    <t>ME-2780</t>
  </si>
  <si>
    <t>Technical Bid Evaluation for Skim Tank Vessel - AFC</t>
  </si>
  <si>
    <t>ME-2790</t>
  </si>
  <si>
    <t>Technical Bid Evaluation for Open Drain Caisson Pump - IFR</t>
  </si>
  <si>
    <t>ME-2800</t>
  </si>
  <si>
    <t>Technical Bid Evaluation for Open Drain Caisson Pump - AFC</t>
  </si>
  <si>
    <t>PIPINGENGINEERING</t>
  </si>
  <si>
    <t>PI-1000</t>
  </si>
  <si>
    <t>Piping Basis of Design (offshore) - IFR</t>
  </si>
  <si>
    <t>PI-1010</t>
  </si>
  <si>
    <t>Piping Basis of Design (offshore) - AFC</t>
  </si>
  <si>
    <t>PI-1020</t>
  </si>
  <si>
    <t>Piping Stress Basis of Design - IFR</t>
  </si>
  <si>
    <t>PI-1030</t>
  </si>
  <si>
    <t>Piping Stress Basis of Design - AFC</t>
  </si>
  <si>
    <t>PI-1040</t>
  </si>
  <si>
    <t>3D Model Review Report 30% - IFR</t>
  </si>
  <si>
    <t>PI-1050</t>
  </si>
  <si>
    <t>3D Model Review Report 30% - AFC</t>
  </si>
  <si>
    <t>PI-1060</t>
  </si>
  <si>
    <t>3D Model Review Report 60% - IFR</t>
  </si>
  <si>
    <t>PI-1070</t>
  </si>
  <si>
    <t>3D Model Review Report 60% - AFC</t>
  </si>
  <si>
    <t>PI-1080</t>
  </si>
  <si>
    <t>3D Model Review &amp; Clash Check Reports (90% and Final 3D Model) - IFR</t>
  </si>
  <si>
    <t>PI-1090</t>
  </si>
  <si>
    <t>3D Model Review &amp; Clash Check Reports (90% and Final 3D Model) - AFC</t>
  </si>
  <si>
    <t>PI-1100</t>
  </si>
  <si>
    <t>30% 3D Modeling</t>
  </si>
  <si>
    <t>PI-1110</t>
  </si>
  <si>
    <t>60%3D Modeling</t>
  </si>
  <si>
    <t>PI-1120</t>
  </si>
  <si>
    <t>90%3D Modeling</t>
  </si>
  <si>
    <t>PI-1130</t>
  </si>
  <si>
    <t>Drilling Rig Clash Check Report : WPA01 and WPA02 - IFR</t>
  </si>
  <si>
    <t>PI-1140</t>
  </si>
  <si>
    <t>Drilling Rig Clash Check Report : WPA01 and WPA02 - AFC</t>
  </si>
  <si>
    <t>PI-1150</t>
  </si>
  <si>
    <t>Criticality Rating Report for Piping - IFR</t>
  </si>
  <si>
    <t>PI-1160</t>
  </si>
  <si>
    <t>Criticality Rating Report for Piping - AFC</t>
  </si>
  <si>
    <t>PI-1170</t>
  </si>
  <si>
    <t>Piping Material Specification - IFR</t>
  </si>
  <si>
    <t>PI-1180</t>
  </si>
  <si>
    <t>Piping Material Specification - AFC</t>
  </si>
  <si>
    <t>PI-1190</t>
  </si>
  <si>
    <t>Piping Design Standard - IFR</t>
  </si>
  <si>
    <t>PI-1200</t>
  </si>
  <si>
    <t>Piping Design Standard - AFC</t>
  </si>
  <si>
    <t>PI-1210</t>
  </si>
  <si>
    <t>Pipe Support Standard - IFR</t>
  </si>
  <si>
    <t>PI-1220</t>
  </si>
  <si>
    <t>Pipe Support Standard - AFC</t>
  </si>
  <si>
    <t>PI-1230</t>
  </si>
  <si>
    <t>Piping Stress Critical Line List - IFR</t>
  </si>
  <si>
    <t>PI-1235</t>
  </si>
  <si>
    <t>Piping Stress Critical Line List - IFA</t>
  </si>
  <si>
    <t>PI-1240</t>
  </si>
  <si>
    <t>Piping Stress Critical Line List - AFC</t>
  </si>
  <si>
    <t>PI-1250</t>
  </si>
  <si>
    <t>Piping Specialty Item List - IFR</t>
  </si>
  <si>
    <t>PI-1255</t>
  </si>
  <si>
    <t>Piping Specialty Item List - IFA</t>
  </si>
  <si>
    <t>PI-1260</t>
  </si>
  <si>
    <t>Piping Specialty Item List - AFC</t>
  </si>
  <si>
    <t>PI-1270</t>
  </si>
  <si>
    <t>WPA01 Equipment Layout Drawing (6 Sheets) - IFR</t>
  </si>
  <si>
    <t>PI-1280</t>
  </si>
  <si>
    <t>WPA01 Equipment Layout Drawing (6 Sheets) - IFA</t>
  </si>
  <si>
    <t>PI-1290</t>
  </si>
  <si>
    <t>WPA01 Equipment Layout Drawing (6 Sheets) - AFC</t>
  </si>
  <si>
    <t>PI-1300</t>
  </si>
  <si>
    <t>WPA01 Equipment Layout Elevation Looking (4 Sheets) - IFR</t>
  </si>
  <si>
    <t>PI-1310</t>
  </si>
  <si>
    <t>WPA01 Equipment Layout Elevation Looking (4 Sheets) - IFA</t>
  </si>
  <si>
    <t>PI-1320</t>
  </si>
  <si>
    <t>WPA01 Equipment Layout Elevation Looking (4 Sheets) - AFC</t>
  </si>
  <si>
    <t>PI-1330</t>
  </si>
  <si>
    <t>WPA01 Drilling And Well Service Equipment Layout (5 Sheets) - IFR</t>
  </si>
  <si>
    <t>PI-1340</t>
  </si>
  <si>
    <t>WPA01 Drilling And Well Service Equipment Layout (5 Sheets) - IFA</t>
  </si>
  <si>
    <t>PI-1350</t>
  </si>
  <si>
    <t>WPA01 Drilling And Well Service Equipment Layout (5 Sheets) - AFC</t>
  </si>
  <si>
    <t>PI-1360</t>
  </si>
  <si>
    <t>WPA02 Equipment Layout Drawing (6 Sheets) - IFR</t>
  </si>
  <si>
    <t>PI-1370</t>
  </si>
  <si>
    <t>WPA02 Equipment Layout Drawing (6 Sheets) - IFA</t>
  </si>
  <si>
    <t>PI-1380</t>
  </si>
  <si>
    <t>WPA02 Equipment Layout Drawing (6 Sheets) - AFC</t>
  </si>
  <si>
    <t>PI-1390</t>
  </si>
  <si>
    <t>WPA02 Equipment Layout Elevation Looking (4 Sheets) - IFR</t>
  </si>
  <si>
    <t>PI-1400</t>
  </si>
  <si>
    <t>WPA02 Equipment Layout Elevation Looking (4 Sheets) - IFA</t>
  </si>
  <si>
    <t>PI-1410</t>
  </si>
  <si>
    <t>WPA02 Equipment Layout Elevation Looking (4 Sheets) - AFC</t>
  </si>
  <si>
    <t>PI-1420</t>
  </si>
  <si>
    <t>WPA02 Drilling And Well Service Equipment Layout (5 Sheets) - IFR</t>
  </si>
  <si>
    <t>PI-1430</t>
  </si>
  <si>
    <t>WPA02 Drilling And Well Service Equipment Layout (5 Sheets) - IFA</t>
  </si>
  <si>
    <t>PI-1440</t>
  </si>
  <si>
    <t>WPA02 Drilling And Well Service Equipment Layout (5 Sheets) - AFC</t>
  </si>
  <si>
    <t>PI-1450</t>
  </si>
  <si>
    <t>WPA01 Piping General Arrangement and Support Location Plan (27 Sheets) - IFR</t>
  </si>
  <si>
    <t>PI-1460</t>
  </si>
  <si>
    <t>WPA01 Piping General Arrangement and Support Location Plan (27 Sheets) - AFC</t>
  </si>
  <si>
    <t>PI-1470</t>
  </si>
  <si>
    <t>WPA02 Piping General Arrangement and Support Location Plan (27 Sheets) - IFR</t>
  </si>
  <si>
    <t>PI-1480</t>
  </si>
  <si>
    <t>WPA02 Piping General Arrangement and Support Location Plan (27 Sheets) - AFC</t>
  </si>
  <si>
    <t>PI-1490</t>
  </si>
  <si>
    <t>Piping Wall Thickness Calculation - IFR</t>
  </si>
  <si>
    <t>PI-1500</t>
  </si>
  <si>
    <t>Piping Wall Thickness Calculation - AFC</t>
  </si>
  <si>
    <t>PI-1510</t>
  </si>
  <si>
    <t>Small Bore Connection Assessment - IFR</t>
  </si>
  <si>
    <t>PI-1520</t>
  </si>
  <si>
    <t>Small Bore Connection Assessment - AFC</t>
  </si>
  <si>
    <t>PI-1530</t>
  </si>
  <si>
    <t>WPA01 Piping Stress Analysis Report (Flowline) - IFR</t>
  </si>
  <si>
    <t>PI-1540</t>
  </si>
  <si>
    <t>WPA01 Piping Stress Analysis Report (Flowline) - AFC</t>
  </si>
  <si>
    <t>PI-1550</t>
  </si>
  <si>
    <t>WPA01 Piping Stress Analysis Report (PIG Launcher/Receiver) - IFR</t>
  </si>
  <si>
    <t>PI-1560</t>
  </si>
  <si>
    <t>WPA01 Piping Stress Analysis Report (PIG Launcher/Receiver) - AFC</t>
  </si>
  <si>
    <t>PI-1570</t>
  </si>
  <si>
    <t>WPA01 Piping Stress Analysis Report (Other GC lines, IG lines, and HP vent) - IFR</t>
  </si>
  <si>
    <t>PI-1580</t>
  </si>
  <si>
    <t>WPA01 Piping Stress Analysis Report (Other GC lines, IG lines, and HP vent) - AFC</t>
  </si>
  <si>
    <t>PI-1590</t>
  </si>
  <si>
    <t>WPA01 Piping Stress Analysis Report  (LP vent and DP lines level 2) - IFR</t>
  </si>
  <si>
    <t>PI-1600</t>
  </si>
  <si>
    <t>WPA01 Piping Stress Analysis Report  (LP vent and DP lines level 2) - AFC</t>
  </si>
  <si>
    <t>PI-1610</t>
  </si>
  <si>
    <t>WPA01 Piping Stress Analysis Report (Future Booster Compressor Package) - IFR</t>
  </si>
  <si>
    <t>PI-1620</t>
  </si>
  <si>
    <t>WPA01 Piping Stress Analysis Report (Future Booster Compressor Package) - AFC</t>
  </si>
  <si>
    <t>PI-1630</t>
  </si>
  <si>
    <t>WPA02 Piping Stress Analysis Report (Flowline) - IFR</t>
  </si>
  <si>
    <t>PI-1640</t>
  </si>
  <si>
    <t>WPA02 Piping Stress Analysis Report (Flowline) - AFC</t>
  </si>
  <si>
    <t>PI-1650</t>
  </si>
  <si>
    <t>WPA02 Piping Stress Analysis Report (PIG Launcher/Receiver) - IFR</t>
  </si>
  <si>
    <t>PI-1660</t>
  </si>
  <si>
    <t>WPA02 Piping Stress Analysis Report (PIG Launcher/Receiver) - AFC</t>
  </si>
  <si>
    <t>PI-1670</t>
  </si>
  <si>
    <t>WPA02 Piping Stress Analysis Report (Other GC lines, IG lines, and HP vent) - IFR</t>
  </si>
  <si>
    <t>PI-1680</t>
  </si>
  <si>
    <t>WPA02 Piping Stress Analysis Report (Other GC lines, IG lines, and HP vent) - AFC</t>
  </si>
  <si>
    <t>PI-1690</t>
  </si>
  <si>
    <t>WPA02 Piping Stress Analysis Report  (LP vent and DP lines level 2) - IFR</t>
  </si>
  <si>
    <t>PI-1700</t>
  </si>
  <si>
    <t>WPA02 Piping Stress Analysis Report  (LP vent and DP lines level 2) - AFC</t>
  </si>
  <si>
    <t>PI-1710</t>
  </si>
  <si>
    <t>WPA02 Piping Stress Analysis Report required for any other lines as specific in the Piping StressCritical LL - IFR</t>
  </si>
  <si>
    <t>PI-1720</t>
  </si>
  <si>
    <t>WPA02 Piping Stress Analysis Report required for any other lines as specific in the Piping Stress Critical LL - AFC</t>
  </si>
  <si>
    <t>PI-1730</t>
  </si>
  <si>
    <t>Material Take-Off for Manual Valves WP01 - IFR</t>
  </si>
  <si>
    <t>PI-1740</t>
  </si>
  <si>
    <t>Material Take-Off for Manual Valves WP01 - IFA</t>
  </si>
  <si>
    <t>PI-1750</t>
  </si>
  <si>
    <t>Material Take-Off for Manual Valves WP01 - AFC</t>
  </si>
  <si>
    <t>PI-1760</t>
  </si>
  <si>
    <t>Material Take-Off for Piping Bulk WP01 - IFR</t>
  </si>
  <si>
    <t>PI-1770</t>
  </si>
  <si>
    <t>Material Take-Off for Piping Bulk WP01 - IFA</t>
  </si>
  <si>
    <t>PI-1780</t>
  </si>
  <si>
    <t>Material Take-Off for Piping Bulk WP01 - AFC</t>
  </si>
  <si>
    <t>PI-1790</t>
  </si>
  <si>
    <t>Material Take-Off for Manual Valves WP02 - IFR</t>
  </si>
  <si>
    <t>PI-1800</t>
  </si>
  <si>
    <t>Material Take-Off for Manual Valves WP02 - IFA</t>
  </si>
  <si>
    <t>PI-1810</t>
  </si>
  <si>
    <t>Material Take-Off for Manual Valves WP02 - AFC</t>
  </si>
  <si>
    <t>PI-1820</t>
  </si>
  <si>
    <t>Material Take-Off for Piping Bulk WP02 - IFR</t>
  </si>
  <si>
    <t>PI-1830</t>
  </si>
  <si>
    <t>Material Take-Off for Piping Bulk WP02 - IFA</t>
  </si>
  <si>
    <t>PI-1840</t>
  </si>
  <si>
    <t>Material Take-Off for Piping Bulk WP02 - AFC</t>
  </si>
  <si>
    <t>PI-3010</t>
  </si>
  <si>
    <t>WPA01 Piping Isometric Drawings - IFR</t>
  </si>
  <si>
    <t>PI-3020</t>
  </si>
  <si>
    <t>WPA01 Piping Isometric Drawings - AFC</t>
  </si>
  <si>
    <t>PI-3030</t>
  </si>
  <si>
    <t>WPA01 Piping Support List - IFR</t>
  </si>
  <si>
    <t>PI-3040</t>
  </si>
  <si>
    <t>WPA01 Piping Support List - AFC</t>
  </si>
  <si>
    <t>PI-3050</t>
  </si>
  <si>
    <t>WPA01 Piping Shiploose List - IFR</t>
  </si>
  <si>
    <t>PI-3060</t>
  </si>
  <si>
    <t>WPA01 Piping Shiploose List - AFC</t>
  </si>
  <si>
    <t>PI-3070</t>
  </si>
  <si>
    <t>WPA01 Piping Support Arrangement Drawings - IFR</t>
  </si>
  <si>
    <t>PI-3080</t>
  </si>
  <si>
    <t>WPA01 Piping Support Arrangement Drawings - AFC</t>
  </si>
  <si>
    <t>PI-3090</t>
  </si>
  <si>
    <t>WPA01 Special Pipe Support Drawings - IFR</t>
  </si>
  <si>
    <t>PI-3100</t>
  </si>
  <si>
    <t>WPA01 Special Pipe Support Drawings - AFC</t>
  </si>
  <si>
    <t>PI-4000</t>
  </si>
  <si>
    <t>WPA02 Piping Isometric Drawings - IFR</t>
  </si>
  <si>
    <t>PI-4001</t>
  </si>
  <si>
    <t>WPA02 Piping Isometric Drawings - AFC</t>
  </si>
  <si>
    <t>PI-4002</t>
  </si>
  <si>
    <t>WPA02 Piping Support List - IFR</t>
  </si>
  <si>
    <t>PI-4003</t>
  </si>
  <si>
    <t>WPA02 Piping Support List - AFC</t>
  </si>
  <si>
    <t>PI-4004</t>
  </si>
  <si>
    <t>WPA02 Piping Shiploose List - IFR</t>
  </si>
  <si>
    <t>PI-4005</t>
  </si>
  <si>
    <t>WPA02 Piping Shiploose List - AFC</t>
  </si>
  <si>
    <t>PI-4006</t>
  </si>
  <si>
    <t>WPA02 Piping Support Arrangement Drawings - IFR</t>
  </si>
  <si>
    <t>PI-4007</t>
  </si>
  <si>
    <t>WPA02 Piping Support Arrangement Drawings - AFC</t>
  </si>
  <si>
    <t>PI-4008</t>
  </si>
  <si>
    <t>WPA02 Special Pipe Support Drawings - IFR</t>
  </si>
  <si>
    <t>PI-4009</t>
  </si>
  <si>
    <t>WPA02 Special Pipe Support Drawings - AFC</t>
  </si>
  <si>
    <t>Datasheets-Piping</t>
  </si>
  <si>
    <t>PI-1850</t>
  </si>
  <si>
    <t>Datasheet for Manual Valves - IFR</t>
  </si>
  <si>
    <t>PI-1860</t>
  </si>
  <si>
    <t>Datasheet for Manual Valves - IFA</t>
  </si>
  <si>
    <t>PI-1870</t>
  </si>
  <si>
    <t>Datasheet for Manual Valves - AFC</t>
  </si>
  <si>
    <t>PI-1880</t>
  </si>
  <si>
    <t>Datasheet for Corrosion Fittings (Probe, Coupon and Chemical Injection Quill) - IFR</t>
  </si>
  <si>
    <t>PI-1890</t>
  </si>
  <si>
    <t>Datasheet for Corrosion Fittings (Probe, Coupon and Chemical Injection Quill) - IFA</t>
  </si>
  <si>
    <t>PI-1900</t>
  </si>
  <si>
    <t>Datasheet for Corrosion Fittings (Probe, Coupon and Chemical Injection Quill) - AFC</t>
  </si>
  <si>
    <t>PI-1910</t>
  </si>
  <si>
    <t>Datasheet for Hose and Hose Connector - IFR</t>
  </si>
  <si>
    <t>PI-1920</t>
  </si>
  <si>
    <t>Datasheet for Hose and Hose Connector - IFA</t>
  </si>
  <si>
    <t>PI-1930</t>
  </si>
  <si>
    <t>Datasheet for Hose and Hose Connector - AFC</t>
  </si>
  <si>
    <t>PI-1940</t>
  </si>
  <si>
    <t>Datasheet for Strainer - IFR</t>
  </si>
  <si>
    <t>PI-1950</t>
  </si>
  <si>
    <t>Datasheet for Strainer - IFA</t>
  </si>
  <si>
    <t>PI-1960</t>
  </si>
  <si>
    <t>Datasheet for Strainer - AFC</t>
  </si>
  <si>
    <t>PI-1970</t>
  </si>
  <si>
    <t>Datasheet for Liquid Trap - IFR</t>
  </si>
  <si>
    <t>PI-1980</t>
  </si>
  <si>
    <t>Datasheet for Liquid Trap - IFA</t>
  </si>
  <si>
    <t>PI-1990</t>
  </si>
  <si>
    <t>Datasheet for Liquid Trap - AFC</t>
  </si>
  <si>
    <t>PI-2000</t>
  </si>
  <si>
    <t>Datasheet for G-Clamp - IFR</t>
  </si>
  <si>
    <t>PI-2010</t>
  </si>
  <si>
    <t>Datasheet for G-Clamp - IFA</t>
  </si>
  <si>
    <t>PI-2020</t>
  </si>
  <si>
    <t>Datasheet for G-Clamp - AFC</t>
  </si>
  <si>
    <t>PI-2030</t>
  </si>
  <si>
    <t>Datasheet for Flame Arrestor - IFR</t>
  </si>
  <si>
    <t>PI-2040</t>
  </si>
  <si>
    <t>Datasheet for Flame Arrestor - IFA</t>
  </si>
  <si>
    <t>PI-2050</t>
  </si>
  <si>
    <t>Datasheet for Flame Arrestor - AFC</t>
  </si>
  <si>
    <t>PI-2060</t>
  </si>
  <si>
    <t>Datasheet for Sight Glass - IFR</t>
  </si>
  <si>
    <t>PI-2070</t>
  </si>
  <si>
    <t>Datasheet for Sight Glass - IFA</t>
  </si>
  <si>
    <t>PI-2080</t>
  </si>
  <si>
    <t>Datasheet for Sight Glass - AFC</t>
  </si>
  <si>
    <t>PI-4019</t>
  </si>
  <si>
    <t>Datasheet for Quick Opening Closure - IFR</t>
  </si>
  <si>
    <t>PI-4029</t>
  </si>
  <si>
    <t>Datasheet for Quick Opening Closure - IFA</t>
  </si>
  <si>
    <t>PI-4039</t>
  </si>
  <si>
    <t>Datasheet for Quick Opening Closure - AFC</t>
  </si>
  <si>
    <t>MR-Piping</t>
  </si>
  <si>
    <t>PI-2090</t>
  </si>
  <si>
    <t>Material Requisition for Ball valve (Flange end) - IFR</t>
  </si>
  <si>
    <t>PI-2100</t>
  </si>
  <si>
    <t>Material Requisition for Ball valve (Flange end) - AFC</t>
  </si>
  <si>
    <t>PI-2110</t>
  </si>
  <si>
    <t>Material Requisition for Ball valve (Welded end) - IFR</t>
  </si>
  <si>
    <t>PI-2120</t>
  </si>
  <si>
    <t>Material Requisition for Ball valve (Welded end) - AFC</t>
  </si>
  <si>
    <t>PI-2130</t>
  </si>
  <si>
    <t>Material Requisition for Globe valve (Flange end) - IFR</t>
  </si>
  <si>
    <t>PI-2140</t>
  </si>
  <si>
    <t>Material Requisition for Globe valve (Flange end) - AFC</t>
  </si>
  <si>
    <t>PI-2150</t>
  </si>
  <si>
    <t>Material Requisition for Globe valve (Welded end) - IFR</t>
  </si>
  <si>
    <t>PI-2160</t>
  </si>
  <si>
    <t>Material Requisition for Globe valve (Welded end) - AFC</t>
  </si>
  <si>
    <t>PI-2170</t>
  </si>
  <si>
    <t>Material Requisition for Check valve (Flange end) - IFR</t>
  </si>
  <si>
    <t>PI-2180</t>
  </si>
  <si>
    <t>Material Requisition for Check valve (Flange end) - AFC</t>
  </si>
  <si>
    <t>PI-2190</t>
  </si>
  <si>
    <t>Material Requisition for Check valve (Welded end) - IFR</t>
  </si>
  <si>
    <t>PI-2200</t>
  </si>
  <si>
    <t>Material Requisition for Check valve (Welded end) - AFC</t>
  </si>
  <si>
    <t>PI-2210</t>
  </si>
  <si>
    <t>Material Requisition for Compact Check valve (Welded end) - IFR</t>
  </si>
  <si>
    <t>PI-2220</t>
  </si>
  <si>
    <t>Material Requisition for Compact Check valve (Welded end) - AFC</t>
  </si>
  <si>
    <t>PI-2230</t>
  </si>
  <si>
    <t>Material Requisition for Carbon steel pipe - IFR</t>
  </si>
  <si>
    <t>PI-2240</t>
  </si>
  <si>
    <t>Material Requisition for Carbon steel pipe - AFC</t>
  </si>
  <si>
    <t>PI-2250</t>
  </si>
  <si>
    <t>Material Requisition for Carbon steel fitting - IFR</t>
  </si>
  <si>
    <t>PI-2260</t>
  </si>
  <si>
    <t>Material Requisition for Carbon steel fitting - AFC</t>
  </si>
  <si>
    <t>PI-2270</t>
  </si>
  <si>
    <t>Material Requisition for Carbon steel flange - IFR</t>
  </si>
  <si>
    <t>PI-2280</t>
  </si>
  <si>
    <t>Material Requisition for Carbon steel flange - AFC</t>
  </si>
  <si>
    <t>PI-2290</t>
  </si>
  <si>
    <t>Material Requisition for SS and DSS Pipe - IFR</t>
  </si>
  <si>
    <t>PI-2300</t>
  </si>
  <si>
    <t>Material Requisition for SS and DSS Pipe - AFC</t>
  </si>
  <si>
    <t>PI-2310</t>
  </si>
  <si>
    <t>Material Requisition for SS and DSS fitting - IFR</t>
  </si>
  <si>
    <t>PI-2320</t>
  </si>
  <si>
    <t>Material Requisition for SS and DSS fitting - AFC</t>
  </si>
  <si>
    <t>PI-2330</t>
  </si>
  <si>
    <t>Material Requisition for SS and DSS flange - IFR</t>
  </si>
  <si>
    <t>PI-2340</t>
  </si>
  <si>
    <t>Material Requisition for SS and DSS flange - AFC</t>
  </si>
  <si>
    <t>PI-2350</t>
  </si>
  <si>
    <t>Material Requisition for stud bolts and nuts - IFR</t>
  </si>
  <si>
    <t>PI-2360</t>
  </si>
  <si>
    <t>Material Requisition for stud bolts and nuts - AFC</t>
  </si>
  <si>
    <t>PI-2370</t>
  </si>
  <si>
    <t>Material Requisition for gaskets - IFR</t>
  </si>
  <si>
    <t>PI-2380</t>
  </si>
  <si>
    <t>Material Requisition for gaskets - AFC</t>
  </si>
  <si>
    <t>PI-2390</t>
  </si>
  <si>
    <t>Material Requisition for pipe support - IFR</t>
  </si>
  <si>
    <t>PI-2400</t>
  </si>
  <si>
    <t>Material Requisition for pipe support - AFC</t>
  </si>
  <si>
    <t>PI-2410</t>
  </si>
  <si>
    <t>Material Requisition for Corrosion Fittings (Probe, Coupon and Chemical Injection Quill) - IFR</t>
  </si>
  <si>
    <t>PI-2420</t>
  </si>
  <si>
    <t>Material Requisition for Corrosion Fittings (Probe, Coupon and Chemical Injection Quill) - AFC</t>
  </si>
  <si>
    <t>PI-2430</t>
  </si>
  <si>
    <t>Material Requisition for Hose and Hose Connector - IFR</t>
  </si>
  <si>
    <t>PI-2440</t>
  </si>
  <si>
    <t>Material Requisition for Hose and Hose Connector - AFC</t>
  </si>
  <si>
    <t>PI-2450</t>
  </si>
  <si>
    <t>Material Requisition for Strainer - IFR</t>
  </si>
  <si>
    <t>PI-2460</t>
  </si>
  <si>
    <t>Material Requisition for Strainer - AFC</t>
  </si>
  <si>
    <t>PI-2470</t>
  </si>
  <si>
    <t>Material Requisition for Liquid Trap - IFR</t>
  </si>
  <si>
    <t>PI-2480</t>
  </si>
  <si>
    <t>Material Requisition for Liquid Trap - AFC</t>
  </si>
  <si>
    <t>PI-2490</t>
  </si>
  <si>
    <t>Material Requisition for G-Clamp - IFR</t>
  </si>
  <si>
    <t>PI-2500</t>
  </si>
  <si>
    <t>Material Requisition for G-Clamp - AFC</t>
  </si>
  <si>
    <t>PI-2510</t>
  </si>
  <si>
    <t>Material Requisition for Flame Arrestor - IFR</t>
  </si>
  <si>
    <t>PI-2520</t>
  </si>
  <si>
    <t>Material Requisition for Flame Arrestor - AFC</t>
  </si>
  <si>
    <t>PI-2530</t>
  </si>
  <si>
    <t>Material Requisition for Sight Glass - IFR</t>
  </si>
  <si>
    <t>PI-2540</t>
  </si>
  <si>
    <t>Material Requisition for Sight Glass - AFC</t>
  </si>
  <si>
    <t>PI-4049</t>
  </si>
  <si>
    <t>Material Requisition for Quick Opening Closure - IFR</t>
  </si>
  <si>
    <t>PI-4059</t>
  </si>
  <si>
    <t>Material Requisition for Quick Opening Closure - AFC</t>
  </si>
  <si>
    <t>TBE-Piping</t>
  </si>
  <si>
    <t>PI-2550</t>
  </si>
  <si>
    <t>Technical Bid Evaluation for Ball valve (Flange end) - IFR</t>
  </si>
  <si>
    <t>PI-2560</t>
  </si>
  <si>
    <t>Technical Bid Evaluation for Ball valve (Flange end) - AFC</t>
  </si>
  <si>
    <t>PI-2570</t>
  </si>
  <si>
    <t>Technical Bid Evaluation for Ball valve (Welded end) - IFR</t>
  </si>
  <si>
    <t>PI-2580</t>
  </si>
  <si>
    <t>Technical Bid Evaluation for Ball valve (Welded end) - AFC</t>
  </si>
  <si>
    <t>PI-2590</t>
  </si>
  <si>
    <t>Technical Bid Evaluation for Globe valve (Flange end) - IFR</t>
  </si>
  <si>
    <t>PI-2600</t>
  </si>
  <si>
    <t>Technical Bid Evaluation for Globe valve (Flange end) - AFC</t>
  </si>
  <si>
    <t>PI-2610</t>
  </si>
  <si>
    <t>Technical Bid Evaluation for Globe valve (Welded end) - IFR</t>
  </si>
  <si>
    <t>PI-2620</t>
  </si>
  <si>
    <t>Technical Bid Evaluation for Globe valve (Welded end) - AFC</t>
  </si>
  <si>
    <t>PI-2630</t>
  </si>
  <si>
    <t>Technical Bid Evaluation for Check valve (Flange end) - IFR</t>
  </si>
  <si>
    <t>PI-2640</t>
  </si>
  <si>
    <t>Technical Bid Evaluation for Check valve (Flange end) - AFC</t>
  </si>
  <si>
    <t>PI-2650</t>
  </si>
  <si>
    <t>Technical Bid Evaluation for Check valve (Welded end) - IFR</t>
  </si>
  <si>
    <t>PI-2660</t>
  </si>
  <si>
    <t>Technical Bid Evaluation for Check valve (Welded end) - AFC</t>
  </si>
  <si>
    <t>PI-2670</t>
  </si>
  <si>
    <t>Technical Bid Evaluation for Compact Check valve (Welded end) - IFR</t>
  </si>
  <si>
    <t>PI-2680</t>
  </si>
  <si>
    <t>Technical Bid Evaluation for Compact Check valve (Welded end) - AFC</t>
  </si>
  <si>
    <t>PI-2690</t>
  </si>
  <si>
    <t>Technical Bid Evaluation for Carbon steel pipe - IFR</t>
  </si>
  <si>
    <t>PI-2700</t>
  </si>
  <si>
    <t>Technical Bid Evaluation for Carbon steel pipe - AFC</t>
  </si>
  <si>
    <t>PI-2710</t>
  </si>
  <si>
    <t>Technical Bid Evaluation for Carbon steel fitting - IFR</t>
  </si>
  <si>
    <t>PI-2720</t>
  </si>
  <si>
    <t>Technical Bid Evaluation for Carbon steel fitting - AFC</t>
  </si>
  <si>
    <t>PI-2730</t>
  </si>
  <si>
    <t>Technical Bid Evaluation for Carbon steel flange - IFR</t>
  </si>
  <si>
    <t>PI-2740</t>
  </si>
  <si>
    <t>Technical Bid Evaluation for Carbon steel flange - AFC</t>
  </si>
  <si>
    <t>PI-2750</t>
  </si>
  <si>
    <t>Technical Bid Evaluation for SS and DSS Pipe - IFR</t>
  </si>
  <si>
    <t>PI-2760</t>
  </si>
  <si>
    <t>Technical Bid Evaluation for SS and DSS Pipe - AFC</t>
  </si>
  <si>
    <t>PI-2770</t>
  </si>
  <si>
    <t>Technical Bid Evaluation for SS and DSS fitting - IFR</t>
  </si>
  <si>
    <t>PI-2780</t>
  </si>
  <si>
    <t>Technical Bid Evaluation for SS and DSS fitting - AFC</t>
  </si>
  <si>
    <t>PI-2790</t>
  </si>
  <si>
    <t>Technical Bid Evaluation for SS and DSS flange - IFR</t>
  </si>
  <si>
    <t>PI-2800</t>
  </si>
  <si>
    <t>Technical Bid Evaluation for SS and DSS flange - AFC</t>
  </si>
  <si>
    <t>PI-2810</t>
  </si>
  <si>
    <t>Technical Bid Evaluation for stud bolts and nuts - IFR</t>
  </si>
  <si>
    <t>PI-2820</t>
  </si>
  <si>
    <t>Technical Bid Evaluation for stud bolts and nuts - AFC</t>
  </si>
  <si>
    <t>PI-2830</t>
  </si>
  <si>
    <t>Technical Bid Evaluation for gaskets - IFR</t>
  </si>
  <si>
    <t>PI-2840</t>
  </si>
  <si>
    <t>Technical Bid Evaluation for gaskets - AFC</t>
  </si>
  <si>
    <t>PI-2850</t>
  </si>
  <si>
    <t>Technical Bid Evaluation for pipe support - IFR</t>
  </si>
  <si>
    <t>PI-2860</t>
  </si>
  <si>
    <t>Technical Bid Evaluation for pipe support - AFC</t>
  </si>
  <si>
    <t>PI-2870</t>
  </si>
  <si>
    <t>Technical Bid Evaluation for Corrosion Fittings (Probe, Coupon and Chemical Injection Quill) - IFR</t>
  </si>
  <si>
    <t>PI-2880</t>
  </si>
  <si>
    <t>Technical Bid Evaluation for Corrosion Fittings (Probe, Coupon and Chemical Injection Quill) - AFC</t>
  </si>
  <si>
    <t>PI-2890</t>
  </si>
  <si>
    <t>Technical Bid Evaluation for Hose and Hose Connector - IFR</t>
  </si>
  <si>
    <t>PI-2900</t>
  </si>
  <si>
    <t>Technical Bid Evaluation for Hose and Hose Connector - AFC</t>
  </si>
  <si>
    <t>PI-2910</t>
  </si>
  <si>
    <t>Technical Bid Evaluation for Strainer - IFR</t>
  </si>
  <si>
    <t>PI-2920</t>
  </si>
  <si>
    <t>Technical Bid Evaluation for Strainer - AFC</t>
  </si>
  <si>
    <t>PI-2930</t>
  </si>
  <si>
    <t>Technical Bid Evaluation for Liquid Trap - IFR</t>
  </si>
  <si>
    <t>PI-2940</t>
  </si>
  <si>
    <t>Technical Bid Evaluation for Liquid Trap - AFC</t>
  </si>
  <si>
    <t>PI-2950</t>
  </si>
  <si>
    <t>Technical Bid Evaluation for G-Clamp - IFR</t>
  </si>
  <si>
    <t>PI-2960</t>
  </si>
  <si>
    <t>Technical Bid Evaluation for G-Clamp - AFC</t>
  </si>
  <si>
    <t>PI-2970</t>
  </si>
  <si>
    <t>Technical Bid Evaluation for Flame Arrestor - IFR</t>
  </si>
  <si>
    <t>PI-2980</t>
  </si>
  <si>
    <t>Technical Bid Evaluation for Flame Arrestor - AFC</t>
  </si>
  <si>
    <t>PI-2990</t>
  </si>
  <si>
    <t>Technical Bid Evaluation for Sight Glass - IFR</t>
  </si>
  <si>
    <t>PI-3000</t>
  </si>
  <si>
    <t>Technical Bid Evaluation for Sight Glass - AFC</t>
  </si>
  <si>
    <t>PI-4069</t>
  </si>
  <si>
    <t>Technical Bid Evaluation for Quick Opening Closure - IFR</t>
  </si>
  <si>
    <t>PI-4079</t>
  </si>
  <si>
    <t>Technical Bid Evaluation for Quick Opening Closure - AFC</t>
  </si>
  <si>
    <t>STRUCTUREENGINEERING-TOPSIDE</t>
  </si>
  <si>
    <t>ST-1000</t>
  </si>
  <si>
    <t>WPA01 Topside Drawing Index (2 Sheets) - IFR</t>
  </si>
  <si>
    <t>ST-1010</t>
  </si>
  <si>
    <t>WPA01 Topside Drawing Index (2 Sheets) - IFA</t>
  </si>
  <si>
    <t>ST-1020</t>
  </si>
  <si>
    <t>WPA01 Topside Drawing Index (2 Sheets) - AFC</t>
  </si>
  <si>
    <t>ST-1030</t>
  </si>
  <si>
    <t>WPA01 Topside Deck Loading Diagrams - IFR</t>
  </si>
  <si>
    <t>ST-1040</t>
  </si>
  <si>
    <t>WPA01 Topside Deck Loading Diagrams - IFA</t>
  </si>
  <si>
    <t>ST-1050</t>
  </si>
  <si>
    <t>WPA01 Topside Deck Loading Diagrams - AFC</t>
  </si>
  <si>
    <t>ST-1060</t>
  </si>
  <si>
    <t>WPA01 Topside - Upper Deck Primary Steel Framing Plan - IFR</t>
  </si>
  <si>
    <t>ST-1070</t>
  </si>
  <si>
    <t>WPA01 Topside - Upper Deck Primary Steel Framing Plan - IFA</t>
  </si>
  <si>
    <t>ST-1080</t>
  </si>
  <si>
    <t>WPA01 Topside - Upper Deck Primary Steel Framing Plan - AFC</t>
  </si>
  <si>
    <t>ST-1090</t>
  </si>
  <si>
    <t>WPA02 Topside - Lower Deck Primary Steel Framing Plan - IFR</t>
  </si>
  <si>
    <t>ST-1100</t>
  </si>
  <si>
    <t>WPA02 Topside - Lower Deck Primary Steel Framing Plan - IFA</t>
  </si>
  <si>
    <t>ST-1110</t>
  </si>
  <si>
    <t>WPA02 Topside - Lower Deck Primary Steel Framing Plan - AFC</t>
  </si>
  <si>
    <t>ST-1120</t>
  </si>
  <si>
    <t>WPA01 Topside - Elevation Truss Row A, B, 1, 2 - IFR</t>
  </si>
  <si>
    <t>ST-1130</t>
  </si>
  <si>
    <t>WPA01 Topside - Elevation Truss Row A, B, 1, 2 - IFA</t>
  </si>
  <si>
    <t>ST-1140</t>
  </si>
  <si>
    <t>WPA01 Topside - Elevation Truss Row A, B, 1, 2 - AFC</t>
  </si>
  <si>
    <t>ST-1150</t>
  </si>
  <si>
    <t>WPA01 Topside - Sections (2 Sheets) - IFR</t>
  </si>
  <si>
    <t>ST-1160</t>
  </si>
  <si>
    <t>WPA01 Topside - Sections (2 Sheets) - IFA</t>
  </si>
  <si>
    <t>ST-1170</t>
  </si>
  <si>
    <t>WPA01 Topside - Sections (2 Sheets) - AFC</t>
  </si>
  <si>
    <t>ST-1180</t>
  </si>
  <si>
    <t>WPA01 Topside Joint Connection Details (14 Sheets) - IFR</t>
  </si>
  <si>
    <t>ST-1190</t>
  </si>
  <si>
    <t>WPA01 Topside Joint Connection Details (14 Sheets) - IFA</t>
  </si>
  <si>
    <t>ST-1200</t>
  </si>
  <si>
    <t>WPA01 Topside Joint Connection Details (14 Sheets) - AFC</t>
  </si>
  <si>
    <t>ST-1210</t>
  </si>
  <si>
    <t>WPA01 Topside Upper Deck Secondary Steel Framing Plan - IFR</t>
  </si>
  <si>
    <t>ST-1220</t>
  </si>
  <si>
    <t>WPA01 Topside Upper Deck Secondary Steel Framing Plan - IFA</t>
  </si>
  <si>
    <t>ST-1230</t>
  </si>
  <si>
    <t>WPA01 Topside Upper Deck Secondary Steel Framing Plan - AFC</t>
  </si>
  <si>
    <t>ST-1240</t>
  </si>
  <si>
    <t>WPA01 Topside Lower Deck Secondary Steel Framing Plan - IFR</t>
  </si>
  <si>
    <t>ST-1250</t>
  </si>
  <si>
    <t>WPA01 Topside Lower Deck Secondary Steel Framing Plan - IFA</t>
  </si>
  <si>
    <t>ST-1260</t>
  </si>
  <si>
    <t>WPA01 Topside Lower Deck Secondary Steel Framing Plan - AFC</t>
  </si>
  <si>
    <t>ST-1270</t>
  </si>
  <si>
    <t>WPA01 Topside Mezzanine Deck Framing Plan - IFR</t>
  </si>
  <si>
    <t>ST-1280</t>
  </si>
  <si>
    <t>WPA01 Topside Mezzanine Deck Framing Plan - IFA</t>
  </si>
  <si>
    <t>ST-1290</t>
  </si>
  <si>
    <t>WPA01 Topside Mezzanine Deck Framing Plan - AFC</t>
  </si>
  <si>
    <t>ST-1300</t>
  </si>
  <si>
    <t>WPA01 Topside Mezzanine Deck Section &amp; Details (3 Sheets) - IFR</t>
  </si>
  <si>
    <t>ST-1310</t>
  </si>
  <si>
    <t>WPA01 Topside Mezzanine Deck Section &amp; Details (3 Sheets) - IFA</t>
  </si>
  <si>
    <t>ST-1320</t>
  </si>
  <si>
    <t>WPA01 Topside Mezzanine Deck Section &amp; Details (3 Sheets) - AFC</t>
  </si>
  <si>
    <t>ST-1330</t>
  </si>
  <si>
    <t>WPA01 Topside Sump Deck Framing Plan - IFR</t>
  </si>
  <si>
    <t>ST-1340</t>
  </si>
  <si>
    <t>WPA01 Topside Sump Deck Framing Plan - IFA</t>
  </si>
  <si>
    <t>ST-1350</t>
  </si>
  <si>
    <t>WPA01 Topside Sump Deck Framing Plan - AFC</t>
  </si>
  <si>
    <t>ST-1360</t>
  </si>
  <si>
    <t>WPA01 Topside Sump Deck Section &amp; Details (3 Sheets) - IFR</t>
  </si>
  <si>
    <t>ST-1370</t>
  </si>
  <si>
    <t>WPA01 Topside Sump Deck Section &amp; Details (3 Sheets) - IFA</t>
  </si>
  <si>
    <t>ST-1380</t>
  </si>
  <si>
    <t>WPA01 Topside Sump Deck Section &amp; Details (3 Sheets) - AFC</t>
  </si>
  <si>
    <t>ST-1390</t>
  </si>
  <si>
    <t>WPA01 Topside Standard Joint Details for Secondary Beam - IFR</t>
  </si>
  <si>
    <t>ST-1400</t>
  </si>
  <si>
    <t>WPA01 Topside Standard Joint Details for Secondary Beam - IFA</t>
  </si>
  <si>
    <t>ST-1410</t>
  </si>
  <si>
    <t>WPA01 Topside Standard Joint Details for Secondary Beam - AFC</t>
  </si>
  <si>
    <t>ST-1420</t>
  </si>
  <si>
    <t>WPA01 Topside Vent Boom Plan and Elevation - IFR</t>
  </si>
  <si>
    <t>ST-1430</t>
  </si>
  <si>
    <t>WPA01 Topside Vent Boom Plan and Elevation - IFA</t>
  </si>
  <si>
    <t>ST-1440</t>
  </si>
  <si>
    <t>WPA01 Topside Vent Boom Plan and Elevation - AFC</t>
  </si>
  <si>
    <t>ST-1450</t>
  </si>
  <si>
    <t>WPA01 Topside Vent Boom Sections - IFR</t>
  </si>
  <si>
    <t>ST-1460</t>
  </si>
  <si>
    <t>WPA01 Topside Vent Boom Sections - IFA</t>
  </si>
  <si>
    <t>ST-1470</t>
  </si>
  <si>
    <t>WPA01 Topside Vent Boom Sections - AFC</t>
  </si>
  <si>
    <t>ST-1480</t>
  </si>
  <si>
    <t>WPA01 Topside Vent Boom Walkway Plan and Sections - IFR</t>
  </si>
  <si>
    <t>ST-1490</t>
  </si>
  <si>
    <t>WPA01 Topside Vent Boom Walkway Plan and Sections - IFA</t>
  </si>
  <si>
    <t>ST-1500</t>
  </si>
  <si>
    <t>WPA01 Topside Vent Boom Walkway Plan and Sections - AFC</t>
  </si>
  <si>
    <t>ST-1510</t>
  </si>
  <si>
    <t>WPA01 Topside Vent Boom Walkway Sections and Details (3 Sheets) - IFR</t>
  </si>
  <si>
    <t>ST-1520</t>
  </si>
  <si>
    <t>WPA01 Topside Vent Boom Walkway Sections and Details (3 Sheets) - IFA</t>
  </si>
  <si>
    <t>ST-1530</t>
  </si>
  <si>
    <t>WPA01 Topside Vent Boom Walkway Sections and Details (3 Sheets) - AFC</t>
  </si>
  <si>
    <t>ST-1540</t>
  </si>
  <si>
    <t>WPA01 Topside Solar Panel Arrangement &amp; Support Details (7 Sheets) - IFR</t>
  </si>
  <si>
    <t>ST-1550</t>
  </si>
  <si>
    <t>WPA01 Topside Solar Panel Arrangement &amp; Support Details (7 Sheets) - IFA</t>
  </si>
  <si>
    <t>ST-1560</t>
  </si>
  <si>
    <t>WPA01 Topside Solar Panel Arrangement &amp; Support Details (7 Sheets) - AFC</t>
  </si>
  <si>
    <t>ST-1570</t>
  </si>
  <si>
    <t>WPA01 Topside Upper Deck Flooring &amp; Handrail Layout - IFR</t>
  </si>
  <si>
    <t>ST-1580</t>
  </si>
  <si>
    <t>WPA01 Topside Upper Deck Flooring &amp; Handrail Layout - IFA</t>
  </si>
  <si>
    <t>ST-1590</t>
  </si>
  <si>
    <t>WPA01 Topside Upper Deck Flooring &amp; Handrail Layout - AFC</t>
  </si>
  <si>
    <t>ST-1600</t>
  </si>
  <si>
    <t>WPA01 Topside Lower Deck Flooring &amp; Handrail Layout - IFR</t>
  </si>
  <si>
    <t>ST-1610</t>
  </si>
  <si>
    <t>WPA01 Topside Lower Deck Flooring &amp; Handrail Layout - IFA</t>
  </si>
  <si>
    <t>ST-1620</t>
  </si>
  <si>
    <t>WPA01 Topside Lower Deck Flooring &amp; Handrail Layout - AFC</t>
  </si>
  <si>
    <t>ST-1630</t>
  </si>
  <si>
    <t>WPA01 Topside Mezzanine Deck Flooring &amp; Handrail Layout - IFR</t>
  </si>
  <si>
    <t>ST-1640</t>
  </si>
  <si>
    <t>WPA01 Topside Mezzanine Deck Flooring &amp; Handrail Layout - IFA</t>
  </si>
  <si>
    <t>ST-1650</t>
  </si>
  <si>
    <t>WPA01 Topside Mezzanine Deck Flooring &amp; Handrail Layout - AFC</t>
  </si>
  <si>
    <t>ST-1660</t>
  </si>
  <si>
    <t>WPA01 Topside Sump Deck Flooring &amp; Handrail Layout - IFR</t>
  </si>
  <si>
    <t>ST-1670</t>
  </si>
  <si>
    <t>WPA01 Topside Sump Deck Flooring &amp; Handrail Layout - IFA</t>
  </si>
  <si>
    <t>ST-1680</t>
  </si>
  <si>
    <t>WPA01 Topside Sump Deck Flooring &amp; Handrail Layout - AFC</t>
  </si>
  <si>
    <t>ST-1690</t>
  </si>
  <si>
    <t>WPA01 Topside Flooring Sections &amp; Details (2 Sheets) - IFR</t>
  </si>
  <si>
    <t>ST-1700</t>
  </si>
  <si>
    <t>WPA01 Topside Flooring Sections &amp; Details (2 Sheets) - IFA</t>
  </si>
  <si>
    <t>ST-1710</t>
  </si>
  <si>
    <t>WPA01 Topside Flooring Sections &amp; Details (2 Sheets) - AFC</t>
  </si>
  <si>
    <t>ST-1720</t>
  </si>
  <si>
    <t>WPA01 Topside Stairway Layout &amp; Details (11 Sheets) - IFR</t>
  </si>
  <si>
    <t>ST-1730</t>
  </si>
  <si>
    <t>WPA01 Topside Stairway Layout &amp; Details (11 Sheets) - IFA</t>
  </si>
  <si>
    <t>ST-1740</t>
  </si>
  <si>
    <t>WPA01 Topside Stairway Layout &amp; Details (11 Sheets) - AFC</t>
  </si>
  <si>
    <t>ST-1750</t>
  </si>
  <si>
    <t>WPA01 Topside Deck Hatch Arrangement &amp; Details (11 Sheets) - IFR</t>
  </si>
  <si>
    <t>ST-1760</t>
  </si>
  <si>
    <t>WPA01 Topside Deck Hatch Arrangement &amp; Details (11 Sheets) - IFA</t>
  </si>
  <si>
    <t>ST-1770</t>
  </si>
  <si>
    <t>WPA01 Topside Deck Hatch Arrangement &amp; Details (11 Sheets) - AFC</t>
  </si>
  <si>
    <t>ST-1780</t>
  </si>
  <si>
    <t>WPA01 Topside Monorail Layout and Details - IFR</t>
  </si>
  <si>
    <t>ST-1790</t>
  </si>
  <si>
    <t>WPA01 Topside Monorail Layout and Details - IFA</t>
  </si>
  <si>
    <t>ST-1800</t>
  </si>
  <si>
    <t>WPA01 Topside Monorail Layout and Details - AFC</t>
  </si>
  <si>
    <t>ST-1810</t>
  </si>
  <si>
    <t>WPA01 Topside Condensate Burner Boom Support Details (2 Sheets) - IFR</t>
  </si>
  <si>
    <t>ST-1820</t>
  </si>
  <si>
    <t>WPA01 Topside Condensate Burner Boom Support Details (2 Sheets) - IFA</t>
  </si>
  <si>
    <t>ST-1830</t>
  </si>
  <si>
    <t>WPA01 Topside Condensate Burner Boom Support Details (2 Sheets) - AFC</t>
  </si>
  <si>
    <t>ST-1840</t>
  </si>
  <si>
    <t>WPA01 Topside Helideck Marking and Safety Netting Layout - IFR</t>
  </si>
  <si>
    <t>ST-1850</t>
  </si>
  <si>
    <t>WPA01 Topside Helideck Marking and Safety Netting Layout - IFA</t>
  </si>
  <si>
    <t>ST-1860</t>
  </si>
  <si>
    <t>WPA01 Topside Helideck Marking and Safety Netting Layout - AFC</t>
  </si>
  <si>
    <t>ST-1870</t>
  </si>
  <si>
    <t>WPA01 Topside Helideck Marking and Safety Netting Details (2 Sheets) - IFR</t>
  </si>
  <si>
    <t>ST-1880</t>
  </si>
  <si>
    <t>WPA01 Topside Helideck Marking and Safety Netting Details (2 Sheets) - IFA</t>
  </si>
  <si>
    <t>ST-1890</t>
  </si>
  <si>
    <t>WPA01 Topside Helideck Marking and Safety Netting Details (2 Sheets) - AFC</t>
  </si>
  <si>
    <t>ST-1900</t>
  </si>
  <si>
    <t>WPA01 Topside Upper Deck Equipment Support Location Plan - IFR</t>
  </si>
  <si>
    <t>ST-1910</t>
  </si>
  <si>
    <t>WPA01 Topside Upper Deck Equipment Support Location Plan - IFA</t>
  </si>
  <si>
    <t>ST-1920</t>
  </si>
  <si>
    <t>WPA01 Topside Upper Deck Equipment Support Location Plan - AFC</t>
  </si>
  <si>
    <t>ST-1930</t>
  </si>
  <si>
    <t>WPA01 Topside Lower Deck Equipment Support Location Plan - IFR</t>
  </si>
  <si>
    <t>ST-1940</t>
  </si>
  <si>
    <t>WPA01 Topside Lower Deck Equipment Support Location Plan - IFA</t>
  </si>
  <si>
    <t>ST-1950</t>
  </si>
  <si>
    <t>WPA01 Topside Lower Deck Equipment Support Location Plan - AFC</t>
  </si>
  <si>
    <t>ST-1960</t>
  </si>
  <si>
    <t>WPA01 Topside Mezzanine Deck Equipment Support Location Plan - IFR</t>
  </si>
  <si>
    <t>ST-1970</t>
  </si>
  <si>
    <t>WPA01 Topside Mezzanine Deck Equipment Support Location Plan - IFA</t>
  </si>
  <si>
    <t>ST-1980</t>
  </si>
  <si>
    <t>WPA01 Topside Mezzanine Deck Equipment Support Location Plan - AFC</t>
  </si>
  <si>
    <t>ST-1990</t>
  </si>
  <si>
    <t>WPA01 Topside Sump Deck Equipment Support Location Plan - IFR</t>
  </si>
  <si>
    <t>ST-2000</t>
  </si>
  <si>
    <t>WPA01 Topside Sump Deck Equipment Support Location Plan - IFA</t>
  </si>
  <si>
    <t>ST-2010</t>
  </si>
  <si>
    <t>WPA01 Topside Sump Deck Equipment Support Location Plan - AFC</t>
  </si>
  <si>
    <t>ST-2020</t>
  </si>
  <si>
    <t>WPA01 Topside Equipment Support Details (12 Sheets) - IFR</t>
  </si>
  <si>
    <t>ST-2030</t>
  </si>
  <si>
    <t>WPA01 Topside Equipment Support Details (12 Sheets) - IFA</t>
  </si>
  <si>
    <t>ST-2040</t>
  </si>
  <si>
    <t>WPA01 Topside Equipment Support Details (12 Sheets) - AFC</t>
  </si>
  <si>
    <t>ST-2050</t>
  </si>
  <si>
    <t>WPA01 Topside Platform Name Plate Details - IFR</t>
  </si>
  <si>
    <t>ST-2060</t>
  </si>
  <si>
    <t>WPA01 Topside Platform Name Plate Details - IFA</t>
  </si>
  <si>
    <t>ST-2070</t>
  </si>
  <si>
    <t>WPA01 Topside Platform Name Plate Details - AFC</t>
  </si>
  <si>
    <t>ST-2080</t>
  </si>
  <si>
    <t>WPA01 Topside Lifting Configuration - IFR</t>
  </si>
  <si>
    <t>ST-2090</t>
  </si>
  <si>
    <t>WPA01 Topside Lifting Configuration - IFA</t>
  </si>
  <si>
    <t>ST-2100</t>
  </si>
  <si>
    <t>WPA01 Topside Lifting Configuration - AFC</t>
  </si>
  <si>
    <t>ST-2110</t>
  </si>
  <si>
    <t>WPA01 Topside Lifting Padeye Details (4 Sheets) - IFR</t>
  </si>
  <si>
    <t>ST-2120</t>
  </si>
  <si>
    <t>WPA01 Topside Lifting Padeye Details (4 Sheets) - IFA</t>
  </si>
  <si>
    <t>ST-2130</t>
  </si>
  <si>
    <t>WPA01 Topside Lifting Padeye Details (4 Sheets) - AFC</t>
  </si>
  <si>
    <t>ST-2140</t>
  </si>
  <si>
    <t>WPA01 Topside Primary Steel MTO Report - IFR</t>
  </si>
  <si>
    <t>ST-2150</t>
  </si>
  <si>
    <t>WPA01 Topside Primary Steel MTO Report - IFA</t>
  </si>
  <si>
    <t>ST-2160</t>
  </si>
  <si>
    <t>WPA01 Topside Primary Steel MTO Report - AFC</t>
  </si>
  <si>
    <t>ST-2170</t>
  </si>
  <si>
    <t>WPA01 Topside Secondary and Tertiary Steel MTO Report - IFR</t>
  </si>
  <si>
    <t>ST-2180</t>
  </si>
  <si>
    <t>WPA01 Topside Secondary and Tertiary Steel MTO Report - IFA</t>
  </si>
  <si>
    <t>ST-2190</t>
  </si>
  <si>
    <t>WPA01 Topside Secondary and Tertiary Steel MTO Report - AFC</t>
  </si>
  <si>
    <t>ST-2200</t>
  </si>
  <si>
    <t>WPA01 Topside Computer Modeling and Load Formulation Report - IFR</t>
  </si>
  <si>
    <t>ST-2210</t>
  </si>
  <si>
    <t>WPA01 Topside Computer Modeling and Load Formulation Report - IFA</t>
  </si>
  <si>
    <t>ST-2220</t>
  </si>
  <si>
    <t>WPA01 Topside Computer Modeling and Load Formulation Report - AFC</t>
  </si>
  <si>
    <t>ST-2230</t>
  </si>
  <si>
    <t>WPA01 Topside In-Place Analysis Report - IFR</t>
  </si>
  <si>
    <t>ST-2240</t>
  </si>
  <si>
    <t>WPA01 Topside In-Place Analysis Report - IFA</t>
  </si>
  <si>
    <t>ST-2250</t>
  </si>
  <si>
    <t>WPA01 Topside In-Place Analysis Report - AFC</t>
  </si>
  <si>
    <t>ST-2253</t>
  </si>
  <si>
    <t>WPA01 Topside Vibration Anaysis Report - IFR</t>
  </si>
  <si>
    <t>ST-2255</t>
  </si>
  <si>
    <t>WPA01 Topside Vibration Anaysis Report - IFA</t>
  </si>
  <si>
    <t>ST-2256</t>
  </si>
  <si>
    <t>WPA01 Topside Vibration Anaysis Report - AFC</t>
  </si>
  <si>
    <t>ST-2260</t>
  </si>
  <si>
    <t>WPA01 Topside Loadout Analysis Report - IFR</t>
  </si>
  <si>
    <t>ST-2270</t>
  </si>
  <si>
    <t>WPA01 Topside Loadout Analysis Report - IFA</t>
  </si>
  <si>
    <t>ST-2280</t>
  </si>
  <si>
    <t>WPA01 Topside Loadout Analysis Report - AFC</t>
  </si>
  <si>
    <t>ST-2290</t>
  </si>
  <si>
    <t>WPA01 Topside Transportation Analysis Report - IFR</t>
  </si>
  <si>
    <t>ST-2300</t>
  </si>
  <si>
    <t>WPA01 Topside Transportation Analysis Report - IFA</t>
  </si>
  <si>
    <t>ST-2310</t>
  </si>
  <si>
    <t>WPA01 Topside Transportation Analysis Report - AFC</t>
  </si>
  <si>
    <t>ST-2320</t>
  </si>
  <si>
    <t>WPA01 Topside Transportation Fatigue Analysis Report - IFR</t>
  </si>
  <si>
    <t>ST-2330</t>
  </si>
  <si>
    <t>WPA01 Topside Transportation Fatigue Analysis Report - IFA</t>
  </si>
  <si>
    <t>ST-2340</t>
  </si>
  <si>
    <t>WPA01 Topside Transportation Fatigue Analysis Report - AFC</t>
  </si>
  <si>
    <t>ST-2350</t>
  </si>
  <si>
    <t>WPA01 Topside Lifting Analysis Report - IFR</t>
  </si>
  <si>
    <t>ST-2360</t>
  </si>
  <si>
    <t>WPA01 Topside Lifting Analysis Report - IFA</t>
  </si>
  <si>
    <t>ST-2370</t>
  </si>
  <si>
    <t>WPA01 Topside Lifting Analysis Report - AFC</t>
  </si>
  <si>
    <t>ST-2380</t>
  </si>
  <si>
    <t>WPA01 Topside Miscellaneous Design Report - IFR</t>
  </si>
  <si>
    <t>ST-2390</t>
  </si>
  <si>
    <t>WPA01 Topside Miscellaneous Design Report - IFA</t>
  </si>
  <si>
    <t>ST-2400</t>
  </si>
  <si>
    <t>WPA01 Topside Miscellaneous Design Report - AFC</t>
  </si>
  <si>
    <t>ST-2401</t>
  </si>
  <si>
    <t>WPA01 Topside Finite Element Analysis for Casing Slot and Unihead Spacer Report - IFR</t>
  </si>
  <si>
    <t>ST-2402</t>
  </si>
  <si>
    <t>WPA01 Topside Finite Element Analysis for Casing Slot and Unihead Spacer Report - IFA</t>
  </si>
  <si>
    <t>ST-2403</t>
  </si>
  <si>
    <t>WPA01 Topside Finite Element Analysis for Casing Slot and Unihead Spacer Report - AFC</t>
  </si>
  <si>
    <t>ST-2407</t>
  </si>
  <si>
    <t>WPA01 Structural Design for Dropped Object Report - IFR</t>
  </si>
  <si>
    <t>ST-2408</t>
  </si>
  <si>
    <t>WPA01 Structural Design for Dropped Object Report - IFA</t>
  </si>
  <si>
    <t>ST-2409</t>
  </si>
  <si>
    <t>WPA01 Structural Design for Dropped Object Report - AFC</t>
  </si>
  <si>
    <t>ST-24091</t>
  </si>
  <si>
    <t>WPA01 Topside Weight Control Report - IFR</t>
  </si>
  <si>
    <t>ST-24092</t>
  </si>
  <si>
    <t>WPA01 Topside Weight Control Report - IFA</t>
  </si>
  <si>
    <t>ST-24093</t>
  </si>
  <si>
    <t>WPA01 Topside Weight Control Report - AFC</t>
  </si>
  <si>
    <t>ST-2410</t>
  </si>
  <si>
    <t>WPA02 Topside Drawing Index (2 Sheets) - IFR</t>
  </si>
  <si>
    <t>ST-2420</t>
  </si>
  <si>
    <t>WPA02 Topside Drawing Index (2 Sheets) - IFA</t>
  </si>
  <si>
    <t>ST-2430</t>
  </si>
  <si>
    <t>WPA02 Topside Drawing Index (2 Sheets) - AFC</t>
  </si>
  <si>
    <t>ST-2440</t>
  </si>
  <si>
    <t>WPA02 Topside Deck Loading Diagrams - IFR</t>
  </si>
  <si>
    <t>ST-2450</t>
  </si>
  <si>
    <t>WPA02 Topside Deck Loading Diagrams - IFA</t>
  </si>
  <si>
    <t>ST-2460</t>
  </si>
  <si>
    <t>WPA02 Topside Deck Loading Diagrams - AFC</t>
  </si>
  <si>
    <t>ST-2470</t>
  </si>
  <si>
    <t>WPA02 Topside - Upper Deck Primary Steel Framing Plan - IFR</t>
  </si>
  <si>
    <t>ST-2480</t>
  </si>
  <si>
    <t>WPA02 Topside - Upper Deck Primary Steel Framing Plan - IFA</t>
  </si>
  <si>
    <t>ST-2490</t>
  </si>
  <si>
    <t>WPA02 Topside - Upper Deck Primary Steel Framing Plan - AFC</t>
  </si>
  <si>
    <t>ST-2500</t>
  </si>
  <si>
    <t>ST-2510</t>
  </si>
  <si>
    <t>ST-2520</t>
  </si>
  <si>
    <t>ST-2530</t>
  </si>
  <si>
    <t>WPA02 Topside - Elevation Truss Row A, B, 1, 2 - IFR</t>
  </si>
  <si>
    <t>ST-2540</t>
  </si>
  <si>
    <t>WPA02 Topside - Elevation Truss Row A, B, 1, 2 - IFA</t>
  </si>
  <si>
    <t>ST-2550</t>
  </si>
  <si>
    <t>WPA02 Topside - Elevation Truss Row A, B, 1, 2 - AFC</t>
  </si>
  <si>
    <t>ST-2560</t>
  </si>
  <si>
    <t>WPA02 Topside - Sections (2 Sheets) - IFR</t>
  </si>
  <si>
    <t>ST-2570</t>
  </si>
  <si>
    <t>WPA02 Topside - Sections (2 Sheets) - IFA</t>
  </si>
  <si>
    <t>ST-2580</t>
  </si>
  <si>
    <t>WPA02 Topside - Sections (2 Sheets) - AFC</t>
  </si>
  <si>
    <t>ST-2590</t>
  </si>
  <si>
    <t>WPA02 Topside Joint Connection Details (14 Sheets) - IFR</t>
  </si>
  <si>
    <t>ST-2600</t>
  </si>
  <si>
    <t>WPA02 Topside Joint Connection Details (14 Sheets) - IFA</t>
  </si>
  <si>
    <t>ST-2610</t>
  </si>
  <si>
    <t>WPA02 Topside Joint Connection Details (14 Sheets) - AFC</t>
  </si>
  <si>
    <t>ST-2620</t>
  </si>
  <si>
    <t>WPA02 Topside Upper Deck Secondary Steel Framing Plan - IFR</t>
  </si>
  <si>
    <t>ST-2630</t>
  </si>
  <si>
    <t>WPA02 Topside Upper Deck Secondary Steel Framing Plan - IFA</t>
  </si>
  <si>
    <t>ST-2640</t>
  </si>
  <si>
    <t>WPA02 Topside Upper Deck Secondary Steel Framing Plan - AFC</t>
  </si>
  <si>
    <t>ST-2650</t>
  </si>
  <si>
    <t>WPA02 Topside Lower Deck Secondary Steel Framing Plan - IFR</t>
  </si>
  <si>
    <t>ST-2660</t>
  </si>
  <si>
    <t>WPA02 Topside Lower Deck Secondary Steel Framing Plan - IFA</t>
  </si>
  <si>
    <t>ST-2670</t>
  </si>
  <si>
    <t>WPA02 Topside Lower Deck Secondary Steel Framing Plan - AFC</t>
  </si>
  <si>
    <t>ST-2680</t>
  </si>
  <si>
    <t>WPA02 Topside Mezzanine Deck Framing Plan - IFR</t>
  </si>
  <si>
    <t>ST-2690</t>
  </si>
  <si>
    <t>WPA02 Topside Mezzanine Deck Framing Plan - IFA</t>
  </si>
  <si>
    <t>ST-2700</t>
  </si>
  <si>
    <t>WPA02 Topside Mezzanine Deck Framing Plan - AFC</t>
  </si>
  <si>
    <t>ST-2710</t>
  </si>
  <si>
    <t>WPA02 Topside Mezzanine Deck Section &amp; Details (3 Sheets) - IFR</t>
  </si>
  <si>
    <t>ST-2720</t>
  </si>
  <si>
    <t>WPA02 Topside Mezzanine Deck Section &amp; Details (3 Sheets) - IFA</t>
  </si>
  <si>
    <t>ST-2730</t>
  </si>
  <si>
    <t>WPA02 Topside Mezzanine Deck Section &amp; Details (3 Sheets) - AFC</t>
  </si>
  <si>
    <t>ST-2740</t>
  </si>
  <si>
    <t>WPA02 Topside Sump Deck Framing Plan - IFR</t>
  </si>
  <si>
    <t>ST-2750</t>
  </si>
  <si>
    <t>WPA02 Topside Sump Deck Framing Plan - IFA</t>
  </si>
  <si>
    <t>ST-2760</t>
  </si>
  <si>
    <t>WPA02 Topside Sump Deck Framing Plan - AFC</t>
  </si>
  <si>
    <t>ST-2770</t>
  </si>
  <si>
    <t>WPA02 Topside Sump Deck Section &amp; Details (3 Sheets) - IFR</t>
  </si>
  <si>
    <t>ST-2780</t>
  </si>
  <si>
    <t>WPA02 Topside Sump Deck Section &amp; Details (3 Sheets) - IFA</t>
  </si>
  <si>
    <t>ST-2790</t>
  </si>
  <si>
    <t>WPA02 Topside Sump Deck Section &amp; Details (3 Sheets) - AFC</t>
  </si>
  <si>
    <t>ST-2800</t>
  </si>
  <si>
    <t>WPA02 Topside Standard Joint Details for Secondary Beam - IFR</t>
  </si>
  <si>
    <t>ST-2810</t>
  </si>
  <si>
    <t>WPA02 Topside Standard Joint Details for Secondary Beam - IFA</t>
  </si>
  <si>
    <t>ST-2820</t>
  </si>
  <si>
    <t>WPA02 Topside Standard Joint Details for Secondary Beam - AFC</t>
  </si>
  <si>
    <t>ST-2830</t>
  </si>
  <si>
    <t>WPA02 Topside Vent Boom Plan and Elevation - IFR</t>
  </si>
  <si>
    <t>ST-2840</t>
  </si>
  <si>
    <t>WPA02 Topside Vent Boom Plan and Elevation - IFA</t>
  </si>
  <si>
    <t>ST-2850</t>
  </si>
  <si>
    <t>WPA02 Topside Vent Boom Plan and Elevation - AFC</t>
  </si>
  <si>
    <t>ST-2860</t>
  </si>
  <si>
    <t>WPA02 Topside Vent Boom Sections - IFR</t>
  </si>
  <si>
    <t>ST-2870</t>
  </si>
  <si>
    <t>WPA02 Topside Vent Boom Sections - IFA</t>
  </si>
  <si>
    <t>ST-2880</t>
  </si>
  <si>
    <t>WPA02 Topside Vent Boom Sections - AFC</t>
  </si>
  <si>
    <t>ST-2890</t>
  </si>
  <si>
    <t>WPA02 Topside Vent Boom Walkway Plan and Sections - IFR</t>
  </si>
  <si>
    <t>ST-2900</t>
  </si>
  <si>
    <t>WPA02 Topside Vent Boom Walkway Plan and Sections - IFA</t>
  </si>
  <si>
    <t>ST-2910</t>
  </si>
  <si>
    <t>WPA02 Topside Vent Boom Walkway Plan and Sections - AFC</t>
  </si>
  <si>
    <t>ST-2920</t>
  </si>
  <si>
    <t>WPA02 Topside Vent Boom Walkway Section and Details (3 Sheets) - IFR</t>
  </si>
  <si>
    <t>ST-2930</t>
  </si>
  <si>
    <t>WPA02 Topside Vent Boom Walkway Section and Details (3 Sheets) - IFA</t>
  </si>
  <si>
    <t>ST-2940</t>
  </si>
  <si>
    <t>WPA02 Topside Vent Boom Walkway Section and Details (3 Sheets) - AFC</t>
  </si>
  <si>
    <t>ST-2950</t>
  </si>
  <si>
    <t>WPA02 Topside Solar Panel Arrangement &amp; Support Details (7 Sheets) - IFR</t>
  </si>
  <si>
    <t>ST-2960</t>
  </si>
  <si>
    <t>WPA02 Topside Solar Panel Arrangement &amp; Support Details (7 Sheets) - IFA</t>
  </si>
  <si>
    <t>ST-2970</t>
  </si>
  <si>
    <t>WPA02 Topside Solar Panel Arrangement &amp; Support Details (7 Sheets) - AFC</t>
  </si>
  <si>
    <t>ST-2980</t>
  </si>
  <si>
    <t>WPA02 Topside Upper Deck Flooring &amp; Handrail Layout Plan - IFR</t>
  </si>
  <si>
    <t>ST-2990</t>
  </si>
  <si>
    <t>WPA02 Topside Upper Deck Flooring &amp; Handrail Layout Plan - IFA</t>
  </si>
  <si>
    <t>ST-3000</t>
  </si>
  <si>
    <t>WPA02 Topside Upper Deck Flooring &amp; Handrail Layout Plan - AFC</t>
  </si>
  <si>
    <t>ST-3010</t>
  </si>
  <si>
    <t>WPA02 Topside Lower Deck Flooring &amp; Handrail Layout - IFR</t>
  </si>
  <si>
    <t>ST-3020</t>
  </si>
  <si>
    <t>WPA02 Topside Lower Deck Flooring &amp; Handrail Layout - IFA</t>
  </si>
  <si>
    <t>ST-3030</t>
  </si>
  <si>
    <t>WPA02 Topside Lower Deck Flooring &amp; Handrail Layout - AFC</t>
  </si>
  <si>
    <t>ST-3040</t>
  </si>
  <si>
    <t>WPA02 Topside Mezzanine Deck Flooring &amp; Handrail Layout - IFR</t>
  </si>
  <si>
    <t>ST-3050</t>
  </si>
  <si>
    <t>WPA02 Topside Mezzanine Deck Flooring &amp; Handrail Layout - IFA</t>
  </si>
  <si>
    <t>ST-3060</t>
  </si>
  <si>
    <t>WPA02 Topside Mezzanine Deck Flooring &amp; Handrail Layout - AFC</t>
  </si>
  <si>
    <t>ST-3070</t>
  </si>
  <si>
    <t>WPA02 Topside Sump Deck Flooring &amp; Handrail Layout - IFR</t>
  </si>
  <si>
    <t>ST-3080</t>
  </si>
  <si>
    <t>WPA02 Topside Sump Deck Flooring &amp; Handrail Layout - IFA</t>
  </si>
  <si>
    <t>ST-3090</t>
  </si>
  <si>
    <t>WPA02 Topside Sump Deck Flooring &amp; Handrail Layout - AFC</t>
  </si>
  <si>
    <t>ST-3100</t>
  </si>
  <si>
    <t>WPA02 Topside Flooring Sections &amp; Details (2 Sheets) - IFR</t>
  </si>
  <si>
    <t>ST-3110</t>
  </si>
  <si>
    <t>WPA02 Topside Flooring Sections &amp; Details (2 Sheets) - IFA</t>
  </si>
  <si>
    <t>ST-3120</t>
  </si>
  <si>
    <t>WPA02 Topside Flooring Sections &amp; Details (2 Sheets) - AFC</t>
  </si>
  <si>
    <t>ST-3130</t>
  </si>
  <si>
    <t>WPA02 Topside Stairway Layout &amp; Details (11 Sheets) - IFR</t>
  </si>
  <si>
    <t>ST-3140</t>
  </si>
  <si>
    <t>WPA02 Topside Stairway Layout &amp; Details (11 Sheets) - IFA</t>
  </si>
  <si>
    <t>ST-3150</t>
  </si>
  <si>
    <t>WPA02 Topside Stairway Layout &amp; Details (11 Sheets) - AFC</t>
  </si>
  <si>
    <t>ST-3160</t>
  </si>
  <si>
    <t>WPA02 Topside Deck Hatch Arrangement &amp; Details (11 Sheets) - IFR</t>
  </si>
  <si>
    <t>ST-3170</t>
  </si>
  <si>
    <t>WPA02 Topside Deck Hatch Arrangement &amp; Details (11 Sheets) - IFA</t>
  </si>
  <si>
    <t>ST-3180</t>
  </si>
  <si>
    <t>WPA02 Topside Deck Hatch Arrangement &amp; Details (11 Sheets) - AFC</t>
  </si>
  <si>
    <t>ST-3190</t>
  </si>
  <si>
    <t>WPA02 Topside Monorail Layout and Details - IFR</t>
  </si>
  <si>
    <t>ST-3200</t>
  </si>
  <si>
    <t>WPA02 Topside Monorail Layout and Details - IFA</t>
  </si>
  <si>
    <t>ST-3210</t>
  </si>
  <si>
    <t>WPA02 Topside Monorail Layout and Details - AFC</t>
  </si>
  <si>
    <t>ST-3220</t>
  </si>
  <si>
    <t>WPA02 Topside Condensate Burner Boom Support Details (2 Sheets) - IFR</t>
  </si>
  <si>
    <t>ST-3230</t>
  </si>
  <si>
    <t>WPA02 Topside Condensate Burner Boom Support Details (2 Sheets) - IFA</t>
  </si>
  <si>
    <t>ST-3240</t>
  </si>
  <si>
    <t>WPA02 Topside Condensate Burner Boom Support Details (2 Sheets) - AFC</t>
  </si>
  <si>
    <t>ST-3250</t>
  </si>
  <si>
    <t>WPA02 Topside Helideck Marking and Safety Netting Layout - IFR</t>
  </si>
  <si>
    <t>ST-3260</t>
  </si>
  <si>
    <t>WPA02 Topside Helideck Marking and Safety Netting Layout - IFA</t>
  </si>
  <si>
    <t>ST-3270</t>
  </si>
  <si>
    <t>WPA02 Topside Helideck Marking and Safety Netting Layout - AFC</t>
  </si>
  <si>
    <t>ST-3280</t>
  </si>
  <si>
    <t>WPA02 Topside Helideck Marking and Safety Netting Details (2 Sheets) - IFR</t>
  </si>
  <si>
    <t>ST-3290</t>
  </si>
  <si>
    <t>WPA02 Topside Helideck Marking and Safety Netting Details (2 Sheets) - IFA</t>
  </si>
  <si>
    <t>ST-3300</t>
  </si>
  <si>
    <t>WPA02 Topside Helideck Marking and Safety Netting Details (2 Sheets) - AFC</t>
  </si>
  <si>
    <t>ST-3310</t>
  </si>
  <si>
    <t>WPA02 Topside Upper Deck Equipment Support Location Plan - IFR</t>
  </si>
  <si>
    <t>ST-3320</t>
  </si>
  <si>
    <t>WPA02 Topside Upper Deck Equipment Support Location Plan - IFA</t>
  </si>
  <si>
    <t>ST-3330</t>
  </si>
  <si>
    <t>WPA02 Topside Upper Deck Equipment Support Location Plan - AFC</t>
  </si>
  <si>
    <t>ST-3340</t>
  </si>
  <si>
    <t>WPA02 Topside Lower Deck Equipment Support Location Plan - IFR</t>
  </si>
  <si>
    <t>ST-3350</t>
  </si>
  <si>
    <t>WPA02 Topside Lower Deck Equipment Support Location Plan - IFA</t>
  </si>
  <si>
    <t>ST-3360</t>
  </si>
  <si>
    <t>WPA02 Topside Lower Deck Equipment Support Location Plan - AFC</t>
  </si>
  <si>
    <t>ST-3370</t>
  </si>
  <si>
    <t>WPA02 Topside Mezzanine Deck Equipment Support Location Plan - IFR</t>
  </si>
  <si>
    <t>ST-3380</t>
  </si>
  <si>
    <t>WPA02 Topside Mezzanine Deck Equipment Support Location Plan - IFA</t>
  </si>
  <si>
    <t>ST-3390</t>
  </si>
  <si>
    <t>WPA02 Topside Mezzanine Deck Equipment Support Location Plan - AFC</t>
  </si>
  <si>
    <t>ST-3400</t>
  </si>
  <si>
    <t>WPA02 Topside Sump Deck Equipment Support Location Plan - IFR</t>
  </si>
  <si>
    <t>ST-3410</t>
  </si>
  <si>
    <t>WPA02 Topside Sump Deck Equipment Support Location Plan - IFA</t>
  </si>
  <si>
    <t>ST-3420</t>
  </si>
  <si>
    <t>WPA02 Topside Sump Deck Equipment Support Location Plan - AFC</t>
  </si>
  <si>
    <t>ST-3430</t>
  </si>
  <si>
    <t>WPA02 Topside Equipment Support Details (17 Sheets) - IFR</t>
  </si>
  <si>
    <t>ST-3440</t>
  </si>
  <si>
    <t>WPA02 Topside Equipment Support Details (17 Sheets) - IFA</t>
  </si>
  <si>
    <t>ST-3450</t>
  </si>
  <si>
    <t>WPA02 Topside Equipment Support Details (17 Sheets) - AFC</t>
  </si>
  <si>
    <t>ST-3460</t>
  </si>
  <si>
    <t>WPA02 Topside Platform Name Plate Details - IFR</t>
  </si>
  <si>
    <t>ST-3470</t>
  </si>
  <si>
    <t>WPA02 Topside Platform Name Plate Details - IFA</t>
  </si>
  <si>
    <t>ST-3480</t>
  </si>
  <si>
    <t>WPA02 Topside Platform Name Plate Details - AFC</t>
  </si>
  <si>
    <t>ST-3490</t>
  </si>
  <si>
    <t>WPA02 Topside Lifting Configuration - IFR</t>
  </si>
  <si>
    <t>ST-3500</t>
  </si>
  <si>
    <t>WPA02 Topside Lifting Configuration - IFA</t>
  </si>
  <si>
    <t>ST-3510</t>
  </si>
  <si>
    <t>WPA02 Topside Lifting Configuration - AFC</t>
  </si>
  <si>
    <t>ST-3520</t>
  </si>
  <si>
    <t>WPA02 Topside Lifting Padeye Details (4 Sheets) - IFR</t>
  </si>
  <si>
    <t>ST-3530</t>
  </si>
  <si>
    <t>WPA02 Topside Lifting Padeye Details (4 Sheets) - IFA</t>
  </si>
  <si>
    <t>ST-3540</t>
  </si>
  <si>
    <t>WPA02 Topside Lifting Padeye Details (4 Sheets) - AFC</t>
  </si>
  <si>
    <t>ST-3550</t>
  </si>
  <si>
    <t>WPA02 Topside Primary Steel MTO Report - IFR</t>
  </si>
  <si>
    <t>ST-3560</t>
  </si>
  <si>
    <t>WPA02 Topside Primary Steel MTO Report  - IFA</t>
  </si>
  <si>
    <t>ST-3570</t>
  </si>
  <si>
    <t>WPA02 Topside Primary Steel MTO Report - AFC</t>
  </si>
  <si>
    <t>ST-3580</t>
  </si>
  <si>
    <t>WPA02 Topside Secondary and Tertiary Steel MTO Report - IFR</t>
  </si>
  <si>
    <t>ST-3590</t>
  </si>
  <si>
    <t>WPA02 Topside Secondary and Tertiary Steel MTO Report - IFA</t>
  </si>
  <si>
    <t>ST-3600</t>
  </si>
  <si>
    <t>WPA02 Topside Secondary and Tertiary Steel MTO Report - AFC</t>
  </si>
  <si>
    <t>ST-3610</t>
  </si>
  <si>
    <t>WPA02 Topside Computer Modeling and Load Formulation Report - IFR</t>
  </si>
  <si>
    <t>ST-3620</t>
  </si>
  <si>
    <t>WPA02 Topside Computer Modeling and Load Formulation Report - IFA</t>
  </si>
  <si>
    <t>ST-3630</t>
  </si>
  <si>
    <t>WPA02 Topside Computer Modeling and Load Formulation Report - AFC</t>
  </si>
  <si>
    <t>ST-3640</t>
  </si>
  <si>
    <t>WPA02 Topside In-Place Analysis Report - IFR</t>
  </si>
  <si>
    <t>ST-3650</t>
  </si>
  <si>
    <t>WPA02 Topside In-Place Analysis Report - IFA</t>
  </si>
  <si>
    <t>ST-3660</t>
  </si>
  <si>
    <t>WPA02 Topside In-Place Analysis Report - AFC</t>
  </si>
  <si>
    <t>ST-3670</t>
  </si>
  <si>
    <t>WPA02 Topside Loadout Analysis Report - IFR</t>
  </si>
  <si>
    <t>ST-3680</t>
  </si>
  <si>
    <t>WPA02 Topside Loadout Analysis Report - IFA</t>
  </si>
  <si>
    <t>ST-3690</t>
  </si>
  <si>
    <t>WPA02 Topside Loadout Analysis Report - AFC</t>
  </si>
  <si>
    <t>ST-3700</t>
  </si>
  <si>
    <t>WPA02 Topside Transportation Analysis Report - IFR</t>
  </si>
  <si>
    <t>ST-3710</t>
  </si>
  <si>
    <t>WPA02 Topside Transportation Analysis Report - IFA</t>
  </si>
  <si>
    <t>ST-3720</t>
  </si>
  <si>
    <t>WPA02 Topside Transportation Analysis Report - AFC</t>
  </si>
  <si>
    <t>ST-3730</t>
  </si>
  <si>
    <t>WPA02 Topside Transportation Fatigue Analysis Report - IFR</t>
  </si>
  <si>
    <t>ST-3740</t>
  </si>
  <si>
    <t>WPA02 Topside Transportation Fatigue Analysis Report - IFA</t>
  </si>
  <si>
    <t>ST-3750</t>
  </si>
  <si>
    <t>WPA02 Topside Transportation Fatigue Analysis Report - AFC</t>
  </si>
  <si>
    <t>ST-3760</t>
  </si>
  <si>
    <t>WPA02 Topside Lifting Analysis Report - IFR</t>
  </si>
  <si>
    <t>ST-3770</t>
  </si>
  <si>
    <t>WPA02 Topside Lifting Analysis Report - IFA</t>
  </si>
  <si>
    <t>ST-3780</t>
  </si>
  <si>
    <t>WPA02 Topside Lifting Analysis Report - AFC</t>
  </si>
  <si>
    <t>ST-3790</t>
  </si>
  <si>
    <t>WPA02 Topside Miscellaneous Design Report - IFR</t>
  </si>
  <si>
    <t>ST-3800</t>
  </si>
  <si>
    <t>WPA02 Topside Miscellaneous Design Report - IFA</t>
  </si>
  <si>
    <t>ST-3810</t>
  </si>
  <si>
    <t>WPA02 Topside Miscellaneous Design Report - AFC</t>
  </si>
  <si>
    <t>ST-3811</t>
  </si>
  <si>
    <t>WPA02 Topside Finite Element Analysis for Casing Slot and Unihead Spacer Report - IFR</t>
  </si>
  <si>
    <t>ST-3812</t>
  </si>
  <si>
    <t>WPA02 Topside Finite Element Analysis for Casing Slot and Unihead Spacer Report - IFA</t>
  </si>
  <si>
    <t>ST-3813</t>
  </si>
  <si>
    <t>WPA02 Topside Finite Element Analysis for Casing Slot and Unihead Spacer Report - AFC</t>
  </si>
  <si>
    <t>ST-3817</t>
  </si>
  <si>
    <t>WPA02 Structural Design for Dropped Object Report - IFR</t>
  </si>
  <si>
    <t>ST-3818</t>
  </si>
  <si>
    <t>WPA02 Structural Design for Dropped Object Report - IFA</t>
  </si>
  <si>
    <t>ST-3819</t>
  </si>
  <si>
    <t>WPA02 Structural Design for Dropped Object Report - AFC</t>
  </si>
  <si>
    <t>ST-3820</t>
  </si>
  <si>
    <t>WPA02 Topside Weight Control Report - IFR</t>
  </si>
  <si>
    <t>ST-3830</t>
  </si>
  <si>
    <t>WPA02 Topside Weight Control Report - IFA</t>
  </si>
  <si>
    <t>ST-3840</t>
  </si>
  <si>
    <t>WPA02 Topside Weight Control Report - AFC</t>
  </si>
  <si>
    <t>ST-3880</t>
  </si>
  <si>
    <t>Structural Design Basis - IFR</t>
  </si>
  <si>
    <t>ST-3890</t>
  </si>
  <si>
    <t>Structural Design Basis - IFA</t>
  </si>
  <si>
    <t>ST-3900</t>
  </si>
  <si>
    <t>Structural Design Basis - AFC</t>
  </si>
  <si>
    <t>ST-3902</t>
  </si>
  <si>
    <t>Topside General Notes - IFR</t>
  </si>
  <si>
    <t>ST-3904</t>
  </si>
  <si>
    <t>Topside General Notes - IFA</t>
  </si>
  <si>
    <t>ST-3907</t>
  </si>
  <si>
    <t>Topside General Notes - AFC</t>
  </si>
  <si>
    <t>ST-3910</t>
  </si>
  <si>
    <t>Topside Standard Details Welding Detail (2 Sheets) - IFR</t>
  </si>
  <si>
    <t>ST-3920</t>
  </si>
  <si>
    <t>Topside Standard Details Welding Detail (2 Sheets) - IFA</t>
  </si>
  <si>
    <t>ST-3930</t>
  </si>
  <si>
    <t>Topside Standard Details Welding Detail (2 Sheets) - AFC</t>
  </si>
  <si>
    <t>ST-3940</t>
  </si>
  <si>
    <t>Topside Standard Details Beam Connections (4 Sheets) - IFR</t>
  </si>
  <si>
    <t>ST-3950</t>
  </si>
  <si>
    <t>Topside Standard Details Beam Connections (4 Sheets) - IFA</t>
  </si>
  <si>
    <t>ST-3960</t>
  </si>
  <si>
    <t>Topside Standard Details Beam Connections (4 Sheets) - AFC</t>
  </si>
  <si>
    <t>ST-3970</t>
  </si>
  <si>
    <t>Topside Standard Details Tubular Connections - IFR</t>
  </si>
  <si>
    <t>ST-3980</t>
  </si>
  <si>
    <t>Topside Standard Details Tubular Connections - IFA</t>
  </si>
  <si>
    <t>ST-3990</t>
  </si>
  <si>
    <t>Topside Standard Details Tubular Connections - AFC</t>
  </si>
  <si>
    <t>ST-4000</t>
  </si>
  <si>
    <t>Topside Standard Details Handrail Details (2 Sheets) - IFR</t>
  </si>
  <si>
    <t>ST-4010</t>
  </si>
  <si>
    <t>Topside Standard Details Handrail Details (2 Sheets) - IFA</t>
  </si>
  <si>
    <t>ST-4020</t>
  </si>
  <si>
    <t>Topside Standard Details Handrail Details (2 Sheets) - AFC</t>
  </si>
  <si>
    <t>ST-4030</t>
  </si>
  <si>
    <t>Topside Standard Details Ladder Details (3 Sheets) - IFR</t>
  </si>
  <si>
    <t>ST-4040</t>
  </si>
  <si>
    <t>Topside Standard Details Ladder Details (3 Sheets) - IFA</t>
  </si>
  <si>
    <t>ST-4050</t>
  </si>
  <si>
    <t>Topside Standard Details Ladder Details (3 Sheets) - AFC</t>
  </si>
  <si>
    <t>ST-4060</t>
  </si>
  <si>
    <t>Topside Standard Details Plating and Grating Details (2 Sheets) - IFR</t>
  </si>
  <si>
    <t>ST-4070</t>
  </si>
  <si>
    <t>Topside Standard Details Plating and Grating Details (2 Sheets) - IFA</t>
  </si>
  <si>
    <t>ST-4080</t>
  </si>
  <si>
    <t>Topside Standard Details Plating and Grating Details (2 Sheets) - AFC</t>
  </si>
  <si>
    <t>ST-4090</t>
  </si>
  <si>
    <t>Topside Standard Details Deck Drain Details ( 2 Sheets) - IFR</t>
  </si>
  <si>
    <t>ST-4100</t>
  </si>
  <si>
    <t>Topside Standard Details Deck Drain Details ( 2 Sheets) - IFA</t>
  </si>
  <si>
    <t>ST-4110</t>
  </si>
  <si>
    <t>Topside Standard Details Deck Drain Details ( 2 Sheets) - AFC</t>
  </si>
  <si>
    <t>ST-4120</t>
  </si>
  <si>
    <t>Topside Standard Details Logo Painting - IFR</t>
  </si>
  <si>
    <t>ST-4130</t>
  </si>
  <si>
    <t>Topside Standard Details Logo Painting - IFA</t>
  </si>
  <si>
    <t>ST-4140</t>
  </si>
  <si>
    <t>Topside Standard Details Logo Painting - AFC</t>
  </si>
  <si>
    <t>ST-4150</t>
  </si>
  <si>
    <t>Topside Casing Slot Arrangement (2 Sheets) - IFR</t>
  </si>
  <si>
    <t>ST-4160</t>
  </si>
  <si>
    <t>Topside Casing Slot Arrangement (2 Sheets) - IFA</t>
  </si>
  <si>
    <t>ST-4170</t>
  </si>
  <si>
    <t>Topside Casing Slot Arrangement (2 Sheets) - AFC</t>
  </si>
  <si>
    <t>ST-4180</t>
  </si>
  <si>
    <t>Topside Unihead Spacer Arrangement and Details (2 Sheets) - IFR</t>
  </si>
  <si>
    <t>ST-4190</t>
  </si>
  <si>
    <t>Topside Unihead Spacer Arrangement and Details (2 Sheets) - IFA</t>
  </si>
  <si>
    <t>ST-4200</t>
  </si>
  <si>
    <t>Topside Unihead Spacer Arrangement and Details (2 Sheets) - AFC</t>
  </si>
  <si>
    <t>ST-4210</t>
  </si>
  <si>
    <t>Topside Deck to Pile Connection Details - IFR</t>
  </si>
  <si>
    <t>ST-4220</t>
  </si>
  <si>
    <t>Topside Deck to Pile Connection Details - IFA</t>
  </si>
  <si>
    <t>ST-4230</t>
  </si>
  <si>
    <t>Topside Deck to Pile Connection Details - AFC</t>
  </si>
  <si>
    <t>ST-4240</t>
  </si>
  <si>
    <t>Topside E&amp;I Room Plans and Elevations (2 Sheets) - IFR</t>
  </si>
  <si>
    <t>ST-4250</t>
  </si>
  <si>
    <t>Topside E&amp;I Room Plans and Elevations (2 Sheets) - IFA</t>
  </si>
  <si>
    <t>ST-4260</t>
  </si>
  <si>
    <t>Topside E&amp;I Room Plans and Elevations (2 Sheets) - AFC</t>
  </si>
  <si>
    <t>ST-4270</t>
  </si>
  <si>
    <t>Topside E&amp;I Room Sections and Details (2 Sheets) - IFR</t>
  </si>
  <si>
    <t>ST-4280</t>
  </si>
  <si>
    <t>Topside E&amp;I Room Sections and Details (2 Sheets) - IFA</t>
  </si>
  <si>
    <t>ST-4290</t>
  </si>
  <si>
    <t>Topside E&amp;I Room Sections and Details (2 Sheets) - AFC</t>
  </si>
  <si>
    <t>ST-4300</t>
  </si>
  <si>
    <t>Topside Crane Boom Rest Details - IFR</t>
  </si>
  <si>
    <t>ST-4310</t>
  </si>
  <si>
    <t>Topside Crane Boom Rest Details - IFA</t>
  </si>
  <si>
    <t>ST-4320</t>
  </si>
  <si>
    <t>Topside Crane Boom Rest Details - AFC</t>
  </si>
  <si>
    <t>ST-4330</t>
  </si>
  <si>
    <t>Topside Amenities Cubicle Plan, Sections and Details (2 Sheets) - IFR</t>
  </si>
  <si>
    <t>ST-4340</t>
  </si>
  <si>
    <t>Topside Amenities Cubicle Plan, Sections and Details (2 Sheets) - IFA</t>
  </si>
  <si>
    <t>ST-4350</t>
  </si>
  <si>
    <t>Topside Amenities Cubicle Plan, Sections and Details (2 Sheets) - AFC</t>
  </si>
  <si>
    <t>ST-4360</t>
  </si>
  <si>
    <t>Topside Swing Ropes and Details (2 Sheets) - IFR</t>
  </si>
  <si>
    <t>ST-4370</t>
  </si>
  <si>
    <t>Topside Swing Ropes and Details (2 Sheets) - IFA</t>
  </si>
  <si>
    <t>ST-4380</t>
  </si>
  <si>
    <t>Topside Swing Ropes and Details (2 Sheets) - AFC</t>
  </si>
  <si>
    <t>ST-4390</t>
  </si>
  <si>
    <t>Topside Life Raft and Descending Device Support Details - IFR</t>
  </si>
  <si>
    <t>ST-4400</t>
  </si>
  <si>
    <t>Topside Life Raft and Descending Device Support Details - IFA</t>
  </si>
  <si>
    <t>ST-4410</t>
  </si>
  <si>
    <t>Topside Life Raft and Descending Device Support Details - AFC</t>
  </si>
  <si>
    <t>ST-4420</t>
  </si>
  <si>
    <t>Weight Control Procedure - IFR</t>
  </si>
  <si>
    <t>ST-4430</t>
  </si>
  <si>
    <t>Weight Control Procedure - IFA</t>
  </si>
  <si>
    <t>ST-4440</t>
  </si>
  <si>
    <t>Weight Control Procedure - AFC</t>
  </si>
  <si>
    <t>STRUCTUREENGINEERING-JACKET</t>
  </si>
  <si>
    <t>STJ-1000</t>
  </si>
  <si>
    <t>WPA01 Jacket Loadout Analysis Report - IFR</t>
  </si>
  <si>
    <t>STJ-1010</t>
  </si>
  <si>
    <t>WPA01 Jacket Loadout Analysis Report - IFA</t>
  </si>
  <si>
    <t>STJ-1020</t>
  </si>
  <si>
    <t>WPA01 Jacket Loadout Analysis Report - AFC</t>
  </si>
  <si>
    <t>STJ-1030</t>
  </si>
  <si>
    <t>WPA02 Jacket Loadout Analysis Report - IFR</t>
  </si>
  <si>
    <t>STJ-1040</t>
  </si>
  <si>
    <t>WPA02 Jacket Loadout Analysis Report - IFA</t>
  </si>
  <si>
    <t>STJ-1050</t>
  </si>
  <si>
    <t>WPA02 Jacket Loadout Analysis Report - AFC</t>
  </si>
  <si>
    <t>STJ-1060</t>
  </si>
  <si>
    <t>WPA01 Jacket Transportation Analysis Report - IFR</t>
  </si>
  <si>
    <t>STJ-1070</t>
  </si>
  <si>
    <t>WPA01 Jacket Transportation Analysis Report - IFA</t>
  </si>
  <si>
    <t>STJ-1080</t>
  </si>
  <si>
    <t>WPA01 Jacket Transportation Analysis Report - AFC</t>
  </si>
  <si>
    <t>STJ-1090</t>
  </si>
  <si>
    <t>WPA02 Jacket Transportation Analysis Report - IFR</t>
  </si>
  <si>
    <t>STJ-1100</t>
  </si>
  <si>
    <t>WPA02 Jacket Transportation Analysis Report - IFA</t>
  </si>
  <si>
    <t>STJ-1110</t>
  </si>
  <si>
    <t>WPA02 Jacket Transportation Analysis Report - AFC</t>
  </si>
  <si>
    <t>STJ-1120</t>
  </si>
  <si>
    <t>WPA01 Jacket Lifting Analysis Report - IFR</t>
  </si>
  <si>
    <t>STJ-1130</t>
  </si>
  <si>
    <t>WPA01 Jacket Lifting Analysis Report - IFA</t>
  </si>
  <si>
    <t>STJ-1140</t>
  </si>
  <si>
    <t>WPA01 Jacket Lifting Analysis Report - AFC</t>
  </si>
  <si>
    <t>STJ-1150</t>
  </si>
  <si>
    <t>WPA02 Jacket Lifting Analysis Report - IFR</t>
  </si>
  <si>
    <t>STJ-1160</t>
  </si>
  <si>
    <t>WPA02 Jacket Lifting Analysis Report - IFA</t>
  </si>
  <si>
    <t>STJ-1170</t>
  </si>
  <si>
    <t>WPA02 Jacket Lifting Analysis Report - AFC</t>
  </si>
  <si>
    <t>STJ-1180</t>
  </si>
  <si>
    <t>WPA01 Jacket Miscellaneous Design Report - IFR</t>
  </si>
  <si>
    <t>STJ-1190</t>
  </si>
  <si>
    <t>WPA01 Jacket Miscellaneous Design Report - IFA</t>
  </si>
  <si>
    <t>STJ-1200</t>
  </si>
  <si>
    <t>WPA01 Jacket Miscellaneous Design Report - AFC</t>
  </si>
  <si>
    <t>STJ-1210</t>
  </si>
  <si>
    <t>WPA02 Jacket Miscellaneous Design Report - IFR</t>
  </si>
  <si>
    <t>STJ-1220</t>
  </si>
  <si>
    <t>WPA02 Jacket Miscellaneous Design Report - IFA</t>
  </si>
  <si>
    <t>STJ-1230</t>
  </si>
  <si>
    <t>WPA02 Jacket Miscellaneous Design Report - AFC</t>
  </si>
  <si>
    <t>STJ-1240</t>
  </si>
  <si>
    <t>Jacket General Notes (2 Sheets) - IFR</t>
  </si>
  <si>
    <t>STJ-1250</t>
  </si>
  <si>
    <t>Jacket General Notes (2 Sheets) - IFA</t>
  </si>
  <si>
    <t>STJ-1260</t>
  </si>
  <si>
    <t>Jacket General Notes (2 Sheets) - AFC</t>
  </si>
  <si>
    <t>STJ-1270</t>
  </si>
  <si>
    <t>Jacket Casing Guides Layout - IFR</t>
  </si>
  <si>
    <t>STJ-1280</t>
  </si>
  <si>
    <t>Jacket Casing Guides Layout - IFA</t>
  </si>
  <si>
    <t>STJ-1290</t>
  </si>
  <si>
    <t>Jacket Casing Guides Layout - AFC</t>
  </si>
  <si>
    <t>STJ-1300</t>
  </si>
  <si>
    <t>Jacket Casing Guides Section &amp; Details (3 Sheets) - IFR</t>
  </si>
  <si>
    <t>STJ-1310</t>
  </si>
  <si>
    <t>Jacket Casing Guides Section &amp; Details (3 Sheets) - IFA</t>
  </si>
  <si>
    <t>STJ-1320</t>
  </si>
  <si>
    <t>Jacket Casing Guides Section &amp; Details (3 Sheets) - AFC</t>
  </si>
  <si>
    <t>STJ-1330</t>
  </si>
  <si>
    <t>Jacket Pile to Jacket Connection Details - IFR</t>
  </si>
  <si>
    <t>STJ-1340</t>
  </si>
  <si>
    <t>Jacket Pile to Jacket Connection Details - IFA</t>
  </si>
  <si>
    <t>STJ-1350</t>
  </si>
  <si>
    <t>Jacket Pile to Jacket Connection Details - AFC</t>
  </si>
  <si>
    <t>STJ-1360</t>
  </si>
  <si>
    <t>Jacket Boatlanding Arrangement - IFR</t>
  </si>
  <si>
    <t>STJ-1370</t>
  </si>
  <si>
    <t>Jacket Boatlanding Arrangement - IFA</t>
  </si>
  <si>
    <t>STJ-1380</t>
  </si>
  <si>
    <t>Jacket Boatlanding Arrangement - AFC</t>
  </si>
  <si>
    <t>STJ-1390</t>
  </si>
  <si>
    <t>Jacket Boatlanding Section &amp; Details (7 Sheets) - IFR</t>
  </si>
  <si>
    <t>STJ-1400</t>
  </si>
  <si>
    <t>Jacket Boatlanding Section &amp; Details (7 Sheets) - IFA</t>
  </si>
  <si>
    <t>STJ-1410</t>
  </si>
  <si>
    <t>Jacket Boatlanding Section &amp; Details (7 Sheets) - AFC</t>
  </si>
  <si>
    <t>STJ-1420</t>
  </si>
  <si>
    <t>Jacket Paint Marking Details - IFR</t>
  </si>
  <si>
    <t>STJ-1430</t>
  </si>
  <si>
    <t>Jacket Paint Marking Details - IFA</t>
  </si>
  <si>
    <t>STJ-1440</t>
  </si>
  <si>
    <t>Jacket Paint Marking Details - AFC</t>
  </si>
  <si>
    <t>STJ-1450</t>
  </si>
  <si>
    <t>Jacket Vortex Shedding Prevention Plan &amp; Details - IFR</t>
  </si>
  <si>
    <t>STJ-1460</t>
  </si>
  <si>
    <t>Jacket Vortex Shedding Prevention Plan &amp; Details - IFA</t>
  </si>
  <si>
    <t>STJ-1470</t>
  </si>
  <si>
    <t>Jacket Vortex Shedding Prevention Plan &amp; Details - AFC</t>
  </si>
  <si>
    <t>STJ-1480</t>
  </si>
  <si>
    <t>WPA01 Jacket Computer Modelling &amp; Load Formulation Report - IFR</t>
  </si>
  <si>
    <t>STJ-1490</t>
  </si>
  <si>
    <t>WPA01 Jacket Computer Modelling &amp; Load Formulation Report - IFA</t>
  </si>
  <si>
    <t>STJ-1500</t>
  </si>
  <si>
    <t>WPA01 Jacket Computer Modelling &amp; Load Formulation Report - AFC</t>
  </si>
  <si>
    <t>STJ-1510</t>
  </si>
  <si>
    <t>WPA01 Jacket In-place Analysis Report - IFR</t>
  </si>
  <si>
    <t>STJ-1520</t>
  </si>
  <si>
    <t>WPA01 Jacket In-place Analysis Report - IFA</t>
  </si>
  <si>
    <t>STJ-1530</t>
  </si>
  <si>
    <t>WPA01 Jacket In-place Analysis Report - AFC</t>
  </si>
  <si>
    <t>STJ-1540</t>
  </si>
  <si>
    <t>WPA01 Jacket Dynamic Analysis Report - IFR</t>
  </si>
  <si>
    <t>STJ-1550</t>
  </si>
  <si>
    <t>WPA01 Jacket Dynamic Analysis Report - IFA</t>
  </si>
  <si>
    <t>STJ-1560</t>
  </si>
  <si>
    <t>WPA01 Jacket Dynamic Analysis Report - AFC</t>
  </si>
  <si>
    <t>STJ-1570</t>
  </si>
  <si>
    <t>WPA01 Platform Spectral Fatigue Analysis Report - IFR</t>
  </si>
  <si>
    <t>STJ-1580</t>
  </si>
  <si>
    <t>WPA01 Platform Spectral Fatigue Analysis Report - IFA</t>
  </si>
  <si>
    <t>STJ-1590</t>
  </si>
  <si>
    <t>WPA01 Platform Spectral Fatigue Analysis Report - AFC</t>
  </si>
  <si>
    <t>STJ-1600</t>
  </si>
  <si>
    <t>WPA01 Jacket On-bottom Stability Analysis &amp; Mudmat Design Report - IFR</t>
  </si>
  <si>
    <t>STJ-1610</t>
  </si>
  <si>
    <t>WPA01 Jacket On-bottom Stability Analysis &amp; Mudmat Design Report - IFA</t>
  </si>
  <si>
    <t>STJ-1620</t>
  </si>
  <si>
    <t>WPA01 Jacket On-bottom Stability Analysis &amp; Mudmat Design Report - AFC</t>
  </si>
  <si>
    <t>STJ-1630</t>
  </si>
  <si>
    <t>WPA01 Jacket Cathodic Protection Design Report - IFR</t>
  </si>
  <si>
    <t>STJ-1640</t>
  </si>
  <si>
    <t>WPA01 Jacket Cathodic Protection Design Report - IFA</t>
  </si>
  <si>
    <t>STJ-1650</t>
  </si>
  <si>
    <t>WPA01 Jacket Cathodic Protection Design Report - AFC</t>
  </si>
  <si>
    <t>STJ-1660</t>
  </si>
  <si>
    <t>WPA01 Topside and Jacket Seismic Analysis Report (Extreme Level Earthquake - ELE) - IFR</t>
  </si>
  <si>
    <t>STJ-1670</t>
  </si>
  <si>
    <t>WPA01 Topside and Jacket Seismic Analysis Report (Extreme Level Earthquake - ELE) - IFA</t>
  </si>
  <si>
    <t>STJ-1680</t>
  </si>
  <si>
    <t>WPA01 Topside and Jacket Seismic Analysis Report (Extreme Level Earthquake - ELE) - AFC</t>
  </si>
  <si>
    <t>STJ-1690</t>
  </si>
  <si>
    <t>WPA01 Topside and Jacket Seismic Analysis Report (Abnormal Level Earthquake - ALE) - IFR</t>
  </si>
  <si>
    <t>STJ-1700</t>
  </si>
  <si>
    <t>WPA01 Topside and Jacket Seismic Analysis Report (Abnormal Level Earthquake - ALE) - IFA</t>
  </si>
  <si>
    <t>STJ-1710</t>
  </si>
  <si>
    <t>WPA01 Topside and Jacket Seismic Analysis Report (Abnormal Level Earthquake - ALE) - AFC</t>
  </si>
  <si>
    <t>STJ-1720</t>
  </si>
  <si>
    <t>WPA01 Boat Impact Analysis - IFR</t>
  </si>
  <si>
    <t>STJ-1730</t>
  </si>
  <si>
    <t>WPA01 Boat Impact Analysis - IFA</t>
  </si>
  <si>
    <t>STJ-1740</t>
  </si>
  <si>
    <t>WPA01 Boat Impact Analysis - AFC</t>
  </si>
  <si>
    <t>STJ-1750</t>
  </si>
  <si>
    <t>WPA01 Non-Linear Static Pushover Analysis - IFR</t>
  </si>
  <si>
    <t>STJ-1760</t>
  </si>
  <si>
    <t>WPA01 Non-Linear Static Pushover Analysis - IFA</t>
  </si>
  <si>
    <t>STJ-1770</t>
  </si>
  <si>
    <t>WPA01 Non-Linear Static Pushover Analysis - AFC</t>
  </si>
  <si>
    <t>STJ-1780</t>
  </si>
  <si>
    <t>WPA01 Jacket Transportation Fatigue Analysis Report - IFR</t>
  </si>
  <si>
    <t>STJ-1790</t>
  </si>
  <si>
    <t>WPA01 Jacket Transportation Fatigue Analysis Report - IFA</t>
  </si>
  <si>
    <t>STJ-1800</t>
  </si>
  <si>
    <t>WPA01 Jacket Transportation Fatigue Analysis Report - AFC</t>
  </si>
  <si>
    <t>STJ-1810</t>
  </si>
  <si>
    <t>WPA01 Levelling Analysis Report - IFR</t>
  </si>
  <si>
    <t>STJ-1820</t>
  </si>
  <si>
    <t>WPA01 Levelling Analysis Report - IFA</t>
  </si>
  <si>
    <t>STJ-1830</t>
  </si>
  <si>
    <t>WPA01 Levelling Analysis Report - AFC</t>
  </si>
  <si>
    <t>STJ-1840</t>
  </si>
  <si>
    <t>WPA01 Pile Fatigue, Pile Handling, Stuck-Up and Pile Driving Analysis Report - IFR</t>
  </si>
  <si>
    <t>STJ-1850</t>
  </si>
  <si>
    <t>WPA01 Pile Fatigue, Pile Handling, Stuck-Up and Pile Driving Analysis Report - IFA</t>
  </si>
  <si>
    <t>STJ-1860</t>
  </si>
  <si>
    <t>WPA01 Pile Fatigue, Pile Handling, Stuck-Up and Pile Driving Analysis Report - AFC</t>
  </si>
  <si>
    <t>STJ-1870</t>
  </si>
  <si>
    <t>WPA01 Jacket - Drawing Index - IFR</t>
  </si>
  <si>
    <t>STJ-1880</t>
  </si>
  <si>
    <t>WPA01 Jacket - Drawing Index - IFA</t>
  </si>
  <si>
    <t>STJ-1890</t>
  </si>
  <si>
    <t>WPA01 Jacket - Drawing Index - AFC</t>
  </si>
  <si>
    <t>STJ-1900</t>
  </si>
  <si>
    <t>WPA01 Jacket - Elevation Row A, B, 1, 2 - IFR</t>
  </si>
  <si>
    <t>STJ-1910</t>
  </si>
  <si>
    <t>WPA01 Jacket - Elevation Row A, B, 1, 2 - IFA</t>
  </si>
  <si>
    <t>STJ-1920</t>
  </si>
  <si>
    <t>WPA01 Jacket - Elevation Row A, B, 1, 2 - AFC</t>
  </si>
  <si>
    <t>STJ-1930</t>
  </si>
  <si>
    <t>WPA01 Jacket - Horizontal Framing Plan (4 Sheets) - IFR</t>
  </si>
  <si>
    <t>STJ-1940</t>
  </si>
  <si>
    <t>WPA01 Jacket - Horizontal Framing Plan (4 Sheets) - IFA</t>
  </si>
  <si>
    <t>STJ-1950</t>
  </si>
  <si>
    <t>WPA01 Jacket - Horizontal Framing Plan (4 Sheets) - AFC</t>
  </si>
  <si>
    <t>STJ-1960</t>
  </si>
  <si>
    <t>WPA01 Jacket - Sections - IFR</t>
  </si>
  <si>
    <t>STJ-1970</t>
  </si>
  <si>
    <t>WPA01 Jacket - Sections - IFA</t>
  </si>
  <si>
    <t>STJ-1980</t>
  </si>
  <si>
    <t>WPA01 Jacket - Sections - AFC</t>
  </si>
  <si>
    <t>STJ-1990</t>
  </si>
  <si>
    <t>WPA01 Jacket - Pile Make Up &amp; Details (2 Sheets) - IFR</t>
  </si>
  <si>
    <t>STJ-2000</t>
  </si>
  <si>
    <t>WPA01 Jacket - Pile Make Up &amp; Details (2 Sheets) - IFA</t>
  </si>
  <si>
    <t>STJ-2010</t>
  </si>
  <si>
    <t>WPA01 Jacket - Pile Make Up &amp; Details (2 Sheets) - AFC</t>
  </si>
  <si>
    <t>STJ-2020</t>
  </si>
  <si>
    <t>WPA01 Jacket - Pile Marking Details - IFR</t>
  </si>
  <si>
    <t>STJ-2030</t>
  </si>
  <si>
    <t>WPA01 Jacket - Pile Marking Details - IFA</t>
  </si>
  <si>
    <t>STJ-2040</t>
  </si>
  <si>
    <t>WPA01 Jacket - Pile Marking Details - AFC</t>
  </si>
  <si>
    <t>STJ-2050</t>
  </si>
  <si>
    <t>WPA01 Jacket - Access Walkway Layout &amp; Details (3 Sheets) - IFR</t>
  </si>
  <si>
    <t>STJ-2060</t>
  </si>
  <si>
    <t>WPA01 Jacket - Access Walkway Layout &amp; Details (3 Sheets) - IFA</t>
  </si>
  <si>
    <t>STJ-2070</t>
  </si>
  <si>
    <t>WPA01 Jacket - Access Walkway Layout &amp; Details (3 Sheets) - AFC</t>
  </si>
  <si>
    <t>STJ-2080</t>
  </si>
  <si>
    <t>WPA01 Jacket - Anode Layout &amp; Details - IFR</t>
  </si>
  <si>
    <t>STJ-2090</t>
  </si>
  <si>
    <t>WPA01 Jacket - Anode Layout &amp; Details - IFA</t>
  </si>
  <si>
    <t>STJ-2100</t>
  </si>
  <si>
    <t>WPA01 Jacket - Anode Layout &amp; Details - AFC</t>
  </si>
  <si>
    <t>STJ-2110</t>
  </si>
  <si>
    <t>WPA01 Jacket - Mudmat Layout &amp; Details (2 Sheets) - IFR</t>
  </si>
  <si>
    <t>STJ-2120</t>
  </si>
  <si>
    <t>WPA01 Jacket - Mudmat Layout &amp; Details (2 Sheets) - IFA</t>
  </si>
  <si>
    <t>STJ-2130</t>
  </si>
  <si>
    <t>WPA01 Jacket - Mudmat Layout &amp; Details (2 Sheets) - AFC</t>
  </si>
  <si>
    <t>STJ-2140</t>
  </si>
  <si>
    <t>WPA01 Jacket - Lifting Configuration - IFR</t>
  </si>
  <si>
    <t>STJ-2150</t>
  </si>
  <si>
    <t>WPA01 Jacket - Lifting Configuration - IFA</t>
  </si>
  <si>
    <t>STJ-2160</t>
  </si>
  <si>
    <t>WPA01 Jacket - Lifting Configuration - AFC</t>
  </si>
  <si>
    <t>STJ-2170</t>
  </si>
  <si>
    <t>WPA01 Jacket - Lifting Padeye Details - IFR</t>
  </si>
  <si>
    <t>STJ-2180</t>
  </si>
  <si>
    <t>WPA01 Jacket - Lifting Padeye Details - IFA</t>
  </si>
  <si>
    <t>STJ-2190</t>
  </si>
  <si>
    <t>WPA01 Jacket - Lifting Padeye Details - AFC</t>
  </si>
  <si>
    <t>STJ-2200</t>
  </si>
  <si>
    <t>WPA01 Jacket - Lowering Sequence - IFR</t>
  </si>
  <si>
    <t>STJ-2210</t>
  </si>
  <si>
    <t>WPA01 Jacket - Lowering Sequence - IFA</t>
  </si>
  <si>
    <t>STJ-2220</t>
  </si>
  <si>
    <t>WPA01 Jacket - Lowering Sequence - AFC</t>
  </si>
  <si>
    <t>STJ-2230</t>
  </si>
  <si>
    <t>WPA01 - TAD Rig Clearance Check - IFR</t>
  </si>
  <si>
    <t>STJ-2240</t>
  </si>
  <si>
    <t>WPA01 - TAD Rig Clearance Check - IFA</t>
  </si>
  <si>
    <t>STJ-2250</t>
  </si>
  <si>
    <t>WPA01 - TAD Rig Clearance Check - AFC</t>
  </si>
  <si>
    <t>STJ-2260</t>
  </si>
  <si>
    <t>WPA02 Jacket Computer Modelling &amp; Load Formulation Report - IFR</t>
  </si>
  <si>
    <t>STJ-2270</t>
  </si>
  <si>
    <t>WPA02 Jacket Computer Modelling &amp; Load Formulation Report - IFA</t>
  </si>
  <si>
    <t>STJ-2280</t>
  </si>
  <si>
    <t>WPA02 Jacket Computer Modelling &amp; Load Formulation Report - AFC</t>
  </si>
  <si>
    <t>STJ-2290</t>
  </si>
  <si>
    <t>WPA02 Jacket In-place Analysis Report - IFR</t>
  </si>
  <si>
    <t>STJ-2300</t>
  </si>
  <si>
    <t>WPA02 Jacket In-place Analysis Report - IFA</t>
  </si>
  <si>
    <t>STJ-2310</t>
  </si>
  <si>
    <t>WPA02 Jacket In-place Analysis Report - AFC</t>
  </si>
  <si>
    <t>STJ-2320</t>
  </si>
  <si>
    <t>WPA02 Jacket Dynamic Analysis Report - IFR</t>
  </si>
  <si>
    <t>STJ-2330</t>
  </si>
  <si>
    <t>WPA02 Jacket Dynamic Analysis Report - IFA</t>
  </si>
  <si>
    <t>STJ-2340</t>
  </si>
  <si>
    <t>WPA02 Jacket Dynamic Analysis Report - AFC</t>
  </si>
  <si>
    <t>STJ-2350</t>
  </si>
  <si>
    <t>WPA02 Platform Spectral Fatigue Analysis Report - IFR</t>
  </si>
  <si>
    <t>STJ-2360</t>
  </si>
  <si>
    <t>WPA02 Platform Spectral Fatigue Analysis Report - IFA</t>
  </si>
  <si>
    <t>STJ-2370</t>
  </si>
  <si>
    <t>WPA02 Platform Spectral Fatigue Analysis Report - AFC</t>
  </si>
  <si>
    <t>STJ-2380</t>
  </si>
  <si>
    <t>WPA02 Jacket On-bottom Stability Analysis &amp; Mudmat Design Report - IFR</t>
  </si>
  <si>
    <t>STJ-2390</t>
  </si>
  <si>
    <t>WPA02 Jacket On-bottom Stability Analysis &amp; Mudmat Design Report - IFA</t>
  </si>
  <si>
    <t>STJ-2400</t>
  </si>
  <si>
    <t>WPA02 Jacket On-bottom Stability Analysis &amp; Mudmat Design Report - AFC</t>
  </si>
  <si>
    <t>STJ-2410</t>
  </si>
  <si>
    <t>WPA02 Topside and Jacket Seismic Analysis Report (Extreme Level Earthquake - ELE) - IFR</t>
  </si>
  <si>
    <t>STJ-2420</t>
  </si>
  <si>
    <t>WPA02 Topside and Jacket Seismic Analysis Report (Extreme Level Earthquake - ELE) - IFA</t>
  </si>
  <si>
    <t>STJ-2430</t>
  </si>
  <si>
    <t>WPA02 Topside and Jacket Seismic Analysis Report (Extreme Level Earthquake - ELE) - AFC</t>
  </si>
  <si>
    <t>STJ-2440</t>
  </si>
  <si>
    <t>WPA02 Topside and Jacket Seismic Analysis Report (Abnormal Level Earthquake - ALE) - IFR</t>
  </si>
  <si>
    <t>STJ-2450</t>
  </si>
  <si>
    <t>WPA02 Topside and Jacket Seismic Analysis Report (Abnormal Level Earthquake - ALE) - IFA</t>
  </si>
  <si>
    <t>STJ-2460</t>
  </si>
  <si>
    <t>WPA02 Topside and Jacket Seismic Analysis Report (Abnormal Level Earthquake - ALE) - AFC</t>
  </si>
  <si>
    <t>STJ-2470</t>
  </si>
  <si>
    <t>WPA02 Boat Impact Analysis - IFR</t>
  </si>
  <si>
    <t>STJ-2480</t>
  </si>
  <si>
    <t>WPA02 Boat Impact Analysis - IFA</t>
  </si>
  <si>
    <t>STJ-2490</t>
  </si>
  <si>
    <t>WPA02 Boat Impact Analysis - AFC</t>
  </si>
  <si>
    <t>STJ-2500</t>
  </si>
  <si>
    <t>WPA02 Non-Linear Static Pushover Analysis - IFR</t>
  </si>
  <si>
    <t>STJ-2510</t>
  </si>
  <si>
    <t>WPA02 Non-Linear Static Pushover Analysis - IFA</t>
  </si>
  <si>
    <t>STJ-2520</t>
  </si>
  <si>
    <t>WPA02 Non-Linear Static Pushover Analysis - AFC</t>
  </si>
  <si>
    <t>STJ-2530</t>
  </si>
  <si>
    <t>WPA02 Jacket Transportation Fatigue Analysis Report - IFR</t>
  </si>
  <si>
    <t>STJ-2540</t>
  </si>
  <si>
    <t>WPA02 Jacket Transportation Fatigue Analysis Report - IFA</t>
  </si>
  <si>
    <t>STJ-2550</t>
  </si>
  <si>
    <t>WPA02 Jacket Transportation Fatigue Analysis Report - AFC</t>
  </si>
  <si>
    <t>STJ-2560</t>
  </si>
  <si>
    <t>WPA02 Levelling Analysis Report - IFR</t>
  </si>
  <si>
    <t>STJ-2570</t>
  </si>
  <si>
    <t>WPA02 Levelling Analysis Report - IFA</t>
  </si>
  <si>
    <t>STJ-2580</t>
  </si>
  <si>
    <t>WPA02 Levelling Analysis Report - AFC</t>
  </si>
  <si>
    <t>STJ-2590</t>
  </si>
  <si>
    <t>WPA02 Pile Fatigue, Pile Handling, Stuck-Up and Pile Driving Analysis Report - IFR</t>
  </si>
  <si>
    <t>STJ-2600</t>
  </si>
  <si>
    <t>WPA02 Pile Fatigue, Pile Handling, Stuck-Up and Pile Driving Analysis Report - IFA</t>
  </si>
  <si>
    <t>STJ-2610</t>
  </si>
  <si>
    <t>WPA02 Pile Fatigue, Pile Handling, Stuck-Up and Pile Driving Analysis Report - AFC</t>
  </si>
  <si>
    <t>STJ-2620</t>
  </si>
  <si>
    <t>WPA02 Jacket Cathodic Protection Design Report - IFR</t>
  </si>
  <si>
    <t>STJ-2630</t>
  </si>
  <si>
    <t>WPA02 Jacket Cathodic Protection Design Report - IFA</t>
  </si>
  <si>
    <t>STJ-2640</t>
  </si>
  <si>
    <t>WPA02 Jacket Cathodic Protection Design Report - AFC</t>
  </si>
  <si>
    <t>STJ-2650</t>
  </si>
  <si>
    <t>WPA02 Jacket - Drawing Index - IFR</t>
  </si>
  <si>
    <t>STJ-2660</t>
  </si>
  <si>
    <t>WPA02 Jacket - Drawing Index - IFA</t>
  </si>
  <si>
    <t>STJ-2670</t>
  </si>
  <si>
    <t>WPA02 Jacket - Drawing Index - AFC</t>
  </si>
  <si>
    <t>STJ-2680</t>
  </si>
  <si>
    <t>WPA02 Jacket - Elevation Row A, B, 1, 2 - IFR</t>
  </si>
  <si>
    <t>STJ-2690</t>
  </si>
  <si>
    <t>WPA02 Jacket - Elevation Row A, B, 1, 2 - IFA</t>
  </si>
  <si>
    <t>STJ-2700</t>
  </si>
  <si>
    <t>WPA02 Jacket - Elevation Row A, B, 1, 2 - AFC</t>
  </si>
  <si>
    <t>STJ-2710</t>
  </si>
  <si>
    <t>WPA02 Jacket - Horizontal Framing Plan (4 Sheets) - IFR</t>
  </si>
  <si>
    <t>STJ-2720</t>
  </si>
  <si>
    <t>WPA02 Jacket - Horizontal Framing Plan (4 Sheets) - IFA</t>
  </si>
  <si>
    <t>STJ-2730</t>
  </si>
  <si>
    <t>WPA02 Jacket - Horizontal Framing Plan (4 Sheets) - AFC</t>
  </si>
  <si>
    <t>STJ-2740</t>
  </si>
  <si>
    <t>WPA02 Jacket - Sections - IFR</t>
  </si>
  <si>
    <t>STJ-2750</t>
  </si>
  <si>
    <t>WPA02 Jacket - Sections - IFA</t>
  </si>
  <si>
    <t>STJ-2760</t>
  </si>
  <si>
    <t>WPA02 Jacket - Sections - AFC</t>
  </si>
  <si>
    <t>STJ-2770</t>
  </si>
  <si>
    <t>WPA02 Jacket - Pile Make Up &amp; Details (2 Sheets) - IFR</t>
  </si>
  <si>
    <t>STJ-2780</t>
  </si>
  <si>
    <t>WPA02 Jacket - Pile Make Up &amp; Details (2 Sheets) - IFA</t>
  </si>
  <si>
    <t>STJ-2790</t>
  </si>
  <si>
    <t>WPA02 Jacket - Pile Make Up &amp; Details (2 Sheets) - AFC</t>
  </si>
  <si>
    <t>STJ-2800</t>
  </si>
  <si>
    <t>WPA02 Jacket - Pile Marking Details - IFR</t>
  </si>
  <si>
    <t>STJ-2810</t>
  </si>
  <si>
    <t>WPA02 Jacket - Pile Marking Details - IFA</t>
  </si>
  <si>
    <t>STJ-2820</t>
  </si>
  <si>
    <t>WPA02 Jacket - Pile Marking Details - AFC</t>
  </si>
  <si>
    <t>STJ-2830</t>
  </si>
  <si>
    <t>WPA02 Jacket - Access Walkway Layout &amp; Details (3 Sheets) - IFR</t>
  </si>
  <si>
    <t>STJ-2840</t>
  </si>
  <si>
    <t>WPA02 Jacket - Access Walkway Layout &amp; Details (3 Sheets) - IFA</t>
  </si>
  <si>
    <t>STJ-2850</t>
  </si>
  <si>
    <t>WPA02 Jacket - Access Walkway Layout &amp; Details (3 Sheets) - AFC</t>
  </si>
  <si>
    <t>STJ-2860</t>
  </si>
  <si>
    <t>WPA02 Jacket - Anode Layout &amp; Details - IFR</t>
  </si>
  <si>
    <t>STJ-2870</t>
  </si>
  <si>
    <t>WPA02 Jacket - Anode Layout &amp; Details - IFA</t>
  </si>
  <si>
    <t>STJ-2880</t>
  </si>
  <si>
    <t>WPA02 Jacket - Anode Layout &amp; Details - AFC</t>
  </si>
  <si>
    <t>STJ-2890</t>
  </si>
  <si>
    <t>WPA02 Jacket - Mudmat Layout &amp; Details (2 Sheets) - IFR</t>
  </si>
  <si>
    <t>STJ-2900</t>
  </si>
  <si>
    <t>WPA02 Jacket - Mudmat Layout &amp; Details (2 Sheets) - IFA</t>
  </si>
  <si>
    <t>STJ-2910</t>
  </si>
  <si>
    <t>WPA02 Jacket - Mudmat Layout &amp; Details (2 Sheets) - AFC</t>
  </si>
  <si>
    <t>STJ-2920</t>
  </si>
  <si>
    <t>WPA02 Jacket - Caisson Support Layout - IFR</t>
  </si>
  <si>
    <t>STJ-2930</t>
  </si>
  <si>
    <t>WPA02 Jacket - Caisson Support Layout - IFA</t>
  </si>
  <si>
    <t>STJ-2940</t>
  </si>
  <si>
    <t>WPA02 Jacket - Caisson Support Layout - AFC</t>
  </si>
  <si>
    <t>STJ-2950</t>
  </si>
  <si>
    <t>WPA02 Jacket - Caisson Support Section &amp; Details - IFR</t>
  </si>
  <si>
    <t>STJ-2960</t>
  </si>
  <si>
    <t>WPA02 Jacket - Caisson Support Section &amp; Details - IFA</t>
  </si>
  <si>
    <t>STJ-2970</t>
  </si>
  <si>
    <t>WPA02 Jacket - Caisson Support Section &amp; Details - AFC</t>
  </si>
  <si>
    <t>STJ-2980</t>
  </si>
  <si>
    <t>WPA02 Jacket - Lifting Configuration - IFR</t>
  </si>
  <si>
    <t>STJ-2990</t>
  </si>
  <si>
    <t>WPA02 Jacket - Lifting Configuration - IFA</t>
  </si>
  <si>
    <t>STJ-3000</t>
  </si>
  <si>
    <t>WPA02 Jacket - Lifting Configuration - AFC</t>
  </si>
  <si>
    <t>STJ-3010</t>
  </si>
  <si>
    <t>WPA02 Jacket - Lifting Padeye Details - IFR</t>
  </si>
  <si>
    <t>STJ-3020</t>
  </si>
  <si>
    <t>WPA02 Jacket - Lifting Padeye Details - IFA</t>
  </si>
  <si>
    <t>STJ-3030</t>
  </si>
  <si>
    <t>WPA02 Jacket - Lifting Padeye Details - AFC</t>
  </si>
  <si>
    <t>STJ-3040</t>
  </si>
  <si>
    <t>WPA02 Jacket - Lowering Sequence - IFR</t>
  </si>
  <si>
    <t>STJ-3050</t>
  </si>
  <si>
    <t>WPA02 Jacket - Lowering Sequence - IFA</t>
  </si>
  <si>
    <t>STJ-3060</t>
  </si>
  <si>
    <t>WPA02 Jacket - Lowering Sequence - AFC</t>
  </si>
  <si>
    <t>STJ-3070</t>
  </si>
  <si>
    <t>WPA02 - TAD Rig Clearance Check - IFR</t>
  </si>
  <si>
    <t>STJ-3080</t>
  </si>
  <si>
    <t>WPA02 - TAD Rig Clearance Check - IFA</t>
  </si>
  <si>
    <t>STJ-3090</t>
  </si>
  <si>
    <t>WPA02 - TAD Rig Clearance Check - AFC</t>
  </si>
  <si>
    <t>STJ-3100</t>
  </si>
  <si>
    <t>WPA01 Jacket Weight Control Report - IFR</t>
  </si>
  <si>
    <t>STJ-3110</t>
  </si>
  <si>
    <t>WPA01 Jacket Weight Control Report - IFA</t>
  </si>
  <si>
    <t>STJ-3120</t>
  </si>
  <si>
    <t>WPA01 Jacket Weight Control Report - AFC</t>
  </si>
  <si>
    <t>STJ-3130</t>
  </si>
  <si>
    <t>WPA01 Jacket Primary Steel MTO - IFR</t>
  </si>
  <si>
    <t>STJ-3140</t>
  </si>
  <si>
    <t>WPA01 Jacket Primary Steel MTO - IFA</t>
  </si>
  <si>
    <t>STJ-3150</t>
  </si>
  <si>
    <t>WPA01 Jacket Primary Steel MTO - AFC</t>
  </si>
  <si>
    <t>STJ-3160</t>
  </si>
  <si>
    <t>WPA01 Jacket Secondary MTO and Tertiary Steel - IFR</t>
  </si>
  <si>
    <t>STJ-3170</t>
  </si>
  <si>
    <t>WPA01 Jacket Secondary MTO and Tertiary Steel - IFA</t>
  </si>
  <si>
    <t>STJ-3180</t>
  </si>
  <si>
    <t>WPA01 Jacket Secondary MTO and Tertiary Steel - AFC</t>
  </si>
  <si>
    <t>STJ-3190</t>
  </si>
  <si>
    <t>WPA02 Jacket Weight Control Report - IFR</t>
  </si>
  <si>
    <t>STJ-3200</t>
  </si>
  <si>
    <t>WPA02 Jacket Weight Control Report - IFA</t>
  </si>
  <si>
    <t>STJ-3210</t>
  </si>
  <si>
    <t>WPA02 Jacket Weight Control Report - AFC</t>
  </si>
  <si>
    <t>STJ-3220</t>
  </si>
  <si>
    <t>WPA02 Jacket Primary Steel MTO - IFR</t>
  </si>
  <si>
    <t>STJ-3230</t>
  </si>
  <si>
    <t>WPA02 Jacket Primary Steel MTO - IFA</t>
  </si>
  <si>
    <t>STJ-3240</t>
  </si>
  <si>
    <t>WPA02 Jacket Primary Steel MTO - AFC</t>
  </si>
  <si>
    <t>STJ-3250</t>
  </si>
  <si>
    <t>WPA02 Jacket Secondary MTO and Tertiary Steel  - IFR</t>
  </si>
  <si>
    <t>STJ-3260</t>
  </si>
  <si>
    <t>WPA02 Jacket Secondary MTO and Tertiary Steel - IFA</t>
  </si>
  <si>
    <t>STJ-3270</t>
  </si>
  <si>
    <t>WPA02 Jacket Secondary MTO and Tertiary Steel - AFC</t>
  </si>
  <si>
    <t>STJ-3280</t>
  </si>
  <si>
    <t>Barge Motion Analysis Report - IFR</t>
  </si>
  <si>
    <t>STJ-3290</t>
  </si>
  <si>
    <t>Barge Motion Analysis Report - IFA</t>
  </si>
  <si>
    <t>STJ-3300</t>
  </si>
  <si>
    <t>Barge Motion Analysis Report - AFC</t>
  </si>
  <si>
    <t>PIPELINE&amp;RISERENGINEERING</t>
  </si>
  <si>
    <t>RI-1000</t>
  </si>
  <si>
    <t>WPA01 Riser Clamp Design Report - IFR</t>
  </si>
  <si>
    <t>RI-1010</t>
  </si>
  <si>
    <t>WPA01 Riser Clamp Design Report - IFA</t>
  </si>
  <si>
    <t>RI-1020</t>
  </si>
  <si>
    <t>WPA01 Riser Clamp Design Report - AFC</t>
  </si>
  <si>
    <t>RI-1030</t>
  </si>
  <si>
    <t>WPA01 NPS 12 Hanger Flange Support Drawing - IFR</t>
  </si>
  <si>
    <t>RI-1040</t>
  </si>
  <si>
    <t>WPA01 NPS 12 Hanger Flange Support Drawing - IFA</t>
  </si>
  <si>
    <t>RI-1050</t>
  </si>
  <si>
    <t>WPA01 NPS 12 Hanger Flange Support Drawing - AFC</t>
  </si>
  <si>
    <t>RI-1060</t>
  </si>
  <si>
    <t>WPA01 NPS 12 Sliding Clamp Type 1 Drawing - IFR</t>
  </si>
  <si>
    <t>RI-1070</t>
  </si>
  <si>
    <t>WPA01 NPS 12 Sliding Clamp Type 1 Drawing - IFA</t>
  </si>
  <si>
    <t>RI-1080</t>
  </si>
  <si>
    <t>WPA01 NPS 12 Sliding Clamp Type 1 Drawing - AFC</t>
  </si>
  <si>
    <t>RI-1090</t>
  </si>
  <si>
    <t>WPA01 NPS 12 Sliding Clamp Type 2 Drawing - IFR</t>
  </si>
  <si>
    <t>RI-1100</t>
  </si>
  <si>
    <t>WPA01 NPS 12 Sliding Clamp Type 2 Drawing - IFA</t>
  </si>
  <si>
    <t>RI-1110</t>
  </si>
  <si>
    <t>WPA01 NPS 12 Sliding Clamp Type 2 Drawing - AFC</t>
  </si>
  <si>
    <t>RI-1120</t>
  </si>
  <si>
    <t>WPA01 NPS 12 Sliding Clamp Type 3 Drawing - IFR</t>
  </si>
  <si>
    <t>RI-1130</t>
  </si>
  <si>
    <t>WPA01 NPS 12 Sliding Clamp Type 3 Drawing - IFA</t>
  </si>
  <si>
    <t>RI-1140</t>
  </si>
  <si>
    <t>WPA01 NPS 12 Sliding Clamp Type 3 Drawing - AFC</t>
  </si>
  <si>
    <t>RI-1150</t>
  </si>
  <si>
    <t>WPA02 NPS 12 Hanger Flange Support Drawing - IFR</t>
  </si>
  <si>
    <t>RI-1160</t>
  </si>
  <si>
    <t>WPA02 NPS 12 Hanger Flange Support Drawing - IFA</t>
  </si>
  <si>
    <t>RI-1170</t>
  </si>
  <si>
    <t>WPA02 NPS 12 Hanger Flange Support Drawing - AFC</t>
  </si>
  <si>
    <t>RI-1180</t>
  </si>
  <si>
    <t>WPA02 NPS 12 Sliding Clamp Type 1 Drawing - IFR</t>
  </si>
  <si>
    <t>RI-1190</t>
  </si>
  <si>
    <t>WPA02 NPS 12 Sliding Clamp Type 1 Drawing - IFA</t>
  </si>
  <si>
    <t>RI-1200</t>
  </si>
  <si>
    <t>WPA02 NPS 12 Sliding Clamp Type 1 Drawing - AFC</t>
  </si>
  <si>
    <t>RI-1210</t>
  </si>
  <si>
    <t>WPA02 NPS 12 Sliding Clamp Type 2 Drawing - IFR</t>
  </si>
  <si>
    <t>RI-1220</t>
  </si>
  <si>
    <t>WPA02 NPS 12 Sliding Clamp Type 2 Drawing - IFA</t>
  </si>
  <si>
    <t>RI-1230</t>
  </si>
  <si>
    <t>WPA02 NPS 12 Sliding Clamp Type 2 Drawing - AFC</t>
  </si>
  <si>
    <t>RI-1240</t>
  </si>
  <si>
    <t>WPA02 NPS 12 Sliding Clamp Type 3 Drawing - IFR</t>
  </si>
  <si>
    <t>RI-1250</t>
  </si>
  <si>
    <t>WPA02 NPS 12 Sliding Clamp Type 3 Drawing - IFA</t>
  </si>
  <si>
    <t>RI-1260</t>
  </si>
  <si>
    <t>WPA02 NPS 12 Sliding Clamp Type 3 Drawing - AFC</t>
  </si>
  <si>
    <t>RI-1270</t>
  </si>
  <si>
    <t>WPA02 Riser Clamp Design Report - IFR</t>
  </si>
  <si>
    <t>RI-1280</t>
  </si>
  <si>
    <t>WPA02 Riser Clamp Design Report - IFA</t>
  </si>
  <si>
    <t>RI-1290</t>
  </si>
  <si>
    <t>WPA02 Riser Clamp Design Report - AFC</t>
  </si>
  <si>
    <t>RI-1300</t>
  </si>
  <si>
    <t>WPA02 NPS 20 Hanger Flange Support Drawing - IFR</t>
  </si>
  <si>
    <t>RI-1310</t>
  </si>
  <si>
    <t>WPA02 NPS 20 Hanger Flange Support Drawing - IFA</t>
  </si>
  <si>
    <t>RI-1320</t>
  </si>
  <si>
    <t>WPA02 NPS 20 Hanger Flange Support Drawing - AFC</t>
  </si>
  <si>
    <t>RI-1330</t>
  </si>
  <si>
    <t>WPA02 NPS 20 Sliding Clamp Type 1 Drawing - IFR</t>
  </si>
  <si>
    <t>RI-1340</t>
  </si>
  <si>
    <t>WPA02 NPS 20 Sliding Clamp Type 1 Drawing - IFA</t>
  </si>
  <si>
    <t>RI-1350</t>
  </si>
  <si>
    <t>WPA02 NPS 20 Sliding Clamp Type 1 Drawing - AFC</t>
  </si>
  <si>
    <t>RI-1360</t>
  </si>
  <si>
    <t>WPA02 NPS 20 Sliding Clamp Type 2 Drawing - IFR</t>
  </si>
  <si>
    <t>RI-1370</t>
  </si>
  <si>
    <t>WPA02 NPS 20 Sliding Clamp Type 2 Drawing - IFA</t>
  </si>
  <si>
    <t>RI-1380</t>
  </si>
  <si>
    <t>WPA02 NPS 20 Sliding Clamp Type 2 Drawing - AFC</t>
  </si>
  <si>
    <t>Datasheet-Pipeline&amp;Riser</t>
  </si>
  <si>
    <t>A1000</t>
  </si>
  <si>
    <t>Datasheet for Pipeline Flanges - IFR</t>
  </si>
  <si>
    <t>A1010</t>
  </si>
  <si>
    <t>Datasheet for Pipeline Flanges - IFA</t>
  </si>
  <si>
    <t>A1020</t>
  </si>
  <si>
    <t>Datasheet for Pipeline Flanges - AFC</t>
  </si>
  <si>
    <t>A1030</t>
  </si>
  <si>
    <t>Datasheet for Barred Tee - IFR</t>
  </si>
  <si>
    <t>A1040</t>
  </si>
  <si>
    <t>Datasheet for Barred Tee - IFA</t>
  </si>
  <si>
    <t>A1050</t>
  </si>
  <si>
    <t>Datasheet for Barred Tee  - AFC</t>
  </si>
  <si>
    <t>A1060</t>
  </si>
  <si>
    <t>Datasheet for Piggable Wye - IFR</t>
  </si>
  <si>
    <t>A1070</t>
  </si>
  <si>
    <t>Datasheet for Piggable Wye - IFA</t>
  </si>
  <si>
    <t>A1080</t>
  </si>
  <si>
    <t>Datasheet for Piggable Wye - AFC</t>
  </si>
  <si>
    <t>A1090</t>
  </si>
  <si>
    <t>Datasheet for Barrel Reducer - IFR</t>
  </si>
  <si>
    <t>A1100</t>
  </si>
  <si>
    <t>Datasheet for Barrel Reducer - IFA</t>
  </si>
  <si>
    <t>A1110</t>
  </si>
  <si>
    <t>Datasheet for Barrel Reducer - AFC</t>
  </si>
  <si>
    <t>MR-Pipeline&amp;Riser</t>
  </si>
  <si>
    <t>A1120</t>
  </si>
  <si>
    <t>Material Requisition for Pipeline Flanges - IFR</t>
  </si>
  <si>
    <t>A1130</t>
  </si>
  <si>
    <t>Material Requisition for Pipeline Flanges - AFC</t>
  </si>
  <si>
    <t>A1140</t>
  </si>
  <si>
    <t>Material Requisition for Barred Tee - IFR</t>
  </si>
  <si>
    <t>A1150</t>
  </si>
  <si>
    <t>Material Requisition for Barred Tee - AFC</t>
  </si>
  <si>
    <t>A1160</t>
  </si>
  <si>
    <t>Material Requisition for Piggable Wye - IFR</t>
  </si>
  <si>
    <t>A1170</t>
  </si>
  <si>
    <t>Material Requisition for Piggable Wye - AFC</t>
  </si>
  <si>
    <t>A1180</t>
  </si>
  <si>
    <t>Material Requisition for Barrel Reducer - IFR</t>
  </si>
  <si>
    <t>A1190</t>
  </si>
  <si>
    <t>Material Requisition for Barrel Reducer - AFC</t>
  </si>
  <si>
    <t>TBE-Pipeline&amp;Riser</t>
  </si>
  <si>
    <t>A1200</t>
  </si>
  <si>
    <t>Technical Bid Evaluation for Pipeline Flanges - IFR</t>
  </si>
  <si>
    <t>A1210</t>
  </si>
  <si>
    <t>Technical Bid Evaluation for Pipeline Flanges - AFC</t>
  </si>
  <si>
    <t>A1220</t>
  </si>
  <si>
    <t>Technical Bid Evaluation for Barred Tee - IFR</t>
  </si>
  <si>
    <t>A1230</t>
  </si>
  <si>
    <t>Technical Bid Evaluation for Barred Tee - AFC</t>
  </si>
  <si>
    <t>A1240</t>
  </si>
  <si>
    <t>Technical Bid Evaluation for Piggable Wye - IFR</t>
  </si>
  <si>
    <t>A1250</t>
  </si>
  <si>
    <t>Technical Bid Evaluation for Piggable Wye - AFC</t>
  </si>
  <si>
    <t>A1260</t>
  </si>
  <si>
    <t>Technical Bid Evaluation for Barrel Reducer - IFR</t>
  </si>
  <si>
    <t>A1270</t>
  </si>
  <si>
    <t>Technical Bid Evaluation for Barrel Reducer - AFC</t>
  </si>
  <si>
    <t>ELECTRICALENGINEERING</t>
  </si>
  <si>
    <t>EE-1000</t>
  </si>
  <si>
    <t>Electrical Basic of Design (offshore) - IFR</t>
  </si>
  <si>
    <t>EE-1010</t>
  </si>
  <si>
    <t>Electrical Basic of Design (offshore) - IFA</t>
  </si>
  <si>
    <t>EE-1020</t>
  </si>
  <si>
    <t>Electrical Basic of Design (offshore) - AFC</t>
  </si>
  <si>
    <t>EE-1030</t>
  </si>
  <si>
    <t>Electrical Load List &amp; Load Analysis - WPA01 - IFR</t>
  </si>
  <si>
    <t>EE-1040</t>
  </si>
  <si>
    <t>Electrical Load List &amp; Load Analysis - WPA01 - IFA</t>
  </si>
  <si>
    <t>EE-1050</t>
  </si>
  <si>
    <t>Electrical Load List &amp; Load Analysis - WPA01 - AFC</t>
  </si>
  <si>
    <t>EE-1060</t>
  </si>
  <si>
    <t>Electrical Equipment Sizing Calculations - WPA01 - IFR</t>
  </si>
  <si>
    <t>EE-1070</t>
  </si>
  <si>
    <t>Electrical Equipment Sizing Calculations - WPA01 - IFA</t>
  </si>
  <si>
    <t>EE-1080</t>
  </si>
  <si>
    <t>Electrical Equipment Sizing Calculations - WPA01 - AFC</t>
  </si>
  <si>
    <t>EE-1090</t>
  </si>
  <si>
    <t>Electrical Cable Sizing Calculations - WPA01 - IFR</t>
  </si>
  <si>
    <t>EE-1100</t>
  </si>
  <si>
    <t>Electrical Cable Sizing Calculations - WPA01 - IFA</t>
  </si>
  <si>
    <t>EE-1110</t>
  </si>
  <si>
    <t>Electrical Cable Sizing Calculations - WPA01 - AFC</t>
  </si>
  <si>
    <t>EE-1120</t>
  </si>
  <si>
    <t>Electrical Cable Tray / Cable Ladder Sizing - WPA01 - IFR</t>
  </si>
  <si>
    <t>EE-1140</t>
  </si>
  <si>
    <t>Electrical Cable Tray / Cable Ladder Sizing - WPA01 - AFC</t>
  </si>
  <si>
    <t>EE-1150</t>
  </si>
  <si>
    <t>Electrical Cable Schedule - WPA01 - IFR</t>
  </si>
  <si>
    <t>EE-1160</t>
  </si>
  <si>
    <t>Electrical Cable Schedule - WPA01 - IFA</t>
  </si>
  <si>
    <t>EE-1170</t>
  </si>
  <si>
    <t>Electrical Cable Schedule - WPA01 - AFC</t>
  </si>
  <si>
    <t>EE-1180</t>
  </si>
  <si>
    <t>Illumination Calculations - WPA01 - IFR</t>
  </si>
  <si>
    <t>EE-1190</t>
  </si>
  <si>
    <t>Illumination Calculations - WPA01 - IFA</t>
  </si>
  <si>
    <t>EE-1200</t>
  </si>
  <si>
    <t>Illumination Calculations - WPA01 - AFC</t>
  </si>
  <si>
    <t>EE-1210</t>
  </si>
  <si>
    <t>Electrical Equipment and Explosion Proof Equipment Schedule - WPA01 - IFR</t>
  </si>
  <si>
    <t>EE-1220</t>
  </si>
  <si>
    <t>Electrical Equipment and Explosion Proof Equipment Schedule - WPA01 - IFA</t>
  </si>
  <si>
    <t>EE-1230</t>
  </si>
  <si>
    <t>Electrical Equipment and Explosion Proof Equipment Schedule - WPA01 - AFC</t>
  </si>
  <si>
    <t>EE-1240</t>
  </si>
  <si>
    <t>Electrical Power Generation Selection Report - WPA02 - IFR</t>
  </si>
  <si>
    <t>EE-1250</t>
  </si>
  <si>
    <t>Electrical Power Generation Selection Report - WPA02 - IFA</t>
  </si>
  <si>
    <t>EE-1260</t>
  </si>
  <si>
    <t>Electrical Power Generation Selection Report - WPA02 - AFC</t>
  </si>
  <si>
    <t>EE-1270</t>
  </si>
  <si>
    <t>Electrical Load List &amp; Load Analysis - WPA02 - IFR</t>
  </si>
  <si>
    <t>EE-1280</t>
  </si>
  <si>
    <t>Electrical Load List &amp; Load Analysis - WPA02 - IFA</t>
  </si>
  <si>
    <t>EE-1290</t>
  </si>
  <si>
    <t>Electrical Load List &amp; Load Analysis - WPA02 - AFC</t>
  </si>
  <si>
    <t>EE-1300</t>
  </si>
  <si>
    <t>Electrical Equipment Sizing Calculations - WPA02 - IFR</t>
  </si>
  <si>
    <t>EE-1310</t>
  </si>
  <si>
    <t>Electrical Equipment Sizing Calculations - WPA02 - IFA</t>
  </si>
  <si>
    <t>EE-1320</t>
  </si>
  <si>
    <t>Electrical Equipment Sizing Calculations - WPA02 - AFC</t>
  </si>
  <si>
    <t>EE-1330</t>
  </si>
  <si>
    <t>Electrical Cable Sizing Calculations - WPA02 - IFR</t>
  </si>
  <si>
    <t>EE-1340</t>
  </si>
  <si>
    <t>Electrical Cable Sizing Calculations - WPA02 - IFA</t>
  </si>
  <si>
    <t>EE-1350</t>
  </si>
  <si>
    <t>Electrical Cable Sizing Calculations - WPA02 - AFC</t>
  </si>
  <si>
    <t>EE-1360</t>
  </si>
  <si>
    <t>Electrical Cable Tray / Cable Ladder Sizing - WPA02 - IFR</t>
  </si>
  <si>
    <t>EE-1380</t>
  </si>
  <si>
    <t>Electrical Cable Tray / Cable Ladder Sizing - WPA02 - AFC</t>
  </si>
  <si>
    <t>EE-1390</t>
  </si>
  <si>
    <t>Electrical Cable Schedule - WPA02 - IFR</t>
  </si>
  <si>
    <t>EE-1400</t>
  </si>
  <si>
    <t>Electrical Cable Schedule - WPA02 - IFA</t>
  </si>
  <si>
    <t>EE-1410</t>
  </si>
  <si>
    <t>Electrical Cable Schedule - WPA02 - AFC</t>
  </si>
  <si>
    <t>EE-1420</t>
  </si>
  <si>
    <t>Illumination Calculations - WPA02 - IFR</t>
  </si>
  <si>
    <t>EE-1430</t>
  </si>
  <si>
    <t>Illumination Calculations - WPA02 - IFA</t>
  </si>
  <si>
    <t>EE-1440</t>
  </si>
  <si>
    <t>Illumination Calculations - WPA02 - AFC</t>
  </si>
  <si>
    <t>EE-1441</t>
  </si>
  <si>
    <t>EE-1442</t>
  </si>
  <si>
    <t>EE-1443</t>
  </si>
  <si>
    <t>EE-1450</t>
  </si>
  <si>
    <t>Motor Starting Study - WPA02 - IFR</t>
  </si>
  <si>
    <t>EE-1460</t>
  </si>
  <si>
    <t>Motor Starting Study - WPA02 - IFA</t>
  </si>
  <si>
    <t>EE-1470</t>
  </si>
  <si>
    <t>Motor Starting Study - WPA02 - AFC</t>
  </si>
  <si>
    <t>EE-1480</t>
  </si>
  <si>
    <t>Project Particular Specification for AC and DC Distribution Boards/Panels - IFR</t>
  </si>
  <si>
    <t>EE-1490</t>
  </si>
  <si>
    <t>Project Particular Specification for AC and DC Distribution Boards/Panels - AFC</t>
  </si>
  <si>
    <t>EE-1500</t>
  </si>
  <si>
    <t>Project Particular Specification for Solar power system - IFR</t>
  </si>
  <si>
    <t>EE-1510</t>
  </si>
  <si>
    <t>Project Particular Specification for Solar power system - AFC</t>
  </si>
  <si>
    <t>EE-1520</t>
  </si>
  <si>
    <t>Project Particular Specification for Navigation Aid system - IFR</t>
  </si>
  <si>
    <t>EE-1530</t>
  </si>
  <si>
    <t>Project Particular Specification for Navigation Aid system - AFC</t>
  </si>
  <si>
    <t>EE-1540</t>
  </si>
  <si>
    <t>Project Particular Specification for External Battery Charger - IFR</t>
  </si>
  <si>
    <t>EE-1550</t>
  </si>
  <si>
    <t>Project Particular Specification for External Battery Charger - AFC</t>
  </si>
  <si>
    <t>EE-1560</t>
  </si>
  <si>
    <t>Project Particular Specification for Electrical Cables - IFR</t>
  </si>
  <si>
    <t>EE-1570</t>
  </si>
  <si>
    <t>Project Particular Specification for Electrical Cables - AFC</t>
  </si>
  <si>
    <t>EE-1580</t>
  </si>
  <si>
    <t>Project Particular Specification for Electrical Bulk Materials - IFR</t>
  </si>
  <si>
    <t>EE-1590</t>
  </si>
  <si>
    <t>Project Particular Specification for Electrical Bulk Materials - AFC</t>
  </si>
  <si>
    <t>EE-1595</t>
  </si>
  <si>
    <t>Project Particular Specification for FOG HORN - IFR</t>
  </si>
  <si>
    <t>EE-1596</t>
  </si>
  <si>
    <t>Project Particular Specification for FOG HORN - AFC</t>
  </si>
  <si>
    <t>EE-1600</t>
  </si>
  <si>
    <t>Project Particular Specification for AC Generator - IFR</t>
  </si>
  <si>
    <t>EE-1610</t>
  </si>
  <si>
    <t>Project Particular Specification for AC Generator - AFC</t>
  </si>
  <si>
    <t>EE-1620</t>
  </si>
  <si>
    <t>Project Particular Specification for Motor Control Center - IFR</t>
  </si>
  <si>
    <t>EE-1630</t>
  </si>
  <si>
    <t>Project Particular Specification for Motor Control Center - AFC</t>
  </si>
  <si>
    <t>EE-1640</t>
  </si>
  <si>
    <t>Project Particular Specification for Induction Motor - IFR</t>
  </si>
  <si>
    <t>EE-1650</t>
  </si>
  <si>
    <t>Project Particular Specification for Induction Motor - AFC</t>
  </si>
  <si>
    <t>EE-2110</t>
  </si>
  <si>
    <t>Electrical Symbols and Legends - IFR</t>
  </si>
  <si>
    <t>EE-2130</t>
  </si>
  <si>
    <t>Electrical Symbols and Legends - AFC</t>
  </si>
  <si>
    <t>EE-2140</t>
  </si>
  <si>
    <t>Electrical Typical Installation Details - Lighting and Small Power (3 Sheets) - IFR</t>
  </si>
  <si>
    <t>EE-2150</t>
  </si>
  <si>
    <t>Electrical Typical Installation Details - Lighting and Small Power (3 Sheets) - AFC</t>
  </si>
  <si>
    <t>EE-2160</t>
  </si>
  <si>
    <t>Electrical Typical Installation Details - Earthing (5 Sheets) - IFR</t>
  </si>
  <si>
    <t>EE-2170</t>
  </si>
  <si>
    <t>Electrical Typical Installation Details - Earthing (5 Sheets) - AFC</t>
  </si>
  <si>
    <t>EE-2180</t>
  </si>
  <si>
    <t>Electrical Typical Installation Details - Cable Ladder/ Tray (3 Sheets) - IFR</t>
  </si>
  <si>
    <t>EE-2190</t>
  </si>
  <si>
    <t>Electrical Typical Installation Details - Cable Ladder/ Tray (3 Sheets) - AFC</t>
  </si>
  <si>
    <t>EE-2200</t>
  </si>
  <si>
    <t>Electrical Typical Installation Details - Navigation Aid System (2 Sheets) - IFR</t>
  </si>
  <si>
    <t>EE-2210</t>
  </si>
  <si>
    <t>Electrical Typical Installation Details - Navigation Aid System (2 Sheets) - AFC</t>
  </si>
  <si>
    <t>EE-2220</t>
  </si>
  <si>
    <t>Electrical Typical Installation Details - Power (3 Sheets) - IFR</t>
  </si>
  <si>
    <t>EE-2230</t>
  </si>
  <si>
    <t>Electrical Typical Installation Details - Power (3 Sheets) - AFC</t>
  </si>
  <si>
    <t>EE-2240</t>
  </si>
  <si>
    <t>Electrical Typical Installation Details - Solar Panel - IFR</t>
  </si>
  <si>
    <t>EE-2250</t>
  </si>
  <si>
    <t>Electrical Typical Installation Details - Solar Panel - AFC</t>
  </si>
  <si>
    <t>EE-2260</t>
  </si>
  <si>
    <t>Electrical Drawing Index - WPA01 - IFR</t>
  </si>
  <si>
    <t>EE-2280</t>
  </si>
  <si>
    <t>Electrical Drawing Index - WPA01 - AFC</t>
  </si>
  <si>
    <t>EE-2290</t>
  </si>
  <si>
    <t>Electrical Power &amp; Control System Block Diagram - WPA01 - IFR</t>
  </si>
  <si>
    <t>EE-2300</t>
  </si>
  <si>
    <t>Electrical Power &amp; Control System Block Diagram - WPA01 - IFA</t>
  </si>
  <si>
    <t>EE-2310</t>
  </si>
  <si>
    <t>Electrical Power &amp; Control System Block Diagram - WPA01 - AFC</t>
  </si>
  <si>
    <t>EE-2320</t>
  </si>
  <si>
    <t>Equipment Location Plan - WPA01 (3 Sheets) - IFR</t>
  </si>
  <si>
    <t>EE-2340</t>
  </si>
  <si>
    <t>Equipment Location Plan - WPA01 (3 Sheets) - AFC</t>
  </si>
  <si>
    <t>EE-2350</t>
  </si>
  <si>
    <t>Solar Panel Layout - WPA01 - IFR</t>
  </si>
  <si>
    <t>EE-2360</t>
  </si>
  <si>
    <t>Solar Panel Layout - WPA01 - IFA</t>
  </si>
  <si>
    <t>EE-2370</t>
  </si>
  <si>
    <t>Solar Panel Layout - WPA01 - AFC</t>
  </si>
  <si>
    <t>EE-2380</t>
  </si>
  <si>
    <t>E&amp;I Room Equipment Layout - WPA01 - IFR</t>
  </si>
  <si>
    <t>EE-2390</t>
  </si>
  <si>
    <t>E&amp;I Room Equipment Layout - WPA01 - IFA</t>
  </si>
  <si>
    <t>EE-2400</t>
  </si>
  <si>
    <t>E&amp;I Room Equipment Layout - WPA01 - AFC</t>
  </si>
  <si>
    <t>EE-2410</t>
  </si>
  <si>
    <t>Electrical Multi Cable Transit Schedule- WPA01 (6 Sheets) - IFR</t>
  </si>
  <si>
    <t>EE-2430</t>
  </si>
  <si>
    <t>Electrical Multi Cable Transit Schedule- WPA01 (6 Sheets) - AFC</t>
  </si>
  <si>
    <t>EE-2440</t>
  </si>
  <si>
    <t>Electrical Overall Earthing and Bonding Diagrams- WPA01 - IFR</t>
  </si>
  <si>
    <t>EE-2450</t>
  </si>
  <si>
    <t>Electrical Overall Earthing and Bonding Diagrams- WPA01 - IFA</t>
  </si>
  <si>
    <t>EE-2460</t>
  </si>
  <si>
    <t>Electrical Overall Earthing and Bonding Diagrams- WPA01 - AFC</t>
  </si>
  <si>
    <t>EE-2470</t>
  </si>
  <si>
    <t>Cable Trays/Ladders Layout Drawings - WPA01(4 Sheets) - IFR</t>
  </si>
  <si>
    <t>EE-2490</t>
  </si>
  <si>
    <t>Cable Trays/Ladders Layout Drawings - WPA01(4 Sheets) - AFC</t>
  </si>
  <si>
    <t>EE-2491</t>
  </si>
  <si>
    <t>Cables Routing Plan/Layout Drawings - WPA01(4 Sheets) - IFR</t>
  </si>
  <si>
    <t>EE-2495</t>
  </si>
  <si>
    <t>Cables Routing Plan/Layout Drawings - WPA01(4 Sheets) - AFC</t>
  </si>
  <si>
    <t>EE-2500</t>
  </si>
  <si>
    <t>Electrical Bulk Materials Take Off - WPA01 - IFR</t>
  </si>
  <si>
    <t>EE-2510</t>
  </si>
  <si>
    <t>Electrical Bulk Materials Take Off - WPA01 - IFA</t>
  </si>
  <si>
    <t>EE-2520</t>
  </si>
  <si>
    <t>Electrical Bulk Materials Take Off - WPA01 - AFC</t>
  </si>
  <si>
    <t>EE-2530</t>
  </si>
  <si>
    <t>Electrical AC Distribution Board Schedule - WPA01 - IFR</t>
  </si>
  <si>
    <t>EE-2540</t>
  </si>
  <si>
    <t>Electrical AC Distribution Board Schedule - WPA01 - IFA</t>
  </si>
  <si>
    <t>EE-2550</t>
  </si>
  <si>
    <t>Electrical AC Distribution Board Schedule - WPA01 - AFC</t>
  </si>
  <si>
    <t>EE-2551</t>
  </si>
  <si>
    <t>Electrical DC Distribution Board Schedule - WPA01 - IFR</t>
  </si>
  <si>
    <t>EE-2553</t>
  </si>
  <si>
    <t>Electrical DC Distribution Board Schedule - WPA01 - IFA</t>
  </si>
  <si>
    <t>EE-2556</t>
  </si>
  <si>
    <t>Electrical DC Distribution Board Schedule - WPA01 - AFC</t>
  </si>
  <si>
    <t>EE-2560</t>
  </si>
  <si>
    <t>Electrical I/O summary - WPA01 - IFR</t>
  </si>
  <si>
    <t>EE-2570</t>
  </si>
  <si>
    <t>Electrical I/O summary - WPA01 - IFA</t>
  </si>
  <si>
    <t>EE-2580</t>
  </si>
  <si>
    <t>Electrical I/O summary - WPA01 - AFC</t>
  </si>
  <si>
    <t>EE-2590</t>
  </si>
  <si>
    <t>Lighting and Small Power Loop Diagram - WPA01 (3 Sheets) - IFR</t>
  </si>
  <si>
    <t>EE-2610</t>
  </si>
  <si>
    <t>Lighting and Small Power Loop Diagram - WPA01 (3 Sheets) - AFC</t>
  </si>
  <si>
    <t>EE-2620</t>
  </si>
  <si>
    <t>Lighting and Small Power Plan - WPA01 Mezzanine Deck - IFR</t>
  </si>
  <si>
    <t>EE-2640</t>
  </si>
  <si>
    <t>Lighting and Small Power Plan - WPA01 Mezzanine Deck - AFC</t>
  </si>
  <si>
    <t>EE-2650</t>
  </si>
  <si>
    <t>Lighting and Small Power Plan - WPA01 Lower Deck - IFR</t>
  </si>
  <si>
    <t>EE-2670</t>
  </si>
  <si>
    <t>Lighting and Small Power Plan - WPA01 Lower Deck - AFC</t>
  </si>
  <si>
    <t>EE-2680</t>
  </si>
  <si>
    <t>Lighting and Small Power Plan - WPA01 Sump Deck and Boat Landing - IFR</t>
  </si>
  <si>
    <t>EE-2700</t>
  </si>
  <si>
    <t>Lighting and Small Power Plan - WPA01 Sump Deck and Boat Landing - AFC</t>
  </si>
  <si>
    <t>EE-2710</t>
  </si>
  <si>
    <t>Electrical Drawing Index - WPA02 - IFR</t>
  </si>
  <si>
    <t>EE-2730</t>
  </si>
  <si>
    <t>Electrical Drawing Index - WPA02 - AFC</t>
  </si>
  <si>
    <t>EE-2740</t>
  </si>
  <si>
    <t>Electrical Power &amp; Control System Block Diagram - WPA02 - IFR</t>
  </si>
  <si>
    <t>EE-2750</t>
  </si>
  <si>
    <t>Electrical Power &amp; Control System Block Diagram - WPA02 - IFA</t>
  </si>
  <si>
    <t>EE-2760</t>
  </si>
  <si>
    <t>Electrical Power &amp; Control System Block Diagram - WPA02 - AFC</t>
  </si>
  <si>
    <t>EE-2770</t>
  </si>
  <si>
    <t>Equipment Location Plan - WPA02 (3 Sheets) - IFR</t>
  </si>
  <si>
    <t>EE-2780</t>
  </si>
  <si>
    <t>Equipment Location Plan - WPA02 (3 Sheets) - IFA</t>
  </si>
  <si>
    <t>EE-2790</t>
  </si>
  <si>
    <t>Equipment Location Plan - WPA02 (3 Sheets) - AFC</t>
  </si>
  <si>
    <t>EE-2800</t>
  </si>
  <si>
    <t>Solar Panel Layout  - WPA02 - IFR</t>
  </si>
  <si>
    <t>EE-2810</t>
  </si>
  <si>
    <t>Solar Panel Layout  - WPA02 - IFA</t>
  </si>
  <si>
    <t>EE-2820</t>
  </si>
  <si>
    <t>Solar Panel Layout  - WPA02 - AFC</t>
  </si>
  <si>
    <t>EE-2830</t>
  </si>
  <si>
    <t>E&amp;I Room Equipment Layout - WPA02 - IFR</t>
  </si>
  <si>
    <t>EE-2840</t>
  </si>
  <si>
    <t>E&amp;I Room Equipment Layout - WPA02 - IFA</t>
  </si>
  <si>
    <t>EE-2850</t>
  </si>
  <si>
    <t>E&amp;I Room Equipment Layout - WPA02 - AFC</t>
  </si>
  <si>
    <t>EE-2860</t>
  </si>
  <si>
    <t>Electrical Multi Cable Transit Schedule  - WPA02 (6 Sheets) - IFR</t>
  </si>
  <si>
    <t>EE-2880</t>
  </si>
  <si>
    <t>Electrical Multi Cable Transit Schedule  - WPA02 (6 Sheets) - AFC</t>
  </si>
  <si>
    <t>EE-2890</t>
  </si>
  <si>
    <t>Electrical Overall Earthing and Bonding Diagrams  - WPA02 - IFR</t>
  </si>
  <si>
    <t>EE-2900</t>
  </si>
  <si>
    <t>Electrical Overall Earthing and Bonding Diagrams  - WPA02 - IFA</t>
  </si>
  <si>
    <t>EE-2910</t>
  </si>
  <si>
    <t>Electrical Overall Earthing and Bonding Diagrams  - WPA02 - AFC</t>
  </si>
  <si>
    <t>EE-2920</t>
  </si>
  <si>
    <t>Cable Trays/Ladders Layout Drawings  - WPA02 (4 Sheets) - IFR</t>
  </si>
  <si>
    <t>EE-2940</t>
  </si>
  <si>
    <t>Cable Trays/Ladders Layout Drawings  - WPA02 (4 Sheets) - AFC</t>
  </si>
  <si>
    <t>EE-2950</t>
  </si>
  <si>
    <t>Cables Routing Plan/Layout Drawings - WPA02 (4 Sheets) - IFR</t>
  </si>
  <si>
    <t>EE-2970</t>
  </si>
  <si>
    <t>Cables Routing Plan/Layout Drawings - WPA02 (4 Sheets) - AFC</t>
  </si>
  <si>
    <t>EE-2980</t>
  </si>
  <si>
    <t>Electrical Bulk Materials Take Off - WPA02 - IFR</t>
  </si>
  <si>
    <t>EE-2990</t>
  </si>
  <si>
    <t>Electrical Bulk Materials Take Off - WPA02 - IFA</t>
  </si>
  <si>
    <t>EE-3000</t>
  </si>
  <si>
    <t>Electrical Bulk Materials Take Off - WPA02 - AFC</t>
  </si>
  <si>
    <t>EE-3010</t>
  </si>
  <si>
    <t>Electrical AC Distribution Board Schedule - WPA02 - IFR</t>
  </si>
  <si>
    <t>EE-3020</t>
  </si>
  <si>
    <t>Electrical AC Distribution Board Schedule - WPA02 - IFA</t>
  </si>
  <si>
    <t>EE-3030</t>
  </si>
  <si>
    <t>Electrical AC Distribution Board Schedule - WPA02 - AFC</t>
  </si>
  <si>
    <t>EE-3031</t>
  </si>
  <si>
    <t>Electrical DC Distribution Board Schedule - WPA02 - IFR</t>
  </si>
  <si>
    <t>EE-3033</t>
  </si>
  <si>
    <t>Electrical DC Distribution Board Schedule - WPA02 - IFA</t>
  </si>
  <si>
    <t>EE-3035</t>
  </si>
  <si>
    <t>Electrical DC Distribution Board Schedule - WPA02 - AFC</t>
  </si>
  <si>
    <t>EE-3040</t>
  </si>
  <si>
    <t>Electrical I/O summary - WPA02 - IFR</t>
  </si>
  <si>
    <t>EE-3060</t>
  </si>
  <si>
    <t>Electrical I/O summary - WPA02 - AFC</t>
  </si>
  <si>
    <t>EE-3070</t>
  </si>
  <si>
    <t>Lighting and Small Power Loop Diagram - WPA02 (3 Sheets) - IFR</t>
  </si>
  <si>
    <t>EE-3090</t>
  </si>
  <si>
    <t>Lighting and Small Power Loop Diagram - WPA02 (3 Sheets) - AFC</t>
  </si>
  <si>
    <t>EE-3100</t>
  </si>
  <si>
    <t>Lighting and Small Power Plan - WPA02 Mezzanine Deck - IFR</t>
  </si>
  <si>
    <t>EE-3120</t>
  </si>
  <si>
    <t>Lighting and Small Power Plan - WPA02 Mezzanine Deck - AFC</t>
  </si>
  <si>
    <t>EE-3130</t>
  </si>
  <si>
    <t>Lighting and Small Power Plan - WPA02 Lower Deck - IFR</t>
  </si>
  <si>
    <t>EE-3150</t>
  </si>
  <si>
    <t>Lighting and Small Power Plan - WPA02 Lower Deck - AFC</t>
  </si>
  <si>
    <t>EE-3160</t>
  </si>
  <si>
    <t>Lighting and Small Power Plan - WPA02 Sump Deck and Boat Landing - IFR</t>
  </si>
  <si>
    <t>EE-3180</t>
  </si>
  <si>
    <t>Lighting and Small Power Plan - WPA02 Sump Deck and Boat Landing - AFC</t>
  </si>
  <si>
    <t>EE-3190</t>
  </si>
  <si>
    <t>Electrical Key Single Line Diagram - WPA01 - IFR</t>
  </si>
  <si>
    <t>EE-3200</t>
  </si>
  <si>
    <t>Electrical Key Single Line Diagram - WPA01 - IFA</t>
  </si>
  <si>
    <t>EE-3210</t>
  </si>
  <si>
    <t>Electrical Key Single Line Diagram - WPA01 - AFC</t>
  </si>
  <si>
    <t>EE-3220</t>
  </si>
  <si>
    <t>Electrical Single Line Diagram - AC System-  WPA01 - IFR</t>
  </si>
  <si>
    <t>EE-3230</t>
  </si>
  <si>
    <t>Electrical Single Line Diagram - AC System-  WPA01 - IFA</t>
  </si>
  <si>
    <t>EE-3240</t>
  </si>
  <si>
    <t>Electrical Single Line Diagram - AC System-  WPA01 - AFC</t>
  </si>
  <si>
    <t>EE-3250</t>
  </si>
  <si>
    <t>Electrical Single Line Diagram - DC System &amp; Navigation Aids System -WPA01 - IFR</t>
  </si>
  <si>
    <t>EE-3260</t>
  </si>
  <si>
    <t>Electrical Single Line Diagram - DC System &amp; Navigation Aids System -WPA01 - IFA</t>
  </si>
  <si>
    <t>EE-3270</t>
  </si>
  <si>
    <t>Electrical Single Line Diagram - DC System &amp; Navigation Aids System -WPA01 - AFC</t>
  </si>
  <si>
    <t>EE-3280</t>
  </si>
  <si>
    <t>Electrical Wiring Interconnection for AC and Distribution System - WPA01 (2 Sheets) - IFR</t>
  </si>
  <si>
    <t>EE-3290</t>
  </si>
  <si>
    <t>Electrical Wiring Interconnection for AC and Distribution System - WPA01 (2 Sheets) - IFA</t>
  </si>
  <si>
    <t>EE-3300</t>
  </si>
  <si>
    <t>Electrical Wiring Interconnection for AC and Distribution System - WPA01 (2 Sheets) - AFC</t>
  </si>
  <si>
    <t>EE-3310</t>
  </si>
  <si>
    <t>Electrical Wiring Interconnection for DC Distribution System - WPA01 (2 Sheets) - IFR</t>
  </si>
  <si>
    <t>EE-3320</t>
  </si>
  <si>
    <t>Electrical Wiring Interconnection for DC Distribution System - WPA01 (2 Sheets) - IFA</t>
  </si>
  <si>
    <t>EE-3330</t>
  </si>
  <si>
    <t>Electrical Wiring Interconnection for DC Distribution System - WPA01 (2 Sheets) - AFC</t>
  </si>
  <si>
    <t>EE-3340</t>
  </si>
  <si>
    <t>Electrical Wiring Interconnection for Navigation Aid System - WPA01 - IFR</t>
  </si>
  <si>
    <t>EE-3350</t>
  </si>
  <si>
    <t>Electrical Wiring Interconnection for Navigation Aid System - WPA01 - IFA</t>
  </si>
  <si>
    <t>EE-3360</t>
  </si>
  <si>
    <t>Electrical Wiring Interconnection for Navigation Aid System - WPA01 - AFC</t>
  </si>
  <si>
    <t>EE-3370</t>
  </si>
  <si>
    <t>Electrical Key Single Line Diagram - WPA02 - IFR</t>
  </si>
  <si>
    <t>EE-3380</t>
  </si>
  <si>
    <t>Electrical Key Single Line Diagram - WPA02 - IFA</t>
  </si>
  <si>
    <t>EE-3390</t>
  </si>
  <si>
    <t>Electrical Key Single Line Diagram - WPA02 - AFC</t>
  </si>
  <si>
    <t>EE-3400</t>
  </si>
  <si>
    <t>Electrical Single Line Diagram - AC System - WPA02 - IFR</t>
  </si>
  <si>
    <t>EE-3410</t>
  </si>
  <si>
    <t>Electrical Single Line Diagram - AC System - WPA02 - IFA</t>
  </si>
  <si>
    <t>EE-3420</t>
  </si>
  <si>
    <t>Electrical Single Line Diagram - AC System - WPA02 - AFC</t>
  </si>
  <si>
    <t>EE-3430</t>
  </si>
  <si>
    <t>Electrical Single Line Diagram - DC System &amp; Navigation Aids System - WPA02 - IFR</t>
  </si>
  <si>
    <t>EE-3440</t>
  </si>
  <si>
    <t>Electrical Single Line Diagram - DC System &amp; Navigation Aids System - WPA02 - IFA</t>
  </si>
  <si>
    <t>EE-3450</t>
  </si>
  <si>
    <t>Electrical Single Line Diagram - DC System &amp; Navigation Aids System - WPA02 - AFC</t>
  </si>
  <si>
    <t>EE-3460</t>
  </si>
  <si>
    <t>Electrical Wiring Interconnection for AC and Distribution System - WPA02 (2 Sheets) - IFR</t>
  </si>
  <si>
    <t>EE-3470</t>
  </si>
  <si>
    <t>Electrical Wiring Interconnection for AC and Distribution System - WPA02 (2 Sheets) - IFA</t>
  </si>
  <si>
    <t>EE-3480</t>
  </si>
  <si>
    <t>Electrical Wiring Interconnection for AC and Distribution System - WPA02 (2 Sheets) - AFC</t>
  </si>
  <si>
    <t>EE-3490</t>
  </si>
  <si>
    <t>Electrical Wiring Interconnection for DC Distribution System - WPA02 (2 Sheets) - IFR</t>
  </si>
  <si>
    <t>EE-3500</t>
  </si>
  <si>
    <t>Electrical Wiring Interconnection for DC Distribution System - WPA02 (2 Sheets) - IFA</t>
  </si>
  <si>
    <t>EE-3510</t>
  </si>
  <si>
    <t>Electrical Wiring Interconnection for DC Distribution System - WPA02 (2 Sheets) - AFC</t>
  </si>
  <si>
    <t>EE-3520</t>
  </si>
  <si>
    <t>Electrical Wiring Interconnection for Navigation Aid System - WPA02 - IFR</t>
  </si>
  <si>
    <t>EE-3530</t>
  </si>
  <si>
    <t>Electrical Wiring Interconnection for Navigation Aid System - WPA02 - IFA</t>
  </si>
  <si>
    <t>EE-3540</t>
  </si>
  <si>
    <t>Electrical Wiring Interconnection for Navigation Aid System - WPA02 - AFC</t>
  </si>
  <si>
    <t>Datasheet-Electrical</t>
  </si>
  <si>
    <t>EE-1660</t>
  </si>
  <si>
    <t>Datasheet for AC and DC Distribution Boards/Panels - WPA01 - IFR</t>
  </si>
  <si>
    <t>EE-1670</t>
  </si>
  <si>
    <t>Datasheet for AC and DC Distribution Boards/Panels - WPA01 - IFA</t>
  </si>
  <si>
    <t>EE-1680</t>
  </si>
  <si>
    <t>Datasheet for AC and DC Distribution Boards/Panels - WPA01 - AFC</t>
  </si>
  <si>
    <t>EE-1690</t>
  </si>
  <si>
    <t>Datasheet for Solar power system  - WPA01 - IFR</t>
  </si>
  <si>
    <t>EE-1700</t>
  </si>
  <si>
    <t>Datasheet for Solar power system  - WPA01 - IFA</t>
  </si>
  <si>
    <t>EE-1710</t>
  </si>
  <si>
    <t>Datasheet for Solar power system  - WPA01 - AFC</t>
  </si>
  <si>
    <t>EE-1720</t>
  </si>
  <si>
    <t>Datasheet for Navigation Aid system  - WPA01 - IFR</t>
  </si>
  <si>
    <t>EE-1730</t>
  </si>
  <si>
    <t>Datasheet for Navigation Aid system  - WPA01 - IFA</t>
  </si>
  <si>
    <t>EE-1740</t>
  </si>
  <si>
    <t>Datasheet for Navigation Aid system  - WPA01 - AFC</t>
  </si>
  <si>
    <t>EE-1750</t>
  </si>
  <si>
    <t>Datasheet for External Battery Charger  - WPA01 - IFR</t>
  </si>
  <si>
    <t>EE-1760</t>
  </si>
  <si>
    <t>Datasheet for External Battery Charger  - WPA01 - IFA</t>
  </si>
  <si>
    <t>EE-1770</t>
  </si>
  <si>
    <t>Datasheet for External Battery Charger  - WPA01 - AFC</t>
  </si>
  <si>
    <t>EE-1780</t>
  </si>
  <si>
    <t>Datasheet for Electrical Cables  - WPA01 - IFR</t>
  </si>
  <si>
    <t>EE-1800</t>
  </si>
  <si>
    <t>Datasheet for Electrical Cables  - WPA01 - AFC</t>
  </si>
  <si>
    <t>EE-1810</t>
  </si>
  <si>
    <t>Datasheet for Electrical Bulk Materials  - WPA01 - IFR</t>
  </si>
  <si>
    <t>EE-1830</t>
  </si>
  <si>
    <t>Datasheet for Electrical Bulk Materials  - WPA01 - AFC</t>
  </si>
  <si>
    <t>EE-1833</t>
  </si>
  <si>
    <t>Datasheet for FOG HORN - WPA01 - IFR</t>
  </si>
  <si>
    <t>EE-1835</t>
  </si>
  <si>
    <t>Datasheet for FOG HORN - WPA01 - IFA</t>
  </si>
  <si>
    <t>EE-1837</t>
  </si>
  <si>
    <t>Datasheet for FOG HORN - WPA01 - AFC</t>
  </si>
  <si>
    <t>EE-1840</t>
  </si>
  <si>
    <t>Datasheet for AC and DC Distribution Boards/Panels  - WPA02 - IFR</t>
  </si>
  <si>
    <t>EE-1850</t>
  </si>
  <si>
    <t>Datasheet for AC and DC Distribution Boards/Panels  - WPA02 - IFA</t>
  </si>
  <si>
    <t>EE-1860</t>
  </si>
  <si>
    <t>Datasheet for AC and DC Distribution Boards/Panels  - WPA02 - AFC</t>
  </si>
  <si>
    <t>EE-1870</t>
  </si>
  <si>
    <t>Datasheet for Solar power system  - WPA02 - IFR</t>
  </si>
  <si>
    <t>EE-1880</t>
  </si>
  <si>
    <t>Datasheet for Solar power system  - WPA02 - IFA</t>
  </si>
  <si>
    <t>EE-1890</t>
  </si>
  <si>
    <t>Datasheet for Solar power system  - WPA02 - AFC</t>
  </si>
  <si>
    <t>EE-1900</t>
  </si>
  <si>
    <t>Datasheet for Navigation Aid system  - WPA02 - IFR</t>
  </si>
  <si>
    <t>EE-1910</t>
  </si>
  <si>
    <t>Datasheet for Navigation Aid system  - WPA02 - IFA</t>
  </si>
  <si>
    <t>EE-1920</t>
  </si>
  <si>
    <t>Datasheet for Navigation Aid system  - WPA02 - AFC</t>
  </si>
  <si>
    <t>EE-1930</t>
  </si>
  <si>
    <t>Datasheet for External Battery Charger  - WPA02 - IFR</t>
  </si>
  <si>
    <t>EE-1940</t>
  </si>
  <si>
    <t>Datasheet for External Battery Charger  - WPA02 - IFA</t>
  </si>
  <si>
    <t>EE-1950</t>
  </si>
  <si>
    <t>Datasheet for External Battery Charger  - WPA02 - AFC</t>
  </si>
  <si>
    <t>EE-1960</t>
  </si>
  <si>
    <t>Datasheet for Electrical Cables  - WPA02 - IFR</t>
  </si>
  <si>
    <t>EE-1980</t>
  </si>
  <si>
    <t>Datasheet for Electrical Cables  - WPA02 - AFC</t>
  </si>
  <si>
    <t>EE-1990</t>
  </si>
  <si>
    <t>Datasheet for Electrical Bulk Materials  - WPA02 - IFR</t>
  </si>
  <si>
    <t>EE-2010</t>
  </si>
  <si>
    <t>Datasheet for Electrical Bulk Materials  - WPA02 - AFC</t>
  </si>
  <si>
    <t>EE-2020</t>
  </si>
  <si>
    <t>Datasheet for AC Generator  - WPA02 - IFR</t>
  </si>
  <si>
    <t>EE-2030</t>
  </si>
  <si>
    <t>Datasheet for AC Generator  - WPA02 - IFA</t>
  </si>
  <si>
    <t>EE-2040</t>
  </si>
  <si>
    <t>Datasheet for AC Generator  - WPA02 - AFC</t>
  </si>
  <si>
    <t>EE-2050</t>
  </si>
  <si>
    <t>Datasheet for Motor Control Center  - WPA02 - IFR</t>
  </si>
  <si>
    <t>EE-2060</t>
  </si>
  <si>
    <t>Datasheet for Motor Control Center  - WPA02 - IFA</t>
  </si>
  <si>
    <t>EE-2070</t>
  </si>
  <si>
    <t>Datasheet for Motor Control Center  - WPA02 - AFC</t>
  </si>
  <si>
    <t>EE-2080</t>
  </si>
  <si>
    <t>Datasheet for Induction Motor  - WPA02 - IFR</t>
  </si>
  <si>
    <t>EE-2090</t>
  </si>
  <si>
    <t>Datasheet for Induction Motor  - WPA02 - IFA</t>
  </si>
  <si>
    <t>EE-2100</t>
  </si>
  <si>
    <t>Datasheet for Induction Motor  - WPA02 - AFC</t>
  </si>
  <si>
    <t>EE-4042</t>
  </si>
  <si>
    <t>Datasheet for FOG HORN - WPA02 - IFR</t>
  </si>
  <si>
    <t>EE-4044</t>
  </si>
  <si>
    <t>Datasheet for FOG HORN - WPA02 - IFA</t>
  </si>
  <si>
    <t>EE-4046</t>
  </si>
  <si>
    <t>Datasheet for FOG HORN - WPA02 - AFC</t>
  </si>
  <si>
    <t>MR-Electrical</t>
  </si>
  <si>
    <t>EE-3550</t>
  </si>
  <si>
    <t>Material Requisition for AC &amp; DC Distribution Boards/Panels - WPA01 - IFR</t>
  </si>
  <si>
    <t>EE-3560</t>
  </si>
  <si>
    <t>Material Requisition for AC &amp; DC Distribution Boards/Panels - WPA01 - AFC</t>
  </si>
  <si>
    <t>EE-3570</t>
  </si>
  <si>
    <t>Material Requisition for Solar power system - WPA01 - IFR</t>
  </si>
  <si>
    <t>EE-3580</t>
  </si>
  <si>
    <t>Material Requisition for Solar power system - WPA01 - AFC</t>
  </si>
  <si>
    <t>EE-3590</t>
  </si>
  <si>
    <t>Material Requisition for Navigation Aid system - WPA01 - IFR</t>
  </si>
  <si>
    <t>EE-3600</t>
  </si>
  <si>
    <t>Material Requisition for Navigation Aid system - WPA01 - AFC</t>
  </si>
  <si>
    <t>EE-3610</t>
  </si>
  <si>
    <t>Material Requisition for External Battery Charger - WPA01 - IFR</t>
  </si>
  <si>
    <t>EE-3620</t>
  </si>
  <si>
    <t>Material Requisition for External Battery Charger - WPA01 - AFC</t>
  </si>
  <si>
    <t>EE-3630</t>
  </si>
  <si>
    <t>Material Requisition for Electrical Cables - WPA01 - IFR</t>
  </si>
  <si>
    <t>EE-3640</t>
  </si>
  <si>
    <t>Material Requisition for Electrical Cables - WPA01 - AFC</t>
  </si>
  <si>
    <t>EE-3650</t>
  </si>
  <si>
    <t>Material Requisition for Electrical Bulk Materials - WPA01 - IFR</t>
  </si>
  <si>
    <t>EE-3660</t>
  </si>
  <si>
    <t>Material Requisition for Electrical Bulk Materials - WPA01 - AFC</t>
  </si>
  <si>
    <t>EE-3661</t>
  </si>
  <si>
    <t>Material Requisition for FOG HORN - WPA01 - IFR</t>
  </si>
  <si>
    <t>EE-3665</t>
  </si>
  <si>
    <t>Material Requisition for FOG HORN - WPA01 - AFC</t>
  </si>
  <si>
    <t>EE-3670</t>
  </si>
  <si>
    <t>Material Requisition for AC &amp; DC Distribution Boards/Panels - WPA02 - IFR</t>
  </si>
  <si>
    <t>EE-3680</t>
  </si>
  <si>
    <t>Material Requisition for AC &amp; DC Distribution Boards/Panels - WPA02 - AFC</t>
  </si>
  <si>
    <t>EE-3690</t>
  </si>
  <si>
    <t>Material Requisition for Solar power system - WPA02 - IFR</t>
  </si>
  <si>
    <t>EE-3700</t>
  </si>
  <si>
    <t>Material Requisition for Solar power system - WPA02 - AFC</t>
  </si>
  <si>
    <t>EE-3710</t>
  </si>
  <si>
    <t>Material Requisition for Navigation Aid system - WPA02 - IFR</t>
  </si>
  <si>
    <t>EE-3720</t>
  </si>
  <si>
    <t>Material Requisition for Navigation Aid system - WPA02 - AFC</t>
  </si>
  <si>
    <t>EE-3730</t>
  </si>
  <si>
    <t>Material Requisition for External Battery Charger - WPA02 - IFR</t>
  </si>
  <si>
    <t>EE-3740</t>
  </si>
  <si>
    <t>Material Requisition for External Battery Charger - WPA02 - AFC</t>
  </si>
  <si>
    <t>EE-3750</t>
  </si>
  <si>
    <t>Material Requisition for Electrical Cables - WPA02 - IFR</t>
  </si>
  <si>
    <t>EE-3760</t>
  </si>
  <si>
    <t>Material Requisition for Electrical Cables - WPA02 - AFC</t>
  </si>
  <si>
    <t>EE-3770</t>
  </si>
  <si>
    <t>Material Requisition for Electrical Bulk Materials - WPA02 - IFR</t>
  </si>
  <si>
    <t>EE-3780</t>
  </si>
  <si>
    <t>Material Requisition for Electrical Bulk Materials - WPA02 - AFC</t>
  </si>
  <si>
    <t>EE-4048</t>
  </si>
  <si>
    <t>Material Requisition for FOG HORN - WPA02 - IFR</t>
  </si>
  <si>
    <t>EE-4050</t>
  </si>
  <si>
    <t>Material Requisition for FOG HORN - WPA02 - AFC</t>
  </si>
  <si>
    <t>EE-4056</t>
  </si>
  <si>
    <t>Material Requisition for Motor Control Center - WPA02 - IFR</t>
  </si>
  <si>
    <t>EE-4058</t>
  </si>
  <si>
    <t>Material Requisition for Motor Control Center - WPA02 - AFC</t>
  </si>
  <si>
    <t>TBE-Electrical</t>
  </si>
  <si>
    <t>EE-3790</t>
  </si>
  <si>
    <t>Technical Bid Evaluation for AC &amp; DC Distribution Boards/Panels - WPA01 - IFR</t>
  </si>
  <si>
    <t>EE-3800</t>
  </si>
  <si>
    <t>Technical Bid Evaluation for AC &amp; DC Distribution Boards/Panels - WPA01 - AFC</t>
  </si>
  <si>
    <t>EE-3810</t>
  </si>
  <si>
    <t>Technical Bid Evaluation for Solar power system - WPA01 - IFR</t>
  </si>
  <si>
    <t>EE-3820</t>
  </si>
  <si>
    <t>Technical Bid Evaluation for Solar power system - WPA01 - AFC</t>
  </si>
  <si>
    <t>EE-3830</t>
  </si>
  <si>
    <t>Technical Bid Evaluation for Navigation Aid system - WPA01 - IFR</t>
  </si>
  <si>
    <t>EE-3840</t>
  </si>
  <si>
    <t>Technical Bid Evaluation for Navigation Aid system - WPA01 - AFC</t>
  </si>
  <si>
    <t>EE-3850</t>
  </si>
  <si>
    <t>Technical Bid Evaluation for External Battery Charger - WPA01 - IFR</t>
  </si>
  <si>
    <t>EE-3860</t>
  </si>
  <si>
    <t>Technical Bid Evaluation for External Battery Charger - WPA01 - AFC</t>
  </si>
  <si>
    <t>EE-3870</t>
  </si>
  <si>
    <t>Technical Bid Evaluation for Electrical Cables - WPA01 - IFR</t>
  </si>
  <si>
    <t>EE-3880</t>
  </si>
  <si>
    <t>Technical Bid Evaluation for Electrical Cables - WPA01 - AFC</t>
  </si>
  <si>
    <t>EE-3890</t>
  </si>
  <si>
    <t>Technical Bid Evaluation for Electrical Bulk Materials - WPA01 - IFR</t>
  </si>
  <si>
    <t>EE-3900</t>
  </si>
  <si>
    <t>Technical Bid Evaluation for Electrical Bulk Materials - WPA01 - AFC</t>
  </si>
  <si>
    <t>EE-3905</t>
  </si>
  <si>
    <t>Technical Bid Evaluation for FOG HORN - WPA01- IFR</t>
  </si>
  <si>
    <t>EE-3908</t>
  </si>
  <si>
    <t>Technical Bid Evaluation for FOG HORN - WPA01 - AFC</t>
  </si>
  <si>
    <t>EE-3910</t>
  </si>
  <si>
    <t>Technical Bid Evaluation for AC &amp; DC Distribution Boards/Panels - WPA02 - IFR</t>
  </si>
  <si>
    <t>EE-3920</t>
  </si>
  <si>
    <t>Technical Bid Evaluation for AC &amp; DC Distribution Boards/Panels - WPA02 - AFC</t>
  </si>
  <si>
    <t>EE-3930</t>
  </si>
  <si>
    <t>Technical Bid Evaluation for Solar power system - WPA02 - IFR</t>
  </si>
  <si>
    <t>EE-3940</t>
  </si>
  <si>
    <t>Technical Bid Evaluation for Solar power system - WPA02 - AFC</t>
  </si>
  <si>
    <t>EE-3950</t>
  </si>
  <si>
    <t>Technical Bid Evaluation for Navigation Aid system - WPA02 - IFR</t>
  </si>
  <si>
    <t>EE-3960</t>
  </si>
  <si>
    <t>Technical Bid Evaluation for Navigation Aid system - WPA02 - AFC</t>
  </si>
  <si>
    <t>EE-3970</t>
  </si>
  <si>
    <t>Technical Bid Evaluation for External Battery Charger - WPA02 - IFR</t>
  </si>
  <si>
    <t>EE-3980</t>
  </si>
  <si>
    <t>Technical Bid Evaluation for External Battery Charger - WPA02 - AFC</t>
  </si>
  <si>
    <t>EE-3990</t>
  </si>
  <si>
    <t>Technical Bid Evaluation for Electrical Cables - WPA02 - IFR</t>
  </si>
  <si>
    <t>EE-4000</t>
  </si>
  <si>
    <t>Technical Bid Evaluation for Electrical Cables - WPA02 - AFC</t>
  </si>
  <si>
    <t>EE-4010</t>
  </si>
  <si>
    <t>Technical Bid Evaluation for Electrical Bulk Materials - WPA02 - IFR</t>
  </si>
  <si>
    <t>EE-4020</t>
  </si>
  <si>
    <t>Technical Bid Evaluation for Electrical Bulk Materials - WPA02 - AFC</t>
  </si>
  <si>
    <t>EE-4030</t>
  </si>
  <si>
    <t>Technical Bid Evaluation for Motor Control Center - IFR</t>
  </si>
  <si>
    <t>EE-4040</t>
  </si>
  <si>
    <t>Technical Bid Evaluation for Motor Control Center - AFC</t>
  </si>
  <si>
    <t>EE-4052</t>
  </si>
  <si>
    <t>Technical Bid Evaluation for FOG HORN - WPA02- IFR</t>
  </si>
  <si>
    <t>EE-4054</t>
  </si>
  <si>
    <t>Technical Bid Evaluation for FOG HORN - WPA02 - AFC</t>
  </si>
  <si>
    <t>INSTRUMENTANDCONTROLSYSTEMENGINEERING</t>
  </si>
  <si>
    <t>IN-1000</t>
  </si>
  <si>
    <t>Instrument Basis Of Design - IFR</t>
  </si>
  <si>
    <t>IN-1010</t>
  </si>
  <si>
    <t>Instrument Basis Of Design - AFC</t>
  </si>
  <si>
    <t>IN-1020</t>
  </si>
  <si>
    <t>Instrument / Control And Safety System Philosophy - IFR</t>
  </si>
  <si>
    <t>IN-1030</t>
  </si>
  <si>
    <t>Instrument / Control And Safety System Philosophy - IFA</t>
  </si>
  <si>
    <t>IN-1040</t>
  </si>
  <si>
    <t>Instrument / Control And Safety System Philosophy - AFC</t>
  </si>
  <si>
    <t>IN-1050</t>
  </si>
  <si>
    <t>Project Particular Specification For SCADA Systems and PLC Gateway - IFR</t>
  </si>
  <si>
    <t>IN-1060</t>
  </si>
  <si>
    <t>Project Particular Specification For SCADA Systems and PLC Gateway - AFC</t>
  </si>
  <si>
    <t>IN-1070</t>
  </si>
  <si>
    <t>Project Particular Specification For PLC Systems - IFR</t>
  </si>
  <si>
    <t>IN-1080</t>
  </si>
  <si>
    <t>Project Particular Specification For PLC Systems - AFC</t>
  </si>
  <si>
    <t>IN-1090</t>
  </si>
  <si>
    <t>Project Particular Specification For Wellhead Control Panel - IFR</t>
  </si>
  <si>
    <t>IN-1100</t>
  </si>
  <si>
    <t>Project Particular Specification For Wellhead Control Panel - AFC</t>
  </si>
  <si>
    <t>IN-1110</t>
  </si>
  <si>
    <t>Project Particular Specification For Instrument For Measurement - IFR</t>
  </si>
  <si>
    <t>IN-1120</t>
  </si>
  <si>
    <t>Project Particular Specification For Instrument For Measurement - AFC</t>
  </si>
  <si>
    <t>IN-1130</t>
  </si>
  <si>
    <t>Project Particular Specification For Instrument Cables - IFR</t>
  </si>
  <si>
    <t>IN-1140</t>
  </si>
  <si>
    <t>Project Particular Specification For Instrument Cables - AFC</t>
  </si>
  <si>
    <t>IN-1150</t>
  </si>
  <si>
    <t>Project Particular Specification For Instrument Bulk Material - IFR</t>
  </si>
  <si>
    <t>IN-1160</t>
  </si>
  <si>
    <t>Project Particular Specification For Instrument Bulk Material - AFC</t>
  </si>
  <si>
    <t>IN-1170</t>
  </si>
  <si>
    <t>Project Particular Specification For Actuated Choke Valves - IFR</t>
  </si>
  <si>
    <t>IN-1180</t>
  </si>
  <si>
    <t>Project Particular Specification For Actuated Choke Valves - AFC</t>
  </si>
  <si>
    <t>IN-1190</t>
  </si>
  <si>
    <t>Project Particular Specification For Actuated Ball Valves - IFR</t>
  </si>
  <si>
    <t>IN-1200</t>
  </si>
  <si>
    <t>Project Particular Specification For Actuated Ball Valves - AFC</t>
  </si>
  <si>
    <t>IN-1210</t>
  </si>
  <si>
    <t>Project Particular Specification For Acuated Compact Ball Valve - IFR</t>
  </si>
  <si>
    <t>IN-1220</t>
  </si>
  <si>
    <t>Project Particular Specification For Acuated Compact Ball Valve - AFC</t>
  </si>
  <si>
    <t>IN-1230</t>
  </si>
  <si>
    <t>Project Particular Specification For Control Valves And Self Actuated Pcv - IFR</t>
  </si>
  <si>
    <t>IN-1240</t>
  </si>
  <si>
    <t>Project Particular Specification For Control Valves And Self Actuated Pcv - AFC</t>
  </si>
  <si>
    <t>IN-1250</t>
  </si>
  <si>
    <t>Project Particular Specification For Relief Valves - IFR</t>
  </si>
  <si>
    <t>IN-1260</t>
  </si>
  <si>
    <t>Project Particular Specification For Relief Valves - AFC</t>
  </si>
  <si>
    <t>IN-1270</t>
  </si>
  <si>
    <t>Project Particular Specification For Coriolis Flow Meters - IFR</t>
  </si>
  <si>
    <t>IN-1280</t>
  </si>
  <si>
    <t>Project Particular Specification For Coriolis Flow Meters - AFC</t>
  </si>
  <si>
    <t>IN-1290</t>
  </si>
  <si>
    <t>Project Particular Specification For Vortex Flow Meters - IFR</t>
  </si>
  <si>
    <t>IN-1300</t>
  </si>
  <si>
    <t>Project Particular Specification For Vortex Flow Meters - AFC</t>
  </si>
  <si>
    <t>IN-1310</t>
  </si>
  <si>
    <t>Project Particular Specification For Fire &amp; Gas Detectors - IFR</t>
  </si>
  <si>
    <t>IN-1320</t>
  </si>
  <si>
    <t>Project Particular Specification For Fire &amp; Gas Detectors - AFC</t>
  </si>
  <si>
    <t>IN-1330</t>
  </si>
  <si>
    <t>Project Particular Specification For Installation Of Instrumentation And Control - IFR</t>
  </si>
  <si>
    <t>IN-1340</t>
  </si>
  <si>
    <t>Project Particular Specification For Installation Of  Instrumentation And Control - AFC</t>
  </si>
  <si>
    <t>IN-1380</t>
  </si>
  <si>
    <t>Instrument Cable Block Diagram For SCADA System - IFR</t>
  </si>
  <si>
    <t>IN-1390</t>
  </si>
  <si>
    <t>Instrument Cable Block Diagram For SCADA System - IFA</t>
  </si>
  <si>
    <t>IN-1400</t>
  </si>
  <si>
    <t>Instrument Cable Block Diagram For SCADA System - AFC</t>
  </si>
  <si>
    <t>IN-1410</t>
  </si>
  <si>
    <t>Overall Instrument Earthing Diagram - IFR</t>
  </si>
  <si>
    <t>IN-1420</t>
  </si>
  <si>
    <t>Overall Instrument Earthing Diagram - IFA</t>
  </si>
  <si>
    <t>IN-1430</t>
  </si>
  <si>
    <t>Overall Instrument Earthing Diagram - AFC</t>
  </si>
  <si>
    <t>IN-1440</t>
  </si>
  <si>
    <t>Instrument Typical Installation Details - IFR</t>
  </si>
  <si>
    <t>IN-1450</t>
  </si>
  <si>
    <t>Instrument Typical Installation Details - AFC</t>
  </si>
  <si>
    <t>IN-1480</t>
  </si>
  <si>
    <t>Instrument Drawing Index -Wp01 - IFR</t>
  </si>
  <si>
    <t>IN-1490</t>
  </si>
  <si>
    <t>Instrument Drawing Index -Wp01 - IFA</t>
  </si>
  <si>
    <t>IN-1500</t>
  </si>
  <si>
    <t>Instrument Drawing Index -Wp01 - AFC</t>
  </si>
  <si>
    <t>IN-1510</t>
  </si>
  <si>
    <t>Instrument Index-Wp01 - IFR</t>
  </si>
  <si>
    <t>IN-1520</t>
  </si>
  <si>
    <t>Instrument Index-Wp01 - IFA</t>
  </si>
  <si>
    <t>IN-1530</t>
  </si>
  <si>
    <t>Instrument Index-Wp01 - AFC</t>
  </si>
  <si>
    <t>IN-1540</t>
  </si>
  <si>
    <t>Plc Input/Output List-Wp01 - IFR</t>
  </si>
  <si>
    <t>IN-1550</t>
  </si>
  <si>
    <t>Plc Input/Output List-Wp01 - IFA</t>
  </si>
  <si>
    <t>IN-1560</t>
  </si>
  <si>
    <t>Plc Input/Output List-Wp01 - AFC</t>
  </si>
  <si>
    <t>IN-1570</t>
  </si>
  <si>
    <t>Control System Block Diagram For-Wp01 - IFR</t>
  </si>
  <si>
    <t>IN-1580</t>
  </si>
  <si>
    <t>Control System Block Diagram For-Wp01 - IFA</t>
  </si>
  <si>
    <t>IN-1590</t>
  </si>
  <si>
    <t>Control System Block Diagram For-Wp01 - AFC</t>
  </si>
  <si>
    <t>IN-1600</t>
  </si>
  <si>
    <t>Instrument Cable Block Diagram Pcs/Esd/Fgs-Wp01 - IFR</t>
  </si>
  <si>
    <t>IN-1610</t>
  </si>
  <si>
    <t>Instrument Cable Block Diagram Pcs/Esd/Fgs-Wp01 - IFA</t>
  </si>
  <si>
    <t>IN-1620</t>
  </si>
  <si>
    <t>Instrument Cable Block Diagram Pcs/Esd/Fgs-Wp01 - AFC</t>
  </si>
  <si>
    <t>IN-2210</t>
  </si>
  <si>
    <t>Instrument Loop Diagram- Wp01 - IFR</t>
  </si>
  <si>
    <t>IN-2220</t>
  </si>
  <si>
    <t>Instrument Loop Diagram- Wp01 - AFC</t>
  </si>
  <si>
    <t>IN-2230</t>
  </si>
  <si>
    <t>Instrument Cable Tray Layout- Wp01 - IFR</t>
  </si>
  <si>
    <t>IN-2240</t>
  </si>
  <si>
    <t>Instrument Cable Tray Layout- Wp01 - IFA</t>
  </si>
  <si>
    <t>IN-2250</t>
  </si>
  <si>
    <t>Instrument Cable Tray Layout- Wp01 - AFC</t>
  </si>
  <si>
    <t>IN-2260</t>
  </si>
  <si>
    <t>Instrument Cable Routing Plan And Junction Boxes Layout- Wp01 - IFR</t>
  </si>
  <si>
    <t>IN-2270</t>
  </si>
  <si>
    <t>Instrument Cable Routing Plan And Junction Boxes Layout- Wp01 - IFA</t>
  </si>
  <si>
    <t>IN-2280</t>
  </si>
  <si>
    <t>Instrument Cable Routing Plan And Junction Boxes Layout- Wp01 - AFC</t>
  </si>
  <si>
    <t>IN-2290</t>
  </si>
  <si>
    <t>Instrument Cable Schedule- Wp01 - IFR</t>
  </si>
  <si>
    <t>IN-2300</t>
  </si>
  <si>
    <t>Instrument Cable Schedule- Wp01 - IFA</t>
  </si>
  <si>
    <t>IN-2310</t>
  </si>
  <si>
    <t>Instrument Cable Schedule- Wp01 - AFC</t>
  </si>
  <si>
    <t>IN-2320</t>
  </si>
  <si>
    <t>Instrument Multi Cable Transit Schedule- Wp01 - IFR</t>
  </si>
  <si>
    <t>IN-2330</t>
  </si>
  <si>
    <t>Instrument Multi Cable Transit Schedule- Wp01 - IFA</t>
  </si>
  <si>
    <t>IN-2340</t>
  </si>
  <si>
    <t>Instrument Multi Cable Transit Schedule- Wp01 - AFC</t>
  </si>
  <si>
    <t>IN-2341</t>
  </si>
  <si>
    <t>Instrument Location Plan - WP01 - IFR</t>
  </si>
  <si>
    <t>IN-2342</t>
  </si>
  <si>
    <t>Instrument Location Plan - WP01 - IFA</t>
  </si>
  <si>
    <t>IN-2343</t>
  </si>
  <si>
    <t>Instrument Location Plan - WP01 - AFC</t>
  </si>
  <si>
    <t>IN-2344</t>
  </si>
  <si>
    <t>Instrument Tubing Tray Laout - WP01 - IFR</t>
  </si>
  <si>
    <t>IN-2345</t>
  </si>
  <si>
    <t>Instrument Tubing Tray Laout - WP01 - IFA</t>
  </si>
  <si>
    <t>IN-2346</t>
  </si>
  <si>
    <t>Instrument Tubing Tray Laout - WP01 - AFC</t>
  </si>
  <si>
    <t>IN-2347</t>
  </si>
  <si>
    <t>Instrument Tubing Schedule - WP01 - IFR</t>
  </si>
  <si>
    <t>IN-2348</t>
  </si>
  <si>
    <t>Instrument Tubing Schedule - WP01 - IFA</t>
  </si>
  <si>
    <t>IN-2349</t>
  </si>
  <si>
    <t>Instrument Tubing Schedule - WP01 - AFC</t>
  </si>
  <si>
    <t>IN-2350</t>
  </si>
  <si>
    <t>Instrument Hook-Up Drawing - WP01 - IFR</t>
  </si>
  <si>
    <t>IN-2351</t>
  </si>
  <si>
    <t>Instrument Hook-Up Drawing - WP01 - IFA</t>
  </si>
  <si>
    <t>IN-2352</t>
  </si>
  <si>
    <t>Instrument Hook-Up Drawing - WP01 - AFC</t>
  </si>
  <si>
    <t>IN-2353</t>
  </si>
  <si>
    <t>Instrument Wiring Diagram (PCS AND SIS/FGS SYSTEM) - WP01 - IFR</t>
  </si>
  <si>
    <t>IN-2354</t>
  </si>
  <si>
    <t>Instrument Wiring Diagram (PCS AND SIS/FGS SYSTEM) - WP01 - IFA</t>
  </si>
  <si>
    <t>IN-2355</t>
  </si>
  <si>
    <t>Instrument Wiring Diagram (PCS AND SIS/FGS SYSTEM) - WP01 - AFC</t>
  </si>
  <si>
    <t>IN-2356</t>
  </si>
  <si>
    <t>Instrument Equipment And Explosion Proof Equipment Schedule- Wp01 - IFR</t>
  </si>
  <si>
    <t>IN-2357</t>
  </si>
  <si>
    <t>Instrument Equipment And Explosion Proof Equipment Schedule- Wp01 - IFA</t>
  </si>
  <si>
    <t>IN-2358</t>
  </si>
  <si>
    <t>Instrument Equipment And Explosion Proof Equipment Schedule- Wp01 - AFC</t>
  </si>
  <si>
    <t>IN-2359</t>
  </si>
  <si>
    <t>Fusible Plug And F&amp;G Layout- Wp01 - IFR</t>
  </si>
  <si>
    <t>IN-2360</t>
  </si>
  <si>
    <t>Fusible Plug And F&amp;G Layout- Wp01 - AFC</t>
  </si>
  <si>
    <t>IN-2370</t>
  </si>
  <si>
    <t>Instrument Bulk Material Take Off- Wp01 - IFR</t>
  </si>
  <si>
    <t>IN-2380</t>
  </si>
  <si>
    <t>Instrument Bulk Material Take Off- Wp01 - IFA</t>
  </si>
  <si>
    <t>IN-2390</t>
  </si>
  <si>
    <t>Instrument Bulk Material Take Off- Wp01 - AFC</t>
  </si>
  <si>
    <t>IN-2420</t>
  </si>
  <si>
    <t>Instrument Shiploose List For Offshore Installation- Wp01 - IFR</t>
  </si>
  <si>
    <t>IN-2430</t>
  </si>
  <si>
    <t>Instrument Shiploose List For Offshore Installation- Wp01 - AFC</t>
  </si>
  <si>
    <t>IN-2440</t>
  </si>
  <si>
    <t>Instrument Shiploose List Handover To Company Operation Team- Wp01 - IFR</t>
  </si>
  <si>
    <t>IN-2450</t>
  </si>
  <si>
    <t>Instrument Shiploose List Handover To Company Operation Team- Wp01 - AFC</t>
  </si>
  <si>
    <t>IN-2460</t>
  </si>
  <si>
    <t>Instrument Drawing Index -Wp02 - IFR</t>
  </si>
  <si>
    <t>IN-2470</t>
  </si>
  <si>
    <t>Instrument Drawing Index -Wp02 - IFA</t>
  </si>
  <si>
    <t>IN-2480</t>
  </si>
  <si>
    <t>Instrument Drawing Index -Wp02 - AFC</t>
  </si>
  <si>
    <t>IN-2490</t>
  </si>
  <si>
    <t>Instrument Index-Wp02 - IFR</t>
  </si>
  <si>
    <t>IN-2500</t>
  </si>
  <si>
    <t>Instrument Index-Wp02 - IFA</t>
  </si>
  <si>
    <t>IN-2510</t>
  </si>
  <si>
    <t>Instrument Index-Wp02 - AFC</t>
  </si>
  <si>
    <t>IN-2520</t>
  </si>
  <si>
    <t>Plc Input/Output List-Wp02 - IFR</t>
  </si>
  <si>
    <t>IN-2530</t>
  </si>
  <si>
    <t>Plc Input/Output List-Wp02 - IFA</t>
  </si>
  <si>
    <t>IN-2540</t>
  </si>
  <si>
    <t>Plc Input/Output List-Wp02 - AFC</t>
  </si>
  <si>
    <t>IN-2541</t>
  </si>
  <si>
    <t>Control System Block Diagram For-Wp02 - IFR</t>
  </si>
  <si>
    <t>IN-2542</t>
  </si>
  <si>
    <t>Control System Block Diagram For-Wp02 - IFA</t>
  </si>
  <si>
    <t>IN-2543</t>
  </si>
  <si>
    <t>Control System Block Diagram For-Wp02 - AFC</t>
  </si>
  <si>
    <t>IN-2544</t>
  </si>
  <si>
    <t>Instrument Cable Block Diagram Pcs/Esd/Fgs-Wp02 - IFR</t>
  </si>
  <si>
    <t>IN-2545</t>
  </si>
  <si>
    <t>Instrument Cable Block Diagram Pcs/Esd/Fgs-Wp02 - IFA</t>
  </si>
  <si>
    <t>IN-2546</t>
  </si>
  <si>
    <t>Instrument Cable Block Diagram Pcs/Esd/Fgs-Wp02 - AFC</t>
  </si>
  <si>
    <t>IN-3170</t>
  </si>
  <si>
    <t>Instrument Loop Diagram- Wp02 - IFR</t>
  </si>
  <si>
    <t>IN-3180</t>
  </si>
  <si>
    <t>Instrument Loop Diagram- Wp02 - AFC</t>
  </si>
  <si>
    <t>IN-3190</t>
  </si>
  <si>
    <t>Instrument Cable Tray Layout- Wp02 - IFR</t>
  </si>
  <si>
    <t>IN-3195</t>
  </si>
  <si>
    <t>Instrument Cable Tray Layout- Wp02 - IFA</t>
  </si>
  <si>
    <t>IN-3200</t>
  </si>
  <si>
    <t>Instrument Cable Tray Layout- Wp02 - AFC</t>
  </si>
  <si>
    <t>IN-3210</t>
  </si>
  <si>
    <t>Instrument Cable Routing Plan And Junction Boxes Layout- Wp02 - IFR</t>
  </si>
  <si>
    <t>IN-3220</t>
  </si>
  <si>
    <t>Instrument Cable Routing Plan And Junction Boxes Layout- Wp02 - IFA</t>
  </si>
  <si>
    <t>IN-3230</t>
  </si>
  <si>
    <t>Instrument Cable Routing Plan And Junction Boxes Layout- Wp02 - AFC</t>
  </si>
  <si>
    <t>IN-3240</t>
  </si>
  <si>
    <t>Instrument Cable Schedule- Wp02 - IFR</t>
  </si>
  <si>
    <t>IN-3250</t>
  </si>
  <si>
    <t>Instrument Cable Schedule- Wp02 - IFA</t>
  </si>
  <si>
    <t>IN-3260</t>
  </si>
  <si>
    <t>Instrument Cable Schedule- Wp02 - AFC</t>
  </si>
  <si>
    <t>IN-3270</t>
  </si>
  <si>
    <t>Instrument Multi Cable Transit Schedule- Wp02 - IFR</t>
  </si>
  <si>
    <t>IN-3280</t>
  </si>
  <si>
    <t>Instrument Multi Cable Transit Schedule- Wp02 - IFA</t>
  </si>
  <si>
    <t>IN-3290</t>
  </si>
  <si>
    <t>Instrument Multi Cable Transit Schedule- Wp02 - AFC</t>
  </si>
  <si>
    <t>IN-3291</t>
  </si>
  <si>
    <t>Instrument Location Plan- Wp02 - IFR</t>
  </si>
  <si>
    <t>IN-3292</t>
  </si>
  <si>
    <t>Instrument Location Plan- Wp02 - IFA</t>
  </si>
  <si>
    <t>IN-3293</t>
  </si>
  <si>
    <t>Instrument Location Plan- Wp02 - AFC</t>
  </si>
  <si>
    <t>IN-3294</t>
  </si>
  <si>
    <t>Instrument Tubing Tray Layout - Wp02 - IFR</t>
  </si>
  <si>
    <t>IN-3295</t>
  </si>
  <si>
    <t>Instrument Tubing Tray Layout - Wp02 - IFA</t>
  </si>
  <si>
    <t>IN-3296</t>
  </si>
  <si>
    <t>Instrument Tubing Tray Layout - Wp02 - AFC</t>
  </si>
  <si>
    <t>IN-3320</t>
  </si>
  <si>
    <t>Instrument Tubing Schedule- Wp02 - IFR</t>
  </si>
  <si>
    <t>IN-3330</t>
  </si>
  <si>
    <t>Instrument Tubing Schedule- Wp02 - IFA</t>
  </si>
  <si>
    <t>IN-3340</t>
  </si>
  <si>
    <t>Instrument Tubing Schedule- Wp02 - AFC</t>
  </si>
  <si>
    <t>IN-3380</t>
  </si>
  <si>
    <t>Instrument Hook-Up Drawings- Wp02 - IFR</t>
  </si>
  <si>
    <t>IN-3390</t>
  </si>
  <si>
    <t>Instrument Hook-Up Drawings- Wp02 - IFA</t>
  </si>
  <si>
    <t>IN-3400</t>
  </si>
  <si>
    <t>Instrument Hook-Up Drawings- Wp02 - AFC</t>
  </si>
  <si>
    <t>IN-3440</t>
  </si>
  <si>
    <t>Instrument Wiring Diagrams (PCS AND SIS/FGS SYSTEM) - Wp02 - IFR</t>
  </si>
  <si>
    <t>IN-3450</t>
  </si>
  <si>
    <t>Instrument Wiring Diagrams (PCS AND SIS/FGS SYSTEM) - Wp02 - IFA</t>
  </si>
  <si>
    <t>IN-3460</t>
  </si>
  <si>
    <t>Instrument Wiring Diagrams (PCS AND SIS/FGS SYSTEM) - Wp02 - AFC</t>
  </si>
  <si>
    <t>IN-3470</t>
  </si>
  <si>
    <t>Instrument Equipment And Explosion Proof Equipment Schedule- Wp02 - IFR</t>
  </si>
  <si>
    <t>IN-3480</t>
  </si>
  <si>
    <t>Instrument Equipment And Explosion Proof Equipment Schedule- Wp02 - IFA</t>
  </si>
  <si>
    <t>IN-3490</t>
  </si>
  <si>
    <t>Instrument Equipment And Explosion Proof Equipment Schedule- Wp02 - AFC</t>
  </si>
  <si>
    <t>IN-3500</t>
  </si>
  <si>
    <t>Fusible Plug And F&amp;G Layout- Wp02 - IFR</t>
  </si>
  <si>
    <t>IN-3510</t>
  </si>
  <si>
    <t>Fusible Plug And F&amp;G Layout- Wp02 - AFC</t>
  </si>
  <si>
    <t>IN-3520</t>
  </si>
  <si>
    <t>Instrument Bulk Material Take Off- Wp02 - IFR</t>
  </si>
  <si>
    <t>IN-3530</t>
  </si>
  <si>
    <t>Instrument Bulk Material Take Off- Wp02 - IFA</t>
  </si>
  <si>
    <t>IN-3540</t>
  </si>
  <si>
    <t>Instrument Bulk Material Take Off- Wp02 - AFC</t>
  </si>
  <si>
    <t>IN-3570</t>
  </si>
  <si>
    <t>Instrument Shiploose List For Offshore Installation- Wp02 - IFR</t>
  </si>
  <si>
    <t>IN-3580</t>
  </si>
  <si>
    <t>Instrument Shiploose List For Offshore Installation- Wp02 - AFC</t>
  </si>
  <si>
    <t>IN-3590</t>
  </si>
  <si>
    <t>Instrument Shiploose List Handover To Company Operation Team- Wp02 - IFR</t>
  </si>
  <si>
    <t>IN-3600</t>
  </si>
  <si>
    <t>Instrument Shiploose List Handover To Company Operation Team- Wp02 - AFC</t>
  </si>
  <si>
    <t>Datasheets-Instrument</t>
  </si>
  <si>
    <t>IN-1350</t>
  </si>
  <si>
    <t>Data Sheets For Supervisory Control And Data Acquisition System (Scada) - IFR</t>
  </si>
  <si>
    <t>IN-1360</t>
  </si>
  <si>
    <t>Data Sheets For Supervisory Control And Data Acquisition System (Scada) - IFA</t>
  </si>
  <si>
    <t>IN-1370</t>
  </si>
  <si>
    <t>Data Sheets For Supervisory Control And Data Acquisition System (Scada) - AFC</t>
  </si>
  <si>
    <t>IN-1630</t>
  </si>
  <si>
    <t>Data Sheets For Whcp-Wp01 - IFR</t>
  </si>
  <si>
    <t>IN-1640</t>
  </si>
  <si>
    <t>Data Sheets For Whcp-Wp01 - IFA</t>
  </si>
  <si>
    <t>IN-1650</t>
  </si>
  <si>
    <t>Data Sheets For Whcp-Wp01 - AFC</t>
  </si>
  <si>
    <t>IN-1660</t>
  </si>
  <si>
    <t>Data Sheet For Control Valves-Wp01 - IFR</t>
  </si>
  <si>
    <t>IN-1670</t>
  </si>
  <si>
    <t>Data Sheet For Control Valves-Wp01 - IFA</t>
  </si>
  <si>
    <t>IN-1680</t>
  </si>
  <si>
    <t>Data Sheet For Control Valves-Wp01 - AFC</t>
  </si>
  <si>
    <t>IN-1690</t>
  </si>
  <si>
    <t>Data Sheet For Self Actuated Pcv-Wp01 - IFR</t>
  </si>
  <si>
    <t>IN-1700</t>
  </si>
  <si>
    <t>Data Sheet For Self Actuated Pcv-Wp01 - IFA</t>
  </si>
  <si>
    <t>IN-1710</t>
  </si>
  <si>
    <t>Data Sheet For Self Actuated Pcv-Wp01 - AFC</t>
  </si>
  <si>
    <t>IN-1720</t>
  </si>
  <si>
    <t>Data Sheet For Actuated Choke Valves-Wp01 - IFR</t>
  </si>
  <si>
    <t>IN-1730</t>
  </si>
  <si>
    <t>Data Sheet For Actuated Choke Valves-Wp01 - IFA</t>
  </si>
  <si>
    <t>IN-1740</t>
  </si>
  <si>
    <t>Data Sheet For Actuated Choke Valves-Wp01 - AFC</t>
  </si>
  <si>
    <t>IN-1750</t>
  </si>
  <si>
    <t>Data Sheets For Actuated Ball Valves-Wp01 - IFR</t>
  </si>
  <si>
    <t>IN-1760</t>
  </si>
  <si>
    <t>Data Sheets For Actuated Ball Valves-Wp01 - IFA</t>
  </si>
  <si>
    <t>IN-1770</t>
  </si>
  <si>
    <t>Data Sheets For Actuated Ball Valves-Wp01 - AFC</t>
  </si>
  <si>
    <t>IN-1780</t>
  </si>
  <si>
    <t>Data Sheet For Actuated Compact Ball Valves-Wp01 - IFR</t>
  </si>
  <si>
    <t>IN-1790</t>
  </si>
  <si>
    <t>Data Sheet For Actuated Compact Ball Valves-Wp01 - IFA</t>
  </si>
  <si>
    <t>IN-1800</t>
  </si>
  <si>
    <t>Data Sheet For Actuated Compact Ball Valves-Wp01 - AFC</t>
  </si>
  <si>
    <t>IN-1810</t>
  </si>
  <si>
    <t>Data Sheet For Safety Relief Valves-Wp01 - IFR</t>
  </si>
  <si>
    <t>IN-1820</t>
  </si>
  <si>
    <t>Data Sheet For Safety Relief Valves-Wp01 - IFA</t>
  </si>
  <si>
    <t>IN-1830</t>
  </si>
  <si>
    <t>Data Sheet For Safety Relief Valves-Wp01 - AFC</t>
  </si>
  <si>
    <t>IN-1840</t>
  </si>
  <si>
    <t>Data Sheet For Coriolis Flow Meters-Wp01 - IFR</t>
  </si>
  <si>
    <t>IN-1850</t>
  </si>
  <si>
    <t>Data Sheet For Coriolis Flow Meters-Wp01 - IFA</t>
  </si>
  <si>
    <t>IN-1860</t>
  </si>
  <si>
    <t>Data Sheet For Coriolis Flow Meters-Wp01 - AFC</t>
  </si>
  <si>
    <t>IN-1870</t>
  </si>
  <si>
    <t>Data Sheets For Vortex Flow Meters-Wp01 - IFR</t>
  </si>
  <si>
    <t>IN-1880</t>
  </si>
  <si>
    <t>Data Sheets For Vortex Flow Meters-Wp01 - IFA</t>
  </si>
  <si>
    <t>IN-1890</t>
  </si>
  <si>
    <t>Data Sheets For Vortex Flow Meters-Wp01 - AFC</t>
  </si>
  <si>
    <t>IN-1900</t>
  </si>
  <si>
    <t>Data Sheets For Flow Switch-Wp01 - IFR</t>
  </si>
  <si>
    <t>IN-1910</t>
  </si>
  <si>
    <t>Data Sheets For Flow Switch-Wp01 - AFC</t>
  </si>
  <si>
    <t>IN-1920</t>
  </si>
  <si>
    <t>Data Sheet For Pressure Gauges-Wp01 - IFR</t>
  </si>
  <si>
    <t>IN-1930</t>
  </si>
  <si>
    <t>Data Sheet For Pressure Gauges-Wp01 - AFC</t>
  </si>
  <si>
    <t>IN-1940</t>
  </si>
  <si>
    <t>Data Sheet For Pressure Transmitters-Wp01 - IFR</t>
  </si>
  <si>
    <t>IN-1950</t>
  </si>
  <si>
    <t>Data Sheet For Pressure Transmitters-Wp01 - AFC</t>
  </si>
  <si>
    <t>IN-1960</t>
  </si>
  <si>
    <t>Data Sheet For Temperature Gauge And Thermowell-Wp01 - IFR</t>
  </si>
  <si>
    <t>IN-1970</t>
  </si>
  <si>
    <t>Data Sheet For Temperature Gauge And Thermowell-Wp01 - AFC</t>
  </si>
  <si>
    <t>IN-1980</t>
  </si>
  <si>
    <t>Data Sheet For Temperature Transmitters And Thermowells-Wp01 - IFR</t>
  </si>
  <si>
    <t>IN-1990</t>
  </si>
  <si>
    <t>Data Sheet For Temperature Transmitters And Thermowells-Wp01 - AFC</t>
  </si>
  <si>
    <t>IN-2000</t>
  </si>
  <si>
    <t>Data Sheets For Magnetic Level Gauge And Transmitters-Wp01 - IFR</t>
  </si>
  <si>
    <t>IN-2010</t>
  </si>
  <si>
    <t>Data Sheets For Magnetic Level Gauge And Transmitters-Wp01 - IFA</t>
  </si>
  <si>
    <t>IN-2020</t>
  </si>
  <si>
    <t>Data Sheets For Magnetic Level Gauge And Transmitters-Wp01 - AFC</t>
  </si>
  <si>
    <t>IN-2030</t>
  </si>
  <si>
    <t>Data Sheet For Dip Tape Level Indicator-Wp01 - IFR</t>
  </si>
  <si>
    <t>IN-2040</t>
  </si>
  <si>
    <t>Data Sheet For Dip Tape Level Indicator-Wp01 - IFA</t>
  </si>
  <si>
    <t>IN-2050</t>
  </si>
  <si>
    <t>Data Sheet For Dip Tape Level Indicator-Wp01 - AFC</t>
  </si>
  <si>
    <t>IN-2060</t>
  </si>
  <si>
    <t>Data Sheets For Level Switch-Wp01 - IFR</t>
  </si>
  <si>
    <t>IN-2070</t>
  </si>
  <si>
    <t>Data Sheets For Level Switch-Wp01 - IFA</t>
  </si>
  <si>
    <t>IN-2080</t>
  </si>
  <si>
    <t>Data Sheets For Level Switch-Wp01 - AFC</t>
  </si>
  <si>
    <t>IN-2090</t>
  </si>
  <si>
    <t>Data Sheets For Dp Level Transmitters-Wp01 - IFR</t>
  </si>
  <si>
    <t>IN-2100</t>
  </si>
  <si>
    <t>Data Sheets For Dp Level Transmitters-Wp01 - AFC</t>
  </si>
  <si>
    <t>IN-2110</t>
  </si>
  <si>
    <t>Data Sheets For Restriction Orifice- Wp01 - IFR</t>
  </si>
  <si>
    <t>IN-2120</t>
  </si>
  <si>
    <t>Data Sheets For Restriction Orifice- Wp01 - AFC</t>
  </si>
  <si>
    <t>IN-2130</t>
  </si>
  <si>
    <t>Data Sheet For Fire &amp; Gas Detectors- Wp01 - IFR</t>
  </si>
  <si>
    <t>IN-2140</t>
  </si>
  <si>
    <t>Data Sheet For Fire &amp; Gas Detectors- Wp01 - IFA</t>
  </si>
  <si>
    <t>IN-2150</t>
  </si>
  <si>
    <t>Data Sheet For Fire &amp; Gas Detectors- Wp01 - AFC</t>
  </si>
  <si>
    <t>IN-2160</t>
  </si>
  <si>
    <t>Data Sheets For Position Limit Switches- Wp01 - IFR</t>
  </si>
  <si>
    <t>IN-2170</t>
  </si>
  <si>
    <t>Data Sheets For Position Limit Switches- Wp01 - IFA</t>
  </si>
  <si>
    <t>IN-2180</t>
  </si>
  <si>
    <t>Data Sheets For Position Limit Switches- Wp01 - AFC</t>
  </si>
  <si>
    <t>IN-2190</t>
  </si>
  <si>
    <t>Data Sheets For Pig Signaller - Wp01 - IFR</t>
  </si>
  <si>
    <t>IN-2200</t>
  </si>
  <si>
    <t>Data Sheets For Pig Signaller - Wp01 - AFC</t>
  </si>
  <si>
    <t>IN-2550</t>
  </si>
  <si>
    <t>Data Sheets For Whcp-Wp02 - IFR</t>
  </si>
  <si>
    <t>IN-2560</t>
  </si>
  <si>
    <t>Data Sheets For Whcp-Wp02 - IFA</t>
  </si>
  <si>
    <t>IN-2570</t>
  </si>
  <si>
    <t>Data Sheets For Whcp-Wp02 - AFC</t>
  </si>
  <si>
    <t>IN-2580</t>
  </si>
  <si>
    <t>Data Sheet For Control Valves-Wp02 - IFR</t>
  </si>
  <si>
    <t>IN-2590</t>
  </si>
  <si>
    <t>Data Sheet For Control Valves-Wp02 - IFA</t>
  </si>
  <si>
    <t>IN-2600</t>
  </si>
  <si>
    <t>Data Sheet For Control Valves-Wp02 - AFC</t>
  </si>
  <si>
    <t>IN-2610</t>
  </si>
  <si>
    <t>Data Sheet For Self Actuated Pcv-Wp02 - IFR</t>
  </si>
  <si>
    <t>IN-2620</t>
  </si>
  <si>
    <t>Data Sheet For Self Actuated Pcv-Wp02 - IFA</t>
  </si>
  <si>
    <t>IN-2630</t>
  </si>
  <si>
    <t>Data Sheet For Self Actuated Pcv-Wp02 - AFC</t>
  </si>
  <si>
    <t>IN-2640</t>
  </si>
  <si>
    <t>Data Sheet For Actuated Choke Valves-Wp02 - IFR</t>
  </si>
  <si>
    <t>IN-2650</t>
  </si>
  <si>
    <t>Data Sheet For Actuated Choke Valves-Wp02 - IFA</t>
  </si>
  <si>
    <t>IN-2660</t>
  </si>
  <si>
    <t>Data Sheet For Actuated Choke Valves-Wp02 - AFC</t>
  </si>
  <si>
    <t>IN-2670</t>
  </si>
  <si>
    <t>Data Sheets For Actuated Ball Valves-Wp02 - IFR</t>
  </si>
  <si>
    <t>IN-2680</t>
  </si>
  <si>
    <t>Data Sheets For Actuated Ball Valves-Wp02 - IFA</t>
  </si>
  <si>
    <t>IN-2690</t>
  </si>
  <si>
    <t>Data Sheets For Actuated Ball Valves-Wp02 - AFC</t>
  </si>
  <si>
    <t>IN-2700</t>
  </si>
  <si>
    <t>Data Sheet For Actuated Compact Ball Valves-Wp02 - IFR</t>
  </si>
  <si>
    <t>IN-2710</t>
  </si>
  <si>
    <t>Data Sheet For Actuated Compact Ball Valves-Wp02 - IFA</t>
  </si>
  <si>
    <t>IN-2720</t>
  </si>
  <si>
    <t>Data Sheet For Actuated Compact Ball Valves-Wp02 - AFC</t>
  </si>
  <si>
    <t>IN-2730</t>
  </si>
  <si>
    <t>Data Sheet For Safety Relief Valves-Wp02 - IFR</t>
  </si>
  <si>
    <t>IN-2740</t>
  </si>
  <si>
    <t>Data Sheet For Safety Relief Valves-Wp02 - IFA</t>
  </si>
  <si>
    <t>IN-2750</t>
  </si>
  <si>
    <t>Data Sheet For Safety Relief Valves-Wp02 - AFC</t>
  </si>
  <si>
    <t>IN-2760</t>
  </si>
  <si>
    <t>Data Sheet For Coriolis Flow Meters-Wp02 - IFR</t>
  </si>
  <si>
    <t>IN-2770</t>
  </si>
  <si>
    <t>Data Sheet For Coriolis Flow Meters-Wp02 - IFA</t>
  </si>
  <si>
    <t>IN-2780</t>
  </si>
  <si>
    <t>Data Sheet For Coriolis Flow Meters-Wp02 - AFC</t>
  </si>
  <si>
    <t>IN-2790</t>
  </si>
  <si>
    <t>Data Sheets For Vortex Flow Meters-Wp02 - IFR</t>
  </si>
  <si>
    <t>IN-2800</t>
  </si>
  <si>
    <t>Data Sheets For Vortex Flow Meters-Wp02 - IFA</t>
  </si>
  <si>
    <t>IN-2810</t>
  </si>
  <si>
    <t>Data Sheets For Vortex Flow Meters-Wp02 - AFC</t>
  </si>
  <si>
    <t>IN-2820</t>
  </si>
  <si>
    <t>Data Sheets For Flow Switch-Wp02 - IFR</t>
  </si>
  <si>
    <t>IN-2830</t>
  </si>
  <si>
    <t>Data Sheets For Flow Switch-Wp02 - AFC</t>
  </si>
  <si>
    <t>IN-2840</t>
  </si>
  <si>
    <t>Data Sheet For Pressure Gauges-Wp02 - IFR</t>
  </si>
  <si>
    <t>IN-2850</t>
  </si>
  <si>
    <t>Data Sheet For Pressure Gauges-Wp02 - AFC</t>
  </si>
  <si>
    <t>IN-2860</t>
  </si>
  <si>
    <t>Data Sheets For Pressure Transmitters-Wp02 - IFR</t>
  </si>
  <si>
    <t>IN-2870</t>
  </si>
  <si>
    <t>Data Sheets For Pressure Transmitters-Wp02 - AFC</t>
  </si>
  <si>
    <t>IN-2880</t>
  </si>
  <si>
    <t>Data Sheet For Temperature Gauge And Thermowell-Wp02 - IFR</t>
  </si>
  <si>
    <t>IN-2890</t>
  </si>
  <si>
    <t>Data Sheet For Temperature Gauge And Thermowell-Wp02 - AFC</t>
  </si>
  <si>
    <t>IN-2900</t>
  </si>
  <si>
    <t>Data Sheet For Temperature Transmitters And Thermowells-Wp02 - IFR</t>
  </si>
  <si>
    <t>IN-2910</t>
  </si>
  <si>
    <t>Data Sheet For Temperature Transmitters And Thermowells-Wp02 - AFC</t>
  </si>
  <si>
    <t>IN-2920</t>
  </si>
  <si>
    <t>Data Sheets For Magnetic Level Gauge And Transmitters-Wp02 - IFR</t>
  </si>
  <si>
    <t>IN-2930</t>
  </si>
  <si>
    <t>Data Sheets For Magnetic Level Gauge And Transmitters-Wp02 - IFA</t>
  </si>
  <si>
    <t>IN-2940</t>
  </si>
  <si>
    <t>Data Sheets For Magnetic Level Gauge And Transmitters-Wp02 - AFC</t>
  </si>
  <si>
    <t>IN-2950</t>
  </si>
  <si>
    <t>Data Sheet For Dip Tape Level Indicator-Wp02 - IFR</t>
  </si>
  <si>
    <t>IN-2960</t>
  </si>
  <si>
    <t>Data Sheet For Dip Tape Level Indicator-Wp02 - IFA</t>
  </si>
  <si>
    <t>IN-2970</t>
  </si>
  <si>
    <t>Data Sheet For Dip Tape Level Indicator-Wp02 - AFC</t>
  </si>
  <si>
    <t>IN-2980</t>
  </si>
  <si>
    <t>Data Sheets For Level Switch-Wp02 - IFR</t>
  </si>
  <si>
    <t>IN-2990</t>
  </si>
  <si>
    <t>Data Sheets For Level Switch-Wp02 - IFA</t>
  </si>
  <si>
    <t>IN-3000</t>
  </si>
  <si>
    <t>Data Sheets For Level Switch-Wp02 - AFC</t>
  </si>
  <si>
    <t>IN-3010</t>
  </si>
  <si>
    <t>Data Sheet For Guided Wave Radar Level Transmitter - Wp02 - IFR</t>
  </si>
  <si>
    <t>IN-3020</t>
  </si>
  <si>
    <t>Data Sheet For Guided Wave Radar Level Transmitter - Wp02 - IFA</t>
  </si>
  <si>
    <t>IN-3030</t>
  </si>
  <si>
    <t>Data Sheet For Guided Wave Radar Level Transmitter - Wp02 - AFC</t>
  </si>
  <si>
    <t>IN-3040</t>
  </si>
  <si>
    <t>Data Sheets For Dp Level Transmitters-Wp02 - IFR</t>
  </si>
  <si>
    <t>IN-3050</t>
  </si>
  <si>
    <t>Data Sheets For Dp Level Transmitters-Wp02 - AFC</t>
  </si>
  <si>
    <t>IN-3060</t>
  </si>
  <si>
    <t>Data Sheets For Restriction Orifice- Wp02 - IFR</t>
  </si>
  <si>
    <t>IN-3070</t>
  </si>
  <si>
    <t>Data Sheets For Restriction Orifice- Wp02 - AFC</t>
  </si>
  <si>
    <t>IN-3080</t>
  </si>
  <si>
    <t>Data Sheet For Fire &amp; Gas Detectors- Wp02 - IFR</t>
  </si>
  <si>
    <t>IN-3090</t>
  </si>
  <si>
    <t>Data Sheet For Fire &amp; Gas Detectors- Wp02 - IFA</t>
  </si>
  <si>
    <t>IN-3100</t>
  </si>
  <si>
    <t>Data Sheet For Fire &amp; Gas Detectors- Wp02 - AFC</t>
  </si>
  <si>
    <t>IN-3110</t>
  </si>
  <si>
    <t>Data Sheets For Position Limit Switches- Wp02 - IFR</t>
  </si>
  <si>
    <t>IN-3120</t>
  </si>
  <si>
    <t>Data Sheets For Position Limit Switches- Wp02 - IFA</t>
  </si>
  <si>
    <t>IN-3130</t>
  </si>
  <si>
    <t>Data Sheets For Position Limit Switches- Wp02 - AFC</t>
  </si>
  <si>
    <t>IN-3140</t>
  </si>
  <si>
    <t>Data Sheet For Oil In Water Analyzer - Wp02 - IFR</t>
  </si>
  <si>
    <t>IN-3150</t>
  </si>
  <si>
    <t>Data Sheet For Oil In Water Analyzer - Wp02 - IFA</t>
  </si>
  <si>
    <t>IN-3160</t>
  </si>
  <si>
    <t>Data Sheet For Oil In Water Analyzer - Wp02 - AFC</t>
  </si>
  <si>
    <t>MR-Instrument</t>
  </si>
  <si>
    <t>IN-3610</t>
  </si>
  <si>
    <t>Material Requisition For Wellhead Control Panel - IFR</t>
  </si>
  <si>
    <t>IN-3620</t>
  </si>
  <si>
    <t>Material Requisition For Wellhead Control Panel - AFC</t>
  </si>
  <si>
    <t>IN-3630</t>
  </si>
  <si>
    <t>Material Requisition For SCADA - IFR</t>
  </si>
  <si>
    <t>IN-3640</t>
  </si>
  <si>
    <t>Material Requisition For SCADA - AFC</t>
  </si>
  <si>
    <t>IN-3650</t>
  </si>
  <si>
    <t>Material Requisition For PLC And SCADA System - IFR</t>
  </si>
  <si>
    <t>IN-3660</t>
  </si>
  <si>
    <t>Material Requisition For PLC And SCADA System - AFC</t>
  </si>
  <si>
    <t>IN-3670</t>
  </si>
  <si>
    <t>Material Requisition For Control Valves - IFR</t>
  </si>
  <si>
    <t>IN-3680</t>
  </si>
  <si>
    <t>Material Requisition For Control Valves - AFC</t>
  </si>
  <si>
    <t>IN-3690</t>
  </si>
  <si>
    <t>Material Requisition For Self Regulator Valves - IFR</t>
  </si>
  <si>
    <t>IN-3700</t>
  </si>
  <si>
    <t>Material Requisition For Self Regulator Valves - AFC</t>
  </si>
  <si>
    <t>IN-3710</t>
  </si>
  <si>
    <t>Material Requisition For Actuated Choke Valves - IFR</t>
  </si>
  <si>
    <t>IN-3720</t>
  </si>
  <si>
    <t>Material Requisition For Actuated Choke Valves - AFC</t>
  </si>
  <si>
    <t>IN-3730</t>
  </si>
  <si>
    <t>Material Requisition For Actuated Ball Valves - IFR</t>
  </si>
  <si>
    <t>IN-3740</t>
  </si>
  <si>
    <t>Material Requisition For Actuated Ball Valves - AFC</t>
  </si>
  <si>
    <t>IN-3750</t>
  </si>
  <si>
    <t>Material Requisition For Actuated Compact Ball Valves - IFR</t>
  </si>
  <si>
    <t>IN-3760</t>
  </si>
  <si>
    <t>Material Requisition For Actuated Compact Ball Valves - AFC</t>
  </si>
  <si>
    <t>IN-3770</t>
  </si>
  <si>
    <t>Material Requisition For Safety Relief Valves - IFR</t>
  </si>
  <si>
    <t>IN-3780</t>
  </si>
  <si>
    <t>Material Requisition For Safety Relief Valves - AFC</t>
  </si>
  <si>
    <t>IN-3790</t>
  </si>
  <si>
    <t>Material Requisition For Coriolis Flow Meters - IFR</t>
  </si>
  <si>
    <t>IN-3800</t>
  </si>
  <si>
    <t>Material Requisition For Coriolis Flow Meters - AFC</t>
  </si>
  <si>
    <t>IN-3810</t>
  </si>
  <si>
    <t>Material Requisition For Vortex Flow Meters - IFR</t>
  </si>
  <si>
    <t>IN-3820</t>
  </si>
  <si>
    <t>Material Requisition For Vortex Flow Meters - AFC</t>
  </si>
  <si>
    <t>IN-3830</t>
  </si>
  <si>
    <t>Material Requisition For Flow Switch - IFR</t>
  </si>
  <si>
    <t>IN-3840</t>
  </si>
  <si>
    <t>Material Requisition For Flow Switch - AFC</t>
  </si>
  <si>
    <t>IN-3850</t>
  </si>
  <si>
    <t>Material Requisition For Pressure Gauges - IFR</t>
  </si>
  <si>
    <t>IN-3860</t>
  </si>
  <si>
    <t>Material Requisition For Pressure Gauges - AFC</t>
  </si>
  <si>
    <t>IN-3870</t>
  </si>
  <si>
    <t>Material Requisition For Pressure Transmitters - IFR</t>
  </si>
  <si>
    <t>IN-3880</t>
  </si>
  <si>
    <t>Material Requisition For Pressure Transmitters - AFC</t>
  </si>
  <si>
    <t>IN-3890</t>
  </si>
  <si>
    <t>Material Requisition For Temperature Gauges - IFR</t>
  </si>
  <si>
    <t>IN-3900</t>
  </si>
  <si>
    <t>Material Requisition For Temperature Gauges - AFC</t>
  </si>
  <si>
    <t>IN-3910</t>
  </si>
  <si>
    <t>Material Requisition For Temperature Transmitters - IFR</t>
  </si>
  <si>
    <t>IN-3920</t>
  </si>
  <si>
    <t>Material Requisition For Temperature Transmitters - AFC</t>
  </si>
  <si>
    <t>IN-3930</t>
  </si>
  <si>
    <t>Material Requisition For Level Gauge And Transmitters - IFR</t>
  </si>
  <si>
    <t>IN-3940</t>
  </si>
  <si>
    <t>Material Requisition For Level Gauge And Transmitters - AFC</t>
  </si>
  <si>
    <t>IN-3950</t>
  </si>
  <si>
    <t>Material Requisition For Dip Tape Level Indicator - IFR</t>
  </si>
  <si>
    <t>IN-3960</t>
  </si>
  <si>
    <t>Material Requisition For Dip Tape Level Indicator - AFC</t>
  </si>
  <si>
    <t>IN-3970</t>
  </si>
  <si>
    <t>Material Requisition For Level Switch - IFR</t>
  </si>
  <si>
    <t>IN-3980</t>
  </si>
  <si>
    <t>Material Requisition For Level Switch - AFC</t>
  </si>
  <si>
    <t>IN-3990</t>
  </si>
  <si>
    <t>Material Requisition For Guided Wave Radar Level Transmitter - IFR</t>
  </si>
  <si>
    <t>IN-4000</t>
  </si>
  <si>
    <t>Material Requisition For Guided Wave Radar Level Transmitter - AFC</t>
  </si>
  <si>
    <t>IN-4010</t>
  </si>
  <si>
    <t>Material Requisition For Dp Level Transmitters - IFR</t>
  </si>
  <si>
    <t>IN-4020</t>
  </si>
  <si>
    <t>Material Requisition For Dp Level Transmitters - AFC</t>
  </si>
  <si>
    <t>IN-4030</t>
  </si>
  <si>
    <t>Material Requisition For Instrument Cables - IFR</t>
  </si>
  <si>
    <t>IN-4040</t>
  </si>
  <si>
    <t>Material Requisition For Instrument Cables - AFC</t>
  </si>
  <si>
    <t>IN-4050</t>
  </si>
  <si>
    <t>Material Requisition For Restriction Orifice - IFR</t>
  </si>
  <si>
    <t>IN-4060</t>
  </si>
  <si>
    <t>Material Requisition For Restriction Orifice - AFC</t>
  </si>
  <si>
    <t>IN-4070</t>
  </si>
  <si>
    <t>Material Requisition For Fire &amp; Gas Detectors - IFR</t>
  </si>
  <si>
    <t>IN-4080</t>
  </si>
  <si>
    <t>Material Requisition For Fire &amp; Gas Detectors - AFC</t>
  </si>
  <si>
    <t>IN-4090</t>
  </si>
  <si>
    <t>Material Requisition For Position Limit Switches - IFR</t>
  </si>
  <si>
    <t>IN-4100</t>
  </si>
  <si>
    <t>Material Requisition For Position Limit Switches - AFC</t>
  </si>
  <si>
    <t>IN-4110</t>
  </si>
  <si>
    <t>Material Requisition For Oil In Water Analyzer - Wp02 - IFR</t>
  </si>
  <si>
    <t>IN-4120</t>
  </si>
  <si>
    <t>Material Requisition For Oil In Water Analyzer - Wp02 - AFC</t>
  </si>
  <si>
    <t>IN-4130</t>
  </si>
  <si>
    <t>Material Requisition For Pig Signaller - IFR</t>
  </si>
  <si>
    <t>IN-4140</t>
  </si>
  <si>
    <t>Material Requisition For Pig Signaller - AFC</t>
  </si>
  <si>
    <t>IN-4150</t>
  </si>
  <si>
    <t>Material Requisition For Instrument Bulk Materials - IFR</t>
  </si>
  <si>
    <t>IN-4160</t>
  </si>
  <si>
    <t>Material Requisition For Instrument Bulk Materials - AFC</t>
  </si>
  <si>
    <t>TBE-Instrument</t>
  </si>
  <si>
    <t>IN-4170</t>
  </si>
  <si>
    <t>Technical Bid Evaluation For SCADA - IFR</t>
  </si>
  <si>
    <t>IN-4180</t>
  </si>
  <si>
    <t>Technical Bid Evaluation For SCADA - AFC</t>
  </si>
  <si>
    <t>IN-4190</t>
  </si>
  <si>
    <t>Technical Bid Evaluation For Wellhead Control Panel - IFR</t>
  </si>
  <si>
    <t>IN-4200</t>
  </si>
  <si>
    <t>Technical Bid Evaluation For Wellhead Control Panel - AFC</t>
  </si>
  <si>
    <t>IN-4210</t>
  </si>
  <si>
    <t>Technical Bid Evaluation For PLC And SCADA System - IFR</t>
  </si>
  <si>
    <t>IN-4220</t>
  </si>
  <si>
    <t>Technical Bid Evaluation For PLC And SCADA System - AFC</t>
  </si>
  <si>
    <t>IN-4230</t>
  </si>
  <si>
    <t>Technical Bid Evaluation For Control Valves - IFR</t>
  </si>
  <si>
    <t>IN-4240</t>
  </si>
  <si>
    <t>Technical Bid Evaluation For Control Valves - AFC</t>
  </si>
  <si>
    <t>IN-4250</t>
  </si>
  <si>
    <t>Technical Bid Evaluation For Self Regulator Valves - IFR</t>
  </si>
  <si>
    <t>IN-4260</t>
  </si>
  <si>
    <t>Technical Bid Evaluation For Self Regulator Valves - AFC</t>
  </si>
  <si>
    <t>IN-4270</t>
  </si>
  <si>
    <t>Technical Bid Evaluation For Actuated Choke Valves - IFR</t>
  </si>
  <si>
    <t>IN-4280</t>
  </si>
  <si>
    <t>Technical Bid Evaluation For Actuated Choke Valves - AFC</t>
  </si>
  <si>
    <t>IN-4290</t>
  </si>
  <si>
    <t>Technical Bid Evaluation For Actuated Ball Valves - IFR</t>
  </si>
  <si>
    <t>IN-4300</t>
  </si>
  <si>
    <t>Technical Bid Evaluation For Actuated Ball Valves - AFC</t>
  </si>
  <si>
    <t>IN-4310</t>
  </si>
  <si>
    <t>Technical Bid Evaluation For Actuated Compact Ball Valves - IFR</t>
  </si>
  <si>
    <t>IN-4320</t>
  </si>
  <si>
    <t>Technical Bid Evaluation For Actuated Compact Ball Valves - AFC</t>
  </si>
  <si>
    <t>IN-4330</t>
  </si>
  <si>
    <t>Technical Bid Evaluation For Safety Relief Valves - IFR</t>
  </si>
  <si>
    <t>IN-4340</t>
  </si>
  <si>
    <t>Technical Bid Evaluation For Safety Relief Valves - AFC</t>
  </si>
  <si>
    <t>IN-4350</t>
  </si>
  <si>
    <t>Technical Bid Evaluation For Coriolis Flow Meters - IFR</t>
  </si>
  <si>
    <t>IN-4360</t>
  </si>
  <si>
    <t>Technical Bid Evaluation For Coriolis Flow Meters - AFC</t>
  </si>
  <si>
    <t>IN-4370</t>
  </si>
  <si>
    <t>Technical Bid Evaluation For Vortex Flow Meters - IFR</t>
  </si>
  <si>
    <t>IN-4380</t>
  </si>
  <si>
    <t>Technical Bid Evaluation For Vortex Flow Meters - AFC</t>
  </si>
  <si>
    <t>IN-4390</t>
  </si>
  <si>
    <t>Technical Bid Evaluation For Flow Switch - IFR</t>
  </si>
  <si>
    <t>IN-4400</t>
  </si>
  <si>
    <t>Technical Bid Evaluation For Flow Switch - AFC</t>
  </si>
  <si>
    <t>IN-4410</t>
  </si>
  <si>
    <t>Technical Bid Evaluation For Pressure Gauges - IFR</t>
  </si>
  <si>
    <t>IN-4420</t>
  </si>
  <si>
    <t>Technical Bid Evaluation For Pressure Gauges - AFC</t>
  </si>
  <si>
    <t>IN-4430</t>
  </si>
  <si>
    <t>Technical Bid Evaluation For Pressure Transmitters - IFR</t>
  </si>
  <si>
    <t>IN-4440</t>
  </si>
  <si>
    <t>Technical Bid Evaluation For Pressure Transmitters - AFC</t>
  </si>
  <si>
    <t>IN-4450</t>
  </si>
  <si>
    <t>Technical Bid Evaluation For Temperature Gauges - IFR</t>
  </si>
  <si>
    <t>IN-4460</t>
  </si>
  <si>
    <t>Technical Bid Evaluation For Temperature Gauges - AFC</t>
  </si>
  <si>
    <t>IN-4470</t>
  </si>
  <si>
    <t>Technical Bid Evaluation For Temperature Transmitters - IFR</t>
  </si>
  <si>
    <t>IN-4480</t>
  </si>
  <si>
    <t>Technical Bid Evaluation For Temperature Transmitters - AFC</t>
  </si>
  <si>
    <t>IN-4490</t>
  </si>
  <si>
    <t>Technical Bid Evaluation For Level Gauge And Transmitters - IFR</t>
  </si>
  <si>
    <t>IN-4500</t>
  </si>
  <si>
    <t>Technical Bid Evaluation For Level Gauge And Transmitters - AFC</t>
  </si>
  <si>
    <t>IN-4510</t>
  </si>
  <si>
    <t>Technical Bid Evaluation For Dip Tape Level Indicator - IFR</t>
  </si>
  <si>
    <t>IN-4520</t>
  </si>
  <si>
    <t>Technical Bid Evaluation For Dip Tape Level Indicator - AFC</t>
  </si>
  <si>
    <t>IN-4530</t>
  </si>
  <si>
    <t>Technical Bid Evaluation For Level Switch - IFR</t>
  </si>
  <si>
    <t>IN-4540</t>
  </si>
  <si>
    <t>Technical Bid Evaluation For Level Switch - AFC</t>
  </si>
  <si>
    <t>IN-4550</t>
  </si>
  <si>
    <t>Technical Bid Evaluation For Guided Wave Radar Level Transmitter - IFR</t>
  </si>
  <si>
    <t>IN-4560</t>
  </si>
  <si>
    <t>Technical Bid Evaluation For Guided Wave Radar Level Transmitter - AFC</t>
  </si>
  <si>
    <t>IN-4570</t>
  </si>
  <si>
    <t>Technical Bid Evaluation For Dp Level Transmitters - IFR</t>
  </si>
  <si>
    <t>IN-4580</t>
  </si>
  <si>
    <t>Technical Bid Evaluation For Dp Level Transmitters - AFC</t>
  </si>
  <si>
    <t>IN-4590</t>
  </si>
  <si>
    <t>Technical Bid Evaluation For Instrument Cables - IFR</t>
  </si>
  <si>
    <t>IN-4600</t>
  </si>
  <si>
    <t>Technical Bid Evaluation For Instrument Cables - AFC</t>
  </si>
  <si>
    <t>IN-4610</t>
  </si>
  <si>
    <t>Technical Bid Evaluation For Restriction Orifice - IFR</t>
  </si>
  <si>
    <t>IN-4620</t>
  </si>
  <si>
    <t>Technical Bid Evaluation For Restriction Orifice - AFC</t>
  </si>
  <si>
    <t>IN-4630</t>
  </si>
  <si>
    <t>Technical Bid Evaluation For Fire &amp; Gas Detectors - IFR</t>
  </si>
  <si>
    <t>IN-4640</t>
  </si>
  <si>
    <t>Technical Bid Evaluation For Fire &amp; Gas Detectors - AFC</t>
  </si>
  <si>
    <t>IN-4650</t>
  </si>
  <si>
    <t>Technical Bid Evaluation For Position Limit Switches - IFR</t>
  </si>
  <si>
    <t>IN-4660</t>
  </si>
  <si>
    <t>Technical Bid Evaluation For Position Limit Switches - AFC</t>
  </si>
  <si>
    <t>IN-4670</t>
  </si>
  <si>
    <t>Technical Bid Evaluation For Oil In Water Analyzer - IFR</t>
  </si>
  <si>
    <t>IN-4680</t>
  </si>
  <si>
    <t>Technical Bid Evaluation For Oil In Water Analyzer - AFC</t>
  </si>
  <si>
    <t>IN-4690</t>
  </si>
  <si>
    <t>Technical Bid Evaluation For Pig Signaller - IFR</t>
  </si>
  <si>
    <t>IN-4700</t>
  </si>
  <si>
    <t>Technical Bid Evaluation For Pig Signaller - AFC</t>
  </si>
  <si>
    <t>IN-4710</t>
  </si>
  <si>
    <t>Technical Bid Evaluation For Instrument Bulk Materials - IFR</t>
  </si>
  <si>
    <t>IN-4720</t>
  </si>
  <si>
    <t>Technical Bid Evaluation For Instrument Bulk Materials - AFC</t>
  </si>
  <si>
    <t>TELECOMMUNICATIONENGINEERING</t>
  </si>
  <si>
    <t>TE-1000</t>
  </si>
  <si>
    <t>Telecommunication Basis Of Design - IFR</t>
  </si>
  <si>
    <t>TE-1010</t>
  </si>
  <si>
    <t>Telecommunication Basis Of Design - IFA</t>
  </si>
  <si>
    <t>TE-1020</t>
  </si>
  <si>
    <t>Telecommunication Basis Of Design - AFC</t>
  </si>
  <si>
    <t>TE-1030</t>
  </si>
  <si>
    <t>Whp Telecommunication System Philosophy - IFR</t>
  </si>
  <si>
    <t>TE-1040</t>
  </si>
  <si>
    <t>Whp Telecommunication System Philosophy - IFA</t>
  </si>
  <si>
    <t>TE-1050</t>
  </si>
  <si>
    <t>Whp Telecommunication System Philosophy - AFC</t>
  </si>
  <si>
    <t>TE-1060</t>
  </si>
  <si>
    <t>Project Specification For Telecommunication Package - IFR</t>
  </si>
  <si>
    <t>TE-1070</t>
  </si>
  <si>
    <t>Project Specification For Telecommunication Package - AFC</t>
  </si>
  <si>
    <t>TE-1080</t>
  </si>
  <si>
    <t>Project  Specification For Marine Racon - IFR</t>
  </si>
  <si>
    <t>TE-1090</t>
  </si>
  <si>
    <t>Project  Specification For Marine Racon - AFC</t>
  </si>
  <si>
    <t>TE-1100</t>
  </si>
  <si>
    <t>Vsat Location Options And Selection Report - IFR</t>
  </si>
  <si>
    <t>TE-1110</t>
  </si>
  <si>
    <t>Vsat Location Options And Selection Report - IFA</t>
  </si>
  <si>
    <t>TE-1120</t>
  </si>
  <si>
    <t>Vsat Location Options And Selection Report - AFC</t>
  </si>
  <si>
    <t>TE-1130</t>
  </si>
  <si>
    <t>Design Report For Communication Links - IFR</t>
  </si>
  <si>
    <t>TE-1140</t>
  </si>
  <si>
    <t>Design Report For Communication Links - IFA</t>
  </si>
  <si>
    <t>TE-1150</t>
  </si>
  <si>
    <t>Design Report For Communication Links - AFC</t>
  </si>
  <si>
    <t>TE-1160</t>
  </si>
  <si>
    <t>Design Report For Overall Transmission Media Requirements - IFR</t>
  </si>
  <si>
    <t>TE-1170</t>
  </si>
  <si>
    <t>Design Report For Overall Transmission Media Requirements - IFA</t>
  </si>
  <si>
    <t>TE-1180</t>
  </si>
  <si>
    <t>Design Report For Overall Transmission Media Requirements - AFC</t>
  </si>
  <si>
    <t>TE-1190</t>
  </si>
  <si>
    <t>Design Report For Telecommunication  Equipment On Whp'S Safety Zone With Fire And Explosion Risk Analysis - IFR</t>
  </si>
  <si>
    <t>TE-1200</t>
  </si>
  <si>
    <t>Design Report For Telecommunication  Equipment On Whp'S Safety Zone With Fire And Explosion Risk Analysis - IFA</t>
  </si>
  <si>
    <t>TE-1210</t>
  </si>
  <si>
    <t>Design Report For Telecommunication  Equipment On Whp'S Safety Zone With Fire And Explosion Risk Analysis - AFC</t>
  </si>
  <si>
    <t>TE-1220</t>
  </si>
  <si>
    <t>Telecommuniction Equipment And Ex-Certificates List - IFR</t>
  </si>
  <si>
    <t>TE-1230</t>
  </si>
  <si>
    <t>Telecommuniction Equipment And Ex-Certificates List - IFA</t>
  </si>
  <si>
    <t>TE-1240</t>
  </si>
  <si>
    <t>Telecommuniction Equipment And Ex-Certificates List - AFC</t>
  </si>
  <si>
    <t>TE-1250</t>
  </si>
  <si>
    <t>Overall Telecommunication System Block Diagram - IFR</t>
  </si>
  <si>
    <t>TE-1260</t>
  </si>
  <si>
    <t>Overall Telecommunication System Block Diagram - IFA</t>
  </si>
  <si>
    <t>TE-1270</t>
  </si>
  <si>
    <t>Overall Telecommunication System Block Diagram - AFC</t>
  </si>
  <si>
    <t>TE-1490</t>
  </si>
  <si>
    <t>Telecommuniction Document Index - Wp01 - IFR</t>
  </si>
  <si>
    <t>TE-1500</t>
  </si>
  <si>
    <t>Telecommuniction Document Index - Wp01 - IFA</t>
  </si>
  <si>
    <t>TE-1510</t>
  </si>
  <si>
    <t>Telecommuniction Document Index - Wp01 - AFC</t>
  </si>
  <si>
    <t>TE-1520</t>
  </si>
  <si>
    <t>Telecommuniction Equipment List - Wp01 - IFR</t>
  </si>
  <si>
    <t>TE-1530</t>
  </si>
  <si>
    <t>Telecommuniction Equipment List - Wp01 - IFA</t>
  </si>
  <si>
    <t>TE-1540</t>
  </si>
  <si>
    <t>Telecommuniction Equipment List - Wp01 - AFC</t>
  </si>
  <si>
    <t>TE-1550</t>
  </si>
  <si>
    <t>Telecommuniction Cable Schedule - Wp01 - IFR</t>
  </si>
  <si>
    <t>TE-1560</t>
  </si>
  <si>
    <t>Telecommuniction Cable Schedule - Wp01 - IFA</t>
  </si>
  <si>
    <t>TE-1570</t>
  </si>
  <si>
    <t>Telecommuniction Cable Schedule - Wp01 - AFC</t>
  </si>
  <si>
    <t>TE-1580</t>
  </si>
  <si>
    <t>Telecommuniction Power Cpnstruction And Heat Dissipation List - Wp01 - IFR</t>
  </si>
  <si>
    <t>TE-1590</t>
  </si>
  <si>
    <t>Telecommuniction Power Cpnstruction And Heat Dissipation List - Wp01 - IFA</t>
  </si>
  <si>
    <t>TE-1600</t>
  </si>
  <si>
    <t>Telecommuniction Power Cpnstruction And Heat Dissipation List - Wp01 - AFC</t>
  </si>
  <si>
    <t>TE-1610</t>
  </si>
  <si>
    <t>Telecommuniction Bulk Material Take -Off - Wp01 - IFR</t>
  </si>
  <si>
    <t>TE-1620</t>
  </si>
  <si>
    <t>Telecommuniction Bulk Material Take -Off - Wp01 - IFA</t>
  </si>
  <si>
    <t>TE-1630</t>
  </si>
  <si>
    <t>Telecommuniction Bulk Material Take -Off - Wp01 - AFC</t>
  </si>
  <si>
    <t>TE-1850</t>
  </si>
  <si>
    <t>Telecommuniction Document Index - Wp02 - IFR</t>
  </si>
  <si>
    <t>TE-1860</t>
  </si>
  <si>
    <t>Telecommuniction Document Index - Wp02 - IFA</t>
  </si>
  <si>
    <t>TE-1870</t>
  </si>
  <si>
    <t>Telecommuniction Document Index - Wp02 - AFC</t>
  </si>
  <si>
    <t>TE-1880</t>
  </si>
  <si>
    <t>Telecommuniction Equipment List - Wp02 - IFR</t>
  </si>
  <si>
    <t>TE-1890</t>
  </si>
  <si>
    <t>Telecommuniction Equipment List - Wp02 - IFA</t>
  </si>
  <si>
    <t>TE-1900</t>
  </si>
  <si>
    <t>Telecommuniction Equipment List - Wp02 - AFC</t>
  </si>
  <si>
    <t>TE-1910</t>
  </si>
  <si>
    <t>Telecommuniction Cable Schedule - Wp02 - IFR</t>
  </si>
  <si>
    <t>TE-1920</t>
  </si>
  <si>
    <t>Telecommuniction Cable Schedule - Wp02 - IFA</t>
  </si>
  <si>
    <t>TE-1930</t>
  </si>
  <si>
    <t>Telecommuniction Cable Schedule - Wp02 - AFC</t>
  </si>
  <si>
    <t>TE-1940</t>
  </si>
  <si>
    <t>Telecommuniction Power Cpnstruction And Heat Dissipation List - Wp02 - IFR</t>
  </si>
  <si>
    <t>TE-1950</t>
  </si>
  <si>
    <t>Telecommuniction Power Cpnstruction And Heat Dissipation List - Wp02 - IFA</t>
  </si>
  <si>
    <t>TE-1960</t>
  </si>
  <si>
    <t>Telecommuniction Power Cpnstruction And Heat Dissipation List - Wp02 - AFC</t>
  </si>
  <si>
    <t>TE-1970</t>
  </si>
  <si>
    <t>Telecommuniction Bulk Material Take -Off - Wp02 - IFR</t>
  </si>
  <si>
    <t>TE-1980</t>
  </si>
  <si>
    <t>Telecommuniction Bulk Material Take -Off - Wp02 - IFA</t>
  </si>
  <si>
    <t>TE-1990</t>
  </si>
  <si>
    <t>Telecommuniction Bulk Material Take -Off - Wp02 - AFC</t>
  </si>
  <si>
    <t>TE-2000</t>
  </si>
  <si>
    <t>Telecommuniction Drawing Index - Wp01 - IFR</t>
  </si>
  <si>
    <t>TE-2010</t>
  </si>
  <si>
    <t>Telecommuniction Drawing Index - Wp01 - IFA</t>
  </si>
  <si>
    <t>TE-2020</t>
  </si>
  <si>
    <t>Telecommuniction Drawing Index - Wp01 - AFC</t>
  </si>
  <si>
    <t>TE-2030</t>
  </si>
  <si>
    <t>Telecommuniction System Block Diagram - Wp01 - IFR</t>
  </si>
  <si>
    <t>TE-2040</t>
  </si>
  <si>
    <t>Telecommuniction System Block Diagram - Wp01 - IFA</t>
  </si>
  <si>
    <t>TE-2050</t>
  </si>
  <si>
    <t>Telecommuniction System Block Diagram - Wp01 - AFC</t>
  </si>
  <si>
    <t>TE-2060</t>
  </si>
  <si>
    <t>Telecommuniction Equipment Layout - Wp01 - IFR</t>
  </si>
  <si>
    <t>TE-2070</t>
  </si>
  <si>
    <t>Telecommuniction Equipment Layout - Wp01 - IFA</t>
  </si>
  <si>
    <t>TE-2080</t>
  </si>
  <si>
    <t>Telecommuniction Equipment Layout - Wp01 - AFC</t>
  </si>
  <si>
    <t>TE-2090</t>
  </si>
  <si>
    <t>Telecommuniction Cable  Routing Plan - Wp01 - IFR</t>
  </si>
  <si>
    <t>TE-2100</t>
  </si>
  <si>
    <t>Telecommuniction Cable  Routing Plan - Wp01 - IFA</t>
  </si>
  <si>
    <t>TE-2110</t>
  </si>
  <si>
    <t>Telecommuniction Cable  Routing Plan - Wp01 - AFC</t>
  </si>
  <si>
    <t>TE-2120</t>
  </si>
  <si>
    <t>Telecommuniction Schematic Diagram - Wp01 - IFR</t>
  </si>
  <si>
    <t>TE-2130</t>
  </si>
  <si>
    <t>Telecommuniction Schematic Diagram - Wp01 - IFA</t>
  </si>
  <si>
    <t>TE-2140</t>
  </si>
  <si>
    <t>Telecommuniction Schematic Diagram - Wp01 - AFC</t>
  </si>
  <si>
    <t>TE-2150</t>
  </si>
  <si>
    <t>Telecommuniction System Wiring Diagram - Wp01 - IFR</t>
  </si>
  <si>
    <t>TE-2160</t>
  </si>
  <si>
    <t>Telecommuniction System Wiring Diagram - Wp01 - IFA</t>
  </si>
  <si>
    <t>TE-2170</t>
  </si>
  <si>
    <t>Telecommuniction System Wiring Diagram - Wp01 - AFC</t>
  </si>
  <si>
    <t>TE-2180</t>
  </si>
  <si>
    <t>Telecommuniction Installation And Mounting Detail - Wp01 - IFR</t>
  </si>
  <si>
    <t>TE-2190</t>
  </si>
  <si>
    <t>Telecommuniction Installation And Mounting Detail - Wp01 - IFA</t>
  </si>
  <si>
    <t>TE-2200</t>
  </si>
  <si>
    <t>Telecommuniction Installation And Mounting Detail - Wp01 - AFC</t>
  </si>
  <si>
    <t>TE-2210</t>
  </si>
  <si>
    <t>Telecommuniction Drawing Index - Wp02 - IFR</t>
  </si>
  <si>
    <t>TE-2220</t>
  </si>
  <si>
    <t>Telecommuniction Drawing Index - Wp02 - IFA</t>
  </si>
  <si>
    <t>TE-2230</t>
  </si>
  <si>
    <t>Telecommuniction Drawing Index - Wp02 - AFC</t>
  </si>
  <si>
    <t>TE-2240</t>
  </si>
  <si>
    <t>Telecommuniction System Block Diagram - Wp02 - IFR</t>
  </si>
  <si>
    <t>TE-2250</t>
  </si>
  <si>
    <t>Telecommuniction System Block Diagram - Wp02 - IFA</t>
  </si>
  <si>
    <t>TE-2260</t>
  </si>
  <si>
    <t>Telecommuniction System Block Diagram - Wp02 - AFC</t>
  </si>
  <si>
    <t>TE-2270</t>
  </si>
  <si>
    <t>Telecommuniction Equipment Layout - Wp02 - IFR</t>
  </si>
  <si>
    <t>TE-2280</t>
  </si>
  <si>
    <t>Telecommuniction Equipment Layout - Wp02 - IFA</t>
  </si>
  <si>
    <t>TE-2290</t>
  </si>
  <si>
    <t>Telecommuniction Equipment Layout - Wp02 - AFC</t>
  </si>
  <si>
    <t>TE-2300</t>
  </si>
  <si>
    <t>Telecommuniction Cable  Routing Plan - Wp02 - IFR</t>
  </si>
  <si>
    <t>TE-2310</t>
  </si>
  <si>
    <t>Telecommuniction Cable  Routing Plan - Wp02 - IFA</t>
  </si>
  <si>
    <t>TE-2320</t>
  </si>
  <si>
    <t>Telecommuniction Cable  Routing Plan - Wp02 - AFC</t>
  </si>
  <si>
    <t>TE-2330</t>
  </si>
  <si>
    <t>Telecommuniction Schematic Diagram - Wp02 - IFR</t>
  </si>
  <si>
    <t>TE-2340</t>
  </si>
  <si>
    <t>Telecommuniction Schematic Diagram - Wp02 - IFA</t>
  </si>
  <si>
    <t>TE-2350</t>
  </si>
  <si>
    <t>Telecommuniction Schematic Diagram - Wp02 - AFC</t>
  </si>
  <si>
    <t>TE-2360</t>
  </si>
  <si>
    <t>Telecommuniction System Wiring Diagram - Wp02 - IFR</t>
  </si>
  <si>
    <t>TE-2370</t>
  </si>
  <si>
    <t>Telecommuniction System Wiring Diagram - Wp02 - IFA</t>
  </si>
  <si>
    <t>TE-2380</t>
  </si>
  <si>
    <t>Telecommuniction System Wiring Diagram - Wp02 - AFC</t>
  </si>
  <si>
    <t>TE-2390</t>
  </si>
  <si>
    <t>Telecommuniction Installation And Mounting Detail - Wp02 - IFR</t>
  </si>
  <si>
    <t>TE-2400</t>
  </si>
  <si>
    <t>Telecommuniction Installation And Mounting Detail - Wp02 - IFA</t>
  </si>
  <si>
    <t>TE-2410</t>
  </si>
  <si>
    <t>Telecommuniction Installation And Mounting Detail - Wp02 - AFC</t>
  </si>
  <si>
    <t>TE-2550</t>
  </si>
  <si>
    <t>Telecommunication Shiploose List For Offshore Installation - IFR</t>
  </si>
  <si>
    <t>TE-2560</t>
  </si>
  <si>
    <t>Telecommunication Shiploose List For Offshore Installation - AFC</t>
  </si>
  <si>
    <t>TE-2570</t>
  </si>
  <si>
    <t>Telecommunication Shiploose List Handover To Company Operation Team - IFR</t>
  </si>
  <si>
    <t>TE-2580</t>
  </si>
  <si>
    <t>Telecommunication Shiploose List Handover To Company Operation Team - AFC</t>
  </si>
  <si>
    <t>Datasheets-Telecommunication</t>
  </si>
  <si>
    <t>TE-1280</t>
  </si>
  <si>
    <t>Data Sheet For Wimax Radio - Wp01 - IFR</t>
  </si>
  <si>
    <t>TE-1290</t>
  </si>
  <si>
    <t>Data Sheet For Wimax Radio - Wp01 - IFA</t>
  </si>
  <si>
    <t>TE-1300</t>
  </si>
  <si>
    <t>Data Sheet For Wimax Radio - Wp01 - AFC</t>
  </si>
  <si>
    <t>TE-1310</t>
  </si>
  <si>
    <t>Data Sheet For  Radar  Beacon - Wp01 - IFR</t>
  </si>
  <si>
    <t>TE-1320</t>
  </si>
  <si>
    <t>Data Sheet For  Radar  Beacon - Wp01 - IFA</t>
  </si>
  <si>
    <t>TE-1330</t>
  </si>
  <si>
    <t>Data Sheet For  Radar  Beacon - Wp01 - AFC</t>
  </si>
  <si>
    <t>TE-1340</t>
  </si>
  <si>
    <t>Data Sheet For  Automatic Identification System - Wp01 - IFR</t>
  </si>
  <si>
    <t>TE-1350</t>
  </si>
  <si>
    <t>Data Sheet For  Automatic Identification System - Wp01 - IFA</t>
  </si>
  <si>
    <t>TE-1360</t>
  </si>
  <si>
    <t>Data Sheet For  Automatic Identification System - Wp01 - AFC</t>
  </si>
  <si>
    <t>TE-1370</t>
  </si>
  <si>
    <t>Data Sheet For  Vhf-Dmr - Wp01 - IFR</t>
  </si>
  <si>
    <t>TE-1380</t>
  </si>
  <si>
    <t>Data Sheet For  Vhf-Dmr - Wp01 - IFA</t>
  </si>
  <si>
    <t>TE-1390</t>
  </si>
  <si>
    <t>Data Sheet For  Vhf-Dmr - Wp01 - AFC</t>
  </si>
  <si>
    <t>TE-1400</t>
  </si>
  <si>
    <t>Data Sheet For  Vhf-Fm - Wp01 - IFR</t>
  </si>
  <si>
    <t>TE-1410</t>
  </si>
  <si>
    <t>Data Sheet For  Vhf-Fm - Wp01 - IFA</t>
  </si>
  <si>
    <t>TE-1420</t>
  </si>
  <si>
    <t>Data Sheet For  Vhf-Fm - Wp01 - AFC</t>
  </si>
  <si>
    <t>TE-1430</t>
  </si>
  <si>
    <t>Data Sheet For  Telephone - Wp01 - IFR</t>
  </si>
  <si>
    <t>TE-1440</t>
  </si>
  <si>
    <t>Data Sheet For  Telephone - Wp01 - IFA</t>
  </si>
  <si>
    <t>TE-1450</t>
  </si>
  <si>
    <t>Data Sheet For  Telephone - Wp01 - AFC</t>
  </si>
  <si>
    <t>TE-1460</t>
  </si>
  <si>
    <t>Data Sheet For  Bulk Material - Wp01 - IFR</t>
  </si>
  <si>
    <t>TE-1470</t>
  </si>
  <si>
    <t>Data Sheet For  Bulk Material - Wp01 - IFA</t>
  </si>
  <si>
    <t>TE-1480</t>
  </si>
  <si>
    <t>Data Sheet For  Bulk Material - Wp01 - AFC</t>
  </si>
  <si>
    <t>TE-1640</t>
  </si>
  <si>
    <t>Data Sheet For Wimax Radio - Wp02 - IFR</t>
  </si>
  <si>
    <t>TE-1650</t>
  </si>
  <si>
    <t>Data Sheet For Wimax Radio - Wp02 - IFA</t>
  </si>
  <si>
    <t>TE-1660</t>
  </si>
  <si>
    <t>Data Sheet For Wimax Radio - Wp02 - AFC</t>
  </si>
  <si>
    <t>TE-1670</t>
  </si>
  <si>
    <t>Data Sheet For  Radar  Beacon - Wp02 - IFR</t>
  </si>
  <si>
    <t>TE-1680</t>
  </si>
  <si>
    <t>Data Sheet For  Radar  Beacon - Wp02 - IFA</t>
  </si>
  <si>
    <t>TE-1690</t>
  </si>
  <si>
    <t>Data Sheet For  Radar  Beacon - Wp02 - AFC</t>
  </si>
  <si>
    <t>TE-1700</t>
  </si>
  <si>
    <t>Data Sheet For  Automatic Identification System - Wp02 - IFR</t>
  </si>
  <si>
    <t>TE-1710</t>
  </si>
  <si>
    <t>Data Sheet For  Automatic Identification System - Wp02 - IFA</t>
  </si>
  <si>
    <t>TE-1720</t>
  </si>
  <si>
    <t>Data Sheet For  Automatic Identification System - Wp02 - AFC</t>
  </si>
  <si>
    <t>TE-1730</t>
  </si>
  <si>
    <t>Data Sheet For  Vhf-Dmr - Wp02 - IFR</t>
  </si>
  <si>
    <t>TE-1740</t>
  </si>
  <si>
    <t>Data Sheet For  Vhf-Dmr - Wp02 - IFA</t>
  </si>
  <si>
    <t>TE-1750</t>
  </si>
  <si>
    <t>Data Sheet For  Vhf-Dmr - Wp02 - AFC</t>
  </si>
  <si>
    <t>TE-1760</t>
  </si>
  <si>
    <t>Data Sheet For  Vhf-Fm - Wp02 - IFR</t>
  </si>
  <si>
    <t>TE-1770</t>
  </si>
  <si>
    <t>Data Sheet For  Vhf-Fm - Wp02 - IFA</t>
  </si>
  <si>
    <t>TE-1780</t>
  </si>
  <si>
    <t>Data Sheet For  Vhf-Fm - Wp02 - AFC</t>
  </si>
  <si>
    <t>TE-1790</t>
  </si>
  <si>
    <t>Data Sheet For  Telephone - Wp02 - IFR</t>
  </si>
  <si>
    <t>TE-1800</t>
  </si>
  <si>
    <t>Data Sheet For  Telephone - Wp02 - IFA</t>
  </si>
  <si>
    <t>TE-1810</t>
  </si>
  <si>
    <t>Data Sheet For  Telephone - Wp02 - AFC</t>
  </si>
  <si>
    <t>TE-1820</t>
  </si>
  <si>
    <t>Data Sheet For  Bulk Material - Wp02 - IFR</t>
  </si>
  <si>
    <t>TE-1830</t>
  </si>
  <si>
    <t>Data Sheet For  Bulk Material - Wp02 - IFA</t>
  </si>
  <si>
    <t>TE-1840</t>
  </si>
  <si>
    <t>Data Sheet For  Bulk Material - Wp02 - AFC</t>
  </si>
  <si>
    <t>MR-Telecommunication</t>
  </si>
  <si>
    <t>TE-2420</t>
  </si>
  <si>
    <t>Material Requisition For Telecommunication System - IFR</t>
  </si>
  <si>
    <t>TE-2430</t>
  </si>
  <si>
    <t>Material Requisition For Telecommunication System - IFA</t>
  </si>
  <si>
    <t>TE-2440</t>
  </si>
  <si>
    <t>Material Requisition For Telecommunication System - AFC</t>
  </si>
  <si>
    <t>TE-2450</t>
  </si>
  <si>
    <t>Material Requisition For Marine Racon (Racon) - IFR</t>
  </si>
  <si>
    <t>TE-2460</t>
  </si>
  <si>
    <t>Material Requisition For Marine Racon (Racon) - AFC</t>
  </si>
  <si>
    <t>TE-2470</t>
  </si>
  <si>
    <t>Material Requisition For For Telecommunication Bulk Material - IFR</t>
  </si>
  <si>
    <t>TE-2480</t>
  </si>
  <si>
    <t>Material Requisition For For Telecommunication Bulk Material - AFC</t>
  </si>
  <si>
    <t>TBE-Telecommunication</t>
  </si>
  <si>
    <t>TE-2490</t>
  </si>
  <si>
    <t>Technical Bid Evaluation For Telecommunication System - IFR</t>
  </si>
  <si>
    <t>TE-2500</t>
  </si>
  <si>
    <t>Technical Bid Evaluation For Telecommunication System - AFC</t>
  </si>
  <si>
    <t>TE-2510</t>
  </si>
  <si>
    <t>Technical Bid Evaluation For Marine Racon (Racon) - IFR</t>
  </si>
  <si>
    <t>TE-2520</t>
  </si>
  <si>
    <t>Technical Bid Evaluation For Marine Racon (Racon) - AFC</t>
  </si>
  <si>
    <t>TE-2530</t>
  </si>
  <si>
    <t>Technical Bid Evaluation For Telecommunication Bulk Material - IFR</t>
  </si>
  <si>
    <t>TE-2540</t>
  </si>
  <si>
    <t>Technical Bid Evaluation For Telecommunication Bulk Material - AFC</t>
  </si>
  <si>
    <t>SAFETY</t>
  </si>
  <si>
    <t>SF-1000</t>
  </si>
  <si>
    <t>Safety Security Health and Environment Concept (SSHE) (Offshore) - IFR</t>
  </si>
  <si>
    <t>SF-1010</t>
  </si>
  <si>
    <t>Safety Security Health and Environment Concept (SSHE) (Offshore) - IFA</t>
  </si>
  <si>
    <t>SF-1020</t>
  </si>
  <si>
    <t>Safety Security Health and Environment Concept (SSHE) (Offshore) - AFC</t>
  </si>
  <si>
    <t>SF-1030</t>
  </si>
  <si>
    <t>FERA and QRA Assumption Register - IFR</t>
  </si>
  <si>
    <t>SF-1040</t>
  </si>
  <si>
    <t>FERA and QRA Assumption Register - AFC</t>
  </si>
  <si>
    <t>SF-1050</t>
  </si>
  <si>
    <t>Reliability, Availability and Maintainability (RAM) Study Assumption Register - IFR</t>
  </si>
  <si>
    <t>SF-1060</t>
  </si>
  <si>
    <t>Reliability, Availability and Maintainability (RAM) Study Assumption Register - AFC</t>
  </si>
  <si>
    <t>SF-1070</t>
  </si>
  <si>
    <t>Reliability, Availability and Maintainability (RAM) Study Report (for WHP) - IFR</t>
  </si>
  <si>
    <t>SF-1080</t>
  </si>
  <si>
    <t>Reliability, Availability and Maintainability (RAM) Study Report (for WHP) - AFC</t>
  </si>
  <si>
    <t>SF-1090</t>
  </si>
  <si>
    <t>HAZID TOR (Offshore) - IFR</t>
  </si>
  <si>
    <t>SF-1100</t>
  </si>
  <si>
    <t>HAZID TOR (Offshore) - AFC</t>
  </si>
  <si>
    <t>SF-1110</t>
  </si>
  <si>
    <t>HAZID Report (Offshore) - IFR</t>
  </si>
  <si>
    <t>SF-1120</t>
  </si>
  <si>
    <t>HAZID Report (Offshore) - AFC</t>
  </si>
  <si>
    <t>SF-1121</t>
  </si>
  <si>
    <t>HAZID Closed Out Report - IFI</t>
  </si>
  <si>
    <t>SF-1130</t>
  </si>
  <si>
    <t>HAZOP TOR (Offshore) - IFR</t>
  </si>
  <si>
    <t>SF-1140</t>
  </si>
  <si>
    <t>HAZOP TOR (Offshore) - AFC</t>
  </si>
  <si>
    <t>SF-1150</t>
  </si>
  <si>
    <t>HAZOP Report (Offshore) - IFR</t>
  </si>
  <si>
    <t>SF-1160</t>
  </si>
  <si>
    <t>HAZOP Report (Offshore) - AFC</t>
  </si>
  <si>
    <t>SF-1161</t>
  </si>
  <si>
    <t>HAZOP Closed Out Report - IFI</t>
  </si>
  <si>
    <t>SF-1170</t>
  </si>
  <si>
    <t>SIL TOR (Offshore) - IFR</t>
  </si>
  <si>
    <t>SF-1180</t>
  </si>
  <si>
    <t>SIL TOR (Offshore) - AFC</t>
  </si>
  <si>
    <t>SF-1190</t>
  </si>
  <si>
    <t>SIL Classification Report (Offshore) - IFR</t>
  </si>
  <si>
    <t>SF-1200</t>
  </si>
  <si>
    <t>SIL Classification Report (Offshore) - AFC</t>
  </si>
  <si>
    <t>SF-1210</t>
  </si>
  <si>
    <t>SIL Verification (Offshore) - IFR</t>
  </si>
  <si>
    <t>SF-1220</t>
  </si>
  <si>
    <t>SIL Verification (Offshore) - IFA</t>
  </si>
  <si>
    <t>SF-1230</t>
  </si>
  <si>
    <t>SIL Verification (Offshore) - AFC</t>
  </si>
  <si>
    <t>SF-1231</t>
  </si>
  <si>
    <t>SIL Closed Out Report - IFI</t>
  </si>
  <si>
    <t>SF-1240</t>
  </si>
  <si>
    <t>ALARP Study TOR (Offshore) - IFR</t>
  </si>
  <si>
    <t>SF-1250</t>
  </si>
  <si>
    <t>ALARP Study TOR (Offshore) - AFC</t>
  </si>
  <si>
    <t>SF-1260</t>
  </si>
  <si>
    <t>ALARP Study Report (Offshore) - IFR</t>
  </si>
  <si>
    <t>SF-1270</t>
  </si>
  <si>
    <t>ALARP Study Report (Offshore) - AFC</t>
  </si>
  <si>
    <t>SF-1280</t>
  </si>
  <si>
    <t>Vent Dispersion &amp; Thermal Radiation Study - IFR</t>
  </si>
  <si>
    <t>SF-1290</t>
  </si>
  <si>
    <t>Vent Dispersion &amp; Thermal Radiation Study - IFA</t>
  </si>
  <si>
    <t>SF-1300</t>
  </si>
  <si>
    <t>Vent Dispersion &amp; Thermal Radiation Study - AFC</t>
  </si>
  <si>
    <t>SF-1310</t>
  </si>
  <si>
    <t>Dropped Object Study (DOS) (Topside &amp; associate Pipelines) - IFR</t>
  </si>
  <si>
    <t>SF-1320</t>
  </si>
  <si>
    <t>Dropped Object Study (DOS) (Topside &amp; associate Pipelines) - IFA</t>
  </si>
  <si>
    <t>SF-1330</t>
  </si>
  <si>
    <t>Dropped Object Study (DOS) (Topside &amp; associate Pipelines) - AFC</t>
  </si>
  <si>
    <t>SF-1340</t>
  </si>
  <si>
    <t>Fire and Explosion Risk Analysis Report (FERA) - IFR</t>
  </si>
  <si>
    <t>SF-1350</t>
  </si>
  <si>
    <t>Fire and Explosion Risk Analysis Report (FERA) - IFA</t>
  </si>
  <si>
    <t>SF-1360</t>
  </si>
  <si>
    <t>Fire and Explosion Risk Analysis Report (FERA) - AFC</t>
  </si>
  <si>
    <t>SF-1370</t>
  </si>
  <si>
    <t>Qualitative Risk Assessment (QRA) - IFR</t>
  </si>
  <si>
    <t>SF-1380</t>
  </si>
  <si>
    <t>Qualitative Risk Assessment (QRA) - IFA</t>
  </si>
  <si>
    <t>SF-1390</t>
  </si>
  <si>
    <t>Qualitative Risk Assessment (QRA) - AFC</t>
  </si>
  <si>
    <t>SF-1400</t>
  </si>
  <si>
    <t>Escape, Evacuation and Rescue Analysis (EERA) - IFR</t>
  </si>
  <si>
    <t>SF-1410</t>
  </si>
  <si>
    <t>Escape, Evacuation and Rescue Analysis (EERA) - IFA</t>
  </si>
  <si>
    <t>SF-1420</t>
  </si>
  <si>
    <t>Escape, Evacuation and Rescue Analysis (EERA) - AFC</t>
  </si>
  <si>
    <t>SF-1430</t>
  </si>
  <si>
    <t>Design Safety Critical Element and Performance Standard (SCE PS) - IFR</t>
  </si>
  <si>
    <t>SF-1440</t>
  </si>
  <si>
    <t>Design Safety Critical Element and Performance Standard (SCE PS) - IFA</t>
  </si>
  <si>
    <t>SF-1450</t>
  </si>
  <si>
    <t>Design Safety Critical Element and Performance Standard (SCE PS) - AFC</t>
  </si>
  <si>
    <t>SF-1460</t>
  </si>
  <si>
    <t>Safety Engineering Action Tracking Monitoring System (SEAMS) Report (monthly report) - IFR</t>
  </si>
  <si>
    <t>SF-1470</t>
  </si>
  <si>
    <t>Safety Engineering Action Tracking Monitoring System (SEAMS) Report (monthly report) - IFA</t>
  </si>
  <si>
    <t>SF-1480</t>
  </si>
  <si>
    <t>Safety Engineering Action Tracking Monitoring System (SEAMS) Report (monthly report) - AFC</t>
  </si>
  <si>
    <t>SF-1490</t>
  </si>
  <si>
    <t>Bow-Tie Diagrams for MAE/high risk hazards Analysis - IFR</t>
  </si>
  <si>
    <t>SF-1500</t>
  </si>
  <si>
    <t>Bow-Tie Diagrams for MAE/high risk hazards Analysis - IFA</t>
  </si>
  <si>
    <t>SF-1510</t>
  </si>
  <si>
    <t>Bow-Tie Diagrams for MAE/high risk hazards Analysis - AFC</t>
  </si>
  <si>
    <t>SF-1520</t>
  </si>
  <si>
    <t>Design Safety Case - IFR</t>
  </si>
  <si>
    <t>SF-1530</t>
  </si>
  <si>
    <t>Design Safety Case - AFC</t>
  </si>
  <si>
    <t>SF-1531</t>
  </si>
  <si>
    <t>Exhaust Plume Study Report - IFR</t>
  </si>
  <si>
    <t>SF-1532</t>
  </si>
  <si>
    <t>Exhaust Plume Study Report  - AFC</t>
  </si>
  <si>
    <t>SF-1540</t>
  </si>
  <si>
    <t>Specification for Firefighting Equipment - IFR</t>
  </si>
  <si>
    <t>SF-1550</t>
  </si>
  <si>
    <t>Specification for Firefighting Equipment - IFA</t>
  </si>
  <si>
    <t>SF-1560</t>
  </si>
  <si>
    <t>Specification for Firefighting Equipment - AFC</t>
  </si>
  <si>
    <t>SF-1570</t>
  </si>
  <si>
    <t>Specification for Lifesaving Equipment and Safety Equipment - IFR</t>
  </si>
  <si>
    <t>SF-1580</t>
  </si>
  <si>
    <t>Specification for Lifesaving Equipment and Safety Equipment - AFC</t>
  </si>
  <si>
    <t>SF-1590</t>
  </si>
  <si>
    <t>Specification for Safety Signs - IFR</t>
  </si>
  <si>
    <t>SF-1600</t>
  </si>
  <si>
    <t>Specification for Safety Signs - AFC</t>
  </si>
  <si>
    <t>SF-1670</t>
  </si>
  <si>
    <t>Firefighting, Lifesaving Equipment and Safety Equipment List - IFR</t>
  </si>
  <si>
    <t>SF-1680</t>
  </si>
  <si>
    <t>Firefighting, Lifesaving Equipment and Safety Equipment List - IFA</t>
  </si>
  <si>
    <t>SF-1690</t>
  </si>
  <si>
    <t>Firefighting, Lifesaving Equipment and Safety Equipment List - AFC</t>
  </si>
  <si>
    <t>SF-1700</t>
  </si>
  <si>
    <t>Hazardous Equipment Schedule (Normal operations, SIMOPS) - IFR</t>
  </si>
  <si>
    <t>SF-1710</t>
  </si>
  <si>
    <t>Hazardous Equipment Schedule (Normal operations, SIMOPS) - IFA</t>
  </si>
  <si>
    <t>SF-1720</t>
  </si>
  <si>
    <t>Hazardous Equipment Schedule (Normal operations, SIMOPS) - AFC</t>
  </si>
  <si>
    <t>SF-1730</t>
  </si>
  <si>
    <t>Hazardous Area Classification Drawing (Normal operations) WP01 (10Sheets) - IFR</t>
  </si>
  <si>
    <t>SF-1740</t>
  </si>
  <si>
    <t>Hazardous Area Classification Drawing (Normal operations) WP01 (10Sheets) - IFA</t>
  </si>
  <si>
    <t>SF-1750</t>
  </si>
  <si>
    <t>Hazardous Area Classification Drawing (Normal operations) WP01 (10Sheets) - AFC</t>
  </si>
  <si>
    <t>SF-1760</t>
  </si>
  <si>
    <t>Hazardous Area Classification Drawing (SIMOPS) Index WP01 (10Sheets) - IFR</t>
  </si>
  <si>
    <t>SF-1770</t>
  </si>
  <si>
    <t>Hazardous Area Classification Drawing (SIMOPS) Index WP01 (10Sheets) - IFA</t>
  </si>
  <si>
    <t>SF-1780</t>
  </si>
  <si>
    <t>Hazardous Area Classification Drawing (SIMOPS) Index WP01 (10Sheets) - AFC</t>
  </si>
  <si>
    <t>SF-1790</t>
  </si>
  <si>
    <t>Hazardous Area Classification Drawing (Normal operations) WP02 (10Sheets) - IFR</t>
  </si>
  <si>
    <t>SF-1800</t>
  </si>
  <si>
    <t>Hazardous Area Classification Drawing (Normal operations) WP02 (10Sheets) - IFA</t>
  </si>
  <si>
    <t>SF-1810</t>
  </si>
  <si>
    <t>Hazardous Area Classification Drawing (Normal operations) WP02 (10Sheets) - AFC</t>
  </si>
  <si>
    <t>SF-1820</t>
  </si>
  <si>
    <t>Hazardous Area Classification Drawing (SIMOPS) Index WP02 (10Sheets) - IFR</t>
  </si>
  <si>
    <t>SF-1830</t>
  </si>
  <si>
    <t>Hazardous Area Classification Drawing (SIMOPS) Index WP02 (10Sheets) - IFA</t>
  </si>
  <si>
    <t>SF-1840</t>
  </si>
  <si>
    <t>Hazardous Area Classification Drawing (SIMOPS) Index WP02 (10Sheets) - AFC</t>
  </si>
  <si>
    <t>SF-1850</t>
  </si>
  <si>
    <t>Escape Routes,  Lifesaving Equipment &amp; Safety Equipment Layout Drawing WP01 (6 Sheets) - IFR</t>
  </si>
  <si>
    <t>SF-1860</t>
  </si>
  <si>
    <t>Escape Routes,  Lifesaving Equipment &amp; Safety Equipment Layout Drawing WP01 (6 Sheets) - IFA</t>
  </si>
  <si>
    <t>SF-1870</t>
  </si>
  <si>
    <t>Escape Routes,  Lifesaving Equipment &amp; Safety Equipment Layout Drawing WP01 (6 Sheets) - AFC</t>
  </si>
  <si>
    <t>SF-1880</t>
  </si>
  <si>
    <t>Escape Routes,  Lifesaving Equipment &amp; Safety Equipment Layout Drawing WP02 (6 Sheets) - IFR</t>
  </si>
  <si>
    <t>SF-1890</t>
  </si>
  <si>
    <t>Escape Routes,  Lifesaving Equipment &amp; Safety Equipment Layout Drawing WP02 (6 Sheets) - IFA</t>
  </si>
  <si>
    <t>SF-1900</t>
  </si>
  <si>
    <t>Escape Routes,  Lifesaving Equipment &amp; Safety Equipment Layout Drawing WP02 (6 Sheets) - AFC</t>
  </si>
  <si>
    <t>SF-1910</t>
  </si>
  <si>
    <t>Firefighting Equipment Layout Drawing WP01 (6 Sheets) - IFR</t>
  </si>
  <si>
    <t>SF-1920</t>
  </si>
  <si>
    <t>Firefighting Equipment Layout Drawing WP01 (6 Sheets) - IFA</t>
  </si>
  <si>
    <t>SF-1930</t>
  </si>
  <si>
    <t>Firefighting Equipment Layout Drawing WP01 (6 Sheets) - AFC</t>
  </si>
  <si>
    <t>SF-1940</t>
  </si>
  <si>
    <t>Firefighting Equipment Layout Drawing WP02 (6 Sheets) - IFR</t>
  </si>
  <si>
    <t>SF-1950</t>
  </si>
  <si>
    <t>Firefighting Equipment Layout Drawing WP02 (6 Sheets) - IFA</t>
  </si>
  <si>
    <t>SF-1960</t>
  </si>
  <si>
    <t>Firefighting Equipment Layout Drawing WP02 (6 Sheets) - AFC</t>
  </si>
  <si>
    <t>SF-1970</t>
  </si>
  <si>
    <t>Safety Signs Layout Drawing WP01 (6 Sheets) - IFR</t>
  </si>
  <si>
    <t>SF-1980</t>
  </si>
  <si>
    <t>Safety Signs Layout Drawing WP01 (6 Sheets) - IFA</t>
  </si>
  <si>
    <t>SF-1990</t>
  </si>
  <si>
    <t>Safety Signs Layout Drawing WP01 (6 Sheets) - AFC</t>
  </si>
  <si>
    <t>SF-2000</t>
  </si>
  <si>
    <t>Safety Signs Layout Drawing WP02 (6 Sheets) - IFR</t>
  </si>
  <si>
    <t>SF-2010</t>
  </si>
  <si>
    <t>Safety Signs Layout Drawing WP02 (6 Sheets) - IFA</t>
  </si>
  <si>
    <t>SF-2020</t>
  </si>
  <si>
    <t>Safety Signs Layout Drawing WP02 (6 Sheets) - AFC</t>
  </si>
  <si>
    <t>SF-2030</t>
  </si>
  <si>
    <t>Fire and Gas Detector Layout Drawing WP01 (6 Sheets) - IFR</t>
  </si>
  <si>
    <t>SF-2040</t>
  </si>
  <si>
    <t>Fire and Gas Detector Layout Drawing WP01 (6 Sheets) - IFA</t>
  </si>
  <si>
    <t>SF-2050</t>
  </si>
  <si>
    <t>Fire and Gas Detector Layout Drawing WP01 (6 Sheets) - AFC</t>
  </si>
  <si>
    <t>SF-2060</t>
  </si>
  <si>
    <t>Fire and Gas Detector Layout Drawing WP02 (6 Sheets) - IFR</t>
  </si>
  <si>
    <t>SF-2070</t>
  </si>
  <si>
    <t>Fire and Gas Detector Layout Drawing WP02 (6 Sheets) - IFA</t>
  </si>
  <si>
    <t>SF-2080</t>
  </si>
  <si>
    <t>Fire and Gas Detector Layout Drawing WP02 (6 Sheets) - AFC</t>
  </si>
  <si>
    <t>Datasheets-Safety</t>
  </si>
  <si>
    <t>SF-1610</t>
  </si>
  <si>
    <t>Datasheet for Firefighting Equipment - IFR</t>
  </si>
  <si>
    <t>SF-1620</t>
  </si>
  <si>
    <t>Datasheet for Firefighting Equipment - AFC</t>
  </si>
  <si>
    <t>SF-1630</t>
  </si>
  <si>
    <t>Datasheet for Lifesaving Equipment and Safety Equipment - IFR</t>
  </si>
  <si>
    <t>SF-1640</t>
  </si>
  <si>
    <t>Datasheet for Lifesaving Equipment and Safety Equipment - AFC</t>
  </si>
  <si>
    <t>SF-1650</t>
  </si>
  <si>
    <t>Datasheet for Safety Signs - IFR</t>
  </si>
  <si>
    <t>SF-1660</t>
  </si>
  <si>
    <t>Datasheet for Safety Signs - AFC</t>
  </si>
  <si>
    <t>MR-Safety</t>
  </si>
  <si>
    <t>SF-2090</t>
  </si>
  <si>
    <t>Material Requisition for Firefighting Equipment - IFR</t>
  </si>
  <si>
    <t>SF-2100</t>
  </si>
  <si>
    <t>Material Requisition for Firefighting Equipment - AFC</t>
  </si>
  <si>
    <t>SF-2110</t>
  </si>
  <si>
    <t>Material Requisition for Lifesaving Equipment and Safety Equipment - IFR</t>
  </si>
  <si>
    <t>SF-2120</t>
  </si>
  <si>
    <t>Material Requisition for Lifesaving Equipment and Safety Equipment - AFC</t>
  </si>
  <si>
    <t>SF-2130</t>
  </si>
  <si>
    <t>Material Requisition for Safety Signs - IFR</t>
  </si>
  <si>
    <t>SF-2140</t>
  </si>
  <si>
    <t>Material Requisition for Safety Signs - AFC</t>
  </si>
  <si>
    <t>TBE-Safety</t>
  </si>
  <si>
    <t>SF-2150</t>
  </si>
  <si>
    <t>Technical Bid Evaluation For Firefighting Equipment - IFR</t>
  </si>
  <si>
    <t>SF-2160</t>
  </si>
  <si>
    <t>Technical Bid Evaluation For Firefighting Equipment - IFA</t>
  </si>
  <si>
    <t>SF-2170</t>
  </si>
  <si>
    <t>Technical Bid Evaluation For Firefighting Equipment - AFC</t>
  </si>
  <si>
    <t>SF-2180</t>
  </si>
  <si>
    <t>Technical Bid Evaluation For Lifesaving Equipment and Safety Equipment - IFR</t>
  </si>
  <si>
    <t>SF-2190</t>
  </si>
  <si>
    <t>Technical Bid Evaluation For Lifesaving Equipment and Safety Equipment - IFA</t>
  </si>
  <si>
    <t>SF-2200</t>
  </si>
  <si>
    <t>Technical Bid Evaluation For Lifesaving Equipment and Safety Equipment - AFC</t>
  </si>
  <si>
    <t>SF-2210</t>
  </si>
  <si>
    <t>Technical Bid Evaluation For Safety Signs - IFR</t>
  </si>
  <si>
    <t>SF-2220</t>
  </si>
  <si>
    <t>Technical Bid Evaluation For Safety Signs - IFA</t>
  </si>
  <si>
    <t>SF-2230</t>
  </si>
  <si>
    <t>Technical Bid Evaluation For Safety Signs - AFC</t>
  </si>
  <si>
    <t>ME-1510_X_</t>
  </si>
  <si>
    <t>Mechanical Datasheet for Material Handling Equipment - IFR_X_</t>
  </si>
  <si>
    <t>ZM167 PTTEPI ASK Procurement Plan - Before Award</t>
  </si>
  <si>
    <t xml:space="preserve">    </t>
  </si>
  <si>
    <t>MR.No</t>
  </si>
  <si>
    <t>PO NO.</t>
  </si>
  <si>
    <t>MR Issued</t>
  </si>
  <si>
    <t>Bidding Duration</t>
  </si>
  <si>
    <t>Delivery Date</t>
  </si>
  <si>
    <t>Lead Time
(Days)</t>
  </si>
  <si>
    <t>Earlier ROS date</t>
  </si>
  <si>
    <t>Float (Day)</t>
  </si>
  <si>
    <t>Final&amp;Best Proposal Submission</t>
  </si>
  <si>
    <t>TJE CBE approval (LOI Issue)</t>
  </si>
  <si>
    <t>MRP</t>
  </si>
  <si>
    <t>Transportation time</t>
  </si>
  <si>
    <t>RFQ-001</t>
  </si>
  <si>
    <t>Pedestal Crane</t>
  </si>
  <si>
    <t>Plan</t>
  </si>
  <si>
    <t>RFQ-002</t>
  </si>
  <si>
    <t>RFQ-003</t>
  </si>
  <si>
    <t>RFQ-004</t>
  </si>
  <si>
    <t>Production &amp; Test Seperator</t>
  </si>
  <si>
    <t>RFQ-005</t>
  </si>
  <si>
    <t>Pig Launcher and Receiver</t>
  </si>
  <si>
    <t>RFQ-006</t>
  </si>
  <si>
    <t>Corrosion Inhibitor Injection Pump</t>
  </si>
  <si>
    <t>RFQ-007</t>
  </si>
  <si>
    <t>Demulsifier/Water Clarifier Injection Pump</t>
  </si>
  <si>
    <t>RFQ-008</t>
  </si>
  <si>
    <t>De-Oiler Hydrocyclone</t>
  </si>
  <si>
    <t xml:space="preserve">  </t>
  </si>
  <si>
    <t>RFQ-009</t>
  </si>
  <si>
    <t>Degasser</t>
  </si>
  <si>
    <t>RFQ-010</t>
  </si>
  <si>
    <t>RFQ-011</t>
  </si>
  <si>
    <t>RFQ-012</t>
  </si>
  <si>
    <t xml:space="preserve"> Storage Tote Tank</t>
  </si>
  <si>
    <t>RFQ-013</t>
  </si>
  <si>
    <t>RFQ-014</t>
  </si>
  <si>
    <t>Closed Drain Sump Pump</t>
  </si>
  <si>
    <t>RFQ-015</t>
  </si>
  <si>
    <t>Diesel Transfer Pump</t>
  </si>
  <si>
    <t>RFQ-016</t>
  </si>
  <si>
    <t>Open Drain Caisson Pump</t>
  </si>
  <si>
    <t>RFQ-017</t>
  </si>
  <si>
    <t>DC Distribution Board</t>
  </si>
  <si>
    <t>RFQ-018</t>
  </si>
  <si>
    <t>RFQ-019</t>
  </si>
  <si>
    <t>RFQ-020</t>
  </si>
  <si>
    <t>RFQ-021</t>
  </si>
  <si>
    <t>RFQ-022</t>
  </si>
  <si>
    <t>RFQ-023</t>
  </si>
  <si>
    <t>RFQ-024</t>
  </si>
  <si>
    <t>RFQ-025</t>
  </si>
  <si>
    <t>RFQ-026</t>
  </si>
  <si>
    <t>RFQ-027</t>
  </si>
  <si>
    <t>RFQ-028</t>
  </si>
  <si>
    <t>Wellhead Control Panel (WHCP)</t>
  </si>
  <si>
    <t>RFQ-029</t>
  </si>
  <si>
    <t>RFQ-030</t>
  </si>
  <si>
    <t>RFQ-031</t>
  </si>
  <si>
    <t>RFQ-032</t>
  </si>
  <si>
    <t>RFQ-033</t>
  </si>
  <si>
    <t>RFQ-034</t>
  </si>
  <si>
    <t>Level Transmitter and Gauge</t>
  </si>
  <si>
    <t>RFQ-035</t>
  </si>
  <si>
    <t>RFQ-036</t>
  </si>
  <si>
    <t>RFQ-037</t>
  </si>
  <si>
    <t>RFQ-038</t>
  </si>
  <si>
    <t>RFQ-039</t>
  </si>
  <si>
    <t>RFQ-040</t>
  </si>
  <si>
    <t>RFQ-041</t>
  </si>
  <si>
    <t>RFQ-042</t>
  </si>
  <si>
    <t>Oil in Water Analyzer</t>
  </si>
  <si>
    <t>RFQ-043</t>
  </si>
  <si>
    <t>RFQ-044</t>
  </si>
  <si>
    <t>RFQ-045</t>
  </si>
  <si>
    <t>RFQ-046</t>
  </si>
  <si>
    <t>Telecommunication System (WiMAX, Telephone, Marine Radio)</t>
  </si>
  <si>
    <t>RFQ-047</t>
  </si>
  <si>
    <t>Marine Racon</t>
  </si>
  <si>
    <t>RFQ-048</t>
  </si>
  <si>
    <t>RFQ-049</t>
  </si>
  <si>
    <t>RFQ-050</t>
  </si>
  <si>
    <t>RFQ-051</t>
  </si>
  <si>
    <t>RFQ-052</t>
  </si>
  <si>
    <t>RFQ-053</t>
  </si>
  <si>
    <t>Primary Steel - Plate</t>
  </si>
  <si>
    <t>Primary Steel -  Joint Connection for Topside</t>
  </si>
  <si>
    <t>Primary Steel - Beam for topside (Standard)</t>
  </si>
  <si>
    <t>Primary Steel - Beam</t>
  </si>
  <si>
    <t>Primary Steel - Beam for topside (non-standard)</t>
  </si>
  <si>
    <t>Primary Steel - Seamless Pipe for topside</t>
  </si>
  <si>
    <t>Primary Steel - Seamless Pipe</t>
  </si>
  <si>
    <t xml:space="preserve">Primary Steel -Beam for jacket </t>
  </si>
  <si>
    <t>Primary Steel -Tubular for jacket (column)</t>
  </si>
  <si>
    <t>Primary Steel -Tubular for jacket (bracing)</t>
  </si>
  <si>
    <t>Special items</t>
  </si>
  <si>
    <t>SPECIAL PIPE SUPPORT</t>
  </si>
  <si>
    <t>SS &amp; DSS Fitting</t>
  </si>
  <si>
    <t>SS &amp; DSS Flange</t>
  </si>
  <si>
    <t>SAW Welded Pipe</t>
  </si>
  <si>
    <t>DSS Pipes</t>
  </si>
  <si>
    <t>Steamless SS pipes</t>
  </si>
  <si>
    <t>Bolts &amp; Nuts</t>
  </si>
  <si>
    <t>ZM167 PTTEPI ASK Procurement Status Report (PSR) - After Award</t>
  </si>
  <si>
    <t>Most complexity RFQ</t>
  </si>
  <si>
    <t>date</t>
  </si>
  <si>
    <t xml:space="preserve"> - Forecast later than Plan</t>
  </si>
  <si>
    <t>High complexity RFQ</t>
  </si>
  <si>
    <t xml:space="preserve"> - Two weeks forecasted activities</t>
  </si>
  <si>
    <t>Normal complexity  RFQ</t>
  </si>
  <si>
    <t xml:space="preserve"> - Overdue activities</t>
  </si>
  <si>
    <t>Low complexity  RFQ</t>
  </si>
  <si>
    <t>PIC</t>
  </si>
  <si>
    <t>DIS</t>
  </si>
  <si>
    <t>LLI</t>
  </si>
  <si>
    <t>Vendors</t>
  </si>
  <si>
    <t xml:space="preserve">Description </t>
  </si>
  <si>
    <t xml:space="preserve">MRQ No.  </t>
  </si>
  <si>
    <t>weight</t>
  </si>
  <si>
    <t>P/F/A</t>
  </si>
  <si>
    <t>VDR Submission</t>
  </si>
  <si>
    <t>Approval of Final Documentation</t>
  </si>
  <si>
    <t>Delivery Condition</t>
  </si>
  <si>
    <t>ETA Date</t>
  </si>
  <si>
    <t>ROS date (input)</t>
  </si>
  <si>
    <t>Improved time for ROS date</t>
  </si>
  <si>
    <t xml:space="preserve">PO No.  </t>
  </si>
  <si>
    <t>Awarded Supplier</t>
  </si>
  <si>
    <t>Y/N</t>
  </si>
  <si>
    <t>TJE QA/QC</t>
  </si>
  <si>
    <t>PTTEPI</t>
  </si>
  <si>
    <t>TJE PRC</t>
  </si>
  <si>
    <t>Bidder</t>
  </si>
  <si>
    <t>TJE ENG</t>
  </si>
  <si>
    <t>Vendor</t>
  </si>
  <si>
    <t xml:space="preserve"> </t>
  </si>
  <si>
    <t>Progress</t>
  </si>
  <si>
    <t>Use FEED deliverables</t>
  </si>
  <si>
    <t>TBA</t>
  </si>
  <si>
    <t>MEC</t>
  </si>
  <si>
    <t>FAVELLE FAVCO
OIL STATES
SCM</t>
  </si>
  <si>
    <t>P</t>
  </si>
  <si>
    <t>DDP ZHJT Yard</t>
  </si>
  <si>
    <t>F</t>
  </si>
  <si>
    <t>A</t>
  </si>
  <si>
    <t>Yale
Excellift
Crosby
KITO</t>
  </si>
  <si>
    <t>AVL Approval for ZHJT Yard and lead time is TBC</t>
  </si>
  <si>
    <t xml:space="preserve"> Pall
Crest
ZHJT</t>
  </si>
  <si>
    <t>AVL Approval for ZHJT Yard to reduce by 2 months
To study installation sequence</t>
  </si>
  <si>
    <t>AMC
ALPHA ECC 
Zhuhai Jutal</t>
  </si>
  <si>
    <t>PIP</t>
  </si>
  <si>
    <t xml:space="preserve">AMC
ALPHA ECC 
APPLIED ENGINEERING
Zhuhai Jutal
</t>
  </si>
  <si>
    <t>AVL Approval for WASCO and lead time is 28 weeks 
Early issuance of Datasheet</t>
  </si>
  <si>
    <r>
      <rPr>
        <sz val="9"/>
        <rFont val="Arial Narrow"/>
        <family val="2"/>
      </rPr>
      <t xml:space="preserve">WILLIAM (under MILTON ROY) </t>
    </r>
    <r>
      <rPr>
        <sz val="9"/>
        <rFont val="微软雅黑"/>
        <charset val="134"/>
      </rPr>
      <t>（</t>
    </r>
    <r>
      <rPr>
        <sz val="9"/>
        <rFont val="Arial Narrow"/>
        <family val="2"/>
      </rPr>
      <t xml:space="preserve">Packager: Multiphase)
WILLIAM (under MILTON ROY) </t>
    </r>
    <r>
      <rPr>
        <sz val="9"/>
        <rFont val="微软雅黑"/>
        <charset val="134"/>
      </rPr>
      <t>（</t>
    </r>
    <r>
      <rPr>
        <sz val="9"/>
        <rFont val="Arial Narrow"/>
        <family val="2"/>
      </rPr>
      <t>Packager: Ashburn International Trade (Tianjin) Co., Ltd)
TEXSTEAM (under Dresser)</t>
    </r>
  </si>
  <si>
    <t>Mitigation required, ZJHT approval required to reduce the lead time by 40 days
To study installation sequence</t>
  </si>
  <si>
    <t>Sulzer
Zhuhai Jutal  (FMC internal)
Burgess Manning (under CECO)
ALPHA ECC   (FMC internal)</t>
  </si>
  <si>
    <t>Mitigation requied, ZJHT approval required to reduce the lead time by 40 days
To study installation sequence</t>
  </si>
  <si>
    <t>Mitigation requied, ZJHT approval required to reduce the lead time by 2 months
To study installation sequence</t>
  </si>
  <si>
    <t>Mitigation requied, ZJHT approval required to reduce the lead time by 1 months</t>
  </si>
  <si>
    <t>Diesel Storage Tote Tank</t>
  </si>
  <si>
    <t>Corrosion Inhibitor Storage Tank</t>
  </si>
  <si>
    <t>AVL approval for WASCO (20 weeks lead time)
To study installation sequence</t>
  </si>
  <si>
    <t>Mc FARLAND
HASKEL (Package: Ashburn International Trade (Tianjin) Co., Ltd)</t>
  </si>
  <si>
    <r>
      <rPr>
        <sz val="9"/>
        <rFont val="Arial Narrow"/>
        <family val="2"/>
      </rPr>
      <t xml:space="preserve">WILDEN  </t>
    </r>
    <r>
      <rPr>
        <sz val="9"/>
        <rFont val="微软雅黑"/>
        <charset val="134"/>
      </rPr>
      <t>（</t>
    </r>
    <r>
      <rPr>
        <sz val="9"/>
        <rFont val="Arial"/>
        <family val="2"/>
      </rPr>
      <t>C/O Multiphase)
ARO (Under INGERSOLL RAND</t>
    </r>
    <r>
      <rPr>
        <sz val="9"/>
        <rFont val="微软雅黑"/>
        <charset val="134"/>
      </rPr>
      <t>）</t>
    </r>
    <r>
      <rPr>
        <sz val="9"/>
        <rFont val="Arial"/>
        <family val="2"/>
      </rPr>
      <t>(C/O Shanghai Shuyi Machine Engineering &amp; Equipment Co.,Ltd</t>
    </r>
    <r>
      <rPr>
        <sz val="9"/>
        <rFont val="微软雅黑"/>
        <charset val="134"/>
      </rPr>
      <t>）</t>
    </r>
    <r>
      <rPr>
        <sz val="9"/>
        <rFont val="Arial"/>
        <family val="2"/>
      </rPr>
      <t xml:space="preserve">
SANDPIPER (C/O SHANGHAI YIZHI FLOW CONTROL EQUIPMENT CO., LTD )</t>
    </r>
  </si>
  <si>
    <r>
      <rPr>
        <sz val="9"/>
        <rFont val="Arial Narrow"/>
        <family val="2"/>
      </rPr>
      <t>ARO (Under INGERSOLL RAND</t>
    </r>
    <r>
      <rPr>
        <sz val="9"/>
        <rFont val="微软雅黑"/>
        <charset val="134"/>
      </rPr>
      <t>）</t>
    </r>
    <r>
      <rPr>
        <sz val="9"/>
        <rFont val="Arial"/>
        <family val="2"/>
      </rPr>
      <t>(C/O Shanghai Shuyi Machine Engineering &amp; Equipment Co.,Ltd</t>
    </r>
    <r>
      <rPr>
        <sz val="9"/>
        <rFont val="微软雅黑"/>
        <charset val="134"/>
      </rPr>
      <t>）</t>
    </r>
    <r>
      <rPr>
        <sz val="9"/>
        <rFont val="Arial"/>
        <family val="2"/>
      </rPr>
      <t xml:space="preserve">
SANDPIPER (C/O SHANGHAI YIZHI FLOW CONTROL EQUIPMENT CO., LTD )</t>
    </r>
  </si>
  <si>
    <t>ELE</t>
  </si>
  <si>
    <t>STAHL
Swift Energy
Beijing Talented Electrical Sets Co., Ltd.
Anhui Schutten Solar Energy Co.,ltd
Semitech Control &amp; Engineering PTE Ltd</t>
  </si>
  <si>
    <t>PVL approval for Beijing Talented / Warom to reduce the lead time (60 days)
To study installation sequence</t>
  </si>
  <si>
    <t>Swift Energy
Beijing Talented Electrical Sets Co., Ltd.
Anhui Schutten Solar Energy Co.,ltd
Semitech Control &amp; Engineering PTE Ltd
MDS (Orga)</t>
  </si>
  <si>
    <t>Swift Energy
MDS (Orga)</t>
  </si>
  <si>
    <t>INS</t>
  </si>
  <si>
    <t>FISHER
CCI
FLOWSERVE</t>
  </si>
  <si>
    <t>CCI
CAMERON(SLB)
MASTER FLO
MOKVELD</t>
  </si>
  <si>
    <t>COMBET
Flowserve</t>
  </si>
  <si>
    <t>TechnipFMC
COMBET
Flowserve</t>
  </si>
  <si>
    <t>CROSBY 
DRESSER / CONSOLIDATED
IMI
FARRIS</t>
  </si>
  <si>
    <t>Yokogawa
MICRO MOTIONS (EMERSON)</t>
  </si>
  <si>
    <t>MitigationTBC 
Consider FEED Doc.</t>
  </si>
  <si>
    <t>wilmax
FST
IVS
Matorly</t>
  </si>
  <si>
    <t>ASHCROFT 
BOUDON HASEM
WIKA</t>
  </si>
  <si>
    <t xml:space="preserve">Yokogawa
EMERSON
E+H </t>
  </si>
  <si>
    <t>ASCHROFT
WIKA
EMERSON</t>
  </si>
  <si>
    <t>EMERSON
YOKOGAWA
HONEYWELL</t>
  </si>
  <si>
    <t>Yokogawa
EMERSON</t>
  </si>
  <si>
    <t>Magnetrol
WIKA</t>
  </si>
  <si>
    <t xml:space="preserve">EMERSON
Shenyang Yongye
T.D. Williamson </t>
  </si>
  <si>
    <t>EMERSON
WIKA</t>
  </si>
  <si>
    <t>Rockwell China
Rockwell Thailand</t>
  </si>
  <si>
    <t>Draeger
Honeywell</t>
  </si>
  <si>
    <t>MAC 
Yokogawa</t>
  </si>
  <si>
    <t>TOPWORX-GO SWITCH
WESTLOCK (MAGNUM SERIES)</t>
  </si>
  <si>
    <t>VEGA
Krohne
EMERSON</t>
  </si>
  <si>
    <t>E+H 
EMERSON</t>
  </si>
  <si>
    <t>MAGNETROL
EMERSON
VEGA</t>
  </si>
  <si>
    <t xml:space="preserve"> E+H 
VEGA</t>
  </si>
  <si>
    <t>Excel
OMEGA
Fusion</t>
  </si>
  <si>
    <t>MDS</t>
  </si>
  <si>
    <t>YDF
Neway
VALVITALIA</t>
  </si>
  <si>
    <t xml:space="preserve">Place Order 70% preliminary FEED MTO
</t>
  </si>
  <si>
    <t>STR</t>
  </si>
  <si>
    <t>RFQ-054</t>
  </si>
  <si>
    <t>Primary Steel - Seamless</t>
  </si>
  <si>
    <t>Primary Steel - Welding</t>
  </si>
  <si>
    <t>TBC with Yard</t>
  </si>
  <si>
    <t>JUNCTION BOX AND RECEPTACLES</t>
  </si>
  <si>
    <t>CABLE GLAND</t>
  </si>
  <si>
    <t>ELECTRICAL CABLE LADDER / TRAY</t>
  </si>
  <si>
    <t>EARTHING SYSTEM</t>
  </si>
  <si>
    <t>MULTI-CABLE TRANSIT (MCT)</t>
  </si>
  <si>
    <t>ELECTRICAL CABLE</t>
  </si>
  <si>
    <t>NAVIGATIONAL AIDS LANTERN AND FOG HORN</t>
  </si>
  <si>
    <t>FLASHING BEACON AND WARNING SIREN</t>
  </si>
  <si>
    <t>PRESERVATION AND SEA-FASTENING MATERIAL</t>
  </si>
  <si>
    <t>PIPING SURPPORT</t>
  </si>
  <si>
    <t>Strainer</t>
  </si>
  <si>
    <t>BOLT &amp; NUTS</t>
  </si>
  <si>
    <t>CS FITTING</t>
  </si>
  <si>
    <t>SS &amp; DSS FITTING</t>
  </si>
  <si>
    <t>Welding Electrode</t>
  </si>
  <si>
    <t>Cable Ladder/Tray-GRP</t>
  </si>
  <si>
    <t xml:space="preserve">Flameproof Enclosure (Ex'd)            </t>
  </si>
  <si>
    <t>Pushbutton</t>
  </si>
  <si>
    <t>INT</t>
  </si>
  <si>
    <t>ESD Button / Station</t>
  </si>
  <si>
    <t>Tube Clamp (Anti Corrosion Type)</t>
  </si>
  <si>
    <t>TUBE</t>
  </si>
  <si>
    <t>Instrument Cable Glands</t>
  </si>
  <si>
    <t>Instrument cables</t>
  </si>
  <si>
    <t>AC Distribution Pane</t>
  </si>
  <si>
    <t>CS FLANGES</t>
  </si>
  <si>
    <t>DSS &amp; SS FLANGES</t>
  </si>
  <si>
    <t>GASKETS</t>
  </si>
  <si>
    <t>SEAMLESS CS PIPE</t>
  </si>
  <si>
    <t>SEAMLESS SS &amp; DSS STEEL</t>
  </si>
  <si>
    <t>CLAMP Type Connectors</t>
  </si>
  <si>
    <t>Painting</t>
  </si>
  <si>
    <t>Fire fighting</t>
  </si>
  <si>
    <t>Life saving</t>
  </si>
  <si>
    <t>Jacket Anode</t>
  </si>
  <si>
    <t>Steel Grating</t>
  </si>
  <si>
    <t>MIS</t>
  </si>
  <si>
    <t>`</t>
  </si>
  <si>
    <t>Date</t>
  </si>
  <si>
    <t>Holiday Name</t>
  </si>
  <si>
    <t>Father's Day</t>
  </si>
  <si>
    <t>Constitution Day</t>
  </si>
  <si>
    <t>New Year's Day</t>
  </si>
  <si>
    <t>The Buddha Day</t>
  </si>
  <si>
    <t>Kutkuri Dynasty Memorial Day</t>
  </si>
  <si>
    <t>Songkran Festival</t>
  </si>
  <si>
    <t>International Workers' Day</t>
  </si>
  <si>
    <t xml:space="preserve">The anniversary of the King's accession to the throne </t>
  </si>
  <si>
    <t>Mother's Day</t>
  </si>
  <si>
    <t>The anniversary of the death of the 9th King</t>
  </si>
  <si>
    <t>The anniversary of the death of the 5th King Father's Day</t>
  </si>
  <si>
    <t>佛历节日，日期为预测</t>
  </si>
  <si>
    <t>Vesak Festival</t>
  </si>
  <si>
    <t>The Birthday Anniversary of the Queen</t>
  </si>
  <si>
    <r>
      <rPr>
        <sz val="11.5"/>
        <color rgb="FF0F1115"/>
        <rFont val="宋体"/>
        <charset val="134"/>
      </rPr>
      <t>母亲节</t>
    </r>
  </si>
  <si>
    <r>
      <rPr>
        <sz val="11.5"/>
        <color rgb="FF0F1115"/>
        <rFont val="宋体"/>
        <charset val="134"/>
      </rPr>
      <t>九世王逝世纪念日</t>
    </r>
  </si>
  <si>
    <r>
      <rPr>
        <sz val="11.5"/>
        <color rgb="FF0F1115"/>
        <rFont val="宋体"/>
        <charset val="134"/>
      </rPr>
      <t>五世王逝世纪念日</t>
    </r>
  </si>
  <si>
    <r>
      <rPr>
        <sz val="11.5"/>
        <color rgb="FF0F1115"/>
        <rFont val="宋体"/>
        <charset val="134"/>
      </rPr>
      <t>父亲节</t>
    </r>
  </si>
  <si>
    <r>
      <rPr>
        <sz val="11.5"/>
        <color rgb="FF0F1115"/>
        <rFont val="宋体"/>
        <charset val="134"/>
      </rPr>
      <t>宪法纪念日</t>
    </r>
  </si>
  <si>
    <r>
      <rPr>
        <sz val="11.5"/>
        <color rgb="FF0F1115"/>
        <rFont val="宋体"/>
        <charset val="134"/>
      </rPr>
      <t>新年前夜</t>
    </r>
  </si>
  <si>
    <r>
      <rPr>
        <sz val="11.5"/>
        <color rgb="FF0F1115"/>
        <rFont val="宋体"/>
        <charset val="134"/>
      </rPr>
      <t>新年元旦</t>
    </r>
  </si>
  <si>
    <r>
      <rPr>
        <sz val="11.5"/>
        <color rgb="FF0F1115"/>
        <rFont val="宋体"/>
        <charset val="134"/>
      </rPr>
      <t>万佛节</t>
    </r>
  </si>
  <si>
    <r>
      <rPr>
        <sz val="11.5"/>
        <color rgb="FF0F1115"/>
        <rFont val="宋体"/>
        <charset val="134"/>
      </rPr>
      <t>却克里王朝纪念日</t>
    </r>
  </si>
  <si>
    <r>
      <rPr>
        <sz val="11.5"/>
        <color rgb="FF0F1115"/>
        <rFont val="宋体"/>
        <charset val="134"/>
      </rPr>
      <t>宋干节</t>
    </r>
  </si>
  <si>
    <r>
      <rPr>
        <sz val="11.5"/>
        <color rgb="FF0F1115"/>
        <rFont val="宋体"/>
        <charset val="134"/>
      </rPr>
      <t>劳动节</t>
    </r>
  </si>
  <si>
    <r>
      <rPr>
        <sz val="11.5"/>
        <color rgb="FF0F1115"/>
        <rFont val="宋体"/>
        <charset val="134"/>
      </rPr>
      <t>泰王登基纪念日</t>
    </r>
  </si>
  <si>
    <r>
      <rPr>
        <sz val="11.5"/>
        <color rgb="FF0F1115"/>
        <rFont val="宋体"/>
        <charset val="134"/>
      </rPr>
      <t>卫塞节</t>
    </r>
  </si>
  <si>
    <r>
      <rPr>
        <sz val="11.5"/>
        <color rgb="FF0F1115"/>
        <rFont val="宋体"/>
        <charset val="134"/>
      </rPr>
      <t>王后诞辰纪念日</t>
    </r>
  </si>
  <si>
    <r>
      <rPr>
        <sz val="11.5"/>
        <color rgb="FF0F1115"/>
        <rFont val="宋体"/>
        <charset val="134"/>
      </rPr>
      <t>守夏节</t>
    </r>
  </si>
  <si>
    <r>
      <rPr>
        <sz val="11.25"/>
        <color rgb="FF0F1115"/>
        <rFont val="Segoe UI"/>
        <family val="2"/>
      </rPr>
      <t xml:space="preserve">Spring Festival
</t>
    </r>
    <r>
      <rPr>
        <sz val="11.25"/>
        <color rgb="FF0F1115"/>
        <rFont val="微软雅黑"/>
        <charset val="134"/>
      </rPr>
      <t>元旦</t>
    </r>
    <r>
      <rPr>
        <sz val="11.25"/>
        <color rgb="FF0F1115"/>
        <rFont val="Segoe UI"/>
        <family val="2"/>
      </rPr>
      <t xml:space="preserve">
</t>
    </r>
    <r>
      <rPr>
        <sz val="11.25"/>
        <color rgb="FF0F1115"/>
        <rFont val="微软雅黑"/>
        <charset val="134"/>
      </rPr>
      <t>元旦</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清明节</t>
    </r>
    <r>
      <rPr>
        <sz val="11.25"/>
        <color rgb="FF0F1115"/>
        <rFont val="Segoe UI"/>
        <family val="2"/>
      </rPr>
      <t xml:space="preserve">
</t>
    </r>
    <r>
      <rPr>
        <sz val="11.25"/>
        <color rgb="FF0F1115"/>
        <rFont val="微软雅黑"/>
        <charset val="134"/>
      </rPr>
      <t>清明节</t>
    </r>
    <r>
      <rPr>
        <sz val="11.25"/>
        <color rgb="FF0F1115"/>
        <rFont val="Segoe UI"/>
        <family val="2"/>
      </rPr>
      <t xml:space="preserve">
</t>
    </r>
    <r>
      <rPr>
        <sz val="11.25"/>
        <color rgb="FF0F1115"/>
        <rFont val="微软雅黑"/>
        <charset val="134"/>
      </rPr>
      <t>清明节</t>
    </r>
    <r>
      <rPr>
        <sz val="11.25"/>
        <color rgb="FF0F1115"/>
        <rFont val="Segoe UI"/>
        <family val="2"/>
      </rPr>
      <t xml:space="preserve">
</t>
    </r>
    <r>
      <rPr>
        <sz val="11.25"/>
        <color rgb="FF0F1115"/>
        <rFont val="微软雅黑"/>
        <charset val="134"/>
      </rPr>
      <t>劳动节</t>
    </r>
    <r>
      <rPr>
        <sz val="11.25"/>
        <color rgb="FF0F1115"/>
        <rFont val="Segoe UI"/>
        <family val="2"/>
      </rPr>
      <t xml:space="preserve">
</t>
    </r>
    <r>
      <rPr>
        <sz val="11.25"/>
        <color rgb="FF0F1115"/>
        <rFont val="微软雅黑"/>
        <charset val="134"/>
      </rPr>
      <t>劳动节</t>
    </r>
    <r>
      <rPr>
        <sz val="11.25"/>
        <color rgb="FF0F1115"/>
        <rFont val="Segoe UI"/>
        <family val="2"/>
      </rPr>
      <t xml:space="preserve">
</t>
    </r>
    <r>
      <rPr>
        <sz val="11.25"/>
        <color rgb="FF0F1115"/>
        <rFont val="微软雅黑"/>
        <charset val="134"/>
      </rPr>
      <t>劳动节</t>
    </r>
    <r>
      <rPr>
        <sz val="11.25"/>
        <color rgb="FF0F1115"/>
        <rFont val="Segoe UI"/>
        <family val="2"/>
      </rPr>
      <t xml:space="preserve">
</t>
    </r>
    <r>
      <rPr>
        <sz val="11.25"/>
        <color rgb="FF0F1115"/>
        <rFont val="微软雅黑"/>
        <charset val="134"/>
      </rPr>
      <t>端午节</t>
    </r>
    <r>
      <rPr>
        <sz val="11.25"/>
        <color rgb="FF0F1115"/>
        <rFont val="Segoe UI"/>
        <family val="2"/>
      </rPr>
      <t xml:space="preserve">
</t>
    </r>
    <r>
      <rPr>
        <sz val="11.25"/>
        <color rgb="FF0F1115"/>
        <rFont val="微软雅黑"/>
        <charset val="134"/>
      </rPr>
      <t>端午节</t>
    </r>
    <r>
      <rPr>
        <sz val="11.25"/>
        <color rgb="FF0F1115"/>
        <rFont val="Segoe UI"/>
        <family val="2"/>
      </rPr>
      <t xml:space="preserve">
</t>
    </r>
    <r>
      <rPr>
        <sz val="11.25"/>
        <color rgb="FF0F1115"/>
        <rFont val="微软雅黑"/>
        <charset val="134"/>
      </rPr>
      <t>端午节</t>
    </r>
  </si>
  <si>
    <t>Qingming Festival</t>
  </si>
  <si>
    <t>Dragon Boat Festival</t>
  </si>
  <si>
    <t>National Day</t>
  </si>
  <si>
    <t>Structural+I180</t>
  </si>
  <si>
    <t>issued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</si>
</sst>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yyyy/m/d;@"/>
    <numFmt numFmtId="165" formatCode="yy\.mm\.dd"/>
    <numFmt numFmtId="166" formatCode="0_);[Red]\(0\)"/>
    <numFmt numFmtId="167" formatCode="0.0%"/>
    <numFmt numFmtId="168" formatCode="0.000%"/>
    <numFmt numFmtId="169" formatCode="yy/m/d;@"/>
    <numFmt numFmtId="170" formatCode="yyyy/mm/dd;@"/>
    <numFmt numFmtId="171" formatCode="[$-409]d\-mmm\-yy;@"/>
    <numFmt numFmtId="172" formatCode="m/d/yyyy;@"/>
    <numFmt numFmtId="173" formatCode="[$-409]dd\-mmm\-yy;@"/>
    <numFmt numFmtId="174" formatCode="0.00_);[Red]\(0.00\)"/>
    <numFmt numFmtId="175" formatCode="0.00_ "/>
  </numFmts>
  <fonts count="51">
    <font>
      <sz val="11"/>
      <color theme="1"/>
      <name val="Calibri"/>
      <charset val="134"/>
      <scheme val="minor"/>
    </font>
    <font>
      <sz val="10"/>
      <color rgb="FF000000"/>
      <name val="Arial"/>
      <family val="2"/>
    </font>
    <font>
      <sz val="10"/>
      <name val="Arial"/>
      <family val="2"/>
    </font>
    <font>
      <sz val="10"/>
      <color rgb="FF000000"/>
      <name val="Times New Roman"/>
      <family val="1"/>
    </font>
    <font>
      <sz val="11.25"/>
      <color rgb="FF0F1115"/>
      <name val="Segoe UI"/>
      <family val="2"/>
    </font>
    <font>
      <sz val="11.25"/>
      <color rgb="FF0F1115"/>
      <name val="微软雅黑"/>
      <charset val="134"/>
    </font>
    <font>
      <sz val="11.25"/>
      <color rgb="FF0F1115"/>
      <name val="Arial"/>
      <family val="2"/>
    </font>
    <font>
      <sz val="11.5"/>
      <color rgb="FF0F1115"/>
      <name val="Arial"/>
      <family val="2"/>
    </font>
    <font>
      <sz val="11.5"/>
      <color rgb="FF0F1115"/>
      <name val="宋体"/>
      <charset val="134"/>
    </font>
    <font>
      <b/>
      <sz val="16"/>
      <name val="Times New Roman"/>
      <family val="1"/>
    </font>
    <font>
      <b/>
      <sz val="10"/>
      <name val="Times New Roman"/>
      <family val="1"/>
    </font>
    <font>
      <b/>
      <sz val="8"/>
      <name val="Times New Roman"/>
      <family val="1"/>
    </font>
    <font>
      <sz val="10"/>
      <name val="Times New Roman"/>
      <family val="1"/>
    </font>
    <font>
      <sz val="14"/>
      <name val="宋体"/>
      <charset val="134"/>
    </font>
    <font>
      <sz val="12"/>
      <name val="Arial"/>
      <family val="2"/>
    </font>
    <font>
      <sz val="9"/>
      <name val="Arial"/>
      <family val="2"/>
    </font>
    <font>
      <sz val="12"/>
      <name val="Times New Roman"/>
      <family val="1"/>
    </font>
    <font>
      <b/>
      <sz val="12"/>
      <name val="Arial"/>
      <family val="2"/>
    </font>
    <font>
      <b/>
      <sz val="20"/>
      <name val="Arial"/>
      <family val="2"/>
    </font>
    <font>
      <sz val="20"/>
      <name val="Arial"/>
      <family val="2"/>
    </font>
    <font>
      <b/>
      <u/>
      <sz val="10"/>
      <name val="Times New Roman"/>
      <family val="1"/>
    </font>
    <font>
      <u/>
      <sz val="10"/>
      <name val="Times New Roman"/>
      <family val="1"/>
    </font>
    <font>
      <b/>
      <sz val="9"/>
      <name val="Arial"/>
      <family val="2"/>
    </font>
    <font>
      <sz val="8"/>
      <name val="Arial"/>
      <family val="2"/>
    </font>
    <font>
      <b/>
      <sz val="8"/>
      <name val="Arial"/>
      <family val="2"/>
    </font>
    <font>
      <sz val="10"/>
      <name val="Arial Narrow"/>
      <family val="2"/>
    </font>
    <font>
      <sz val="9"/>
      <name val="Arial Narrow"/>
      <family val="2"/>
    </font>
    <font>
      <sz val="9"/>
      <color rgb="FFFF0000"/>
      <name val="Arial"/>
      <family val="2"/>
    </font>
    <font>
      <u/>
      <sz val="9"/>
      <name val="Arial"/>
      <family val="2"/>
    </font>
    <font>
      <sz val="9"/>
      <color indexed="8"/>
      <name val="Arial"/>
      <family val="2"/>
    </font>
    <font>
      <sz val="10"/>
      <color rgb="FFFF0000"/>
      <name val="Times New Roman"/>
      <family val="1"/>
    </font>
    <font>
      <b/>
      <sz val="11"/>
      <color theme="1"/>
      <name val="Calibri"/>
      <family val="2"/>
      <scheme val="minor"/>
    </font>
    <font>
      <b/>
      <sz val="11"/>
      <name val="Calibri"/>
      <family val="2"/>
      <scheme val="minor"/>
    </font>
    <font>
      <sz val="11"/>
      <name val="Calibri"/>
      <family val="2"/>
      <scheme val="minor"/>
    </font>
    <font>
      <sz val="11"/>
      <color rgb="FFFF0000"/>
      <name val="Calibri"/>
      <family val="2"/>
      <scheme val="minor"/>
    </font>
    <font>
      <sz val="10"/>
      <color rgb="FFFF0000"/>
      <name val="Arial Narrow"/>
      <family val="2"/>
    </font>
    <font>
      <b/>
      <sz val="11"/>
      <name val="Arial"/>
      <family val="2"/>
    </font>
    <font>
      <sz val="11"/>
      <name val="Arial"/>
      <family val="2"/>
    </font>
    <font>
      <strike/>
      <sz val="10"/>
      <name val="Arial"/>
      <family val="2"/>
    </font>
    <font>
      <sz val="10"/>
      <color rgb="FFFF0000"/>
      <name val="Arial"/>
      <family val="2"/>
    </font>
    <font>
      <sz val="11"/>
      <color theme="1"/>
      <name val="Arial"/>
      <family val="2"/>
    </font>
    <font>
      <sz val="11"/>
      <color rgb="FFFF0000"/>
      <name val="Arial"/>
      <family val="2"/>
    </font>
    <font>
      <b/>
      <sz val="11"/>
      <color theme="1"/>
      <name val="Arial"/>
      <family val="2"/>
    </font>
    <font>
      <b/>
      <sz val="12"/>
      <color theme="1"/>
      <name val="Arial"/>
      <family val="2"/>
    </font>
    <font>
      <b/>
      <sz val="16"/>
      <name val="Arial"/>
      <family val="2"/>
    </font>
    <font>
      <b/>
      <sz val="10"/>
      <name val="Arial"/>
      <family val="2"/>
    </font>
    <font>
      <sz val="10"/>
      <name val="SimSun"/>
    </font>
    <font>
      <u/>
      <sz val="14.4"/>
      <color indexed="12"/>
      <name val="Arial"/>
      <family val="2"/>
    </font>
    <font>
      <sz val="9"/>
      <name val="微软雅黑"/>
      <charset val="134"/>
    </font>
    <font>
      <sz val="11"/>
      <color theme="1"/>
      <name val="Calibri"/>
      <family val="2"/>
      <scheme val="minor"/>
    </font>
    <font>
      <sz val="10"/>
      <name val="Arial"/>
      <family val="2"/>
    </font>
  </fonts>
  <fills count="26">
    <fill>
      <patternFill patternType="none"/>
    </fill>
    <fill>
      <patternFill patternType="gray125"/>
    </fill>
    <fill>
      <patternFill patternType="solid">
        <fgColor rgb="FFFFFFFF"/>
        <bgColor rgb="FF000000"/>
      </patternFill>
    </fill>
    <fill>
      <patternFill patternType="solid">
        <fgColor indexed="9"/>
        <bgColor indexed="64"/>
      </patternFill>
    </fill>
    <fill>
      <patternFill patternType="solid">
        <fgColor theme="4" tint="0.79961546678060247"/>
        <bgColor indexed="64"/>
      </patternFill>
    </fill>
    <fill>
      <patternFill patternType="solid">
        <fgColor theme="5" tint="0.59999389629810485"/>
        <bgColor indexed="64"/>
      </patternFill>
    </fill>
    <fill>
      <patternFill patternType="solid">
        <fgColor rgb="FFFFC000"/>
        <bgColor indexed="64"/>
      </patternFill>
    </fill>
    <fill>
      <patternFill patternType="solid">
        <fgColor rgb="FFFF0000"/>
        <bgColor indexed="64"/>
      </patternFill>
    </fill>
    <fill>
      <patternFill patternType="solid">
        <fgColor indexed="41"/>
        <bgColor indexed="64"/>
      </patternFill>
    </fill>
    <fill>
      <patternFill patternType="solid">
        <fgColor indexed="42"/>
        <bgColor indexed="64"/>
      </patternFill>
    </fill>
    <fill>
      <patternFill patternType="solid">
        <fgColor theme="5" tint="0.39960936307870726"/>
        <bgColor indexed="64"/>
      </patternFill>
    </fill>
    <fill>
      <patternFill patternType="solid">
        <fgColor indexed="43"/>
        <bgColor indexed="64"/>
      </patternFill>
    </fill>
    <fill>
      <patternFill patternType="solid">
        <fgColor theme="7" tint="0.39960936307870726"/>
        <bgColor indexed="64"/>
      </patternFill>
    </fill>
    <fill>
      <patternFill patternType="solid">
        <fgColor theme="7" tint="0.79961546678060247"/>
        <bgColor indexed="64"/>
      </patternFill>
    </fill>
    <fill>
      <patternFill patternType="solid">
        <fgColor theme="5" tint="0.79961546678060247"/>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92D050"/>
        <bgColor indexed="64"/>
      </patternFill>
    </fill>
    <fill>
      <patternFill patternType="solid">
        <fgColor theme="7"/>
        <bgColor indexed="64"/>
      </patternFill>
    </fill>
    <fill>
      <patternFill patternType="solid">
        <fgColor theme="5" tint="0.79970702230903046"/>
        <bgColor indexed="64"/>
      </patternFill>
    </fill>
    <fill>
      <patternFill patternType="solid">
        <fgColor rgb="FFFFF2CC"/>
        <bgColor indexed="64"/>
      </patternFill>
    </fill>
    <fill>
      <patternFill patternType="solid">
        <fgColor theme="8" tint="0.79992065187536243"/>
        <bgColor indexed="64"/>
      </patternFill>
    </fill>
    <fill>
      <patternFill patternType="solid">
        <fgColor theme="0" tint="-4.9989318521683403E-2"/>
        <bgColor indexed="64"/>
      </patternFill>
    </fill>
    <fill>
      <patternFill patternType="solid">
        <fgColor theme="0" tint="-0.34998626667073579"/>
        <bgColor indexed="64"/>
      </patternFill>
    </fill>
  </fills>
  <borders count="4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thin">
        <color auto="1"/>
      </right>
      <top style="double">
        <color auto="1"/>
      </top>
      <bottom style="hair">
        <color auto="1"/>
      </bottom>
      <diagonal/>
    </border>
    <border>
      <left style="double">
        <color auto="1"/>
      </left>
      <right style="thin">
        <color auto="1"/>
      </right>
      <top style="double">
        <color auto="1"/>
      </top>
      <bottom/>
      <diagonal/>
    </border>
    <border>
      <left style="thin">
        <color auto="1"/>
      </left>
      <right style="medium">
        <color auto="1"/>
      </right>
      <top style="double">
        <color auto="1"/>
      </top>
      <bottom style="hair">
        <color auto="1"/>
      </bottom>
      <diagonal/>
    </border>
    <border>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thin">
        <color auto="1"/>
      </right>
      <top style="hair">
        <color auto="1"/>
      </top>
      <bottom style="hair">
        <color auto="1"/>
      </bottom>
      <diagonal/>
    </border>
    <border>
      <left style="thin">
        <color auto="1"/>
      </left>
      <right/>
      <top style="hair">
        <color auto="1"/>
      </top>
      <bottom style="hair">
        <color auto="1"/>
      </bottom>
      <diagonal/>
    </border>
    <border>
      <left style="double">
        <color auto="1"/>
      </left>
      <right style="thin">
        <color auto="1"/>
      </right>
      <top/>
      <bottom/>
      <diagonal/>
    </border>
    <border>
      <left style="thin">
        <color auto="1"/>
      </left>
      <right style="medium">
        <color auto="1"/>
      </right>
      <top style="hair">
        <color auto="1"/>
      </top>
      <bottom style="hair">
        <color auto="1"/>
      </bottom>
      <diagonal/>
    </border>
    <border>
      <left style="medium">
        <color auto="1"/>
      </left>
      <right style="thin">
        <color auto="1"/>
      </right>
      <top/>
      <bottom style="double">
        <color auto="1"/>
      </bottom>
      <diagonal/>
    </border>
    <border>
      <left style="thin">
        <color auto="1"/>
      </left>
      <right style="thin">
        <color auto="1"/>
      </right>
      <top/>
      <bottom style="double">
        <color auto="1"/>
      </bottom>
      <diagonal/>
    </border>
    <border>
      <left style="thin">
        <color auto="1"/>
      </left>
      <right style="thin">
        <color auto="1"/>
      </right>
      <top style="hair">
        <color auto="1"/>
      </top>
      <bottom style="double">
        <color auto="1"/>
      </bottom>
      <diagonal/>
    </border>
    <border>
      <left style="double">
        <color auto="1"/>
      </left>
      <right style="thin">
        <color auto="1"/>
      </right>
      <top/>
      <bottom style="double">
        <color auto="1"/>
      </bottom>
      <diagonal/>
    </border>
    <border>
      <left style="thin">
        <color auto="1"/>
      </left>
      <right style="medium">
        <color auto="1"/>
      </right>
      <top style="hair">
        <color auto="1"/>
      </top>
      <bottom style="double">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style="double">
        <color auto="1"/>
      </right>
      <top style="double">
        <color auto="1"/>
      </top>
      <bottom/>
      <diagonal/>
    </border>
    <border>
      <left style="thin">
        <color auto="1"/>
      </left>
      <right style="double">
        <color auto="1"/>
      </right>
      <top/>
      <bottom/>
      <diagonal/>
    </border>
    <border>
      <left style="thin">
        <color auto="1"/>
      </left>
      <right style="double">
        <color auto="1"/>
      </right>
      <top/>
      <bottom style="double">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auto="1"/>
      </right>
      <top/>
      <bottom/>
      <diagonal/>
    </border>
    <border>
      <left style="thin">
        <color auto="1"/>
      </left>
      <right style="thin">
        <color auto="1"/>
      </right>
      <top/>
      <bottom style="hair">
        <color auto="1"/>
      </bottom>
      <diagonal/>
    </border>
    <border>
      <left style="thin">
        <color auto="1"/>
      </left>
      <right style="thin">
        <color auto="1"/>
      </right>
      <top style="hair">
        <color auto="1"/>
      </top>
      <bottom/>
      <diagonal/>
    </border>
    <border>
      <left style="thin">
        <color rgb="FF000000"/>
      </left>
      <right style="thin">
        <color rgb="FF000000"/>
      </right>
      <top/>
      <bottom style="double">
        <color rgb="FF000000"/>
      </bottom>
      <diagonal/>
    </border>
    <border>
      <left style="thin">
        <color rgb="FF000000"/>
      </left>
      <right style="thin">
        <color rgb="FF000000"/>
      </right>
      <top/>
      <bottom style="double">
        <color auto="1"/>
      </bottom>
      <diagonal/>
    </border>
    <border>
      <left style="thin">
        <color rgb="FF000000"/>
      </left>
      <right style="thin">
        <color auto="1"/>
      </right>
      <top/>
      <bottom style="double">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double">
        <color rgb="FF000000"/>
      </bottom>
      <diagonal/>
    </border>
  </borders>
  <cellStyleXfs count="8">
    <xf numFmtId="0" fontId="0" fillId="0" borderId="0"/>
    <xf numFmtId="43" fontId="49" fillId="0" borderId="0" applyFont="0" applyFill="0" applyBorder="0" applyAlignment="0" applyProtection="0"/>
    <xf numFmtId="9" fontId="49" fillId="0" borderId="0" applyFont="0" applyFill="0" applyBorder="0" applyAlignment="0" applyProtection="0"/>
    <xf numFmtId="0" fontId="47" fillId="0" borderId="0" applyNumberFormat="0" applyFill="0" applyBorder="0" applyAlignment="0" applyProtection="0">
      <alignment vertical="top"/>
      <protection locked="0"/>
    </xf>
    <xf numFmtId="0" fontId="49" fillId="0" borderId="0"/>
    <xf numFmtId="0" fontId="14" fillId="0" borderId="0"/>
    <xf numFmtId="0" fontId="3" fillId="0" borderId="0"/>
    <xf numFmtId="0" fontId="3" fillId="0" borderId="0"/>
  </cellStyleXfs>
  <cellXfs count="519">
    <xf numFmtId="0" fontId="0" fillId="0" borderId="0" xfId="0"/>
    <xf numFmtId="0" fontId="1" fillId="0" borderId="0" xfId="7" applyFont="1" applyAlignment="1">
      <alignment horizontal="left" vertical="top"/>
    </xf>
    <xf numFmtId="0" fontId="2" fillId="0" borderId="0" xfId="6" applyFont="1" applyAlignment="1">
      <alignment horizontal="center" vertical="center"/>
    </xf>
    <xf numFmtId="164" fontId="3" fillId="0" borderId="0" xfId="7" applyNumberFormat="1" applyAlignment="1">
      <alignment horizontal="center" vertical="top"/>
    </xf>
    <xf numFmtId="0" fontId="3" fillId="0" borderId="0" xfId="7" applyAlignment="1">
      <alignment horizontal="left" vertical="top"/>
    </xf>
    <xf numFmtId="164" fontId="4" fillId="2" borderId="1" xfId="5" applyNumberFormat="1" applyFont="1" applyFill="1" applyBorder="1" applyAlignment="1">
      <alignment horizontal="center" wrapText="1"/>
    </xf>
    <xf numFmtId="0" fontId="4" fillId="2" borderId="2" xfId="5" applyFont="1" applyFill="1" applyBorder="1" applyAlignment="1">
      <alignment horizontal="left" wrapText="1"/>
    </xf>
    <xf numFmtId="164" fontId="4" fillId="2" borderId="3" xfId="5" applyNumberFormat="1" applyFont="1" applyFill="1" applyBorder="1" applyAlignment="1">
      <alignment horizontal="center" wrapText="1"/>
    </xf>
    <xf numFmtId="0" fontId="4" fillId="2" borderId="4" xfId="5" applyFont="1" applyFill="1" applyBorder="1" applyAlignment="1">
      <alignment wrapText="1"/>
    </xf>
    <xf numFmtId="0" fontId="1" fillId="0" borderId="0" xfId="6" applyFont="1" applyAlignment="1">
      <alignment vertical="center"/>
    </xf>
    <xf numFmtId="0" fontId="5" fillId="2" borderId="4" xfId="5" applyFont="1" applyFill="1" applyBorder="1" applyAlignment="1">
      <alignment wrapText="1"/>
    </xf>
    <xf numFmtId="164" fontId="1" fillId="0" borderId="0" xfId="7" applyNumberFormat="1" applyFont="1" applyAlignment="1">
      <alignment horizontal="center" vertical="top"/>
    </xf>
    <xf numFmtId="164" fontId="6" fillId="2" borderId="1" xfId="5" applyNumberFormat="1" applyFont="1" applyFill="1" applyBorder="1" applyAlignment="1">
      <alignment horizontal="center" wrapText="1"/>
    </xf>
    <xf numFmtId="0" fontId="6" fillId="2" borderId="2" xfId="5" applyFont="1" applyFill="1" applyBorder="1" applyAlignment="1">
      <alignment horizontal="left" wrapText="1"/>
    </xf>
    <xf numFmtId="164" fontId="6" fillId="2" borderId="3" xfId="5" applyNumberFormat="1" applyFont="1" applyFill="1" applyBorder="1" applyAlignment="1">
      <alignment horizontal="center" wrapText="1"/>
    </xf>
    <xf numFmtId="0" fontId="7" fillId="2" borderId="4" xfId="5" applyFont="1" applyFill="1" applyBorder="1" applyAlignment="1">
      <alignment wrapText="1"/>
    </xf>
    <xf numFmtId="0" fontId="8" fillId="2" borderId="4" xfId="5" applyFont="1" applyFill="1" applyBorder="1" applyAlignment="1">
      <alignment wrapText="1"/>
    </xf>
    <xf numFmtId="0" fontId="9" fillId="3" borderId="0" xfId="0" applyFont="1" applyFill="1"/>
    <xf numFmtId="0" fontId="10" fillId="3" borderId="0" xfId="0" applyFont="1" applyFill="1" applyAlignment="1">
      <alignment vertical="center"/>
    </xf>
    <xf numFmtId="0" fontId="11" fillId="3" borderId="0" xfId="0" applyFont="1" applyFill="1" applyAlignment="1">
      <alignment vertical="center"/>
    </xf>
    <xf numFmtId="0" fontId="12" fillId="3" borderId="0" xfId="0" applyFont="1" applyFill="1" applyAlignment="1">
      <alignment vertical="center"/>
    </xf>
    <xf numFmtId="0" fontId="12" fillId="3" borderId="0" xfId="0" applyFont="1" applyFill="1" applyAlignment="1">
      <alignment horizontal="left" vertical="center"/>
    </xf>
    <xf numFmtId="0" fontId="13" fillId="3" borderId="0" xfId="0" applyFont="1" applyFill="1"/>
    <xf numFmtId="0" fontId="13" fillId="3" borderId="0" xfId="0" applyFont="1" applyFill="1" applyAlignment="1">
      <alignment vertical="center"/>
    </xf>
    <xf numFmtId="0" fontId="14" fillId="0" borderId="0" xfId="0" applyFont="1" applyAlignment="1">
      <alignment horizontal="center"/>
    </xf>
    <xf numFmtId="0" fontId="14" fillId="0" borderId="0" xfId="0" applyFont="1"/>
    <xf numFmtId="0" fontId="2" fillId="3" borderId="0" xfId="0" applyFont="1" applyFill="1" applyAlignment="1">
      <alignment horizontal="left" wrapText="1"/>
    </xf>
    <xf numFmtId="0" fontId="15" fillId="3" borderId="0" xfId="0" applyFont="1" applyFill="1" applyAlignment="1">
      <alignment horizontal="left" vertical="top" wrapText="1"/>
    </xf>
    <xf numFmtId="0" fontId="16" fillId="3" borderId="0" xfId="0" applyFont="1" applyFill="1" applyAlignment="1">
      <alignment horizontal="center" vertical="center"/>
    </xf>
    <xf numFmtId="0" fontId="16" fillId="3" borderId="0" xfId="0" applyFont="1" applyFill="1"/>
    <xf numFmtId="165" fontId="16" fillId="0" borderId="0" xfId="0" applyNumberFormat="1" applyFont="1"/>
    <xf numFmtId="165" fontId="16" fillId="3" borderId="0" xfId="0" applyNumberFormat="1" applyFont="1" applyFill="1"/>
    <xf numFmtId="165" fontId="16" fillId="4" borderId="0" xfId="0" applyNumberFormat="1" applyFont="1" applyFill="1"/>
    <xf numFmtId="1" fontId="16" fillId="4" borderId="0" xfId="0" applyNumberFormat="1" applyFont="1" applyFill="1"/>
    <xf numFmtId="14" fontId="16" fillId="3" borderId="0" xfId="1" applyNumberFormat="1" applyFont="1" applyFill="1"/>
    <xf numFmtId="0" fontId="17" fillId="0" borderId="0" xfId="0" applyFont="1" applyAlignment="1">
      <alignment vertical="center"/>
    </xf>
    <xf numFmtId="0" fontId="15" fillId="0" borderId="0" xfId="0" applyFont="1" applyAlignment="1">
      <alignment horizontal="left" vertical="top"/>
    </xf>
    <xf numFmtId="0" fontId="14" fillId="0" borderId="0" xfId="0" applyFont="1" applyAlignment="1">
      <alignment horizontal="center" vertical="center"/>
    </xf>
    <xf numFmtId="0" fontId="18" fillId="0" borderId="0" xfId="0" applyFont="1" applyAlignment="1">
      <alignment vertical="center"/>
    </xf>
    <xf numFmtId="0" fontId="19" fillId="0" borderId="0" xfId="0" applyFont="1" applyAlignment="1">
      <alignment vertical="center"/>
    </xf>
    <xf numFmtId="14" fontId="14" fillId="0" borderId="0" xfId="0" applyNumberFormat="1" applyFont="1"/>
    <xf numFmtId="14" fontId="14" fillId="0" borderId="0" xfId="1" applyNumberFormat="1" applyFont="1"/>
    <xf numFmtId="0" fontId="14" fillId="4" borderId="0" xfId="0" applyFont="1" applyFill="1"/>
    <xf numFmtId="1" fontId="14" fillId="4" borderId="0" xfId="0" applyNumberFormat="1" applyFont="1" applyFill="1"/>
    <xf numFmtId="0" fontId="14" fillId="0" borderId="0" xfId="0" applyFont="1" applyAlignment="1">
      <alignment vertical="center"/>
    </xf>
    <xf numFmtId="0" fontId="15" fillId="0" borderId="0" xfId="0" applyFont="1" applyAlignment="1">
      <alignment horizontal="center" vertical="center"/>
    </xf>
    <xf numFmtId="0" fontId="15" fillId="0" borderId="0" xfId="0" applyFont="1" applyAlignment="1">
      <alignment vertical="center"/>
    </xf>
    <xf numFmtId="166" fontId="20" fillId="0" borderId="0" xfId="0" applyNumberFormat="1" applyFont="1" applyAlignment="1">
      <alignment horizontal="right" vertical="center"/>
    </xf>
    <xf numFmtId="0" fontId="15" fillId="5" borderId="0" xfId="0" applyFont="1" applyFill="1" applyAlignment="1">
      <alignment vertical="center"/>
    </xf>
    <xf numFmtId="14" fontId="14" fillId="0" borderId="0" xfId="0" applyNumberFormat="1" applyFont="1" applyAlignment="1">
      <alignment horizontal="center" vertical="center"/>
    </xf>
    <xf numFmtId="0" fontId="15" fillId="6" borderId="0" xfId="0" applyFont="1" applyFill="1" applyAlignment="1">
      <alignment vertical="center"/>
    </xf>
    <xf numFmtId="0" fontId="15" fillId="7" borderId="0" xfId="0" applyFont="1" applyFill="1" applyAlignment="1">
      <alignment vertical="center"/>
    </xf>
    <xf numFmtId="167" fontId="10" fillId="3" borderId="0" xfId="1" applyNumberFormat="1" applyFont="1" applyFill="1" applyBorder="1" applyAlignment="1"/>
    <xf numFmtId="168" fontId="10" fillId="3" borderId="0" xfId="1" applyNumberFormat="1" applyFont="1" applyFill="1" applyBorder="1" applyAlignment="1"/>
    <xf numFmtId="166" fontId="21" fillId="3" borderId="0" xfId="0" applyNumberFormat="1" applyFont="1" applyFill="1" applyAlignment="1">
      <alignment horizontal="right" vertical="center"/>
    </xf>
    <xf numFmtId="166" fontId="21" fillId="4" borderId="0" xfId="0" applyNumberFormat="1" applyFont="1" applyFill="1" applyAlignment="1">
      <alignment horizontal="right" vertical="center"/>
    </xf>
    <xf numFmtId="1" fontId="21" fillId="4" borderId="0" xfId="0" applyNumberFormat="1" applyFont="1" applyFill="1" applyAlignment="1">
      <alignment horizontal="right" vertical="center"/>
    </xf>
    <xf numFmtId="164" fontId="10" fillId="3" borderId="0" xfId="0" applyNumberFormat="1" applyFont="1" applyFill="1" applyAlignment="1">
      <alignment horizontal="right" vertical="center"/>
    </xf>
    <xf numFmtId="164" fontId="10" fillId="3" borderId="0" xfId="0" applyNumberFormat="1" applyFont="1" applyFill="1" applyAlignment="1">
      <alignment horizontal="center" vertical="center"/>
    </xf>
    <xf numFmtId="14" fontId="9" fillId="3" borderId="0" xfId="1" applyNumberFormat="1" applyFont="1" applyFill="1"/>
    <xf numFmtId="0" fontId="22" fillId="8" borderId="1" xfId="0" applyFont="1" applyFill="1" applyBorder="1" applyAlignment="1">
      <alignment horizontal="center" vertical="center" wrapText="1"/>
    </xf>
    <xf numFmtId="169" fontId="23" fillId="9" borderId="2" xfId="0" applyNumberFormat="1" applyFont="1" applyFill="1" applyBorder="1" applyAlignment="1">
      <alignment horizontal="center"/>
    </xf>
    <xf numFmtId="169" fontId="23" fillId="9" borderId="1" xfId="0" applyNumberFormat="1" applyFont="1" applyFill="1" applyBorder="1" applyAlignment="1">
      <alignment horizontal="center"/>
    </xf>
    <xf numFmtId="14" fontId="10" fillId="3" borderId="0" xfId="1" applyNumberFormat="1" applyFont="1" applyFill="1" applyAlignment="1">
      <alignment vertical="center"/>
    </xf>
    <xf numFmtId="0" fontId="24" fillId="8" borderId="1" xfId="0" applyFont="1" applyFill="1" applyBorder="1" applyAlignment="1">
      <alignment vertical="center" wrapText="1"/>
    </xf>
    <xf numFmtId="0" fontId="24" fillId="8" borderId="1" xfId="0" applyFont="1" applyFill="1" applyBorder="1" applyAlignment="1">
      <alignment horizontal="center" vertical="center" wrapText="1"/>
    </xf>
    <xf numFmtId="0" fontId="22" fillId="8" borderId="1" xfId="0" applyFont="1" applyFill="1" applyBorder="1" applyAlignment="1">
      <alignment horizontal="left" vertical="top" wrapText="1"/>
    </xf>
    <xf numFmtId="0" fontId="24" fillId="8" borderId="6" xfId="0" applyFont="1" applyFill="1" applyBorder="1" applyAlignment="1">
      <alignment horizontal="center" vertical="center" wrapText="1"/>
    </xf>
    <xf numFmtId="0" fontId="24" fillId="8" borderId="7" xfId="0" applyFont="1" applyFill="1" applyBorder="1" applyAlignment="1">
      <alignment horizontal="center" vertical="center" wrapText="1"/>
    </xf>
    <xf numFmtId="0" fontId="24" fillId="8" borderId="2" xfId="0" applyFont="1" applyFill="1" applyBorder="1" applyAlignment="1">
      <alignment horizontal="center" vertical="center" wrapText="1"/>
    </xf>
    <xf numFmtId="0" fontId="24" fillId="4" borderId="1" xfId="0" applyFont="1" applyFill="1" applyBorder="1" applyAlignment="1">
      <alignment horizontal="center" vertical="center" wrapText="1"/>
    </xf>
    <xf numFmtId="1" fontId="24" fillId="4" borderId="1" xfId="0" applyNumberFormat="1" applyFont="1" applyFill="1" applyBorder="1" applyAlignment="1">
      <alignment horizontal="center" vertical="center" wrapText="1"/>
    </xf>
    <xf numFmtId="14" fontId="11" fillId="3" borderId="0" xfId="1" applyNumberFormat="1" applyFont="1" applyFill="1" applyAlignment="1">
      <alignment vertical="center"/>
    </xf>
    <xf numFmtId="9" fontId="24" fillId="8" borderId="1" xfId="2" applyFont="1" applyFill="1" applyBorder="1" applyAlignment="1">
      <alignment horizontal="center" vertical="center" wrapText="1"/>
    </xf>
    <xf numFmtId="9" fontId="24" fillId="8" borderId="6" xfId="2" applyFont="1" applyFill="1" applyBorder="1" applyAlignment="1">
      <alignment horizontal="center" vertical="center" wrapText="1"/>
    </xf>
    <xf numFmtId="9" fontId="24" fillId="8" borderId="7" xfId="2" applyFont="1" applyFill="1" applyBorder="1" applyAlignment="1">
      <alignment horizontal="center" vertical="center" wrapText="1"/>
    </xf>
    <xf numFmtId="9" fontId="24" fillId="8" borderId="2" xfId="2" applyFont="1" applyFill="1" applyBorder="1" applyAlignment="1">
      <alignment horizontal="center" vertical="center" wrapText="1"/>
    </xf>
    <xf numFmtId="9" fontId="24" fillId="4" borderId="1" xfId="2" applyFont="1" applyFill="1" applyBorder="1" applyAlignment="1">
      <alignment horizontal="center" vertical="center" wrapText="1"/>
    </xf>
    <xf numFmtId="1" fontId="24" fillId="4" borderId="1" xfId="2" applyNumberFormat="1" applyFont="1" applyFill="1" applyBorder="1" applyAlignment="1">
      <alignment horizontal="center" vertical="center" wrapText="1"/>
    </xf>
    <xf numFmtId="0" fontId="25" fillId="3" borderId="9" xfId="0" applyFont="1" applyFill="1" applyBorder="1" applyAlignment="1">
      <alignment horizontal="center" vertical="center" wrapText="1"/>
    </xf>
    <xf numFmtId="0" fontId="15" fillId="9" borderId="10" xfId="0" applyFont="1" applyFill="1" applyBorder="1" applyAlignment="1">
      <alignment horizontal="center" vertical="center" wrapText="1"/>
    </xf>
    <xf numFmtId="0" fontId="15" fillId="3" borderId="10" xfId="0" applyFont="1" applyFill="1" applyBorder="1" applyAlignment="1">
      <alignment horizontal="center" vertical="center" wrapText="1"/>
    </xf>
    <xf numFmtId="0" fontId="15" fillId="0" borderId="10" xfId="0" applyFont="1" applyBorder="1" applyAlignment="1">
      <alignment horizontal="center" vertical="center" wrapText="1"/>
    </xf>
    <xf numFmtId="0" fontId="15" fillId="10" borderId="10" xfId="0" applyFont="1" applyFill="1" applyBorder="1" applyAlignment="1">
      <alignment horizontal="center" vertical="center" wrapText="1"/>
    </xf>
    <xf numFmtId="10" fontId="15" fillId="3" borderId="10" xfId="0" applyNumberFormat="1" applyFont="1" applyFill="1" applyBorder="1" applyAlignment="1">
      <alignment horizontal="center" vertical="center" wrapText="1"/>
    </xf>
    <xf numFmtId="0" fontId="15" fillId="11" borderId="10" xfId="0" applyFont="1" applyFill="1" applyBorder="1" applyAlignment="1">
      <alignment horizontal="center" vertical="center"/>
    </xf>
    <xf numFmtId="164" fontId="15" fillId="11" borderId="10" xfId="0" applyNumberFormat="1" applyFont="1" applyFill="1" applyBorder="1" applyAlignment="1">
      <alignment horizontal="center" vertical="center"/>
    </xf>
    <xf numFmtId="0" fontId="15" fillId="9" borderId="9" xfId="0" applyFont="1" applyFill="1" applyBorder="1" applyAlignment="1">
      <alignment horizontal="center" vertical="center" wrapText="1"/>
    </xf>
    <xf numFmtId="14" fontId="15" fillId="12" borderId="9" xfId="0" applyNumberFormat="1" applyFont="1" applyFill="1" applyBorder="1" applyAlignment="1">
      <alignment horizontal="center" vertical="center" wrapText="1"/>
    </xf>
    <xf numFmtId="1" fontId="15" fillId="12" borderId="9" xfId="0" applyNumberFormat="1" applyFont="1" applyFill="1" applyBorder="1" applyAlignment="1">
      <alignment horizontal="center" vertical="center" wrapText="1"/>
    </xf>
    <xf numFmtId="166" fontId="15" fillId="11" borderId="10" xfId="0" applyNumberFormat="1" applyFont="1" applyFill="1" applyBorder="1" applyAlignment="1">
      <alignment horizontal="center" vertical="center"/>
    </xf>
    <xf numFmtId="0" fontId="28" fillId="11" borderId="12" xfId="3" applyNumberFormat="1" applyFont="1" applyFill="1" applyBorder="1" applyAlignment="1" applyProtection="1">
      <alignment horizontal="center" vertical="center"/>
    </xf>
    <xf numFmtId="10" fontId="25" fillId="3" borderId="13" xfId="0" applyNumberFormat="1" applyFont="1" applyFill="1" applyBorder="1" applyAlignment="1">
      <alignment horizontal="center" vertical="center"/>
    </xf>
    <xf numFmtId="10" fontId="25" fillId="3" borderId="14" xfId="0" applyNumberFormat="1" applyFont="1" applyFill="1" applyBorder="1" applyAlignment="1">
      <alignment horizontal="center" vertical="center"/>
    </xf>
    <xf numFmtId="14" fontId="12" fillId="3" borderId="0" xfId="1" applyNumberFormat="1" applyFont="1" applyFill="1" applyAlignment="1">
      <alignment vertical="center"/>
    </xf>
    <xf numFmtId="0" fontId="25" fillId="3" borderId="16" xfId="0" applyFont="1" applyFill="1" applyBorder="1" applyAlignment="1">
      <alignment horizontal="center" vertical="center" wrapText="1"/>
    </xf>
    <xf numFmtId="0" fontId="15" fillId="9" borderId="17" xfId="0" applyFont="1" applyFill="1" applyBorder="1" applyAlignment="1">
      <alignment horizontal="center" vertical="center" wrapText="1"/>
    </xf>
    <xf numFmtId="0" fontId="15" fillId="3" borderId="17" xfId="0" applyFont="1" applyFill="1" applyBorder="1" applyAlignment="1">
      <alignment horizontal="center" vertical="center" wrapText="1"/>
    </xf>
    <xf numFmtId="0" fontId="15" fillId="0" borderId="17" xfId="0" applyFont="1" applyBorder="1" applyAlignment="1">
      <alignment horizontal="center" vertical="center"/>
    </xf>
    <xf numFmtId="0" fontId="15" fillId="10" borderId="17" xfId="0" applyFont="1" applyFill="1" applyBorder="1" applyAlignment="1">
      <alignment horizontal="center" vertical="center"/>
    </xf>
    <xf numFmtId="10" fontId="15" fillId="3" borderId="17" xfId="0" applyNumberFormat="1" applyFont="1" applyFill="1" applyBorder="1" applyAlignment="1">
      <alignment horizontal="center" vertical="center" wrapText="1"/>
    </xf>
    <xf numFmtId="0" fontId="15" fillId="9" borderId="17" xfId="0" applyFont="1" applyFill="1" applyBorder="1" applyAlignment="1">
      <alignment horizontal="center" vertical="center"/>
    </xf>
    <xf numFmtId="164" fontId="15" fillId="9" borderId="17" xfId="0" applyNumberFormat="1" applyFont="1" applyFill="1" applyBorder="1" applyAlignment="1">
      <alignment horizontal="center" vertical="center"/>
    </xf>
    <xf numFmtId="164" fontId="15" fillId="9" borderId="17" xfId="0" applyNumberFormat="1" applyFont="1" applyFill="1" applyBorder="1" applyAlignment="1">
      <alignment horizontal="center" vertical="center" wrapText="1"/>
    </xf>
    <xf numFmtId="164" fontId="15" fillId="9" borderId="18" xfId="0" applyNumberFormat="1" applyFont="1" applyFill="1" applyBorder="1" applyAlignment="1">
      <alignment horizontal="center" vertical="center"/>
    </xf>
    <xf numFmtId="0" fontId="15" fillId="9" borderId="16" xfId="0" applyFont="1" applyFill="1" applyBorder="1" applyAlignment="1">
      <alignment horizontal="center" vertical="center" wrapText="1"/>
    </xf>
    <xf numFmtId="14" fontId="15" fillId="12" borderId="16" xfId="0" applyNumberFormat="1" applyFont="1" applyFill="1" applyBorder="1" applyAlignment="1">
      <alignment horizontal="center" vertical="center" wrapText="1"/>
    </xf>
    <xf numFmtId="1" fontId="15" fillId="12" borderId="16" xfId="0" applyNumberFormat="1" applyFont="1" applyFill="1" applyBorder="1" applyAlignment="1">
      <alignment horizontal="center" vertical="center" wrapText="1"/>
    </xf>
    <xf numFmtId="166" fontId="15" fillId="9" borderId="17" xfId="0" applyNumberFormat="1" applyFont="1" applyFill="1" applyBorder="1" applyAlignment="1">
      <alignment horizontal="center" vertical="center"/>
    </xf>
    <xf numFmtId="0" fontId="15" fillId="9" borderId="20" xfId="0" applyFont="1" applyFill="1" applyBorder="1" applyAlignment="1">
      <alignment horizontal="center" vertical="center"/>
    </xf>
    <xf numFmtId="0" fontId="25" fillId="3" borderId="22" xfId="0" applyFont="1" applyFill="1" applyBorder="1" applyAlignment="1">
      <alignment horizontal="center" vertical="center" wrapText="1"/>
    </xf>
    <xf numFmtId="0" fontId="15" fillId="9" borderId="23" xfId="0" applyFont="1" applyFill="1" applyBorder="1" applyAlignment="1">
      <alignment horizontal="center" vertical="center" wrapText="1"/>
    </xf>
    <xf numFmtId="0" fontId="15" fillId="3" borderId="23" xfId="0" applyFont="1" applyFill="1" applyBorder="1" applyAlignment="1">
      <alignment horizontal="center" vertical="center" wrapText="1"/>
    </xf>
    <xf numFmtId="0" fontId="15" fillId="0" borderId="23" xfId="0" applyFont="1" applyBorder="1" applyAlignment="1">
      <alignment horizontal="center" vertical="center" wrapText="1"/>
    </xf>
    <xf numFmtId="10" fontId="15" fillId="3" borderId="23" xfId="0" applyNumberFormat="1" applyFont="1" applyFill="1" applyBorder="1" applyAlignment="1">
      <alignment horizontal="center" vertical="center" wrapText="1"/>
    </xf>
    <xf numFmtId="0" fontId="15" fillId="8" borderId="23" xfId="0" applyFont="1" applyFill="1" applyBorder="1" applyAlignment="1">
      <alignment horizontal="center" vertical="center"/>
    </xf>
    <xf numFmtId="0" fontId="15" fillId="9" borderId="22" xfId="0" applyFont="1" applyFill="1" applyBorder="1" applyAlignment="1">
      <alignment horizontal="center" vertical="center" wrapText="1"/>
    </xf>
    <xf numFmtId="14" fontId="15" fillId="4" borderId="22" xfId="0" applyNumberFormat="1" applyFont="1" applyFill="1" applyBorder="1" applyAlignment="1">
      <alignment horizontal="center" vertical="center" wrapText="1"/>
    </xf>
    <xf numFmtId="1" fontId="15" fillId="12" borderId="22" xfId="0" applyNumberFormat="1" applyFont="1" applyFill="1" applyBorder="1" applyAlignment="1">
      <alignment horizontal="center" vertical="center" wrapText="1"/>
    </xf>
    <xf numFmtId="166" fontId="15" fillId="8" borderId="23" xfId="0" applyNumberFormat="1" applyFont="1" applyFill="1" applyBorder="1" applyAlignment="1">
      <alignment horizontal="center" vertical="center"/>
    </xf>
    <xf numFmtId="0" fontId="15" fillId="8" borderId="25" xfId="0" applyFont="1" applyFill="1" applyBorder="1" applyAlignment="1">
      <alignment horizontal="center" vertical="center"/>
    </xf>
    <xf numFmtId="10" fontId="25" fillId="3" borderId="26" xfId="0" applyNumberFormat="1" applyFont="1" applyFill="1" applyBorder="1" applyAlignment="1">
      <alignment horizontal="center" vertical="center"/>
    </xf>
    <xf numFmtId="10" fontId="25" fillId="3" borderId="27" xfId="0" applyNumberFormat="1" applyFont="1" applyFill="1" applyBorder="1" applyAlignment="1">
      <alignment horizontal="center" vertical="center"/>
    </xf>
    <xf numFmtId="0" fontId="15" fillId="14" borderId="10" xfId="0" applyFont="1" applyFill="1" applyBorder="1" applyAlignment="1">
      <alignment horizontal="center" vertical="center" wrapText="1"/>
    </xf>
    <xf numFmtId="0" fontId="15" fillId="14" borderId="17" xfId="0" applyFont="1" applyFill="1" applyBorder="1" applyAlignment="1">
      <alignment horizontal="center" vertical="center"/>
    </xf>
    <xf numFmtId="170" fontId="15" fillId="9" borderId="17" xfId="0" applyNumberFormat="1" applyFont="1" applyFill="1" applyBorder="1" applyAlignment="1">
      <alignment horizontal="center" vertical="center" wrapText="1"/>
    </xf>
    <xf numFmtId="164" fontId="15" fillId="8" borderId="23" xfId="0" applyNumberFormat="1" applyFont="1" applyFill="1" applyBorder="1" applyAlignment="1">
      <alignment horizontal="center" vertical="center"/>
    </xf>
    <xf numFmtId="0" fontId="15" fillId="3" borderId="10" xfId="0" applyFont="1" applyFill="1" applyBorder="1" applyAlignment="1">
      <alignment horizontal="left" vertical="center" wrapText="1"/>
    </xf>
    <xf numFmtId="0" fontId="15" fillId="0" borderId="10" xfId="0" applyFont="1" applyBorder="1" applyAlignment="1">
      <alignment horizontal="left" vertical="center" wrapText="1"/>
    </xf>
    <xf numFmtId="10" fontId="15" fillId="3" borderId="10" xfId="0" applyNumberFormat="1" applyFont="1" applyFill="1" applyBorder="1" applyAlignment="1">
      <alignment horizontal="left" vertical="center" wrapText="1"/>
    </xf>
    <xf numFmtId="0" fontId="15" fillId="11" borderId="10" xfId="0" applyFont="1" applyFill="1" applyBorder="1" applyAlignment="1">
      <alignment horizontal="left" vertical="center"/>
    </xf>
    <xf numFmtId="166" fontId="15" fillId="11" borderId="10" xfId="0" applyNumberFormat="1" applyFont="1" applyFill="1" applyBorder="1" applyAlignment="1">
      <alignment horizontal="left" vertical="center"/>
    </xf>
    <xf numFmtId="0" fontId="28" fillId="11" borderId="12" xfId="3" applyNumberFormat="1" applyFont="1" applyFill="1" applyBorder="1" applyAlignment="1" applyProtection="1">
      <alignment horizontal="left" vertical="center"/>
    </xf>
    <xf numFmtId="10" fontId="25" fillId="3" borderId="13" xfId="0" applyNumberFormat="1" applyFont="1" applyFill="1" applyBorder="1" applyAlignment="1">
      <alignment horizontal="left" vertical="center"/>
    </xf>
    <xf numFmtId="10" fontId="25" fillId="3" borderId="14" xfId="0" applyNumberFormat="1" applyFont="1" applyFill="1" applyBorder="1" applyAlignment="1">
      <alignment horizontal="left" vertical="center"/>
    </xf>
    <xf numFmtId="14" fontId="12" fillId="3" borderId="0" xfId="1" applyNumberFormat="1" applyFont="1" applyFill="1" applyAlignment="1">
      <alignment horizontal="left" vertical="center"/>
    </xf>
    <xf numFmtId="0" fontId="15" fillId="3" borderId="17" xfId="0" applyFont="1" applyFill="1" applyBorder="1" applyAlignment="1">
      <alignment horizontal="left" vertical="center" wrapText="1"/>
    </xf>
    <xf numFmtId="0" fontId="15" fillId="0" borderId="17" xfId="0" applyFont="1" applyBorder="1" applyAlignment="1">
      <alignment horizontal="left" vertical="center"/>
    </xf>
    <xf numFmtId="10" fontId="15" fillId="3" borderId="17" xfId="0" applyNumberFormat="1" applyFont="1" applyFill="1" applyBorder="1" applyAlignment="1">
      <alignment horizontal="left" vertical="center" wrapText="1"/>
    </xf>
    <xf numFmtId="0" fontId="15" fillId="9" borderId="17" xfId="0" applyFont="1" applyFill="1" applyBorder="1" applyAlignment="1">
      <alignment horizontal="left" vertical="center"/>
    </xf>
    <xf numFmtId="164" fontId="15" fillId="9" borderId="17" xfId="0" applyNumberFormat="1" applyFont="1" applyFill="1" applyBorder="1" applyAlignment="1">
      <alignment horizontal="left" vertical="center"/>
    </xf>
    <xf numFmtId="164" fontId="15" fillId="9" borderId="17" xfId="0" applyNumberFormat="1" applyFont="1" applyFill="1" applyBorder="1" applyAlignment="1">
      <alignment horizontal="left" vertical="center" wrapText="1"/>
    </xf>
    <xf numFmtId="164" fontId="15" fillId="9" borderId="18" xfId="0" applyNumberFormat="1" applyFont="1" applyFill="1" applyBorder="1" applyAlignment="1">
      <alignment horizontal="left" vertical="center"/>
    </xf>
    <xf numFmtId="166" fontId="15" fillId="9" borderId="17" xfId="0" applyNumberFormat="1" applyFont="1" applyFill="1" applyBorder="1" applyAlignment="1">
      <alignment horizontal="left" vertical="center"/>
    </xf>
    <xf numFmtId="0" fontId="15" fillId="9" borderId="20" xfId="0" applyFont="1" applyFill="1" applyBorder="1" applyAlignment="1">
      <alignment horizontal="left" vertical="center"/>
    </xf>
    <xf numFmtId="0" fontId="15" fillId="3" borderId="23" xfId="0" applyFont="1" applyFill="1" applyBorder="1" applyAlignment="1">
      <alignment horizontal="left" vertical="center" wrapText="1"/>
    </xf>
    <xf numFmtId="0" fontId="15" fillId="0" borderId="23" xfId="0" applyFont="1" applyBorder="1" applyAlignment="1">
      <alignment horizontal="left" vertical="center" wrapText="1"/>
    </xf>
    <xf numFmtId="10" fontId="15" fillId="3" borderId="23" xfId="0" applyNumberFormat="1" applyFont="1" applyFill="1" applyBorder="1" applyAlignment="1">
      <alignment horizontal="left" vertical="center" wrapText="1"/>
    </xf>
    <xf numFmtId="0" fontId="15" fillId="8" borderId="23" xfId="0" applyFont="1" applyFill="1" applyBorder="1" applyAlignment="1">
      <alignment horizontal="left" vertical="center"/>
    </xf>
    <xf numFmtId="164" fontId="15" fillId="8" borderId="23" xfId="0" applyNumberFormat="1" applyFont="1" applyFill="1" applyBorder="1" applyAlignment="1">
      <alignment horizontal="left" vertical="center"/>
    </xf>
    <xf numFmtId="166" fontId="15" fillId="8" borderId="23" xfId="0" applyNumberFormat="1" applyFont="1" applyFill="1" applyBorder="1" applyAlignment="1">
      <alignment horizontal="left" vertical="center"/>
    </xf>
    <xf numFmtId="0" fontId="15" fillId="8" borderId="25" xfId="0" applyFont="1" applyFill="1" applyBorder="1" applyAlignment="1">
      <alignment horizontal="left" vertical="center"/>
    </xf>
    <xf numFmtId="10" fontId="25" fillId="3" borderId="26" xfId="0" applyNumberFormat="1" applyFont="1" applyFill="1" applyBorder="1" applyAlignment="1">
      <alignment horizontal="left" vertical="center"/>
    </xf>
    <xf numFmtId="10" fontId="25" fillId="3" borderId="27" xfId="0" applyNumberFormat="1" applyFont="1" applyFill="1" applyBorder="1" applyAlignment="1">
      <alignment horizontal="left" vertical="center"/>
    </xf>
    <xf numFmtId="0" fontId="25" fillId="3" borderId="9" xfId="0" applyFont="1" applyFill="1" applyBorder="1" applyAlignment="1">
      <alignment horizontal="left" vertical="center" wrapText="1"/>
    </xf>
    <xf numFmtId="164" fontId="15" fillId="11" borderId="10" xfId="0" applyNumberFormat="1" applyFont="1" applyFill="1" applyBorder="1" applyAlignment="1">
      <alignment horizontal="left" vertical="center"/>
    </xf>
    <xf numFmtId="0" fontId="25" fillId="3" borderId="16" xfId="0" applyFont="1" applyFill="1" applyBorder="1" applyAlignment="1">
      <alignment horizontal="left" vertical="center" wrapText="1"/>
    </xf>
    <xf numFmtId="0" fontId="25" fillId="3" borderId="22" xfId="0" applyFont="1" applyFill="1" applyBorder="1" applyAlignment="1">
      <alignment horizontal="left" vertical="center" wrapText="1"/>
    </xf>
    <xf numFmtId="0" fontId="15" fillId="0" borderId="10" xfId="0" applyFont="1" applyBorder="1" applyAlignment="1">
      <alignment horizontal="left" vertical="top" wrapText="1"/>
    </xf>
    <xf numFmtId="0" fontId="15" fillId="0" borderId="17" xfId="0" applyFont="1" applyBorder="1" applyAlignment="1">
      <alignment horizontal="left" vertical="top"/>
    </xf>
    <xf numFmtId="0" fontId="15" fillId="0" borderId="23" xfId="0" applyFont="1" applyBorder="1" applyAlignment="1">
      <alignment horizontal="left" vertical="top" wrapText="1"/>
    </xf>
    <xf numFmtId="0" fontId="15" fillId="15" borderId="10" xfId="0" applyFont="1" applyFill="1" applyBorder="1" applyAlignment="1">
      <alignment horizontal="center" vertical="center" wrapText="1"/>
    </xf>
    <xf numFmtId="0" fontId="15" fillId="15" borderId="17" xfId="0" applyFont="1" applyFill="1" applyBorder="1" applyAlignment="1">
      <alignment horizontal="center" vertical="center"/>
    </xf>
    <xf numFmtId="0" fontId="29" fillId="15" borderId="23" xfId="0" applyFont="1" applyFill="1" applyBorder="1" applyAlignment="1">
      <alignment horizontal="center" vertical="center" wrapText="1"/>
    </xf>
    <xf numFmtId="0" fontId="9" fillId="0" borderId="0" xfId="0" applyFont="1"/>
    <xf numFmtId="0" fontId="10" fillId="0" borderId="0" xfId="0" applyFont="1" applyAlignment="1">
      <alignment horizontal="center" vertical="center"/>
    </xf>
    <xf numFmtId="0" fontId="12" fillId="15" borderId="0" xfId="0" applyFont="1" applyFill="1" applyAlignment="1">
      <alignment vertical="center"/>
    </xf>
    <xf numFmtId="0" fontId="12" fillId="0" borderId="0" xfId="0" applyFont="1" applyAlignment="1">
      <alignment vertical="center"/>
    </xf>
    <xf numFmtId="0" fontId="30" fillId="12" borderId="0" xfId="0" applyFont="1" applyFill="1" applyAlignment="1">
      <alignment vertical="center"/>
    </xf>
    <xf numFmtId="0" fontId="30" fillId="15" borderId="0" xfId="0" applyFont="1" applyFill="1" applyAlignment="1">
      <alignment vertical="center"/>
    </xf>
    <xf numFmtId="0" fontId="13" fillId="0" borderId="0" xfId="0" applyFont="1"/>
    <xf numFmtId="0" fontId="2" fillId="0" borderId="0" xfId="0" applyFont="1" applyAlignment="1">
      <alignment horizontal="left" wrapText="1"/>
    </xf>
    <xf numFmtId="0" fontId="16" fillId="0" borderId="0" xfId="0" applyFont="1"/>
    <xf numFmtId="165" fontId="16" fillId="15" borderId="0" xfId="0" applyNumberFormat="1" applyFont="1" applyFill="1"/>
    <xf numFmtId="2" fontId="16" fillId="14" borderId="0" xfId="0" applyNumberFormat="1" applyFont="1" applyFill="1"/>
    <xf numFmtId="2" fontId="16" fillId="15" borderId="0" xfId="0" applyNumberFormat="1" applyFont="1" applyFill="1"/>
    <xf numFmtId="2" fontId="16" fillId="15" borderId="0" xfId="1" applyNumberFormat="1" applyFont="1" applyFill="1" applyAlignment="1">
      <alignment horizontal="center"/>
    </xf>
    <xf numFmtId="171" fontId="16" fillId="15" borderId="0" xfId="0" applyNumberFormat="1" applyFont="1" applyFill="1"/>
    <xf numFmtId="1" fontId="16" fillId="15" borderId="0" xfId="0" applyNumberFormat="1" applyFont="1" applyFill="1"/>
    <xf numFmtId="165" fontId="16" fillId="14" borderId="0" xfId="0" applyNumberFormat="1" applyFont="1" applyFill="1"/>
    <xf numFmtId="14" fontId="16" fillId="0" borderId="0" xfId="1" applyNumberFormat="1" applyFont="1" applyFill="1"/>
    <xf numFmtId="0" fontId="19" fillId="15" borderId="0" xfId="0" applyFont="1" applyFill="1" applyAlignment="1">
      <alignment vertical="center"/>
    </xf>
    <xf numFmtId="2" fontId="19" fillId="14" borderId="0" xfId="0" applyNumberFormat="1" applyFont="1" applyFill="1" applyAlignment="1">
      <alignment vertical="center"/>
    </xf>
    <xf numFmtId="2" fontId="19" fillId="15" borderId="0" xfId="0" applyNumberFormat="1" applyFont="1" applyFill="1" applyAlignment="1">
      <alignment vertical="center"/>
    </xf>
    <xf numFmtId="2" fontId="19" fillId="15" borderId="0" xfId="1" applyNumberFormat="1" applyFont="1" applyFill="1" applyAlignment="1">
      <alignment horizontal="center" vertical="center"/>
    </xf>
    <xf numFmtId="14" fontId="14" fillId="15" borderId="0" xfId="0" applyNumberFormat="1" applyFont="1" applyFill="1"/>
    <xf numFmtId="0" fontId="14" fillId="15" borderId="0" xfId="0" applyFont="1" applyFill="1"/>
    <xf numFmtId="171" fontId="14" fillId="15" borderId="0" xfId="0" applyNumberFormat="1" applyFont="1" applyFill="1"/>
    <xf numFmtId="1" fontId="14" fillId="15" borderId="0" xfId="0" applyNumberFormat="1" applyFont="1" applyFill="1"/>
    <xf numFmtId="0" fontId="14" fillId="14" borderId="0" xfId="0" applyFont="1" applyFill="1"/>
    <xf numFmtId="0" fontId="15" fillId="0" borderId="0" xfId="0" applyFont="1" applyAlignment="1">
      <alignment horizontal="center" vertical="center" wrapText="1"/>
    </xf>
    <xf numFmtId="166" fontId="20" fillId="15" borderId="0" xfId="0" applyNumberFormat="1" applyFont="1" applyFill="1" applyAlignment="1">
      <alignment horizontal="right" vertical="center"/>
    </xf>
    <xf numFmtId="166" fontId="21" fillId="15" borderId="0" xfId="0" applyNumberFormat="1" applyFont="1" applyFill="1" applyAlignment="1">
      <alignment horizontal="right" vertical="center"/>
    </xf>
    <xf numFmtId="2" fontId="21" fillId="14" borderId="0" xfId="0" applyNumberFormat="1" applyFont="1" applyFill="1" applyAlignment="1">
      <alignment horizontal="right" vertical="center"/>
    </xf>
    <xf numFmtId="2" fontId="21" fillId="15" borderId="0" xfId="0" applyNumberFormat="1" applyFont="1" applyFill="1" applyAlignment="1">
      <alignment horizontal="right" vertical="center"/>
    </xf>
    <xf numFmtId="2" fontId="21" fillId="15" borderId="0" xfId="1" applyNumberFormat="1" applyFont="1" applyFill="1" applyAlignment="1">
      <alignment horizontal="center" vertical="center"/>
    </xf>
    <xf numFmtId="168" fontId="10" fillId="0" borderId="0" xfId="1" applyNumberFormat="1" applyFont="1" applyFill="1" applyBorder="1" applyAlignment="1"/>
    <xf numFmtId="171" fontId="21" fillId="15" borderId="0" xfId="0" applyNumberFormat="1" applyFont="1" applyFill="1" applyAlignment="1">
      <alignment horizontal="right" vertical="center"/>
    </xf>
    <xf numFmtId="1" fontId="21" fillId="15" borderId="0" xfId="0" applyNumberFormat="1" applyFont="1" applyFill="1" applyAlignment="1">
      <alignment horizontal="right" vertical="center"/>
    </xf>
    <xf numFmtId="166" fontId="21" fillId="14" borderId="0" xfId="0" applyNumberFormat="1" applyFont="1" applyFill="1" applyAlignment="1">
      <alignment horizontal="right" vertical="center"/>
    </xf>
    <xf numFmtId="14" fontId="9" fillId="0" borderId="0" xfId="1" applyNumberFormat="1" applyFont="1" applyFill="1"/>
    <xf numFmtId="0" fontId="22"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15" borderId="1" xfId="0" applyFont="1" applyFill="1" applyBorder="1" applyAlignment="1">
      <alignment horizontal="center" vertical="center" wrapText="1"/>
    </xf>
    <xf numFmtId="2" fontId="32" fillId="14" borderId="1" xfId="0" applyNumberFormat="1" applyFont="1" applyFill="1" applyBorder="1" applyAlignment="1">
      <alignment horizontal="center" vertical="center" wrapText="1"/>
    </xf>
    <xf numFmtId="2" fontId="32" fillId="15" borderId="1" xfId="0" applyNumberFormat="1" applyFont="1" applyFill="1" applyBorder="1" applyAlignment="1">
      <alignment horizontal="center" vertical="center" wrapText="1"/>
    </xf>
    <xf numFmtId="2" fontId="32" fillId="15" borderId="1" xfId="1" applyNumberFormat="1" applyFont="1" applyFill="1" applyBorder="1" applyAlignment="1">
      <alignment horizontal="center" vertical="center" wrapText="1"/>
    </xf>
    <xf numFmtId="0" fontId="22" fillId="15" borderId="1" xfId="0" applyFont="1" applyFill="1" applyBorder="1" applyAlignment="1">
      <alignment horizontal="center" vertical="center" wrapText="1"/>
    </xf>
    <xf numFmtId="169" fontId="23" fillId="0" borderId="2" xfId="0" applyNumberFormat="1" applyFont="1" applyBorder="1" applyAlignment="1">
      <alignment horizontal="center"/>
    </xf>
    <xf numFmtId="169" fontId="23" fillId="0" borderId="1" xfId="0" applyNumberFormat="1" applyFont="1" applyBorder="1" applyAlignment="1">
      <alignment horizontal="center"/>
    </xf>
    <xf numFmtId="0" fontId="22" fillId="14" borderId="1" xfId="0" applyFont="1" applyFill="1" applyBorder="1" applyAlignment="1">
      <alignment horizontal="center" vertical="center" wrapText="1"/>
    </xf>
    <xf numFmtId="14" fontId="10" fillId="0" borderId="0" xfId="1" applyNumberFormat="1" applyFont="1" applyFill="1" applyAlignment="1">
      <alignment horizontal="center" vertical="center"/>
    </xf>
    <xf numFmtId="0" fontId="15" fillId="15" borderId="1" xfId="0" applyFont="1" applyFill="1" applyBorder="1" applyAlignment="1">
      <alignment horizontal="center" vertical="center" wrapText="1"/>
    </xf>
    <xf numFmtId="0" fontId="15" fillId="15" borderId="5" xfId="0" applyFont="1" applyFill="1" applyBorder="1" applyAlignment="1">
      <alignment horizontal="center" vertical="center" wrapText="1"/>
    </xf>
    <xf numFmtId="0" fontId="33" fillId="15" borderId="1" xfId="0" applyFont="1" applyFill="1" applyBorder="1"/>
    <xf numFmtId="171" fontId="15" fillId="15" borderId="1" xfId="0" applyNumberFormat="1" applyFont="1" applyFill="1" applyBorder="1" applyAlignment="1">
      <alignment horizontal="center" vertical="center"/>
    </xf>
    <xf numFmtId="2" fontId="15" fillId="14" borderId="1" xfId="0" applyNumberFormat="1" applyFont="1" applyFill="1" applyBorder="1" applyAlignment="1">
      <alignment horizontal="center" vertical="center"/>
    </xf>
    <xf numFmtId="2" fontId="15" fillId="15" borderId="1" xfId="0" applyNumberFormat="1" applyFont="1" applyFill="1" applyBorder="1" applyAlignment="1">
      <alignment horizontal="center" vertical="center"/>
    </xf>
    <xf numFmtId="2" fontId="15" fillId="15" borderId="1" xfId="1" applyNumberFormat="1" applyFont="1" applyFill="1" applyBorder="1" applyAlignment="1">
      <alignment horizontal="center" vertical="center"/>
    </xf>
    <xf numFmtId="171" fontId="15" fillId="15" borderId="1" xfId="0" applyNumberFormat="1" applyFont="1" applyFill="1" applyBorder="1" applyAlignment="1">
      <alignment horizontal="center" vertical="center" wrapText="1"/>
    </xf>
    <xf numFmtId="10" fontId="25" fillId="15" borderId="13" xfId="0" applyNumberFormat="1" applyFont="1" applyFill="1" applyBorder="1" applyAlignment="1">
      <alignment horizontal="center" vertical="center"/>
    </xf>
    <xf numFmtId="10" fontId="25" fillId="15" borderId="14" xfId="0" applyNumberFormat="1" applyFont="1" applyFill="1" applyBorder="1" applyAlignment="1">
      <alignment horizontal="center" vertical="center"/>
    </xf>
    <xf numFmtId="166" fontId="15" fillId="14" borderId="1" xfId="0" applyNumberFormat="1" applyFont="1" applyFill="1" applyBorder="1" applyAlignment="1">
      <alignment horizontal="center" vertical="center" wrapText="1"/>
    </xf>
    <xf numFmtId="14" fontId="12" fillId="15" borderId="0" xfId="1" applyNumberFormat="1" applyFont="1" applyFill="1" applyAlignment="1">
      <alignment vertical="center"/>
    </xf>
    <xf numFmtId="0" fontId="15" fillId="15" borderId="16" xfId="0" applyFont="1" applyFill="1" applyBorder="1" applyAlignment="1">
      <alignment horizontal="center" vertical="center" wrapText="1"/>
    </xf>
    <xf numFmtId="0" fontId="15" fillId="15" borderId="3" xfId="0" applyFont="1" applyFill="1" applyBorder="1" applyAlignment="1">
      <alignment horizontal="center" vertical="center" wrapText="1"/>
    </xf>
    <xf numFmtId="2" fontId="15" fillId="14" borderId="1" xfId="0" applyNumberFormat="1" applyFont="1" applyFill="1" applyBorder="1" applyAlignment="1">
      <alignment horizontal="center" vertical="center" wrapText="1"/>
    </xf>
    <xf numFmtId="2" fontId="15" fillId="15" borderId="1" xfId="0" applyNumberFormat="1" applyFont="1" applyFill="1" applyBorder="1" applyAlignment="1">
      <alignment horizontal="center" vertical="center" wrapText="1"/>
    </xf>
    <xf numFmtId="2" fontId="15" fillId="15" borderId="1" xfId="1" applyNumberFormat="1" applyFont="1" applyFill="1" applyBorder="1" applyAlignment="1">
      <alignment horizontal="center" vertical="center" wrapText="1"/>
    </xf>
    <xf numFmtId="10" fontId="25" fillId="15" borderId="26" xfId="0" applyNumberFormat="1" applyFont="1" applyFill="1" applyBorder="1" applyAlignment="1">
      <alignment horizontal="center" vertical="center"/>
    </xf>
    <xf numFmtId="10" fontId="25" fillId="15" borderId="27" xfId="0" applyNumberFormat="1" applyFont="1" applyFill="1" applyBorder="1" applyAlignment="1">
      <alignment horizontal="center" vertical="center"/>
    </xf>
    <xf numFmtId="0" fontId="15" fillId="0" borderId="1" xfId="0" applyFont="1" applyBorder="1" applyAlignment="1">
      <alignment horizontal="center" vertical="center" wrapText="1"/>
    </xf>
    <xf numFmtId="0" fontId="15" fillId="0" borderId="5" xfId="0" applyFont="1" applyBorder="1" applyAlignment="1">
      <alignment horizontal="center" vertical="center" wrapText="1"/>
    </xf>
    <xf numFmtId="0" fontId="0" fillId="0" borderId="1" xfId="0" applyBorder="1"/>
    <xf numFmtId="10" fontId="25" fillId="0" borderId="13" xfId="0" applyNumberFormat="1" applyFont="1" applyBorder="1" applyAlignment="1">
      <alignment horizontal="center" vertical="center"/>
    </xf>
    <xf numFmtId="10" fontId="25" fillId="0" borderId="14" xfId="0" applyNumberFormat="1" applyFont="1" applyBorder="1" applyAlignment="1">
      <alignment horizontal="center" vertical="center"/>
    </xf>
    <xf numFmtId="14" fontId="12" fillId="0" borderId="0" xfId="1" applyNumberFormat="1" applyFont="1" applyFill="1" applyAlignment="1">
      <alignment vertical="center"/>
    </xf>
    <xf numFmtId="0" fontId="15" fillId="0" borderId="16" xfId="0" applyFont="1" applyBorder="1" applyAlignment="1">
      <alignment horizontal="center" vertical="center" wrapText="1"/>
    </xf>
    <xf numFmtId="0" fontId="15" fillId="0" borderId="3" xfId="0" applyFont="1" applyBorder="1" applyAlignment="1">
      <alignment horizontal="center" vertical="center" wrapText="1"/>
    </xf>
    <xf numFmtId="10" fontId="25" fillId="0" borderId="26" xfId="0" applyNumberFormat="1" applyFont="1" applyBorder="1" applyAlignment="1">
      <alignment horizontal="center" vertical="center"/>
    </xf>
    <xf numFmtId="10" fontId="25" fillId="0" borderId="27" xfId="0" applyNumberFormat="1" applyFont="1" applyBorder="1" applyAlignment="1">
      <alignment horizontal="center" vertical="center"/>
    </xf>
    <xf numFmtId="0" fontId="35" fillId="10" borderId="1" xfId="0" applyFont="1" applyFill="1" applyBorder="1" applyAlignment="1">
      <alignment horizontal="center" vertical="center" wrapText="1"/>
    </xf>
    <xf numFmtId="10" fontId="35" fillId="12" borderId="13" xfId="0" applyNumberFormat="1" applyFont="1" applyFill="1" applyBorder="1" applyAlignment="1">
      <alignment horizontal="center" vertical="center"/>
    </xf>
    <xf numFmtId="10" fontId="35" fillId="12" borderId="14" xfId="0" applyNumberFormat="1" applyFont="1" applyFill="1" applyBorder="1" applyAlignment="1">
      <alignment horizontal="center" vertical="center"/>
    </xf>
    <xf numFmtId="14" fontId="30" fillId="12" borderId="0" xfId="1" applyNumberFormat="1" applyFont="1" applyFill="1" applyAlignment="1">
      <alignment vertical="center"/>
    </xf>
    <xf numFmtId="0" fontId="35" fillId="12" borderId="1" xfId="0" applyFont="1" applyFill="1" applyBorder="1" applyAlignment="1">
      <alignment horizontal="center" vertical="center" wrapText="1"/>
    </xf>
    <xf numFmtId="10" fontId="35" fillId="12" borderId="26" xfId="0" applyNumberFormat="1" applyFont="1" applyFill="1" applyBorder="1" applyAlignment="1">
      <alignment horizontal="center" vertical="center"/>
    </xf>
    <xf numFmtId="10" fontId="35" fillId="12" borderId="27" xfId="0" applyNumberFormat="1" applyFont="1" applyFill="1" applyBorder="1" applyAlignment="1">
      <alignment horizontal="center" vertical="center"/>
    </xf>
    <xf numFmtId="164" fontId="15" fillId="15" borderId="1" xfId="0" applyNumberFormat="1" applyFont="1" applyFill="1" applyBorder="1" applyAlignment="1">
      <alignment horizontal="center" vertical="center"/>
    </xf>
    <xf numFmtId="0" fontId="0" fillId="15" borderId="1" xfId="0" applyFill="1" applyBorder="1"/>
    <xf numFmtId="10" fontId="35" fillId="15" borderId="13" xfId="0" applyNumberFormat="1" applyFont="1" applyFill="1" applyBorder="1" applyAlignment="1">
      <alignment horizontal="center" vertical="center"/>
    </xf>
    <xf numFmtId="10" fontId="35" fillId="15" borderId="14" xfId="0" applyNumberFormat="1" applyFont="1" applyFill="1" applyBorder="1" applyAlignment="1">
      <alignment horizontal="center" vertical="center"/>
    </xf>
    <xf numFmtId="14" fontId="30" fillId="15" borderId="0" xfId="1" applyNumberFormat="1" applyFont="1" applyFill="1" applyAlignment="1">
      <alignment vertical="center"/>
    </xf>
    <xf numFmtId="0" fontId="0" fillId="15" borderId="1" xfId="0" applyFill="1" applyBorder="1" applyAlignment="1">
      <alignment vertical="center"/>
    </xf>
    <xf numFmtId="10" fontId="35" fillId="15" borderId="26" xfId="0" applyNumberFormat="1" applyFont="1" applyFill="1" applyBorder="1" applyAlignment="1">
      <alignment horizontal="center" vertical="center"/>
    </xf>
    <xf numFmtId="10" fontId="35" fillId="15" borderId="27" xfId="0" applyNumberFormat="1" applyFont="1" applyFill="1" applyBorder="1" applyAlignment="1">
      <alignment horizontal="center" vertical="center"/>
    </xf>
    <xf numFmtId="0" fontId="27" fillId="12" borderId="5" xfId="0" applyFont="1" applyFill="1" applyBorder="1" applyAlignment="1">
      <alignment horizontal="center" vertical="center" wrapText="1"/>
    </xf>
    <xf numFmtId="0" fontId="27" fillId="12" borderId="16" xfId="0" applyFont="1" applyFill="1" applyBorder="1" applyAlignment="1">
      <alignment horizontal="center" vertical="center" wrapText="1"/>
    </xf>
    <xf numFmtId="0" fontId="27" fillId="12" borderId="3" xfId="0" applyFont="1" applyFill="1" applyBorder="1" applyAlignment="1">
      <alignment horizontal="center" vertical="center" wrapText="1"/>
    </xf>
    <xf numFmtId="16" fontId="30" fillId="12" borderId="0" xfId="0" applyNumberFormat="1" applyFont="1" applyFill="1" applyAlignment="1">
      <alignment vertical="center"/>
    </xf>
    <xf numFmtId="15" fontId="0" fillId="0" borderId="0" xfId="0" applyNumberFormat="1"/>
    <xf numFmtId="0" fontId="36" fillId="0" borderId="1" xfId="0" applyFont="1" applyBorder="1" applyAlignment="1">
      <alignment horizontal="center" vertical="center" wrapText="1"/>
    </xf>
    <xf numFmtId="0" fontId="36" fillId="17" borderId="1" xfId="0" applyFont="1" applyFill="1" applyBorder="1" applyAlignment="1">
      <alignment horizontal="center" vertical="center" wrapText="1"/>
    </xf>
    <xf numFmtId="0" fontId="2" fillId="0" borderId="17" xfId="0" applyFont="1" applyBorder="1" applyAlignment="1">
      <alignment horizontal="center" vertical="center" wrapText="1"/>
    </xf>
    <xf numFmtId="0" fontId="2" fillId="0" borderId="1" xfId="0" applyFont="1" applyBorder="1" applyAlignment="1">
      <alignment horizontal="center" vertical="center" wrapText="1"/>
    </xf>
    <xf numFmtId="171" fontId="2" fillId="0" borderId="1" xfId="0" applyNumberFormat="1" applyFont="1" applyBorder="1" applyAlignment="1">
      <alignment horizontal="center" vertical="center"/>
    </xf>
    <xf numFmtId="166" fontId="2" fillId="0" borderId="1" xfId="0" applyNumberFormat="1" applyFont="1" applyBorder="1" applyAlignment="1">
      <alignment horizontal="center" vertical="center" wrapText="1"/>
    </xf>
    <xf numFmtId="0" fontId="2" fillId="0" borderId="1" xfId="0" applyFont="1" applyBorder="1" applyAlignment="1">
      <alignment horizontal="center" vertical="center"/>
    </xf>
    <xf numFmtId="0" fontId="37" fillId="0" borderId="0" xfId="0" applyFont="1"/>
    <xf numFmtId="0" fontId="37" fillId="0" borderId="0" xfId="0" applyFont="1" applyAlignment="1">
      <alignment horizontal="center"/>
    </xf>
    <xf numFmtId="0" fontId="2" fillId="0" borderId="0" xfId="0" applyFont="1" applyAlignment="1">
      <alignment vertical="center"/>
    </xf>
    <xf numFmtId="0" fontId="2" fillId="15" borderId="0" xfId="0" applyFont="1" applyFill="1" applyAlignment="1">
      <alignment vertical="center"/>
    </xf>
    <xf numFmtId="0" fontId="39" fillId="0" borderId="0" xfId="0" applyFont="1" applyAlignment="1">
      <alignment vertical="center"/>
    </xf>
    <xf numFmtId="0" fontId="2" fillId="18" borderId="0" xfId="0" applyFont="1" applyFill="1" applyAlignment="1">
      <alignment vertical="center"/>
    </xf>
    <xf numFmtId="0" fontId="40" fillId="0" borderId="0" xfId="0" applyFont="1"/>
    <xf numFmtId="0" fontId="40" fillId="0" borderId="0" xfId="0" applyFont="1" applyAlignment="1">
      <alignment horizontal="center" vertical="center"/>
    </xf>
    <xf numFmtId="0" fontId="40" fillId="15" borderId="0" xfId="0" applyFont="1" applyFill="1"/>
    <xf numFmtId="0" fontId="40" fillId="0" borderId="0" xfId="0" applyFont="1" applyAlignment="1">
      <alignment wrapText="1"/>
    </xf>
    <xf numFmtId="0" fontId="40" fillId="0" borderId="0" xfId="0" applyFont="1" applyAlignment="1">
      <alignment horizontal="center"/>
    </xf>
    <xf numFmtId="0" fontId="40" fillId="15" borderId="0" xfId="0" applyFont="1" applyFill="1" applyAlignment="1">
      <alignment horizontal="center"/>
    </xf>
    <xf numFmtId="0" fontId="41" fillId="15" borderId="0" xfId="0" applyFont="1" applyFill="1"/>
    <xf numFmtId="0" fontId="42" fillId="0" borderId="0" xfId="0" applyFont="1"/>
    <xf numFmtId="0" fontId="42" fillId="0" borderId="0" xfId="0" applyFont="1" applyAlignment="1">
      <alignment horizontal="center" vertical="center"/>
    </xf>
    <xf numFmtId="0" fontId="43" fillId="0" borderId="0" xfId="0" applyFont="1" applyAlignment="1">
      <alignment horizontal="right"/>
    </xf>
    <xf numFmtId="0" fontId="37" fillId="0" borderId="0" xfId="0" applyFont="1" applyAlignment="1">
      <alignment horizontal="center" vertical="center"/>
    </xf>
    <xf numFmtId="0" fontId="37" fillId="15" borderId="0" xfId="0" applyFont="1" applyFill="1"/>
    <xf numFmtId="0" fontId="15" fillId="16" borderId="0" xfId="0" applyFont="1" applyFill="1" applyAlignment="1">
      <alignment horizontal="left" vertical="center"/>
    </xf>
    <xf numFmtId="0" fontId="37" fillId="16" borderId="0" xfId="0" applyFont="1" applyFill="1" applyAlignment="1">
      <alignment wrapText="1"/>
    </xf>
    <xf numFmtId="0" fontId="37" fillId="16" borderId="0" xfId="0" applyFont="1" applyFill="1"/>
    <xf numFmtId="0" fontId="37" fillId="15" borderId="0" xfId="0" applyFont="1" applyFill="1" applyAlignment="1">
      <alignment horizontal="center"/>
    </xf>
    <xf numFmtId="0" fontId="44" fillId="0" borderId="0" xfId="0" applyFont="1" applyAlignment="1">
      <alignment vertical="center"/>
    </xf>
    <xf numFmtId="0" fontId="15" fillId="0" borderId="0" xfId="0" applyFont="1" applyAlignment="1">
      <alignment horizontal="left" vertical="center"/>
    </xf>
    <xf numFmtId="0" fontId="37" fillId="0" borderId="0" xfId="0" applyFont="1" applyAlignment="1">
      <alignment wrapText="1"/>
    </xf>
    <xf numFmtId="166" fontId="21" fillId="0" borderId="0" xfId="0" applyNumberFormat="1" applyFont="1" applyAlignment="1">
      <alignment horizontal="right" vertical="center"/>
    </xf>
    <xf numFmtId="0" fontId="37" fillId="15" borderId="0" xfId="0" applyFont="1" applyFill="1" applyAlignment="1">
      <alignment horizontal="center" vertical="center"/>
    </xf>
    <xf numFmtId="166" fontId="20" fillId="0" borderId="0" xfId="0" applyNumberFormat="1" applyFont="1" applyAlignment="1">
      <alignment horizontal="center" vertical="center"/>
    </xf>
    <xf numFmtId="166" fontId="20" fillId="20" borderId="0" xfId="0" applyNumberFormat="1" applyFont="1" applyFill="1" applyAlignment="1">
      <alignment horizontal="right" vertical="center"/>
    </xf>
    <xf numFmtId="166" fontId="20" fillId="21" borderId="0" xfId="0" applyNumberFormat="1" applyFont="1" applyFill="1" applyAlignment="1">
      <alignment horizontal="right" vertical="center"/>
    </xf>
    <xf numFmtId="0" fontId="36" fillId="8" borderId="1" xfId="0" applyFont="1" applyFill="1" applyBorder="1" applyAlignment="1">
      <alignment horizontal="center" vertical="center" wrapText="1"/>
    </xf>
    <xf numFmtId="0" fontId="36" fillId="22" borderId="31" xfId="0" applyFont="1" applyFill="1" applyBorder="1" applyAlignment="1">
      <alignment horizontal="center" vertical="center" wrapText="1"/>
    </xf>
    <xf numFmtId="0" fontId="36" fillId="6" borderId="1" xfId="0" applyFont="1" applyFill="1" applyBorder="1" applyAlignment="1">
      <alignment horizontal="center" vertical="center" wrapText="1"/>
    </xf>
    <xf numFmtId="0" fontId="36" fillId="21" borderId="1" xfId="0" applyFont="1" applyFill="1" applyBorder="1" applyAlignment="1">
      <alignment horizontal="center" vertical="center" wrapText="1"/>
    </xf>
    <xf numFmtId="0" fontId="36" fillId="19" borderId="1" xfId="0" applyFont="1" applyFill="1" applyBorder="1" applyAlignment="1">
      <alignment horizontal="center" vertical="center" wrapText="1"/>
    </xf>
    <xf numFmtId="0" fontId="37" fillId="4" borderId="1" xfId="0" applyFont="1" applyFill="1" applyBorder="1"/>
    <xf numFmtId="0" fontId="37" fillId="0" borderId="1" xfId="0" applyFont="1" applyBorder="1"/>
    <xf numFmtId="0" fontId="37" fillId="22" borderId="31" xfId="0" applyFont="1" applyFill="1" applyBorder="1" applyAlignment="1">
      <alignment horizontal="center" vertical="center"/>
    </xf>
    <xf numFmtId="0" fontId="36" fillId="4" borderId="1" xfId="0" applyFont="1" applyFill="1" applyBorder="1" applyAlignment="1">
      <alignment horizontal="center" vertical="center" wrapText="1"/>
    </xf>
    <xf numFmtId="0" fontId="36" fillId="15" borderId="1" xfId="0" applyFont="1" applyFill="1" applyBorder="1" applyAlignment="1">
      <alignment horizontal="center" vertical="center" wrapText="1"/>
    </xf>
    <xf numFmtId="0" fontId="37" fillId="4" borderId="5" xfId="0" applyFont="1" applyFill="1" applyBorder="1" applyAlignment="1">
      <alignment horizontal="center"/>
    </xf>
    <xf numFmtId="0" fontId="37" fillId="0" borderId="5" xfId="0" applyFont="1" applyBorder="1" applyAlignment="1">
      <alignment horizontal="center"/>
    </xf>
    <xf numFmtId="0" fontId="37" fillId="22" borderId="32" xfId="0" applyFont="1" applyFill="1" applyBorder="1" applyAlignment="1">
      <alignment horizontal="center" vertical="center"/>
    </xf>
    <xf numFmtId="0" fontId="36" fillId="4" borderId="5" xfId="0" applyFont="1" applyFill="1" applyBorder="1" applyAlignment="1">
      <alignment horizontal="center" vertical="center" wrapText="1"/>
    </xf>
    <xf numFmtId="0" fontId="24" fillId="8" borderId="16" xfId="0" applyFont="1" applyFill="1" applyBorder="1" applyAlignment="1">
      <alignment horizontal="center" vertical="center" wrapText="1"/>
    </xf>
    <xf numFmtId="0" fontId="37" fillId="4" borderId="5" xfId="0" applyFont="1" applyFill="1" applyBorder="1" applyAlignment="1">
      <alignment horizontal="center" vertical="center"/>
    </xf>
    <xf numFmtId="0" fontId="36" fillId="15" borderId="5" xfId="0" applyFont="1" applyFill="1" applyBorder="1" applyAlignment="1">
      <alignment horizontal="center" vertical="center" wrapText="1"/>
    </xf>
    <xf numFmtId="0" fontId="45" fillId="0" borderId="16" xfId="0" applyFont="1" applyBorder="1" applyAlignment="1">
      <alignment vertical="center" wrapText="1"/>
    </xf>
    <xf numFmtId="0" fontId="2" fillId="0" borderId="33" xfId="0" applyFont="1" applyBorder="1" applyAlignment="1">
      <alignment vertical="center" wrapText="1"/>
    </xf>
    <xf numFmtId="2" fontId="2" fillId="0" borderId="33" xfId="1" applyNumberFormat="1" applyFont="1" applyFill="1" applyBorder="1" applyAlignment="1">
      <alignment vertical="center"/>
    </xf>
    <xf numFmtId="2" fontId="45" fillId="0" borderId="34" xfId="0" applyNumberFormat="1" applyFont="1" applyBorder="1" applyAlignment="1">
      <alignment vertical="center" wrapText="1"/>
    </xf>
    <xf numFmtId="0" fontId="2" fillId="0" borderId="17" xfId="0" applyFont="1" applyBorder="1" applyAlignment="1">
      <alignment horizontal="center" vertical="center"/>
    </xf>
    <xf numFmtId="0" fontId="2" fillId="0" borderId="16" xfId="0" applyFont="1" applyBorder="1" applyAlignment="1">
      <alignment horizontal="center" vertical="center" wrapText="1"/>
    </xf>
    <xf numFmtId="0" fontId="2" fillId="0" borderId="35" xfId="0" applyFont="1" applyBorder="1" applyAlignment="1">
      <alignment horizontal="center" vertical="center" wrapText="1"/>
    </xf>
    <xf numFmtId="0" fontId="2" fillId="0" borderId="17" xfId="0" applyFont="1" applyBorder="1" applyAlignment="1">
      <alignment horizontal="left" vertical="center" wrapText="1"/>
    </xf>
    <xf numFmtId="171" fontId="2" fillId="0" borderId="35" xfId="0" applyNumberFormat="1" applyFont="1" applyBorder="1" applyAlignment="1">
      <alignment horizontal="center" vertical="center"/>
    </xf>
    <xf numFmtId="171" fontId="2" fillId="0" borderId="17" xfId="0" applyNumberFormat="1" applyFont="1" applyBorder="1" applyAlignment="1">
      <alignment horizontal="center" vertical="center"/>
    </xf>
    <xf numFmtId="2" fontId="2" fillId="15" borderId="17" xfId="1" applyNumberFormat="1" applyFont="1" applyFill="1" applyBorder="1" applyAlignment="1">
      <alignment horizontal="center" vertical="center"/>
    </xf>
    <xf numFmtId="166" fontId="2" fillId="0" borderId="16" xfId="0" applyNumberFormat="1" applyFont="1" applyBorder="1" applyAlignment="1">
      <alignment horizontal="center" vertical="center" wrapText="1"/>
    </xf>
    <xf numFmtId="171" fontId="2" fillId="0" borderId="16" xfId="0" applyNumberFormat="1" applyFont="1" applyBorder="1" applyAlignment="1">
      <alignment horizontal="center" vertical="center"/>
    </xf>
    <xf numFmtId="172" fontId="2" fillId="0" borderId="16" xfId="0" applyNumberFormat="1" applyFont="1" applyBorder="1" applyAlignment="1">
      <alignment horizontal="center" vertical="center"/>
    </xf>
    <xf numFmtId="0" fontId="2" fillId="0" borderId="16" xfId="0" applyFont="1" applyBorder="1" applyAlignment="1">
      <alignment vertical="center"/>
    </xf>
    <xf numFmtId="173" fontId="2" fillId="0" borderId="36" xfId="0" applyNumberFormat="1" applyFont="1" applyBorder="1" applyAlignment="1">
      <alignment horizontal="left" vertical="center" wrapText="1"/>
    </xf>
    <xf numFmtId="0" fontId="2" fillId="0" borderId="0" xfId="0" applyFont="1" applyAlignment="1">
      <alignment horizontal="center" vertical="center"/>
    </xf>
    <xf numFmtId="172" fontId="2" fillId="0" borderId="17" xfId="0" applyNumberFormat="1" applyFont="1" applyBorder="1" applyAlignment="1">
      <alignment horizontal="center" vertical="center"/>
    </xf>
    <xf numFmtId="0" fontId="45" fillId="0" borderId="22" xfId="0" applyFont="1" applyBorder="1" applyAlignment="1">
      <alignment vertical="center" wrapText="1"/>
    </xf>
    <xf numFmtId="0" fontId="2" fillId="0" borderId="23" xfId="0" applyFont="1" applyBorder="1" applyAlignment="1">
      <alignment horizontal="center" vertical="center" wrapText="1"/>
    </xf>
    <xf numFmtId="0" fontId="2" fillId="0" borderId="37" xfId="0" applyFont="1" applyBorder="1" applyAlignment="1">
      <alignment vertical="center" wrapText="1"/>
    </xf>
    <xf numFmtId="2" fontId="2" fillId="0" borderId="38" xfId="1" applyNumberFormat="1" applyFont="1" applyFill="1" applyBorder="1" applyAlignment="1">
      <alignment vertical="center"/>
    </xf>
    <xf numFmtId="2" fontId="45" fillId="0" borderId="39" xfId="0" applyNumberFormat="1" applyFont="1" applyBorder="1" applyAlignment="1">
      <alignment vertical="center" wrapText="1"/>
    </xf>
    <xf numFmtId="0" fontId="2" fillId="0" borderId="23" xfId="0" applyFont="1" applyBorder="1" applyAlignment="1">
      <alignment horizontal="center" vertical="center"/>
    </xf>
    <xf numFmtId="0" fontId="2" fillId="0" borderId="22" xfId="0" applyFont="1" applyBorder="1" applyAlignment="1">
      <alignment horizontal="center" vertical="center" wrapText="1"/>
    </xf>
    <xf numFmtId="0" fontId="2" fillId="0" borderId="23" xfId="0" applyFont="1" applyBorder="1" applyAlignment="1">
      <alignment horizontal="left" vertical="center" wrapText="1"/>
    </xf>
    <xf numFmtId="171" fontId="2" fillId="0" borderId="23" xfId="0" applyNumberFormat="1" applyFont="1" applyBorder="1" applyAlignment="1">
      <alignment horizontal="center" vertical="center"/>
    </xf>
    <xf numFmtId="2" fontId="2" fillId="15" borderId="23" xfId="1" applyNumberFormat="1" applyFont="1" applyFill="1" applyBorder="1" applyAlignment="1">
      <alignment horizontal="center" vertical="center" wrapText="1"/>
    </xf>
    <xf numFmtId="166" fontId="2" fillId="0" borderId="22" xfId="0" applyNumberFormat="1" applyFont="1" applyBorder="1" applyAlignment="1">
      <alignment horizontal="center" vertical="center" wrapText="1"/>
    </xf>
    <xf numFmtId="171" fontId="2" fillId="0" borderId="22" xfId="0" applyNumberFormat="1" applyFont="1" applyBorder="1" applyAlignment="1">
      <alignment horizontal="center" vertical="center"/>
    </xf>
    <xf numFmtId="0" fontId="2" fillId="0" borderId="22" xfId="0" applyFont="1" applyBorder="1" applyAlignment="1">
      <alignment horizontal="center" vertical="center"/>
    </xf>
    <xf numFmtId="0" fontId="2" fillId="0" borderId="22" xfId="0" applyFont="1" applyBorder="1" applyAlignment="1">
      <alignment vertical="center"/>
    </xf>
    <xf numFmtId="0" fontId="2" fillId="0" borderId="22" xfId="0" applyFont="1" applyBorder="1" applyAlignment="1">
      <alignment vertical="center" wrapText="1"/>
    </xf>
    <xf numFmtId="0" fontId="2" fillId="0" borderId="34" xfId="0" applyFont="1" applyBorder="1" applyAlignment="1">
      <alignment vertical="center" wrapText="1"/>
    </xf>
    <xf numFmtId="0" fontId="2" fillId="0" borderId="39" xfId="0" applyFont="1" applyBorder="1" applyAlignment="1">
      <alignment vertical="center" wrapText="1"/>
    </xf>
    <xf numFmtId="0" fontId="39" fillId="0" borderId="22" xfId="0" applyFont="1" applyBorder="1" applyAlignment="1">
      <alignment horizontal="center" vertical="center"/>
    </xf>
    <xf numFmtId="0" fontId="2" fillId="0" borderId="33" xfId="0" applyFont="1" applyBorder="1" applyAlignment="1">
      <alignment vertical="center"/>
    </xf>
    <xf numFmtId="0" fontId="2" fillId="0" borderId="37" xfId="0" applyFont="1" applyBorder="1" applyAlignment="1">
      <alignment vertical="center"/>
    </xf>
    <xf numFmtId="171" fontId="39" fillId="0" borderId="23" xfId="0" applyNumberFormat="1" applyFont="1" applyBorder="1" applyAlignment="1">
      <alignment horizontal="center" vertical="center"/>
    </xf>
    <xf numFmtId="2" fontId="2" fillId="0" borderId="34" xfId="0" applyNumberFormat="1" applyFont="1" applyBorder="1" applyAlignment="1">
      <alignment vertical="center" wrapText="1"/>
    </xf>
    <xf numFmtId="171" fontId="2" fillId="0" borderId="17" xfId="0" applyNumberFormat="1" applyFont="1" applyBorder="1" applyAlignment="1">
      <alignment horizontal="center" vertical="center" wrapText="1"/>
    </xf>
    <xf numFmtId="2" fontId="2" fillId="19" borderId="17" xfId="1" applyNumberFormat="1" applyFont="1" applyFill="1" applyBorder="1" applyAlignment="1">
      <alignment horizontal="center" vertical="center"/>
    </xf>
    <xf numFmtId="172" fontId="2" fillId="0" borderId="16" xfId="0" applyNumberFormat="1" applyFont="1" applyBorder="1" applyAlignment="1">
      <alignment horizontal="center" vertical="center" wrapText="1"/>
    </xf>
    <xf numFmtId="2" fontId="2" fillId="0" borderId="39" xfId="0" applyNumberFormat="1" applyFont="1" applyBorder="1" applyAlignment="1">
      <alignment vertical="center" wrapText="1"/>
    </xf>
    <xf numFmtId="171" fontId="2" fillId="0" borderId="23" xfId="0" applyNumberFormat="1" applyFont="1" applyBorder="1" applyAlignment="1">
      <alignment horizontal="center" vertical="center" wrapText="1"/>
    </xf>
    <xf numFmtId="171" fontId="2" fillId="0" borderId="22" xfId="0" applyNumberFormat="1" applyFont="1" applyBorder="1" applyAlignment="1">
      <alignment horizontal="center" vertical="center" wrapText="1"/>
    </xf>
    <xf numFmtId="171" fontId="2" fillId="15" borderId="23" xfId="0" applyNumberFormat="1" applyFont="1" applyFill="1" applyBorder="1" applyAlignment="1">
      <alignment horizontal="center" vertical="center"/>
    </xf>
    <xf numFmtId="171" fontId="2" fillId="15" borderId="17" xfId="0" applyNumberFormat="1" applyFont="1" applyFill="1" applyBorder="1" applyAlignment="1">
      <alignment horizontal="center" vertical="center"/>
    </xf>
    <xf numFmtId="0" fontId="2" fillId="0" borderId="36" xfId="0" applyFont="1" applyBorder="1" applyAlignment="1">
      <alignment horizontal="center" vertical="center" wrapText="1"/>
    </xf>
    <xf numFmtId="171" fontId="2" fillId="19" borderId="17" xfId="0" applyNumberFormat="1" applyFont="1" applyFill="1" applyBorder="1" applyAlignment="1">
      <alignment horizontal="center" vertical="center"/>
    </xf>
    <xf numFmtId="0" fontId="2" fillId="0" borderId="22" xfId="0" applyFont="1" applyBorder="1" applyAlignment="1">
      <alignment vertical="top" wrapText="1"/>
    </xf>
    <xf numFmtId="174" fontId="2" fillId="0" borderId="23" xfId="0" applyNumberFormat="1" applyFont="1" applyBorder="1" applyAlignment="1">
      <alignment horizontal="center" vertical="center"/>
    </xf>
    <xf numFmtId="171" fontId="2" fillId="19" borderId="23" xfId="0" applyNumberFormat="1" applyFont="1" applyFill="1" applyBorder="1" applyAlignment="1">
      <alignment horizontal="center" vertical="center"/>
    </xf>
    <xf numFmtId="0" fontId="2" fillId="0" borderId="40" xfId="0" applyFont="1" applyBorder="1" applyAlignment="1">
      <alignment vertical="center" wrapText="1"/>
    </xf>
    <xf numFmtId="0" fontId="2" fillId="0" borderId="33" xfId="0" applyFont="1" applyBorder="1" applyAlignment="1">
      <alignment horizontal="center" vertical="center" wrapText="1"/>
    </xf>
    <xf numFmtId="2" fontId="45" fillId="0" borderId="34" xfId="0" applyNumberFormat="1" applyFont="1" applyBorder="1" applyAlignment="1">
      <alignment horizontal="center" vertical="center" wrapText="1"/>
    </xf>
    <xf numFmtId="0" fontId="2" fillId="0" borderId="33" xfId="0" applyFont="1" applyBorder="1" applyAlignment="1">
      <alignment horizontal="center" vertical="center"/>
    </xf>
    <xf numFmtId="0" fontId="2" fillId="0" borderId="37" xfId="0" applyFont="1" applyBorder="1" applyAlignment="1">
      <alignment horizontal="center" vertical="center"/>
    </xf>
    <xf numFmtId="2" fontId="2" fillId="15" borderId="17" xfId="1" applyNumberFormat="1" applyFont="1" applyFill="1" applyBorder="1" applyAlignment="1">
      <alignment horizontal="center" vertical="center" wrapText="1"/>
    </xf>
    <xf numFmtId="173" fontId="39" fillId="0" borderId="36" xfId="0" applyNumberFormat="1" applyFont="1" applyBorder="1" applyAlignment="1">
      <alignment horizontal="left" vertical="center" wrapText="1"/>
    </xf>
    <xf numFmtId="0" fontId="45" fillId="0" borderId="16" xfId="0" applyFont="1" applyBorder="1" applyAlignment="1">
      <alignment horizontal="center" vertical="center" wrapText="1"/>
    </xf>
    <xf numFmtId="0" fontId="45" fillId="0" borderId="22" xfId="0" applyFont="1" applyBorder="1" applyAlignment="1">
      <alignment horizontal="center" vertical="center" wrapText="1"/>
    </xf>
    <xf numFmtId="0" fontId="2" fillId="23" borderId="23" xfId="0" applyFont="1" applyFill="1" applyBorder="1" applyAlignment="1">
      <alignment horizontal="center" vertical="center" wrapText="1"/>
    </xf>
    <xf numFmtId="0" fontId="2" fillId="22" borderId="37" xfId="0" applyFont="1" applyFill="1" applyBorder="1" applyAlignment="1">
      <alignment horizontal="center" vertical="center"/>
    </xf>
    <xf numFmtId="2" fontId="2" fillId="15" borderId="38" xfId="1" applyNumberFormat="1" applyFont="1" applyFill="1" applyBorder="1" applyAlignment="1">
      <alignment vertical="center"/>
    </xf>
    <xf numFmtId="0" fontId="2" fillId="22" borderId="33" xfId="0" applyFont="1" applyFill="1" applyBorder="1" applyAlignment="1">
      <alignment horizontal="center" vertical="center"/>
    </xf>
    <xf numFmtId="2" fontId="2" fillId="15" borderId="33" xfId="1" applyNumberFormat="1" applyFont="1" applyFill="1" applyBorder="1" applyAlignment="1">
      <alignment vertical="center"/>
    </xf>
    <xf numFmtId="171" fontId="2" fillId="24" borderId="16" xfId="0" applyNumberFormat="1" applyFont="1" applyFill="1" applyBorder="1" applyAlignment="1">
      <alignment horizontal="center" vertical="center"/>
    </xf>
    <xf numFmtId="0" fontId="45" fillId="18" borderId="16" xfId="0" applyFont="1" applyFill="1" applyBorder="1" applyAlignment="1">
      <alignment vertical="center" wrapText="1"/>
    </xf>
    <xf numFmtId="0" fontId="2" fillId="18" borderId="17" xfId="0" applyFont="1" applyFill="1" applyBorder="1" applyAlignment="1">
      <alignment horizontal="center" vertical="center" wrapText="1"/>
    </xf>
    <xf numFmtId="0" fontId="2" fillId="18" borderId="33" xfId="0" applyFont="1" applyFill="1" applyBorder="1" applyAlignment="1">
      <alignment horizontal="center" vertical="center" wrapText="1"/>
    </xf>
    <xf numFmtId="2" fontId="2" fillId="18" borderId="33" xfId="1" applyNumberFormat="1" applyFont="1" applyFill="1" applyBorder="1" applyAlignment="1">
      <alignment vertical="center"/>
    </xf>
    <xf numFmtId="2" fontId="45" fillId="18" borderId="34" xfId="0" applyNumberFormat="1" applyFont="1" applyFill="1" applyBorder="1" applyAlignment="1">
      <alignment horizontal="center" vertical="center" wrapText="1"/>
    </xf>
    <xf numFmtId="0" fontId="2" fillId="18" borderId="17" xfId="0" applyFont="1" applyFill="1" applyBorder="1" applyAlignment="1">
      <alignment horizontal="center" vertical="center"/>
    </xf>
    <xf numFmtId="0" fontId="2" fillId="18" borderId="16" xfId="0" applyFont="1" applyFill="1" applyBorder="1" applyAlignment="1">
      <alignment horizontal="center" vertical="center" wrapText="1"/>
    </xf>
    <xf numFmtId="0" fontId="2" fillId="18" borderId="35" xfId="0" applyFont="1" applyFill="1" applyBorder="1" applyAlignment="1">
      <alignment horizontal="center" vertical="center" wrapText="1"/>
    </xf>
    <xf numFmtId="0" fontId="2" fillId="18" borderId="17" xfId="0" applyFont="1" applyFill="1" applyBorder="1" applyAlignment="1">
      <alignment horizontal="left" vertical="center" wrapText="1"/>
    </xf>
    <xf numFmtId="171" fontId="2" fillId="18" borderId="35" xfId="0" applyNumberFormat="1" applyFont="1" applyFill="1" applyBorder="1" applyAlignment="1">
      <alignment horizontal="center" vertical="center"/>
    </xf>
    <xf numFmtId="171" fontId="2" fillId="18" borderId="17" xfId="0" applyNumberFormat="1" applyFont="1" applyFill="1" applyBorder="1" applyAlignment="1">
      <alignment horizontal="center" vertical="center"/>
    </xf>
    <xf numFmtId="175" fontId="2" fillId="15" borderId="17" xfId="0" applyNumberFormat="1" applyFont="1" applyFill="1" applyBorder="1" applyAlignment="1">
      <alignment horizontal="center" vertical="center"/>
    </xf>
    <xf numFmtId="166" fontId="2" fillId="18" borderId="16" xfId="0" applyNumberFormat="1" applyFont="1" applyFill="1" applyBorder="1" applyAlignment="1">
      <alignment horizontal="center" vertical="center" wrapText="1"/>
    </xf>
    <xf numFmtId="171" fontId="2" fillId="18" borderId="16" xfId="0" applyNumberFormat="1" applyFont="1" applyFill="1" applyBorder="1" applyAlignment="1">
      <alignment horizontal="center" vertical="center"/>
    </xf>
    <xf numFmtId="172" fontId="2" fillId="18" borderId="16" xfId="0" applyNumberFormat="1" applyFont="1" applyFill="1" applyBorder="1" applyAlignment="1">
      <alignment horizontal="center" vertical="center"/>
    </xf>
    <xf numFmtId="0" fontId="2" fillId="18" borderId="16" xfId="0" applyFont="1" applyFill="1" applyBorder="1" applyAlignment="1">
      <alignment vertical="center"/>
    </xf>
    <xf numFmtId="173" fontId="2" fillId="18" borderId="36" xfId="0" applyNumberFormat="1" applyFont="1" applyFill="1" applyBorder="1" applyAlignment="1">
      <alignment horizontal="left" vertical="center" wrapText="1"/>
    </xf>
    <xf numFmtId="171" fontId="2" fillId="18" borderId="41" xfId="0" applyNumberFormat="1" applyFont="1" applyFill="1" applyBorder="1" applyAlignment="1">
      <alignment horizontal="center" vertical="center"/>
    </xf>
    <xf numFmtId="0" fontId="45" fillId="18" borderId="22" xfId="0" applyFont="1" applyFill="1" applyBorder="1" applyAlignment="1">
      <alignment vertical="center" wrapText="1"/>
    </xf>
    <xf numFmtId="0" fontId="2" fillId="18" borderId="23" xfId="0" applyFont="1" applyFill="1" applyBorder="1" applyAlignment="1">
      <alignment horizontal="center" vertical="center" wrapText="1"/>
    </xf>
    <xf numFmtId="0" fontId="2" fillId="18" borderId="23" xfId="0" applyFont="1" applyFill="1" applyBorder="1" applyAlignment="1">
      <alignment horizontal="center" vertical="center"/>
    </xf>
    <xf numFmtId="171" fontId="38" fillId="18" borderId="42" xfId="0" applyNumberFormat="1" applyFont="1" applyFill="1" applyBorder="1" applyAlignment="1">
      <alignment horizontal="center" vertical="center"/>
    </xf>
    <xf numFmtId="2" fontId="2" fillId="18" borderId="38" xfId="1" applyNumberFormat="1" applyFont="1" applyFill="1" applyBorder="1" applyAlignment="1">
      <alignment vertical="center"/>
    </xf>
    <xf numFmtId="0" fontId="2" fillId="18" borderId="22" xfId="0" applyFont="1" applyFill="1" applyBorder="1" applyAlignment="1">
      <alignment horizontal="center" vertical="center" wrapText="1"/>
    </xf>
    <xf numFmtId="0" fontId="2" fillId="18" borderId="23" xfId="0" applyFont="1" applyFill="1" applyBorder="1" applyAlignment="1">
      <alignment horizontal="left" vertical="center" wrapText="1"/>
    </xf>
    <xf numFmtId="171" fontId="2" fillId="25" borderId="23" xfId="0" applyNumberFormat="1" applyFont="1" applyFill="1" applyBorder="1" applyAlignment="1">
      <alignment horizontal="center" vertical="center"/>
    </xf>
    <xf numFmtId="0" fontId="2" fillId="25" borderId="23" xfId="0" applyFont="1" applyFill="1" applyBorder="1" applyAlignment="1">
      <alignment horizontal="center" vertical="center"/>
    </xf>
    <xf numFmtId="171" fontId="2" fillId="18" borderId="23" xfId="0" applyNumberFormat="1" applyFont="1" applyFill="1" applyBorder="1" applyAlignment="1">
      <alignment horizontal="center" vertical="center"/>
    </xf>
    <xf numFmtId="0" fontId="2" fillId="18" borderId="22" xfId="0" applyFont="1" applyFill="1" applyBorder="1" applyAlignment="1">
      <alignment horizontal="center" vertical="center"/>
    </xf>
    <xf numFmtId="0" fontId="2" fillId="18" borderId="22" xfId="0" applyFont="1" applyFill="1" applyBorder="1" applyAlignment="1">
      <alignment vertical="center"/>
    </xf>
    <xf numFmtId="0" fontId="2" fillId="16" borderId="17" xfId="0" applyFont="1" applyFill="1" applyBorder="1" applyAlignment="1">
      <alignment horizontal="center" vertical="center"/>
    </xf>
    <xf numFmtId="173" fontId="2" fillId="16" borderId="36" xfId="0" applyNumberFormat="1" applyFont="1" applyFill="1" applyBorder="1" applyAlignment="1">
      <alignment horizontal="left" vertical="center" wrapText="1"/>
    </xf>
    <xf numFmtId="49" fontId="2" fillId="0" borderId="22" xfId="0" applyNumberFormat="1" applyFont="1" applyBorder="1" applyAlignment="1">
      <alignment horizontal="center" vertical="center" wrapText="1"/>
    </xf>
    <xf numFmtId="171" fontId="45" fillId="0" borderId="17" xfId="0" applyNumberFormat="1" applyFont="1" applyBorder="1" applyAlignment="1">
      <alignment horizontal="center" vertical="center"/>
    </xf>
    <xf numFmtId="172" fontId="39" fillId="0" borderId="16" xfId="0" applyNumberFormat="1" applyFont="1" applyBorder="1" applyAlignment="1">
      <alignment horizontal="center" vertical="center"/>
    </xf>
    <xf numFmtId="0" fontId="2" fillId="0" borderId="16" xfId="0" applyFont="1" applyBorder="1" applyAlignment="1">
      <alignment vertical="center" wrapText="1"/>
    </xf>
    <xf numFmtId="0" fontId="45" fillId="0" borderId="17" xfId="0" applyFont="1" applyBorder="1" applyAlignment="1">
      <alignment vertical="center" wrapText="1"/>
    </xf>
    <xf numFmtId="0" fontId="33" fillId="0" borderId="16" xfId="0" applyFont="1" applyBorder="1" applyAlignment="1">
      <alignment vertical="center" wrapText="1"/>
    </xf>
    <xf numFmtId="0" fontId="45" fillId="0" borderId="23" xfId="0" applyFont="1" applyBorder="1" applyAlignment="1">
      <alignment vertical="center" wrapText="1"/>
    </xf>
    <xf numFmtId="0" fontId="33" fillId="0" borderId="22" xfId="0" applyFont="1" applyBorder="1" applyAlignment="1">
      <alignment vertical="center" wrapText="1"/>
    </xf>
    <xf numFmtId="0" fontId="2" fillId="0" borderId="23" xfId="0" applyFont="1" applyBorder="1" applyAlignment="1">
      <alignment vertical="center"/>
    </xf>
    <xf numFmtId="166" fontId="2" fillId="0" borderId="23" xfId="0" applyNumberFormat="1" applyFont="1" applyBorder="1" applyAlignment="1">
      <alignment vertical="center"/>
    </xf>
    <xf numFmtId="171" fontId="2" fillId="0" borderId="23" xfId="0" applyNumberFormat="1" applyFont="1" applyBorder="1" applyAlignment="1">
      <alignment vertical="center" wrapText="1"/>
    </xf>
    <xf numFmtId="0" fontId="2" fillId="0" borderId="34" xfId="0" applyFont="1" applyBorder="1" applyAlignment="1">
      <alignment vertical="center"/>
    </xf>
    <xf numFmtId="0" fontId="2" fillId="0" borderId="39" xfId="0" applyFont="1" applyBorder="1" applyAlignment="1">
      <alignment vertical="center"/>
    </xf>
    <xf numFmtId="49" fontId="2" fillId="0" borderId="16" xfId="0" applyNumberFormat="1" applyFont="1" applyBorder="1" applyAlignment="1">
      <alignment horizontal="center" vertical="center" wrapText="1"/>
    </xf>
    <xf numFmtId="171" fontId="46" fillId="0" borderId="22" xfId="0" applyNumberFormat="1" applyFont="1" applyBorder="1" applyAlignment="1">
      <alignment horizontal="center" vertical="center"/>
    </xf>
    <xf numFmtId="171" fontId="2" fillId="0" borderId="22" xfId="0" applyNumberFormat="1" applyFont="1" applyBorder="1" applyAlignment="1">
      <alignment vertical="center" wrapText="1"/>
    </xf>
    <xf numFmtId="0" fontId="2" fillId="0" borderId="23" xfId="0" quotePrefix="1" applyFont="1" applyBorder="1" applyAlignment="1">
      <alignment horizontal="center" vertical="center" wrapText="1"/>
    </xf>
    <xf numFmtId="0" fontId="2" fillId="15" borderId="17" xfId="0" applyFont="1" applyFill="1" applyBorder="1" applyAlignment="1">
      <alignment horizontal="center" vertical="center" wrapText="1"/>
    </xf>
    <xf numFmtId="0" fontId="42" fillId="15" borderId="0" xfId="0" applyFont="1" applyFill="1"/>
    <xf numFmtId="0" fontId="37" fillId="15" borderId="1" xfId="0" applyFont="1" applyFill="1" applyBorder="1"/>
    <xf numFmtId="0" fontId="37" fillId="15" borderId="5" xfId="0" applyFont="1" applyFill="1" applyBorder="1" applyAlignment="1">
      <alignment horizontal="center"/>
    </xf>
    <xf numFmtId="0" fontId="2" fillId="15" borderId="23" xfId="0" applyFont="1" applyFill="1" applyBorder="1" applyAlignment="1">
      <alignment horizontal="center" vertical="center" wrapText="1"/>
    </xf>
    <xf numFmtId="171" fontId="50" fillId="0" borderId="23" xfId="0" applyNumberFormat="1" applyFont="1" applyBorder="1" applyAlignment="1">
      <alignment horizontal="center" vertical="center"/>
    </xf>
    <xf numFmtId="0" fontId="50" fillId="15" borderId="17" xfId="0" applyFont="1" applyFill="1" applyBorder="1" applyAlignment="1">
      <alignment horizontal="center" vertical="center" wrapText="1"/>
    </xf>
    <xf numFmtId="0" fontId="37" fillId="19" borderId="0" xfId="0" applyFont="1" applyFill="1" applyAlignment="1">
      <alignment horizontal="center" vertical="center"/>
    </xf>
    <xf numFmtId="166" fontId="15" fillId="14" borderId="1" xfId="0" applyNumberFormat="1" applyFont="1" applyFill="1" applyBorder="1" applyAlignment="1">
      <alignment horizontal="center" vertical="center" wrapText="1"/>
    </xf>
    <xf numFmtId="16" fontId="30" fillId="12" borderId="0" xfId="0" applyNumberFormat="1" applyFont="1" applyFill="1" applyAlignment="1">
      <alignment horizontal="center" vertical="center"/>
    </xf>
    <xf numFmtId="1" fontId="15" fillId="15" borderId="1" xfId="0" applyNumberFormat="1" applyFont="1" applyFill="1" applyBorder="1" applyAlignment="1">
      <alignment horizontal="center" vertical="center" wrapText="1"/>
    </xf>
    <xf numFmtId="171" fontId="15" fillId="15" borderId="1" xfId="0" applyNumberFormat="1" applyFont="1" applyFill="1" applyBorder="1" applyAlignment="1">
      <alignment horizontal="center" vertical="center" wrapText="1"/>
    </xf>
    <xf numFmtId="171" fontId="15" fillId="15" borderId="5" xfId="0" applyNumberFormat="1" applyFont="1" applyFill="1" applyBorder="1" applyAlignment="1">
      <alignment horizontal="center" vertical="center" wrapText="1"/>
    </xf>
    <xf numFmtId="171" fontId="15" fillId="15" borderId="16" xfId="0" applyNumberFormat="1" applyFont="1" applyFill="1" applyBorder="1" applyAlignment="1">
      <alignment horizontal="center" vertical="center" wrapText="1"/>
    </xf>
    <xf numFmtId="171" fontId="15" fillId="15" borderId="3" xfId="0" applyNumberFormat="1" applyFont="1" applyFill="1" applyBorder="1" applyAlignment="1">
      <alignment horizontal="center" vertical="center" wrapText="1"/>
    </xf>
    <xf numFmtId="171" fontId="15" fillId="16" borderId="1" xfId="0" applyNumberFormat="1" applyFont="1" applyFill="1" applyBorder="1" applyAlignment="1">
      <alignment horizontal="center" vertical="center" wrapText="1"/>
    </xf>
    <xf numFmtId="166" fontId="15" fillId="15" borderId="1" xfId="0" applyNumberFormat="1" applyFont="1" applyFill="1" applyBorder="1" applyAlignment="1">
      <alignment horizontal="center" vertical="center" wrapText="1"/>
    </xf>
    <xf numFmtId="0" fontId="15" fillId="15" borderId="5" xfId="0" applyFont="1" applyFill="1" applyBorder="1" applyAlignment="1">
      <alignment horizontal="center" vertical="center" wrapText="1"/>
    </xf>
    <xf numFmtId="0" fontId="15" fillId="15" borderId="16" xfId="0" applyFont="1" applyFill="1" applyBorder="1" applyAlignment="1">
      <alignment horizontal="center" vertical="center" wrapText="1"/>
    </xf>
    <xf numFmtId="0" fontId="15" fillId="15" borderId="3" xfId="0" applyFont="1" applyFill="1" applyBorder="1" applyAlignment="1">
      <alignment horizontal="center" vertical="center" wrapText="1"/>
    </xf>
    <xf numFmtId="166" fontId="15" fillId="15" borderId="5" xfId="0" applyNumberFormat="1" applyFont="1" applyFill="1" applyBorder="1" applyAlignment="1">
      <alignment horizontal="center" vertical="center" wrapText="1"/>
    </xf>
    <xf numFmtId="166" fontId="15" fillId="15" borderId="16" xfId="0" applyNumberFormat="1" applyFont="1" applyFill="1" applyBorder="1" applyAlignment="1">
      <alignment horizontal="center" vertical="center" wrapText="1"/>
    </xf>
    <xf numFmtId="166" fontId="15" fillId="15" borderId="3" xfId="0" applyNumberFormat="1" applyFont="1" applyFill="1" applyBorder="1" applyAlignment="1">
      <alignment horizontal="center" vertical="center" wrapText="1"/>
    </xf>
    <xf numFmtId="0" fontId="15" fillId="0" borderId="5" xfId="0" applyFont="1" applyBorder="1" applyAlignment="1">
      <alignment horizontal="center" vertical="center" wrapText="1"/>
    </xf>
    <xf numFmtId="0" fontId="15" fillId="0" borderId="16" xfId="0" applyFont="1" applyBorder="1" applyAlignment="1">
      <alignment horizontal="center" vertical="center" wrapText="1"/>
    </xf>
    <xf numFmtId="0" fontId="15" fillId="0" borderId="3" xfId="0" applyFont="1" applyBorder="1" applyAlignment="1">
      <alignment horizontal="center" vertical="center" wrapText="1"/>
    </xf>
    <xf numFmtId="0" fontId="15" fillId="15"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33" fillId="15" borderId="5" xfId="0" applyFont="1" applyFill="1" applyBorder="1" applyAlignment="1">
      <alignment horizontal="center" vertical="center"/>
    </xf>
    <xf numFmtId="0" fontId="33" fillId="15" borderId="16" xfId="0" applyFont="1" applyFill="1" applyBorder="1" applyAlignment="1">
      <alignment horizontal="center" vertical="center"/>
    </xf>
    <xf numFmtId="0" fontId="33" fillId="15" borderId="3" xfId="0" applyFont="1" applyFill="1" applyBorder="1" applyAlignment="1">
      <alignment horizontal="center" vertical="center"/>
    </xf>
    <xf numFmtId="0" fontId="34" fillId="12" borderId="5" xfId="0" applyFont="1" applyFill="1" applyBorder="1" applyAlignment="1">
      <alignment horizontal="center" vertical="center"/>
    </xf>
    <xf numFmtId="0" fontId="34" fillId="12" borderId="16" xfId="0" applyFont="1" applyFill="1" applyBorder="1" applyAlignment="1">
      <alignment horizontal="center" vertical="center"/>
    </xf>
    <xf numFmtId="0" fontId="34" fillId="12" borderId="3" xfId="0" applyFont="1" applyFill="1" applyBorder="1" applyAlignment="1">
      <alignment horizontal="center" vertical="center"/>
    </xf>
    <xf numFmtId="0" fontId="0" fillId="15" borderId="5" xfId="0" applyFill="1" applyBorder="1" applyAlignment="1">
      <alignment horizontal="center" vertical="center"/>
    </xf>
    <xf numFmtId="0" fontId="0" fillId="15" borderId="16" xfId="0" applyFill="1" applyBorder="1" applyAlignment="1">
      <alignment horizontal="center" vertical="center"/>
    </xf>
    <xf numFmtId="0" fontId="0" fillId="15" borderId="3" xfId="0" applyFill="1" applyBorder="1" applyAlignment="1">
      <alignment horizontal="center" vertical="center"/>
    </xf>
    <xf numFmtId="0" fontId="0" fillId="0" borderId="5" xfId="0" applyBorder="1" applyAlignment="1">
      <alignment horizontal="center" vertical="center"/>
    </xf>
    <xf numFmtId="0" fontId="0" fillId="0" borderId="16" xfId="0" applyBorder="1" applyAlignment="1">
      <alignment horizontal="center" vertical="center"/>
    </xf>
    <xf numFmtId="0" fontId="0" fillId="0" borderId="3" xfId="0" applyBorder="1" applyAlignment="1">
      <alignment horizontal="center" vertical="center"/>
    </xf>
    <xf numFmtId="0" fontId="35" fillId="10" borderId="1" xfId="0" applyFont="1" applyFill="1" applyBorder="1" applyAlignment="1">
      <alignment horizontal="center" vertical="center" wrapText="1"/>
    </xf>
    <xf numFmtId="0" fontId="35" fillId="12" borderId="1" xfId="0" applyFont="1" applyFill="1" applyBorder="1" applyAlignment="1">
      <alignment horizontal="center" vertical="center" wrapText="1"/>
    </xf>
    <xf numFmtId="0" fontId="34" fillId="10" borderId="5" xfId="0" applyFont="1" applyFill="1" applyBorder="1" applyAlignment="1">
      <alignment horizontal="center" vertical="center"/>
    </xf>
    <xf numFmtId="0" fontId="34" fillId="10" borderId="16" xfId="0" applyFont="1" applyFill="1" applyBorder="1" applyAlignment="1">
      <alignment horizontal="center" vertical="center"/>
    </xf>
    <xf numFmtId="0" fontId="34" fillId="10" borderId="3" xfId="0" applyFont="1" applyFill="1" applyBorder="1" applyAlignment="1">
      <alignment horizontal="center" vertical="center"/>
    </xf>
    <xf numFmtId="0" fontId="27" fillId="12" borderId="1" xfId="0" applyFont="1" applyFill="1" applyBorder="1" applyAlignment="1">
      <alignment horizontal="center" vertical="center" wrapText="1"/>
    </xf>
    <xf numFmtId="0" fontId="27" fillId="10" borderId="1" xfId="0" applyFont="1" applyFill="1" applyBorder="1" applyAlignment="1">
      <alignment horizontal="center" vertical="center" wrapText="1"/>
    </xf>
    <xf numFmtId="0" fontId="25" fillId="15" borderId="5" xfId="0" applyFont="1" applyFill="1" applyBorder="1" applyAlignment="1">
      <alignment horizontal="center" vertical="center" wrapText="1"/>
    </xf>
    <xf numFmtId="0" fontId="25" fillId="15" borderId="16" xfId="0" applyFont="1" applyFill="1" applyBorder="1" applyAlignment="1">
      <alignment horizontal="center" vertical="center" wrapText="1"/>
    </xf>
    <xf numFmtId="0" fontId="25" fillId="15" borderId="3" xfId="0" applyFont="1" applyFill="1" applyBorder="1" applyAlignment="1">
      <alignment horizontal="center" vertical="center" wrapText="1"/>
    </xf>
    <xf numFmtId="0" fontId="25" fillId="15" borderId="1" xfId="0" applyFont="1" applyFill="1" applyBorder="1" applyAlignment="1">
      <alignment horizontal="center" vertical="center" wrapText="1"/>
    </xf>
    <xf numFmtId="0" fontId="25" fillId="0" borderId="1" xfId="0" applyFont="1" applyBorder="1" applyAlignment="1">
      <alignment horizontal="center" vertical="center" wrapText="1"/>
    </xf>
    <xf numFmtId="0" fontId="22" fillId="8" borderId="5" xfId="0" applyFont="1" applyFill="1" applyBorder="1" applyAlignment="1">
      <alignment horizontal="center" vertical="center" wrapText="1"/>
    </xf>
    <xf numFmtId="0" fontId="22" fillId="8" borderId="3" xfId="0" applyFont="1" applyFill="1" applyBorder="1" applyAlignment="1">
      <alignment horizontal="center" vertical="center" wrapText="1"/>
    </xf>
    <xf numFmtId="0" fontId="15" fillId="9" borderId="9" xfId="0" applyFont="1" applyFill="1" applyBorder="1" applyAlignment="1">
      <alignment horizontal="center" vertical="center" wrapText="1"/>
    </xf>
    <xf numFmtId="0" fontId="15" fillId="9" borderId="16" xfId="0" applyFont="1" applyFill="1" applyBorder="1" applyAlignment="1">
      <alignment horizontal="center" vertical="center" wrapText="1"/>
    </xf>
    <xf numFmtId="0" fontId="15" fillId="9" borderId="22" xfId="0" applyFont="1" applyFill="1" applyBorder="1" applyAlignment="1">
      <alignment horizontal="center" vertical="center" wrapText="1"/>
    </xf>
    <xf numFmtId="14" fontId="15" fillId="9" borderId="9" xfId="0" applyNumberFormat="1" applyFont="1" applyFill="1" applyBorder="1" applyAlignment="1">
      <alignment horizontal="center" vertical="center" wrapText="1"/>
    </xf>
    <xf numFmtId="14" fontId="15" fillId="9" borderId="16" xfId="0" applyNumberFormat="1" applyFont="1" applyFill="1" applyBorder="1" applyAlignment="1">
      <alignment horizontal="center" vertical="center" wrapText="1"/>
    </xf>
    <xf numFmtId="14" fontId="15" fillId="9" borderId="22" xfId="0" applyNumberFormat="1" applyFont="1" applyFill="1" applyBorder="1" applyAlignment="1">
      <alignment horizontal="center" vertical="center" wrapText="1"/>
    </xf>
    <xf numFmtId="14" fontId="15" fillId="9" borderId="11" xfId="0" applyNumberFormat="1" applyFont="1" applyFill="1" applyBorder="1" applyAlignment="1">
      <alignment horizontal="center" vertical="center" wrapText="1"/>
    </xf>
    <xf numFmtId="14" fontId="15" fillId="9" borderId="19" xfId="0" applyNumberFormat="1" applyFont="1" applyFill="1" applyBorder="1" applyAlignment="1">
      <alignment horizontal="center" vertical="center" wrapText="1"/>
    </xf>
    <xf numFmtId="14" fontId="15" fillId="9" borderId="24" xfId="0" applyNumberFormat="1" applyFont="1" applyFill="1" applyBorder="1" applyAlignment="1">
      <alignment horizontal="center" vertical="center" wrapText="1"/>
    </xf>
    <xf numFmtId="166" fontId="15" fillId="9" borderId="28" xfId="0" applyNumberFormat="1" applyFont="1" applyFill="1" applyBorder="1" applyAlignment="1">
      <alignment horizontal="center" vertical="center" wrapText="1"/>
    </xf>
    <xf numFmtId="166" fontId="15" fillId="9" borderId="29" xfId="0" applyNumberFormat="1" applyFont="1" applyFill="1" applyBorder="1" applyAlignment="1">
      <alignment horizontal="center" vertical="center" wrapText="1"/>
    </xf>
    <xf numFmtId="166" fontId="15" fillId="9" borderId="30" xfId="0" applyNumberFormat="1" applyFont="1" applyFill="1" applyBorder="1" applyAlignment="1">
      <alignment horizontal="center" vertical="center" wrapText="1"/>
    </xf>
    <xf numFmtId="166" fontId="27" fillId="13" borderId="1" xfId="0" applyNumberFormat="1" applyFont="1" applyFill="1" applyBorder="1" applyAlignment="1">
      <alignment horizontal="center" vertical="center" wrapText="1"/>
    </xf>
    <xf numFmtId="166" fontId="27" fillId="12" borderId="1" xfId="0" applyNumberFormat="1" applyFont="1" applyFill="1" applyBorder="1" applyAlignment="1">
      <alignment horizontal="center" vertical="center" wrapText="1"/>
    </xf>
    <xf numFmtId="166" fontId="15" fillId="13" borderId="1" xfId="0" applyNumberFormat="1" applyFont="1" applyFill="1" applyBorder="1" applyAlignment="1">
      <alignment horizontal="center" vertical="center" wrapText="1"/>
    </xf>
    <xf numFmtId="0" fontId="15" fillId="9" borderId="11" xfId="0" applyFont="1" applyFill="1" applyBorder="1" applyAlignment="1">
      <alignment horizontal="center" vertical="center" wrapText="1"/>
    </xf>
    <xf numFmtId="0" fontId="15" fillId="9" borderId="19" xfId="0" applyFont="1" applyFill="1" applyBorder="1" applyAlignment="1">
      <alignment horizontal="center" vertical="center" wrapText="1"/>
    </xf>
    <xf numFmtId="0" fontId="15" fillId="9" borderId="24" xfId="0" applyFont="1" applyFill="1" applyBorder="1" applyAlignment="1">
      <alignment horizontal="center" vertical="center" wrapText="1"/>
    </xf>
    <xf numFmtId="0" fontId="26" fillId="3" borderId="9" xfId="0" applyFont="1" applyFill="1" applyBorder="1" applyAlignment="1">
      <alignment horizontal="left" vertical="top" wrapText="1"/>
    </xf>
    <xf numFmtId="0" fontId="26" fillId="3" borderId="16" xfId="0" applyFont="1" applyFill="1" applyBorder="1" applyAlignment="1">
      <alignment horizontal="left" vertical="top" wrapText="1"/>
    </xf>
    <xf numFmtId="0" fontId="26" fillId="3" borderId="22" xfId="0" applyFont="1" applyFill="1" applyBorder="1" applyAlignment="1">
      <alignment horizontal="left" vertical="top" wrapText="1"/>
    </xf>
    <xf numFmtId="0" fontId="25" fillId="3" borderId="9" xfId="0" applyFont="1" applyFill="1" applyBorder="1" applyAlignment="1">
      <alignment horizontal="center" vertical="center" wrapText="1"/>
    </xf>
    <xf numFmtId="0" fontId="25" fillId="3" borderId="16" xfId="0" applyFont="1" applyFill="1" applyBorder="1" applyAlignment="1">
      <alignment horizontal="center" vertical="center" wrapText="1"/>
    </xf>
    <xf numFmtId="0" fontId="25" fillId="3" borderId="22" xfId="0" applyFont="1" applyFill="1" applyBorder="1" applyAlignment="1">
      <alignment horizontal="center" vertical="center" wrapText="1"/>
    </xf>
    <xf numFmtId="0" fontId="25" fillId="14" borderId="9" xfId="0" applyFont="1" applyFill="1" applyBorder="1" applyAlignment="1">
      <alignment horizontal="center" vertical="center" wrapText="1"/>
    </xf>
    <xf numFmtId="0" fontId="25" fillId="14" borderId="16" xfId="0" applyFont="1" applyFill="1" applyBorder="1" applyAlignment="1">
      <alignment horizontal="center" vertical="center" wrapText="1"/>
    </xf>
    <xf numFmtId="0" fontId="25" fillId="14" borderId="22" xfId="0" applyFont="1" applyFill="1" applyBorder="1" applyAlignment="1">
      <alignment horizontal="center" vertical="center" wrapText="1"/>
    </xf>
    <xf numFmtId="0" fontId="25" fillId="3" borderId="8" xfId="0" applyFont="1" applyFill="1" applyBorder="1" applyAlignment="1">
      <alignment horizontal="center" vertical="center" wrapText="1"/>
    </xf>
    <xf numFmtId="0" fontId="25" fillId="3" borderId="15" xfId="0" applyFont="1" applyFill="1" applyBorder="1" applyAlignment="1">
      <alignment horizontal="center" vertical="center" wrapText="1"/>
    </xf>
    <xf numFmtId="0" fontId="25" fillId="3" borderId="21" xfId="0" applyFont="1" applyFill="1" applyBorder="1" applyAlignment="1">
      <alignment horizontal="center" vertical="center" wrapText="1"/>
    </xf>
    <xf numFmtId="0" fontId="25" fillId="10" borderId="9" xfId="0" applyFont="1" applyFill="1" applyBorder="1" applyAlignment="1">
      <alignment horizontal="center" vertical="center" wrapText="1"/>
    </xf>
    <xf numFmtId="0" fontId="25" fillId="10" borderId="16" xfId="0" applyFont="1" applyFill="1" applyBorder="1" applyAlignment="1">
      <alignment horizontal="center" vertical="center" wrapText="1"/>
    </xf>
    <xf numFmtId="0" fontId="25" fillId="10" borderId="22" xfId="0" applyFont="1" applyFill="1" applyBorder="1" applyAlignment="1">
      <alignment horizontal="center" vertical="center" wrapText="1"/>
    </xf>
  </cellXfs>
  <cellStyles count="8">
    <cellStyle name="Comma" xfId="1" builtinId="3"/>
    <cellStyle name="Hyperlink" xfId="3" builtinId="8"/>
    <cellStyle name="Normal" xfId="0" builtinId="0"/>
    <cellStyle name="Normal 2" xfId="4" xr:uid="{00000000-0005-0000-0000-000031000000}"/>
    <cellStyle name="Percent" xfId="2" builtinId="5"/>
    <cellStyle name="常规 2" xfId="5" xr:uid="{00000000-0005-0000-0000-000032000000}"/>
    <cellStyle name="常规 2 2" xfId="6" xr:uid="{00000000-0005-0000-0000-000033000000}"/>
    <cellStyle name="常规 3" xfId="7" xr:uid="{00000000-0005-0000-0000-000034000000}"/>
  </cellStyles>
  <dxfs count="104">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b/>
        <i val="0"/>
        <color rgb="FF9C0006"/>
      </font>
      <fill>
        <patternFill patternType="none"/>
      </fill>
    </dxf>
    <dxf>
      <font>
        <color rgb="FF9C0006"/>
      </font>
      <fill>
        <patternFill patternType="solid">
          <bgColor theme="9" tint="0.79958494827112647"/>
        </patternFill>
      </fill>
    </dxf>
    <dxf>
      <fill>
        <patternFill patternType="solid">
          <bgColor theme="5" tint="0.79958494827112647"/>
        </patternFill>
      </fill>
    </dxf>
    <dxf>
      <fill>
        <patternFill patternType="solid">
          <bgColor theme="5" tint="0.79958494827112647"/>
        </patternFill>
      </fill>
    </dxf>
    <dxf>
      <fill>
        <patternFill patternType="solid">
          <bgColor rgb="FFCCFFFF"/>
        </patternFill>
      </fill>
    </dxf>
    <dxf>
      <fill>
        <patternFill patternType="solid">
          <bgColor rgb="FFFFC000"/>
        </patternFill>
      </fill>
    </dxf>
    <dxf>
      <fill>
        <patternFill patternType="solid">
          <bgColor rgb="FFFF0000"/>
        </patternFill>
      </fill>
    </dxf>
    <dxf>
      <fill>
        <patternFill patternType="solid">
          <bgColor theme="5" tint="0.79958494827112647"/>
        </patternFill>
      </fill>
    </dxf>
    <dxf>
      <fill>
        <patternFill patternType="solid">
          <bgColor theme="5" tint="0.79958494827112647"/>
        </patternFill>
      </fill>
    </dxf>
    <dxf>
      <fill>
        <patternFill patternType="solid">
          <bgColor theme="5" tint="0.79958494827112647"/>
        </patternFill>
      </fill>
    </dxf>
    <dxf>
      <fill>
        <patternFill patternType="solid">
          <bgColor rgb="FFCCFFFF"/>
        </patternFill>
      </fill>
    </dxf>
    <dxf>
      <fill>
        <patternFill patternType="solid">
          <bgColor rgb="FFFFC000"/>
        </patternFill>
      </fill>
    </dxf>
    <dxf>
      <fill>
        <patternFill patternType="solid">
          <bgColor rgb="FFFF0000"/>
        </patternFill>
      </fill>
    </dxf>
    <dxf>
      <fill>
        <patternFill patternType="solid">
          <bgColor rgb="FFCCFFFF"/>
        </patternFill>
      </fill>
    </dxf>
    <dxf>
      <fill>
        <patternFill patternType="solid">
          <bgColor rgb="FFFFC000"/>
        </patternFill>
      </fill>
    </dxf>
    <dxf>
      <fill>
        <patternFill patternType="solid">
          <bgColor rgb="FFFF0000"/>
        </patternFill>
      </fill>
    </dxf>
    <dxf>
      <fill>
        <patternFill patternType="solid">
          <bgColor rgb="FFCCFFFF"/>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s>
  <tableStyles count="0" defaultTableStyle="TableStyleMedium2" defaultPivotStyle="PivotStyleLight16"/>
  <colors>
    <mruColors>
      <color rgb="FF000000"/>
      <color rgb="FFFFFF00"/>
      <color rgb="FFFF0000"/>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26" Type="http://schemas.openxmlformats.org/officeDocument/2006/relationships/externalLink" Target="externalLinks/externalLink19.xml"/><Relationship Id="rId39" Type="http://schemas.openxmlformats.org/officeDocument/2006/relationships/externalLink" Target="externalLinks/externalLink32.xml"/><Relationship Id="rId21" Type="http://schemas.openxmlformats.org/officeDocument/2006/relationships/externalLink" Target="externalLinks/externalLink14.xml"/><Relationship Id="rId34" Type="http://schemas.openxmlformats.org/officeDocument/2006/relationships/externalLink" Target="externalLinks/externalLink27.xml"/><Relationship Id="rId42" Type="http://schemas.openxmlformats.org/officeDocument/2006/relationships/externalLink" Target="externalLinks/externalLink35.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9.xml"/><Relationship Id="rId29" Type="http://schemas.openxmlformats.org/officeDocument/2006/relationships/externalLink" Target="externalLinks/externalLink2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externalLink" Target="externalLinks/externalLink17.xml"/><Relationship Id="rId32" Type="http://schemas.openxmlformats.org/officeDocument/2006/relationships/externalLink" Target="externalLinks/externalLink25.xml"/><Relationship Id="rId37" Type="http://schemas.openxmlformats.org/officeDocument/2006/relationships/externalLink" Target="externalLinks/externalLink30.xml"/><Relationship Id="rId40" Type="http://schemas.openxmlformats.org/officeDocument/2006/relationships/externalLink" Target="externalLinks/externalLink33.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externalLink" Target="externalLinks/externalLink16.xml"/><Relationship Id="rId28" Type="http://schemas.openxmlformats.org/officeDocument/2006/relationships/externalLink" Target="externalLinks/externalLink21.xml"/><Relationship Id="rId36" Type="http://schemas.openxmlformats.org/officeDocument/2006/relationships/externalLink" Target="externalLinks/externalLink29.xml"/><Relationship Id="rId10" Type="http://schemas.openxmlformats.org/officeDocument/2006/relationships/externalLink" Target="externalLinks/externalLink3.xml"/><Relationship Id="rId19" Type="http://schemas.openxmlformats.org/officeDocument/2006/relationships/externalLink" Target="externalLinks/externalLink12.xml"/><Relationship Id="rId31" Type="http://schemas.openxmlformats.org/officeDocument/2006/relationships/externalLink" Target="externalLinks/externalLink24.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externalLink" Target="externalLinks/externalLink15.xml"/><Relationship Id="rId27" Type="http://schemas.openxmlformats.org/officeDocument/2006/relationships/externalLink" Target="externalLinks/externalLink20.xml"/><Relationship Id="rId30" Type="http://schemas.openxmlformats.org/officeDocument/2006/relationships/externalLink" Target="externalLinks/externalLink23.xml"/><Relationship Id="rId35" Type="http://schemas.openxmlformats.org/officeDocument/2006/relationships/externalLink" Target="externalLinks/externalLink28.xml"/><Relationship Id="rId43" Type="http://schemas.openxmlformats.org/officeDocument/2006/relationships/theme" Target="theme/theme1.xml"/><Relationship Id="rId48" Type="http://schemas.openxmlformats.org/officeDocument/2006/relationships/customXml" Target="../customXml/item1.xml"/><Relationship Id="rId8" Type="http://schemas.openxmlformats.org/officeDocument/2006/relationships/externalLink" Target="externalLinks/externalLink1.xml"/><Relationship Id="rId3" Type="http://schemas.openxmlformats.org/officeDocument/2006/relationships/worksheet" Target="worksheets/sheet3.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externalLink" Target="externalLinks/externalLink18.xml"/><Relationship Id="rId33" Type="http://schemas.openxmlformats.org/officeDocument/2006/relationships/externalLink" Target="externalLinks/externalLink26.xml"/><Relationship Id="rId38" Type="http://schemas.openxmlformats.org/officeDocument/2006/relationships/externalLink" Target="externalLinks/externalLink31.xml"/><Relationship Id="rId46" Type="http://schemas.openxmlformats.org/officeDocument/2006/relationships/sheetMetadata" Target="metadata.xml"/><Relationship Id="rId20" Type="http://schemas.openxmlformats.org/officeDocument/2006/relationships/externalLink" Target="externalLinks/externalLink13.xml"/><Relationship Id="rId41" Type="http://schemas.openxmlformats.org/officeDocument/2006/relationships/externalLink" Target="externalLinks/externalLink3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KMAR1\RIS\2268\LISTER\2268P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MM_Projects\2695%20Moss%20LNGC%20Conversion\Load%20Balance\2695%20Load%20Balance%20Intercross%202+%202%20STEAM%20TURBINES_05_05_2003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85.0.252\ATOE-Project\Prosjekt\3106\EIT\Electrical%20Documents\El.%20Consumerlist%20and%20LoadBalance\ConsumerList%20and%20Load%20Balance%20Golar%20Spirit%2018.05.2006%20Rev.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psgrwfn46\cvlong1$\DATA\NIGERIA\ECON\BONGA6EX.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85.0.252\ATOE-Project\sites\MISC-OBUPRM\NP\NP144-BRC\Bid%20Phase\02%20MISC-OCYAN%20Working%20Folder\00%20Technical\04%20Cost%20Estimation\Bill%20of%20Quantities%20(BOQ)\Topside%20BOQ\Planning&amp;reportin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UD01\!EUDC\DATA\NIGERIA\ECON\1997\NIG97MD6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ttps:\basf.sharepoint.com\Users\SONGHT\Desktop\Prefeed%20TDS%20Template\E-P-MC%20010%20TDS\Internals-tray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DATA\SANDAN.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92.168.201.55\toyo\Data\ThdInd\Thd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s-4221\ba442pgfs\QATAR\CALCFILE\LINE\QATAR_MB.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KFP-FIL01\PROARC\Estimation\BU%20Felles\06_Procurement\Projects\1001%20SMART%2001%20RELIANCE%20MA%20FIELD%20DEVELOPMENT\Procurement\PMP%20-%20MEL\20072301%20PMP_AFP%20RELIANC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Y:\02_Engineering(Working)\01_Process\01%20Owner%20input%20and%20MOM\FORMAT\STATIC\BIG_AA-V061-V1X-MC-100-C1XXX-R2_0-D-01-TDS%20for%20C1XXX%20C2XXX%20Towers.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T:\GPP5-6\EXCEL\UTY-CNS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T:\QATAR\OPE_MA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ttps:\zhjutal-my.sharepoint.com\Project\WPA0095%20Arkema%20HPL\05%20Engineering%20(working)\01%20Process\00%20Deliverable\1.5%20Fluid%20List\ED-C00-PRS-LST-0002%20Fluid%20List%20%20R0-150105.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ttps:\zhjutal-my.sharepoint.com\Project\WPA0095%20Arkema%20HPL\05%20Engineering%20(working)\01%20Process\6%20Equipment%20List\PRS-IDI-001-Equipment%20list-0A-141208.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ec035\d\Calgon\loaddt2.xls"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LISTELEC1"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http:\spsprod.ic.corp.local\FRRH\JARR\$DATA\DPT-PROCEDES-DFO\1-NOUVEAU%20REP\H2O2\USINES\Shanghai\risun\5.DESIGN%20EQUIPMENTS\Material_balance_100kT_11.5_Rev9%2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0.85.0.252\ATOE-Project\Documents%20and%20Settings\hnss\Local%20Settings\Temporary%20Internet%20Files\OLK3A4\valve%20list%20m%20layout%2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odfs\data\Documents%20and%20Settings\user\Desktop\GTC%20TECHNIP\GTC%20TECHNIP%20PS%201700.0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T:\EVERYONE\QTP\INST\P.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CDB4DF4\Expander%20Suction%20Drum%20datasheet%20Rev%20D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Hoppfil014\ho_n3os\225_Process\Work085\Berenice\YDS-20A_B\YDS-20A_B%20HP_MP%20Steam%20Desuperheater%20Calc%20Coversheet%20Rev%200A.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T:\YUKONG\SILHAENG\SEOUL\PRO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ttp:\spsprod.ic.corp.local\FRRH\JARR\$DATA\DPT-PROCEDES-DFO\1-NOUVEAU%20REP\H2O2\USINES\Shanghai\risun\5.DESIGN%20EQUIPMENTS\QILIN_Calcul_dimensionnement_Rev%204.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Tec-server11\toyo\My%20Documents\Line%20(DeC3%20OVHD).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192.168.201.55\toyo\Documentum\JLU\Protection\LIST0309.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G:\WORKING%20FILE\INTERNATIONAL\technip-coflexip\moho%20bilondo\revised%20format\disk%201%20rev.%20format\TEPC%202197-SC002-EXB-Mech-BOQ-rev0%20(submission).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http:\www1.mwk.com\machinery\forms\datashts\Revised%20l551aeds%20New%20Logo.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U:\Retour%20WPC\PR\List%20of%20utility-\TO%20ARKEMA\9-9\Power%20Balance.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T:\EVERYONE\QTP\INST\L.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10.85.0.252\ATOE-Project\WORKING%20FILE\INTERNATIONAL\technip-coflexip\moho%20bilondo\revised%20format\disk%201%20rev.%20format\TEPC%202197-SC002-EXB-Mech-BOQ-rev0%20(submissio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M:\03049D\Pcm\Cost\Subcon%20ITB\My%20Documents\CIVIL\&#53664;&#47785;&#44204;&#51201;\#2CDU&#49892;&#54665;.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Users\Administrator\Desktop\Procurement%20Plan\Procurement%20Plan-ROS-19%20Mar-%20LL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Legend"/>
      <sheetName val="Sheet1"/>
    </sheetNames>
    <sheetDataSet>
      <sheetData sheetId="0"/>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695 Intercross STEAM TURBINE"/>
      <sheetName val="2695 Intercross Fuel Cost Calc."/>
      <sheetName val="2695 Intercross STEAM Load Bal."/>
      <sheetName val="WIP"/>
    </sheetNames>
    <sheetDataSet>
      <sheetData sheetId="0" refreshError="1"/>
      <sheetData sheetId="1" refreshError="1"/>
      <sheetData sheetId="2"/>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page"/>
      <sheetName val="Description"/>
      <sheetName val="Summary"/>
      <sheetName val="Consumer List and Load B"/>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onomic setup"/>
      <sheetName val="Summary Results"/>
      <sheetName val="P&amp;B Summary"/>
      <sheetName val="Sensitivities"/>
      <sheetName val="Cashflow Analysis"/>
      <sheetName val="Data 1 "/>
      <sheetName val="Details"/>
      <sheetName val="Summary"/>
      <sheetName val="FA1A1 Ground"/>
      <sheetName val="FA1A0 Concrete Pad"/>
      <sheetName val="FA1A3 Teflon"/>
      <sheetName val="FA1B0 PACA"/>
      <sheetName val="QAQC"/>
      <sheetName val="SC140 Loadout Weighing Ballast"/>
      <sheetName val="SC160 Ext Cleaning PIP"/>
      <sheetName val="SC140 Port Dues"/>
      <sheetName val="SC220 GRE Subc"/>
      <sheetName val="SC230 Galv"/>
      <sheetName val="SC251 High Voltage Cable"/>
      <sheetName val="SC260 RT Estructural "/>
      <sheetName val="SC400 Rolling &amp; Machining"/>
      <sheetName val="SC260 RT Piping"/>
      <sheetName val="SC270 Elevator"/>
      <sheetName val="SC450 UVIE"/>
      <sheetName val="SC480 Calibration"/>
      <sheetName val="SC490 Launch Cradle"/>
      <sheetName val="SC510 Leak-Test ER"/>
      <sheetName val="Rental Equipment"/>
      <sheetName val="FA5BE NDE cons STR"/>
      <sheetName val="  FA5BB E&amp;I Consumables"/>
      <sheetName val="FA5AB Building"/>
      <sheetName val="FA5AB Seafastening"/>
      <sheetName val="FA5AB Const Aids"/>
      <sheetName val="FA5AC Grillage L. Bridge"/>
      <sheetName val="SC500 TIMBER"/>
      <sheetName val="FA5AD  DSF"/>
      <sheetName val="FA5D Barge Skidways"/>
      <sheetName val="FA5BA Hydro Test"/>
      <sheetName val="FA5BA Hydro Test (Inertized)"/>
      <sheetName val="FA5BD Consumables"/>
      <sheetName val="FA5BD GRE Consumables"/>
      <sheetName val="FA5BF Blasting"/>
      <sheetName val="FA5BG (PWHT)"/>
      <sheetName val="FA8B1 DownTime "/>
      <sheetName val="Toilet"/>
      <sheetName val="Yard Office"/>
      <sheetName val="MDR Office"/>
      <sheetName val="Client Office PEM"/>
      <sheetName val="Client Office GE"/>
      <sheetName val="Rate Forecasts"/>
      <sheetName val="SC220 GRE Trainning"/>
      <sheetName val="PopLists"/>
      <sheetName val="Sensitivity classification"/>
      <sheetName val="Impact"/>
      <sheetName val="Book Earnings and ROCE"/>
      <sheetName val="Cashflow and Earnings Profile"/>
      <sheetName val="Inflation"/>
      <sheetName val="Prices"/>
      <sheetName val="Block 316  12-2-96"/>
      <sheetName val="Block 212  8-22-96"/>
      <sheetName val="Govt Take"/>
      <sheetName val="Drilling"/>
      <sheetName val="Transportation"/>
      <sheetName val="Exxon Cashflow"/>
      <sheetName val="Social Cashflow"/>
      <sheetName val="PPT graphic"/>
      <sheetName val="Schedules"/>
      <sheetName val="Data initialization"/>
      <sheetName val="Book calculations"/>
      <sheetName val="Block 212  5-15-96"/>
      <sheetName val="Module1"/>
      <sheetName val="FOREX Table"/>
      <sheetName val="EAGLE LOUISIANA VOs"/>
      <sheetName val="EAGLE TEXAS VOs"/>
      <sheetName val="Overview"/>
      <sheetName val="Sum DRAFT"/>
      <sheetName val="Allowance"/>
      <sheetName val="Actuals"/>
      <sheetName val="Expend"/>
      <sheetName val="PMT11"/>
      <sheetName val="PMT10"/>
      <sheetName val="CA11"/>
      <sheetName val="CA10"/>
      <sheetName val="3P"/>
      <sheetName val="NCA MP"/>
      <sheetName val="ConRD"/>
      <sheetName val="PMT Bdgt"/>
      <sheetName val="CA Bdgt"/>
      <sheetName val="3P Bdgt"/>
      <sheetName val="BD Bdgt DRAFT"/>
      <sheetName val="RATES P&amp;B10"/>
      <sheetName val="RATES P&amp;B11"/>
      <sheetName val="XE"/>
      <sheetName val="Input"/>
      <sheetName val="FTE G2 to G3"/>
      <sheetName val="Economic_setup"/>
      <sheetName val="SummaryTable"/>
      <sheetName val="Summary_Results"/>
      <sheetName val="P&amp;B_Summary"/>
      <sheetName val="Cashflow_Analysis"/>
      <sheetName val="Sheet1"/>
      <sheetName val="Economic_setup1"/>
      <sheetName val="Summary_Results1"/>
      <sheetName val="P&amp;B_Summary1"/>
      <sheetName val="Cashflow_Analysis1"/>
      <sheetName val="Sensitivity_classification"/>
      <sheetName val="Fechas, costes lab y coef"/>
      <sheetName val="Sched-Sum"/>
      <sheetName val="FitOutConfCentre"/>
      <sheetName val="Change Order Categorization"/>
      <sheetName val="Cost Centre"/>
      <sheetName val="PHST"/>
      <sheetName val="Sheet3"/>
      <sheetName val="PC - E,P.C&amp;I"/>
      <sheetName val="Opex_Data_Base_New"/>
      <sheetName val="Book_Earnings_and_ROCE"/>
      <sheetName val="Cashflow_and_Earnings_Profile"/>
      <sheetName val="Block_316__12-2-96"/>
      <sheetName val="Block_212__8-22-96"/>
      <sheetName val="Govt_Take"/>
      <sheetName val="Exxon_Cashflow"/>
      <sheetName val="Social_Cashflow"/>
      <sheetName val="PPT_graphic"/>
      <sheetName val="Data_initialization"/>
      <sheetName val="Book_calculations"/>
      <sheetName val="Block_212__5-15-96"/>
      <sheetName val="Sum_DRAFT"/>
      <sheetName val="NCA_MP"/>
      <sheetName val="PMT_Bdgt"/>
      <sheetName val="CA_Bdgt"/>
      <sheetName val="3P_Bdgt"/>
      <sheetName val="BD_Bdgt_DRAFT"/>
      <sheetName val="RATES_P&amp;B10"/>
      <sheetName val="RATES_P&amp;B11"/>
      <sheetName val="FOREX_Table"/>
      <sheetName val="Change_Order_Categorization"/>
      <sheetName val="Cost_Centre"/>
      <sheetName val="Exchange Rates"/>
      <sheetName val="Staffing"/>
      <sheetName val="Code Mob Chart"/>
      <sheetName val="Spares LB"/>
      <sheetName val="Spares RL"/>
      <sheetName val="Code_Mob_Chart"/>
      <sheetName val=""/>
      <sheetName val="Sheet2"/>
      <sheetName val="LU"/>
      <sheetName val="4 x 5 MTA 2018 start up"/>
      <sheetName val="List2"/>
      <sheetName val="Simplified Escalation"/>
      <sheetName val="Dropdown Lists"/>
      <sheetName val="Lists"/>
      <sheetName val="DO NO DELETE"/>
      <sheetName val="Case Names"/>
      <sheetName val="Cash Flow Engine"/>
      <sheetName val="Inputs Outputs"/>
      <sheetName val="Look Ups"/>
      <sheetName val="Foreign Currency Exposure"/>
      <sheetName val="Economic_setup2"/>
      <sheetName val="Summary_Results2"/>
      <sheetName val="P&amp;B_Summary2"/>
      <sheetName val="Cashflow_Analysis2"/>
      <sheetName val="Data_1_"/>
      <sheetName val="FA1A1_Ground"/>
      <sheetName val="FA1A0_Concrete_Pad"/>
      <sheetName val="FA1A3_Teflon"/>
      <sheetName val="FA1B0_PACA"/>
      <sheetName val="SC140_Loadout_Weighing_Ballast"/>
      <sheetName val="SC160_Ext_Cleaning_PIP"/>
      <sheetName val="SC140_Port_Dues"/>
      <sheetName val="SC220_GRE_Subc"/>
      <sheetName val="SC230_Galv"/>
      <sheetName val="SC251_High_Voltage_Cable"/>
      <sheetName val="SC260_RT_Estructural_"/>
      <sheetName val="SC400_Rolling_&amp;_Machining"/>
      <sheetName val="SC260_RT_Piping"/>
      <sheetName val="SC270_Elevator"/>
      <sheetName val="SC450_UVIE"/>
      <sheetName val="SC480_Calibration"/>
      <sheetName val="SC490_Launch_Cradle"/>
      <sheetName val="SC510_Leak-Test_ER"/>
      <sheetName val="Rental_Equipment"/>
      <sheetName val="FA5BE_NDE_cons_STR"/>
      <sheetName val="__FA5BB_E&amp;I_Consumables"/>
      <sheetName val="FA5AB_Building"/>
      <sheetName val="FA5AB_Seafastening"/>
      <sheetName val="FA5AB_Const_Aids"/>
      <sheetName val="FA5AC_Grillage_L__Bridge"/>
      <sheetName val="SC500_TIMBER"/>
      <sheetName val="FA5AD__DSF"/>
      <sheetName val="FA5D_Barge_Skidways"/>
      <sheetName val="FA5BA_Hydro_Test"/>
      <sheetName val="FA5BA_Hydro_Test_(Inertized)"/>
      <sheetName val="FA5BD_Consumables"/>
      <sheetName val="FA5BD_GRE_Consumables"/>
      <sheetName val="FA5BF_Blasting"/>
      <sheetName val="FA5BG_(PWHT)"/>
      <sheetName val="FA8B1_DownTime_"/>
      <sheetName val="Yard_Office"/>
      <sheetName val="MDR_Office"/>
      <sheetName val="Client_Office_PEM"/>
      <sheetName val="Client_Office_GE"/>
      <sheetName val="Rate_Forecasts"/>
      <sheetName val="SC220_GRE_Trainning"/>
      <sheetName val="Sensitivity_classification1"/>
      <sheetName val="Fechas,_costes_lab_y_coef"/>
      <sheetName val="Book_Earnings_and_ROCE1"/>
      <sheetName val="Cashflow_and_Earnings_Profile1"/>
      <sheetName val="Block_316__12-2-961"/>
      <sheetName val="Block_212__8-22-961"/>
      <sheetName val="Govt_Take1"/>
      <sheetName val="Exxon_Cashflow1"/>
      <sheetName val="Social_Cashflow1"/>
      <sheetName val="PPT_graphic1"/>
      <sheetName val="Data_initialization1"/>
      <sheetName val="Book_calculations1"/>
      <sheetName val="Block_212__5-15-961"/>
      <sheetName val="Sum_DRAFT1"/>
      <sheetName val="NCA_MP1"/>
      <sheetName val="PMT_Bdgt1"/>
      <sheetName val="CA_Bdgt1"/>
      <sheetName val="3P_Bdgt1"/>
      <sheetName val="BD_Bdgt_DRAFT1"/>
      <sheetName val="RATES_P&amp;B101"/>
      <sheetName val="RATES_P&amp;B111"/>
      <sheetName val="FOREX_Table1"/>
      <sheetName val="Change_Order_Categorization1"/>
      <sheetName val="Cost_Centre1"/>
      <sheetName val="PC_-_E,P_C&amp;I"/>
      <sheetName val="Spares_LB"/>
      <sheetName val="Spares_RL"/>
      <sheetName val="EAGLE_LOUISIANA_VOs"/>
      <sheetName val="EAGLE_TEXAS_VOs"/>
      <sheetName val="FTE_G2_to_G3"/>
      <sheetName val="Exchange_Rates"/>
      <sheetName val="Foreign_Currency_Exposure"/>
      <sheetName val="Economic_setup3"/>
      <sheetName val="Summary_Results3"/>
      <sheetName val="P&amp;B_Summary3"/>
      <sheetName val="Cashflow_Analysis3"/>
      <sheetName val="Data_1_1"/>
      <sheetName val="FA1A1_Ground1"/>
      <sheetName val="FA1A0_Concrete_Pad1"/>
      <sheetName val="FA1A3_Teflon1"/>
      <sheetName val="FA1B0_PACA1"/>
      <sheetName val="SC140_Loadout_Weighing_Ballast1"/>
      <sheetName val="SC160_Ext_Cleaning_PIP1"/>
      <sheetName val="SC140_Port_Dues1"/>
      <sheetName val="SC220_GRE_Subc1"/>
      <sheetName val="SC230_Galv1"/>
      <sheetName val="SC251_High_Voltage_Cable1"/>
      <sheetName val="SC260_RT_Estructural_1"/>
      <sheetName val="SC400_Rolling_&amp;_Machining1"/>
      <sheetName val="SC260_RT_Piping1"/>
      <sheetName val="SC270_Elevator1"/>
      <sheetName val="SC450_UVIE1"/>
      <sheetName val="SC480_Calibration1"/>
      <sheetName val="SC490_Launch_Cradle1"/>
      <sheetName val="SC510_Leak-Test_ER1"/>
      <sheetName val="Rental_Equipment1"/>
      <sheetName val="FA5BE_NDE_cons_STR1"/>
      <sheetName val="__FA5BB_E&amp;I_Consumables1"/>
      <sheetName val="FA5AB_Building1"/>
      <sheetName val="FA5AB_Seafastening1"/>
      <sheetName val="FA5AB_Const_Aids1"/>
      <sheetName val="FA5AC_Grillage_L__Bridge1"/>
      <sheetName val="SC500_TIMBER1"/>
      <sheetName val="FA5AD__DSF1"/>
      <sheetName val="FA5D_Barge_Skidways1"/>
      <sheetName val="FA5BA_Hydro_Test1"/>
      <sheetName val="FA5BA_Hydro_Test_(Inertized)1"/>
      <sheetName val="FA5BD_Consumables1"/>
      <sheetName val="FA5BD_GRE_Consumables1"/>
      <sheetName val="FA5BF_Blasting1"/>
      <sheetName val="FA5BG_(PWHT)1"/>
      <sheetName val="FA8B1_DownTime_1"/>
      <sheetName val="Yard_Office1"/>
      <sheetName val="MDR_Office1"/>
      <sheetName val="Client_Office_PEM1"/>
      <sheetName val="Client_Office_GE1"/>
      <sheetName val="Rate_Forecasts1"/>
      <sheetName val="SC220_GRE_Trainning1"/>
      <sheetName val="Sensitivity_classification2"/>
      <sheetName val="Fechas,_costes_lab_y_coef1"/>
      <sheetName val="Book_Earnings_and_ROCE2"/>
      <sheetName val="Cashflow_and_Earnings_Profile2"/>
      <sheetName val="Block_316__12-2-962"/>
      <sheetName val="Block_212__8-22-962"/>
      <sheetName val="Govt_Take2"/>
      <sheetName val="Exxon_Cashflow2"/>
      <sheetName val="Social_Cashflow2"/>
      <sheetName val="PPT_graphic2"/>
      <sheetName val="Data_initialization2"/>
      <sheetName val="Book_calculations2"/>
      <sheetName val="Block_212__5-15-962"/>
      <sheetName val="Sum_DRAFT2"/>
      <sheetName val="NCA_MP2"/>
      <sheetName val="PMT_Bdgt2"/>
      <sheetName val="CA_Bdgt2"/>
      <sheetName val="3P_Bdgt2"/>
      <sheetName val="BD_Bdgt_DRAFT2"/>
      <sheetName val="RATES_P&amp;B102"/>
      <sheetName val="RATES_P&amp;B112"/>
      <sheetName val="FOREX_Table2"/>
      <sheetName val="Change_Order_Categorization2"/>
      <sheetName val="Cost_Centre2"/>
      <sheetName val="PC_-_E,P_C&amp;I1"/>
      <sheetName val="Spares_LB1"/>
      <sheetName val="Spares_RL1"/>
      <sheetName val="EAGLE_LOUISIANA_VOs1"/>
      <sheetName val="EAGLE_TEXAS_VOs1"/>
      <sheetName val="FTE_G2_to_G31"/>
      <sheetName val="Notes"/>
      <sheetName val="Cashflow"/>
      <sheetName val="AR"/>
      <sheetName val="AR May"/>
      <sheetName val="AR LIVE"/>
      <sheetName val="Rec"/>
      <sheetName val="Taxes"/>
      <sheetName val="AR 0307 - July"/>
      <sheetName val="AR 3006 - July"/>
      <sheetName val="Ithaca"/>
      <sheetName val="Arctic repayments"/>
      <sheetName val="Kestrel repayments"/>
      <sheetName val="Other PMTs"/>
      <sheetName val="Phoenix"/>
      <sheetName val="Seagreen"/>
      <sheetName val="Vega"/>
      <sheetName val="Brazil"/>
      <sheetName val="Forward FX Rates"/>
      <sheetName val="Calendar"/>
      <sheetName val="Instruction"/>
      <sheetName val="Budget Percentage"/>
      <sheetName val="Budget Summary"/>
      <sheetName val="Budget Summary by Month"/>
      <sheetName val="OOK PMT AS SOLD"/>
      <sheetName val="OOK ENG AS SOLD"/>
      <sheetName val="IK PMT AS SOLD "/>
      <sheetName val="OOK PMT FORECAST"/>
      <sheetName val="ZCL DATA run on 18012021"/>
      <sheetName val="OOK ENG FORECAST"/>
      <sheetName val="Variance"/>
      <sheetName val="IK PMTENG FORECAST"/>
      <sheetName val="IK - Saudi Interns"/>
      <sheetName val="WBR 2020"/>
      <sheetName val="ZCL DATA TRANSFERRED"/>
      <sheetName val="Escalation"/>
      <sheetName val="WBR2019"/>
      <sheetName val="Project Exchange"/>
      <sheetName val="OOK PMT MANPOWER AS SOLD"/>
      <sheetName val="OOK ENG MANPOWER AS SOLD"/>
      <sheetName val="IK PMT MANPOWER AS SOLD"/>
      <sheetName val="Staffing - 47"/>
      <sheetName val="Staffing - 48"/>
      <sheetName val="Staffing - 49"/>
      <sheetName val="Accruals file"/>
      <sheetName val="PMSR"/>
      <sheetName val="PMSR ACWP"/>
      <sheetName val="SAP"/>
      <sheetName val="SAP PT"/>
      <sheetName val="RCE"/>
      <sheetName val="Packs"/>
      <sheetName val="SAP for check"/>
      <sheetName val="SAP for check PT"/>
      <sheetName val="REVENUE REC"/>
      <sheetName val="Procurement"/>
      <sheetName val="SAP check PT"/>
      <sheetName val="First Sheet"/>
      <sheetName val="CURRENCY"/>
      <sheetName val="PC_-_E,P_C&amp;I2"/>
      <sheetName val="Exchange_Rates1"/>
      <sheetName val="data"/>
      <sheetName val="MTO"/>
      <sheetName val="A. TUBULARS &amp; CONES_R01_200511"/>
      <sheetName val="B. SEAMLESS PIPES_R01_200511"/>
      <sheetName val="D. PLATES_R01_200511"/>
      <sheetName val="C. ROLLED SHAPES_R01_200511"/>
      <sheetName val="F. FASTENES_R01_200511"/>
      <sheetName val="G. GRATING &amp; TREAD_R01_200511"/>
      <sheetName val="MEC R01"/>
      <sheetName val="M. MISCELLANEOUS_R01_200511"/>
      <sheetName val="JAN 2019"/>
      <sheetName val="FEB 2019"/>
      <sheetName val="MAR 2019"/>
      <sheetName val="APR 2019"/>
      <sheetName val="MAY 2019"/>
      <sheetName val="JUN 2019"/>
      <sheetName val="JUL 2019"/>
      <sheetName val="AUG 2019"/>
      <sheetName val="SEP 2019"/>
      <sheetName val="OCT 2019"/>
      <sheetName val="NOV 2019"/>
      <sheetName val="DEC 2019"/>
      <sheetName val="Input Data"/>
      <sheetName val="2. Price Sheet"/>
      <sheetName val="Data painting"/>
      <sheetName val="A"/>
      <sheetName val="WIP"/>
      <sheetName val="BQMPALOC"/>
      <sheetName val="CutOffDates"/>
      <sheetName val="TIPO 1"/>
      <sheetName val="BQMP"/>
      <sheetName val="Data_painting"/>
      <sheetName val="4_x_5_MTA_2018_start_up"/>
      <sheetName val="Data_painting1"/>
      <sheetName val="Code_Mob_Chart1"/>
      <sheetName val="4_x_5_MTA_2018_start_up1"/>
      <sheetName val="갑지"/>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BM"/>
      <sheetName val="Wellhrs"/>
      <sheetName val="LISTE DEROULANTE"/>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sheetData sheetId="55"/>
      <sheetData sheetId="56"/>
      <sheetData sheetId="57"/>
      <sheetData sheetId="58"/>
      <sheetData sheetId="59"/>
      <sheetData sheetId="60" refreshError="1"/>
      <sheetData sheetId="61"/>
      <sheetData sheetId="62"/>
      <sheetData sheetId="63" refreshError="1"/>
      <sheetData sheetId="64" refreshError="1"/>
      <sheetData sheetId="65" refreshError="1"/>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sheetData sheetId="139" refreshError="1"/>
      <sheetData sheetId="140" refreshError="1"/>
      <sheetData sheetId="141" refreshError="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refreshError="1"/>
      <sheetData sheetId="368"/>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sheetData sheetId="402"/>
      <sheetData sheetId="403"/>
      <sheetData sheetId="404"/>
      <sheetData sheetId="405"/>
      <sheetData sheetId="406" refreshError="1"/>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refreshError="1"/>
      <sheetData sheetId="432" refreshError="1"/>
      <sheetData sheetId="43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PLANT"/>
      <sheetName val="SUM FSBLT"/>
      <sheetName val="VOLSUM"/>
      <sheetName val="WPSUM"/>
      <sheetName val="PCWBS_MAP"/>
      <sheetName val="WKFRM1"/>
      <sheetName val="WKFRM2"/>
      <sheetName val="SQNC-1"/>
      <sheetName val="SQNC-2"/>
      <sheetName val="SQNC-3"/>
      <sheetName val="MILSTN"/>
      <sheetName val="MASTSCH"/>
      <sheetName val="MOBALL"/>
      <sheetName val="BQMPALOC"/>
      <sheetName val="CRDIDX"/>
      <sheetName val="PROGALL"/>
      <sheetName val="2538M"/>
      <sheetName val="ORGZN"/>
      <sheetName val="STAFSCH"/>
      <sheetName val="SUB_Map"/>
      <sheetName val="PERFEVA"/>
      <sheetName val="PIPE50%A"/>
      <sheetName val="PIPE50%B"/>
      <sheetName val="STFMHANZ"/>
      <sheetName val="CMHANZ"/>
      <sheetName val="MPDATA1000"/>
      <sheetName val="MPDATA2000"/>
      <sheetName val="MPDATA3000"/>
      <sheetName val="MPDATA4000"/>
      <sheetName val="MPDATA5000"/>
      <sheetName val="MPDATA6000"/>
      <sheetName val="MPDATA7000"/>
      <sheetName val="MPDATA8000"/>
      <sheetName val="MPDATA9_A_B"/>
      <sheetName val="BQCONV"/>
      <sheetName val="SCINF1"/>
      <sheetName val="SCINF2"/>
      <sheetName val="KNOWHOW_MEMO"/>
      <sheetName val="EQUIPMOB"/>
      <sheetName val="TEMP_FAC"/>
      <sheetName val="7000(rev)"/>
      <sheetName val="Overall Project"/>
      <sheetName val="Overall Process"/>
      <sheetName val="Overall Utility"/>
      <sheetName val="1000"/>
      <sheetName val="FWBS 1000"/>
      <sheetName val="2000"/>
      <sheetName val="FWBS 2000"/>
      <sheetName val="3000"/>
      <sheetName val="FWBS 3000"/>
      <sheetName val="5000"/>
      <sheetName val="FWBS 5000"/>
      <sheetName val="6000"/>
      <sheetName val="FWBS 6000"/>
      <sheetName val="7000"/>
      <sheetName val="FWBS 7000"/>
      <sheetName val="8000"/>
      <sheetName val="FWBS 8000"/>
      <sheetName val="9000"/>
      <sheetName val="FWBS 9000"/>
      <sheetName val="A000"/>
      <sheetName val="FWBS A000"/>
      <sheetName val="B000"/>
      <sheetName val="FWBS B000"/>
      <sheetName val="Z000"/>
      <sheetName val="FWBS Z000"/>
      <sheetName val="SUMMARY"/>
      <sheetName val="3000-A"/>
      <sheetName val="5000-A"/>
      <sheetName val="6000-A"/>
      <sheetName val="9000-A"/>
      <sheetName val="管道资料"/>
      <sheetName val="9DATA"/>
      <sheetName val="A000-A"/>
      <sheetName val="0DATA"/>
      <sheetName val="9管道资料"/>
      <sheetName val="TYPE-A"/>
      <sheetName val="Final(1)summary"/>
      <sheetName val="12CGOU"/>
      <sheetName val="B"/>
      <sheetName val="Chart"/>
      <sheetName val="COA-17"/>
      <sheetName val="C-18"/>
      <sheetName val="95신규호표"/>
      <sheetName val="SALA-002"/>
      <sheetName val="SUM_FSBLT"/>
      <sheetName val="FWBS_9000"/>
      <sheetName val="Overall_Project"/>
      <sheetName val="Overall_Process"/>
      <sheetName val="Overall_Utility"/>
      <sheetName val="FWBS_1000"/>
      <sheetName val="FWBS_2000"/>
      <sheetName val="FWBS_3000"/>
      <sheetName val="FWBS_5000"/>
      <sheetName val="FWBS_6000"/>
      <sheetName val="FWBS_7000"/>
      <sheetName val="FWBS_8000"/>
      <sheetName val="FWBS_A000"/>
      <sheetName val="FWBS_B000"/>
      <sheetName val="FWBS_Z000"/>
      <sheetName val="Cash2"/>
      <sheetName val="Z"/>
      <sheetName val="A"/>
      <sheetName val="INVOICE_CERT EIV'S"/>
      <sheetName val="산근"/>
      <sheetName val="Planning&amp;reporting"/>
      <sheetName val="DRUM"/>
      <sheetName val="집계표"/>
      <sheetName val="EE-PROP"/>
      <sheetName val="PNTEXT"/>
      <sheetName val="Basic"/>
      <sheetName val="Building BD"/>
      <sheetName val="Onerous Terms"/>
      <sheetName val="0000"/>
      <sheetName val="EQUIPMENT"/>
      <sheetName val="실제 도면출도"/>
      <sheetName val="자금운영"/>
      <sheetName val="도"/>
      <sheetName val="jobhist"/>
      <sheetName val=" Sum"/>
      <sheetName val="INSTR"/>
      <sheetName val="嗔5喸5"/>
      <sheetName val="표지"/>
      <sheetName val="D-623D"/>
      <sheetName val="TTL"/>
      <sheetName val="MTP"/>
      <sheetName val="SOHAR(2nd)"/>
      <sheetName val="공사비 내역 (가)"/>
      <sheetName val="33628-Rev. A"/>
      <sheetName val="ENE-CAL"/>
      <sheetName val="plan&amp;section of foundation"/>
      <sheetName val="design criteria"/>
      <sheetName val="CAL"/>
      <sheetName val="대비표"/>
      <sheetName val="#REF"/>
      <sheetName val="w't table"/>
      <sheetName val="BQMP"/>
      <sheetName val="SUM_FSBLT1"/>
      <sheetName val="FWBS_90001"/>
      <sheetName val="Overall_Project1"/>
      <sheetName val="Overall_Process1"/>
      <sheetName val="Overall_Utility1"/>
      <sheetName val="FWBS_10001"/>
      <sheetName val="FWBS_20001"/>
      <sheetName val="FWBS_30001"/>
      <sheetName val="FWBS_50001"/>
      <sheetName val="FWBS_60001"/>
      <sheetName val="FWBS_70001"/>
      <sheetName val="FWBS_80001"/>
      <sheetName val="FWBS_A0001"/>
      <sheetName val="FWBS_B0001"/>
      <sheetName val="FWBS_Z0001"/>
      <sheetName val="CASH"/>
      <sheetName val="PRO_DCI"/>
      <sheetName val="INST_DCI"/>
      <sheetName val="HVAC_DCI"/>
      <sheetName val="PIPE_DCI"/>
      <sheetName val="DESCRIPTION"/>
      <sheetName val="BM DATA SHEET"/>
      <sheetName val="Eq. Mobilization"/>
      <sheetName val="당초"/>
      <sheetName val="Progress Tab"/>
      <sheetName val="BATCH"/>
      <sheetName val="具志川H社"/>
      <sheetName val="ORIGINAL"/>
      <sheetName val="공사비SUM"/>
      <sheetName val=""/>
      <sheetName val="입찰내역 발주처 양식"/>
      <sheetName val="BM"/>
      <sheetName val="집계표(OPTION)"/>
      <sheetName val="Sheet1"/>
      <sheetName val="기계내역서"/>
      <sheetName val="合成単価作成表-BLDG"/>
      <sheetName val="WIP"/>
      <sheetName val="REINF."/>
      <sheetName val="SKETCH"/>
      <sheetName val="기성내역"/>
      <sheetName val="INVOICE_CERT_EIV'S"/>
      <sheetName val="LinerWt"/>
      <sheetName val="Sheet4"/>
      <sheetName val="M 11"/>
      <sheetName val="PIPING"/>
      <sheetName val="Sheet13"/>
      <sheetName val="Sheet14"/>
      <sheetName val="PC CATCH PIT 1X1X1.2M"/>
      <sheetName val="PC CATCH PIT .6X.6X1.0M"/>
      <sheetName val="PC COVER 100MM THK .95x.3"/>
      <sheetName val="PC COVER 250MM THK 2.2x.3"/>
      <sheetName val="Chiet tinh dz35"/>
      <sheetName val="Kuan&amp;Har(PT)"/>
      <sheetName val="Alat"/>
      <sheetName val="AC"/>
      <sheetName val="7102"/>
      <sheetName val="member design"/>
      <sheetName val="working load at the btm ft."/>
      <sheetName val="soil bearing check"/>
      <sheetName val="기둥(원형)"/>
      <sheetName val="목표세부명세"/>
      <sheetName val="Running compatibility check A"/>
      <sheetName val="상반기손익차2총괄"/>
      <sheetName val="3. GROUNDING SYSTEM"/>
      <sheetName val="Adjusted Bids"/>
      <sheetName val="EQT-ESTN"/>
      <sheetName val="List"/>
      <sheetName val="Concept Offshore"/>
      <sheetName val="SUM_FSBLT2"/>
      <sheetName val="Overall_Project2"/>
      <sheetName val="Overall_Process2"/>
      <sheetName val="Overall_Utility2"/>
      <sheetName val="FWBS_10002"/>
      <sheetName val="FWBS_20002"/>
      <sheetName val="FWBS_30002"/>
      <sheetName val="FWBS_50002"/>
      <sheetName val="FWBS_60002"/>
      <sheetName val="FWBS_70002"/>
      <sheetName val="FWBS_80002"/>
      <sheetName val="FWBS_90002"/>
      <sheetName val="FWBS_A0002"/>
      <sheetName val="FWBS_B0002"/>
      <sheetName val="FWBS_Z0002"/>
      <sheetName val="Onerous_Terms"/>
      <sheetName val="Building_BD"/>
      <sheetName val="_Sum"/>
      <sheetName val="실제_도면출도"/>
      <sheetName val="공사비_내역_(가)"/>
      <sheetName val="33628-Rev__A"/>
      <sheetName val="plan&amp;section_of_foundation"/>
      <sheetName val="design_criteria"/>
      <sheetName val="w't_table"/>
      <sheetName val="BM_DATA_SHEET"/>
      <sheetName val="Eq__Mobilization"/>
      <sheetName val="Progress_Tab"/>
      <sheetName val="입찰내역_발주처_양식"/>
      <sheetName val="INVOICE_CERT_EIV'S1"/>
      <sheetName val="M_11"/>
      <sheetName val="REINF_"/>
      <sheetName val="Running_compatibility_check_A"/>
      <sheetName val="3__GROUNDING_SYSTEM"/>
      <sheetName val="Running compatibility check "/>
      <sheetName val="Hoja1"/>
      <sheetName val="뜃맟뭁돽띿맟?-BLDG"/>
      <sheetName val="Auxi"/>
      <sheetName val="Building_BD1"/>
      <sheetName val="Onerous_Terms1"/>
      <sheetName val="_Sum1"/>
      <sheetName val="A(Rev.3)"/>
      <sheetName val="Breakdown-1"/>
      <sheetName val="Pipe"/>
      <sheetName val="Add"/>
      <sheetName val="SUM_FSBLT3"/>
      <sheetName val="FWBS_90003"/>
      <sheetName val="Overall_Project3"/>
      <sheetName val="Overall_Process3"/>
      <sheetName val="Overall_Utility3"/>
      <sheetName val="FWBS_10003"/>
      <sheetName val="FWBS_20003"/>
      <sheetName val="FWBS_30003"/>
      <sheetName val="FWBS_50003"/>
      <sheetName val="FWBS_60003"/>
      <sheetName val="FWBS_70003"/>
      <sheetName val="FWBS_80003"/>
      <sheetName val="FWBS_A0003"/>
      <sheetName val="FWBS_B0003"/>
      <sheetName val="FWBS_Z0003"/>
      <sheetName val="실제_도면출도1"/>
      <sheetName val="INVOICE_CERT_EIV'S2"/>
      <sheetName val="공사비_내역_(가)1"/>
      <sheetName val="plan&amp;section_of_foundation1"/>
      <sheetName val="design_criteria1"/>
      <sheetName val="w't_table1"/>
      <sheetName val="Eq__Mobilization1"/>
      <sheetName val="BM_DATA_SHEET1"/>
      <sheetName val="33628-Rev__A1"/>
      <sheetName val="Progress_Tab1"/>
      <sheetName val="입찰내역_발주처_양식1"/>
      <sheetName val="M_111"/>
      <sheetName val="REINF_1"/>
      <sheetName val="PC_CATCH_PIT_1X1X1_2M"/>
      <sheetName val="PC_CATCH_PIT__6X_6X1_0M"/>
      <sheetName val="PC_COVER_100MM_THK__95x_3"/>
      <sheetName val="PC_COVER_250MM_THK_2_2x_3"/>
      <sheetName val="Adjusted_Bids"/>
      <sheetName val="member_design"/>
      <sheetName val="Concept_Offshore"/>
      <sheetName val="working_load_at_the_btm_ft_"/>
      <sheetName val="soil_bearing_check"/>
      <sheetName val="Chiet_tinh_dz35"/>
      <sheetName val="Running compatibility check _x0"/>
      <sheetName val="基数"/>
      <sheetName val="[Planning&amp;reporting.xlsM9000-A"/>
      <sheetName val="설비"/>
      <sheetName val="공문"/>
      <sheetName val="FitOutConfCentre"/>
      <sheetName val="RFP002"/>
      <sheetName val="코드"/>
      <sheetName val="자바라1"/>
      <sheetName val="C,E"/>
      <sheetName val="산출내역서"/>
      <sheetName val="Proposal"/>
      <sheetName val="Onerous_Terms2"/>
      <sheetName val="Building_BD2"/>
      <sheetName val="_Sum2"/>
      <sheetName val="실제_도면출도2"/>
      <sheetName val="공사비_내역_(가)2"/>
      <sheetName val="plan&amp;section_of_foundation2"/>
      <sheetName val="design_criteria2"/>
      <sheetName val="w't_table2"/>
      <sheetName val="BM_DATA_SHEET2"/>
      <sheetName val="Progress_Tab2"/>
      <sheetName val="Eq__Mobilization2"/>
      <sheetName val="33628-Rev__A2"/>
      <sheetName val="입찰내역_발주처_양식2"/>
      <sheetName val="M_112"/>
      <sheetName val="SUM_FSBLT4"/>
      <sheetName val="Overall_Project4"/>
      <sheetName val="Overall_Process4"/>
      <sheetName val="Overall_Utility4"/>
      <sheetName val="FWBS_10004"/>
      <sheetName val="FWBS_20004"/>
      <sheetName val="FWBS_30004"/>
      <sheetName val="FWBS_50004"/>
      <sheetName val="FWBS_60004"/>
      <sheetName val="FWBS_70004"/>
      <sheetName val="FWBS_80004"/>
      <sheetName val="FWBS_90004"/>
      <sheetName val="FWBS_A0004"/>
      <sheetName val="FWBS_B0004"/>
      <sheetName val="FWBS_Z0004"/>
      <sheetName val="INVOICE_CERT_EIV'S3"/>
      <sheetName val="Onerous_Terms3"/>
      <sheetName val="Building_BD3"/>
      <sheetName val="_Sum3"/>
      <sheetName val="실제_도면출도3"/>
      <sheetName val="공사비_내역_(가)3"/>
      <sheetName val="plan&amp;section_of_foundation3"/>
      <sheetName val="design_criteria3"/>
      <sheetName val="w't_table3"/>
      <sheetName val="BM_DATA_SHEET3"/>
      <sheetName val="Progress_Tab3"/>
      <sheetName val="Eq__Mobilization3"/>
      <sheetName val="33628-Rev__A3"/>
      <sheetName val="입찰내역_발주처_양식3"/>
      <sheetName val="M_113"/>
      <sheetName val="A (2)"/>
      <sheetName val="1100"/>
      <sheetName val="datasheet"/>
      <sheetName val="설계내역서"/>
      <sheetName val="CALCULATION"/>
      <sheetName val="MCCSUM"/>
      <sheetName val="List of WorkPacks"/>
      <sheetName val="List of Dates"/>
      <sheetName val="Database"/>
      <sheetName val="Masterfile"/>
      <sheetName val="FWBS codes"/>
      <sheetName val="STANDARD DESCRIPTION"/>
      <sheetName val="STANDARD DESCRIPTION - 20150519"/>
      <sheetName val="Drawings Summary"/>
      <sheetName val="Instr Drawing List"/>
      <sheetName val="INDEX-Areas B000,C000,D000,E000"/>
      <sheetName val="STANDARD DESCRIPTION 20150715"/>
      <sheetName val="Sheet2"/>
      <sheetName val="DropDown Selections"/>
      <sheetName val="Structural Comp"/>
      <sheetName val="뜃맟뭁돽띿맟_-BLDG"/>
      <sheetName val="Running compatibility check ?A?"/>
      <sheetName val="Running compatibility check _A_"/>
      <sheetName val="Cashflow Analysis"/>
      <sheetName val="Direct Prices"/>
      <sheetName val="Лист1"/>
      <sheetName val="Structural_Comp"/>
      <sheetName val="salary"/>
      <sheetName val="Backup"/>
      <sheetName val="MTO"/>
      <sheetName val="Sheet"/>
      <sheetName val="3__GROUNDING_SYSTEM1"/>
      <sheetName val="Running_compatibility_check_"/>
      <sheetName val="A(Rev_3)"/>
      <sheetName val="REINF_2"/>
      <sheetName val="3__GROUNDING_SYSTEM2"/>
      <sheetName val="member_design1"/>
      <sheetName val="Adjusted_Bids1"/>
      <sheetName val="PC_CATCH_PIT_1X1X1_2M1"/>
      <sheetName val="PC_CATCH_PIT__6X_6X1_0M1"/>
      <sheetName val="PC_COVER_100MM_THK__95x_31"/>
      <sheetName val="PC_COVER_250MM_THK_2_2x_31"/>
      <sheetName val="working_load_at_the_btm_ft_1"/>
      <sheetName val="soil_bearing_check1"/>
      <sheetName val="Concept_Offshore1"/>
      <sheetName val="Chiet_tinh_dz351"/>
      <sheetName val="Running_compatibility_check_1"/>
      <sheetName val="A(Rev_3)1"/>
      <sheetName val="SUM_FSBLT5"/>
      <sheetName val="Overall_Project5"/>
      <sheetName val="Overall_Process5"/>
      <sheetName val="Overall_Utility5"/>
      <sheetName val="FWBS_10005"/>
      <sheetName val="FWBS_20005"/>
      <sheetName val="FWBS_30005"/>
      <sheetName val="FWBS_50005"/>
      <sheetName val="FWBS_60005"/>
      <sheetName val="FWBS_70005"/>
      <sheetName val="FWBS_80005"/>
      <sheetName val="FWBS_90005"/>
      <sheetName val="FWBS_A0005"/>
      <sheetName val="FWBS_B0005"/>
      <sheetName val="FWBS_Z0005"/>
      <sheetName val="INVOICE_CERT_EIV'S4"/>
      <sheetName val="Onerous_Terms4"/>
      <sheetName val="Building_BD4"/>
      <sheetName val="_Sum4"/>
      <sheetName val="REINF_3"/>
      <sheetName val="3__GROUNDING_SYSTEM3"/>
      <sheetName val="member_design2"/>
      <sheetName val="Adjusted_Bids2"/>
      <sheetName val="PC_CATCH_PIT_1X1X1_2M2"/>
      <sheetName val="PC_CATCH_PIT__6X_6X1_0M2"/>
      <sheetName val="PC_COVER_100MM_THK__95x_32"/>
      <sheetName val="PC_COVER_250MM_THK_2_2x_32"/>
      <sheetName val="working_load_at_the_btm_ft_2"/>
      <sheetName val="soil_bearing_check2"/>
      <sheetName val="Concept_Offshore2"/>
      <sheetName val="Chiet_tinh_dz352"/>
      <sheetName val="Running_compatibility_check_2"/>
      <sheetName val="A(Rev_3)2"/>
      <sheetName val="SUM_FSBLT6"/>
      <sheetName val="Overall_Project6"/>
      <sheetName val="Overall_Process6"/>
      <sheetName val="Overall_Utility6"/>
      <sheetName val="FWBS_10006"/>
      <sheetName val="FWBS_20006"/>
      <sheetName val="FWBS_30006"/>
      <sheetName val="FWBS_50006"/>
      <sheetName val="FWBS_60006"/>
      <sheetName val="FWBS_70006"/>
      <sheetName val="FWBS_80006"/>
      <sheetName val="FWBS_90006"/>
      <sheetName val="FWBS_A0006"/>
      <sheetName val="FWBS_B0006"/>
      <sheetName val="FWBS_Z0006"/>
      <sheetName val="INVOICE_CERT_EIV'S5"/>
      <sheetName val="Onerous_Terms5"/>
      <sheetName val="Building_BD5"/>
      <sheetName val="_Sum5"/>
      <sheetName val="plan&amp;section_of_foundation4"/>
      <sheetName val="design_criteria4"/>
      <sheetName val="실제_도면출도4"/>
      <sheetName val="공사비_내역_(가)4"/>
      <sheetName val="BM_DATA_SHEET4"/>
      <sheetName val="Progress_Tab4"/>
      <sheetName val="w't_table4"/>
      <sheetName val="Eq__Mobilization4"/>
      <sheetName val="33628-Rev__A4"/>
      <sheetName val="입찰내역_발주처_양식4"/>
      <sheetName val="M_114"/>
      <sheetName val="REINF_4"/>
      <sheetName val="3__GROUNDING_SYSTEM4"/>
      <sheetName val="member_design3"/>
      <sheetName val="Adjusted_Bids3"/>
      <sheetName val="PC_CATCH_PIT_1X1X1_2M3"/>
      <sheetName val="PC_CATCH_PIT__6X_6X1_0M3"/>
      <sheetName val="PC_COVER_100MM_THK__95x_33"/>
      <sheetName val="PC_COVER_250MM_THK_2_2x_33"/>
      <sheetName val="working_load_at_the_btm_ft_3"/>
      <sheetName val="soil_bearing_check3"/>
      <sheetName val="Concept_Offshore3"/>
      <sheetName val="Chiet_tinh_dz353"/>
      <sheetName val="Running_compatibility_check_3"/>
      <sheetName val="A(Rev_3)3"/>
      <sheetName val="SUM_FSBLT7"/>
      <sheetName val="Overall_Project7"/>
      <sheetName val="Overall_Process7"/>
      <sheetName val="Overall_Utility7"/>
      <sheetName val="FWBS_10007"/>
      <sheetName val="FWBS_20007"/>
      <sheetName val="FWBS_30007"/>
      <sheetName val="FWBS_50007"/>
      <sheetName val="FWBS_60007"/>
      <sheetName val="FWBS_70007"/>
      <sheetName val="FWBS_80007"/>
      <sheetName val="FWBS_90007"/>
      <sheetName val="FWBS_A0007"/>
      <sheetName val="FWBS_B0007"/>
      <sheetName val="FWBS_Z0007"/>
      <sheetName val="INVOICE_CERT_EIV'S6"/>
      <sheetName val="Onerous_Terms6"/>
      <sheetName val="Building_BD6"/>
      <sheetName val="_Sum6"/>
      <sheetName val="plan&amp;section_of_foundation5"/>
      <sheetName val="design_criteria5"/>
      <sheetName val="실제_도면출도5"/>
      <sheetName val="공사비_내역_(가)5"/>
      <sheetName val="BM_DATA_SHEET5"/>
      <sheetName val="Progress_Tab5"/>
      <sheetName val="w't_table5"/>
      <sheetName val="Eq__Mobilization5"/>
      <sheetName val="33628-Rev__A5"/>
      <sheetName val="입찰내역_발주처_양식5"/>
      <sheetName val="M_115"/>
      <sheetName val="REINF_5"/>
      <sheetName val="3__GROUNDING_SYSTEM5"/>
      <sheetName val="member_design4"/>
      <sheetName val="Adjusted_Bids4"/>
      <sheetName val="PC_CATCH_PIT_1X1X1_2M4"/>
      <sheetName val="PC_CATCH_PIT__6X_6X1_0M4"/>
      <sheetName val="PC_COVER_100MM_THK__95x_34"/>
      <sheetName val="PC_COVER_250MM_THK_2_2x_34"/>
      <sheetName val="working_load_at_the_btm_ft_4"/>
      <sheetName val="soil_bearing_check4"/>
      <sheetName val="Concept_Offshore4"/>
      <sheetName val="Chiet_tinh_dz354"/>
      <sheetName val="Running_compatibility_check_4"/>
      <sheetName val="A(Rev_3)4"/>
      <sheetName val="Petty"/>
      <sheetName val="J"/>
      <sheetName val="DATOS"/>
      <sheetName val="WORKSHEET CS"/>
      <sheetName val="DATA"/>
      <sheetName val="CODE"/>
      <sheetName val="_Planning&amp;reporting.xlsM9000-A"/>
      <sheetName val="[Planning&amp;reporting_xlsM9000-A"/>
      <sheetName val="Cashflow_Analysis"/>
      <sheetName val="00-Summary Information-ABB"/>
      <sheetName val="FWBS_codes"/>
      <sheetName val="STANDARD_DESCRIPTION"/>
      <sheetName val="STANDARD_DESCRIPTION_-_20150519"/>
      <sheetName val="Drawings_Summary"/>
      <sheetName val="Instr_Drawing_List"/>
      <sheetName val="INDEX-Areas_B000,C000,D000,E000"/>
      <sheetName val="STANDARD_DESCRIPTION_20150715"/>
      <sheetName val="DropDown_Selections"/>
      <sheetName val="DO NOT DELETE"/>
      <sheetName val="Lists"/>
      <sheetName val="Time Rates "/>
      <sheetName val="Running_compatibility_check__x0"/>
      <sheetName val="Running_compatibility_check_?A?"/>
      <sheetName val="Running_compatibility_check__A_"/>
      <sheetName val="List_of_WorkPacks"/>
      <sheetName val="List_of_Dates"/>
      <sheetName val="A_(2)"/>
      <sheetName val="BID"/>
      <sheetName val="page 6"/>
      <sheetName val="P-Ins &amp; Bonds"/>
      <sheetName val="P-Site fac"/>
      <sheetName val="P-Clients fac"/>
      <sheetName val="P Staff fac"/>
      <sheetName val="factor "/>
      <sheetName val="CASHFLOWS"/>
      <sheetName val="vlookup - do not print"/>
      <sheetName val="BAG-2"/>
      <sheetName val="Rate Analysis"/>
      <sheetName val="차액보증"/>
      <sheetName val="19.05.2010"/>
      <sheetName val="Earthworks ERP"/>
      <sheetName val="24.06.2010"/>
      <sheetName val="Small Structures ERP"/>
      <sheetName val="Large Structures ERP"/>
      <sheetName val="Tunnelling ERP"/>
      <sheetName val="0124"/>
      <sheetName val="Notes"/>
      <sheetName val="SUM_FSBLT9"/>
      <sheetName val="Overall_Project9"/>
      <sheetName val="Overall_Process9"/>
      <sheetName val="Overall_Utility9"/>
      <sheetName val="FWBS_10009"/>
      <sheetName val="FWBS_20009"/>
      <sheetName val="FWBS_30009"/>
      <sheetName val="FWBS_50009"/>
      <sheetName val="FWBS_60009"/>
      <sheetName val="FWBS_70009"/>
      <sheetName val="FWBS_80009"/>
      <sheetName val="FWBS_90009"/>
      <sheetName val="FWBS_A0009"/>
      <sheetName val="FWBS_B0009"/>
      <sheetName val="FWBS_Z0009"/>
      <sheetName val="실제_도면출도7"/>
      <sheetName val="INVOICE_CERT_EIV'S8"/>
      <sheetName val="Building_BD8"/>
      <sheetName val="Onerous_Terms8"/>
      <sheetName val="_Sum8"/>
      <sheetName val="plan&amp;section_of_foundation7"/>
      <sheetName val="design_criteria7"/>
      <sheetName val="공사비_내역_(가)7"/>
      <sheetName val="33628-Rev__A7"/>
      <sheetName val="w't_table7"/>
      <sheetName val="BM_DATA_SHEET7"/>
      <sheetName val="Progress_Tab7"/>
      <sheetName val="Eq__Mobilization7"/>
      <sheetName val="입찰내역_발주처_양식7"/>
      <sheetName val="REINF_7"/>
      <sheetName val="M_117"/>
      <sheetName val="PC_CATCH_PIT_1X1X1_2M6"/>
      <sheetName val="PC_CATCH_PIT__6X_6X1_0M6"/>
      <sheetName val="PC_COVER_100MM_THK__95x_36"/>
      <sheetName val="PC_COVER_250MM_THK_2_2x_36"/>
      <sheetName val="Chiet_tinh_dz356"/>
      <sheetName val="member_design6"/>
      <sheetName val="working_load_at_the_btm_ft_6"/>
      <sheetName val="soil_bearing_check6"/>
      <sheetName val="3__GROUNDING_SYSTEM7"/>
      <sheetName val="Structural_Comp2"/>
      <sheetName val="Adjusted_Bids6"/>
      <sheetName val="Concept_Offshore6"/>
      <sheetName val="Running_compatibility_check_6"/>
      <sheetName val="List_of_WorkPacks1"/>
      <sheetName val="List_of_Dates1"/>
      <sheetName val="FWBS_codes2"/>
      <sheetName val="STANDARD_DESCRIPTION2"/>
      <sheetName val="STANDARD_DESCRIPTION_-_20150512"/>
      <sheetName val="Drawings_Summary2"/>
      <sheetName val="Instr_Drawing_List2"/>
      <sheetName val="INDEX-Areas_B000,C000,D000,E002"/>
      <sheetName val="STANDARD_DESCRIPTION_201507152"/>
      <sheetName val="DropDown_Selections2"/>
      <sheetName val="A(Rev_3)6"/>
      <sheetName val="[Planning&amp;reporting_xlsM9000-A2"/>
      <sheetName val="Running_compatibility_check__x1"/>
      <sheetName val="Cashflow_Analysis2"/>
      <sheetName val="Running_compatibility_check_?A1"/>
      <sheetName val="Running_compatibility_check__A1"/>
      <sheetName val="A_(2)1"/>
      <sheetName val="Direct_Prices1"/>
      <sheetName val="WORKSHEET_CS1"/>
      <sheetName val="_Planning&amp;reporting_xlsM9000-A1"/>
      <sheetName val="00-Summary_Information-ABB1"/>
      <sheetName val="DO_NOT_DELETE1"/>
      <sheetName val="Time_Rates_1"/>
      <sheetName val="SUM_FSBLT8"/>
      <sheetName val="Overall_Project8"/>
      <sheetName val="Overall_Process8"/>
      <sheetName val="Overall_Utility8"/>
      <sheetName val="FWBS_10008"/>
      <sheetName val="FWBS_20008"/>
      <sheetName val="FWBS_30008"/>
      <sheetName val="FWBS_50008"/>
      <sheetName val="FWBS_60008"/>
      <sheetName val="FWBS_70008"/>
      <sheetName val="FWBS_80008"/>
      <sheetName val="FWBS_90008"/>
      <sheetName val="FWBS_A0008"/>
      <sheetName val="FWBS_B0008"/>
      <sheetName val="FWBS_Z0008"/>
      <sheetName val="실제_도면출도6"/>
      <sheetName val="INVOICE_CERT_EIV'S7"/>
      <sheetName val="Building_BD7"/>
      <sheetName val="Onerous_Terms7"/>
      <sheetName val="_Sum7"/>
      <sheetName val="plan&amp;section_of_foundation6"/>
      <sheetName val="design_criteria6"/>
      <sheetName val="공사비_내역_(가)6"/>
      <sheetName val="33628-Rev__A6"/>
      <sheetName val="w't_table6"/>
      <sheetName val="BM_DATA_SHEET6"/>
      <sheetName val="Progress_Tab6"/>
      <sheetName val="Eq__Mobilization6"/>
      <sheetName val="입찰내역_발주처_양식6"/>
      <sheetName val="REINF_6"/>
      <sheetName val="M_116"/>
      <sheetName val="PC_CATCH_PIT_1X1X1_2M5"/>
      <sheetName val="PC_CATCH_PIT__6X_6X1_0M5"/>
      <sheetName val="PC_COVER_100MM_THK__95x_35"/>
      <sheetName val="PC_COVER_250MM_THK_2_2x_35"/>
      <sheetName val="Chiet_tinh_dz355"/>
      <sheetName val="member_design5"/>
      <sheetName val="working_load_at_the_btm_ft_5"/>
      <sheetName val="soil_bearing_check5"/>
      <sheetName val="3__GROUNDING_SYSTEM6"/>
      <sheetName val="Structural_Comp1"/>
      <sheetName val="Adjusted_Bids5"/>
      <sheetName val="Concept_Offshore5"/>
      <sheetName val="Running_compatibility_check_5"/>
      <sheetName val="FWBS_codes1"/>
      <sheetName val="STANDARD_DESCRIPTION1"/>
      <sheetName val="STANDARD_DESCRIPTION_-_20150511"/>
      <sheetName val="Drawings_Summary1"/>
      <sheetName val="Instr_Drawing_List1"/>
      <sheetName val="INDEX-Areas_B000,C000,D000,E001"/>
      <sheetName val="STANDARD_DESCRIPTION_201507151"/>
      <sheetName val="DropDown_Selections1"/>
      <sheetName val="A(Rev_3)5"/>
      <sheetName val="[Planning&amp;reporting_xlsM9000-A1"/>
      <sheetName val="Cashflow_Analysis1"/>
      <sheetName val="Direct_Prices"/>
      <sheetName val="WORKSHEET_CS"/>
      <sheetName val="_Planning&amp;reporting_xlsM9000-A"/>
      <sheetName val="00-Summary_Information-ABB"/>
      <sheetName val="DO_NOT_DELETE"/>
      <sheetName val="Time_Rates_"/>
      <sheetName val="Depreciation"/>
      <sheetName val="EmpList"/>
      <sheetName val="Personnel"/>
      <sheetName val="Calendar"/>
      <sheetName val="Orçamento"/>
      <sheetName val="COMPLEXALL"/>
      <sheetName val="ITB COST"/>
      <sheetName val="Civil Weekly"/>
      <sheetName val="0.0 Cover"/>
      <sheetName val="Hoja 3"/>
      <sheetName val="Cutoff"/>
      <sheetName val=" N Finansal Eğri"/>
      <sheetName val="1"/>
      <sheetName val="손익차9월2"/>
      <sheetName val="MOS"/>
      <sheetName val="Pricing Summary"/>
      <sheetName val="Net Cost - Final Base"/>
      <sheetName val="7.6Net Cost Agreed on Dec-04 R1"/>
      <sheetName val="Net Cost Agreed on Dec-04 Rev1"/>
      <sheetName val="7.6 Net Cost Agreed on Dec-04"/>
      <sheetName val="Net Cost Agreed on Dec-04"/>
      <sheetName val="Total for Check"/>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pg.4"/>
      <sheetName val="Subcon A"/>
      <sheetName val="갑지"/>
      <sheetName val="도급양식"/>
      <sheetName val="예산"/>
      <sheetName val="pg_4"/>
      <sheetName val="Subcon_A"/>
      <sheetName val="bill 2"/>
      <sheetName val="insulation"/>
      <sheetName val="MATERIAL'S PRICE"/>
      <sheetName val="pg_41"/>
      <sheetName val="Subcon_A1"/>
      <sheetName val="bill_2"/>
      <sheetName val="MATERIAL'S_PRICE"/>
      <sheetName val="page_6"/>
      <sheetName val="inter"/>
      <sheetName val="sum"/>
      <sheetName val="예산M11A"/>
      <sheetName val="유림콘도"/>
      <sheetName val="JK Price sheet"/>
      <sheetName val="TP Price sheet"/>
      <sheetName val="Phase 1 JK UTSE"/>
      <sheetName val="Phase 2 JK UTSE"/>
      <sheetName val="Phase 1 and 2 JK UTSE"/>
      <sheetName val="Phase 1 TP UTSE"/>
      <sheetName val="Phase 2 TP UTSE"/>
      <sheetName val="Phase 1 and 2 TP UTSE"/>
      <sheetName val="Cash Flow (BL)"/>
      <sheetName val="Cash Flow (UTSE)"/>
      <sheetName val="Estimation"/>
      <sheetName val="스케즐"/>
      <sheetName val="총괄"/>
      <sheetName val="견적서표지0204-2 (2)"/>
      <sheetName val="Piping Spool"/>
      <sheetName val="Cost Definition"/>
      <sheetName val="견적 원가 "/>
      <sheetName val="부산제일극장"/>
      <sheetName val="Sand"/>
      <sheetName val="Geotextile for geotube"/>
      <sheetName val="Geotube"/>
      <sheetName val="Hohlquader"/>
      <sheetName val="RD01"/>
      <sheetName val="Settings"/>
      <sheetName val="유림골조"/>
      <sheetName val="FAB별"/>
      <sheetName val="Specs"/>
      <sheetName val="PROJ_INFO"/>
      <sheetName val="FOREX"/>
      <sheetName val="AEROGEL CAL"/>
      <sheetName val="CRYG THKMM"/>
      <sheetName val="QUOTES"/>
      <sheetName val="PVBF"/>
      <sheetName val="SCAFF"/>
      <sheetName val="INDIRECTS"/>
      <sheetName val="LABBASIS"/>
      <sheetName val="MATBASIS"/>
      <sheetName val="TKOFF"/>
      <sheetName val="PSUM"/>
      <sheetName val="ANALYSIS"/>
      <sheetName val="ITB REVIEW"/>
      <sheetName val="SPCS SUMM."/>
      <sheetName val="ESTI. SUMM."/>
      <sheetName val="Price Summary"/>
      <sheetName val="BOQ_Insulation_Piping"/>
      <sheetName val="BOQ_Insulation_Equipment"/>
      <sheetName val="Acc Stock-INSUL"/>
      <sheetName val="Inert Balls"/>
      <sheetName val="Menu"/>
      <sheetName val="Drop Down"/>
      <sheetName val="Source Data"/>
      <sheetName val="CAPEX Categories"/>
      <sheetName val="RFP003_Building - B"/>
      <sheetName val="RFP005"/>
      <sheetName val="RFP006"/>
      <sheetName val="RFP012"/>
      <sheetName val="RFP009"/>
      <sheetName val="RFP004"/>
      <sheetName val="PERHITUNGAN  KEEKONOMIAN"/>
      <sheetName val="SENSITIVITAS"/>
      <sheetName val="Cover"/>
      <sheetName val="Total Staff"/>
      <sheetName val="0. SUMMARY"/>
      <sheetName val="1. Engineering"/>
      <sheetName val="2. Check point"/>
      <sheetName val="II Changes 1"/>
      <sheetName val="III Changes 2"/>
      <sheetName val="Qty."/>
      <sheetName val="MP"/>
      <sheetName val="EQP"/>
      <sheetName val="OQC Summary"/>
      <sheetName val="6.Unit Rates"/>
      <sheetName val="Benchmark"/>
      <sheetName val="목록박스"/>
      <sheetName val="Cable Schedule"/>
      <sheetName val="EQUI"/>
      <sheetName val="2.04"/>
      <sheetName val="2.05"/>
      <sheetName val="2.07 &amp; 2.08"/>
      <sheetName val="3.01"/>
      <sheetName val="3.02"/>
      <sheetName val="3.03"/>
      <sheetName val="ratios"/>
      <sheetName val="ecart Personnel"/>
      <sheetName val="Ecart Others"/>
      <sheetName val="Other costs"/>
      <sheetName val="3000 Steel str"/>
      <sheetName val="5000 Equipments"/>
      <sheetName val="6000 Piping"/>
      <sheetName val="7000 Instrumentation"/>
      <sheetName val="8000 Electrical"/>
      <sheetName val="per supplier"/>
      <sheetName val="Pivot ledger"/>
      <sheetName val="Ledger"/>
      <sheetName val="Pivot ENT"/>
      <sheetName val="ENT"/>
      <sheetName val="Pivot MAD"/>
      <sheetName val="MAD"/>
      <sheetName val="Prod"/>
      <sheetName val="97 사업추정(WEKI)"/>
      <sheetName val="INDIRECT OH&amp;P "/>
      <sheetName val="Hoja2"/>
      <sheetName val="Horas"/>
      <sheetName val="Overall MTO - 20191001 (old)"/>
      <sheetName val="MTO for BMBQ"/>
      <sheetName val="PCWBS Map"/>
      <sheetName val="Paint&amp;Ins"/>
      <sheetName val="reff"/>
      <sheetName val="Valve"/>
      <sheetName val="BQ Reff"/>
      <sheetName val="Sum of Comparison-20191007"/>
      <sheetName val="NPS"/>
      <sheetName val="Joint No."/>
      <sheetName val="Unit Weight"/>
      <sheetName val="Detail PMC"/>
      <sheetName val="Detail PMC (for full desc)"/>
      <sheetName val="Bolt Size"/>
      <sheetName val="NDE Req"/>
      <sheetName val="DB-FILM"/>
      <sheetName val="DB-EQV"/>
      <sheetName val="S"/>
      <sheetName val="Tgh JGC-Inv I clp"/>
      <sheetName val="PCS "/>
      <sheetName val="Progress Statement-SI"/>
      <sheetName val="Progress Payment-3110"/>
      <sheetName val="회사99"/>
      <sheetName val="Summary (3)"/>
      <sheetName val="RRW Scaff"/>
      <sheetName val="RRW Oct-2019-1st Lot-13-10-19"/>
      <sheetName val="RRW Oct-2019-2st Lot-15-10-19"/>
      <sheetName val="Sheet16"/>
      <sheetName val="PROGRAM"/>
      <sheetName val="CASHFLOW"/>
      <sheetName val="GRAPH_DATA"/>
      <sheetName val="Report Wizard"/>
      <sheetName val="Initial Plan"/>
      <sheetName val="Progress"/>
      <sheetName val="S3-Costing"/>
      <sheetName val="S4-Costing"/>
      <sheetName val="ABBR"/>
      <sheetName val="Salary 2013"/>
      <sheetName val="Finansal tamamlanma Eğrisi"/>
      <sheetName val="1.INV"/>
      <sheetName val="2.Calculation Sheet"/>
      <sheetName val="Price Sheet"/>
      <sheetName val="3. Progress"/>
      <sheetName val="4. EDR"/>
      <sheetName val="BOM SUM"/>
      <sheetName val="Eng. Boq -1"/>
      <sheetName val="PFP,TIE COAT &amp; TOP FLG PAINTED"/>
      <sheetName val="Shop Modifications"/>
      <sheetName val="JI-2036 - Preservation"/>
      <sheetName val="Re-Application "/>
      <sheetName val="Sheet3"/>
      <sheetName val="L-FRAMES"/>
      <sheetName val="MM"/>
      <sheetName val="OLD (2)"/>
      <sheetName val="MLCL"/>
      <sheetName val="DB-Weight"/>
      <sheetName val="DB-EQL"/>
      <sheetName val="DB-BOLT SIZE"/>
      <sheetName val="REQ LIST"/>
      <sheetName val="DESC NEW PMC"/>
      <sheetName val="MTO_2020.03.11"/>
      <sheetName val="BM_PIVOT"/>
      <sheetName val="BQ_2020.03.03"/>
      <sheetName val="MTO_2020.03.03 (VDR)"/>
      <sheetName val="BQ_2020.03.03 (VDR)"/>
      <sheetName val="WEIGHT &amp; PAINT"/>
      <sheetName val="FW JGC"/>
      <sheetName val="FW VENDOR"/>
      <sheetName val="BQ_2020.02.25"/>
      <sheetName val="BM_PIPE,FITTING&amp;FLG"/>
      <sheetName val="BM_GASKET"/>
      <sheetName val="BM_BOLT &amp; NUT"/>
      <sheetName val="RT TABLE"/>
      <sheetName val="BRANCH &amp; REDUCING TABLE"/>
      <sheetName val="DESC OLD PMC"/>
      <sheetName val="PMC-OLD"/>
      <sheetName val="PMC-MLCL"/>
      <sheetName val="SHORT CODE LIST"/>
      <sheetName val="7422CW00"/>
      <sheetName val="P-산#1-1(WOWA1)"/>
      <sheetName val="부하계산서"/>
      <sheetName val="배5월출고"/>
      <sheetName val="BQ-E20-02(Rp)"/>
      <sheetName val="MIBK원단위"/>
      <sheetName val="BAND(200)"/>
      <sheetName val="OUTER AREA(겹침없음)"/>
      <sheetName val="EG-09"/>
      <sheetName val="LOADDAT"/>
      <sheetName val="sheet6"/>
      <sheetName val="DATA-DEP.(13-17)"/>
      <sheetName val="DATA-KBPL(17-25)"/>
      <sheetName val="DATA-GCC(25-34.7)"/>
      <sheetName val="St.-Con(0-17)"/>
      <sheetName val="St.-Con.(17-34)"/>
      <sheetName val="개시대사 (2)"/>
      <sheetName val="BLDG_DCI"/>
      <sheetName val="BLDG_MCI"/>
      <sheetName val="DIV-03"/>
      <sheetName val="Sal"/>
      <sheetName val="Harsat"/>
      <sheetName val="Equiv.Length"/>
      <sheetName val="S-Curve (Weekly)"/>
      <sheetName val="Price Summary (1)"/>
      <sheetName val="Price Summary (2)"/>
      <sheetName val="DESBASTE"/>
      <sheetName val="Item#9.3"/>
      <sheetName val="Item#1.9"/>
      <sheetName val="Item#2.6"/>
      <sheetName val="Item#3.8"/>
      <sheetName val="Item#4.10"/>
      <sheetName val="Item#5.8"/>
      <sheetName val="Item#6.7"/>
      <sheetName val="Item#7.21"/>
      <sheetName val="Item#8.7"/>
      <sheetName val="8-31-98"/>
      <sheetName val="worksheet inchican"/>
      <sheetName val="REBAR"/>
      <sheetName val="Arch"/>
      <sheetName val="DESBAST"/>
      <sheetName val="チューブ仕様"/>
      <sheetName val="LLEGADA"/>
      <sheetName val="GAE8'97"/>
      <sheetName val="2.2 띠장의 설계"/>
      <sheetName val="2.223M_due to adj profit"/>
      <sheetName val="Land Dev't. Ph-1"/>
      <sheetName val="INTERIOR WALLS"/>
      <sheetName val="CPA_EQP"/>
      <sheetName val="S-Curve"/>
      <sheetName val="5-Digit"/>
      <sheetName val="CFA"/>
      <sheetName val="Material Price"/>
      <sheetName val="combined 9-30"/>
      <sheetName val="Ex-Rate"/>
      <sheetName val="Budget"/>
      <sheetName val="GESTION FICHE"/>
      <sheetName val="TRADUCTION LISTES"/>
      <sheetName val="L V Separator"/>
      <sheetName val="TACE"/>
      <sheetName val="SUM_FSBLT10"/>
      <sheetName val="FWBS_900010"/>
      <sheetName val="Overall_Project10"/>
      <sheetName val="Overall_Process10"/>
      <sheetName val="Overall_Utility10"/>
      <sheetName val="FWBS_100010"/>
      <sheetName val="FWBS_200010"/>
      <sheetName val="FWBS_300010"/>
      <sheetName val="FWBS_500010"/>
      <sheetName val="FWBS_600010"/>
      <sheetName val="FWBS_700010"/>
      <sheetName val="FWBS_800010"/>
      <sheetName val="FWBS_A00010"/>
      <sheetName val="FWBS_B00010"/>
      <sheetName val="FWBS_Z00010"/>
      <sheetName val="INVOICE_CERT_EIV'S9"/>
      <sheetName val="Onerous_Terms9"/>
      <sheetName val="Building_BD9"/>
      <sheetName val="_Sum9"/>
      <sheetName val="plan&amp;section_of_foundation8"/>
      <sheetName val="design_criteria8"/>
      <sheetName val="실제_도면출도8"/>
      <sheetName val="공사비_내역_(가)8"/>
      <sheetName val="Progress_Tab8"/>
      <sheetName val="w't_table8"/>
      <sheetName val="BM_DATA_SHEET8"/>
      <sheetName val="Eq__Mobilization8"/>
      <sheetName val="33628-Rev__A8"/>
      <sheetName val="입찰내역_발주처_양식8"/>
      <sheetName val="REINF_8"/>
      <sheetName val="M_118"/>
      <sheetName val="PC_CATCH_PIT_1X1X1_2M7"/>
      <sheetName val="PC_CATCH_PIT__6X_6X1_0M7"/>
      <sheetName val="PC_COVER_100MM_THK__95x_37"/>
      <sheetName val="PC_COVER_250MM_THK_2_2x_37"/>
      <sheetName val="Chiet_tinh_dz357"/>
      <sheetName val="member_design7"/>
      <sheetName val="working_load_at_the_btm_ft_7"/>
      <sheetName val="soil_bearing_check7"/>
      <sheetName val="3__GROUNDING_SYSTEM8"/>
      <sheetName val="Structural_Comp3"/>
      <sheetName val="Adjusted_Bids7"/>
      <sheetName val="Concept_Offshore7"/>
      <sheetName val="Running_compatibility_check_7"/>
      <sheetName val="A(Rev_3)7"/>
      <sheetName val="[Planning&amp;reporting_xlsM9000-A3"/>
      <sheetName val="Running_compatibility_check__x2"/>
      <sheetName val="Cashflow_Analysis3"/>
      <sheetName val="Running_compatibility_check_?A2"/>
      <sheetName val="Running_compatibility_check__A2"/>
      <sheetName val="A_(2)2"/>
      <sheetName val="Direct_Prices2"/>
      <sheetName val="List_of_WorkPacks2"/>
      <sheetName val="List_of_Dates2"/>
      <sheetName val="FWBS_codes3"/>
      <sheetName val="STANDARD_DESCRIPTION3"/>
      <sheetName val="STANDARD_DESCRIPTION_-_20150513"/>
      <sheetName val="Drawings_Summary3"/>
      <sheetName val="Instr_Drawing_List3"/>
      <sheetName val="INDEX-Areas_B000,C000,D000,E003"/>
      <sheetName val="STANDARD_DESCRIPTION_201507153"/>
      <sheetName val="DropDown_Selections3"/>
      <sheetName val="WORKSHEET_CS2"/>
      <sheetName val="_Planning&amp;reporting_xlsM9000-A2"/>
      <sheetName val="00-Summary_Information-ABB2"/>
      <sheetName val="DO_NOT_DELETE2"/>
      <sheetName val="Time_Rates_2"/>
      <sheetName val="P-Ins_&amp;_Bonds"/>
      <sheetName val="P-Site_fac"/>
      <sheetName val="P-Clients_fac"/>
      <sheetName val="P_Staff_fac"/>
      <sheetName val="factor_"/>
      <sheetName val="vlookup_-_do_not_print"/>
      <sheetName val="Rate_Analysis"/>
      <sheetName val="19_05_2010"/>
      <sheetName val="Earthworks_ERP"/>
      <sheetName val="24_06_2010"/>
      <sheetName val="Small_Structures_ERP"/>
      <sheetName val="Large_Structures_ERP"/>
      <sheetName val="Tunnelling_ERP"/>
      <sheetName val="SUM_FSBLT11"/>
      <sheetName val="FWBS_900011"/>
      <sheetName val="Overall_Project11"/>
      <sheetName val="Overall_Process11"/>
      <sheetName val="Overall_Utility11"/>
      <sheetName val="FWBS_100011"/>
      <sheetName val="FWBS_200011"/>
      <sheetName val="FWBS_300011"/>
      <sheetName val="FWBS_500011"/>
      <sheetName val="FWBS_600011"/>
      <sheetName val="FWBS_700011"/>
      <sheetName val="FWBS_800011"/>
      <sheetName val="FWBS_A00011"/>
      <sheetName val="FWBS_B00011"/>
      <sheetName val="FWBS_Z00011"/>
      <sheetName val="INVOICE_CERT_EIV'S10"/>
      <sheetName val="Onerous_Terms10"/>
      <sheetName val="Building_BD10"/>
      <sheetName val="_Sum10"/>
      <sheetName val="plan&amp;section_of_foundation9"/>
      <sheetName val="design_criteria9"/>
      <sheetName val="실제_도면출도9"/>
      <sheetName val="공사비_내역_(가)9"/>
      <sheetName val="Progress_Tab9"/>
      <sheetName val="w't_table9"/>
      <sheetName val="BM_DATA_SHEET9"/>
      <sheetName val="Eq__Mobilization9"/>
      <sheetName val="33628-Rev__A9"/>
      <sheetName val="입찰내역_발주처_양식9"/>
      <sheetName val="REINF_9"/>
      <sheetName val="M_119"/>
      <sheetName val="PC_CATCH_PIT_1X1X1_2M8"/>
      <sheetName val="PC_CATCH_PIT__6X_6X1_0M8"/>
      <sheetName val="PC_COVER_100MM_THK__95x_38"/>
      <sheetName val="PC_COVER_250MM_THK_2_2x_38"/>
      <sheetName val="Chiet_tinh_dz358"/>
      <sheetName val="member_design8"/>
      <sheetName val="working_load_at_the_btm_ft_8"/>
      <sheetName val="soil_bearing_check8"/>
      <sheetName val="3__GROUNDING_SYSTEM9"/>
      <sheetName val="Structural_Comp4"/>
      <sheetName val="Adjusted_Bids8"/>
      <sheetName val="Concept_Offshore8"/>
      <sheetName val="Running_compatibility_check_8"/>
      <sheetName val="A(Rev_3)8"/>
      <sheetName val="[Planning&amp;reporting_xlsM9000-A4"/>
      <sheetName val="Running_compatibility_check__x3"/>
      <sheetName val="Cashflow_Analysis4"/>
      <sheetName val="Running_compatibility_check_?A3"/>
      <sheetName val="Running_compatibility_check__A3"/>
      <sheetName val="A_(2)3"/>
      <sheetName val="Direct_Prices3"/>
      <sheetName val="List_of_WorkPacks3"/>
      <sheetName val="List_of_Dates3"/>
      <sheetName val="FWBS_codes4"/>
      <sheetName val="STANDARD_DESCRIPTION4"/>
      <sheetName val="STANDARD_DESCRIPTION_-_20150514"/>
      <sheetName val="Drawings_Summary4"/>
      <sheetName val="Instr_Drawing_List4"/>
      <sheetName val="INDEX-Areas_B000,C000,D000,E004"/>
      <sheetName val="STANDARD_DESCRIPTION_201507154"/>
      <sheetName val="DropDown_Selections4"/>
      <sheetName val="WORKSHEET_CS3"/>
      <sheetName val="_Planning&amp;reporting_xlsM9000-A3"/>
      <sheetName val="00-Summary_Information-ABB3"/>
      <sheetName val="DO_NOT_DELETE3"/>
      <sheetName val="Time_Rates_3"/>
      <sheetName val="page_61"/>
      <sheetName val="P-Ins_&amp;_Bonds1"/>
      <sheetName val="P-Site_fac1"/>
      <sheetName val="P-Clients_fac1"/>
      <sheetName val="P_Staff_fac1"/>
      <sheetName val="factor_1"/>
      <sheetName val="vlookup_-_do_not_print1"/>
      <sheetName val="Rate_Analysis1"/>
      <sheetName val="19_05_20101"/>
      <sheetName val="Earthworks_ERP1"/>
      <sheetName val="24_06_20101"/>
      <sheetName val="Small_Structures_ERP1"/>
      <sheetName val="Large_Structures_ERP1"/>
      <sheetName val="Tunnelling_ERP1"/>
      <sheetName val="12 - MAT'L CLASSIFIC. FACTORS"/>
      <sheetName val="1 - PREFAB STR STEEL"/>
      <sheetName val="8 - SKIDS, VESSELS &amp; EQPT"/>
      <sheetName val="5 - STG PLANT - MISC  ITEMS"/>
      <sheetName val="14 - HEIGHT FACTORS"/>
      <sheetName val="10 - STEAM TURBINE PUMPS"/>
      <sheetName val="16 - ASTM CS PIPE ERECT"/>
      <sheetName val="15 - ASTM CS PIPE FAB"/>
      <sheetName val="7 - SAND BLAST &amp; PAINT"/>
      <sheetName val="breakdown"/>
      <sheetName val="마감물량"/>
      <sheetName val="Substation Column"/>
      <sheetName val="laborrates"/>
      <sheetName val="100(4)"/>
      <sheetName val="合成単価作成表_BLDG"/>
      <sheetName val="RefG"/>
      <sheetName val="IRR sponsor"/>
      <sheetName val="SG"/>
      <sheetName val="Pricing_Summary"/>
      <sheetName val="Net_Cost_-_Final_Base"/>
      <sheetName val="7_6Net_Cost_Agreed_on_Dec-04_R1"/>
      <sheetName val="Net_Cost_Agreed_on_Dec-04_Rev1"/>
      <sheetName val="7_6_Net_Cost_Agreed_on_Dec-04"/>
      <sheetName val="Net_Cost_Agreed_on_Dec-04"/>
      <sheetName val="Total_for_Check"/>
      <sheetName val="ITB_COST"/>
      <sheetName val="Civil_Weekly"/>
      <sheetName val="견적서표지0204-2_(2)"/>
      <sheetName val="Piping_Spool"/>
      <sheetName val="Cost_Definition"/>
      <sheetName val="견적_원가_"/>
      <sheetName val="pg_42"/>
      <sheetName val="Subcon_A2"/>
      <sheetName val="bill_21"/>
      <sheetName val="MATERIAL'S_PRICE1"/>
      <sheetName val="_N_Finansal_Eğri"/>
      <sheetName val="2_04"/>
      <sheetName val="2_05"/>
      <sheetName val="2_07_&amp;_2_08"/>
      <sheetName val="3_01"/>
      <sheetName val="3_02"/>
      <sheetName val="3_03"/>
      <sheetName val="ecart_Personnel"/>
      <sheetName val="Ecart_Others"/>
      <sheetName val="Other_costs"/>
      <sheetName val="3000_Steel_str"/>
      <sheetName val="5000_Equipments"/>
      <sheetName val="6000_Piping"/>
      <sheetName val="7000_Instrumentation"/>
      <sheetName val="8000_Electrical"/>
      <sheetName val="per_supplier"/>
      <sheetName val="Pivot_ledger"/>
      <sheetName val="Pivot_ENT"/>
      <sheetName val="Pivot_MAD"/>
      <sheetName val="INSULATION R1"/>
      <sheetName val="BOQ LIST"/>
      <sheetName val="17安"/>
      <sheetName val="Part"/>
      <sheetName val="Setup"/>
      <sheetName val="PDS U-1400"/>
      <sheetName val="SPT vs PHI"/>
      <sheetName val="01-D.PERS"/>
      <sheetName val="Fig 4-14"/>
      <sheetName val="Fig 5-17"/>
      <sheetName val="IMPULSE"/>
      <sheetName val="Manpower List-1"/>
      <sheetName val="DAILY"/>
      <sheetName val="SUMMARY FOR DPR"/>
      <sheetName val="Index Daily Alloaction"/>
      <sheetName val="Manpower List"/>
      <sheetName val="A &amp; B"/>
      <sheetName val="conta_rapor"/>
      <sheetName val="sonuç"/>
      <sheetName val="Follow-up"/>
      <sheetName val="Sayfa1"/>
      <sheetName val="Insulatıon_status"/>
      <sheetName val="SOS_PLC &amp; Panel"/>
      <sheetName val="2000년_#1_HB"/>
      <sheetName val="Planilla CND"/>
      <sheetName val="Restricted"/>
      <sheetName val="전체계좌"/>
      <sheetName val="8104"/>
      <sheetName val="1771"/>
      <sheetName val="CASH-FLOW"/>
      <sheetName val="Table_Rates Data"/>
      <sheetName val="95삼성급(본사)"/>
      <sheetName val="APP-9"/>
      <sheetName val="MAPP"/>
      <sheetName val="rek det 1-3"/>
      <sheetName val="BP"/>
      <sheetName val="Comp equip"/>
      <sheetName val="Mach &amp; equip"/>
      <sheetName val="单价"/>
      <sheetName val="eqpmad2"/>
      <sheetName val="Financ. Overview"/>
      <sheetName val="Toolbox"/>
      <sheetName val="최적단면"/>
      <sheetName val="单价分析表2"/>
      <sheetName val="MECHANICAL（水处理厂2)"/>
      <sheetName val="XLR_NoRangeSheet"/>
      <sheetName val="内河船舶单价"/>
      <sheetName val="待摊费"/>
      <sheetName val="人工费"/>
      <sheetName val="quant"/>
      <sheetName val="材料"/>
      <sheetName val="4 代码列表"/>
      <sheetName val="人工SDP.2"/>
      <sheetName val="参数"/>
      <sheetName val="材料SDP.1"/>
      <sheetName val="Prec.OTS"/>
      <sheetName val="COLUMNS"/>
      <sheetName val="VESSELS "/>
      <sheetName val="Page 1"/>
      <sheetName val="pw&amp;shs"/>
      <sheetName val="주관사업"/>
      <sheetName val="SEX"/>
      <sheetName val="351BQMCN"/>
      <sheetName val="DAF-4"/>
      <sheetName val="Hrg Satuan"/>
      <sheetName val="analisa"/>
      <sheetName val="schbhn"/>
      <sheetName val="schalt"/>
      <sheetName val="schtng"/>
      <sheetName val="Bill rekap"/>
      <sheetName val="ESCON"/>
      <sheetName val="Div2"/>
      <sheetName val="ANALIS.2"/>
      <sheetName val="ANALIS.1"/>
      <sheetName val="Harga Satuan"/>
      <sheetName val="BHN"/>
      <sheetName val="ALT"/>
      <sheetName val="SUB"/>
      <sheetName val="UPH"/>
      <sheetName val="Aggr"/>
      <sheetName val="analis standar(8m)"/>
      <sheetName val="DAF-3"/>
      <sheetName val="REQDELTA"/>
      <sheetName val="bhn "/>
      <sheetName val="Testing"/>
      <sheetName val="BAG-III"/>
      <sheetName val="I_KAMAR"/>
      <sheetName val="D-3109"/>
      <sheetName val="Mall"/>
      <sheetName val="AHS"/>
      <sheetName val="STR"/>
      <sheetName val="NP"/>
      <sheetName val="TOTAL SCHEDULE"/>
      <sheetName val="BILL"/>
      <sheetName val="SALES"/>
      <sheetName val="PERHITUNGAN__KEEKONOMIAN"/>
      <sheetName val="RFP003_Building_-_B"/>
      <sheetName val="Total_Staff"/>
      <sheetName val="0__SUMMARY"/>
      <sheetName val="1__Engineering"/>
      <sheetName val="2__Check_point"/>
      <sheetName val="II_Changes_1"/>
      <sheetName val="III_Changes_2"/>
      <sheetName val="Qty_"/>
      <sheetName val="OQC_Summary"/>
      <sheetName val="6_Unit_Rates"/>
      <sheetName val="AEROGEL_CAL"/>
      <sheetName val="CRYG_THKMM"/>
      <sheetName val="ITB_REVIEW"/>
      <sheetName val="SPCS_SUMM_"/>
      <sheetName val="ESTI__SUMM_"/>
      <sheetName val="Price_Summary"/>
      <sheetName val="Acc_Stock-INSUL"/>
      <sheetName val="97_사업추정(WEKI)"/>
      <sheetName val="Drop_Down"/>
      <sheetName val="Source_Data"/>
      <sheetName val="Overall_MTO_-_20191001_(old)"/>
      <sheetName val="MTO_for_BMBQ"/>
      <sheetName val="BQ_Reff"/>
      <sheetName val="Sum_of_Comparison-20191007"/>
      <sheetName val="Joint_No_"/>
      <sheetName val="Unit_Weight"/>
      <sheetName val="Detail_PMC"/>
      <sheetName val="Detail_PMC_(for_full_desc)"/>
      <sheetName val="Bolt_Size"/>
      <sheetName val="NDE_Req"/>
      <sheetName val="Tgh_JGC-Inv_I_clp"/>
      <sheetName val="PCS_"/>
      <sheetName val="Progress_Statement-SI"/>
      <sheetName val="Progress_Payment-3110"/>
      <sheetName val="0_0_Cover"/>
      <sheetName val="Hoja_3"/>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CAPEX_Categories"/>
      <sheetName val="Cable_Schedule"/>
      <sheetName val="INDIRECT_OH&amp;P_"/>
      <sheetName val="JK_Price_sheet"/>
      <sheetName val="TP_Price_sheet"/>
      <sheetName val="Phase_1_JK_UTSE"/>
      <sheetName val="Phase_2_JK_UTSE"/>
      <sheetName val="Phase_1_and_2_JK_UTSE"/>
      <sheetName val="Phase_1_TP_UTSE"/>
      <sheetName val="Phase_2_TP_UTSE"/>
      <sheetName val="Phase_1_and_2_TP_UTSE"/>
      <sheetName val="Cash_Flow_(BL)"/>
      <sheetName val="Cash_Flow_(UTSE)"/>
      <sheetName val="Summary_(3)"/>
      <sheetName val="RRW_Scaff"/>
      <sheetName val="RRW_Oct-2019-1st_Lot-13-10-19"/>
      <sheetName val="RRW_Oct-2019-2st_Lot-15-10-19"/>
      <sheetName val="Report_Wizard"/>
      <sheetName val="Initial_Plan"/>
      <sheetName val="DB-BOLT_SIZE"/>
      <sheetName val="REQ_LIST"/>
      <sheetName val="DESC_NEW_PMC"/>
      <sheetName val="MTO_2020_03_11"/>
      <sheetName val="BQ_2020_03_03"/>
      <sheetName val="MTO_2020_03_03_(VDR)"/>
      <sheetName val="BQ_2020_03_03_(VDR)"/>
      <sheetName val="WEIGHT_&amp;_PAINT"/>
      <sheetName val="FW_JGC"/>
      <sheetName val="FW_VENDOR"/>
      <sheetName val="BQ_2020_02_25"/>
      <sheetName val="BM_BOLT_&amp;_NUT"/>
      <sheetName val="RT_TABLE"/>
      <sheetName val="BRANCH_&amp;_REDUCING_TABLE"/>
      <sheetName val="DESC_OLD_PMC"/>
      <sheetName val="SHORT_CODE_LIST"/>
      <sheetName val="Geotextile_for_geotube"/>
      <sheetName val="Salary_2013"/>
      <sheetName val="Finansal_tamamlanma_Eğrisi"/>
      <sheetName val="1_INV"/>
      <sheetName val="2_Calculation_Sheet"/>
      <sheetName val="Price_Sheet"/>
      <sheetName val="3__Progress"/>
      <sheetName val="4__EDR"/>
      <sheetName val="BOM_SUM"/>
      <sheetName val="Eng__Boq_-1"/>
      <sheetName val="PFP,TIE_COAT_&amp;_TOP_FLG_PAINTED"/>
      <sheetName val="Shop_Modifications"/>
      <sheetName val="JI-2036_-_Preservation"/>
      <sheetName val="Re-Application_"/>
      <sheetName val="OLD_(2)"/>
      <sheetName val="DATA-DEP_(13-17)"/>
      <sheetName val="DATA-GCC(25-34_7)"/>
      <sheetName val="St_-Con(0-17)"/>
      <sheetName val="St_-Con_(17-34)"/>
      <sheetName val="개시대사_(2)"/>
      <sheetName val="Equiv_Length"/>
      <sheetName val="S-Curve_(Weekly)"/>
      <sheetName val="Price_Summary_(1)"/>
      <sheetName val="Price_Summary_(2)"/>
      <sheetName val="Item#9_3"/>
      <sheetName val="Item#1_9"/>
      <sheetName val="Item#2_6"/>
      <sheetName val="Item#3_8"/>
      <sheetName val="Item#4_10"/>
      <sheetName val="Item#5_8"/>
      <sheetName val="Item#6_7"/>
      <sheetName val="Item#7_21"/>
      <sheetName val="Item#8_7"/>
      <sheetName val="worksheet_inchican"/>
      <sheetName val="2_2_띠장의_설계"/>
      <sheetName val="2_223M_due_to_adj_profit"/>
      <sheetName val="Land_Dev't__Ph-1"/>
      <sheetName val="INTERIOR_WALLS"/>
      <sheetName val="Material_Price"/>
      <sheetName val="combined_9-30"/>
      <sheetName val="GESTION_FICHE"/>
      <sheetName val="TRADUCTION_LISTES"/>
      <sheetName val="Inert_Balls"/>
      <sheetName val="Prec_OTS"/>
      <sheetName val="INSULATION_R1"/>
      <sheetName val="노임단가"/>
      <sheetName val="교량대비"/>
      <sheetName val="내역서"/>
      <sheetName val="page_62"/>
      <sheetName val="ITB_COST1"/>
      <sheetName val="Civil_Weekly1"/>
      <sheetName val="Pricing_Summary1"/>
      <sheetName val="Net_Cost_-_Final_Base1"/>
      <sheetName val="7_6Net_Cost_Agreed_on_Dec-04_R2"/>
      <sheetName val="Net_Cost_Agreed_on_Dec-04_Rev11"/>
      <sheetName val="7_6_Net_Cost_Agreed_on_Dec-041"/>
      <sheetName val="Net_Cost_Agreed_on_Dec-041"/>
      <sheetName val="Total_for_Check1"/>
      <sheetName val="_N_Finansal_Eğri1"/>
      <sheetName val="0_0_Cover1"/>
      <sheetName val="Hoja_31"/>
      <sheetName val="Drop_Down1"/>
      <sheetName val="Source_Data1"/>
      <sheetName val="CAPEX_Categories1"/>
      <sheetName val="RFP003_Building_-_B1"/>
      <sheetName val="pg_43"/>
      <sheetName val="Subcon_A3"/>
      <sheetName val="bill_22"/>
      <sheetName val="MATERIAL'S_PRICE2"/>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견적서표지0204-2_(2)1"/>
      <sheetName val="Piping_Spool1"/>
      <sheetName val="Cost_Definition1"/>
      <sheetName val="견적_원가_1"/>
      <sheetName val="page_63"/>
      <sheetName val="P-Ins_&amp;_Bonds2"/>
      <sheetName val="P-Site_fac2"/>
      <sheetName val="P-Clients_fac2"/>
      <sheetName val="P_Staff_fac2"/>
      <sheetName val="factor_2"/>
      <sheetName val="vlookup_-_do_not_print2"/>
      <sheetName val="Rate_Analysis2"/>
      <sheetName val="ITB_COST2"/>
      <sheetName val="19_05_20102"/>
      <sheetName val="Earthworks_ERP2"/>
      <sheetName val="24_06_20102"/>
      <sheetName val="Small_Structures_ERP2"/>
      <sheetName val="Large_Structures_ERP2"/>
      <sheetName val="Tunnelling_ERP2"/>
      <sheetName val="Civil_Weekly2"/>
      <sheetName val="Pricing_Summary2"/>
      <sheetName val="Net_Cost_-_Final_Base2"/>
      <sheetName val="7_6Net_Cost_Agreed_on_Dec-04_R3"/>
      <sheetName val="Net_Cost_Agreed_on_Dec-04_Rev12"/>
      <sheetName val="7_6_Net_Cost_Agreed_on_Dec-042"/>
      <sheetName val="Net_Cost_Agreed_on_Dec-042"/>
      <sheetName val="Total_for_Check2"/>
      <sheetName val="_N_Finansal_Eğri2"/>
      <sheetName val="0_0_Cover2"/>
      <sheetName val="Hoja_32"/>
      <sheetName val="Drop_Down2"/>
      <sheetName val="Source_Data2"/>
      <sheetName val="CAPEX_Categories2"/>
      <sheetName val="RFP003_Building_-_B2"/>
      <sheetName val="pg_44"/>
      <sheetName val="Subcon_A4"/>
      <sheetName val="bill_23"/>
      <sheetName val="MATERIAL'S_PRICE3"/>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견적서표지0204-2_(2)2"/>
      <sheetName val="Piping_Spool2"/>
      <sheetName val="Cost_Definition2"/>
      <sheetName val="견적_원가_2"/>
      <sheetName val="SUM_FSBLT12"/>
      <sheetName val="FWBS_900012"/>
      <sheetName val="Overall_Project12"/>
      <sheetName val="Overall_Process12"/>
      <sheetName val="Overall_Utility12"/>
      <sheetName val="FWBS_100012"/>
      <sheetName val="FWBS_200012"/>
      <sheetName val="FWBS_300012"/>
      <sheetName val="FWBS_500012"/>
      <sheetName val="FWBS_600012"/>
      <sheetName val="FWBS_700012"/>
      <sheetName val="FWBS_800012"/>
      <sheetName val="FWBS_A00012"/>
      <sheetName val="FWBS_B00012"/>
      <sheetName val="FWBS_Z00012"/>
      <sheetName val="INVOICE_CERT_EIV'S11"/>
      <sheetName val="Onerous_Terms11"/>
      <sheetName val="Building_BD11"/>
      <sheetName val="_Sum11"/>
      <sheetName val="실제_도면출도10"/>
      <sheetName val="공사비_내역_(가)10"/>
      <sheetName val="plan&amp;section_of_foundation10"/>
      <sheetName val="design_criteria10"/>
      <sheetName val="w't_table10"/>
      <sheetName val="33628-Rev__A10"/>
      <sheetName val="Progress_Tab10"/>
      <sheetName val="BM_DATA_SHEET10"/>
      <sheetName val="Eq__Mobilization10"/>
      <sheetName val="입찰내역_발주처_양식10"/>
      <sheetName val="M_1110"/>
      <sheetName val="REINF_10"/>
      <sheetName val="PC_CATCH_PIT_1X1X1_2M9"/>
      <sheetName val="PC_CATCH_PIT__6X_6X1_0M9"/>
      <sheetName val="PC_COVER_100MM_THK__95x_39"/>
      <sheetName val="PC_COVER_250MM_THK_2_2x_39"/>
      <sheetName val="Chiet_tinh_dz359"/>
      <sheetName val="member_design9"/>
      <sheetName val="3__GROUNDING_SYSTEM10"/>
      <sheetName val="working_load_at_the_btm_ft_9"/>
      <sheetName val="soil_bearing_check9"/>
      <sheetName val="Adjusted_Bids9"/>
      <sheetName val="Concept_Offshore9"/>
      <sheetName val="A(Rev_3)9"/>
      <sheetName val="Running_compatibility_check_9"/>
      <sheetName val="Running_compatibility_check__x4"/>
      <sheetName val="Running_compatibility_check_?A4"/>
      <sheetName val="Running_compatibility_check__A4"/>
      <sheetName val="List_of_WorkPacks4"/>
      <sheetName val="List_of_Dates4"/>
      <sheetName val="A_(2)4"/>
      <sheetName val="WORKSHEET_CS4"/>
      <sheetName val="DO_NOT_Delete4"/>
      <sheetName val="00-Summary_Information-ABB4"/>
      <sheetName val="Direct_Prices4"/>
      <sheetName val="_Planning&amp;reporting_xlsM9000-A4"/>
      <sheetName val="page_64"/>
      <sheetName val="P-Ins_&amp;_Bonds3"/>
      <sheetName val="P-Site_fac3"/>
      <sheetName val="P-Clients_fac3"/>
      <sheetName val="P_Staff_fac3"/>
      <sheetName val="factor_3"/>
      <sheetName val="vlookup_-_do_not_print3"/>
      <sheetName val="Rate_Analysis3"/>
      <sheetName val="ITB_COST3"/>
      <sheetName val="19_05_20103"/>
      <sheetName val="Earthworks_ERP3"/>
      <sheetName val="24_06_20103"/>
      <sheetName val="Small_Structures_ERP3"/>
      <sheetName val="Large_Structures_ERP3"/>
      <sheetName val="Tunnelling_ERP3"/>
      <sheetName val="Civil_Weekly3"/>
      <sheetName val="Pricing_Summary3"/>
      <sheetName val="Net_Cost_-_Final_Base3"/>
      <sheetName val="7_6Net_Cost_Agreed_on_Dec-04_R4"/>
      <sheetName val="Net_Cost_Agreed_on_Dec-04_Rev13"/>
      <sheetName val="7_6_Net_Cost_Agreed_on_Dec-043"/>
      <sheetName val="Net_Cost_Agreed_on_Dec-043"/>
      <sheetName val="Total_for_Check3"/>
      <sheetName val="_N_Finansal_Eğri3"/>
      <sheetName val="0_0_Cover3"/>
      <sheetName val="Hoja_33"/>
      <sheetName val="Drop_Down3"/>
      <sheetName val="Source_Data3"/>
      <sheetName val="CAPEX_Categories3"/>
      <sheetName val="RFP003_Building_-_B3"/>
      <sheetName val="pg_45"/>
      <sheetName val="Subcon_A5"/>
      <sheetName val="bill_24"/>
      <sheetName val="MATERIAL'S_PRICE4"/>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견적서표지0204-2_(2)3"/>
      <sheetName val="Piping_Spool3"/>
      <sheetName val="Cost_Definition3"/>
      <sheetName val="견적_원가_3"/>
      <sheetName val="PERHITUNGAN__KEEKONOMIAN1"/>
      <sheetName val="Total_Staff1"/>
      <sheetName val="0__SUMMARY1"/>
      <sheetName val="1__Engineering1"/>
      <sheetName val="2__Check_point1"/>
      <sheetName val="II_Changes_11"/>
      <sheetName val="III_Changes_21"/>
      <sheetName val="Qty_1"/>
      <sheetName val="OQC_Summary1"/>
      <sheetName val="6_Unit_Rates1"/>
      <sheetName val="AEROGEL_CAL1"/>
      <sheetName val="CRYG_THKMM1"/>
      <sheetName val="ITB_REVIEW1"/>
      <sheetName val="SPCS_SUMM_1"/>
      <sheetName val="ESTI__SUMM_1"/>
      <sheetName val="Price_Summary1"/>
      <sheetName val="Acc_Stock-INSUL1"/>
      <sheetName val="97_사업추정(WEKI)1"/>
      <sheetName val="Overall_MTO_-_20191001_(old)1"/>
      <sheetName val="MTO_for_BMBQ1"/>
      <sheetName val="BQ_Reff1"/>
      <sheetName val="Sum_of_Comparison-201910071"/>
      <sheetName val="Joint_No_1"/>
      <sheetName val="Unit_Weight1"/>
      <sheetName val="Detail_PMC1"/>
      <sheetName val="Detail_PMC_(for_full_desc)1"/>
      <sheetName val="Bolt_Size1"/>
      <sheetName val="NDE_Req1"/>
      <sheetName val="Tgh_JGC-Inv_I_clp1"/>
      <sheetName val="PCS_1"/>
      <sheetName val="Progress_Statement-SI1"/>
      <sheetName val="Progress_Payment-31101"/>
      <sheetName val="2_041"/>
      <sheetName val="2_051"/>
      <sheetName val="2_07_&amp;_2_081"/>
      <sheetName val="3_011"/>
      <sheetName val="3_021"/>
      <sheetName val="3_031"/>
      <sheetName val="ecart_Personnel1"/>
      <sheetName val="Ecart_Others1"/>
      <sheetName val="Other_costs1"/>
      <sheetName val="3000_Steel_str1"/>
      <sheetName val="5000_Equipments1"/>
      <sheetName val="6000_Piping1"/>
      <sheetName val="7000_Instrumentation1"/>
      <sheetName val="8000_Electrical1"/>
      <sheetName val="per_supplier1"/>
      <sheetName val="Pivot_ledger1"/>
      <sheetName val="Pivot_ENT1"/>
      <sheetName val="Pivot_MAD1"/>
      <sheetName val="JK_Price_sheet1"/>
      <sheetName val="TP_Price_sheet1"/>
      <sheetName val="Phase_1_JK_UTSE1"/>
      <sheetName val="Phase_2_JK_UTSE1"/>
      <sheetName val="Phase_1_and_2_JK_UTSE1"/>
      <sheetName val="Phase_1_TP_UTSE1"/>
      <sheetName val="Phase_2_TP_UTSE1"/>
      <sheetName val="Phase_1_and_2_TP_UTSE1"/>
      <sheetName val="Cash_Flow_(BL)1"/>
      <sheetName val="Cash_Flow_(UTSE)1"/>
      <sheetName val="INDIRECT_OH&amp;P_1"/>
      <sheetName val="Salary_20131"/>
      <sheetName val="Summary_(3)1"/>
      <sheetName val="RRW_Scaff1"/>
      <sheetName val="RRW_Oct-2019-1st_Lot-13-10-191"/>
      <sheetName val="RRW_Oct-2019-2st_Lot-15-10-191"/>
      <sheetName val="Cable_Schedule1"/>
      <sheetName val="Report_Wizard1"/>
      <sheetName val="Initial_Plan1"/>
      <sheetName val="GeneralFeedDevices_Labels"/>
      <sheetName val="CalmingSection_Labels"/>
      <sheetName val="Welcome"/>
      <sheetName val="tifico"/>
      <sheetName val="QMS Rev 3"/>
      <sheetName val="QMS Rev 2"/>
      <sheetName val="Rebar Assembly Progress"/>
      <sheetName val="GI Steps Progress Final"/>
      <sheetName val="QW Trench"/>
      <sheetName val="Page 1 of 5"/>
      <sheetName val="Sheet 14"/>
      <sheetName val="Riesgos y Oportunidades"/>
      <sheetName val="Process"/>
      <sheetName val="Manpower_List-1"/>
      <sheetName val="SUMMARY_FOR_DPR"/>
      <sheetName val="Index_Daily_Alloaction"/>
      <sheetName val="Manpower_List"/>
      <sheetName val="A_&amp;_B"/>
      <sheetName val="Manpower_List-11"/>
      <sheetName val="SUMMARY_FOR_DPR1"/>
      <sheetName val="Index_Daily_Alloaction1"/>
      <sheetName val="Manpower_List1"/>
      <sheetName val="A_&amp;_B1"/>
      <sheetName val="Vaccari  EST INQ-Stat. Summ "/>
      <sheetName val="견적의뢰"/>
      <sheetName val="OUTER_AREA(겹침없음)"/>
      <sheetName val="Prog-Chart"/>
      <sheetName val="kalibrasi-Tank"/>
      <sheetName val="뜃맟뭁돽띿맟_r"/>
      <sheetName val="뜃맟뭁돽띿맟_㥲ꖄ쐀㬣ꠂ"/>
      <sheetName val="뜃맟뭁돽띿맟_衲裿㤁䲄쐀"/>
      <sheetName val="Komponen Upah"/>
      <sheetName val="Inkindo 2015"/>
      <sheetName val="노임이"/>
      <sheetName val="Estimate"/>
      <sheetName val="Raw Data"/>
      <sheetName val="AOP Summary-2"/>
      <sheetName val="Fig_4-14"/>
      <sheetName val="Fig_5-17"/>
      <sheetName val="Table"/>
      <sheetName val="ANX3A65"/>
      <sheetName val="PLSt 03  "/>
      <sheetName val="П 7 курс аванса"/>
      <sheetName val="Rekapitulasi"/>
      <sheetName val="INFO UMUM"/>
      <sheetName val="DET 1"/>
      <sheetName val="DET 2"/>
      <sheetName val="BASIC PRICE"/>
      <sheetName val="QUARRY"/>
      <sheetName val=" GULF"/>
      <sheetName val="ENG-101"/>
      <sheetName val="DIV.1"/>
      <sheetName val="WKFRM"/>
      <sheetName val="6PILE  (돌출)"/>
      <sheetName val="0.품의서(전체)"/>
      <sheetName val="LAST UPDATE"/>
      <sheetName val="personnel loading"/>
      <sheetName val="MAY 00-Bobbins"/>
      <sheetName val="U_A Input"/>
      <sheetName val="Equipt Rental"/>
      <sheetName val="Activity(new)"/>
      <sheetName val="Total(new)"/>
      <sheetName val="UPA(Part C,D,E,G,H)"/>
      <sheetName val="UPA(Part F)"/>
      <sheetName val="Materials"/>
      <sheetName val="일위대가 (Part C,D,E,G,H)"/>
      <sheetName val="실행철강하도"/>
      <sheetName val="BOQ건축"/>
      <sheetName val="손익차총괄2"/>
      <sheetName val="CIM"/>
      <sheetName val="h-013211-2"/>
      <sheetName val="FlujoTJ"/>
      <sheetName val="BD_LL"/>
      <sheetName val="Daily Forwards"/>
      <sheetName val="调价系数"/>
      <sheetName val="Condicion"/>
      <sheetName val="13-List"/>
      <sheetName val="total1"/>
      <sheetName val="sis.xlm"/>
      <sheetName val="Tipo de Cambio"/>
      <sheetName val="운반"/>
      <sheetName val="HRG BAHAN &amp; UPAH okk"/>
      <sheetName val="Analis Kusen okk"/>
      <sheetName val="Inputs_Sens"/>
      <sheetName val="IS_Sum_CM"/>
      <sheetName val="RAB"/>
      <sheetName val="Bahan"/>
      <sheetName val="BUL"/>
      <sheetName val="MC-1"/>
      <sheetName val="Retaining wall &amp; Top Up"/>
      <sheetName val="매립"/>
      <sheetName val="Table_Rates_Data"/>
      <sheetName val="Summary_(3)2"/>
      <sheetName val="RRW_Scaff2"/>
      <sheetName val="RRW_Oct-2019-1st_Lot-13-10-192"/>
      <sheetName val="RRW_Oct-2019-2st_Lot-15-10-192"/>
      <sheetName val="JK_Price_sheet2"/>
      <sheetName val="TP_Price_sheet2"/>
      <sheetName val="Phase_1_JK_UTSE2"/>
      <sheetName val="Phase_2_JK_UTSE2"/>
      <sheetName val="Phase_1_and_2_JK_UTSE2"/>
      <sheetName val="Phase_1_TP_UTSE2"/>
      <sheetName val="Phase_2_TP_UTSE2"/>
      <sheetName val="Phase_1_and_2_TP_UTSE2"/>
      <sheetName val="Cash_Flow_(BL)2"/>
      <sheetName val="Cash_Flow_(UTSE)2"/>
      <sheetName val="2_042"/>
      <sheetName val="2_052"/>
      <sheetName val="2_07_&amp;_2_082"/>
      <sheetName val="3_012"/>
      <sheetName val="3_022"/>
      <sheetName val="3_032"/>
      <sheetName val="ecart_Personnel2"/>
      <sheetName val="Ecart_Others2"/>
      <sheetName val="Other_costs2"/>
      <sheetName val="3000_Steel_str2"/>
      <sheetName val="5000_Equipments2"/>
      <sheetName val="6000_Piping2"/>
      <sheetName val="7000_Instrumentation2"/>
      <sheetName val="8000_Electrical2"/>
      <sheetName val="per_supplier2"/>
      <sheetName val="Pivot_ledger2"/>
      <sheetName val="Pivot_ENT2"/>
      <sheetName val="Pivot_MAD2"/>
      <sheetName val="PERHITUNGAN__KEEKONOMIAN2"/>
      <sheetName val="Total_Staff2"/>
      <sheetName val="0__SUMMARY2"/>
      <sheetName val="1__Engineering2"/>
      <sheetName val="2__Check_point2"/>
      <sheetName val="II_Changes_12"/>
      <sheetName val="III_Changes_22"/>
      <sheetName val="Qty_2"/>
      <sheetName val="OQC_Summary2"/>
      <sheetName val="6_Unit_Rates2"/>
      <sheetName val="AEROGEL_CAL2"/>
      <sheetName val="CRYG_THKMM2"/>
      <sheetName val="ITB_REVIEW2"/>
      <sheetName val="SPCS_SUMM_2"/>
      <sheetName val="ESTI__SUMM_2"/>
      <sheetName val="Price_Summary2"/>
      <sheetName val="Acc_Stock-INSUL2"/>
      <sheetName val="97_사업추정(WEKI)2"/>
      <sheetName val="Overall_MTO_-_20191001_(old)2"/>
      <sheetName val="MTO_for_BMBQ2"/>
      <sheetName val="BQ_Reff2"/>
      <sheetName val="Sum_of_Comparison-201910072"/>
      <sheetName val="Joint_No_2"/>
      <sheetName val="Unit_Weight2"/>
      <sheetName val="Detail_PMC2"/>
      <sheetName val="Detail_PMC_(for_full_desc)2"/>
      <sheetName val="Bolt_Size2"/>
      <sheetName val="NDE_Req2"/>
      <sheetName val="Tgh_JGC-Inv_I_clp2"/>
      <sheetName val="PCS_2"/>
      <sheetName val="Progress_Statement-SI2"/>
      <sheetName val="Progress_Payment-31102"/>
      <sheetName val="Manpower_List-12"/>
      <sheetName val="SUMMARY_FOR_DPR2"/>
      <sheetName val="Index_Daily_Alloaction2"/>
      <sheetName val="Manpower_List2"/>
      <sheetName val="A_&amp;_B2"/>
      <sheetName val="VESSELS_"/>
      <sheetName val="方案1表二"/>
      <sheetName val="HIOS 93 thru 96"/>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sheetData sheetId="244"/>
      <sheetData sheetId="245"/>
      <sheetData sheetId="246" refreshError="1"/>
      <sheetData sheetId="247" refreshError="1"/>
      <sheetData sheetId="248" refreshError="1"/>
      <sheetData sheetId="249" refreshError="1"/>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sheetData sheetId="354"/>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refreshError="1"/>
      <sheetData sheetId="497"/>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sheetData sheetId="754"/>
      <sheetData sheetId="755"/>
      <sheetData sheetId="756"/>
      <sheetData sheetId="757"/>
      <sheetData sheetId="758"/>
      <sheetData sheetId="759"/>
      <sheetData sheetId="760"/>
      <sheetData sheetId="761"/>
      <sheetData sheetId="762"/>
      <sheetData sheetId="763"/>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refreshError="1"/>
      <sheetData sheetId="801" refreshError="1"/>
      <sheetData sheetId="802"/>
      <sheetData sheetId="803"/>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sheetData sheetId="815"/>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sheetData sheetId="828"/>
      <sheetData sheetId="829" refreshError="1"/>
      <sheetData sheetId="830"/>
      <sheetData sheetId="831"/>
      <sheetData sheetId="832"/>
      <sheetData sheetId="833"/>
      <sheetData sheetId="834"/>
      <sheetData sheetId="835"/>
      <sheetData sheetId="836"/>
      <sheetData sheetId="837"/>
      <sheetData sheetId="838"/>
      <sheetData sheetId="839"/>
      <sheetData sheetId="840"/>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sheetData sheetId="881"/>
      <sheetData sheetId="882"/>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sheetData sheetId="1221"/>
      <sheetData sheetId="1222"/>
      <sheetData sheetId="1223"/>
      <sheetData sheetId="1224"/>
      <sheetData sheetId="1225"/>
      <sheetData sheetId="1226"/>
      <sheetData sheetId="1227"/>
      <sheetData sheetId="1228"/>
      <sheetData sheetId="1229"/>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refreshError="1"/>
      <sheetData sheetId="1431" refreshError="1"/>
      <sheetData sheetId="1432" refreshError="1"/>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refreshError="1"/>
      <sheetData sheetId="1686" refreshError="1"/>
      <sheetData sheetId="1687" refreshError="1"/>
      <sheetData sheetId="1688" refreshError="1"/>
      <sheetData sheetId="1689"/>
      <sheetData sheetId="1690"/>
      <sheetData sheetId="1691"/>
      <sheetData sheetId="1692"/>
      <sheetData sheetId="1693"/>
      <sheetData sheetId="1694" refreshError="1"/>
      <sheetData sheetId="1695" refreshError="1"/>
      <sheetData sheetId="1696" refreshError="1"/>
      <sheetData sheetId="1697"/>
      <sheetData sheetId="1698"/>
      <sheetData sheetId="1699"/>
      <sheetData sheetId="1700"/>
      <sheetData sheetId="1701"/>
      <sheetData sheetId="1702"/>
      <sheetData sheetId="1703"/>
      <sheetData sheetId="1704"/>
      <sheetData sheetId="1705"/>
      <sheetData sheetId="1706"/>
      <sheetData sheetId="1707"/>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refreshError="1"/>
      <sheetData sheetId="1848" refreshError="1"/>
      <sheetData sheetId="184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sitivities"/>
      <sheetName val="Economic setup"/>
      <sheetName val="Fiscal &amp; PSC Variations"/>
      <sheetName val="Output"/>
      <sheetName val="Summary Results"/>
      <sheetName val="P&amp;B Summary"/>
      <sheetName val="Cashflow Analysis"/>
      <sheetName val="US Tax Sensitivity"/>
      <sheetName val="Book Earnings and ROCE"/>
      <sheetName val="Cashflow and Earnings Profile"/>
      <sheetName val="Blk. 212 Bonga Expl.  8-30-97 "/>
      <sheetName val="Expl. blk. 212  8-22-96"/>
      <sheetName val="Expl. blk. 212  8-15-97 mid-yr"/>
      <sheetName val="Blk 316 Abo Expl. "/>
      <sheetName val="Blk 219 Ngolo Expl"/>
      <sheetName val="Blk 219 Ngolo Expl. (2)"/>
      <sheetName val="Prices"/>
      <sheetName val="Inflation"/>
      <sheetName val="Financing"/>
      <sheetName val="Transportation"/>
      <sheetName val="PPT graphic"/>
      <sheetName val="Schedules"/>
      <sheetName val="Data initialization"/>
      <sheetName val="Module1"/>
      <sheetName val="Module2"/>
      <sheetName val="Module3"/>
      <sheetName val="US Tax Sensitivity (3)"/>
      <sheetName val="US Tax Sensitivity (2)"/>
      <sheetName val=""/>
      <sheetName val="Menu"/>
      <sheetName val="DATA BASE_From_COSMOS"/>
      <sheetName val="산근"/>
      <sheetName val="기성내역"/>
      <sheetName val="갑지"/>
      <sheetName val="Economic_setup"/>
      <sheetName val="Fiscal_&amp;_PSC_Variations"/>
      <sheetName val="Summary_Results"/>
      <sheetName val="P&amp;B_Summary"/>
      <sheetName val="Cashflow_Analysis"/>
      <sheetName val="US_Tax_Sensitivity"/>
      <sheetName val="Book_Earnings_and_ROCE"/>
      <sheetName val="Cashflow_and_Earnings_Profile"/>
      <sheetName val="Blk__212_Bonga_Expl___8-30-97_"/>
      <sheetName val="Expl__blk__212__8-22-96"/>
      <sheetName val="Expl__blk__212__8-15-97_mid-yr"/>
      <sheetName val="Blk_316_Abo_Expl__"/>
      <sheetName val="Blk_219_Ngolo_Expl"/>
      <sheetName val="Blk_219_Ngolo_Expl__(2)"/>
      <sheetName val="PPT_graphic"/>
      <sheetName val="Data_initialization"/>
      <sheetName val="US_Tax_Sensitivity_(3)"/>
      <sheetName val="US_Tax_Sensitivity_(2)"/>
      <sheetName val="Economic_setup1"/>
      <sheetName val="Fiscal_&amp;_PSC_Variations1"/>
      <sheetName val="Summary_Results1"/>
      <sheetName val="P&amp;B_Summary1"/>
      <sheetName val="Cashflow_Analysis1"/>
      <sheetName val="US_Tax_Sensitivity1"/>
      <sheetName val="Book_Earnings_and_ROCE1"/>
      <sheetName val="Cashflow_and_Earnings_Profile1"/>
      <sheetName val="Blk__212_Bonga_Expl___8-30-97_1"/>
      <sheetName val="Expl__blk__212__8-22-961"/>
      <sheetName val="Expl__blk__212__8-15-97_mid-yr1"/>
      <sheetName val="Blk_316_Abo_Expl__1"/>
      <sheetName val="Blk_219_Ngolo_Expl1"/>
      <sheetName val="Blk_219_Ngolo_Expl__(2)1"/>
      <sheetName val="PPT_graphic1"/>
      <sheetName val="Data_initialization1"/>
      <sheetName val="US_Tax_Sensitivity_(3)1"/>
      <sheetName val="US_Tax_Sensitivity_(2)1"/>
      <sheetName val="DATA_BASE_From_COSMOS"/>
      <sheetName val="OrgRates2000"/>
      <sheetName val="운반"/>
      <sheetName val="ProArcInfo"/>
      <sheetName val="SILICATE"/>
      <sheetName val="EQUIPOS"/>
      <sheetName val="Finansal tamamlanma Eğrisi"/>
      <sheetName val="BQMPALOC"/>
      <sheetName val="Analisa"/>
      <sheetName val="WIP"/>
      <sheetName val="Takeoff"/>
      <sheetName val="E1"/>
      <sheetName val="Units"/>
      <sheetName val="人工时台账"/>
      <sheetName val="Home Office"/>
      <sheetName val="당초"/>
      <sheetName val="Bond &amp; Stamp"/>
      <sheetName val="Summary"/>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SSS_SSE MOD "/>
      <sheetName val="Sheet1"/>
      <sheetName val="Sheet2"/>
      <sheetName val="TIPO 1"/>
      <sheetName val="Eq. Mobilization"/>
      <sheetName val="T6"/>
      <sheetName val="4. VO and VORRegister "/>
      <sheetName val="MH Unit Rate Table-NET"/>
      <sheetName val="Economic_setup2"/>
      <sheetName val="Fiscal_&amp;_PSC_Variations2"/>
      <sheetName val="Summary_Results2"/>
      <sheetName val="P&amp;B_Summary2"/>
      <sheetName val="Cashflow_Analysis2"/>
      <sheetName val="US_Tax_Sensitivity2"/>
      <sheetName val="Book_Earnings_and_ROCE2"/>
      <sheetName val="Cashflow_and_Earnings_Profile2"/>
      <sheetName val="Blk__212_Bonga_Expl___8-30-97_2"/>
      <sheetName val="Expl__blk__212__8-22-962"/>
      <sheetName val="Expl__blk__212__8-15-97_mid-yr2"/>
      <sheetName val="Blk_316_Abo_Expl__2"/>
      <sheetName val="Blk_219_Ngolo_Expl2"/>
      <sheetName val="Blk_219_Ngolo_Expl__(2)2"/>
      <sheetName val="PPT_graphic2"/>
      <sheetName val="Data_initialization2"/>
      <sheetName val="US_Tax_Sensitivity_(3)2"/>
      <sheetName val="US_Tax_Sensitivity_(2)2"/>
      <sheetName val="DATA_BASE_From_COSMOS1"/>
      <sheetName val="4__VO_and_VORRegister_"/>
      <sheetName val="MH_Unit_Rate_Table-NET"/>
      <sheetName val="Finansal_tamamlanma_Eğrisi"/>
      <sheetName val="Home_Office"/>
      <sheetName val="Economic_setup3"/>
      <sheetName val="Fiscal_&amp;_PSC_Variations3"/>
      <sheetName val="Summary_Results3"/>
      <sheetName val="P&amp;B_Summary3"/>
      <sheetName val="Cashflow_Analysis3"/>
      <sheetName val="US_Tax_Sensitivity3"/>
      <sheetName val="Book_Earnings_and_ROCE3"/>
      <sheetName val="Cashflow_and_Earnings_Profile3"/>
      <sheetName val="Blk__212_Bonga_Expl___8-30-97_3"/>
      <sheetName val="Expl__blk__212__8-22-963"/>
      <sheetName val="Expl__blk__212__8-15-97_mid-yr3"/>
      <sheetName val="Blk_316_Abo_Expl__3"/>
      <sheetName val="Blk_219_Ngolo_Expl3"/>
      <sheetName val="Blk_219_Ngolo_Expl__(2)3"/>
      <sheetName val="PPT_graphic3"/>
      <sheetName val="Data_initialization3"/>
      <sheetName val="US_Tax_Sensitivity_(3)3"/>
      <sheetName val="US_Tax_Sensitivity_(2)3"/>
      <sheetName val="DATA_BASE_From_COSMOS2"/>
      <sheetName val="4__VO_and_VORRegister_1"/>
      <sheetName val="MH_Unit_Rate_Table-NET1"/>
      <sheetName val="Lista"/>
      <sheetName val="FitOutConfCentre"/>
      <sheetName val="TemplateMngr"/>
      <sheetName val="Fiscal Inputs"/>
      <sheetName val="laroux"/>
      <sheetName val="Riesgos y Oportunidades"/>
      <sheetName val="Piping Design Data"/>
      <sheetName val="EQUIPMENT -2"/>
      <sheetName val="l1en 0290 cost 31-03-2015"/>
      <sheetName val="TARIFS"/>
      <sheetName val="TABLO-3"/>
      <sheetName val="12CGOU"/>
      <sheetName val="I&amp;C"/>
      <sheetName val="I&amp;C - Cabling "/>
      <sheetName val="Construction COST BASE COMPAR"/>
      <sheetName val="Resumen Tabs. GAS"/>
      <sheetName val="CIVIL WORKS _GAS"/>
      <sheetName val="Resumen Tabs. GIS"/>
      <sheetName val="CIVIL WORKS _GIS"/>
      <sheetName val="PILING_GIS"/>
      <sheetName val="Buildings List"/>
      <sheetName val="EXC-BOW"/>
      <sheetName val="1 BOP"/>
      <sheetName val="Summary MEC "/>
      <sheetName val="Am. II OH&amp;P ICC"/>
      <sheetName val="PIPING"/>
      <sheetName val="Cronograma"/>
      <sheetName val="Histograma"/>
      <sheetName val="ACC"/>
      <sheetName val="INS_Piping"/>
      <sheetName val="PAINT_Piping"/>
      <sheetName val="  INST 2 BOP"/>
      <sheetName val="  INST 1 BOP"/>
      <sheetName val="bqmp"/>
      <sheetName val="Rail"/>
      <sheetName val="Trucks &amp; Containers"/>
      <sheetName val="Input"/>
      <sheetName val="ALLOWANCE"/>
      <sheetName val="MH RATE"/>
      <sheetName val="EQT-ESTN"/>
      <sheetName val="Personnel"/>
      <sheetName val="ERECIN"/>
      <sheetName val="Cal"/>
      <sheetName val="drum"/>
      <sheetName val="Bond_&amp;_Stamp"/>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SSS_SSE_MOD_"/>
      <sheetName val="Finansal_tamamlanma_Eğrisi1"/>
      <sheetName val="Home_Office1"/>
      <sheetName val="Bond_&amp;_Stamp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SSS_SSE_MOD_1"/>
      <sheetName val="A"/>
      <sheetName val="inter"/>
      <sheetName val="XZLC003_PART1"/>
      <sheetName val="ESCON"/>
      <sheetName val="SEX"/>
      <sheetName val="tifico"/>
      <sheetName val="I&amp;C_-_Cabling_"/>
      <sheetName val="Construction_COST_BASE_COMPAR"/>
      <sheetName val="Resumen_Tabs__GAS"/>
      <sheetName val="CIVIL_WORKS__GAS"/>
      <sheetName val="Resumen_Tabs__GIS"/>
      <sheetName val="CIVIL_WORKS__GIS"/>
      <sheetName val="Buildings_List"/>
      <sheetName val="1_BOP"/>
      <sheetName val="Summary_MEC_"/>
      <sheetName val="Am__II_OH&amp;P_ICC"/>
      <sheetName val="__INST_2_BOP"/>
      <sheetName val="__INST_1_BOP"/>
      <sheetName val="Riesgos_y_Oportunidades"/>
      <sheetName val="Piping_Design_Data"/>
      <sheetName val="EQUIPMENT_-2"/>
      <sheetName val="Trucks_&amp;_Containers"/>
      <sheetName val="MH_RATE"/>
      <sheetName val="Economic_setup4"/>
      <sheetName val="Fiscal_&amp;_PSC_Variations4"/>
      <sheetName val="Summary_Results4"/>
      <sheetName val="P&amp;B_Summary4"/>
      <sheetName val="Cashflow_Analysis4"/>
      <sheetName val="US_Tax_Sensitivity4"/>
      <sheetName val="Book_Earnings_and_ROCE4"/>
      <sheetName val="Cashflow_and_Earnings_Profile4"/>
      <sheetName val="Blk__212_Bonga_Expl___8-30-97_4"/>
      <sheetName val="Expl__blk__212__8-22-964"/>
      <sheetName val="Expl__blk__212__8-15-97_mid-yr4"/>
      <sheetName val="Blk_316_Abo_Expl__4"/>
      <sheetName val="Blk_219_Ngolo_Expl4"/>
      <sheetName val="Blk_219_Ngolo_Expl__(2)4"/>
      <sheetName val="PPT_graphic4"/>
      <sheetName val="Data_initialization4"/>
      <sheetName val="US_Tax_Sensitivity_(3)4"/>
      <sheetName val="US_Tax_Sensitivity_(2)4"/>
      <sheetName val="DATA_BASE_From_COSMOS3"/>
      <sheetName val="Finansal_tamamlanma_Eğrisi2"/>
      <sheetName val="Home_Office2"/>
      <sheetName val="Bond_&amp;_Stamp2"/>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SSS_SSE_MOD_2"/>
      <sheetName val="l1en_0290_cost_31-03-2015"/>
      <sheetName val="B"/>
      <sheetName val="石炭性状"/>
      <sheetName val="EQUIPMENT-PRICE"/>
      <sheetName val="MANPOWER-RATES"/>
      <sheetName val="노임단가"/>
      <sheetName val="AC"/>
      <sheetName val="PipeTable"/>
      <sheetName val="DAFTAR BAHAN DAN UPAH"/>
      <sheetName val="Курсы"/>
      <sheetName val="Register"/>
      <sheetName val="Riesgos_y_Oportunidades1"/>
      <sheetName val="Piping_Design_Data1"/>
      <sheetName val="EQUIPMENT_-21"/>
      <sheetName val="l1en_0290_cost_31-03-20151"/>
      <sheetName val="Topsides Fab Detail"/>
      <sheetName val="Validation"/>
      <sheetName val="Working Interest and EFs"/>
      <sheetName val="Lookups"/>
      <sheetName val="LOOK UP KEY"/>
      <sheetName val="BP Economics"/>
      <sheetName val="Dropdown options for lookups"/>
      <sheetName val="Global &amp; PSA Inputs"/>
      <sheetName val="15. DEMOUNTING"/>
      <sheetName val="16.EQUIP. ERECTION (UNIT RATES)"/>
      <sheetName val="19. FIREPROOFING"/>
      <sheetName val="3.METALLIC PIPING ERECTION"/>
      <sheetName val="2.METALLIC PIPING PREFABR."/>
      <sheetName val="3a.METALLIC PIPING ER_REVAMPING"/>
      <sheetName val="14. MISCELLANEOUS "/>
      <sheetName val="8.NDT "/>
      <sheetName val="6.NON METALLIC PIPING ERECTION"/>
      <sheetName val="5.NON METALLIC PIPING PREFABR."/>
      <sheetName val="17. PAINTING "/>
      <sheetName val="12.PIPING PRESSURE TEST"/>
      <sheetName val="9.PWHT"/>
      <sheetName val="4.STEAM TRACING"/>
      <sheetName val="11.SUPPORTS"/>
      <sheetName val="7.TIE-INS (UNIT RATES)"/>
      <sheetName val="10.VALVES AND FLANGED CONN."/>
      <sheetName val="13.WRAPPING"/>
      <sheetName val="G2TempSheet"/>
      <sheetName val="Utility and Fire flange"/>
      <sheetName val="Uls"/>
      <sheetName val="template"/>
      <sheetName val="6PILE  (돌출)"/>
      <sheetName val="GJB"/>
      <sheetName val="SPT vs PHI"/>
      <sheetName val="TIPO_1"/>
      <sheetName val="Eq__Mobilization"/>
      <sheetName val="FA RM-MAC'07"/>
      <sheetName val="cashflow"/>
    </sheetNames>
    <sheetDataSet>
      <sheetData sheetId="0">
        <row r="23">
          <cell r="E23">
            <v>0.1</v>
          </cell>
        </row>
      </sheetData>
      <sheetData sheetId="1">
        <row r="4">
          <cell r="N4">
            <v>28</v>
          </cell>
        </row>
      </sheetData>
      <sheetData sheetId="2">
        <row r="5">
          <cell r="E5" t="str">
            <v>n</v>
          </cell>
        </row>
      </sheetData>
      <sheetData sheetId="3"/>
      <sheetData sheetId="4"/>
      <sheetData sheetId="5"/>
      <sheetData sheetId="6" refreshError="1">
        <row r="1">
          <cell r="A1" t="str">
            <v>NIGERIA DEEPWATER ECONOMICS</v>
          </cell>
        </row>
        <row r="63">
          <cell r="E63">
            <v>1991</v>
          </cell>
          <cell r="F63">
            <v>1992</v>
          </cell>
          <cell r="G63">
            <v>1993</v>
          </cell>
          <cell r="H63">
            <v>1994</v>
          </cell>
          <cell r="I63">
            <v>1995</v>
          </cell>
          <cell r="J63">
            <v>1996</v>
          </cell>
          <cell r="K63">
            <v>1997</v>
          </cell>
          <cell r="L63">
            <v>1998</v>
          </cell>
          <cell r="M63">
            <v>1999</v>
          </cell>
          <cell r="N63">
            <v>2000</v>
          </cell>
          <cell r="O63">
            <v>2001</v>
          </cell>
          <cell r="P63">
            <v>2002</v>
          </cell>
          <cell r="Q63">
            <v>2003</v>
          </cell>
          <cell r="R63">
            <v>2004</v>
          </cell>
          <cell r="S63">
            <v>2005</v>
          </cell>
          <cell r="T63">
            <v>2006</v>
          </cell>
          <cell r="U63">
            <v>2007</v>
          </cell>
          <cell r="V63">
            <v>2008</v>
          </cell>
          <cell r="W63">
            <v>2009</v>
          </cell>
          <cell r="X63">
            <v>2010</v>
          </cell>
          <cell r="Y63">
            <v>2011</v>
          </cell>
          <cell r="Z63">
            <v>2012</v>
          </cell>
          <cell r="AA63">
            <v>2013</v>
          </cell>
          <cell r="AB63">
            <v>2014</v>
          </cell>
          <cell r="AC63">
            <v>2015</v>
          </cell>
          <cell r="AD63">
            <v>2016</v>
          </cell>
          <cell r="AE63">
            <v>2017</v>
          </cell>
          <cell r="AF63">
            <v>2018</v>
          </cell>
          <cell r="AG63">
            <v>2019</v>
          </cell>
          <cell r="AH63">
            <v>2020</v>
          </cell>
          <cell r="AI63">
            <v>2021</v>
          </cell>
          <cell r="AJ63">
            <v>2022</v>
          </cell>
          <cell r="AK63">
            <v>2023</v>
          </cell>
          <cell r="AL63">
            <v>2024</v>
          </cell>
          <cell r="AM63">
            <v>2025</v>
          </cell>
          <cell r="AN63">
            <v>2026</v>
          </cell>
          <cell r="AO63">
            <v>2027</v>
          </cell>
          <cell r="AP63">
            <v>2028</v>
          </cell>
          <cell r="AQ63">
            <v>2029</v>
          </cell>
          <cell r="AR63">
            <v>2030</v>
          </cell>
          <cell r="AS63">
            <v>2031</v>
          </cell>
          <cell r="AT63">
            <v>2032</v>
          </cell>
          <cell r="AU63">
            <v>2033</v>
          </cell>
          <cell r="AV63">
            <v>2034</v>
          </cell>
          <cell r="AW63">
            <v>2035</v>
          </cell>
          <cell r="AX63">
            <v>2036</v>
          </cell>
          <cell r="AY63">
            <v>2037</v>
          </cell>
          <cell r="AZ63">
            <v>2038</v>
          </cell>
          <cell r="BA63">
            <v>2039</v>
          </cell>
          <cell r="BB63">
            <v>2040</v>
          </cell>
          <cell r="BC63">
            <v>2041</v>
          </cell>
          <cell r="BD63">
            <v>2042</v>
          </cell>
          <cell r="BE63">
            <v>2043</v>
          </cell>
          <cell r="BF63">
            <v>2044</v>
          </cell>
          <cell r="BG63">
            <v>2045</v>
          </cell>
          <cell r="BH63">
            <v>2046</v>
          </cell>
          <cell r="BI63">
            <v>2047</v>
          </cell>
          <cell r="BJ63">
            <v>2048</v>
          </cell>
          <cell r="BK63">
            <v>2049</v>
          </cell>
          <cell r="BL63">
            <v>2050</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6">
          <cell r="H6" t="str">
            <v>&gt; (m)</v>
          </cell>
        </row>
      </sheetData>
      <sheetData sheetId="22"/>
      <sheetData sheetId="23"/>
      <sheetData sheetId="24"/>
      <sheetData sheetId="25"/>
      <sheetData sheetId="26" refreshError="1"/>
      <sheetData sheetId="27" refreshError="1"/>
      <sheetData sheetId="28">
        <row r="63">
          <cell r="E63">
            <v>1991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1">
          <cell r="A1" t="str">
            <v>NIGERIA DEEPWATER ECONOMICS</v>
          </cell>
        </row>
      </sheetData>
      <sheetData sheetId="53">
        <row r="1">
          <cell r="A1" t="str">
            <v>NIGERIA DEEPWATER ECONOMICS</v>
          </cell>
        </row>
      </sheetData>
      <sheetData sheetId="54">
        <row r="1">
          <cell r="A1" t="str">
            <v>NIGERIA DEEPWATER ECONOMICS</v>
          </cell>
        </row>
      </sheetData>
      <sheetData sheetId="55">
        <row r="1">
          <cell r="A1" t="str">
            <v>NIGERIA DEEPWATER ECONOMICS</v>
          </cell>
        </row>
      </sheetData>
      <sheetData sheetId="56">
        <row r="1">
          <cell r="A1" t="str">
            <v>NIGERIA DEEPWATER ECONOMICS</v>
          </cell>
        </row>
      </sheetData>
      <sheetData sheetId="57">
        <row r="1">
          <cell r="A1" t="str">
            <v>NIGERIA DEEPWATER ECONOMICS</v>
          </cell>
        </row>
      </sheetData>
      <sheetData sheetId="58">
        <row r="1">
          <cell r="A1" t="str">
            <v>NIGERIA DEEPWATER ECONOMICS</v>
          </cell>
        </row>
      </sheetData>
      <sheetData sheetId="59">
        <row r="1">
          <cell r="A1" t="str">
            <v>NIGERIA DEEPWATER ECONOMICS</v>
          </cell>
        </row>
      </sheetData>
      <sheetData sheetId="60">
        <row r="1">
          <cell r="A1" t="str">
            <v>NIGERIA DEEPWATER ECONOMICS</v>
          </cell>
        </row>
      </sheetData>
      <sheetData sheetId="61">
        <row r="1">
          <cell r="A1" t="str">
            <v>NIGERIA DEEPWATER ECONOMICS</v>
          </cell>
        </row>
      </sheetData>
      <sheetData sheetId="62">
        <row r="1">
          <cell r="A1" t="str">
            <v>NIGERIA DEEPWATER ECONOMICS</v>
          </cell>
        </row>
      </sheetData>
      <sheetData sheetId="63"/>
      <sheetData sheetId="64">
        <row r="1">
          <cell r="A1" t="str">
            <v>NIGERIA DEEPWATER ECONOMICS</v>
          </cell>
        </row>
      </sheetData>
      <sheetData sheetId="65">
        <row r="63">
          <cell r="E63" t="str">
            <v>江苏恒和安装</v>
          </cell>
        </row>
      </sheetData>
      <sheetData sheetId="66">
        <row r="63">
          <cell r="E63" t="str">
            <v>江苏恒和安装</v>
          </cell>
        </row>
      </sheetData>
      <sheetData sheetId="67">
        <row r="63">
          <cell r="E63" t="str">
            <v>江苏恒和安装</v>
          </cell>
        </row>
      </sheetData>
      <sheetData sheetId="68"/>
      <sheetData sheetId="69">
        <row r="63">
          <cell r="E63" t="str">
            <v>江苏恒和安装</v>
          </cell>
        </row>
      </sheetData>
      <sheetData sheetId="70">
        <row r="63">
          <cell r="E63" t="str">
            <v>江苏恒和安装</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ow r="63">
          <cell r="E63" t="str">
            <v>江苏恒和安装</v>
          </cell>
        </row>
      </sheetData>
      <sheetData sheetId="84" refreshError="1"/>
      <sheetData sheetId="85" refreshError="1"/>
      <sheetData sheetId="86" refreshError="1"/>
      <sheetData sheetId="87">
        <row r="63">
          <cell r="E63">
            <v>0</v>
          </cell>
        </row>
      </sheetData>
      <sheetData sheetId="88">
        <row r="63">
          <cell r="E63">
            <v>0</v>
          </cell>
        </row>
      </sheetData>
      <sheetData sheetId="89">
        <row r="63">
          <cell r="E63">
            <v>0</v>
          </cell>
        </row>
      </sheetData>
      <sheetData sheetId="90">
        <row r="63">
          <cell r="E63">
            <v>0</v>
          </cell>
        </row>
      </sheetData>
      <sheetData sheetId="91"/>
      <sheetData sheetId="92"/>
      <sheetData sheetId="93">
        <row r="1">
          <cell r="A1" t="str">
            <v>NIGERIA DEEPWATER ECONOMICS</v>
          </cell>
        </row>
      </sheetData>
      <sheetData sheetId="94"/>
      <sheetData sheetId="95">
        <row r="1">
          <cell r="A1" t="str">
            <v>NIGERIA DEEPWATER ECONOMICS</v>
          </cell>
        </row>
      </sheetData>
      <sheetData sheetId="96"/>
      <sheetData sheetId="97">
        <row r="1">
          <cell r="A1" t="str">
            <v>NIGERIA DEEPWATER ECONOMICS</v>
          </cell>
        </row>
      </sheetData>
      <sheetData sheetId="98"/>
      <sheetData sheetId="99">
        <row r="1">
          <cell r="A1" t="str">
            <v>NIGERIA DEEPWATER ECONOMICS</v>
          </cell>
        </row>
      </sheetData>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ow r="4">
          <cell r="N4">
            <v>28</v>
          </cell>
        </row>
      </sheetData>
      <sheetData sheetId="121">
        <row r="5">
          <cell r="E5" t="str">
            <v>n</v>
          </cell>
        </row>
      </sheetData>
      <sheetData sheetId="122"/>
      <sheetData sheetId="123"/>
      <sheetData sheetId="124">
        <row r="1">
          <cell r="A1" t="str">
            <v>NIGERIA DEEPWATER ECONOMICS</v>
          </cell>
        </row>
      </sheetData>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row r="4">
          <cell r="N4">
            <v>28</v>
          </cell>
        </row>
      </sheetData>
      <sheetData sheetId="144">
        <row r="5">
          <cell r="E5" t="str">
            <v>n</v>
          </cell>
        </row>
      </sheetData>
      <sheetData sheetId="145"/>
      <sheetData sheetId="146"/>
      <sheetData sheetId="147">
        <row r="1">
          <cell r="A1" t="str">
            <v>NIGERIA DEEPWATER ECONOMICS</v>
          </cell>
        </row>
      </sheetData>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row r="63">
          <cell r="E63">
            <v>0</v>
          </cell>
        </row>
      </sheetData>
      <sheetData sheetId="210"/>
      <sheetData sheetId="211"/>
      <sheetData sheetId="212"/>
      <sheetData sheetId="213"/>
      <sheetData sheetId="214">
        <row r="1">
          <cell r="A1" t="str">
            <v>NIGERIA DEEPWATER ECONOMICS</v>
          </cell>
        </row>
      </sheetData>
      <sheetData sheetId="215"/>
      <sheetData sheetId="216"/>
      <sheetData sheetId="217"/>
      <sheetData sheetId="218"/>
      <sheetData sheetId="219"/>
      <sheetData sheetId="220"/>
      <sheetData sheetId="221"/>
      <sheetData sheetId="222">
        <row r="63">
          <cell r="E63">
            <v>0</v>
          </cell>
        </row>
      </sheetData>
      <sheetData sheetId="223"/>
      <sheetData sheetId="224"/>
      <sheetData sheetId="225"/>
      <sheetData sheetId="226"/>
      <sheetData sheetId="227">
        <row r="1">
          <cell r="A1" t="str">
            <v>NIGERIA DEEPWATER ECONOMICS</v>
          </cell>
        </row>
      </sheetData>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row r="4">
          <cell r="N4">
            <v>28</v>
          </cell>
        </row>
      </sheetData>
      <sheetData sheetId="256">
        <row r="5">
          <cell r="E5" t="str">
            <v>n</v>
          </cell>
        </row>
      </sheetData>
      <sheetData sheetId="257"/>
      <sheetData sheetId="258"/>
      <sheetData sheetId="259">
        <row r="1">
          <cell r="A1" t="str">
            <v>NIGERIA DEEPWATER ECONOMICS</v>
          </cell>
        </row>
      </sheetData>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ow r="63">
          <cell r="E63">
            <v>0</v>
          </cell>
        </row>
      </sheetData>
      <sheetData sheetId="278">
        <row r="63">
          <cell r="E63">
            <v>0</v>
          </cell>
        </row>
      </sheetData>
      <sheetData sheetId="279"/>
      <sheetData sheetId="280"/>
      <sheetData sheetId="281">
        <row r="1">
          <cell r="A1" t="str">
            <v>NIGERIA DEEPWATER ECONOMICS</v>
          </cell>
        </row>
      </sheetData>
      <sheetData sheetId="282">
        <row r="1">
          <cell r="A1" t="str">
            <v>NIGERIA DEEPWATER ECONOMICS</v>
          </cell>
        </row>
      </sheetData>
      <sheetData sheetId="283">
        <row r="1">
          <cell r="A1" t="str">
            <v>NIGERIA DEEPWATER ECONOMICS</v>
          </cell>
        </row>
      </sheetData>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refreshError="1"/>
      <sheetData sheetId="33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ll-Down Menus"/>
      <sheetName val="P. 1"/>
      <sheetName val="P. 2"/>
      <sheetName val="P. 3"/>
      <sheetName val="P. 4"/>
      <sheetName val="P. 5"/>
      <sheetName val="P. 6"/>
      <sheetName val="P. 7"/>
      <sheetName val="P. 8"/>
    </sheetNames>
    <sheetDataSet>
      <sheetData sheetId="0"/>
      <sheetData sheetId="1"/>
      <sheetData sheetId="2"/>
      <sheetData sheetId="3"/>
      <sheetData sheetId="4"/>
      <sheetData sheetId="5"/>
      <sheetData sheetId="6"/>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REF"/>
      <sheetName val="000000"/>
      <sheetName val="XXXXXX"/>
      <sheetName val="KUWATI(Total) "/>
      <sheetName val="GC-01"/>
      <sheetName val="GC-02"/>
      <sheetName val="GC-03"/>
      <sheetName val="GC-04"/>
      <sheetName val="GC-07"/>
      <sheetName val="GC-08"/>
      <sheetName val="GC-09"/>
      <sheetName val="GC-10"/>
      <sheetName val="GC-19"/>
      <sheetName val="GC-21"/>
      <sheetName val="GC-22"/>
      <sheetName val="집계표(OPTION)"/>
      <sheetName val="OPTION 2"/>
      <sheetName val="OPTION 3"/>
      <sheetName val="Sheet2"/>
      <sheetName val="Sheet3"/>
      <sheetName val="견적조건"/>
      <sheetName val="대비표"/>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2002년 현장공사비 국내 실적"/>
      <sheetName val="2003년국내현장공사비 실적"/>
      <sheetName val="_REF"/>
      <sheetName val="???"/>
      <sheetName val="집계표_OPTION_"/>
      <sheetName val="당초"/>
      <sheetName val="단가(자재)"/>
      <sheetName val="단가(노임)"/>
      <sheetName val="기초목록"/>
      <sheetName val="노임단가"/>
      <sheetName val="예산"/>
      <sheetName val="KP1590_E"/>
      <sheetName val="VC2 10.99"/>
      <sheetName val="영업3"/>
      <sheetName val="영업2"/>
      <sheetName val="1월"/>
      <sheetName val="Sheet1"/>
      <sheetName val="BQMPALOC"/>
      <sheetName val="inter"/>
      <sheetName val="공문"/>
      <sheetName val="금액내역서"/>
      <sheetName val="??"/>
      <sheetName val="ERECIN"/>
      <sheetName val="INPUT DATA"/>
      <sheetName val="집계표 (25,26ဩ"/>
      <sheetName val="BQ_Utl_Off"/>
      <sheetName val="General Data"/>
      <sheetName val="»ê±Ù"/>
      <sheetName val="12CGOU"/>
      <sheetName val="경영혁신본부"/>
      <sheetName val="Final(1)summary"/>
      <sheetName val="BD集計用"/>
      <sheetName val="수입"/>
      <sheetName val="BM DATA SHEET"/>
      <sheetName val="Form 0"/>
      <sheetName val="COVER"/>
      <sheetName val="95삼성급(본사)"/>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___"/>
      <sheetName val="연돌일위집계"/>
      <sheetName val="갑지"/>
      <sheetName val="세금자료"/>
      <sheetName val="DESCRIPTION"/>
      <sheetName val="Form D-1"/>
      <sheetName val="Form B-1"/>
      <sheetName val="Form F-1"/>
      <sheetName val="Assist(B-1)"/>
      <sheetName val="Form A"/>
      <sheetName val="입출재고현황 (2)"/>
      <sheetName val="__"/>
      <sheetName val="뜃맟뭁돽띿맟?-BLDG"/>
      <sheetName val="기성내역"/>
      <sheetName val="LABOR &amp; 자재"/>
      <sheetName val="제작도"/>
      <sheetName val="DHEQSUPT"/>
      <sheetName val="SANDAN"/>
      <sheetName val="M-EQPT-Z"/>
      <sheetName val="SALA-002"/>
      <sheetName val="DRUM"/>
      <sheetName val="POWER"/>
      <sheetName val="ESCON"/>
      <sheetName val="eq_data"/>
      <sheetName val="뜃맟뭁돽띿맟_-BLDG"/>
      <sheetName val="CB"/>
      <sheetName val="내역ࠜĀM4)"/>
      <sheetName val="주간기성"/>
      <sheetName val="INPUT_DATA"/>
      <sheetName val="General_Data"/>
      <sheetName val="집계표_(25,26ဩ"/>
      <sheetName val="Form_0"/>
      <sheetName val="노임단가표"/>
      <sheetName val="간접비 총괄"/>
      <sheetName val="TTL"/>
      <sheetName val="Lup2"/>
      <sheetName val="BOROUGE2"/>
      <sheetName val="???(OPTION)"/>
      <sheetName val="B"/>
      <sheetName val="3.공통공사대비"/>
      <sheetName val="Price Schedule"/>
      <sheetName val="간접비내역-1"/>
      <sheetName val="당진1,2호기전선관설치및접지4차공사내역서-을지"/>
      <sheetName val="Q&amp;pl-V"/>
      <sheetName val="PRICES"/>
      <sheetName val="INSTR"/>
      <sheetName val="h-013211-2"/>
      <sheetName val="표지"/>
      <sheetName val="Cash2"/>
      <sheetName val="Z"/>
      <sheetName val="내역서 耰&quot;"/>
      <sheetName val="_x0008_"/>
      <sheetName val="비교검토"/>
      <sheetName val="내역서 耰&quot;??"/>
      <sheetName val="24V"/>
      <sheetName val="Rate Analysis"/>
      <sheetName val="合成単価作成表-BLDG"/>
      <sheetName val="CTEMCOST"/>
      <sheetName val="F4-F7"/>
      <sheetName val="CAL."/>
      <sheetName val="EQT-ESTN"/>
      <sheetName val="???¡§????"/>
      <sheetName val="????¢ç¢®¡¿????"/>
      <sheetName val="??????????¢ç??????"/>
      <sheetName val="???????¢ç¢®¢¯????"/>
      <sheetName val="???????®¡¿????"/>
      <sheetName val="??????????????????"/>
      <sheetName val="IN"/>
      <sheetName val="WE'T"/>
      <sheetName val="EQUIPMENT -2"/>
      <sheetName val="찍기"/>
      <sheetName val="A"/>
      <sheetName val="EQUIP"/>
      <sheetName val="실행"/>
      <sheetName val="물량"/>
      <sheetName val="WEIGHT LIST"/>
      <sheetName val="산#2-1 (2)"/>
      <sheetName val="POL6차-PIPING"/>
      <sheetName val="산#3-1"/>
      <sheetName val="BEND LOSS"/>
      <sheetName val="공사비 내역 (가)"/>
      <sheetName val="내역"/>
      <sheetName val="6PILE  (돌출)"/>
      <sheetName val="단면 (2)"/>
      <sheetName val="___(OPTION)"/>
      <sheetName val="내역ࠜĀ_x005f_x005f_x005f_x0000_M4)"/>
      <sheetName val="내역ࠜĀ_x005f_x0000_M4)"/>
      <sheetName val="내역ࠜĀ"/>
      <sheetName val="Data"/>
      <sheetName val="LEGEND"/>
      <sheetName val="jobhist"/>
      <sheetName val="PROCURE"/>
      <sheetName val="기계내역서"/>
      <sheetName val="고압수량(철거)"/>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Static Equip"/>
      <sheetName val="CAT_5"/>
      <sheetName val="Form A "/>
      <sheetName val="당초내역서"/>
      <sheetName val="내역서 耰&quot;_x005f_x0000__x005f_x0000_"/>
      <sheetName val="_x005f_x0008_"/>
      <sheetName val="SOURCE"/>
      <sheetName val="___¡§____"/>
      <sheetName val="____¢ç¢®¡¿____"/>
      <sheetName val="__________¢ç______"/>
      <sheetName val="_______¢ç¢®¢¯____"/>
      <sheetName val="_______®¡¿____"/>
      <sheetName val="__________________"/>
      <sheetName val="Sheet6"/>
      <sheetName val="갑지(추정)"/>
      <sheetName val="ELEC_DCI"/>
      <sheetName val="INST_DCI"/>
      <sheetName val="KUWATI(Total)_1"/>
      <sheetName val="OPTION_21"/>
      <sheetName val="OPTION_3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1"/>
      <sheetName val="집계표_(25,26ဩ1"/>
      <sheetName val="Form_01"/>
      <sheetName val="General_Data1"/>
      <sheetName val="Form_D-1"/>
      <sheetName val="Form_B-1"/>
      <sheetName val="Form_F-1"/>
      <sheetName val="Form_A"/>
      <sheetName val="LABOR_&amp;_자재"/>
      <sheetName val="입출재고현황_(2)"/>
      <sheetName val="3_공통공사대비"/>
      <sheetName val="Compare"/>
      <sheetName val="3.Breakdown Direct Paint"/>
      <sheetName val="Spl"/>
      <sheetName val="BID"/>
      <sheetName val="Quantity"/>
      <sheetName val="내역서 耰&quot;__"/>
      <sheetName val="Summary Sheets"/>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국내"/>
      <sheetName val="간접비_총괄"/>
      <sheetName val="Price_Schedule"/>
      <sheetName val="내역서_耰&quot;"/>
      <sheetName val=""/>
      <sheetName val="EQUIPMENT_-2"/>
      <sheetName val="CAL_"/>
      <sheetName val="Rate_Analysis"/>
      <sheetName val="내역서_耰&quot;??"/>
      <sheetName val="PBS"/>
      <sheetName val="내역ࠜĀ?M4)"/>
      <sheetName val="경영혁신본뷀"/>
      <sheetName val="electrical"/>
      <sheetName val="2.2 STAFF Scedule"/>
      <sheetName val="BCPAB"/>
      <sheetName val="PI"/>
      <sheetName val="입찰품의서"/>
      <sheetName val="EQUIP LIST"/>
      <sheetName val="Z- GENERAL PRICE SUMMARY"/>
      <sheetName val=" Estimate  "/>
      <sheetName val="갑지1"/>
      <sheetName val="내역서 耰&quot;_x005f_x005f_x005f_x0000__x005f_x005f_x0000"/>
      <sheetName val="_x005f_x005f_x005f_x0008_"/>
      <sheetName val="9906"/>
      <sheetName val="계측 내역서"/>
      <sheetName val="AREA"/>
      <sheetName val="바닥판"/>
      <sheetName val="TYPE1"/>
      <sheetName val="철근량"/>
      <sheetName val="토목주소"/>
      <sheetName val="프랜트면허"/>
      <sheetName val="역T형"/>
      <sheetName val="PILE"/>
      <sheetName val="Man Hole"/>
      <sheetName val="대로근거"/>
      <sheetName val="중로근거"/>
      <sheetName val="PRO_DCI"/>
      <sheetName val="HVAC_DCI"/>
      <sheetName val="PIPE_DCI"/>
      <sheetName val="일위대가표"/>
      <sheetName val="조건표"/>
      <sheetName val="일위대가"/>
      <sheetName val="내역표지"/>
      <sheetName val="산출2-기기동력"/>
      <sheetName val="40총괄"/>
      <sheetName val="40집계"/>
      <sheetName val="30신설일위대가"/>
      <sheetName val="30집계표"/>
      <sheetName val="NSCP견적물량"/>
      <sheetName val="공사비예산서(토목분)"/>
      <sheetName val="float&amp;bear"/>
      <sheetName val="Kfracture"/>
      <sheetName val="SummaryC"/>
      <sheetName val="Detail"/>
      <sheetName val="인부신상자료"/>
      <sheetName val="Sheet1 (2)"/>
      <sheetName val="수로보호공"/>
      <sheetName val="데이타"/>
      <sheetName val="식재인부"/>
      <sheetName val="입력시트"/>
      <sheetName val="견적"/>
      <sheetName val="내역ࠜĀ_M4)"/>
      <sheetName val="CIVIL"/>
      <sheetName val="ERECT"/>
      <sheetName val="PROSUM"/>
      <sheetName val="EQUIPOS"/>
      <sheetName val="내역ࠜĀ_x005f_x005f_x005f_x005f_x005f_x005f_x005f_x0000_M4"/>
      <sheetName val="내역서 耰&quot;_x005f_x005f_x005f_x005f_x005f_x005f_x005f_x0000_"/>
      <sheetName val="_x005f_x005f_x005f_x005f_x005f_x005f_x005f_x0008_"/>
      <sheetName val="Q-7100-001"/>
      <sheetName val="Administrative Prices"/>
      <sheetName val="Calc"/>
      <sheetName val="WBS 44"/>
      <sheetName val="WBS 41"/>
      <sheetName val="Precios por Administración"/>
      <sheetName val="Resumen"/>
      <sheetName val="Precios Unitarios"/>
      <sheetName val="Subcon A"/>
      <sheetName val="AILC004"/>
      <sheetName val="7. 월별투입내역서"/>
      <sheetName val="내역서_耰&quot;__"/>
      <sheetName val="직재"/>
      <sheetName val="I一般比"/>
      <sheetName val="cable-data"/>
      <sheetName val="T 3"/>
      <sheetName val="HORI. VESSEL"/>
      <sheetName val="cable"/>
      <sheetName val="배관내역"/>
      <sheetName val="수주추정"/>
      <sheetName val="Insts"/>
      <sheetName val="Vind - BtB"/>
      <sheetName val="LV induction motors"/>
      <sheetName val="인원계획"/>
      <sheetName val="BSD (2)"/>
      <sheetName val="MP MOB"/>
      <sheetName val="BATCH"/>
      <sheetName val="내역ࠜĀ_x005f_x005f_x005f_x005f_x005f_x005f_x005f_x005f_x0"/>
      <sheetName val="내역서 耰&quot;_x005f_x005f_x005f_x005f_x005f_x005f_x005f_x005f_"/>
      <sheetName val="All_2"/>
      <sheetName val="내역서"/>
      <sheetName val="Sheet4"/>
      <sheetName val="Form B"/>
      <sheetName val="Material Selections"/>
      <sheetName val="_x0002_뻘N_x0001_ࠀ역서"/>
      <sheetName val="M_DB"/>
      <sheetName val="trf(36%)"/>
      <sheetName val="Monthly Load"/>
      <sheetName val="Weekly Load"/>
      <sheetName val="금융"/>
      <sheetName val="_x005f_x005f_x005f_x005f_x005f_x005f_x005f_x005f_x005f_x005f_"/>
      <sheetName val="Lstsub"/>
      <sheetName val="[SANDAN.XLS??"/>
      <sheetName val="Hot"/>
      <sheetName val="Piping BQ for one turbine"/>
      <sheetName val="criteria"/>
      <sheetName val="sum"/>
      <sheetName val="Summary"/>
      <sheetName val="변경집계표"/>
      <sheetName val="DB@Acess"/>
      <sheetName val="집계표"/>
      <sheetName val="97 사업추정(WEKI)"/>
      <sheetName val="Direct"/>
      <sheetName val="FORM-12"/>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내역서_(CIVIL-6)3"/>
      <sheetName val="내역서_(CIVIL-7)3"/>
      <sheetName val="OPTION_23"/>
      <sheetName val="OPTION_33"/>
      <sheetName val="2002년_현장공사비_국내_실적3"/>
      <sheetName val="2003년국내현장공사비_실적3"/>
      <sheetName val="VC2_10_993"/>
      <sheetName val="실행집계"/>
      <sheetName val="breakdown of wage rate"/>
      <sheetName val="Indirect Cost"/>
      <sheetName val="Unit"/>
      <sheetName val="BOQ-B.DOWN"/>
      <sheetName val="Eq. Mobilization"/>
      <sheetName val="DCS"/>
      <sheetName val="FWBS7000,8000"/>
      <sheetName val="ANALYSER"/>
      <sheetName val="출금실적"/>
      <sheetName val="경영현황"/>
      <sheetName val="RFP002"/>
      <sheetName val="일일총괄"/>
      <sheetName val="_x0004__x000d__x0003__x0004__x0016__x000d__x0004_"/>
      <sheetName val="_x000a__x001b__x0006__x0006__x0008__x000a_"/>
      <sheetName val="Basic_Rate"/>
      <sheetName val="appendix_2_5_final_accounts"/>
      <sheetName val="Format"/>
      <sheetName val="Labour"/>
      <sheetName val="Material"/>
      <sheetName val="Sheet1_(2)"/>
      <sheetName val="INPUT_DATA2"/>
      <sheetName val="집계표_(25,26ဩ2"/>
      <sheetName val="Form_02"/>
      <sheetName val="Form_D-11"/>
      <sheetName val="Form_B-11"/>
      <sheetName val="Form_F-11"/>
      <sheetName val="Form_A1"/>
      <sheetName val="입출재고현황_(2)1"/>
      <sheetName val="General_Data2"/>
      <sheetName val="LABOR_&amp;_자재1"/>
      <sheetName val="간접비_총괄1"/>
      <sheetName val="Price_Schedule1"/>
      <sheetName val="3_공통공사대비1"/>
      <sheetName val="내역서_耰&quot;??1"/>
      <sheetName val="CAL_1"/>
      <sheetName val="Rate_Analysis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Summary_Sheets"/>
      <sheetName val="Civil_1"/>
      <sheetName val="Civil_2"/>
      <sheetName val="Civil_3"/>
      <sheetName val="Site_1"/>
      <sheetName val="Site_2"/>
      <sheetName val="Site_3"/>
      <sheetName val="Site_Faci"/>
      <sheetName val="Form1.SQP"/>
      <sheetName val="총괄표"/>
      <sheetName val="TDTKP"/>
      <sheetName val="DK-KH"/>
      <sheetName val="수량집계"/>
      <sheetName val="총괄집계표"/>
      <sheetName val="내역서 (∮ἀ嘆ɶ᠀㬁"/>
      <sheetName val="당초_xd8b4_∸ἀ"/>
      <sheetName val="Cal"/>
      <sheetName val="BM-Elec"/>
      <sheetName val="BM-Inst"/>
      <sheetName val="자바라1"/>
      <sheetName val="Code_Magics"/>
      <sheetName val="Code"/>
      <sheetName val="Curves"/>
      <sheetName val="Note"/>
      <sheetName val="data_dci"/>
      <sheetName val="Heads"/>
      <sheetName val="BASE"/>
      <sheetName val="data_mci"/>
      <sheetName val="BLDG_DCI"/>
      <sheetName val="BLDG_MCI"/>
      <sheetName val="PRO_A"/>
      <sheetName val="Tables"/>
      <sheetName val="Page_2"/>
      <sheetName val="Dbase"/>
      <sheetName val="behind"/>
      <sheetName val="Main"/>
      <sheetName val="costing_CV"/>
      <sheetName val="ITB_COST"/>
      <sheetName val="costing_ESDV"/>
      <sheetName val="costing_FE"/>
      <sheetName val="PROJECT"/>
      <sheetName val="정부노임단가"/>
      <sheetName val="Jobcost"/>
      <sheetName val="Default_Magics"/>
      <sheetName val="BM_DATA_SHEET"/>
      <sheetName val="Graph_(LGEN)"/>
      <sheetName val="PumpSpec"/>
      <sheetName val="costing_MOV"/>
      <sheetName val="PRO"/>
      <sheetName val="out_prog"/>
      <sheetName val="TABLE"/>
      <sheetName val="costing_Press"/>
      <sheetName val="96_121"/>
      <sheetName val="선적schedule_(2)"/>
      <sheetName val="System구분"/>
      <sheetName val="견적기준"/>
      <sheetName val="b_balju-단가단가단가"/>
      <sheetName val="10현장조직"/>
      <sheetName val="할증표"/>
      <sheetName val="choose"/>
      <sheetName val="1350-A"/>
      <sheetName val="목표세부명세"/>
      <sheetName val="중기일위대가"/>
      <sheetName val="중기"/>
      <sheetName val="BREAKDOWN(철거설치)"/>
      <sheetName val="BREAKDOWN(신규설치)"/>
      <sheetName val="SS2"/>
      <sheetName val="품셈"/>
      <sheetName val="HP-Steamdrum"/>
      <sheetName val="한강운반비"/>
      <sheetName val="97"/>
      <sheetName val="MANP"/>
      <sheetName val="C"/>
      <sheetName val="Equipment List"/>
      <sheetName val="info"/>
      <sheetName val="TP"/>
      <sheetName val="General"/>
      <sheetName val="Menus"/>
      <sheetName val="Resource table"/>
      <sheetName val="Resource"/>
      <sheetName val="D-623D"/>
      <sheetName val="SCHEDD TAMBAHAN"/>
      <sheetName val="Preliminaries"/>
      <sheetName val="piping"/>
      <sheetName val="Mech"/>
      <sheetName val="Fire Protection"/>
      <sheetName val="Buildings"/>
      <sheetName val="Instrument"/>
      <sheetName val="입찰내역 발주처 양식"/>
      <sheetName val="원가"/>
      <sheetName val="Total"/>
      <sheetName val="AG Pipe Qty Analysis"/>
      <sheetName val="Heavy Equipments"/>
      <sheetName val="공정계획(내부계획25%,내부w.f)"/>
      <sheetName val="SFN ORIG"/>
      <sheetName val="SFN"/>
      <sheetName val="R2564AHDTS"/>
      <sheetName val="CPS"/>
      <sheetName val="_x0002_?뻘N??_x0001_ࠀ역서"/>
      <sheetName val="LOB"/>
      <sheetName val="COVER-P"/>
      <sheetName val="Utility and Fire flange"/>
      <sheetName val="Dir Manpower Other Exp."/>
      <sheetName val="7422CW00"/>
      <sheetName val="사급자재집계표"/>
      <sheetName val="HVAC(사급자재)"/>
      <sheetName val="U-W"/>
      <sheetName val="결과조달"/>
      <sheetName val="w't table"/>
      <sheetName val="_SANDAN.XLS__"/>
      <sheetName val="_x0002_"/>
      <sheetName val="수량산출서"/>
      <sheetName val="mto-rev0B"/>
      <sheetName val="내역서 (∮ἀ嘆ɶ"/>
      <sheetName val="ITB COST"/>
      <sheetName val="4-3LEVEL-5 epic.4"/>
      <sheetName val="단가 (2)"/>
      <sheetName val="MODULE CONFIRM"/>
      <sheetName val="이자율"/>
      <sheetName val="도"/>
      <sheetName val="Proposal"/>
      <sheetName val="부대비율"/>
      <sheetName val="상반기손익차2총괄"/>
      <sheetName val="breakdown_of_wage_rate"/>
      <sheetName val="Indirect_Cost"/>
      <sheetName val="생산계획"/>
      <sheetName val="VLOOKUP"/>
      <sheetName val="cal-foamglass"/>
      <sheetName val="연습"/>
      <sheetName val="운반"/>
      <sheetName val="실행예산 MM"/>
      <sheetName val="강재"/>
      <sheetName val="OD5000"/>
      <sheetName val="배수내역"/>
      <sheetName val="판가반영"/>
      <sheetName val="공사내역"/>
      <sheetName val="INPUT"/>
      <sheetName val="분전반계산서(석관)"/>
      <sheetName val="실행내역"/>
      <sheetName val="WIND"/>
      <sheetName val="FWBS 1530"/>
      <sheetName val="노임9월"/>
      <sheetName val="견적대비표"/>
      <sheetName val="VIZ4"/>
      <sheetName val="VIZ7"/>
      <sheetName val="UZ"/>
      <sheetName val="K_SURFACES"/>
      <sheetName val="Administrative_Prices"/>
      <sheetName val="WBS_44"/>
      <sheetName val="WBS_41"/>
      <sheetName val="Precios_por_Administración"/>
      <sheetName val="Precios_Unitarios"/>
      <sheetName val="Subcon_A"/>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INPUT_DATA3"/>
      <sheetName val="집계표_(25,26ဩ3"/>
      <sheetName val="Form_D-12"/>
      <sheetName val="Form_B-12"/>
      <sheetName val="Form_F-12"/>
      <sheetName val="Form_A2"/>
      <sheetName val="Form_03"/>
      <sheetName val="General_Data3"/>
      <sheetName val="LABOR_&amp;_자재2"/>
      <sheetName val="입출재고현황_(2)2"/>
      <sheetName val="Price_Schedule2"/>
      <sheetName val="간접비_총괄2"/>
      <sheetName val="3_공통공사대비2"/>
      <sheetName val="Rate_Analysis2"/>
      <sheetName val="EQUIPMENT_-22"/>
      <sheetName val="CAL_2"/>
      <sheetName val="내역서_耰&quot;_x005f_x0000__x005f_x0000_1"/>
      <sheetName val="Static_Equip1"/>
      <sheetName val="WEIGHT_LIST1"/>
      <sheetName val="산#2-1_(2)1"/>
      <sheetName val="BEND_LOSS1"/>
      <sheetName val="공사비_내역_(가)1"/>
      <sheetName val="6PILE__(돌출)1"/>
      <sheetName val="내역서_耰&quot;??2"/>
      <sheetName val="단면_(2)1"/>
      <sheetName val="Form_A_1"/>
      <sheetName val="3_Breakdown_Direct_Paint1"/>
      <sheetName val="Man_Hole"/>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Civil_11"/>
      <sheetName val="Civil_21"/>
      <sheetName val="Civil_31"/>
      <sheetName val="Site_11"/>
      <sheetName val="Site_21"/>
      <sheetName val="Site_31"/>
      <sheetName val="Site_Faci1"/>
      <sheetName val="내역서_耰&quot;__2"/>
      <sheetName val="Summary_Sheets1"/>
      <sheetName val="Sheet1_(2)1"/>
      <sheetName val="내역서_耰&quot;_x005f_x005f_x005f_x0000__x005f_x005f_x0000"/>
      <sheetName val="계측_내역서"/>
      <sheetName val="2_2_STAFF_Scedule"/>
      <sheetName val="7__월별투입내역서"/>
      <sheetName val="내역서_耰&quot;_x005f_x005f_x005f_x005f_x005f_x005f_x005f_x0000_"/>
      <sheetName val="Z-_GENERAL_PRICE_SUMMARY"/>
      <sheetName val="_Estimate__"/>
      <sheetName val="T_3"/>
      <sheetName val="HORI__VESSEL"/>
      <sheetName val="내역서_耰&quot;_x005f_x005f_x005f_x005f_x005f_x005f_x005f_x005f_"/>
      <sheetName val="Vind_-_BtB"/>
      <sheetName val="LV_induction_motors"/>
      <sheetName val="BSD_(2)"/>
      <sheetName val="EQUIP_LIST"/>
      <sheetName val="MP_MOB"/>
      <sheetName val="Form_B"/>
      <sheetName val="뻘Nࠀ역서"/>
      <sheetName val="Monthly_Load"/>
      <sheetName val="Weekly_Load"/>
      <sheetName val="Material_Selections"/>
      <sheetName val="97_사업추정(WEKI)"/>
      <sheetName val="내역서_(∮ἀ嘆ɶ᠀㬁"/>
      <sheetName val="[SANDAN_XLS??"/>
      <sheetName val="Piping_BQ_for_one_turbine"/>
      <sheetName val="Eq__Mobilization"/>
      <sheetName val="Utility_and_Fire_flange"/>
      <sheetName val="Heavy_Equipments"/>
      <sheetName val="AG_Pipe_Qty_Analysis"/>
      <sheetName val="Costo-MO"/>
      <sheetName val="BM_DATA_SHEET1"/>
      <sheetName val="내역서_耰&quot;1"/>
      <sheetName val="_x000a__x000a_"/>
      <sheetName val="Resource_table"/>
      <sheetName val="SFN_ORIG"/>
      <sheetName val="?뻘N??ࠀ역서"/>
      <sheetName val="_SANDAN_XLS__"/>
      <sheetName val="Equipment_List"/>
      <sheetName val="Form1_SQP"/>
      <sheetName val="공정계획(내부계획25%,내부w_f)"/>
      <sheetName val="CHANNEL"/>
      <sheetName val="PROTECTION "/>
      <sheetName val="CIBATU5OO"/>
      <sheetName val="Labor"/>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Rekapitulasi"/>
      <sheetName val="BAG-2"/>
      <sheetName val="Overall"/>
      <sheetName val="salary"/>
      <sheetName val="_x0004_"/>
      <sheetName val="_x000a_"/>
      <sheetName val="SUM "/>
      <sheetName val="Multi-currency"/>
      <sheetName val="dc1"/>
      <sheetName val="master"/>
      <sheetName val="MTO"/>
      <sheetName val="Elect_BOM"/>
      <sheetName val="Elect"/>
      <sheetName val="BQ"/>
      <sheetName val="SEX"/>
      <sheetName val="Currency Rate"/>
      <sheetName val="Personnel"/>
      <sheetName val="설계명세1-1"/>
      <sheetName val="FWBS"/>
      <sheetName val="실행(ALT1)"/>
      <sheetName val="Cash In-Cash Out Actual"/>
      <sheetName val="내역서1999.8최종"/>
      <sheetName val="실행철강하도"/>
      <sheetName val="전기"/>
      <sheetName val="PROGRESS"/>
      <sheetName val="Database"/>
      <sheetName val="SILICATE"/>
      <sheetName val="REDUCER"/>
      <sheetName val="plan&amp;section of foundation"/>
      <sheetName val="DESIGN CRITERIA"/>
      <sheetName val="working load at the btm ft."/>
      <sheetName val="stability check"/>
      <sheetName val="design load"/>
      <sheetName val="w't_table"/>
      <sheetName val="breakdown_of_wage_rate1"/>
      <sheetName val="Indirect_Cost1"/>
      <sheetName val="SCHEDD_TAMBAHAN"/>
      <sheetName val="Fire_Protection"/>
      <sheetName val="입찰내역_발주처_양식"/>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Dir_Manpower_Other_Exp_"/>
      <sheetName val="FWBS_1530"/>
      <sheetName val="DESIGN"/>
      <sheetName val="일위대가(계측기설치)"/>
      <sheetName val="EP0618"/>
      <sheetName val="CÓDIGOS"/>
      <sheetName val="MTP"/>
      <sheetName val="Unit Price "/>
      <sheetName val="첨부1-집행내역(요약)"/>
      <sheetName val="Checklist-Parameters"/>
      <sheetName val="Fillermetal"/>
      <sheetName val="Updating Form-Oct 2011"/>
      <sheetName val="Weld Consumable"/>
      <sheetName val="WQT"/>
      <sheetName val="NDE Cost-Summary"/>
      <sheetName val="9July Above Ground Pipe"/>
      <sheetName val="M 11"/>
      <sheetName val="Process Data 1"/>
      <sheetName val="BOQ"/>
      <sheetName val="aa_piping"/>
      <sheetName val="CABLE_DATA"/>
      <sheetName val="CIVIL_UP"/>
      <sheetName val="ETUDE_de_Prix__(2)"/>
      <sheetName val="選單"/>
      <sheetName val="Sum (Case-3)"/>
      <sheetName val="Man Power &amp; Comp"/>
      <sheetName val="MP-PLAN"/>
      <sheetName val="L-TIGA"/>
      <sheetName val="Data List"/>
      <sheetName val="MP_PLAN"/>
      <sheetName val="10"/>
      <sheetName val="5"/>
      <sheetName val="1"/>
      <sheetName val="PNT"/>
      <sheetName val="D7(1)"/>
      <sheetName val="5-ALAT(1)"/>
      <sheetName val="4-Basic Price"/>
      <sheetName val="Rekap"/>
      <sheetName val="AHS"/>
      <sheetName val="Evaluasi Penw"/>
      <sheetName val="ANALISA"/>
      <sheetName val="예산-내부"/>
      <sheetName val="Closeout Control"/>
      <sheetName val="영업소실적"/>
      <sheetName val="PROJECT BRIEF"/>
      <sheetName val="tggwan(mac)"/>
      <sheetName val="CUADRO DE PRECIOS"/>
      <sheetName val="Site Findings Status Sheet"/>
      <sheetName val="Weekl_x0004__x0016__x000d_"/>
      <sheetName val="_x000e__x0005_"/>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F-1"/>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1"/>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Hoja2"/>
      <sheetName val="경제지표"/>
      <sheetName val="1100-1200-1300-1910-2140-LEV 2"/>
      <sheetName val="Library"/>
      <sheetName val="??-BLDG"/>
      <sheetName val="Unt rate"/>
      <sheetName val="내역ࠜĀ_x005f_x005f_x005f_x0000_M4"/>
      <sheetName val="내역서 耰&quot;_x005f_x005f_x005f_x0000_"/>
      <sheetName val="내역ࠜĀ_x005f_x005f_x005f_x005f_x0"/>
      <sheetName val="내역서 耰&quot;_x005f_x005f_x005f_x005f_"/>
      <sheetName val="내역서 耰&quot;_x005f_x0000__x0000"/>
      <sheetName val="_x005f_x005f_x005f_x005f_"/>
      <sheetName val="ANX3A11"/>
      <sheetName val="5.) Time Delays"/>
      <sheetName val="KP_List"/>
      <sheetName val="Material Price"/>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Form_A3"/>
      <sheetName val="입출재고현황_(2)3"/>
      <sheetName val="General_Data4"/>
      <sheetName val="LABOR_&amp;_자재3"/>
      <sheetName val="간접비_총괄3"/>
      <sheetName val="Price_Schedule3"/>
      <sheetName val="3_공통공사대비3"/>
      <sheetName val="Rate_Analysis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Civil_12"/>
      <sheetName val="Civil_22"/>
      <sheetName val="Civil_32"/>
      <sheetName val="Site_12"/>
      <sheetName val="Site_22"/>
      <sheetName val="Site_32"/>
      <sheetName val="Site_Faci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Summary_Sheets2"/>
      <sheetName val="내역서_耰&quot;2"/>
      <sheetName val="Man_Hole1"/>
      <sheetName val="7__월별투입내역서1"/>
      <sheetName val="내역서_耰&quot;_x005f_x005f_x005f_x0000__x005f_x005f_x0001"/>
      <sheetName val="2_2_STAFF_Scedule1"/>
      <sheetName val="계측_내역서1"/>
      <sheetName val="내역서_耰&quot;_x005f_x005f_x005f_x005f_x005f_x005f_x00001"/>
      <sheetName val="Z-_GENERAL_PRICE_SUMMARY1"/>
      <sheetName val="_Estimate__1"/>
      <sheetName val="Sheet1_(2)2"/>
      <sheetName val="T_31"/>
      <sheetName val="Precios_Unitarios1"/>
      <sheetName val="HORI__VESSEL1"/>
      <sheetName val="EQUIP_LIST1"/>
      <sheetName val="MP_MOB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97_사업추정(WEKI)1"/>
      <sheetName val="Monthly_Load1"/>
      <sheetName val="Weekly_Load1"/>
      <sheetName val="[SANDAN_XLS??1"/>
      <sheetName val="Piping_BQ_for_one_turbine1"/>
      <sheetName val="Utility_and_Fire_flange1"/>
      <sheetName val="Material_Selections1"/>
      <sheetName val="Eq__Mobilization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입출재고현황_(2)4"/>
      <sheetName val="General_Data5"/>
      <sheetName val="LABOR_&amp;_자재4"/>
      <sheetName val="간접비_총괄4"/>
      <sheetName val="Price_Schedule4"/>
      <sheetName val="3_공통공사대비4"/>
      <sheetName val="CAL_4"/>
      <sheetName val="Rate_Analysis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Summary_Sheets3"/>
      <sheetName val="Civil_13"/>
      <sheetName val="Civil_23"/>
      <sheetName val="Civil_33"/>
      <sheetName val="Site_13"/>
      <sheetName val="Site_23"/>
      <sheetName val="Site_33"/>
      <sheetName val="Site_Faci3"/>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2_2_STAFF_Scedule2"/>
      <sheetName val="EQUIP_LIST2"/>
      <sheetName val="BM_DATA_SHEET3"/>
      <sheetName val="Man_Hole2"/>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Sheet1_(2)3"/>
      <sheetName val="Z-_GENERAL_PRICE_SUMMARY2"/>
      <sheetName val="_Estimate__2"/>
      <sheetName val="T_32"/>
      <sheetName val="HORI__VESSEL2"/>
      <sheetName val="Precios_Unitarios2"/>
      <sheetName val="Administrative_Prices2"/>
      <sheetName val="WBS_442"/>
      <sheetName val="WBS_412"/>
      <sheetName val="Precios_por_Administración2"/>
      <sheetName val="Subcon_A2"/>
      <sheetName val="내역서_耰&quot;_x005f_x005f_x005f_x005f_x005f_x005f_x005f2"/>
      <sheetName val="MP_MOB2"/>
      <sheetName val="Form_B2"/>
      <sheetName val="내역서_耰&quot;3"/>
      <sheetName val="[SANDAN_XLS??2"/>
      <sheetName val="Piping_BQ_for_one_turbine2"/>
      <sheetName val="Monthly_Load2"/>
      <sheetName val="Weekly_Load2"/>
      <sheetName val="Material_Selections2"/>
      <sheetName val="Utility_and_Fire_flange2"/>
      <sheetName val="_SANDAN_XLS__2"/>
      <sheetName val="97_사업추정(WEKI)2"/>
      <sheetName val="Eq__Mobilization2"/>
      <sheetName val="breakdown_of_wage_rate2"/>
      <sheetName val="Indirect_Cost2"/>
      <sheetName val="Resource_table2"/>
      <sheetName val="DB"/>
      <sheetName val="내역서_(N _x000e__x000e__x000e_  _x0012__x0010__x000a_"/>
      <sheetName val="ഀࠀကЀЀԀЀԀ̀ᤀഀ؀Ѐༀ"/>
      <sheetName val="노임이"/>
      <sheetName val=" _x001b__x0006__x0006__x0008_ "/>
      <sheetName val="CONFIG"/>
      <sheetName val="Datos"/>
      <sheetName val="할증 "/>
      <sheetName val="경상"/>
      <sheetName val="골조시행"/>
      <sheetName val="RAB AR&amp;STR"/>
      <sheetName val="I-KAMAR"/>
      <sheetName val="Pipe-Hot"/>
      <sheetName val="99. FWBS(Ref)"/>
      <sheetName val="99. Change Rate"/>
      <sheetName val="배수공"/>
      <sheetName val="Rates &amp; Legend"/>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Project Metrics"/>
      <sheetName val="_x0002_뻘N_"/>
      <sheetName val="Engineering&amp;Management"/>
      <sheetName val="Tools &amp; Settings"/>
      <sheetName val="Data Summary"/>
      <sheetName val="Resources"/>
      <sheetName val="FFA"/>
      <sheetName val="Currencies"/>
      <sheetName val="Crew Costs"/>
      <sheetName val="Spread Costs"/>
      <sheetName val="Unique List_Misc"/>
      <sheetName val="Codes.Pers"/>
      <sheetName val="In-House Summary"/>
      <sheetName val="7422CW_x0013_"/>
      <sheetName val="_x0004__x000d__x0"/>
      <sheetName val="_x000a__x001b__x0"/>
      <sheetName val="_x0002__뻘N___x0001_ࠀ역서"/>
      <sheetName val="내역서_耰&quot;_x005f_x0000__x0000"/>
      <sheetName val="Discounted Cash Flow"/>
      <sheetName val="Ocean Transporation Charge"/>
      <sheetName val="HVAC"/>
      <sheetName val="예가표"/>
      <sheetName val="Cash Flow bulanan"/>
      <sheetName val="schalt"/>
      <sheetName val="schtng"/>
      <sheetName val="schbhn"/>
      <sheetName val="H.Satuan"/>
      <sheetName val="I_KAMAR"/>
      <sheetName val="SCH"/>
      <sheetName val="Direct PMS"/>
      <sheetName val="경비실"/>
      <sheetName val="OPT_x0012__x0010__x000a_"/>
      <sheetName val="_x0013__x0014_"/>
      <sheetName val="SFN_ORIG1"/>
      <sheetName val="AG_Pipe_Qty_Analysis1"/>
      <sheetName val="Equipment_List1"/>
      <sheetName val="Form1_SQP1"/>
      <sheetName val="공정계획(내부계획25%,내부w_f)1"/>
      <sheetName val="Heavy_Equipments1"/>
      <sheetName val="내역서_(∮ἀ嘆ɶ"/>
      <sheetName val="ITB_COST1"/>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2_2_STAFF_Scedule4"/>
      <sheetName val="EQUIP_LIST4"/>
      <sheetName val="BM_DATA_SHEET5"/>
      <sheetName val="Man_Hole4"/>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Sheet1_(2)5"/>
      <sheetName val="Z-_GENERAL_PRICE_SUMMARY4"/>
      <sheetName val="_Estimate__4"/>
      <sheetName val="T_34"/>
      <sheetName val="HORI__VESSEL4"/>
      <sheetName val="Precios_Unitarios4"/>
      <sheetName val="Administrative_Prices4"/>
      <sheetName val="WBS_444"/>
      <sheetName val="WBS_414"/>
      <sheetName val="Precios_por_Administración4"/>
      <sheetName val="Subcon_A4"/>
      <sheetName val="내역서_耰&quot;_x005f_x005f_x005f_x005f_x005f_x005f_x005f4"/>
      <sheetName val="MP_MOB4"/>
      <sheetName val="Form_B4"/>
      <sheetName val="내역서_耰&quot;5"/>
      <sheetName val="[SANDAN_XLS??4"/>
      <sheetName val="Piping_BQ_for_one_turbine4"/>
      <sheetName val="Monthly_Load4"/>
      <sheetName val="Weekly_Load4"/>
      <sheetName val="Material_Selections4"/>
      <sheetName val="Utility_and_Fire_flange4"/>
      <sheetName val="_SANDAN_XLS__4"/>
      <sheetName val="97_사업추정(WEKI)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Summary_Sheets4"/>
      <sheetName val="Civil_14"/>
      <sheetName val="Civil_24"/>
      <sheetName val="Civil_34"/>
      <sheetName val="Site_14"/>
      <sheetName val="Site_24"/>
      <sheetName val="Site_34"/>
      <sheetName val="Site_Faci4"/>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2_2_STAFF_Scedule3"/>
      <sheetName val="EQUIP_LIST3"/>
      <sheetName val="BM_DATA_SHEET4"/>
      <sheetName val="Man_Hole3"/>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Sheet1_(2)4"/>
      <sheetName val="Z-_GENERAL_PRICE_SUMMARY3"/>
      <sheetName val="_Estimate__3"/>
      <sheetName val="T_33"/>
      <sheetName val="HORI__VESSEL3"/>
      <sheetName val="Precios_Unitarios3"/>
      <sheetName val="Administrative_Prices3"/>
      <sheetName val="WBS_443"/>
      <sheetName val="WBS_413"/>
      <sheetName val="Precios_por_Administración3"/>
      <sheetName val="Subcon_A3"/>
      <sheetName val="내역서_耰&quot;_x005f_x005f_x005f_x005f_x005f_x005f_x005f3"/>
      <sheetName val="MP_MOB3"/>
      <sheetName val="Form_B3"/>
      <sheetName val="내역서_耰&quot;4"/>
      <sheetName val="[SANDAN_XLS??3"/>
      <sheetName val="Piping_BQ_for_one_turbine3"/>
      <sheetName val="Monthly_Load3"/>
      <sheetName val="Weekly_Load3"/>
      <sheetName val="Material_Selections3"/>
      <sheetName val="Utility_and_Fire_flange3"/>
      <sheetName val="_SANDAN_XLS__3"/>
      <sheetName val="97_사업추정(WEKI)3"/>
      <sheetName val="Eq__Mobilization3"/>
      <sheetName val="breakdown_of_wage_rate3"/>
      <sheetName val="Indirect_Cost3"/>
      <sheetName val="Resource_table3"/>
      <sheetName val="검측서"/>
      <sheetName val="UP MINOR"/>
      <sheetName val="Item code"/>
      <sheetName val="업체코드"/>
      <sheetName val="장산"/>
      <sheetName val="시행분석"/>
      <sheetName val="AUX"/>
      <sheetName val="Aux."/>
      <sheetName val="PROTECTION_"/>
      <sheetName val="CUADRO_DE_PRECIOS"/>
      <sheetName val="Cash_In-Cash_Out_Actual"/>
      <sheetName val="w't_table2"/>
      <sheetName val="SCHEDD_TAMBAHAN2"/>
      <sheetName val="Fire_Protection2"/>
      <sheetName val="입찰내역_발주처_양식2"/>
      <sheetName val="Dir_Manpower_Other_Exp_2"/>
      <sheetName val="MODULE_CONFIRM1"/>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Sheet1_(2)6"/>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Pengesahan "/>
      <sheetName val="BILL"/>
      <sheetName val="  "/>
      <sheetName val=" "/>
      <sheetName val="breakdown of wage ra`f"/>
      <sheetName val="breakdown of wage ra"/>
      <sheetName val="breakdown of wage rað-"/>
      <sheetName val="2.Overall Summary "/>
      <sheetName val="OCT.FDN"/>
      <sheetName val="D-3109"/>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Bill rekap"/>
      <sheetName val="Harga Satuan"/>
      <sheetName val="LISTRIK"/>
      <sheetName val="F ALARM"/>
      <sheetName val="Chart_Cable"/>
      <sheetName val="Exchange Rate"/>
      <sheetName val="예산실적전체당월"/>
      <sheetName val="00-Summary Information-ABB"/>
      <sheetName val="BD"/>
      <sheetName val="General Notes"/>
      <sheetName val="물량표"/>
      <sheetName val="PABS,Site info"/>
      <sheetName val="2. 현장 자금투입 집계표"/>
      <sheetName val="_도면 및 도서 제출목록 및 일정_170202.xlsx"/>
      <sheetName val="TYPE"/>
      <sheetName val="수량산출"/>
      <sheetName val="CAL1"/>
      <sheetName val="BQ_IMPORT"/>
      <sheetName val="Process Data (2)"/>
      <sheetName val="Updating_Form-Oct_2011"/>
      <sheetName val="Weld_Consumable"/>
      <sheetName val="NDE_Cost-Summary"/>
      <sheetName val="9July_Above_Ground_Pipe"/>
      <sheetName val="Tools_&amp;_Settings"/>
      <sheetName val="Data_Summary"/>
      <sheetName val="Crew_Costs"/>
      <sheetName val="Spread_Costs"/>
      <sheetName val="Unique_List_Misc"/>
      <sheetName val="M_11"/>
      <sheetName val="Process_Data_(2)"/>
      <sheetName val="실행집_x0005_"/>
      <sheetName val="실행집聈"/>
      <sheetName val="plan&amp;section_of_foundation1"/>
      <sheetName val="Unit_Price_"/>
      <sheetName val="내역서1999_8최종"/>
      <sheetName val="working_load_at_the_btm_ft_1"/>
      <sheetName val="stability_check1"/>
      <sheetName val="design_load1"/>
      <sheetName val="1100-1200-1300-1910-2140-LEV_2"/>
      <sheetName val="Process_Data_1"/>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Closeout_Control"/>
      <sheetName val="Site_Findings_Status_Sheet"/>
      <sheetName val="내역서_耰&quot;_x005f_x005f_x005f_x0000_"/>
      <sheetName val="내역서_耰&quot;_x005f_x005f_x005f_x005f_"/>
      <sheetName val="Currency_Rate"/>
      <sheetName val="4-Basic_Price"/>
      <sheetName val="Evaluasi_Penw"/>
      <sheetName val="Man_Power_&amp;_Comp"/>
      <sheetName val="Data_List"/>
      <sheetName val="Material_Price"/>
      <sheetName val="Codes_Pers"/>
      <sheetName val="Sum_(Case-3)"/>
      <sheetName val="PROJECT_BRIEF"/>
      <sheetName val="In-House_Summary"/>
      <sheetName val="7422CW"/>
      <sheetName val="내역ࠜĀ_x005f_x0000_M4"/>
      <sheetName val="내역서 耰&quot;_x005f_x0000_"/>
      <sheetName val="내역ࠜĀ_x005f_x005f_x0"/>
      <sheetName val="내역서 耰&quot;_x005f_x005f_"/>
      <sheetName val="내역서 耰&quot;_x0000"/>
      <sheetName val="_x005f_x005f_"/>
      <sheetName val="내역서_耰&quot;_x0000"/>
      <sheetName val="Weekl_x0004_"/>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손익차9월2"/>
      <sheetName val="OPT_x0012_"/>
      <sheetName val="내역서_耰&quot;_x005f_x0000__x0003"/>
      <sheetName val="내역서_耰&quot;_x005f_x005f_x00003"/>
      <sheetName val="내역서_耰&quot;_x005f_x005f_x005f3"/>
      <sheetName val="내역서_耰&quot;_x005f_x0000__x0004"/>
      <sheetName val="내역서_耰&quot;_x005f_x005f_x00004"/>
      <sheetName val="내역서_耰&quot;_x005f_x005f_x005f4"/>
      <sheetName val="내역서_耰&quot;6"/>
      <sheetName val="내역서_耰&quot;_x005f_x0000__x0005"/>
      <sheetName val="내역서_耰&quot;_x005f_x005f_x00005"/>
      <sheetName val="내역서_耰&quot;_x005f_x005f_x005f5"/>
      <sheetName val="내역서_耰&quot;_x005f_x0000_"/>
      <sheetName val="내역서_耰&quot;_x005f_x005f_"/>
      <sheetName val="내역ࠜĀM4"/>
      <sheetName val="내역ࠜĀ_x0"/>
      <sheetName val="내역서 耰&quot;_"/>
      <sheetName val="_"/>
      <sheetName val="내역서_耰&quot;_x0001"/>
      <sheetName val="내역서_耰&quot;_x00001"/>
      <sheetName val="내역서_耰&quot;_x005f1"/>
      <sheetName val="내역서_耰&quot;_x0002"/>
      <sheetName val="내역서_耰&quot;_x00002"/>
      <sheetName val="내역서_耰&quot;_x005f2"/>
      <sheetName val="Others"/>
      <sheetName val="Sheet5"/>
      <sheetName val="0. Resource　Code"/>
      <sheetName val="Direct_PMS"/>
      <sheetName val="5_)_Time_Delays"/>
      <sheetName val="OPT_x000a_"/>
      <sheetName val="Weekl_x000a_"/>
      <sheetName val="Aux_"/>
      <sheetName val="breakdown of wage rap"/>
      <sheetName val="breakdown of wage ra"/>
      <sheetName val="DISCIPLINE"/>
      <sheetName val="9_1차이내역"/>
      <sheetName val="pipeline-1"/>
      <sheetName val="BQMP"/>
      <sheetName val="Analysis"/>
      <sheetName val="EVA-004-MEC"/>
      <sheetName val="Distribution Table"/>
      <sheetName val="BA1047集約"/>
      <sheetName val="Raw data"/>
      <sheetName val="PWA"/>
      <sheetName val="__x001b__x0006__x"/>
      <sheetName val="_뻘N__ࠀ역서"/>
      <sheetName val="차트 (2)"/>
      <sheetName val="EE-PROP"/>
      <sheetName val="DATA MENTAH"/>
      <sheetName val="BO䁑-B_䁄OWN"/>
      <sheetName val="UP_MINOR"/>
      <sheetName val="RAB_AR&amp;STR"/>
      <sheetName val="Cash_Flow_bulanan"/>
      <sheetName val="H_Satuan"/>
      <sheetName val="Bill_rekap"/>
      <sheetName val="99__FWBS(Ref)"/>
      <sheetName val="99__Change_Rate"/>
      <sheetName val="Harga_Satuan"/>
      <sheetName val="F_ALARM"/>
      <sheetName val="내역서_耰&quot;_x005f_x0000__x00001"/>
      <sheetName val="할증_"/>
      <sheetName val="내역서_(N____x000a_"/>
      <sheetName val="내역서_(N   _x000a_"/>
      <sheetName val="Discounted_Cash_Flow"/>
      <sheetName val="Ocean_Transporation_Charge"/>
      <sheetName val="차트_(2)"/>
      <sheetName val="Pengesahan_"/>
      <sheetName val="Exchange_Rate"/>
      <sheetName val="뻘N_"/>
      <sheetName val="_x000a__x0"/>
      <sheetName val="Unt_rate"/>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Item_cod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2__현장_자금투입_집계표"/>
      <sheetName val="_도면_및_도서_제출목록_및_일정_170202_xlsx"/>
      <sheetName val="Rates_&amp;_Legend"/>
      <sheetName val="OCT_FDN"/>
      <sheetName val="General_Notes"/>
      <sheetName val="design_criteria1"/>
      <sheetName val="Material code"/>
      <sheetName val="TQ Format"/>
      <sheetName val="유림골조"/>
      <sheetName val="2003상반기노임기준"/>
      <sheetName val="도면자료제출일정"/>
      <sheetName val="DROP DOWN"/>
      <sheetName val="개시대사 (2)"/>
      <sheetName val="용접품"/>
      <sheetName val="절단품"/>
      <sheetName val="Action Item"/>
      <sheetName val="Rating"/>
      <sheetName val="ID.CD"/>
      <sheetName val="breakdown of wage raÐ¾"/>
      <sheetName val="Additional data"/>
      <sheetName val="MD"/>
      <sheetName val="drg"/>
      <sheetName val="BM"/>
      <sheetName val="Linelist LNGC Process"/>
      <sheetName val="당초?∸ἀ"/>
      <sheetName val="바닥판⽷"/>
      <sheetName val="Values"/>
      <sheetName val="Codes"/>
      <sheetName val="Air Cooler-E"/>
      <sheetName val="USDKRW"/>
      <sheetName val="Inquiry"/>
      <sheetName val="품셈TABLE"/>
      <sheetName val="환율"/>
      <sheetName val="HO_Site Rates-2011"/>
      <sheetName val="定额"/>
      <sheetName val="Equipment Spec List"/>
      <sheetName val="대운산출"/>
      <sheetName val="Header"/>
      <sheetName val="LEGENDA"/>
      <sheetName val="208"/>
      <sheetName val="인산"/>
      <sheetName val="C-301E~305E"/>
      <sheetName val="SPEC LIST(EQUP, SYS)"/>
      <sheetName val="配管単価"/>
      <sheetName val="Mat"/>
      <sheetName val="제출계산서"/>
      <sheetName val="tifico"/>
      <sheetName val="14-Eng rate"/>
      <sheetName val="TJ1Q47"/>
      <sheetName val="Particular Sch"/>
      <sheetName val="Al Taweelah"/>
      <sheetName val="공사비집계"/>
      <sheetName val="热力"/>
      <sheetName val="PHSB"/>
      <sheetName val="AN"/>
      <sheetName val="EQUIPMENT_-"/>
      <sheetName val="내역서_(N _x000e__x000e__x000e_  _x0012__x0010_ "/>
      <sheetName val="구분"/>
      <sheetName val="기기리스트"/>
      <sheetName val="11.자재단가"/>
      <sheetName val="리스크 분류체계"/>
      <sheetName val="Risk"/>
      <sheetName val="손익차총괄2"/>
      <sheetName val="Drop-Downs"/>
      <sheetName val="Orçamento"/>
      <sheetName val="Cashflow Analysis"/>
      <sheetName val="공사비SUM"/>
      <sheetName val="백분율"/>
      <sheetName val="33628-Rev. A"/>
      <sheetName val="내역(한신APT)"/>
      <sheetName val="Attach 4-18"/>
      <sheetName val="{}"/>
      <sheetName val="내역서 ᢐ_x001f_"/>
      <sheetName val="2_Overall_Summary_"/>
      <sheetName val="Données"/>
      <sheetName val="GraphData"/>
      <sheetName val="BHANDUP"/>
      <sheetName val="Register"/>
      <sheetName val="INPUT DATA OF SCHEDULE"/>
      <sheetName val="CONST"/>
      <sheetName val="Finansal tamamlanma Eğrisi"/>
      <sheetName val="SIVA"/>
      <sheetName val="Admin Manu 2-Equipment Type ID"/>
      <sheetName val="#¡REF"/>
      <sheetName val="WIP"/>
      <sheetName val="Quotation"/>
      <sheetName val="ABB Summary"/>
      <sheetName val="Man power rate"/>
      <sheetName val="Const equip rate"/>
      <sheetName val="01-Gang Rate &amp; Info"/>
      <sheetName val="02-Precal"/>
      <sheetName val="03-WBS_IA-EI-OF-751-01-0202"/>
      <sheetName val="04-CA"/>
      <sheetName val="05-Sum Cost"/>
      <sheetName val="06-Indirect Loading"/>
      <sheetName val="07-Heavy Equipment"/>
      <sheetName val="08-RR Check List"/>
      <sheetName val="09-THABB"/>
      <sheetName val="10-FD33"/>
      <sheetName val="11-IndustryUsage"/>
      <sheetName val="12-ServiceCategory"/>
      <sheetName val="13-ChannelClass"/>
      <sheetName val="15-Master"/>
      <sheetName val="1) Risk and Opportunities"/>
      <sheetName val="2) Full Cost Calculation"/>
      <sheetName val="FxExchangeRatesBudget"/>
      <sheetName val="Benchmark"/>
      <sheetName val="Grafico"/>
      <sheetName val="Master List"/>
      <sheetName val="내역서 (∮ἀ嘆ɶ?᠀㬁?"/>
      <sheetName val="당초_xd8b4_➴ȭ"/>
      <sheetName val=" _x001b__x0006__x"/>
      <sheetName val="Weekl_x0004__x0016__x000"/>
      <sheetName val="내역서_(N _x000e__x000e__x00"/>
      <sheetName val="내역서_(N _x000e__x000e__x000e_  _"/>
      <sheetName val="__-BLDG"/>
      <sheetName val="C1C2"/>
      <sheetName val="LIFE &amp; REP PROVN"/>
      <sheetName val="O&amp;M CREW"/>
      <sheetName val="EXPAN-1"/>
      <sheetName val="TABELE"/>
      <sheetName val="Fig 4-14"/>
      <sheetName val="KUWATI(Total)_10"/>
      <sheetName val="집계표_(TOTAL)10"/>
      <sheetName val="집계표_(CIVIL-23)10"/>
      <sheetName val="집계표_(FGRU)10"/>
      <sheetName val="집계표_(25,26)10"/>
      <sheetName val="집계표_(MEROX)10"/>
      <sheetName val="집계표_(NITROGEN)10"/>
      <sheetName val="집계표_(M4)10"/>
      <sheetName val="집계표_(CIVIL4)10"/>
      <sheetName val="집계표_(CIVIL6)10"/>
      <sheetName val="집계표_(CIVIL7)10"/>
      <sheetName val="내역서(DEMO_TOTAL)10"/>
      <sheetName val="내역서_(CIVIL-23)10"/>
      <sheetName val="내역서_(fgru)10"/>
      <sheetName val="내역서_(25&amp;26)10"/>
      <sheetName val="내역서_(MEROX)10"/>
      <sheetName val="내역서_(NITROGEN)10"/>
      <sheetName val="내역서_(M4)10"/>
      <sheetName val="내역서_(CIVIL-4)10"/>
      <sheetName val="내역서_(CIVIL-6)10"/>
      <sheetName val="내역서_(CIVIL-7)10"/>
      <sheetName val="OPTION_210"/>
      <sheetName val="OPTION_310"/>
      <sheetName val="2002년_현장공사비_국내_실적10"/>
      <sheetName val="2003년국내현장공사비_실적10"/>
      <sheetName val="VC2_10_9910"/>
      <sheetName val="INPUT_DATA9"/>
      <sheetName val="General_Data9"/>
      <sheetName val="집계표_(25,26ဩ9"/>
      <sheetName val="Form_09"/>
      <sheetName val="Form_D-18"/>
      <sheetName val="Form_B-18"/>
      <sheetName val="Form_F-18"/>
      <sheetName val="Form_A8"/>
      <sheetName val="LABOR_&amp;_자재8"/>
      <sheetName val="입출재고현황_(2)8"/>
      <sheetName val="3_공통공사대비8"/>
      <sheetName val="간접비_총괄8"/>
      <sheetName val="Price_Schedule8"/>
      <sheetName val="CAL_8"/>
      <sheetName val="Rate_Analysis8"/>
      <sheetName val="WEIGHT_LIST7"/>
      <sheetName val="산#2-1_(2)7"/>
      <sheetName val="BEND_LOSS7"/>
      <sheetName val="공사비_내역_(가)7"/>
      <sheetName val="EQUIPMENT_-28"/>
      <sheetName val="6PILE__(돌출)7"/>
      <sheetName val="내역서_耰&quot;??8"/>
      <sheetName val="Static_Equip7"/>
      <sheetName val="단면_(2)7"/>
      <sheetName val="Form_A_7"/>
      <sheetName val="Man_Hole6"/>
      <sheetName val="3_Breakdown_Direct_Paint7"/>
      <sheetName val="내역서_耰&quot;_x005f_x0000__x005f_x0000_7"/>
      <sheetName val="Áý°èÇ¥_(TOTAL)6"/>
      <sheetName val="Áý°èÇ¥_(CIVIL-23)6"/>
      <sheetName val="Áý°èÇ¥_(FGRU)6"/>
      <sheetName val="Áý°èÇ¥_(25,26)6"/>
      <sheetName val="Áý°èÇ¥_(MEROX)6"/>
      <sheetName val="Áý°èÇ¥_(NITROGEN)6"/>
      <sheetName val="Áý°èÇ¥_(M4)6"/>
      <sheetName val="Áý°èÇ¥_(CIVIL4)6"/>
      <sheetName val="Áý°èÇ¥_(CIVIL6)6"/>
      <sheetName val="Áý°èÇ¥_(CIVIL7)6"/>
      <sheetName val="³»¿ª¼­(DEMO_TOTAL)6"/>
      <sheetName val="³»¿ª¼­_(CIVIL-23)6"/>
      <sheetName val="³»¿ª¼­_(fgru)6"/>
      <sheetName val="³»¿ª¼­_(25&amp;26)6"/>
      <sheetName val="³»¿ª¼­_(MEROX)6"/>
      <sheetName val="³»¿ª¼­_(NITROGEN)6"/>
      <sheetName val="³»¿ª¼­_(M4)6"/>
      <sheetName val="³»¿ª¼­_(CIVIL-4)6"/>
      <sheetName val="³»¿ª¼­_(CIVIL-6)6"/>
      <sheetName val="³»¿ª¼­_(CIVIL-7)6"/>
      <sheetName val="2002³â_ÇöÀå°ø»çºñ_±¹³»_½ÇÀû6"/>
      <sheetName val="2003³â±¹³»ÇöÀå°ø»çºñ_½ÇÀû6"/>
      <sheetName val="내역서_耰&quot;__8"/>
      <sheetName val="Summary_Sheets7"/>
      <sheetName val="Civil_17"/>
      <sheetName val="Civil_27"/>
      <sheetName val="Civil_37"/>
      <sheetName val="Site_17"/>
      <sheetName val="Site_27"/>
      <sheetName val="Site_37"/>
      <sheetName val="Site_Faci7"/>
      <sheetName val="Monthly_Load6"/>
      <sheetName val="Weekly_Load6"/>
      <sheetName val="내역서_耰&quot;_x005f_x005f_x005f_x0000__x005f_x005f_x0006"/>
      <sheetName val="Precios_Unitarios6"/>
      <sheetName val="2_2_STAFF_Scedule6"/>
      <sheetName val="내역서_耰&quot;_x005f_x005f_x005f_x005f_x005f_x005f_x00006"/>
      <sheetName val="Administrative_Prices6"/>
      <sheetName val="WBS_446"/>
      <sheetName val="WBS_416"/>
      <sheetName val="Precios_por_Administración6"/>
      <sheetName val="Subcon_A6"/>
      <sheetName val="내역서_耰&quot;_x005f_x005f_x005f_x005f_x005f_x005f_x005f6"/>
      <sheetName val="Sheet1_(2)7"/>
      <sheetName val="7__월별투입내역서6"/>
      <sheetName val="계측_내역서6"/>
      <sheetName val="Z-_GENERAL_PRICE_SUMMARY6"/>
      <sheetName val="_Estimate__6"/>
      <sheetName val="T_36"/>
      <sheetName val="HORI__VESSEL6"/>
      <sheetName val="EQUIP_LIST6"/>
      <sheetName val="Form_B6"/>
      <sheetName val="Vind_-_BtB6"/>
      <sheetName val="LV_induction_motors6"/>
      <sheetName val="BSD_(2)6"/>
      <sheetName val="MP_MOB6"/>
      <sheetName val="BM_DATA_SHEET7"/>
      <sheetName val="[SANDAN_XLS??6"/>
      <sheetName val="Piping_BQ_for_one_turbine6"/>
      <sheetName val="97_사업추정(WEKI)6"/>
      <sheetName val="breakdown_of_wage_rate6"/>
      <sheetName val="Indirect_Cost6"/>
      <sheetName val="Material_Selections6"/>
      <sheetName val="Eq__Mobilization6"/>
      <sheetName val="SFN_ORIG6"/>
      <sheetName val="Resource_table6"/>
      <sheetName val="AG_Pipe_Qty_Analysis6"/>
      <sheetName val="Utility_and_Fire_flange6"/>
      <sheetName val="Equipment_List6"/>
      <sheetName val="Form1_SQP6"/>
      <sheetName val="공정계획(내부계획25%,내부w_f)6"/>
      <sheetName val="_SANDAN_XLS__6"/>
      <sheetName val="Heavy_Equipments6"/>
      <sheetName val="입찰내역_발주처_양식6"/>
      <sheetName val="BOQ-B_DOWN5"/>
      <sheetName val="w't_table6"/>
      <sheetName val="실행예산_MM5"/>
      <sheetName val="Dir_Manpower_Other_Exp_6"/>
      <sheetName val="SCHEDD_TAMBAHAN6"/>
      <sheetName val="Fire_Protection6"/>
      <sheetName val="단가_(2)5"/>
      <sheetName val="4-3LEVEL-5_epic_45"/>
      <sheetName val="FWBS_15305"/>
      <sheetName val="MODULE_CONFIRM5"/>
      <sheetName val="내역서_(∮ἀ嘆ɶ5"/>
      <sheetName val="ITB_COST6"/>
      <sheetName val="PROTECTION_5"/>
      <sheetName val="Cash_In-Cash_Out_Actual5"/>
      <sheetName val="CUADRO_DE_PRECIOS5"/>
      <sheetName val="Updating_Form-Oct_20111"/>
      <sheetName val="Weld_Consumable1"/>
      <sheetName val="NDE_Cost-Summary1"/>
      <sheetName val="9July_Above_Ground_Pipe1"/>
      <sheetName val="M_111"/>
      <sheetName val="Process_Data_11"/>
      <sheetName val="내역서1999_8최종1"/>
      <sheetName val="plan&amp;section_of_foundation2"/>
      <sheetName val="working_load_at_the_btm_ft_2"/>
      <sheetName val="stability_check2"/>
      <sheetName val="design_load2"/>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Unit_Price_1"/>
      <sheetName val="1100-1200-1300-1910-2140-LEV_21"/>
      <sheetName val="Currency_Rate1"/>
      <sheetName val="4-Basic_Price1"/>
      <sheetName val="Evaluasi_Penw1"/>
      <sheetName val="Man_Power_&amp;_Comp1"/>
      <sheetName val="Data_List1"/>
      <sheetName val="Material_Price1"/>
      <sheetName val="Closeout_Control1"/>
      <sheetName val="Site_Findings_Status_Sheet1"/>
      <sheetName val="Tools_&amp;_Settings1"/>
      <sheetName val="Data_Summary1"/>
      <sheetName val="Crew_Costs1"/>
      <sheetName val="Spread_Costs1"/>
      <sheetName val="Unique_List_Misc1"/>
      <sheetName val="Sum_(Case-3)1"/>
      <sheetName val="In-House_Summary1"/>
      <sheetName val="PROJECT_BRIEF1"/>
      <sheetName val="Direct_PMS1"/>
      <sheetName val="내역서_耰&quot;_x005f_x005f_x005f_x0000_1"/>
      <sheetName val="내역서_耰&quot;_x005f_x005f_x005f_x005f_1"/>
      <sheetName val="5_)_Time_Delays1"/>
      <sheetName val="Aux_1"/>
      <sheetName val="Codes_Pers1"/>
      <sheetName val="00-Summary_Information-ABB"/>
      <sheetName val="PABS,Site_info"/>
      <sheetName val="0__Resource　Code"/>
      <sheetName val="__1"/>
      <sheetName val="_1"/>
      <sheetName val="breakdown_of_wage_ra`f"/>
      <sheetName val="breakdown_of_wage_ra"/>
      <sheetName val="breakdown_of_wage_rað-"/>
      <sheetName val="Material_code"/>
      <sheetName val="__x"/>
      <sheetName val="Precios Unitariԯ"/>
      <sheetName val="Sum(table)"/>
      <sheetName val="OIL SEPARATOR"/>
      <sheetName val="CATCH BASIN"/>
      <sheetName val="UG"/>
      <sheetName val="UG2"/>
      <sheetName val="UG3"/>
      <sheetName val="UG4"/>
      <sheetName val="FW Post Indicator Valve 24&quot;"/>
      <sheetName val="FW Post Indicator Valve 20&quot;"/>
      <sheetName val="FW Post Indicator Valve 6&quot;"/>
      <sheetName val="Fire Monitor or Hydrant 6&quot; FDN"/>
      <sheetName val="SUMP VB"/>
      <sheetName val="CLEANOUT 4&quot;"/>
      <sheetName val="Not reqd"/>
      <sheetName val="호환성 보고서"/>
      <sheetName val="16"/>
      <sheetName val="50"/>
      <sheetName val="Drop"/>
      <sheetName val="Dropdown"/>
      <sheetName val="Tender data"/>
      <sheetName val="Activity Form"/>
      <sheetName val="GM 000"/>
      <sheetName val="날개벽"/>
      <sheetName val="Pulldown"/>
      <sheetName val="2857Q&amp;PL"/>
      <sheetName val="내역서_耰&quot;_x005f_x0000__x00002"/>
      <sheetName val="할증_1"/>
      <sheetName val="RAB_AR&amp;STR1"/>
      <sheetName val="99__FWBS(Ref)1"/>
      <sheetName val="99__Change_Rate1"/>
      <sheetName val="SUMMARY_(0A)1"/>
      <sheetName val="SUMMARY_(1A)1"/>
      <sheetName val="SUMMARY_(1B)1"/>
      <sheetName val="SUMMARY_(03)1"/>
      <sheetName val="F1(Cable_Rack)1"/>
      <sheetName val="F2(Cable_Rack)1"/>
      <sheetName val="F3(Cable_Rack)1"/>
      <sheetName val="F1_(POLYMER)1"/>
      <sheetName val="F2_(POLYMER)1"/>
      <sheetName val="F3_(POLYMER)1"/>
      <sheetName val="F4_(POLYMER)1"/>
      <sheetName val="F5(_Polymerization_)1"/>
      <sheetName val="F6_(_Polymerization_)1"/>
      <sheetName val="B1_(Grid_A-7,_-6)1"/>
      <sheetName val="B1_(Grid_A,_B)1"/>
      <sheetName val="B1_(Grid_C-7,_-6)1"/>
      <sheetName val="B2_(Grid_-7_B,_C)_(1)1"/>
      <sheetName val="B2_(Grid_-7_B,_C)_(2)1"/>
      <sheetName val="B2_(Grid_-6_B,_C)_(1)1"/>
      <sheetName val="B2_(Grid_-6_B,_C)_(2)1"/>
      <sheetName val="F1_(MONOMER)1"/>
      <sheetName val="F2_(MONOMER)1"/>
      <sheetName val="F3_(MONOMER)1"/>
      <sheetName val="90K060C_(MONOMER)1"/>
      <sheetName val="F1_(EXTRUSION)1"/>
      <sheetName val="F2_(EXTRUSION)1"/>
      <sheetName val="F3_(EXTRUSION)1"/>
      <sheetName val="F4_(EXTRUSION)1"/>
      <sheetName val="F5_(EXTRUSION)1"/>
      <sheetName val="F6A_(EXTRUSION)1"/>
      <sheetName val="F6D_(EXTRUSION)1"/>
      <sheetName val="F7_(EXTRUSION)1"/>
      <sheetName val="F8_(EXTRUSION)1"/>
      <sheetName val="F9_(EXTRUSION)1"/>
      <sheetName val="F10_(EXTRUSION)1"/>
      <sheetName val="F11_(EXTRUSION)1"/>
      <sheetName val="B1_(Grid_F-5`,_4`)1"/>
      <sheetName val="B2_(Grid_F,E-4`)1"/>
      <sheetName val="B2_(Grid_F,E-5`)1"/>
      <sheetName val="B3_(Grid_C,B-4`)1"/>
      <sheetName val="B4_(Grid_B,A-4`)1"/>
      <sheetName val="B5_(Grid_E-5`)_&amp;_(Grid_D-5`)1"/>
      <sheetName val="B6_(Grid_E,D-5')1"/>
      <sheetName val="B7_(Grid_E,D-5')1"/>
      <sheetName val="95D040,_A5061"/>
      <sheetName val="95P040AB,_A5071"/>
      <sheetName val="95X020-U08,_A6021"/>
      <sheetName val="95X020-U07,_A6061"/>
      <sheetName val="95E040,_A5091"/>
      <sheetName val="95D024;025,_A6151"/>
      <sheetName val="95X020-U05,_A6011"/>
      <sheetName val="95X020-U02,_A2041"/>
      <sheetName val="Extruder_FDN1"/>
      <sheetName val="BOG_COMP__FDN1"/>
      <sheetName val="SOG_COMP__FDN1"/>
      <sheetName val="1G1_(Ground_Beam)1"/>
      <sheetName val="1G2-1(Ground_Beam)1"/>
      <sheetName val="1G2-2(Ground_Beam)1"/>
      <sheetName val="P15,_161"/>
      <sheetName val="LO_CONSOLE_FDN1"/>
      <sheetName val="OIL_COOLER_FDN1"/>
      <sheetName val="CW_CONSOLE_FDN_(SOG)1"/>
      <sheetName val="PD3_(SOG)1"/>
      <sheetName val="SF1_(SOG)1"/>
      <sheetName val="SF2_(SOG)1"/>
      <sheetName val="SLAB_(1S1-1)1"/>
      <sheetName val="SLAB_(1S1-2)1"/>
      <sheetName val="SLAB_(1S1-3)1"/>
      <sheetName val="COLUMN_(+5500)1"/>
      <sheetName val="COLUMN_(+12500)1"/>
      <sheetName val="COLUMN_(+15500)1"/>
      <sheetName val="ETC_1"/>
      <sheetName val="UP_MINOR1"/>
      <sheetName val="Equip_Rental_Summary_by_Contr1"/>
      <sheetName val="Project_Equip_Rental_Summary1"/>
      <sheetName val="Contractor_Indirect_Sumry1"/>
      <sheetName val="Project_Indirect_Sumry1"/>
      <sheetName val="COA_Sumry_by_Area1"/>
      <sheetName val="COA_Sumry_by_Contr1"/>
      <sheetName val="COA_Sumry_by_RG1"/>
      <sheetName val="TDC_COA_Grp_Sumry1"/>
      <sheetName val="TDC_COA_Grp_Sumry_by_Area1"/>
      <sheetName val="TDC_COA_Grp_Sumry_by_RG1"/>
      <sheetName val="Equipment_Sumry1"/>
      <sheetName val="TDC_Item_Dets-Full1"/>
      <sheetName val="TDC_Item_Dets-IPM-Full1"/>
      <sheetName val="TDC_Item_Sumry_by_Area1"/>
      <sheetName val="TDC_Item_Sumry_by_RG1"/>
      <sheetName val="TDC_Key_Qty_Sumry_by_RG1"/>
      <sheetName val="List_-_Equipment_by_Area1"/>
      <sheetName val="List_-_Equipment_by_Contr1"/>
      <sheetName val="Equipment_-_Unit_Costs_by_Mat1"/>
      <sheetName val="List_-_Equipment_by_Rep_Grp1"/>
      <sheetName val="Craft_Summary_by_Contr1"/>
      <sheetName val="Project_Craft_Summary1"/>
      <sheetName val="Project_Metrics1"/>
      <sheetName val="Item_code1"/>
      <sheetName val="Unt_rate1"/>
      <sheetName val="2__현장_자금투입_집계표1"/>
      <sheetName val="_도면_및_도서_제출목록_및_일정_170202_xlsx1"/>
      <sheetName val="Rates_&amp;_Legend1"/>
      <sheetName val="Cash_Flow_bulanan1"/>
      <sheetName val="H_Satuan1"/>
      <sheetName val="Discounted_Cash_Flow1"/>
      <sheetName val="Ocean_Transporation_Charge1"/>
      <sheetName val="Pengesahan_1"/>
      <sheetName val="OCT_FDN1"/>
      <sheetName val="General_Notes1"/>
      <sheetName val="BO䁑-B_䁄OWN1"/>
      <sheetName val="Exchange_Rate1"/>
      <sheetName val="Harga_Satuan1"/>
      <sheetName val="F_ALARM1"/>
      <sheetName val="DATA_MENTAH"/>
      <sheetName val="차트_(2)1"/>
      <sheetName val="Bill_rekap1"/>
      <sheetName val="breakdown_of_wage_rap"/>
      <sheetName val="Weekl"/>
      <sheetName val="Process_Data_(2)1"/>
      <sheetName val="실행집"/>
      <sheetName val="Raw_data"/>
      <sheetName val="breakdown_of_wage_ra"/>
      <sheetName val="Precios_Unitariԯ"/>
      <sheetName val="내역서_(N____x000a_1"/>
      <sheetName val="TQ_Format"/>
      <sheetName val="DROP_DOWN"/>
      <sheetName val="개시대사_(2)"/>
      <sheetName val="Action_Item"/>
      <sheetName val="ID_CD"/>
      <sheetName val="breakdown_of_wage_raÐ¾"/>
      <sheetName val="Additional_data"/>
      <sheetName val="Distribution_Table"/>
      <sheetName val="HO_Site_Rates-2011"/>
      <sheetName val="내역서_(N____"/>
      <sheetName val="단가"/>
      <sheetName val="95TOTREV"/>
      <sheetName val="일위대가 "/>
      <sheetName val="98수문일위"/>
      <sheetName val="SECL 리스크 분류체계 (2)"/>
      <sheetName val="내역서_耰&quot;_x0004"/>
      <sheetName val="내역서_耰&quot;_x0003"/>
      <sheetName val="내역서_耰&quot;_x0005"/>
      <sheetName val="내역서_耰&quot;_x00004"/>
      <sheetName val="내역서_耰&quot;_x005f4"/>
      <sheetName val="내역서_耰&quot;_x00003"/>
      <sheetName val="내역서_耰&quot;_x005f3"/>
      <sheetName val="내역서_耰&quot;_x00005"/>
      <sheetName val="내역서_耰&quot;_x005f5"/>
      <sheetName val="내역서_耰&quot;_"/>
      <sheetName val="내역서_耰&quot;7"/>
      <sheetName val="SUM_"/>
      <sheetName val="Equipment_Spec_List"/>
      <sheetName val="SPEC_LIST(EQUP,_SYS)"/>
      <sheetName val="내역서_(N _x000e__x000e__x000e_  _x0012__x0010__"/>
      <sheetName val="OPT_"/>
      <sheetName val="Weekl_"/>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E-160"/>
      <sheetName val="CASH"/>
      <sheetName val="Basis(site)"/>
      <sheetName val="Itembalance Report (18-sep-18)"/>
      <sheetName val="BUDGET SUMMARY "/>
      <sheetName val="Leyenda"/>
      <sheetName val="내역서_耰&quot;_x005f_x0000__x0006"/>
      <sheetName val="내역서_耰&quot;_x005f_x005f_x00006"/>
      <sheetName val="내역서_耰&quot;_x005f_x005f_x005f6"/>
      <sheetName val="내역서_耰&quot;_x005f_x0000_1"/>
      <sheetName val="내역서_耰&quot;_x005f_x005f_1"/>
      <sheetName val="BSD ᯷㧓_x0001_"/>
      <sheetName val="Direct Histogram Rev. A (f)"/>
      <sheetName val="광통신 견적내역서1"/>
      <sheetName val="Basic"/>
      <sheetName val="B_Down"/>
      <sheetName val="Scheme Area Details_Block__ C2"/>
      <sheetName val="1.설계기준"/>
      <sheetName val="FORM-0"/>
      <sheetName val="SUPTMTO"/>
      <sheetName val="ABUT수량-A1"/>
      <sheetName val="서부산시설"/>
      <sheetName val="Cash Flow"/>
      <sheetName val="Yield"/>
      <sheetName val="5. 월별투입내역서"/>
      <sheetName val="List register"/>
      <sheetName val="목록"/>
      <sheetName val="Wellhrs"/>
      <sheetName val="Rate"/>
      <sheetName val="터파기및재료"/>
      <sheetName val="Demand"/>
      <sheetName val="Occ"/>
      <sheetName val="인사자료총집계"/>
      <sheetName val="간접비"/>
      <sheetName val="조명시설"/>
      <sheetName val="설산1.나"/>
      <sheetName val="본사S"/>
      <sheetName val="건축내역"/>
      <sheetName val="견적서"/>
      <sheetName val="간접노무비"/>
      <sheetName val="BM #1"/>
      <sheetName val="TABLAS"/>
      <sheetName val="Cost Code"/>
      <sheetName val="Data Ref"/>
      <sheetName val="Interdept Rate"/>
      <sheetName val="전표분개장(공종별)"/>
      <sheetName val="노무비집계"/>
      <sheetName val="공통가설"/>
      <sheetName val="자재비"/>
      <sheetName val="감모비"/>
      <sheetName val="ADMON"/>
      <sheetName val="EQUIPOS DE SEGURIDAD"/>
      <sheetName val="MATERIALES CONSUMIBLES"/>
      <sheetName val="PERSONAL INDIRECTO "/>
      <sheetName val="REF for VV"/>
      <sheetName val="REF"/>
      <sheetName val=" _x001b__x0"/>
      <sheetName val="OPT_x0012__x0010_ "/>
      <sheetName val="Weekl "/>
      <sheetName val="내역서_(N___ "/>
      <sheetName val="내역서_(N    "/>
      <sheetName val=" _x0"/>
      <sheetName val="OPT "/>
      <sheetName val="급여"/>
      <sheetName val="Land Dev't. Ph-1"/>
      <sheetName val="4300 UTILITY BLDG (2)"/>
      <sheetName val="0000"/>
      <sheetName val="P-Ins &amp; Bonds"/>
      <sheetName val="INSTLIST 1"/>
      <sheetName val="인원聈2"/>
      <sheetName val="design_criteria2"/>
      <sheetName val="Air_Cooler-E"/>
      <sheetName val="Al_Taweelah"/>
      <sheetName val="Particular_Sch"/>
      <sheetName val="Index"/>
      <sheetName val="_x005f_x005f_x005f_x005f_x005f_x005f_x00ည톐ឮ"/>
      <sheetName val="OPT"/>
      <sheetName val="공사"/>
      <sheetName val="단가대비표"/>
      <sheetName val="총괄"/>
      <sheetName val="CUACA"/>
      <sheetName val="ANALISA-S"/>
      <sheetName val="hrgsat"/>
      <sheetName val="SCHEDULE"/>
      <sheetName val="Analisa Fave"/>
      <sheetName val="Bank"/>
      <sheetName val="BUA"/>
      <sheetName val="Harsat Bahan"/>
      <sheetName val="Harsat Subkon"/>
      <sheetName val="Harsat Upah"/>
      <sheetName val="PP"/>
      <sheetName val="RAB"/>
      <sheetName val="Master 1.0"/>
      <sheetName val="Estimate"/>
      <sheetName val="Agregat Halus &amp; Kasar"/>
      <sheetName val="TABEL"/>
      <sheetName val="DIV_5"/>
      <sheetName val="DIV_7A"/>
      <sheetName val="DIV_2"/>
      <sheetName val="DIV_4"/>
      <sheetName val="DIV_6"/>
      <sheetName val="DIV_8"/>
      <sheetName val="HARGA MATERIAL"/>
      <sheetName val="MT_an"/>
      <sheetName val="dasar"/>
      <sheetName val="Harga Sat_APP"/>
      <sheetName val="AMP"/>
      <sheetName val="ANTEK-AGGA"/>
      <sheetName val="BURDA"/>
      <sheetName val="ANTEK-GAL"/>
      <sheetName val="HRS-ATB"/>
      <sheetName val="ANTEK-PRIME"/>
      <sheetName val="ANTEK-TIMB"/>
      <sheetName val="BD-LS"/>
      <sheetName val="BIA-LUMPSUM"/>
      <sheetName val="CRUSER"/>
      <sheetName val="FINAL"/>
      <sheetName val="KEBALAT"/>
      <sheetName val="Div2"/>
      <sheetName val="6-AGREGAT"/>
      <sheetName val="STAF"/>
      <sheetName val="jpr"/>
      <sheetName val="Hitung"/>
      <sheetName val="Normalisasi"/>
      <sheetName val="Tgh JGC-Inv I clp"/>
      <sheetName val="PCS "/>
      <sheetName val="Progress Statement-SI"/>
      <sheetName val="Progress Payment-3110"/>
      <sheetName val="달력"/>
      <sheetName val="입찰안"/>
      <sheetName val="Consortium VP"/>
      <sheetName val="Summary MONTH"/>
      <sheetName val="DESICON SUM"/>
      <sheetName val="DES TCF Rental"/>
      <sheetName val="DES TCF Maints pers"/>
      <sheetName val="DES TCF Heavy Equipment"/>
      <sheetName val="EQUIPMENT"/>
      <sheetName val="SECURITY"/>
      <sheetName val="SERVICES"/>
      <sheetName val="BANK BOND"/>
      <sheetName val="PHC WAREHOUSE - INFOONLY"/>
      <sheetName val="VENDORS"/>
      <sheetName val="CATERING CONTROL"/>
      <sheetName val="SUB CONTRACT"/>
      <sheetName val="SPDC - INFONLY"/>
      <sheetName val="VENDOR SCHEDUL"/>
      <sheetName val="VENDOR PRESENCE - COMM"/>
      <sheetName val="VENDOR PRESENCE - RECH"/>
      <sheetName val="VENDOR PRESENCE - COMM "/>
      <sheetName val="CONTRACT RATES"/>
      <sheetName val="KUWATI(Total)_11"/>
      <sheetName val="집계표_(TOTAL)11"/>
      <sheetName val="집계표_(CIVIL-23)11"/>
      <sheetName val="집계표_(FGRU)11"/>
      <sheetName val="집계표_(25,26)11"/>
      <sheetName val="집계표_(MEROX)11"/>
      <sheetName val="집계표_(NITROGEN)11"/>
      <sheetName val="집계표_(M4)11"/>
      <sheetName val="집계표_(CIVIL4)11"/>
      <sheetName val="집계표_(CIVIL6)11"/>
      <sheetName val="집계표_(CIVIL7)11"/>
      <sheetName val="내역서(DEMO_TOTAL)11"/>
      <sheetName val="내역서_(CIVIL-23)11"/>
      <sheetName val="내역서_(fgru)11"/>
      <sheetName val="내역서_(25&amp;26)11"/>
      <sheetName val="내역서_(MEROX)11"/>
      <sheetName val="내역서_(NITROGEN)11"/>
      <sheetName val="내역서_(M4)11"/>
      <sheetName val="내역서_(CIVIL-4)11"/>
      <sheetName val="내역서_(CIVIL-6)11"/>
      <sheetName val="내역서_(CIVIL-7)11"/>
      <sheetName val="OPTION_211"/>
      <sheetName val="OPTION_311"/>
      <sheetName val="2002년_현장공사비_국내_실적11"/>
      <sheetName val="2003년국내현장공사비_실적11"/>
      <sheetName val="VC2_10_9911"/>
      <sheetName val="INPUT_DATA10"/>
      <sheetName val="집계표_(25,26ဩ10"/>
      <sheetName val="Form_D-19"/>
      <sheetName val="Form_B-19"/>
      <sheetName val="Form_F-19"/>
      <sheetName val="Form_A9"/>
      <sheetName val="Form_010"/>
      <sheetName val="입출재고현황_(2)9"/>
      <sheetName val="General_Data10"/>
      <sheetName val="LABOR_&amp;_자재9"/>
      <sheetName val="간접비_총괄9"/>
      <sheetName val="3_공통공사대비9"/>
      <sheetName val="Price_Schedule9"/>
      <sheetName val="Rate_Analysis9"/>
      <sheetName val="내역서_耰&quot;??9"/>
      <sheetName val="EQUIPMENT_-29"/>
      <sheetName val="CAL_9"/>
      <sheetName val="내역서_耰&quot;_x005f_x0000__x005f_x0000_8"/>
      <sheetName val="WEIGHT_LIST8"/>
      <sheetName val="산#2-1_(2)8"/>
      <sheetName val="BEND_LOSS8"/>
      <sheetName val="공사비_내역_(가)8"/>
      <sheetName val="6PILE__(돌출)8"/>
      <sheetName val="Man_Hole7"/>
      <sheetName val="Form_A_8"/>
      <sheetName val="단면_(2)8"/>
      <sheetName val="Static_Equip8"/>
      <sheetName val="3_Breakdown_Direct_Paint8"/>
      <sheetName val="WBS_447"/>
      <sheetName val="WBS_417"/>
      <sheetName val="Administrative_Prices7"/>
      <sheetName val="Precios_por_Administración7"/>
      <sheetName val="Precios_Unitarios7"/>
      <sheetName val="내역서_耰&quot;_x005f_x005f_x005f_x0000__x005f_x005f_x0007"/>
      <sheetName val="내역서_耰&quot;__9"/>
      <sheetName val="SFN_ORIG7"/>
      <sheetName val="Z-_GENERAL_PRICE_SUMMARY7"/>
      <sheetName val="_Estimate__7"/>
      <sheetName val="Updating_Form-Oct_20112"/>
      <sheetName val="Weld_Consumable2"/>
      <sheetName val="NDE_Cost-Summary2"/>
      <sheetName val="9July_Above_Ground_Pipe2"/>
      <sheetName val="Civil_18"/>
      <sheetName val="Civil_28"/>
      <sheetName val="Civil_38"/>
      <sheetName val="Site_18"/>
      <sheetName val="Site_28"/>
      <sheetName val="Site_38"/>
      <sheetName val="Site_Faci8"/>
      <sheetName val="Áý°èÇ¥_(TOTAL)7"/>
      <sheetName val="Áý°èÇ¥_(CIVIL-23)7"/>
      <sheetName val="Áý°èÇ¥_(FGRU)7"/>
      <sheetName val="Áý°èÇ¥_(25,26)7"/>
      <sheetName val="Áý°èÇ¥_(MEROX)7"/>
      <sheetName val="Áý°èÇ¥_(NITROGEN)7"/>
      <sheetName val="Áý°èÇ¥_(M4)7"/>
      <sheetName val="Áý°èÇ¥_(CIVIL4)7"/>
      <sheetName val="Áý°èÇ¥_(CIVIL6)7"/>
      <sheetName val="Áý°èÇ¥_(CIVIL7)7"/>
      <sheetName val="³»¿ª¼­(DEMO_TOTAL)7"/>
      <sheetName val="³»¿ª¼­_(CIVIL-23)7"/>
      <sheetName val="³»¿ª¼­_(fgru)7"/>
      <sheetName val="³»¿ª¼­_(25&amp;26)7"/>
      <sheetName val="³»¿ª¼­_(MEROX)7"/>
      <sheetName val="³»¿ª¼­_(NITROGEN)7"/>
      <sheetName val="³»¿ª¼­_(M4)7"/>
      <sheetName val="³»¿ª¼­_(CIVIL-4)7"/>
      <sheetName val="³»¿ª¼­_(CIVIL-6)7"/>
      <sheetName val="³»¿ª¼­_(CIVIL-7)7"/>
      <sheetName val="2002³â_ÇöÀå°ø»çºñ_±¹³»_½ÇÀû7"/>
      <sheetName val="2003³â±¹³»ÇöÀå°ø»çºñ_½ÇÀû7"/>
      <sheetName val="Summary_Sheets8"/>
      <sheetName val="2_2_STAFF_Scedule7"/>
      <sheetName val="내역서_耰&quot;_x005f_x005f_x005f_x005f_x005f_x005f_x00007"/>
      <sheetName val="Subcon_A7"/>
      <sheetName val="Sheet1_(2)8"/>
      <sheetName val="계측_내역서7"/>
      <sheetName val="7__월별투입내역서7"/>
      <sheetName val="T_37"/>
      <sheetName val="HORI__VESSEL7"/>
      <sheetName val="BM_DATA_SHEET8"/>
      <sheetName val="Vind_-_BtB7"/>
      <sheetName val="LV_induction_motors7"/>
      <sheetName val="BSD_(2)7"/>
      <sheetName val="내역서_耰&quot;_x005f_x005f_x005f_x005f_x005f_x005f_x005f7"/>
      <sheetName val="EQUIP_LIST7"/>
      <sheetName val="MP_MOB7"/>
      <sheetName val="Form_B7"/>
      <sheetName val="Tools_&amp;_Settings2"/>
      <sheetName val="Data_Summary2"/>
      <sheetName val="Crew_Costs2"/>
      <sheetName val="Spread_Costs2"/>
      <sheetName val="Unique_List_Misc2"/>
      <sheetName val="M_112"/>
      <sheetName val="Process_Data_(2)2"/>
      <sheetName val="Monthly_Load7"/>
      <sheetName val="Weekly_Load7"/>
      <sheetName val="97_사업추정(WEKI)7"/>
      <sheetName val="breakdown_of_wage_rate7"/>
      <sheetName val="Indirect_Cost7"/>
      <sheetName val="Eq__Mobilization7"/>
      <sheetName val="Material_Selections7"/>
      <sheetName val="[SANDAN_XLS??7"/>
      <sheetName val="Piping_BQ_for_one_turbine7"/>
      <sheetName val="Resource_table7"/>
      <sheetName val="Utility_and_Fire_flange7"/>
      <sheetName val="Equipment_List7"/>
      <sheetName val="Form1_SQP7"/>
      <sheetName val="공정계획(내부계획25%,내부w_f)7"/>
      <sheetName val="_SANDAN_XLS__7"/>
      <sheetName val="w't_table7"/>
      <sheetName val="Heavy_Equipments7"/>
      <sheetName val="AG_Pipe_Qty_Analysis7"/>
      <sheetName val="SCHEDD_TAMBAHAN7"/>
      <sheetName val="Fire_Protection7"/>
      <sheetName val="입찰내역_발주처_양식7"/>
      <sheetName val="실행예산_MM6"/>
      <sheetName val="FWBS_15306"/>
      <sheetName val="Dir_Manpower_Other_Exp_7"/>
      <sheetName val="BOQ-B_DOWN6"/>
      <sheetName val="내역서_(∮ἀ嘆ɶ6"/>
      <sheetName val="MODULE_CONFIRM6"/>
      <sheetName val="ITB_COST7"/>
      <sheetName val="단가_(2)6"/>
      <sheetName val="4-3LEVEL-5_epic_46"/>
      <sheetName val="PROTECTION_6"/>
      <sheetName val="Cash_In-Cash_Out_Actual6"/>
      <sheetName val="CUADRO_DE_PRECIOS6"/>
      <sheetName val="Process_Data_12"/>
      <sheetName val="내역서1999_8최종2"/>
      <sheetName val="plan&amp;section_of_foundation3"/>
      <sheetName val="working_load_at_the_btm_ft_3"/>
      <sheetName val="stability_check3"/>
      <sheetName val="design_load3"/>
      <sheetName val="TDC_COA_Sumry2"/>
      <sheetName val="TDC_Item_Dets2"/>
      <sheetName val="TDC_Item_Sumry2"/>
      <sheetName val="TDC_Key_Qty_Sumry2"/>
      <sheetName val="List_-_Components2"/>
      <sheetName val="List_-_Equipment2"/>
      <sheetName val="COA_Sumry_-_Std_Imp2"/>
      <sheetName val="Contr_TDC_-_Std_Imp2"/>
      <sheetName val="Item_Sumry_-_Std_Imp2"/>
      <sheetName val="Unit_Costs_-_Std_Imp2"/>
      <sheetName val="Unit_MH_-_Std_Imp2"/>
      <sheetName val="Proj_TIC_-_Std_Imp2"/>
      <sheetName val="1100-1200-1300-1910-2140-LEV_22"/>
      <sheetName val="Material_Price2"/>
      <sheetName val="Currency_Rate2"/>
      <sheetName val="Unit_Price_2"/>
      <sheetName val="4-Basic_Price2"/>
      <sheetName val="Evaluasi_Penw2"/>
      <sheetName val="Man_Power_&amp;_Comp2"/>
      <sheetName val="Data_List2"/>
      <sheetName val="Closeout_Control2"/>
      <sheetName val="Sum_(Case-3)2"/>
      <sheetName val="PROJECT_BRIEF2"/>
      <sheetName val="Site_Findings_Status_Sheet2"/>
      <sheetName val="내역서_耰&quot;_x005f_x005f_x005f_x0000_2"/>
      <sheetName val="내역서_耰&quot;_x005f_x005f_x005f_x005f_2"/>
      <sheetName val="내역서_耰&quot;_x005f_x0000__x00003"/>
      <sheetName val="Equip_Rental_Summary_by_Contr2"/>
      <sheetName val="Project_Equip_Rental_Summary2"/>
      <sheetName val="Contractor_Indirect_Sumry2"/>
      <sheetName val="Project_Indirect_Sumry2"/>
      <sheetName val="COA_Sumry_by_Area2"/>
      <sheetName val="COA_Sumry_by_Contr2"/>
      <sheetName val="COA_Sumry_by_RG2"/>
      <sheetName val="TDC_COA_Grp_Sumry2"/>
      <sheetName val="TDC_COA_Grp_Sumry_by_Area2"/>
      <sheetName val="TDC_COA_Grp_Sumry_by_RG2"/>
      <sheetName val="Equipment_Sumry2"/>
      <sheetName val="TDC_Item_Dets-Full2"/>
      <sheetName val="TDC_Item_Dets-IPM-Full2"/>
      <sheetName val="TDC_Item_Sumry_by_Area2"/>
      <sheetName val="TDC_Item_Sumry_by_RG2"/>
      <sheetName val="TDC_Key_Qty_Sumry_by_RG2"/>
      <sheetName val="List_-_Equipment_by_Area2"/>
      <sheetName val="List_-_Equipment_by_Contr2"/>
      <sheetName val="Equipment_-_Unit_Costs_by_Mat2"/>
      <sheetName val="List_-_Equipment_by_Rep_Grp2"/>
      <sheetName val="Craft_Summary_by_Contr2"/>
      <sheetName val="Project_Craft_Summary2"/>
      <sheetName val="Project_Metrics2"/>
      <sheetName val="99__FWBS(Ref)2"/>
      <sheetName val="99__Change_Rate2"/>
      <sheetName val="RAB_AR&amp;STR2"/>
      <sheetName val="할증_2"/>
      <sheetName val="2_Overall_Summary_1"/>
      <sheetName val="In-House_Summary2"/>
      <sheetName val="Pengesahan_2"/>
      <sheetName val="UP_MINOR2"/>
      <sheetName val="5_)_Time_Delays2"/>
      <sheetName val="Item_code2"/>
      <sheetName val="Unt_rate2"/>
      <sheetName val="Codes_Pers2"/>
      <sheetName val="Direct_PMS2"/>
      <sheetName val="__2"/>
      <sheetName val="_2"/>
      <sheetName val="SUMMARY_(0A)2"/>
      <sheetName val="SUMMARY_(1A)2"/>
      <sheetName val="SUMMARY_(1B)2"/>
      <sheetName val="SUMMARY_(03)2"/>
      <sheetName val="F1(Cable_Rack)2"/>
      <sheetName val="F2(Cable_Rack)2"/>
      <sheetName val="F3(Cable_Rack)2"/>
      <sheetName val="F1_(POLYMER)2"/>
      <sheetName val="F2_(POLYMER)2"/>
      <sheetName val="F3_(POLYMER)2"/>
      <sheetName val="F4_(POLYMER)2"/>
      <sheetName val="F5(_Polymerization_)2"/>
      <sheetName val="F6_(_Polymerization_)2"/>
      <sheetName val="B1_(Grid_A-7,_-6)2"/>
      <sheetName val="B1_(Grid_A,_B)2"/>
      <sheetName val="B1_(Grid_C-7,_-6)2"/>
      <sheetName val="B2_(Grid_-7_B,_C)_(1)2"/>
      <sheetName val="B2_(Grid_-7_B,_C)_(2)2"/>
      <sheetName val="B2_(Grid_-6_B,_C)_(1)2"/>
      <sheetName val="B2_(Grid_-6_B,_C)_(2)2"/>
      <sheetName val="F1_(MONOMER)2"/>
      <sheetName val="F2_(MONOMER)2"/>
      <sheetName val="F3_(MONOMER)2"/>
      <sheetName val="90K060C_(MONOMER)2"/>
      <sheetName val="F1_(EXTRUSION)2"/>
      <sheetName val="F2_(EXTRUSION)2"/>
      <sheetName val="F3_(EXTRUSION)2"/>
      <sheetName val="F4_(EXTRUSION)2"/>
      <sheetName val="F5_(EXTRUSION)2"/>
      <sheetName val="F6A_(EXTRUSION)2"/>
      <sheetName val="F6D_(EXTRUSION)2"/>
      <sheetName val="F7_(EXTRUSION)2"/>
      <sheetName val="F8_(EXTRUSION)2"/>
      <sheetName val="F9_(EXTRUSION)2"/>
      <sheetName val="F10_(EXTRUSION)2"/>
      <sheetName val="F11_(EXTRUSION)2"/>
      <sheetName val="B1_(Grid_F-5`,_4`)2"/>
      <sheetName val="B2_(Grid_F,E-4`)2"/>
      <sheetName val="B2_(Grid_F,E-5`)2"/>
      <sheetName val="B3_(Grid_C,B-4`)2"/>
      <sheetName val="B4_(Grid_B,A-4`)2"/>
      <sheetName val="B5_(Grid_E-5`)_&amp;_(Grid_D-5`)2"/>
      <sheetName val="B6_(Grid_E,D-5')2"/>
      <sheetName val="B7_(Grid_E,D-5')2"/>
      <sheetName val="95D040,_A5062"/>
      <sheetName val="95P040AB,_A5072"/>
      <sheetName val="95X020-U08,_A6022"/>
      <sheetName val="95X020-U07,_A6062"/>
      <sheetName val="95E040,_A5092"/>
      <sheetName val="95D024;025,_A6152"/>
      <sheetName val="95X020-U05,_A6012"/>
      <sheetName val="95X020-U02,_A2042"/>
      <sheetName val="Extruder_FDN2"/>
      <sheetName val="BOG_COMP__FDN2"/>
      <sheetName val="SOG_COMP__FDN2"/>
      <sheetName val="1G1_(Ground_Beam)2"/>
      <sheetName val="1G2-1(Ground_Beam)2"/>
      <sheetName val="1G2-2(Ground_Beam)2"/>
      <sheetName val="P15,_162"/>
      <sheetName val="LO_CONSOLE_FDN2"/>
      <sheetName val="OIL_COOLER_FDN2"/>
      <sheetName val="CW_CONSOLE_FDN_(SOG)2"/>
      <sheetName val="PD3_(SOG)2"/>
      <sheetName val="SF1_(SOG)2"/>
      <sheetName val="SF2_(SOG)2"/>
      <sheetName val="SLAB_(1S1-1)2"/>
      <sheetName val="SLAB_(1S1-2)2"/>
      <sheetName val="SLAB_(1S1-3)2"/>
      <sheetName val="COLUMN_(+5500)2"/>
      <sheetName val="COLUMN_(+12500)2"/>
      <sheetName val="COLUMN_(+15500)2"/>
      <sheetName val="ETC_2"/>
      <sheetName val="breakdown_of_wage_ra`f1"/>
      <sheetName val="breakdown_of_wage_ra1"/>
      <sheetName val="breakdown_of_wage_rað-1"/>
      <sheetName val="00-Summary_Information-ABB1"/>
      <sheetName val="0__Resource　Code1"/>
      <sheetName val="Ocean_Transporation_Charge2"/>
      <sheetName val="Discounted_Cash_Flow2"/>
      <sheetName val="Cash_Flow_bulanan2"/>
      <sheetName val="H_Satuan2"/>
      <sheetName val="breakdown_of_wage_rap1"/>
      <sheetName val="BO䁑-B_䁄OWN2"/>
      <sheetName val="breakdown_of_wage_ra1"/>
      <sheetName val="Material_code1"/>
      <sheetName val="Aux_2"/>
      <sheetName val="OCT_FDN2"/>
      <sheetName val="Exchange_Rate2"/>
      <sheetName val="DATA_MENTAH1"/>
      <sheetName val="General_Notes2"/>
      <sheetName val="PABS,Site_info1"/>
      <sheetName val="Bill_rekap2"/>
      <sheetName val="Harga_Satuan2"/>
      <sheetName val="F_ALARM2"/>
      <sheetName val="HO_Site_Rates-20111"/>
      <sheetName val="Raw_data1"/>
      <sheetName val="2__현장_자금투입_집계표2"/>
      <sheetName val="_도면_및_도서_제출목록_및_일정_170202_xlsx2"/>
      <sheetName val="Rates_&amp;_Legend2"/>
      <sheetName val="내역서_耰&quot;_x005f_x0000_2"/>
      <sheetName val="내역서_耰&quot;_x005f_x005f_2"/>
      <sheetName val="내역서_耰&quot;_1"/>
      <sheetName val="Distribution_Table1"/>
      <sheetName val="차트_(2)2"/>
      <sheetName val="DROP_DOWN1"/>
      <sheetName val="Linelist_LNGC_Process1"/>
      <sheetName val="Action_Item1"/>
      <sheetName val="ID_CD1"/>
      <sheetName val="Equipment_Spec_List1"/>
      <sheetName val="내역서_(N____x000a_2"/>
      <sheetName val="개시대사_(2)1"/>
      <sheetName val="SPEC_LIST(EQUP,_SYS)1"/>
      <sheetName val="Air_Cooler-E1"/>
      <sheetName val="Al_Taweelah1"/>
      <sheetName val="Particular_Sch1"/>
      <sheetName val="Linelist_LNGC_Process"/>
      <sheetName val="Graph"/>
      <sheetName val="MC-1"/>
      <sheetName val="Tables 3.1 to 3.5 EXH G"/>
      <sheetName val="SPEC(RECEPTACLE)"/>
      <sheetName val="SPEC(CABLE &amp; WIRE)"/>
      <sheetName val="Att-1 CTCI MH rate"/>
      <sheetName val="LOADDAT"/>
      <sheetName val="Perm. Test"/>
      <sheetName val="Galian 1"/>
      <sheetName val="Analisa-Harga"/>
      <sheetName val="Analisa Lump sum"/>
      <sheetName val="data-pendukung"/>
      <sheetName val="CH-RANC"/>
      <sheetName val="351BQMCN"/>
      <sheetName val="rap"/>
      <sheetName val="As"/>
      <sheetName val="Sec I ML"/>
      <sheetName val="35"/>
      <sheetName val="37"/>
      <sheetName val="64.4"/>
      <sheetName val="64.5"/>
      <sheetName val="22"/>
      <sheetName val="36.2"/>
      <sheetName val="36.1"/>
      <sheetName val="RESUMEN CD"/>
      <sheetName val="BOQ REV6"/>
      <sheetName val="QUANTITIES"/>
      <sheetName val="NAV000"/>
      <sheetName val="Maliyet Ozet"/>
      <sheetName val="USD"/>
      <sheetName val="OZET"/>
      <sheetName val="1.1-1.2"/>
      <sheetName val="1.3- 1.4"/>
      <sheetName val="2"/>
      <sheetName val="3.1"/>
      <sheetName val="3.2"/>
      <sheetName val="4.1(a)"/>
      <sheetName val="4.1(b)"/>
      <sheetName val="4.1.(c)"/>
      <sheetName val="5.1"/>
      <sheetName val="Kuwaitisation"/>
      <sheetName val="Depreciation"/>
      <sheetName val="Validation"/>
      <sheetName val="1.자금요약"/>
      <sheetName val="2.실행비투입"/>
      <sheetName val="3.본사집계"/>
      <sheetName val="3-1.본사투입"/>
      <sheetName val="4.지사집계"/>
      <sheetName val="4-1.지사투입"/>
      <sheetName val="5.현장총집계"/>
      <sheetName val="5-1.현금집계"/>
      <sheetName val="5-2.현금출납"/>
      <sheetName val="5-3.외상집계"/>
      <sheetName val="5-4.외상투입"/>
      <sheetName val="6.미지급금"/>
      <sheetName val="5-5.기타공제집계"/>
      <sheetName val="5-6.기타공제"/>
      <sheetName val="7.기성현황(실)"/>
      <sheetName val="8.한국인수당"/>
      <sheetName val="8.한국인수당 (Master file)"/>
      <sheetName val="9.기타수입"/>
      <sheetName val="10.투입집계"/>
      <sheetName val="(참고)CashFlow"/>
      <sheetName val="(참고)기성대투입"/>
      <sheetName val="(참고)기타공제"/>
      <sheetName val="(참고)미지급금"/>
      <sheetName val="5-4.외상투입 (2)"/>
      <sheetName val="16.기성현황(예)"/>
      <sheetName val="17.자금요약2"/>
      <sheetName val="18.실행대비투입2"/>
      <sheetName val="설명서"/>
      <sheetName val="내역서_(N___ 1"/>
      <sheetName val="6.공정표"/>
      <sheetName val="Har_mat"/>
      <sheetName val="chitimc"/>
      <sheetName val="dongia (2)"/>
      <sheetName val="LKVL-CK-HT-GD1"/>
      <sheetName val="주차구획선수량"/>
      <sheetName val="本体取纏"/>
      <sheetName val="鉄骨纏め"/>
      <sheetName val="34"/>
      <sheetName val="TQ_Format1"/>
      <sheetName val="11_자재단가"/>
      <sheetName val="내역서_(N____1"/>
      <sheetName val="__x1"/>
      <sheetName val="Weekl_x000"/>
      <sheetName val="내역서_(N _x00"/>
      <sheetName val="LIFE_&amp;_REP_PROVN"/>
      <sheetName val="O&amp;M_CREW"/>
      <sheetName val="내역서_(N__x00"/>
      <sheetName val="Cashflow_Analysis"/>
      <sheetName val="breakdown_of_wage_raÐ¾1"/>
      <sheetName val="Additional_data1"/>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Attach_4-18"/>
      <sheetName val="INPUT_DATA_OF_SCHEDULE"/>
      <sheetName val="OIL_SEPARATOR"/>
      <sheetName val="CATCH_BASIN"/>
      <sheetName val="FW_Post_Indicator_Valve_24&quot;"/>
      <sheetName val="FW_Post_Indicator_Valve_20&quot;"/>
      <sheetName val="FW_Post_Indicator_Valve_6&quot;"/>
      <sheetName val="Fire_Monitor_or_Hydrant_6&quot;_FDN"/>
      <sheetName val="SUMP_VB"/>
      <sheetName val="CLEANOUT_4&quot;"/>
      <sheetName val="Not_reqd"/>
      <sheetName val="호환성_보고서"/>
      <sheetName val="Finansal_tamamlanma_Eğrisi"/>
      <sheetName val="Master_List"/>
      <sheetName val="Activity_Form"/>
      <sheetName val="내역서_(∮ἀ嘆ɶ?᠀㬁?"/>
      <sheetName val="내역서_ᢐ"/>
      <sheetName val="33628-Rev__A"/>
      <sheetName val="Admin_Manu_2-Equipment_Type_ID"/>
      <sheetName val="14-Eng_rate"/>
      <sheetName val="리스크_분류체계"/>
      <sheetName val="Itembalance_Report_(18-sep-18)"/>
      <sheetName val="BUDGET_SUMMARY_"/>
      <sheetName val="NP"/>
      <sheetName val="Enron Form"/>
      <sheetName val="表三甲"/>
      <sheetName val="合成単価作成表_BLDG"/>
      <sheetName val="회사99"/>
      <sheetName val="SUMMARY MTO_02.2.35"/>
      <sheetName val="N.G METERING CALC."/>
      <sheetName val="N.G METERING"/>
      <sheetName val="N.G METERING (2)"/>
      <sheetName val="summary(order)"/>
      <sheetName val="CUMENE METERING"/>
      <sheetName val="N2 METERING "/>
      <sheetName val="H2 METERING  "/>
      <sheetName val="MS-5101"/>
      <sheetName val="MS-5401"/>
      <sheetName val="MS-5102"/>
      <sheetName val="CO METERING"/>
      <sheetName val="L-5301"/>
      <sheetName val="7-2"/>
      <sheetName val="Folha1"/>
      <sheetName val="SPT vs PHI"/>
      <sheetName val="품의서(지출)"/>
      <sheetName val="Offer"/>
      <sheetName val="TR Rev vs Commit"/>
      <sheetName val="TR +MMHE PL report"/>
      <sheetName val="P23P2724 _ Commitment "/>
      <sheetName val="FAB별"/>
      <sheetName val="สรุปยอดเหล็กตาม Cost Record VY "/>
      <sheetName val="แนบ PR"/>
      <sheetName val="OR21 Final Forecast Rev.2"/>
      <sheetName val="Summary Forecast Budget 1&amp;2"/>
      <sheetName val="Summary Forecast Budget Rev 2"/>
      <sheetName val="Backup OR21 "/>
      <sheetName val="Budget for ENT"/>
      <sheetName val="ADJ. D-Wall&amp;BR Ent. Rev.2.1"/>
      <sheetName val="Rebar+Conพื้น Waste10%"/>
      <sheetName val="Backup D-Wall Ent. 13.07.19"/>
      <sheetName val="Backup BR.ENT. 13.07.19"/>
      <sheetName val="Final Forecast 72111"/>
      <sheetName val="IMP OR21 2019.07.11"/>
      <sheetName val="Concrete 72112"/>
      <sheetName val="หินเกล็ด "/>
      <sheetName val="เปรียบเทียบBudget BR."/>
      <sheetName val="ADJ. BR Ent. Rev.2.1 (2)"/>
      <sheetName val="แผนงานBarrette Pile"/>
      <sheetName val="BOQ  VI 03.09.19 "/>
      <sheetName val="Backup BR.BMA"/>
      <sheetName val="Sum Budget&amp;Rev.1"/>
      <sheetName val="Sum Budget Rev.1"/>
      <sheetName val="Sum Budget&amp;Rev.1_Rebar"/>
      <sheetName val="Sum Budget Rev 2_Rebar"/>
      <sheetName val="Rebar+Conพื้น Waste10% Rev.00"/>
      <sheetName val="Rebar+Conพื้น Waste10% Rev.01 "/>
      <sheetName val="Equip Rev.00 Budget"/>
      <sheetName val="Budget Waterpoofing"/>
      <sheetName val="สรุปราคา"/>
      <sheetName val="Bill 4.7 Predestain Bridge "/>
      <sheetName val="Bill 4.7 Predestain"/>
      <sheetName val="1.1 FT type 1"/>
      <sheetName val="1.2 FT type 1A"/>
      <sheetName val="1.3 FT type 2"/>
      <sheetName val="1.4 FT type 3"/>
      <sheetName val="1.5 FT type 4"/>
      <sheetName val="2.1 CL Outside"/>
      <sheetName val="2.2 CL Inside"/>
      <sheetName val="2.3 CL Ramp"/>
      <sheetName val="3.1 CB Outside"/>
      <sheetName val="3.2 CB Inside"/>
      <sheetName val="4.Stair"/>
      <sheetName val="5.Ramp"/>
      <sheetName val="6.Handrail"/>
      <sheetName val="Invoice (Interim No.28)"/>
      <sheetName val="Cost Summary"/>
      <sheetName val="Direct Cost"/>
      <sheetName val="Direct Cost (2)"/>
      <sheetName val="Summary (3)"/>
      <sheetName val="Indirect Cost Summary"/>
      <sheetName val="최종(1)사용"/>
      <sheetName val="Payment Certificate-1"/>
      <sheetName val="PCL-1"/>
      <sheetName val="Floor wet"/>
      <sheetName val="Floor Balcony"/>
      <sheetName val="Hard scape Floor"/>
      <sheetName val="P03 Skirting"/>
      <sheetName val="GF wall"/>
      <sheetName val="Kitchen Wall wet LIN-701"/>
      <sheetName val="Wall wet LIN-601 "/>
      <sheetName val="BOQ (2)"/>
      <sheetName val="Kitchen"/>
      <sheetName val="VO Schedule-1"/>
      <sheetName val="Fly-1"/>
      <sheetName val="HOLD AMOUNT"/>
      <sheetName val="Back Charge (2)"/>
      <sheetName val="Penalties-1"/>
      <sheetName val="Temporary Deductions-1 "/>
      <sheetName val="Contracharges Check list-1 "/>
      <sheetName val="PC 03"/>
      <sheetName val="Sheet7"/>
      <sheetName val="Measurement sheet"/>
      <sheetName val="Material Only"/>
      <sheetName val="Man power supply"/>
      <sheetName val="Camp Deduction"/>
      <sheetName val="05. Curva S"/>
      <sheetName val="CCL"/>
      <sheetName val="공통부대비"/>
      <sheetName val="PI-18031-M3-BOQ"/>
      <sheetName val="Void"/>
      <sheetName val="05__Curva_S"/>
      <sheetName val="Other data"/>
      <sheetName val="MOD-MOI-DOT"/>
      <sheetName val="Budget"/>
      <sheetName val="F&amp;C"/>
      <sheetName val="EQUI-CONS"/>
      <sheetName val="PROGRAM"/>
      <sheetName val="CASHFLOW"/>
      <sheetName val="DATASHT"/>
      <sheetName val="Up"/>
      <sheetName val="부재치수입력"/>
      <sheetName val="OPT_x0012__x0010_"/>
      <sheetName val="Vehicle Log"/>
      <sheetName val="내역서_耰&quot;_x0006"/>
      <sheetName val="내역서_耰&quot;8"/>
      <sheetName val="내역서_耰&quot;_x00006"/>
      <sheetName val="내역서_耰&quot;_x005f6"/>
      <sheetName val="내역서_耰&quot;_x005f_x0000__x0007"/>
      <sheetName val="내역서_耰&quot;_x005f_x005f_x00007"/>
      <sheetName val="내역서_耰&quot;_x005f_x005f_x005f7"/>
      <sheetName val="내역서_耰&quot;_2"/>
      <sheetName val="당초_∸ἀ"/>
      <sheetName val="내역서 (∮ἀ嘆ɶ_᠀㬁_"/>
      <sheetName val="내역서_(∮ἀ嘆ɶ_᠀㬁_"/>
      <sheetName val="M&amp;E Summary"/>
      <sheetName val="rev summary"/>
      <sheetName val="M&amp;E Prelims"/>
      <sheetName val="A-ELECT&amp;ELV"/>
      <sheetName val="B-FP (2)"/>
      <sheetName val="C-ACMV"/>
      <sheetName val="D-P&amp;S"/>
      <sheetName val="Sch.6"/>
      <sheetName val="equiplist"/>
      <sheetName val="Sch.1"/>
      <sheetName val="재공품기초자료"/>
      <sheetName val="하치장수불부"/>
      <sheetName val="산수배수"/>
      <sheetName val="손익합산"/>
      <sheetName val="5. Work load(현재원기준)"/>
      <sheetName val="MEMBER"/>
      <sheetName val="SoW"/>
      <sheetName val="A. ENGINEERING"/>
      <sheetName val="B-1. 배관자재"/>
      <sheetName val="B-2. 전기자재"/>
      <sheetName val="B-3. 계장자재"/>
      <sheetName val="B-4. 기계자재"/>
      <sheetName val="C-1. 공통가설"/>
      <sheetName val="C-2. 토목"/>
      <sheetName val="C-4. 철골"/>
      <sheetName val="C-5. 기계"/>
      <sheetName val="C-6. 배관"/>
      <sheetName val="C-7. 전기"/>
      <sheetName val="C-8. 계장"/>
      <sheetName val="C-9. 중장비"/>
      <sheetName val="C-10. 소방설비"/>
      <sheetName val="C-11. 보온"/>
      <sheetName val="C-12. CMS"/>
      <sheetName val="Lookup"/>
      <sheetName val="RefG"/>
      <sheetName val="IRR sponsor"/>
      <sheetName val="4-Lane bridge"/>
      <sheetName val="6BPRO"/>
      <sheetName val="2013电气概算 价目表 (营改增调整)"/>
      <sheetName val="06定额"/>
      <sheetName val="TESİSAT"/>
      <sheetName val="1.11.b"/>
      <sheetName val="금융비용"/>
      <sheetName val="을지"/>
      <sheetName val="BazaEL"/>
      <sheetName val="eqpmad2"/>
      <sheetName val="Insulation_Utl_Off"/>
      <sheetName val="Note_Piping"/>
      <sheetName val="List Equip"/>
      <sheetName val="MatCost"/>
      <sheetName val="Concrete"/>
      <sheetName val="Process C (1-166)"/>
      <sheetName val="TRUCK HAUL CYCLE-waste"/>
      <sheetName val="Existing PC Pavement"/>
      <sheetName val="Subgrade"/>
      <sheetName val="GAE8'97"/>
      <sheetName val="LLEGADA"/>
      <sheetName val="DESBASTE"/>
      <sheetName val="Cash-Flow"/>
      <sheetName val="Master Data"/>
      <sheetName val="ind'l cp"/>
      <sheetName val="coutprod"/>
      <sheetName val="LAST UPDATE"/>
      <sheetName val="author_spending"/>
      <sheetName val="0.품의서(전체)"/>
      <sheetName val="3.부제O호표"/>
      <sheetName val="5.소모재료비"/>
      <sheetName val="8.시멘트제원표"/>
      <sheetName val="2.품제O호표"/>
      <sheetName val="FitOutConfCentre"/>
      <sheetName val="광통신_견적내역서1"/>
      <sheetName val="변수데이타"/>
      <sheetName val="Settings"/>
      <sheetName val="입고대장"/>
      <sheetName val="SK-정비동"/>
      <sheetName val="본부 SHOP"/>
      <sheetName val="사업부"/>
      <sheetName val="로디아"/>
      <sheetName val="#6 MDU 일반"/>
      <sheetName val="#6 MDU엄반장"/>
      <sheetName val="FCC일상"/>
      <sheetName val="오만기계배관"/>
      <sheetName val="#6MDU 기계"/>
      <sheetName val="SK동력"/>
      <sheetName val="SOHAR철골"/>
      <sheetName val="HOU COMP`"/>
      <sheetName val="태국ATC"/>
      <sheetName val="FCC OBL-SHOP"/>
      <sheetName val="NEW FCC OBL"/>
      <sheetName val="#4 MDU"/>
      <sheetName val="#6 SHOP"/>
      <sheetName val="NRC OBL-조연식"/>
      <sheetName val="PE합성"/>
      <sheetName val="GDS"/>
      <sheetName val="광양복합"/>
      <sheetName val="광양-신철균"/>
      <sheetName val="광양-조연식 반장"/>
      <sheetName val="25BL"/>
      <sheetName val="#5MDU REV"/>
      <sheetName val="육상시설"/>
      <sheetName val="EPDM재가동"/>
      <sheetName val="쿠웨이트"/>
      <sheetName val="노임정리"/>
      <sheetName val="인원"/>
      <sheetName val="인원(8월)"/>
      <sheetName val="직영"/>
      <sheetName val="일반"/>
      <sheetName val="비계"/>
      <sheetName val="비계(조은)"/>
      <sheetName val="비계(영동)"/>
      <sheetName val="배관"/>
      <sheetName val="제관"/>
      <sheetName val="배관LBO"/>
      <sheetName val="TD"/>
      <sheetName val="열교"/>
      <sheetName val="열비"/>
      <sheetName val="BLC"/>
      <sheetName val="토목"/>
      <sheetName val="LBO PROJECT"/>
      <sheetName val="PEL"/>
      <sheetName val="유형분류"/>
      <sheetName val="VENDOR LIST"/>
      <sheetName val="공통비"/>
      <sheetName val="BOP LINE LIST"/>
      <sheetName val="매출관리"/>
      <sheetName val="절단표"/>
      <sheetName val="Map"/>
      <sheetName val="Sheet307"/>
      <sheetName val="Sheet358"/>
      <sheetName val="Sheet359"/>
      <sheetName val="Sheet360"/>
      <sheetName val="Sheet361"/>
      <sheetName val="Sheet362"/>
      <sheetName val="Sheet363"/>
      <sheetName val="Sheet364"/>
      <sheetName val="Sheet365"/>
      <sheetName val="Sheet366"/>
      <sheetName val="Sheet367"/>
      <sheetName val="Sheet368"/>
      <sheetName val="Sheet369"/>
      <sheetName val="Sheet370"/>
      <sheetName val="Sheet371"/>
      <sheetName val="Sheet372"/>
      <sheetName val="Sheet373"/>
      <sheetName val="304-06"/>
      <sheetName val="name"/>
      <sheetName val="tblg denda"/>
      <sheetName val="F1.4"/>
      <sheetName val="Manpower Categories"/>
      <sheetName val="InD Mpower"/>
      <sheetName val="CodeSheet"/>
      <sheetName val="CodeSheet(신2)"/>
      <sheetName val="내역서(실행)"/>
      <sheetName val="Equipt Rental"/>
      <sheetName val="CFA"/>
      <sheetName val="EQ"/>
      <sheetName val="EQ USED (CORRECTED)"/>
      <sheetName val="CERTIFICATE"/>
      <sheetName val="Rebar Constant"/>
      <sheetName val="CONCRETE TYPE"/>
      <sheetName val="기준표"/>
      <sheetName val="Welder"/>
      <sheetName val="MASTER_RATE ANALYSIS"/>
      <sheetName val="Intro"/>
      <sheetName val="CASHFLOWS"/>
      <sheetName val="MN T.B."/>
      <sheetName val="Headings"/>
      <sheetName val="INDIGINEOUS ITEMS "/>
      <sheetName val="Core Data"/>
      <sheetName val="final abstract"/>
      <sheetName val="Option"/>
      <sheetName val="실행대비"/>
      <sheetName val="Sheet"/>
      <sheetName val="Statprod gab"/>
      <sheetName val="L 1"/>
      <sheetName val="External Issues"/>
      <sheetName val="BSD_᯷㧓"/>
      <sheetName val="Tender_data"/>
      <sheetName val="Scheme_Area_Details_Block___C2"/>
      <sheetName val="Cash_Flow"/>
      <sheetName val="5__월별투입내역서"/>
      <sheetName val="GM_000"/>
      <sheetName val="1_설계기준"/>
      <sheetName val="일위대가_"/>
      <sheetName val="Equip_Mstr"/>
      <sheetName val="Costing"/>
      <sheetName val="Equip_Mstr FOR 3A1"/>
      <sheetName val="예정(3)"/>
      <sheetName val="PIPE"/>
      <sheetName val="기초견적가"/>
      <sheetName val="TANK"/>
      <sheetName val="SG"/>
      <sheetName val="포장복구집계"/>
      <sheetName val="간선계산"/>
      <sheetName val="AS복구"/>
      <sheetName val="2000년1차"/>
      <sheetName val="DATE"/>
      <sheetName val="ITEM"/>
      <sheetName val="일반공사"/>
      <sheetName val="터널조도"/>
      <sheetName val="노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총괄내역서"/>
      <sheetName val="변수값"/>
      <sheetName val="청천내"/>
      <sheetName val="요율"/>
      <sheetName val="2공구하도급내역서"/>
      <sheetName val="기계경비(시간당)"/>
      <sheetName val="시설물"/>
      <sheetName val="연결임시"/>
      <sheetName val="구조물공"/>
      <sheetName val="부대tu"/>
      <sheetName val="중기조종사 단위단가"/>
      <sheetName val="9509"/>
      <sheetName val="투찰추정"/>
      <sheetName val="하부철근수량"/>
      <sheetName val="JUCKEYK"/>
      <sheetName val="식재출력용"/>
      <sheetName val="부대공"/>
      <sheetName val="가로등내역서"/>
      <sheetName val="램머"/>
      <sheetName val="저"/>
      <sheetName val="Baby일위대가"/>
      <sheetName val="45,46"/>
      <sheetName val="노무비"/>
      <sheetName val="지급자재"/>
      <sheetName val="노무비단가"/>
      <sheetName val="관리,공감"/>
      <sheetName val="입찰"/>
      <sheetName val="원가계산서"/>
      <sheetName val="산출내역서"/>
      <sheetName val="4차원가계산서"/>
      <sheetName val="중기상차"/>
      <sheetName val="단가결정"/>
      <sheetName val="유지관리"/>
      <sheetName val="단가산출"/>
      <sheetName val="9GNG운반"/>
      <sheetName val="내역아"/>
      <sheetName val="원가서"/>
      <sheetName val="여과지동"/>
      <sheetName val="울타리"/>
      <sheetName val="기초자료"/>
      <sheetName val="자재대"/>
      <sheetName val="조명율표"/>
      <sheetName val="재료"/>
      <sheetName val="200"/>
      <sheetName val="공정코드"/>
      <sheetName val="토공"/>
      <sheetName val="총괄-1"/>
      <sheetName val="도급"/>
      <sheetName val="포장공"/>
      <sheetName val="설 계"/>
      <sheetName val="현경"/>
      <sheetName val="소야공정계획표"/>
      <sheetName val="5.Cennik"/>
      <sheetName val="5_Cennik"/>
      <sheetName val="Powierzchnie"/>
      <sheetName val=" 토목 처리장도급내역서 "/>
      <sheetName val="Garph Work-Cost"/>
      <sheetName val="Order_Summary"/>
      <sheetName val="Order_Summary_New"/>
      <sheetName val="Insulation 150108"/>
      <sheetName val="Sheet 14"/>
      <sheetName val="동상부 Tact 기준 반입일정 및 수량_0217"/>
      <sheetName val="견적의뢰"/>
      <sheetName val="영동(D)"/>
      <sheetName val="Tubing"/>
      <sheetName val="대비"/>
      <sheetName val="경영상태"/>
      <sheetName val="MOTORDATA"/>
      <sheetName val="구매DWG-정산용"/>
      <sheetName val="Analisa_Fave"/>
      <sheetName val="Harsat_Bahan"/>
      <sheetName val="Harsat_Subkon"/>
      <sheetName val="Harsat_Upah"/>
      <sheetName val="Agregat_Halus_&amp;_Kasar"/>
      <sheetName val="Master_1_0"/>
      <sheetName val="HARGA_MATERIAL"/>
      <sheetName val="Harga_Sat_APP"/>
      <sheetName val="Rekap Biaya"/>
      <sheetName val="Kuantitas &amp; Harga"/>
      <sheetName val="Nopember (2)"/>
      <sheetName val="Nopember"/>
      <sheetName val="GRAND REKAP"/>
      <sheetName val="HARSAT"/>
      <sheetName val="analisa (2)"/>
      <sheetName val="HargaDasar"/>
      <sheetName val="D-4-Struktur"/>
      <sheetName val="Analisa 2"/>
      <sheetName val="tblg_denda"/>
      <sheetName val="LRK "/>
      <sheetName val="Units"/>
      <sheetName val="Chap 2- Page 4 "/>
      <sheetName val="Instrumentation&amp;Automation"/>
      <sheetName val="SD_Trains_2019"/>
      <sheetName val="내역서_(N__x001"/>
      <sheetName val="KUWATI(Total)_12"/>
      <sheetName val="집계표_(TOTAL)12"/>
      <sheetName val="집계표_(CIVIL-23)12"/>
      <sheetName val="집계표_(FGRU)12"/>
      <sheetName val="집계표_(25,26)12"/>
      <sheetName val="집계표_(MEROX)12"/>
      <sheetName val="집계표_(NITROGEN)12"/>
      <sheetName val="집계표_(M4)12"/>
      <sheetName val="집계표_(CIVIL4)12"/>
      <sheetName val="집계표_(CIVIL6)12"/>
      <sheetName val="집계표_(CIVIL7)12"/>
      <sheetName val="내역서(DEMO_TOTAL)12"/>
      <sheetName val="내역서_(CIVIL-23)12"/>
      <sheetName val="내역서_(fgru)12"/>
      <sheetName val="내역서_(25&amp;26)12"/>
      <sheetName val="내역서_(MEROX)12"/>
      <sheetName val="내역서_(NITROGEN)12"/>
      <sheetName val="내역서_(M4)12"/>
      <sheetName val="내역서_(CIVIL-4)12"/>
      <sheetName val="내역서_(CIVIL-6)12"/>
      <sheetName val="내역서_(CIVIL-7)12"/>
      <sheetName val="OPTION_212"/>
      <sheetName val="OPTION_312"/>
      <sheetName val="2002년_현장공사비_국내_실적12"/>
      <sheetName val="2003년국내현장공사비_실적12"/>
      <sheetName val="VC2_10_9912"/>
      <sheetName val="INPUT_DATA11"/>
      <sheetName val="집계표_(25,26ဩ11"/>
      <sheetName val="Form_D-110"/>
      <sheetName val="Form_B-110"/>
      <sheetName val="Form_F-110"/>
      <sheetName val="Form_A10"/>
      <sheetName val="Form_011"/>
      <sheetName val="General_Data11"/>
      <sheetName val="LABOR_&amp;_자재10"/>
      <sheetName val="입출재고현황_(2)10"/>
      <sheetName val="Price_Schedule10"/>
      <sheetName val="간접비_총괄10"/>
      <sheetName val="3_공통공사대비10"/>
      <sheetName val="Rate_Analysis10"/>
      <sheetName val="내역서_耰&quot;??10"/>
      <sheetName val="EQUIPMENT_-210"/>
      <sheetName val="CAL_10"/>
      <sheetName val="공사비_내역_(가)9"/>
      <sheetName val="WEIGHT_LIST9"/>
      <sheetName val="산#2-1_(2)9"/>
      <sheetName val="BEND_LOSS9"/>
      <sheetName val="단면_(2)9"/>
      <sheetName val="6PILE__(돌출)9"/>
      <sheetName val="Static_Equip9"/>
      <sheetName val="Form_A_9"/>
      <sheetName val="내역서_耰&quot;_x005f_x0000__x005f_x0000_9"/>
      <sheetName val="3_Breakdown_Direct_Paint9"/>
      <sheetName val="내역서_耰&quot;__10"/>
      <sheetName val="Summary_Sheets9"/>
      <sheetName val="Civil_19"/>
      <sheetName val="Civil_29"/>
      <sheetName val="Civil_39"/>
      <sheetName val="Site_19"/>
      <sheetName val="Site_29"/>
      <sheetName val="Site_39"/>
      <sheetName val="Site_Faci9"/>
      <sheetName val="Administrative_Prices8"/>
      <sheetName val="WBS_448"/>
      <sheetName val="WBS_418"/>
      <sheetName val="Precios_por_Administración8"/>
      <sheetName val="Precios_Unitarios8"/>
      <sheetName val="Subcon_A8"/>
      <sheetName val="Áý°èÇ¥_(TOTAL)8"/>
      <sheetName val="Áý°èÇ¥_(CIVIL-23)8"/>
      <sheetName val="Áý°èÇ¥_(FGRU)8"/>
      <sheetName val="Áý°èÇ¥_(25,26)8"/>
      <sheetName val="Áý°èÇ¥_(MEROX)8"/>
      <sheetName val="Áý°èÇ¥_(NITROGEN)8"/>
      <sheetName val="Áý°èÇ¥_(M4)8"/>
      <sheetName val="Áý°èÇ¥_(CIVIL4)8"/>
      <sheetName val="Áý°èÇ¥_(CIVIL6)8"/>
      <sheetName val="Áý°èÇ¥_(CIVIL7)8"/>
      <sheetName val="³»¿ª¼­(DEMO_TOTAL)8"/>
      <sheetName val="³»¿ª¼­_(CIVIL-23)8"/>
      <sheetName val="³»¿ª¼­_(fgru)8"/>
      <sheetName val="³»¿ª¼­_(25&amp;26)8"/>
      <sheetName val="³»¿ª¼­_(MEROX)8"/>
      <sheetName val="³»¿ª¼­_(NITROGEN)8"/>
      <sheetName val="³»¿ª¼­_(M4)8"/>
      <sheetName val="³»¿ª¼­_(CIVIL-4)8"/>
      <sheetName val="³»¿ª¼­_(CIVIL-6)8"/>
      <sheetName val="³»¿ª¼­_(CIVIL-7)8"/>
      <sheetName val="2002³â_ÇöÀå°ø»çºñ_±¹³»_½ÇÀû8"/>
      <sheetName val="2003³â±¹³»ÇöÀå°ø»çºñ_½ÇÀû8"/>
      <sheetName val="Man_Hole8"/>
      <sheetName val="2_2_STAFF_Scedule8"/>
      <sheetName val="내역서_耰&quot;_x005f_x005f_x005f_x0000__x005f_x005f_x0008"/>
      <sheetName val="내역서_耰&quot;_x005f_x005f_x005f_x005f_x005f_x005f_x00008"/>
      <sheetName val="Z-_GENERAL_PRICE_SUMMARY8"/>
      <sheetName val="_Estimate__8"/>
      <sheetName val="내역서_耰&quot;_x005f_x005f_x005f_x005f_x005f_x005f_x005f8"/>
      <sheetName val="7__월별투입내역서8"/>
      <sheetName val="계측_내역서8"/>
      <sheetName val="Vind_-_BtB8"/>
      <sheetName val="LV_induction_motors8"/>
      <sheetName val="BSD_(2)8"/>
      <sheetName val="BM_DATA_SHEET9"/>
      <sheetName val="Sheet1_(2)9"/>
      <sheetName val="T_38"/>
      <sheetName val="HORI__VESSEL8"/>
      <sheetName val="EQUIP_LIST8"/>
      <sheetName val="MP_MOB8"/>
      <sheetName val="Form_B8"/>
      <sheetName val="97_사업추정(WEKI)8"/>
      <sheetName val="breakdown_of_wage_rate8"/>
      <sheetName val="Monthly_Load8"/>
      <sheetName val="Material_Selections8"/>
      <sheetName val="Weekly_Load8"/>
      <sheetName val="[SANDAN_XLS??8"/>
      <sheetName val="Piping_BQ_for_one_turbine8"/>
      <sheetName val="Eq__Mobilization8"/>
      <sheetName val="Indirect_Cost8"/>
      <sheetName val="Heavy_Equipments8"/>
      <sheetName val="AG_Pipe_Qty_Analysis8"/>
      <sheetName val="Utility_and_Fire_flange8"/>
      <sheetName val="_SANDAN_XLS__8"/>
      <sheetName val="입찰내역_발주처_양식8"/>
      <sheetName val="Resource_table8"/>
      <sheetName val="SFN_ORIG8"/>
      <sheetName val="Equipment_List8"/>
      <sheetName val="Form1_SQP8"/>
      <sheetName val="공정계획(내부계획25%,내부w_f)8"/>
      <sheetName val="w't_table8"/>
      <sheetName val="SCHEDD_TAMBAHAN8"/>
      <sheetName val="Fire_Protection8"/>
      <sheetName val="Dir_Manpower_Other_Exp_8"/>
      <sheetName val="FWBS_15307"/>
      <sheetName val="내역서_(∮ἀ嘆ɶ7"/>
      <sheetName val="4-3LEVEL-5_epic_47"/>
      <sheetName val="단가_(2)7"/>
      <sheetName val="실행예산_MM7"/>
      <sheetName val="ITB_COST8"/>
      <sheetName val="MODULE_CONFIRM7"/>
      <sheetName val="BOQ-B_DOWN7"/>
      <sheetName val="PROTECTION_7"/>
      <sheetName val="plan&amp;section_of_foundation4"/>
      <sheetName val="Unit_Price_3"/>
      <sheetName val="Cash_In-Cash_Out_Actual7"/>
      <sheetName val="내역서1999_8최종3"/>
      <sheetName val="CUADRO_DE_PRECIOS7"/>
      <sheetName val="working_load_at_the_btm_ft_4"/>
      <sheetName val="stability_check4"/>
      <sheetName val="design_load4"/>
      <sheetName val="1100-1200-1300-1910-2140-LEV_23"/>
      <sheetName val="Updating_Form-Oct_20113"/>
      <sheetName val="Weld_Consumable3"/>
      <sheetName val="NDE_Cost-Summary3"/>
      <sheetName val="9July_Above_Ground_Pipe3"/>
      <sheetName val="M_113"/>
      <sheetName val="Process_Data_13"/>
      <sheetName val="TDC_COA_Sumry3"/>
      <sheetName val="TDC_Item_Dets3"/>
      <sheetName val="TDC_Item_Sumry3"/>
      <sheetName val="TDC_Key_Qty_Sumry3"/>
      <sheetName val="List_-_Components3"/>
      <sheetName val="List_-_Equipment3"/>
      <sheetName val="COA_Sumry_-_Std_Imp3"/>
      <sheetName val="Contr_TDC_-_Std_Imp3"/>
      <sheetName val="Item_Sumry_-_Std_Imp3"/>
      <sheetName val="Unit_Costs_-_Std_Imp3"/>
      <sheetName val="Unit_MH_-_Std_Imp3"/>
      <sheetName val="Proj_TIC_-_Std_Imp3"/>
      <sheetName val="Closeout_Control3"/>
      <sheetName val="Site_Findings_Status_Sheet3"/>
      <sheetName val="내역서_耰&quot;_x005f_x005f_x005f_x0000_3"/>
      <sheetName val="내역서_耰&quot;_x005f_x005f_x005f_x005f_3"/>
      <sheetName val="Currency_Rate3"/>
      <sheetName val="4-Basic_Price3"/>
      <sheetName val="Evaluasi_Penw3"/>
      <sheetName val="Man_Power_&amp;_Comp3"/>
      <sheetName val="Data_List3"/>
      <sheetName val="Material_Price3"/>
      <sheetName val="Codes_Pers3"/>
      <sheetName val="Sum_(Case-3)3"/>
      <sheetName val="PROJECT_BRIEF3"/>
      <sheetName val="Tools_&amp;_Settings3"/>
      <sheetName val="Data_Summary3"/>
      <sheetName val="Crew_Costs3"/>
      <sheetName val="Spread_Costs3"/>
      <sheetName val="Unique_List_Misc3"/>
      <sheetName val="In-House_Summary3"/>
      <sheetName val="Direct_PMS3"/>
      <sheetName val="5_)_Time_Delays3"/>
      <sheetName val="Aux_3"/>
      <sheetName val="Process_Data_(2)3"/>
      <sheetName val="Material_code2"/>
      <sheetName val="__3"/>
      <sheetName val="_3"/>
      <sheetName val="breakdown_of_wage_ra`f2"/>
      <sheetName val="breakdown_of_wage_ra2"/>
      <sheetName val="breakdown_of_wage_rað-2"/>
      <sheetName val="00-Summary_Information-ABB2"/>
      <sheetName val="내역서_耰&quot;_x005f_x0000_3"/>
      <sheetName val="내역서_耰&quot;_x005f_x005f_3"/>
      <sheetName val="2_Overall_Summary_2"/>
      <sheetName val="0__Resource　Code2"/>
      <sheetName val="breakdown_of_wage_rap2"/>
      <sheetName val="breakdown_of_wage_ra2"/>
      <sheetName val="Finansal_tamamlanma_Eğrisi1"/>
      <sheetName val="PABS,Site_info2"/>
      <sheetName val="Distribution_Table2"/>
      <sheetName val="Raw_data2"/>
      <sheetName val="Action_Item2"/>
      <sheetName val="Cashflow_Analysis1"/>
      <sheetName val="Attach_4-181"/>
      <sheetName val="SUM_1"/>
      <sheetName val="내역서_(∮ἀ嘆ɶ?᠀㬁?1"/>
      <sheetName val="광통신_견적내역서11"/>
      <sheetName val="리스크_분류체계1"/>
      <sheetName val="OIL_SEPARATOR1"/>
      <sheetName val="CATCH_BASIN1"/>
      <sheetName val="FW_Post_Indicator_Valve_24&quot;1"/>
      <sheetName val="FW_Post_Indicator_Valve_20&quot;1"/>
      <sheetName val="FW_Post_Indicator_Valve_6&quot;1"/>
      <sheetName val="Fire_Monitor_or_Hydrant_6&quot;_FDN1"/>
      <sheetName val="SUMP_VB1"/>
      <sheetName val="CLEANOUT_4&quot;1"/>
      <sheetName val="Not_reqd1"/>
      <sheetName val="호환성_보고서1"/>
      <sheetName val="11_자재단가1"/>
      <sheetName val="LIFE_&amp;_REP_PROVN1"/>
      <sheetName val="O&amp;M_CREW1"/>
      <sheetName val="Kodlamalar"/>
      <sheetName val="Kod_Location"/>
      <sheetName val="Eng_Hrs (HO)"/>
      <sheetName val="ENE-CAL"/>
      <sheetName val="원가조정 내역"/>
      <sheetName val="RAB_AR&amp;STR3"/>
      <sheetName val="할증_3"/>
      <sheetName val="BO䁑-B_䁄OWN3"/>
      <sheetName val="내역서_耰&quot;_x005f_x0000__x00004"/>
      <sheetName val="Ocean_Transporation_Charge3"/>
      <sheetName val="Exchange_Rate3"/>
      <sheetName val="99__FWBS(Ref)3"/>
      <sheetName val="99__Change_Rate3"/>
      <sheetName val="UP_MINOR3"/>
      <sheetName val="Cash_Flow_bulanan3"/>
      <sheetName val="H_Satuan3"/>
      <sheetName val="Bill_rekap3"/>
      <sheetName val="2__현장_자금투입_집계표3"/>
      <sheetName val="Item_code3"/>
      <sheetName val="Equip_Rental_Summary_by_Contr3"/>
      <sheetName val="Project_Equip_Rental_Summary3"/>
      <sheetName val="Contractor_Indirect_Sumry3"/>
      <sheetName val="Project_Indirect_Sumry3"/>
      <sheetName val="COA_Sumry_by_Area3"/>
      <sheetName val="COA_Sumry_by_Contr3"/>
      <sheetName val="COA_Sumry_by_RG3"/>
      <sheetName val="TDC_COA_Grp_Sumry3"/>
      <sheetName val="TDC_COA_Grp_Sumry_by_Area3"/>
      <sheetName val="TDC_COA_Grp_Sumry_by_RG3"/>
      <sheetName val="Equipment_Sumry3"/>
      <sheetName val="TDC_Item_Dets-Full3"/>
      <sheetName val="TDC_Item_Dets-IPM-Full3"/>
      <sheetName val="TDC_Item_Sumry_by_Area3"/>
      <sheetName val="TDC_Item_Sumry_by_RG3"/>
      <sheetName val="TDC_Key_Qty_Sumry_by_RG3"/>
      <sheetName val="List_-_Equipment_by_Area3"/>
      <sheetName val="List_-_Equipment_by_Contr3"/>
      <sheetName val="Equipment_-_Unit_Costs_by_Mat3"/>
      <sheetName val="List_-_Equipment_by_Rep_Grp3"/>
      <sheetName val="Craft_Summary_by_Contr3"/>
      <sheetName val="Project_Craft_Summary3"/>
      <sheetName val="Project_Metrics3"/>
      <sheetName val="Unt_rate3"/>
      <sheetName val="SUMMARY_(0A)3"/>
      <sheetName val="SUMMARY_(1A)3"/>
      <sheetName val="SUMMARY_(1B)3"/>
      <sheetName val="SUMMARY_(03)3"/>
      <sheetName val="F1(Cable_Rack)3"/>
      <sheetName val="F2(Cable_Rack)3"/>
      <sheetName val="F3(Cable_Rack)3"/>
      <sheetName val="F1_(POLYMER)3"/>
      <sheetName val="F2_(POLYMER)3"/>
      <sheetName val="F3_(POLYMER)3"/>
      <sheetName val="F4_(POLYMER)3"/>
      <sheetName val="F5(_Polymerization_)3"/>
      <sheetName val="F6_(_Polymerization_)3"/>
      <sheetName val="B1_(Grid_A-7,_-6)3"/>
      <sheetName val="B1_(Grid_A,_B)3"/>
      <sheetName val="B1_(Grid_C-7,_-6)3"/>
      <sheetName val="B2_(Grid_-7_B,_C)_(1)3"/>
      <sheetName val="B2_(Grid_-7_B,_C)_(2)3"/>
      <sheetName val="B2_(Grid_-6_B,_C)_(1)3"/>
      <sheetName val="B2_(Grid_-6_B,_C)_(2)3"/>
      <sheetName val="F1_(MONOMER)3"/>
      <sheetName val="F2_(MONOMER)3"/>
      <sheetName val="F3_(MONOMER)3"/>
      <sheetName val="90K060C_(MONOMER)3"/>
      <sheetName val="F1_(EXTRUSION)3"/>
      <sheetName val="F2_(EXTRUSION)3"/>
      <sheetName val="F3_(EXTRUSION)3"/>
      <sheetName val="F4_(EXTRUSION)3"/>
      <sheetName val="F5_(EXTRUSION)3"/>
      <sheetName val="F6A_(EXTRUSION)3"/>
      <sheetName val="F6D_(EXTRUSION)3"/>
      <sheetName val="F7_(EXTRUSION)3"/>
      <sheetName val="F8_(EXTRUSION)3"/>
      <sheetName val="F9_(EXTRUSION)3"/>
      <sheetName val="F10_(EXTRUSION)3"/>
      <sheetName val="F11_(EXTRUSION)3"/>
      <sheetName val="B1_(Grid_F-5`,_4`)3"/>
      <sheetName val="B2_(Grid_F,E-4`)3"/>
      <sheetName val="B2_(Grid_F,E-5`)3"/>
      <sheetName val="B3_(Grid_C,B-4`)3"/>
      <sheetName val="B4_(Grid_B,A-4`)3"/>
      <sheetName val="B5_(Grid_E-5`)_&amp;_(Grid_D-5`)3"/>
      <sheetName val="B6_(Grid_E,D-5')3"/>
      <sheetName val="B7_(Grid_E,D-5')3"/>
      <sheetName val="95D040,_A5063"/>
      <sheetName val="95P040AB,_A5073"/>
      <sheetName val="95X020-U08,_A6023"/>
      <sheetName val="95X020-U07,_A6063"/>
      <sheetName val="95E040,_A5093"/>
      <sheetName val="95D024;025,_A6153"/>
      <sheetName val="95X020-U05,_A6013"/>
      <sheetName val="95X020-U02,_A2043"/>
      <sheetName val="Extruder_FDN3"/>
      <sheetName val="BOG_COMP__FDN3"/>
      <sheetName val="SOG_COMP__FDN3"/>
      <sheetName val="1G1_(Ground_Beam)3"/>
      <sheetName val="1G2-1(Ground_Beam)3"/>
      <sheetName val="1G2-2(Ground_Beam)3"/>
      <sheetName val="P15,_163"/>
      <sheetName val="LO_CONSOLE_FDN3"/>
      <sheetName val="OIL_COOLER_FDN3"/>
      <sheetName val="CW_CONSOLE_FDN_(SOG)3"/>
      <sheetName val="PD3_(SOG)3"/>
      <sheetName val="SF1_(SOG)3"/>
      <sheetName val="SF2_(SOG)3"/>
      <sheetName val="SLAB_(1S1-1)3"/>
      <sheetName val="SLAB_(1S1-2)3"/>
      <sheetName val="SLAB_(1S1-3)3"/>
      <sheetName val="COLUMN_(+5500)3"/>
      <sheetName val="COLUMN_(+12500)3"/>
      <sheetName val="COLUMN_(+15500)3"/>
      <sheetName val="ETC_3"/>
      <sheetName val="General_Notes3"/>
      <sheetName val="_도면_및_도서_제출목록_및_일정_170202_xlsx3"/>
      <sheetName val="Rates_&amp;_Legend3"/>
      <sheetName val="Discounted_Cash_Flow3"/>
      <sheetName val="OCT_FDN3"/>
      <sheetName val="Pengesahan_3"/>
      <sheetName val="Air_Cooler-E2"/>
      <sheetName val="DROP_DOWN2"/>
      <sheetName val="차트_(2)3"/>
      <sheetName val="Harga_Satuan3"/>
      <sheetName val="F_ALARM3"/>
      <sheetName val="DATA_MENTAH2"/>
      <sheetName val="HO_Site_Rates-20112"/>
      <sheetName val="Particular_Sch2"/>
      <sheetName val="Al_Taweelah2"/>
      <sheetName val="ID_CD2"/>
      <sheetName val="Equipment_Spec_List2"/>
      <sheetName val="개시대사_(2)2"/>
      <sheetName val="SPEC_LIST(EQUP,_SYS)2"/>
      <sheetName val="내역서_(N____x000a_3"/>
      <sheetName val="TQ_Format2"/>
      <sheetName val="breakdown_of_wage_raÐ¾2"/>
      <sheetName val="Additional_data2"/>
      <sheetName val="Linelist_LNGC_Process2"/>
      <sheetName val="33628-Rev__A1"/>
      <sheetName val="INPUT_DATA_OF_SCHEDULE1"/>
      <sheetName val="14-Eng_rate1"/>
      <sheetName val="Master_List1"/>
      <sheetName val="Admin_Manu_2-Equipment_Type_ID1"/>
      <sheetName val="Fig_4-14"/>
      <sheetName val="설산1_나"/>
      <sheetName val="BM_#1"/>
      <sheetName val="Itembalance_Report_(18-sep-18)1"/>
      <sheetName val="BUDGET_SUMMARY_1"/>
      <sheetName val="REF_for_VV"/>
      <sheetName val="__x0"/>
      <sheetName val="SECL_리스크_분류체계_(2)"/>
      <sheetName val="Cost_Code"/>
      <sheetName val="Data_Ref"/>
      <sheetName val="Interdept_Rate"/>
      <sheetName val="Tgh_JGC-Inv_I_clp"/>
      <sheetName val="PCS_"/>
      <sheetName val="Progress_Statement-SI"/>
      <sheetName val="Progress_Payment-3110"/>
      <sheetName val="Direct_Histogram_Rev__A_(f)"/>
      <sheetName val="Weekl_1"/>
      <sheetName val="내역서_(N____2"/>
      <sheetName val="내역서_(N____3"/>
      <sheetName val="OPT_1"/>
      <sheetName val="6_공정표"/>
      <sheetName val="Activity_Form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Tables_3_1_to_3_5_EXH_G"/>
      <sheetName val="Perm__Test"/>
      <sheetName val="Galian_1"/>
      <sheetName val="Analisa_Lump_sum"/>
      <sheetName val="Sec_I_ML"/>
      <sheetName val="EQUIPOS_DE_SEGURIDAD"/>
      <sheetName val="MATERIALES_CONSUMIBLES"/>
      <sheetName val="PERSONAL_INDIRECTO_"/>
      <sheetName val="Land_Dev't__Ph-1"/>
      <sheetName val="4300_UTILITY_BLDG_(2)"/>
      <sheetName val="P-Ins_&amp;_Bonds"/>
      <sheetName val="INSTLIST_1"/>
      <sheetName val="List_register"/>
      <sheetName val="Att-1_CTCI_MH_rate"/>
      <sheetName val="64_4"/>
      <sheetName val="64_5"/>
      <sheetName val="36_2"/>
      <sheetName val="36_1"/>
      <sheetName val="SPEC(CABLE_&amp;_WIRE)"/>
      <sheetName val="dongia_(2)"/>
      <sheetName val="Enron_Form"/>
      <sheetName val="SUMMARY_MTO_02_2_35"/>
      <sheetName val="N_G_METERING_CALC_"/>
      <sheetName val="N_G_METERING"/>
      <sheetName val="N_G_METERING_(2)"/>
      <sheetName val="CUMENE_METERING"/>
      <sheetName val="N2_METERING_"/>
      <sheetName val="H2_METERING__"/>
      <sheetName val="CO_METERING"/>
      <sheetName val="SPT_vs_PHI"/>
      <sheetName val="1_자금요약"/>
      <sheetName val="2_실행비투입"/>
      <sheetName val="3_본사집계"/>
      <sheetName val="3-1_본사투입"/>
      <sheetName val="4_지사집계"/>
      <sheetName val="4-1_지사투입"/>
      <sheetName val="5_현장총집계"/>
      <sheetName val="5-1_현금집계"/>
      <sheetName val="5-2_현금출납"/>
      <sheetName val="5-3_외상집계"/>
      <sheetName val="5-4_외상투입"/>
      <sheetName val="6_미지급금"/>
      <sheetName val="5-5_기타공제집계"/>
      <sheetName val="5-6_기타공제"/>
      <sheetName val="7_기성현황(실)"/>
      <sheetName val="8_한국인수당"/>
      <sheetName val="8_한국인수당_(Master_file)"/>
      <sheetName val="9_기타수입"/>
      <sheetName val="10_투입집계"/>
      <sheetName val="5-4_외상투입_(2)"/>
      <sheetName val="16_기성현황(예)"/>
      <sheetName val="17_자금요약2"/>
      <sheetName val="18_실행대비투입2"/>
      <sheetName val="TR_Rev_vs_Commit"/>
      <sheetName val="TR_+MMHE_PL_report"/>
      <sheetName val="P23P2724___Commitment_"/>
      <sheetName val="A__ENGINEERING"/>
      <sheetName val="B-1__배관자재"/>
      <sheetName val="B-2__전기자재"/>
      <sheetName val="B-3__계장자재"/>
      <sheetName val="B-4__기계자재"/>
      <sheetName val="C-1__공통가설"/>
      <sheetName val="C-2__토목"/>
      <sheetName val="C-4__철골"/>
      <sheetName val="C-5__기계"/>
      <sheetName val="C-6__배관"/>
      <sheetName val="C-7__전기"/>
      <sheetName val="C-8__계장"/>
      <sheetName val="C-9__중장비"/>
      <sheetName val="C-10__소방설비"/>
      <sheetName val="C-11__보온"/>
      <sheetName val="C-12__CMS"/>
      <sheetName val="5__Work_load(현재원기준)"/>
      <sheetName val="1_11_b"/>
      <sheetName val="Consortium_VP"/>
      <sheetName val="Summary_MONTH"/>
      <sheetName val="DESICON_SUM"/>
      <sheetName val="DES_TCF_Rental"/>
      <sheetName val="DES_TCF_Maints_pers"/>
      <sheetName val="DES_TCF_Heavy_Equipment"/>
      <sheetName val="BANK_BOND"/>
      <sheetName val="PHC_WAREHOUSE_-_INFOONLY"/>
      <sheetName val="CATERING_CONTROL"/>
      <sheetName val="SUB_CONTRACT"/>
      <sheetName val="SPDC_-_INFONLY"/>
      <sheetName val="VENDOR_SCHEDUL"/>
      <sheetName val="VENDOR_PRESENCE_-_COMM"/>
      <sheetName val="VENDOR_PRESENCE_-_RECH"/>
      <sheetName val="VENDOR_PRESENCE_-_COMM_"/>
      <sheetName val="CONTRACT_RATES"/>
      <sheetName val="0_품의서(전체)"/>
      <sheetName val="LAST_UPDATE"/>
      <sheetName val="External_Issues"/>
      <sheetName val="G_R300경비"/>
      <sheetName val="AS포장복구_"/>
      <sheetName val="중기조종사_단위단가"/>
      <sheetName val="설_계"/>
      <sheetName val="Payment_Certificate-1"/>
      <sheetName val="Floor_wet"/>
      <sheetName val="Floor_Balcony"/>
      <sheetName val="Hard_scape_Floor"/>
      <sheetName val="P03_Skirting"/>
      <sheetName val="GF_wall"/>
      <sheetName val="Kitchen_Wall_wet_LIN-701"/>
      <sheetName val="Wall_wet_LIN-601_"/>
      <sheetName val="BOQ_(2)"/>
      <sheetName val="VO_Schedule-1"/>
      <sheetName val="HOLD_AMOUNT"/>
      <sheetName val="Back_Charge_(2)"/>
      <sheetName val="Temporary_Deductions-1_"/>
      <sheetName val="Contracharges_Check_list-1_"/>
      <sheetName val="PC_03"/>
      <sheetName val="Measurement_sheet"/>
      <sheetName val="Material_Only"/>
      <sheetName val="Man_power_supply"/>
      <sheetName val="Camp_Deduction"/>
      <sheetName val="내역서(전체)"/>
      <sheetName val="EXR"/>
      <sheetName val="빙장비사양"/>
      <sheetName val="장비사양"/>
      <sheetName val="철거산출근거"/>
      <sheetName val="Scaffolding Volume"/>
      <sheetName val="Statprod_gab"/>
      <sheetName val="L_1"/>
      <sheetName val="design_criteria3"/>
      <sheetName val="64_41"/>
      <sheetName val="64_51"/>
      <sheetName val="36_21"/>
      <sheetName val="36_11"/>
      <sheetName val="Statprod_gab1"/>
      <sheetName val="L_11"/>
      <sheetName val="Analisa (ok punya)"/>
      <sheetName val="SAT-DAS"/>
      <sheetName val="P2-Project Data"/>
      <sheetName val="Raw Ref"/>
      <sheetName val="Cost Codes"/>
      <sheetName val="Addendum No.1 BILL 2"/>
      <sheetName val="Expenses"/>
      <sheetName val="Code 07"/>
      <sheetName val="Ramp data"/>
      <sheetName val="Lower Ground"/>
      <sheetName val="Income"/>
      <sheetName val="Assumptions"/>
      <sheetName val="Letting"/>
      <sheetName val="S-C+Market"/>
      <sheetName val="UBR"/>
      <sheetName val="Inputs"/>
      <sheetName val="AFFAN"/>
      <sheetName val="BOULEVARD"/>
      <sheetName val="PPlay_Data"/>
      <sheetName val="Cap Cost"/>
      <sheetName val="Control"/>
      <sheetName val="Data_Sheet"/>
      <sheetName val="RLV Calc"/>
      <sheetName val="Costs (dev)"/>
      <sheetName val="DE"/>
      <sheetName val="Bluewater NPV - sell January"/>
      <sheetName val="DW"/>
      <sheetName val="Calcs"/>
      <sheetName val="Upper Ground"/>
      <sheetName val="LANDSCAPE"/>
      <sheetName val="MALL"/>
      <sheetName val="PARK NE"/>
      <sheetName val="Financial Summary"/>
      <sheetName val="D&amp;C Calcs"/>
      <sheetName val="CA Upside_Downside Old"/>
      <sheetName val="EASEL CA Example"/>
      <sheetName val="1234"/>
      <sheetName val="P Staff fac"/>
      <sheetName val="beam-reinft-IIInd floor"/>
      <sheetName val="P-Site fac"/>
      <sheetName val="P-Clients fac"/>
      <sheetName val="Drop-Down"/>
      <sheetName val="-0.5 TABLA PRESUPUESTOS"/>
      <sheetName val="Sithe-PPL"/>
      <sheetName val="ﾄﾞﾊﾞｲFUEL GAS追見"/>
      <sheetName val="見積書"/>
      <sheetName val="InsertListDrawing 1 "/>
      <sheetName val="ANAL"/>
      <sheetName val="VAT TU DIEN"/>
      <sheetName val="bldg list"/>
      <sheetName val="당초�ἀ"/>
      <sheetName val="MFG &amp; DEL"/>
      <sheetName val="SKEDULmaterial"/>
      <sheetName val="Up &amp; bhn"/>
      <sheetName val="Str"/>
      <sheetName val="HRG BHN"/>
      <sheetName val="lab_eng"/>
      <sheetName val="eqp"/>
      <sheetName val="lab"/>
      <sheetName val="UPAH"/>
      <sheetName val="pricelist"/>
      <sheetName val="HAL-1"/>
      <sheetName val="a.h ars sum"/>
      <sheetName val="a.h ars"/>
      <sheetName val="3"/>
      <sheetName val="DAF.HRG"/>
      <sheetName val="Urai _Resap pengikat"/>
      <sheetName val="Kolom UT"/>
      <sheetName val="HB "/>
      <sheetName val="7.공정표"/>
      <sheetName val="sdm"/>
      <sheetName val="Alat (2)"/>
      <sheetName val="RAB-NEGO"/>
      <sheetName val="DAF-2"/>
      <sheetName val="Anl"/>
      <sheetName val="AC"/>
      <sheetName val="breakdown of FA113"/>
      <sheetName val="DivLabor_Report"/>
      <sheetName val="Precios_Unitariԯ1"/>
      <sheetName val="PERSONNELIST"/>
      <sheetName val="KUWATI(Total)_13"/>
      <sheetName val="집계표_(TOTAL)13"/>
      <sheetName val="집계표_(CIVIL-23)13"/>
      <sheetName val="집계표_(FGRU)13"/>
      <sheetName val="집계표_(25,26)13"/>
      <sheetName val="집계표_(MEROX)13"/>
      <sheetName val="집계표_(NITROGEN)13"/>
      <sheetName val="집계표_(M4)13"/>
      <sheetName val="집계표_(CIVIL4)13"/>
      <sheetName val="집계표_(CIVIL6)13"/>
      <sheetName val="집계표_(CIVIL7)13"/>
      <sheetName val="내역서(DEMO_TOTAL)13"/>
      <sheetName val="내역서_(CIVIL-23)13"/>
      <sheetName val="내역서_(fgru)13"/>
      <sheetName val="내역서_(25&amp;26)13"/>
      <sheetName val="내역서_(MEROX)13"/>
      <sheetName val="내역서_(NITROGEN)13"/>
      <sheetName val="내역서_(M4)13"/>
      <sheetName val="내역서_(CIVIL-4)13"/>
      <sheetName val="내역서_(CIVIL-6)13"/>
      <sheetName val="내역서_(CIVIL-7)13"/>
      <sheetName val="OPTION_213"/>
      <sheetName val="OPTION_313"/>
      <sheetName val="2002년_현장공사비_국내_실적13"/>
      <sheetName val="2003년국내현장공사비_실적13"/>
      <sheetName val="VC2_10_9913"/>
      <sheetName val="집계표_(25,26ဩ12"/>
      <sheetName val="INPUT_DATA12"/>
      <sheetName val="입출재고현황_(2)11"/>
      <sheetName val="Form_012"/>
      <sheetName val="Form_D-111"/>
      <sheetName val="Form_B-111"/>
      <sheetName val="Form_F-111"/>
      <sheetName val="Form_A11"/>
      <sheetName val="General_Data12"/>
      <sheetName val="LABOR_&amp;_자재11"/>
      <sheetName val="Price_Schedule11"/>
      <sheetName val="간접비_총괄11"/>
      <sheetName val="3_공통공사대비11"/>
      <sheetName val="Rate_Analysis11"/>
      <sheetName val="내역서_耰&quot;??11"/>
      <sheetName val="EQUIPMENT_-211"/>
      <sheetName val="CAL_11"/>
      <sheetName val="WEIGHT_LIST10"/>
      <sheetName val="산#2-1_(2)10"/>
      <sheetName val="BEND_LOSS10"/>
      <sheetName val="공사비_내역_(가)10"/>
      <sheetName val="6PILE__(돌출)10"/>
      <sheetName val="단면_(2)10"/>
      <sheetName val="BM_DATA_SHEET10"/>
      <sheetName val="Static_Equip10"/>
      <sheetName val="Form_A_10"/>
      <sheetName val="Áý°èÇ¥_(TOTAL)9"/>
      <sheetName val="Áý°èÇ¥_(CIVIL-23)9"/>
      <sheetName val="Áý°èÇ¥_(FGRU)9"/>
      <sheetName val="Áý°èÇ¥_(25,26)9"/>
      <sheetName val="Áý°èÇ¥_(MEROX)9"/>
      <sheetName val="Áý°èÇ¥_(NITROGEN)9"/>
      <sheetName val="Áý°èÇ¥_(M4)9"/>
      <sheetName val="Áý°èÇ¥_(CIVIL4)9"/>
      <sheetName val="Áý°èÇ¥_(CIVIL6)9"/>
      <sheetName val="Áý°èÇ¥_(CIVIL7)9"/>
      <sheetName val="³»¿ª¼­(DEMO_TOTAL)9"/>
      <sheetName val="³»¿ª¼­_(CIVIL-23)9"/>
      <sheetName val="³»¿ª¼­_(fgru)9"/>
      <sheetName val="³»¿ª¼­_(25&amp;26)9"/>
      <sheetName val="³»¿ª¼­_(MEROX)9"/>
      <sheetName val="³»¿ª¼­_(NITROGEN)9"/>
      <sheetName val="³»¿ª¼­_(M4)9"/>
      <sheetName val="³»¿ª¼­_(CIVIL-4)9"/>
      <sheetName val="³»¿ª¼­_(CIVIL-6)9"/>
      <sheetName val="³»¿ª¼­_(CIVIL-7)9"/>
      <sheetName val="2002³â_ÇöÀå°ø»çºñ_±¹³»_½ÇÀû9"/>
      <sheetName val="2003³â±¹³»ÇöÀå°ø»çºñ_½ÇÀû9"/>
      <sheetName val="3_Breakdown_Direct_Paint10"/>
      <sheetName val="내역서_耰&quot;_x005f_x0000__x005f_x0000_10"/>
      <sheetName val="내역서_耰&quot;__11"/>
      <sheetName val="Summary_Sheets10"/>
      <sheetName val="Civil_110"/>
      <sheetName val="Civil_210"/>
      <sheetName val="Civil_310"/>
      <sheetName val="Site_110"/>
      <sheetName val="Site_210"/>
      <sheetName val="Site_310"/>
      <sheetName val="Site_Faci10"/>
      <sheetName val="EQUIP_LIST9"/>
      <sheetName val="Z-_GENERAL_PRICE_SUMMARY9"/>
      <sheetName val="_Estimate__9"/>
      <sheetName val="2_2_STAFF_Scedule9"/>
      <sheetName val="내역서_耰&quot;_x005f_x005f_x005f_x0000__x005f_x005f_x0009"/>
      <sheetName val="계측_내역서9"/>
      <sheetName val="Man_Hole9"/>
      <sheetName val="Sheet1_(2)10"/>
      <sheetName val="내역서_耰&quot;_x005f_x005f_x005f_x005f_x005f_x005f_x00009"/>
      <sheetName val="Administrative_Prices9"/>
      <sheetName val="WBS_449"/>
      <sheetName val="WBS_419"/>
      <sheetName val="Precios_por_Administración9"/>
      <sheetName val="Precios_Unitarios9"/>
      <sheetName val="Subcon_A9"/>
      <sheetName val="7__월별투입내역서9"/>
      <sheetName val="T_39"/>
      <sheetName val="HORI__VESSEL9"/>
      <sheetName val="Vind_-_BtB9"/>
      <sheetName val="LV_induction_motors9"/>
      <sheetName val="BSD_(2)9"/>
      <sheetName val="Monthly_Load9"/>
      <sheetName val="Weekly_Load9"/>
      <sheetName val="MP_MOB9"/>
      <sheetName val="Form_B9"/>
      <sheetName val="Material_Selections9"/>
      <sheetName val="CUADRO_DE_PRECIOS8"/>
      <sheetName val="내역서_耰&quot;_x005f_x005f_x005f_x005f_x005f_x005f_x005f9"/>
      <sheetName val="breakdown_of_wage_rate9"/>
      <sheetName val="Indirect_Cost9"/>
      <sheetName val="97_사업추정(WEKI)9"/>
      <sheetName val="Eq__Mobilization9"/>
      <sheetName val="[SANDAN_XLS??9"/>
      <sheetName val="Piping_BQ_for_one_turbine9"/>
      <sheetName val="Utility_and_Fire_flange9"/>
      <sheetName val="Resource_table9"/>
      <sheetName val="SFN_ORIG9"/>
      <sheetName val="Equipment_List9"/>
      <sheetName val="Form1_SQP9"/>
      <sheetName val="공정계획(내부계획25%,내부w_f)9"/>
      <sheetName val="_SANDAN_XLS__9"/>
      <sheetName val="w't_table9"/>
      <sheetName val="Heavy_Equipments9"/>
      <sheetName val="실행예산_MM8"/>
      <sheetName val="AG_Pipe_Qty_Analysis9"/>
      <sheetName val="SCHEDD_TAMBAHAN9"/>
      <sheetName val="Fire_Protection9"/>
      <sheetName val="입찰내역_발주처_양식9"/>
      <sheetName val="FWBS_15308"/>
      <sheetName val="단가_(2)8"/>
      <sheetName val="4-3LEVEL-5_epic_48"/>
      <sheetName val="BOQ-B_DOWN8"/>
      <sheetName val="Dir_Manpower_Other_Exp_9"/>
      <sheetName val="ITB_COST9"/>
      <sheetName val="내역서_耰&quot;9"/>
      <sheetName val="내역서_(∮ἀ嘆ɶ8"/>
      <sheetName val="MODULE_CONFIRM8"/>
      <sheetName val="Unit_Price_4"/>
      <sheetName val="PROTECTION_8"/>
      <sheetName val="Cash_In-Cash_Out_Actual8"/>
      <sheetName val="내역서1999_8최종4"/>
      <sheetName val="plan&amp;section_of_foundation5"/>
      <sheetName val="working_load_at_the_btm_ft_5"/>
      <sheetName val="stability_check5"/>
      <sheetName val="design_load5"/>
      <sheetName val="Updating_Form-Oct_20114"/>
      <sheetName val="Weld_Consumable4"/>
      <sheetName val="NDE_Cost-Summary4"/>
      <sheetName val="9July_Above_Ground_Pipe4"/>
      <sheetName val="M_114"/>
      <sheetName val="Process_Data_14"/>
      <sheetName val="TDC_COA_Sumry4"/>
      <sheetName val="TDC_Item_Dets4"/>
      <sheetName val="TDC_Item_Sumry4"/>
      <sheetName val="TDC_Key_Qty_Sumry4"/>
      <sheetName val="List_-_Components4"/>
      <sheetName val="List_-_Equipment4"/>
      <sheetName val="COA_Sumry_-_Std_Imp4"/>
      <sheetName val="Contr_TDC_-_Std_Imp4"/>
      <sheetName val="Item_Sumry_-_Std_Imp4"/>
      <sheetName val="Unit_Costs_-_Std_Imp4"/>
      <sheetName val="Unit_MH_-_Std_Imp4"/>
      <sheetName val="Proj_TIC_-_Std_Imp4"/>
      <sheetName val="Closeout_Control4"/>
      <sheetName val="Direct_PMS4"/>
      <sheetName val="PROJECT_BRIEF4"/>
      <sheetName val="Site_Findings_Status_Sheet4"/>
      <sheetName val="Sum_(Case-3)4"/>
      <sheetName val="Man_Power_&amp;_Comp4"/>
      <sheetName val="Data_List4"/>
      <sheetName val="4-Basic_Price4"/>
      <sheetName val="Evaluasi_Penw4"/>
      <sheetName val="Currency_Rate4"/>
      <sheetName val="5_)_Time_Delays4"/>
      <sheetName val="Aux_4"/>
      <sheetName val="1100-1200-1300-1910-2140-LEV_24"/>
      <sheetName val="Material_Price4"/>
      <sheetName val="내역서_耰&quot;_x005f_x005f_x005f_x0000_4"/>
      <sheetName val="내역서_耰&quot;_x005f_x005f_x005f_x005f_4"/>
      <sheetName val="Codes_Pers4"/>
      <sheetName val="Tools_&amp;_Settings4"/>
      <sheetName val="Data_Summary4"/>
      <sheetName val="Crew_Costs4"/>
      <sheetName val="Spread_Costs4"/>
      <sheetName val="Unique_List_Misc4"/>
      <sheetName val="In-House_Summary4"/>
      <sheetName val="00-Summary_Information-ABB3"/>
      <sheetName val="__4"/>
      <sheetName val="_4"/>
      <sheetName val="breakdown_of_wage_ra`f3"/>
      <sheetName val="breakdown_of_wage_ra3"/>
      <sheetName val="breakdown_of_wage_rað-3"/>
      <sheetName val="Process_Data_(2)4"/>
      <sheetName val="Material_code3"/>
      <sheetName val="내역서_耰&quot;_x005f_x0000_4"/>
      <sheetName val="내역서_耰&quot;_x005f_x005f_4"/>
      <sheetName val="2_Overall_Summary_3"/>
      <sheetName val="0__Resource　Code3"/>
      <sheetName val="breakdown_of_wage_rap3"/>
      <sheetName val="PABS,Site_info3"/>
      <sheetName val="Distribution_Table3"/>
      <sheetName val="Raw_data3"/>
      <sheetName val="Action_Item3"/>
      <sheetName val="내역서_耰&quot;_3"/>
      <sheetName val="Cashflow_Analysis2"/>
      <sheetName val="Finansal_tamamlanma_Eğrisi2"/>
      <sheetName val="Attach_4-182"/>
      <sheetName val="SUM_2"/>
      <sheetName val="내역서_(∮ἀ嘆ɶ?᠀㬁?2"/>
      <sheetName val="광통신_견적내역서12"/>
      <sheetName val="리스크_분류체계2"/>
      <sheetName val="11_자재단가2"/>
      <sheetName val="LIFE_&amp;_REP_PROVN2"/>
      <sheetName val="O&amp;M_CREW2"/>
      <sheetName val="OIL_SEPARATOR2"/>
      <sheetName val="CATCH_BASIN2"/>
      <sheetName val="FW_Post_Indicator_Valve_24&quot;2"/>
      <sheetName val="FW_Post_Indicator_Valve_20&quot;2"/>
      <sheetName val="FW_Post_Indicator_Valve_6&quot;2"/>
      <sheetName val="Fire_Monitor_or_Hydrant_6&quot;_FDN2"/>
      <sheetName val="SUMP_VB2"/>
      <sheetName val="CLEANOUT_4&quot;2"/>
      <sheetName val="Not_reqd2"/>
      <sheetName val="호환성_보고서2"/>
      <sheetName val="내역서_(N__x002"/>
      <sheetName val="GM_0001"/>
      <sheetName val="RESUMEN_CD"/>
      <sheetName val="BOQ_REV6"/>
      <sheetName val="Maliyet_Ozet"/>
      <sheetName val="1_1-1_2"/>
      <sheetName val="1_3-_1_4"/>
      <sheetName val="3_1"/>
      <sheetName val="3_2"/>
      <sheetName val="4_1(a)"/>
      <sheetName val="4_1(b)"/>
      <sheetName val="4_1_(c)"/>
      <sheetName val="5_1"/>
      <sheetName val="Tender_data1"/>
      <sheetName val="Scheme_Area_Details_Block___C21"/>
      <sheetName val="Cash_Flow1"/>
      <sheetName val="5__월별투입내역서1"/>
      <sheetName val="일위대가_1"/>
      <sheetName val="1_설계기준1"/>
      <sheetName val="2013电气概算_价目表_(营改增调整)"/>
      <sheetName val="CONCRETE_TYPE"/>
      <sheetName val="Sch_6"/>
      <sheetName val="IRR_sponsor"/>
      <sheetName val="4-Lane_bridge"/>
      <sheetName val="Existing_PC_Pavement"/>
      <sheetName val="List_Equip"/>
      <sheetName val="Process_C_(1-166)"/>
      <sheetName val="Master_Data"/>
      <sheetName val="ind'l_cp"/>
      <sheetName val="TRUCK_HAUL_CYCLE-waste"/>
      <sheetName val="Equipt_Rental"/>
      <sheetName val="EQ_USED_(CORRECTED)"/>
      <sheetName val="Rebar_Constant"/>
      <sheetName val="3_부제O호표"/>
      <sheetName val="5_소모재료비"/>
      <sheetName val="8_시멘트제원표"/>
      <sheetName val="2_품제O호표"/>
      <sheetName val="본부_SHOP"/>
      <sheetName val="#6_MDU_일반"/>
      <sheetName val="#6_MDU엄반장"/>
      <sheetName val="#6MDU_기계"/>
      <sheetName val="HOU_COMP`"/>
      <sheetName val="FCC_OBL-SHOP"/>
      <sheetName val="NEW_FCC_OBL"/>
      <sheetName val="#4_MDU"/>
      <sheetName val="#6_SHOP"/>
      <sheetName val="NRC_OBL-조연식"/>
      <sheetName val="광양-조연식_반장"/>
      <sheetName val="#5MDU_REV"/>
      <sheetName val="LBO_PROJECT"/>
      <sheetName val="VENDOR_LIST"/>
      <sheetName val="BOP_LINE_LIST"/>
      <sheetName val="내역서_(N____11"/>
      <sheetName val="Bill_4_7_Predestain_Bridge_"/>
      <sheetName val="Bill_4_7_Predestain"/>
      <sheetName val="1_1_FT_type_1"/>
      <sheetName val="1_2_FT_type_1A"/>
      <sheetName val="1_3_FT_type_2"/>
      <sheetName val="1_4_FT_type_3"/>
      <sheetName val="1_5_FT_type_4"/>
      <sheetName val="2_1_CL_Outside"/>
      <sheetName val="2_2_CL_Inside"/>
      <sheetName val="2_3_CL_Ramp"/>
      <sheetName val="3_1_CB_Outside"/>
      <sheetName val="3_2_CB_Inside"/>
      <sheetName val="4_Stair"/>
      <sheetName val="5_Ramp"/>
      <sheetName val="6_Handrail"/>
      <sheetName val="Invoice_(Interim_No_28)"/>
      <sheetName val="Cost_Summary"/>
      <sheetName val="Direct_Cost"/>
      <sheetName val="Direct_Cost_(2)"/>
      <sheetName val="Summary_(3)"/>
      <sheetName val="Indirect_Cost_Summary"/>
      <sheetName val="-0_5_TABLA_PRESUPUESTOS"/>
      <sheetName val="ﾄﾞﾊﾞｲFUEL_GAS追見"/>
      <sheetName val="Pomoćni"/>
      <sheetName val="breakdown_of_wage_ra3"/>
      <sheetName val="SI-1"/>
      <sheetName val="revenue"/>
      <sheetName val="sga"/>
      <sheetName val="engineering"/>
      <sheetName val="Item_code4"/>
      <sheetName val="design_criteria4"/>
      <sheetName val="RAB_AR&amp;STR4"/>
      <sheetName val="내역서_耰&quot;_x005f_x0000__x00005"/>
      <sheetName val="할증_4"/>
      <sheetName val="Air_Cooler-E3"/>
      <sheetName val="2__현장_자금투입_집계표4"/>
      <sheetName val="UP_MINOR4"/>
      <sheetName val="Equip_Rental_Summary_by_Contr4"/>
      <sheetName val="Project_Equip_Rental_Summary4"/>
      <sheetName val="Contractor_Indirect_Sumry4"/>
      <sheetName val="Project_Indirect_Sumry4"/>
      <sheetName val="COA_Sumry_by_Area4"/>
      <sheetName val="COA_Sumry_by_Contr4"/>
      <sheetName val="COA_Sumry_by_RG4"/>
      <sheetName val="TDC_COA_Grp_Sumry4"/>
      <sheetName val="TDC_COA_Grp_Sumry_by_Area4"/>
      <sheetName val="TDC_COA_Grp_Sumry_by_RG4"/>
      <sheetName val="Equipment_Sumry4"/>
      <sheetName val="TDC_Item_Dets-Full4"/>
      <sheetName val="TDC_Item_Dets-IPM-Full4"/>
      <sheetName val="TDC_Item_Sumry_by_Area4"/>
      <sheetName val="TDC_Item_Sumry_by_RG4"/>
      <sheetName val="TDC_Key_Qty_Sumry_by_RG4"/>
      <sheetName val="List_-_Equipment_by_Area4"/>
      <sheetName val="List_-_Equipment_by_Contr4"/>
      <sheetName val="Equipment_-_Unit_Costs_by_Mat4"/>
      <sheetName val="List_-_Equipment_by_Rep_Grp4"/>
      <sheetName val="Craft_Summary_by_Contr4"/>
      <sheetName val="Project_Craft_Summary4"/>
      <sheetName val="Project_Metrics4"/>
      <sheetName val="99__FWBS(Ref)4"/>
      <sheetName val="99__Change_Rate4"/>
      <sheetName val="Unt_rate4"/>
      <sheetName val="SUMMARY_(0A)4"/>
      <sheetName val="SUMMARY_(1A)4"/>
      <sheetName val="SUMMARY_(1B)4"/>
      <sheetName val="SUMMARY_(03)4"/>
      <sheetName val="F1(Cable_Rack)4"/>
      <sheetName val="F2(Cable_Rack)4"/>
      <sheetName val="F3(Cable_Rack)4"/>
      <sheetName val="F1_(POLYMER)4"/>
      <sheetName val="F2_(POLYMER)4"/>
      <sheetName val="F3_(POLYMER)4"/>
      <sheetName val="F4_(POLYMER)4"/>
      <sheetName val="F5(_Polymerization_)4"/>
      <sheetName val="F6_(_Polymerization_)4"/>
      <sheetName val="B1_(Grid_A-7,_-6)4"/>
      <sheetName val="B1_(Grid_A,_B)4"/>
      <sheetName val="B1_(Grid_C-7,_-6)4"/>
      <sheetName val="B2_(Grid_-7_B,_C)_(1)4"/>
      <sheetName val="B2_(Grid_-7_B,_C)_(2)4"/>
      <sheetName val="B2_(Grid_-6_B,_C)_(1)4"/>
      <sheetName val="B2_(Grid_-6_B,_C)_(2)4"/>
      <sheetName val="F1_(MONOMER)4"/>
      <sheetName val="F2_(MONOMER)4"/>
      <sheetName val="F3_(MONOMER)4"/>
      <sheetName val="90K060C_(MONOMER)4"/>
      <sheetName val="F1_(EXTRUSION)4"/>
      <sheetName val="F2_(EXTRUSION)4"/>
      <sheetName val="F3_(EXTRUSION)4"/>
      <sheetName val="F4_(EXTRUSION)4"/>
      <sheetName val="F5_(EXTRUSION)4"/>
      <sheetName val="F6A_(EXTRUSION)4"/>
      <sheetName val="F6D_(EXTRUSION)4"/>
      <sheetName val="F7_(EXTRUSION)4"/>
      <sheetName val="F8_(EXTRUSION)4"/>
      <sheetName val="F9_(EXTRUSION)4"/>
      <sheetName val="F10_(EXTRUSION)4"/>
      <sheetName val="F11_(EXTRUSION)4"/>
      <sheetName val="B1_(Grid_F-5`,_4`)4"/>
      <sheetName val="B2_(Grid_F,E-4`)4"/>
      <sheetName val="B2_(Grid_F,E-5`)4"/>
      <sheetName val="B3_(Grid_C,B-4`)4"/>
      <sheetName val="B4_(Grid_B,A-4`)4"/>
      <sheetName val="B5_(Grid_E-5`)_&amp;_(Grid_D-5`)4"/>
      <sheetName val="B6_(Grid_E,D-5')4"/>
      <sheetName val="B7_(Grid_E,D-5')4"/>
      <sheetName val="95D040,_A5064"/>
      <sheetName val="95P040AB,_A5074"/>
      <sheetName val="95X020-U08,_A6024"/>
      <sheetName val="95X020-U07,_A6064"/>
      <sheetName val="95E040,_A5094"/>
      <sheetName val="95D024;025,_A6154"/>
      <sheetName val="95X020-U05,_A6014"/>
      <sheetName val="95X020-U02,_A2044"/>
      <sheetName val="Extruder_FDN4"/>
      <sheetName val="BOG_COMP__FDN4"/>
      <sheetName val="SOG_COMP__FDN4"/>
      <sheetName val="1G1_(Ground_Beam)4"/>
      <sheetName val="1G2-1(Ground_Beam)4"/>
      <sheetName val="1G2-2(Ground_Beam)4"/>
      <sheetName val="P15,_164"/>
      <sheetName val="LO_CONSOLE_FDN4"/>
      <sheetName val="OIL_COOLER_FDN4"/>
      <sheetName val="CW_CONSOLE_FDN_(SOG)4"/>
      <sheetName val="PD3_(SOG)4"/>
      <sheetName val="SF1_(SOG)4"/>
      <sheetName val="SF2_(SOG)4"/>
      <sheetName val="SLAB_(1S1-1)4"/>
      <sheetName val="SLAB_(1S1-2)4"/>
      <sheetName val="SLAB_(1S1-3)4"/>
      <sheetName val="COLUMN_(+5500)4"/>
      <sheetName val="COLUMN_(+12500)4"/>
      <sheetName val="COLUMN_(+15500)4"/>
      <sheetName val="ETC_4"/>
      <sheetName val="Discounted_Cash_Flow4"/>
      <sheetName val="Ocean_Transporation_Charge4"/>
      <sheetName val="Cash_Flow_bulanan4"/>
      <sheetName val="H_Satuan4"/>
      <sheetName val="OCT_FDN4"/>
      <sheetName val="General_Notes4"/>
      <sheetName val="BO䁑-B_䁄OWN4"/>
      <sheetName val="_도면_및_도서_제출목록_및_일정_170202_xlsx4"/>
      <sheetName val="Rates_&amp;_Legend4"/>
      <sheetName val="Pengesahan_4"/>
      <sheetName val="Harga_Satuan4"/>
      <sheetName val="F_ALARM4"/>
      <sheetName val="Exchange_Rate4"/>
      <sheetName val="Bill_rekap4"/>
      <sheetName val="차트_(2)4"/>
      <sheetName val="DATA_MENTAH3"/>
      <sheetName val="Equipment_Spec_List3"/>
      <sheetName val="SPEC_LIST(EQUP,_SYS)3"/>
      <sheetName val="DROP_DOWN3"/>
      <sheetName val="ID_CD3"/>
      <sheetName val="개시대사_(2)3"/>
      <sheetName val="내역서_(N____x000a_4"/>
      <sheetName val="HO_Site_Rates-20113"/>
      <sheetName val="Al_Taweelah3"/>
      <sheetName val="Particular_Sch3"/>
      <sheetName val="5__Work_load(현재원기준)1"/>
      <sheetName val="Linelist_LNGC_Process3"/>
      <sheetName val="Direct_Histogram_Rev__A_(f)1"/>
      <sheetName val="Fig_4-141"/>
      <sheetName val="설산1_나1"/>
      <sheetName val="Tables_3_1_to_3_5_EXH_G1"/>
      <sheetName val="EQUIPOS_DE_SEGURIDAD1"/>
      <sheetName val="MATERIALES_CONSUMIBLES1"/>
      <sheetName val="PERSONAL_INDIRECTO_1"/>
      <sheetName val="BM_#11"/>
      <sheetName val="SECL_리스크_분류체계_(2)1"/>
      <sheetName val="Cost_Code1"/>
      <sheetName val="Data_Ref1"/>
      <sheetName val="Interdept_Rate1"/>
      <sheetName val="Analisa_Fave1"/>
      <sheetName val="Harsat_Bahan1"/>
      <sheetName val="Harsat_Subkon1"/>
      <sheetName val="Harsat_Upah1"/>
      <sheetName val="Master_1_01"/>
      <sheetName val="Agregat_Halus_&amp;_Kasar1"/>
      <sheetName val="HARGA_MATERIAL1"/>
      <sheetName val="Harga_Sat_APP1"/>
      <sheetName val="Tgh_JGC-Inv_I_clp1"/>
      <sheetName val="PCS_1"/>
      <sheetName val="Progress_Statement-SI1"/>
      <sheetName val="Progress_Payment-31101"/>
      <sheetName val="REF_for_VV1"/>
      <sheetName val="Weekl_2"/>
      <sheetName val="내역서_(N____4"/>
      <sheetName val="__x01"/>
      <sheetName val="OPT_2"/>
      <sheetName val="INSTLIST_11"/>
      <sheetName val="Land_Dev't__Ph-11"/>
      <sheetName val="4300_UTILITY_BLDG_(2)1"/>
      <sheetName val="P-Ins_&amp;_Bonds1"/>
      <sheetName val="Perm__Test1"/>
      <sheetName val="Galian_11"/>
      <sheetName val="Analisa_Lump_sum1"/>
      <sheetName val="Sec_I_ML1"/>
      <sheetName val="List_register1"/>
      <sheetName val="Att-1_CTCI_MH_rate1"/>
      <sheetName val="dongia_(2)1"/>
      <sheetName val="KUWATI(Total)_14"/>
      <sheetName val="집계표_(TOTAL)14"/>
      <sheetName val="집계표_(CIVIL-23)14"/>
      <sheetName val="집계표_(FGRU)14"/>
      <sheetName val="집계표_(25,26)14"/>
      <sheetName val="집계표_(MEROX)14"/>
      <sheetName val="집계표_(NITROGEN)14"/>
      <sheetName val="집계표_(M4)14"/>
      <sheetName val="집계표_(CIVIL4)14"/>
      <sheetName val="집계표_(CIVIL6)14"/>
      <sheetName val="집계표_(CIVIL7)14"/>
      <sheetName val="내역서(DEMO_TOTAL)14"/>
      <sheetName val="내역서_(CIVIL-23)14"/>
      <sheetName val="내역서_(fgru)14"/>
      <sheetName val="내역서_(25&amp;26)14"/>
      <sheetName val="내역서_(MEROX)14"/>
      <sheetName val="내역서_(NITROGEN)14"/>
      <sheetName val="내역서_(M4)14"/>
      <sheetName val="내역서_(CIVIL-4)14"/>
      <sheetName val="내역서_(CIVIL-6)14"/>
      <sheetName val="내역서_(CIVIL-7)14"/>
      <sheetName val="OPTION_214"/>
      <sheetName val="OPTION_314"/>
      <sheetName val="2002년_현장공사비_국내_실적14"/>
      <sheetName val="2003년국내현장공사비_실적14"/>
      <sheetName val="VC2_10_9914"/>
      <sheetName val="WEIGHT_LIST11"/>
      <sheetName val="산#2-1_(2)11"/>
      <sheetName val="BEND_LOSS11"/>
      <sheetName val="INPUT_DATA13"/>
      <sheetName val="집계표_(25,26ဩ13"/>
      <sheetName val="Form_013"/>
      <sheetName val="General_Data13"/>
      <sheetName val="LABOR_&amp;_자재12"/>
      <sheetName val="입출재고현황_(2)12"/>
      <sheetName val="Form_D-112"/>
      <sheetName val="Form_B-112"/>
      <sheetName val="Form_F-112"/>
      <sheetName val="Form_A12"/>
      <sheetName val="3_공통공사대비12"/>
      <sheetName val="간접비_총괄12"/>
      <sheetName val="Price_Schedule12"/>
      <sheetName val="CAL_12"/>
      <sheetName val="Rate_Analysis12"/>
      <sheetName val="단면_(2)11"/>
      <sheetName val="EQUIPMENT_-212"/>
      <sheetName val="공사비_내역_(가)11"/>
      <sheetName val="내역서_耰&quot;??12"/>
      <sheetName val="내역서_耰&quot;_x005f_x0000__x005f_x0000_11"/>
      <sheetName val="6PILE__(돌출)11"/>
      <sheetName val="Static_Equip11"/>
      <sheetName val="Form_A_11"/>
      <sheetName val="3_Breakdown_Direct_Paint11"/>
      <sheetName val="내역서_耰&quot;__12"/>
      <sheetName val="Summary_Sheets11"/>
      <sheetName val="Civil_111"/>
      <sheetName val="Civil_211"/>
      <sheetName val="Civil_311"/>
      <sheetName val="Site_111"/>
      <sheetName val="Site_211"/>
      <sheetName val="Site_311"/>
      <sheetName val="Site_Faci11"/>
      <sheetName val="7__월별투입내역서10"/>
      <sheetName val="Man_Hole10"/>
      <sheetName val="Sheet1_(2)11"/>
      <sheetName val="Áý°èÇ¥_(TOTAL)10"/>
      <sheetName val="Áý°èÇ¥_(CIVIL-23)10"/>
      <sheetName val="Áý°èÇ¥_(FGRU)10"/>
      <sheetName val="Áý°èÇ¥_(25,26)10"/>
      <sheetName val="Áý°èÇ¥_(MEROX)10"/>
      <sheetName val="Áý°èÇ¥_(NITROGEN)10"/>
      <sheetName val="Áý°èÇ¥_(M4)10"/>
      <sheetName val="Áý°èÇ¥_(CIVIL4)10"/>
      <sheetName val="Áý°èÇ¥_(CIVIL6)10"/>
      <sheetName val="Áý°èÇ¥_(CIVIL7)10"/>
      <sheetName val="³»¿ª¼­(DEMO_TOTAL)10"/>
      <sheetName val="³»¿ª¼­_(CIVIL-23)10"/>
      <sheetName val="³»¿ª¼­_(fgru)10"/>
      <sheetName val="³»¿ª¼­_(25&amp;26)10"/>
      <sheetName val="³»¿ª¼­_(MEROX)10"/>
      <sheetName val="³»¿ª¼­_(NITROGEN)10"/>
      <sheetName val="³»¿ª¼­_(M4)10"/>
      <sheetName val="³»¿ª¼­_(CIVIL-4)10"/>
      <sheetName val="³»¿ª¼­_(CIVIL-6)10"/>
      <sheetName val="³»¿ª¼­_(CIVIL-7)10"/>
      <sheetName val="2002³â_ÇöÀå°ø»çºñ_±¹³»_½ÇÀû10"/>
      <sheetName val="2003³â±¹³»ÇöÀå°ø»çºñ_½ÇÀû10"/>
      <sheetName val="계측_내역서10"/>
      <sheetName val="내역서_耰&quot;_x005f_x005f_x005f_x0000__x005f_x005f_x0010"/>
      <sheetName val="2_2_STAFF_Scedule10"/>
      <sheetName val="내역서_耰&quot;_x005f_x005f_x005f_x005f_x005f_x005f_x00010"/>
      <sheetName val="Z-_GENERAL_PRICE_SUMMARY10"/>
      <sheetName val="_Estimate__10"/>
      <sheetName val="T_310"/>
      <sheetName val="HORI__VESSEL10"/>
      <sheetName val="MP_MOB10"/>
      <sheetName val="BM_DATA_SHEET11"/>
      <sheetName val="w't_table10"/>
      <sheetName val="Administrative_Prices10"/>
      <sheetName val="WBS_4410"/>
      <sheetName val="WBS_4110"/>
      <sheetName val="Precios_por_Administración10"/>
      <sheetName val="Precios_Unitarios10"/>
      <sheetName val="Subcon_A10"/>
      <sheetName val="EQUIP_LIST10"/>
      <sheetName val="Vind_-_BtB10"/>
      <sheetName val="LV_induction_motors10"/>
      <sheetName val="BSD_(2)10"/>
      <sheetName val="Form_B10"/>
      <sheetName val="내역서_耰&quot;_x005f_x005f_x005f_x005f_x005f_x005f_x00510"/>
      <sheetName val="97_사업추정(WEKI)10"/>
      <sheetName val="[SANDAN_XLS??10"/>
      <sheetName val="Eq__Mobilization10"/>
      <sheetName val="Monthly_Load10"/>
      <sheetName val="Weekly_Load10"/>
      <sheetName val="breakdown_of_wage_rate10"/>
      <sheetName val="Indirect_Cost10"/>
      <sheetName val="Material_Selections10"/>
      <sheetName val="Piping_BQ_for_one_turbine10"/>
      <sheetName val="Item_code5"/>
      <sheetName val="공정계획(내부계획25%,내부w_f)10"/>
      <sheetName val="Utility_and_Fire_flange10"/>
      <sheetName val="SFN_ORIG10"/>
      <sheetName val="Resource_table10"/>
      <sheetName val="AG_Pipe_Qty_Analysis10"/>
      <sheetName val="Equipment_List10"/>
      <sheetName val="Form1_SQP10"/>
      <sheetName val="_SANDAN_XLS__10"/>
      <sheetName val="Heavy_Equipments10"/>
      <sheetName val="입찰내역_발주처_양식10"/>
      <sheetName val="BOQ-B_DOWN9"/>
      <sheetName val="실행예산_MM9"/>
      <sheetName val="Dir_Manpower_Other_Exp_10"/>
      <sheetName val="SCHEDD_TAMBAHAN10"/>
      <sheetName val="Fire_Protection10"/>
      <sheetName val="단가_(2)9"/>
      <sheetName val="4-3LEVEL-5_epic_49"/>
      <sheetName val="FWBS_15309"/>
      <sheetName val="MODULE_CONFIRM9"/>
      <sheetName val="내역서_(∮ἀ嘆ɶ9"/>
      <sheetName val="ITB_COST10"/>
      <sheetName val="PROTECTION_9"/>
      <sheetName val="Cash_In-Cash_Out_Actual9"/>
      <sheetName val="5_)_Time_Delays5"/>
      <sheetName val="Site_Findings_Status_Sheet5"/>
      <sheetName val="CUADRO_DE_PRECIOS9"/>
      <sheetName val="plan&amp;section_of_foundation6"/>
      <sheetName val="working_load_at_the_btm_ft_6"/>
      <sheetName val="stability_check6"/>
      <sheetName val="design_criteria5"/>
      <sheetName val="design_load6"/>
      <sheetName val="1100-1200-1300-1910-2140-LEV_25"/>
      <sheetName val="Material_Price5"/>
      <sheetName val="TDC_COA_Sumry5"/>
      <sheetName val="TDC_Item_Dets5"/>
      <sheetName val="TDC_Item_Sumry5"/>
      <sheetName val="TDC_Key_Qty_Sumry5"/>
      <sheetName val="List_-_Components5"/>
      <sheetName val="List_-_Equipment5"/>
      <sheetName val="COA_Sumry_-_Std_Imp5"/>
      <sheetName val="Contr_TDC_-_Std_Imp5"/>
      <sheetName val="Item_Sumry_-_Std_Imp5"/>
      <sheetName val="Unit_Costs_-_Std_Imp5"/>
      <sheetName val="Unit_MH_-_Std_Imp5"/>
      <sheetName val="Proj_TIC_-_Std_Imp5"/>
      <sheetName val="내역서1999_8최종5"/>
      <sheetName val="Closeout_Control5"/>
      <sheetName val="Currency_Rate5"/>
      <sheetName val="Unit_Price_5"/>
      <sheetName val="4-Basic_Price5"/>
      <sheetName val="Evaluasi_Penw5"/>
      <sheetName val="Man_Power_&amp;_Comp5"/>
      <sheetName val="Data_List5"/>
      <sheetName val="RAB_AR&amp;STR5"/>
      <sheetName val="PROJECT_BRIEF5"/>
      <sheetName val="내역서_耰&quot;_x005f_x005f_x005f_x0000_5"/>
      <sheetName val="내역서_耰&quot;_x005f_x005f_x005f_x005f_5"/>
      <sheetName val="내역서_耰&quot;_x005f_x0000__x00006"/>
      <sheetName val="Updating_Form-Oct_20115"/>
      <sheetName val="Weld_Consumable5"/>
      <sheetName val="NDE_Cost-Summary5"/>
      <sheetName val="9July_Above_Ground_Pipe5"/>
      <sheetName val="M_115"/>
      <sheetName val="Process_Data_15"/>
      <sheetName val="Sum_(Case-3)5"/>
      <sheetName val="할증_5"/>
      <sheetName val="Air_Cooler-E4"/>
      <sheetName val="2__현장_자금투입_집계표5"/>
      <sheetName val="Tools_&amp;_Settings5"/>
      <sheetName val="Data_Summary5"/>
      <sheetName val="Crew_Costs5"/>
      <sheetName val="Spread_Costs5"/>
      <sheetName val="Unique_List_Misc5"/>
      <sheetName val="UP_MINOR5"/>
      <sheetName val="Equip_Rental_Summary_by_Contr5"/>
      <sheetName val="Project_Equip_Rental_Summary5"/>
      <sheetName val="Contractor_Indirect_Sumry5"/>
      <sheetName val="Project_Indirect_Sumry5"/>
      <sheetName val="COA_Sumry_by_Area5"/>
      <sheetName val="COA_Sumry_by_Contr5"/>
      <sheetName val="COA_Sumry_by_RG5"/>
      <sheetName val="TDC_COA_Grp_Sumry5"/>
      <sheetName val="TDC_COA_Grp_Sumry_by_Area5"/>
      <sheetName val="TDC_COA_Grp_Sumry_by_RG5"/>
      <sheetName val="Equipment_Sumry5"/>
      <sheetName val="TDC_Item_Dets-Full5"/>
      <sheetName val="TDC_Item_Dets-IPM-Full5"/>
      <sheetName val="TDC_Item_Sumry_by_Area5"/>
      <sheetName val="TDC_Item_Sumry_by_RG5"/>
      <sheetName val="TDC_Key_Qty_Sumry_by_RG5"/>
      <sheetName val="List_-_Equipment_by_Area5"/>
      <sheetName val="List_-_Equipment_by_Contr5"/>
      <sheetName val="Equipment_-_Unit_Costs_by_Mat5"/>
      <sheetName val="List_-_Equipment_by_Rep_Grp5"/>
      <sheetName val="Craft_Summary_by_Contr5"/>
      <sheetName val="Project_Craft_Summary5"/>
      <sheetName val="Project_Metrics5"/>
      <sheetName val="99__FWBS(Ref)5"/>
      <sheetName val="99__Change_Rate5"/>
      <sheetName val="In-House_Summary5"/>
      <sheetName val="Unt_rate5"/>
      <sheetName val="SUMMARY_(0A)5"/>
      <sheetName val="SUMMARY_(1A)5"/>
      <sheetName val="SUMMARY_(1B)5"/>
      <sheetName val="SUMMARY_(03)5"/>
      <sheetName val="F1(Cable_Rack)5"/>
      <sheetName val="F2(Cable_Rack)5"/>
      <sheetName val="F3(Cable_Rack)5"/>
      <sheetName val="F1_(POLYMER)5"/>
      <sheetName val="F2_(POLYMER)5"/>
      <sheetName val="F3_(POLYMER)5"/>
      <sheetName val="F4_(POLYMER)5"/>
      <sheetName val="F5(_Polymerization_)5"/>
      <sheetName val="F6_(_Polymerization_)5"/>
      <sheetName val="B1_(Grid_A-7,_-6)5"/>
      <sheetName val="B1_(Grid_A,_B)5"/>
      <sheetName val="B1_(Grid_C-7,_-6)5"/>
      <sheetName val="B2_(Grid_-7_B,_C)_(1)5"/>
      <sheetName val="B2_(Grid_-7_B,_C)_(2)5"/>
      <sheetName val="B2_(Grid_-6_B,_C)_(1)5"/>
      <sheetName val="B2_(Grid_-6_B,_C)_(2)5"/>
      <sheetName val="F1_(MONOMER)5"/>
      <sheetName val="F2_(MONOMER)5"/>
      <sheetName val="F3_(MONOMER)5"/>
      <sheetName val="90K060C_(MONOMER)5"/>
      <sheetName val="F1_(EXTRUSION)5"/>
      <sheetName val="F2_(EXTRUSION)5"/>
      <sheetName val="F3_(EXTRUSION)5"/>
      <sheetName val="F4_(EXTRUSION)5"/>
      <sheetName val="F5_(EXTRUSION)5"/>
      <sheetName val="F6A_(EXTRUSION)5"/>
      <sheetName val="F6D_(EXTRUSION)5"/>
      <sheetName val="F7_(EXTRUSION)5"/>
      <sheetName val="F8_(EXTRUSION)5"/>
      <sheetName val="F9_(EXTRUSION)5"/>
      <sheetName val="F10_(EXTRUSION)5"/>
      <sheetName val="F11_(EXTRUSION)5"/>
      <sheetName val="B1_(Grid_F-5`,_4`)5"/>
      <sheetName val="B2_(Grid_F,E-4`)5"/>
      <sheetName val="B2_(Grid_F,E-5`)5"/>
      <sheetName val="B3_(Grid_C,B-4`)5"/>
      <sheetName val="B4_(Grid_B,A-4`)5"/>
      <sheetName val="B5_(Grid_E-5`)_&amp;_(Grid_D-5`)5"/>
      <sheetName val="B6_(Grid_E,D-5')5"/>
      <sheetName val="B7_(Grid_E,D-5')5"/>
      <sheetName val="95D040,_A5065"/>
      <sheetName val="95P040AB,_A5075"/>
      <sheetName val="95X020-U08,_A6025"/>
      <sheetName val="95X020-U07,_A6065"/>
      <sheetName val="95E040,_A5095"/>
      <sheetName val="95D024;025,_A6155"/>
      <sheetName val="95X020-U05,_A6015"/>
      <sheetName val="95X020-U02,_A2045"/>
      <sheetName val="Extruder_FDN5"/>
      <sheetName val="BOG_COMP__FDN5"/>
      <sheetName val="SOG_COMP__FDN5"/>
      <sheetName val="1G1_(Ground_Beam)5"/>
      <sheetName val="1G2-1(Ground_Beam)5"/>
      <sheetName val="1G2-2(Ground_Beam)5"/>
      <sheetName val="P15,_165"/>
      <sheetName val="LO_CONSOLE_FDN5"/>
      <sheetName val="OIL_COOLER_FDN5"/>
      <sheetName val="CW_CONSOLE_FDN_(SOG)5"/>
      <sheetName val="PD3_(SOG)5"/>
      <sheetName val="SF1_(SOG)5"/>
      <sheetName val="SF2_(SOG)5"/>
      <sheetName val="SLAB_(1S1-1)5"/>
      <sheetName val="SLAB_(1S1-2)5"/>
      <sheetName val="SLAB_(1S1-3)5"/>
      <sheetName val="COLUMN_(+5500)5"/>
      <sheetName val="COLUMN_(+12500)5"/>
      <sheetName val="COLUMN_(+15500)5"/>
      <sheetName val="ETC_5"/>
      <sheetName val="Discounted_Cash_Flow5"/>
      <sheetName val="Ocean_Transporation_Charge5"/>
      <sheetName val="Cash_Flow_bulanan5"/>
      <sheetName val="H_Satuan5"/>
      <sheetName val="OCT_FDN5"/>
      <sheetName val="Codes_Pers5"/>
      <sheetName val="General_Notes5"/>
      <sheetName val="BO䁑-B_䁄OWN5"/>
      <sheetName val="_도면_및_도서_제출목록_및_일정_170202_xlsx5"/>
      <sheetName val="Direct_PMS5"/>
      <sheetName val="Aux_5"/>
      <sheetName val="Rates_&amp;_Legend5"/>
      <sheetName val="Pengesahan_5"/>
      <sheetName val="00-Summary_Information-ABB4"/>
      <sheetName val="Harga_Satuan5"/>
      <sheetName val="F_ALARM5"/>
      <sheetName val="Distribution_Table4"/>
      <sheetName val="2_Overall_Summary_4"/>
      <sheetName val="__5"/>
      <sheetName val="_5"/>
      <sheetName val="breakdown_of_wage_ra`f4"/>
      <sheetName val="breakdown_of_wage_ra4"/>
      <sheetName val="breakdown_of_wage_rað-4"/>
      <sheetName val="Raw_data4"/>
      <sheetName val="Exchange_Rate5"/>
      <sheetName val="Bill_rekap5"/>
      <sheetName val="차트_(2)5"/>
      <sheetName val="Action_Item4"/>
      <sheetName val="PABS,Site_info4"/>
      <sheetName val="0__Resource　Code4"/>
      <sheetName val="Material_code4"/>
      <sheetName val="DATA_MENTAH4"/>
      <sheetName val="breakdown_of_wage_rap4"/>
      <sheetName val="내역서_耰&quot;_x005f_x0000_5"/>
      <sheetName val="내역서_耰&quot;_x005f_x005f_5"/>
      <sheetName val="Process_Data_(2)5"/>
      <sheetName val="breakdown_of_wage_ra4"/>
      <sheetName val="HO_Site_Rates-20114"/>
      <sheetName val="Particular_Sch4"/>
      <sheetName val="내역서_耰&quot;_4"/>
      <sheetName val="DROP_DOWN4"/>
      <sheetName val="Al_Taweelah4"/>
      <sheetName val="ID_CD4"/>
      <sheetName val="Equipment_Spec_List4"/>
      <sheetName val="개시대사_(2)4"/>
      <sheetName val="SPEC_LIST(EQUP,_SYS)4"/>
      <sheetName val="내역서_(N____x000a_5"/>
      <sheetName val="INPUT_DATA_OF_SCHEDULE2"/>
      <sheetName val="Linelist_LNGC_Process4"/>
      <sheetName val="SUM_3"/>
      <sheetName val="Tender_data2"/>
      <sheetName val="TQ_Format3"/>
      <sheetName val="breakdown_of_wage_raÐ¾3"/>
      <sheetName val="Additional_data3"/>
      <sheetName val="33628-Rev__A2"/>
      <sheetName val="Master_List2"/>
      <sheetName val="Cash_Flow2"/>
      <sheetName val="Scheme_Area_Details_Block___C22"/>
      <sheetName val="14-Eng_rate2"/>
      <sheetName val="Admin_Manu_2-Equipment_Type_ID2"/>
      <sheetName val="Fig_4-142"/>
      <sheetName val="GM_0002"/>
      <sheetName val="Itembalance_Report_(18-sep-18)2"/>
      <sheetName val="BUDGET_SUMMARY_2"/>
      <sheetName val="Activity_Form2"/>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Tables_3_1_to_3_5_EXH_G2"/>
      <sheetName val="EQUIPOS_DE_SEGURIDAD2"/>
      <sheetName val="MATERIALES_CONSUMIBLES2"/>
      <sheetName val="PERSONAL_INDIRECTO_2"/>
      <sheetName val="설산1_나2"/>
      <sheetName val="일위대가_2"/>
      <sheetName val="SECL_리스크_분류체계_(2)2"/>
      <sheetName val="5__월별투입내역서2"/>
      <sheetName val="1_설계기준2"/>
      <sheetName val="BM_#12"/>
      <sheetName val="Cost_Code2"/>
      <sheetName val="Data_Ref2"/>
      <sheetName val="Interdept_Rate2"/>
      <sheetName val="REF_for_VV2"/>
      <sheetName val="Weekl_3"/>
      <sheetName val="내역서_(N____5"/>
      <sheetName val="내역서_(N____6"/>
      <sheetName val="__x02"/>
      <sheetName val="OPT_3"/>
      <sheetName val="P-Ins_&amp;_Bonds2"/>
      <sheetName val="Land_Dev't__Ph-12"/>
      <sheetName val="4300_UTILITY_BLDG_(2)2"/>
      <sheetName val="INSTLIST_12"/>
      <sheetName val="Analisa_Fave2"/>
      <sheetName val="Harsat_Bahan2"/>
      <sheetName val="Harsat_Subkon2"/>
      <sheetName val="Harsat_Upah2"/>
      <sheetName val="Master_1_02"/>
      <sheetName val="Agregat_Halus_&amp;_Kasar2"/>
      <sheetName val="HARGA_MATERIAL2"/>
      <sheetName val="Harga_Sat_APP2"/>
      <sheetName val="Tgh_JGC-Inv_I_clp2"/>
      <sheetName val="PCS_2"/>
      <sheetName val="Progress_Statement-SI2"/>
      <sheetName val="Progress_Payment-31102"/>
      <sheetName val="Direct_Histogram_Rev__A_(f)2"/>
      <sheetName val="List_register2"/>
      <sheetName val="Att-1_CTCI_MH_rate2"/>
      <sheetName val="Perm__Test2"/>
      <sheetName val="Galian_12"/>
      <sheetName val="Analisa_Lump_sum2"/>
      <sheetName val="Sec_I_ML2"/>
      <sheetName val="dongia_(2)2"/>
      <sheetName val="64_42"/>
      <sheetName val="64_52"/>
      <sheetName val="36_22"/>
      <sheetName val="36_12"/>
      <sheetName val="5__Work_load(현재원기준)2"/>
      <sheetName val="공통비총괄표"/>
      <sheetName val="FC04_2030"/>
      <sheetName val="FC04_203099"/>
      <sheetName val="TABLE-A"/>
      <sheetName val="PCV"/>
      <sheetName val="Dsr Hitung"/>
      <sheetName val="내역서_(N   _"/>
      <sheetName val="Mat Tower"/>
      <sheetName val="RT13526 CPI"/>
      <sheetName val="RT15918"/>
      <sheetName val="OE (KSB)"/>
      <sheetName val="TEST1"/>
      <sheetName val="Sew-Tahan"/>
      <sheetName val="Mobilisasi"/>
      <sheetName val="Default"/>
      <sheetName val="harga"/>
      <sheetName val="4-MVAC"/>
      <sheetName val="G_SUMMARY"/>
      <sheetName val="Memb Schd"/>
      <sheetName val="PPC"/>
      <sheetName val="Tableau"/>
      <sheetName val="Coef et données"/>
      <sheetName val="SAP"/>
      <sheetName val="Pag_hal"/>
      <sheetName val="SAT-BHN"/>
      <sheetName val="Load"/>
      <sheetName val="Data_ST"/>
      <sheetName val="VV_Ped"/>
      <sheetName val="DPKlah"/>
      <sheetName val="HARVEST02"/>
      <sheetName val="Inputs - Results"/>
      <sheetName val="CONTENT"/>
      <sheetName val="GENERAL "/>
      <sheetName val="Spec"/>
      <sheetName val="PCT"/>
      <sheetName val="Comb"/>
      <sheetName val="Tank Loading"/>
      <sheetName val="Fdn Calc"/>
      <sheetName val="PHT"/>
      <sheetName val="Resume"/>
      <sheetName val="ATTACHMENT"/>
      <sheetName val="LATERAL OCDI BH-02"/>
      <sheetName val="Lateral Broms"/>
      <sheetName val="N-SPT corr"/>
      <sheetName val="Curve N-SPT"/>
      <sheetName val="COST BD"/>
      <sheetName val="Peralatan"/>
      <sheetName val="MSP-Operator Building-Area C"/>
      <sheetName val="galian saluran"/>
      <sheetName val="Ana. PU"/>
      <sheetName val="tr-28202"/>
      <sheetName val="Statprod_gab2"/>
      <sheetName val="L_12"/>
      <sheetName val="Analisa_(ok_punya)"/>
      <sheetName val="Perhit.Alat"/>
      <sheetName val="CF"/>
      <sheetName val="05 Analisa Teknik"/>
      <sheetName val="내역ࠜĀ_x005f"/>
      <sheetName val="내역서 耰&quot;_x005f"/>
      <sheetName val="_x005f_x005f_x005f_x005F_x005f_x005f_"/>
      <sheetName val="당초?ἀ"/>
      <sheetName val="_x0004_?_x000d_?_x0003_?_x0004_?_x0016_?_x000d_?_x0004_"/>
      <sheetName val="_x000a_?_x001b_?_x0006_?_x0006_?_x0008_?_x000a_??"/>
      <sheetName val="내역서_耰&quot;_x005f"/>
      <sheetName val=" ?_x001b_?_x0006_?_x0006_?_x0008_? ??"/>
      <sheetName val="Weekl_x0004_?_x0016_?_x000d_?"/>
      <sheetName val="?_x000e_?_x0005_"/>
      <sheetName val="_x0002_?뻘N??_"/>
      <sheetName val="_x0004_?_x000d_?_x0"/>
      <sheetName val="_x000a_?_x001b_?_x0"/>
      <sheetName val="7422CW_x0013_?"/>
      <sheetName val="OPT_x0012_?_x0010_?_x000a_?"/>
      <sheetName val="?_x0013_?_x0014_"/>
      <sheetName val="Analisa SNI STANDART "/>
      <sheetName val="Site"/>
      <sheetName val="MRS"/>
      <sheetName val="P&amp;L"/>
      <sheetName val="Monthly S Curve SPK"/>
      <sheetName val="Schedul"/>
      <sheetName val="1.B"/>
      <sheetName val="EVAL-ANAL"/>
      <sheetName val="div-6"/>
      <sheetName val="RKP"/>
      <sheetName val="div-2"/>
      <sheetName val="GAEYO"/>
      <sheetName val="CEQ_Master"/>
      <sheetName val="Man_Master"/>
      <sheetName val="여흥"/>
      <sheetName val="Diary"/>
      <sheetName val="RSC"/>
      <sheetName val="TTL_Qty"/>
      <sheetName val="QTY"/>
      <sheetName val="Week ending"/>
      <sheetName val="Planners Workload"/>
      <sheetName val="Setup"/>
      <sheetName val="@"/>
      <sheetName val="05__Curva_S1"/>
      <sheetName val="Other_data"/>
      <sheetName val="SWALE (구산)"/>
      <sheetName val="뜃맟뭁돽띿맟-BLDG"/>
      <sheetName val="(OPTION)"/>
      <sheetName val="¢ç¢®¡¿"/>
      <sheetName val="¢ç"/>
      <sheetName val="¡§"/>
      <sheetName val="¢ç¢®¢¯"/>
      <sheetName val="®¡¿"/>
      <sheetName val="SANDAN.XLS"/>
      <sheetName val="SANDAN_XLS"/>
      <sheetName val="SANDAN_XLS1"/>
      <sheetName val="SANDAN_XLS2"/>
      <sheetName val="-BLDG"/>
      <sheetName val="SANDAN_XLS3"/>
      <sheetName val="SANDAN_XLS4"/>
      <sheetName val="SANDAN_XLS5"/>
      <sheetName val="SANDAN_XLS6"/>
      <sheetName val="SANDAN_XLS7"/>
      <sheetName val="Tabla"/>
      <sheetName val="배합비(99-05-25)"/>
      <sheetName val="UPAH &amp; BHN ARS"/>
      <sheetName val="AHS ARS"/>
      <sheetName val="Analisa HSP"/>
      <sheetName val="입찰내역 발주처 양卤"/>
      <sheetName val="Analisa Neraca"/>
      <sheetName val="Condition"/>
      <sheetName val="InD_Mpower"/>
      <sheetName val="내역서_(∮ἀ嘆ɶ_᠀㬁_1"/>
      <sheetName val="สรุปยอดเหล็กตาม_Cost_Record_VY_"/>
      <sheetName val="แนบ_PR"/>
      <sheetName val="OR21_Final_Forecast_Rev_2"/>
      <sheetName val="Summary_Forecast_Budget_1&amp;2"/>
      <sheetName val="Summary_Forecast_Budget_Rev_2"/>
      <sheetName val="Backup_OR21_"/>
      <sheetName val="Budget_for_ENT"/>
      <sheetName val="ADJ__D-Wall&amp;BR_Ent__Rev_2_1"/>
      <sheetName val="Rebar+Conพื้น_Waste10%"/>
      <sheetName val="Backup_D-Wall_Ent__13_07_19"/>
      <sheetName val="Backup_BR_ENT__13_07_19"/>
      <sheetName val="Final_Forecast_72111"/>
      <sheetName val="IMP_OR21_2019_07_11"/>
      <sheetName val="Concrete_72112"/>
      <sheetName val="หินเกล็ด_"/>
      <sheetName val="เปรียบเทียบBudget_BR_"/>
      <sheetName val="ADJ__BR_Ent__Rev_2_1_(2)"/>
      <sheetName val="แผนงานBarrette_Pile"/>
      <sheetName val="BOQ__VI_03_09_19_"/>
      <sheetName val="Backup_BR_BMA"/>
      <sheetName val="Sum_Budget&amp;Rev_1"/>
      <sheetName val="Sum_Budget_Rev_1"/>
      <sheetName val="Sum_Budget&amp;Rev_1_Rebar"/>
      <sheetName val="Sum_Budget_Rev_2_Rebar"/>
      <sheetName val="Rebar+Conพื้น_Waste10%_Rev_00"/>
      <sheetName val="Rebar+Conพื้น_Waste10%_Rev_01_"/>
      <sheetName val="Equip_Rev_00_Budget"/>
      <sheetName val="Budget_Waterpoofing"/>
      <sheetName val="ABB_Summary"/>
      <sheetName val="Man_power_rate"/>
      <sheetName val="Const_equip_rate"/>
      <sheetName val="01-Gang_Rate_&amp;_Info"/>
      <sheetName val="05-Sum_Cost"/>
      <sheetName val="06-Indirect_Loading"/>
      <sheetName val="07-Heavy_Equipment"/>
      <sheetName val="08-RR_Check_List"/>
      <sheetName val="1)_Risk_and_Opportunities"/>
      <sheetName val="2)_Full_Cost_Calculation"/>
      <sheetName val="F1_4"/>
      <sheetName val="tblg_denda1"/>
      <sheetName val="LRK_"/>
      <sheetName val="Insulation_150108"/>
      <sheetName val="Vehicle_Log"/>
      <sheetName val="M&amp;E_Summary"/>
      <sheetName val="rev_summary"/>
      <sheetName val="M&amp;E_Prelims"/>
      <sheetName val="B-FP_(2)"/>
      <sheetName val="Sch_1"/>
      <sheetName val="PLSt 03  "/>
      <sheetName val="П 7 курс аванса"/>
      <sheetName val="IncStat 03-04"/>
      <sheetName val="IncStat 03  "/>
      <sheetName val="Авансы по СНГ"/>
      <sheetName val="09월"/>
      <sheetName val="10월"/>
      <sheetName val="자금신청서"/>
      <sheetName val="ENE-CAL 1"/>
      <sheetName val="매립"/>
      <sheetName val="phuluc1"/>
      <sheetName val="TONGKE1P"/>
      <sheetName val="TKThep"/>
      <sheetName val="Bang KL"/>
      <sheetName val="소화실적"/>
      <sheetName val="계수"/>
      <sheetName val="수주계획('22)"/>
      <sheetName val="수주계획(22)"/>
      <sheetName val="전계가"/>
      <sheetName val="Monomers"/>
      <sheetName val="BQ_E20_02_Rp_"/>
      <sheetName val="ANAL.BOW"/>
      <sheetName val="Isolasi Luar Dalam"/>
      <sheetName val="Isolasi Luar"/>
      <sheetName val="график финансирования"/>
      <sheetName val="내역서_(N___ 2"/>
      <sheetName val="파이프류"/>
      <sheetName val="변수"/>
      <sheetName val="CAP"/>
      <sheetName val="Data Ref."/>
      <sheetName val="KKS System Codes"/>
      <sheetName val="Price Schedule Code"/>
      <sheetName val="REF.ONLY"/>
      <sheetName val="Assmpns"/>
      <sheetName val="일위"/>
      <sheetName val="JGSummit Package 2 (CTCI)"/>
      <sheetName val="Appendix A"/>
      <sheetName val="MAY 00-Bobbins"/>
      <sheetName val="BALAN1"/>
      <sheetName val="2.2 띠장의 설계"/>
      <sheetName val="(10) Other Costs5"/>
      <sheetName val="7.6.3.J.Inline Instrument"/>
      <sheetName val="F-31"/>
      <sheetName val="6.2 Floor Finishes"/>
      <sheetName val="Addition-ProtectionSummary"/>
      <sheetName val="Project D"/>
      <sheetName val="ARCH"/>
      <sheetName val="Tender Summary"/>
      <sheetName val="SPT_vs_PHI1"/>
      <sheetName val="1_자금요약1"/>
      <sheetName val="2_실행비투입1"/>
      <sheetName val="3_본사집계1"/>
      <sheetName val="3-1_본사투입1"/>
      <sheetName val="4_지사집계1"/>
      <sheetName val="4-1_지사투입1"/>
      <sheetName val="5_현장총집계1"/>
      <sheetName val="5-1_현금집계1"/>
      <sheetName val="5-2_현금출납1"/>
      <sheetName val="5-3_외상집계1"/>
      <sheetName val="5-4_외상투입1"/>
      <sheetName val="6_미지급금1"/>
      <sheetName val="5-5_기타공제집계1"/>
      <sheetName val="5-6_기타공제1"/>
      <sheetName val="7_기성현황(실)1"/>
      <sheetName val="8_한국인수당1"/>
      <sheetName val="8_한국인수당_(Master_file)1"/>
      <sheetName val="9_기타수입1"/>
      <sheetName val="10_투입집계1"/>
      <sheetName val="5-4_외상투입_(2)1"/>
      <sheetName val="16_기성현황(예)1"/>
      <sheetName val="17_자금요약21"/>
      <sheetName val="18_실행대비투입21"/>
      <sheetName val="05__Curva_S2"/>
      <sheetName val="Payment_Certificate-11"/>
      <sheetName val="Floor_wet1"/>
      <sheetName val="Floor_Balcony1"/>
      <sheetName val="Hard_scape_Floor1"/>
      <sheetName val="P03_Skirting1"/>
      <sheetName val="GF_wall1"/>
      <sheetName val="Kitchen_Wall_wet_LIN-7011"/>
      <sheetName val="Wall_wet_LIN-601_1"/>
      <sheetName val="BOQ_(2)1"/>
      <sheetName val="VO_Schedule-11"/>
      <sheetName val="HOLD_AMOUNT1"/>
      <sheetName val="Back_Charge_(2)1"/>
      <sheetName val="Temporary_Deductions-1_1"/>
      <sheetName val="Contracharges_Check_list-1_1"/>
      <sheetName val="PC_031"/>
      <sheetName val="Measurement_sheet1"/>
      <sheetName val="Material_Only1"/>
      <sheetName val="Man_power_supply1"/>
      <sheetName val="Camp_Deduction1"/>
      <sheetName val="Other_data1"/>
      <sheetName val="RESUMEN_CD1"/>
      <sheetName val="BOQ_REV61"/>
      <sheetName val="Maliyet_Ozet1"/>
      <sheetName val="1_1-1_21"/>
      <sheetName val="1_3-_1_41"/>
      <sheetName val="3_11"/>
      <sheetName val="3_21"/>
      <sheetName val="4_1(a)1"/>
      <sheetName val="4_1(b)1"/>
      <sheetName val="4_1_(c)1"/>
      <sheetName val="5_11"/>
      <sheetName val="Consortium_VP1"/>
      <sheetName val="Summary_MONTH1"/>
      <sheetName val="DESICON_SUM1"/>
      <sheetName val="DES_TCF_Rental1"/>
      <sheetName val="DES_TCF_Maints_pers1"/>
      <sheetName val="DES_TCF_Heavy_Equipment1"/>
      <sheetName val="BANK_BOND1"/>
      <sheetName val="PHC_WAREHOUSE_-_INFOONLY1"/>
      <sheetName val="CATERING_CONTROL1"/>
      <sheetName val="SUB_CONTRACT1"/>
      <sheetName val="SPDC_-_INFONLY1"/>
      <sheetName val="VENDOR_SCHEDUL1"/>
      <sheetName val="VENDOR_PRESENCE_-_COMM1"/>
      <sheetName val="VENDOR_PRESENCE_-_RECH1"/>
      <sheetName val="VENDOR_PRESENCE_-_COMM_1"/>
      <sheetName val="CONTRACT_RATES1"/>
      <sheetName val="SPEC(CABLE_&amp;_WIRE)1"/>
      <sheetName val="Enron_Form1"/>
      <sheetName val="SUMMARY_MTO_02_2_351"/>
      <sheetName val="N_G_METERING_CALC_1"/>
      <sheetName val="N_G_METERING1"/>
      <sheetName val="N_G_METERING_(2)1"/>
      <sheetName val="CUMENE_METERING1"/>
      <sheetName val="N2_METERING_1"/>
      <sheetName val="H2_METERING__1"/>
      <sheetName val="CO_METERING1"/>
      <sheetName val="6_공정표1"/>
      <sheetName val="Bill_4_7_Predestain_Bridge_1"/>
      <sheetName val="Bill_4_7_Predestain1"/>
      <sheetName val="1_1_FT_type_11"/>
      <sheetName val="1_2_FT_type_1A1"/>
      <sheetName val="1_3_FT_type_21"/>
      <sheetName val="1_4_FT_type_31"/>
      <sheetName val="1_5_FT_type_41"/>
      <sheetName val="2_1_CL_Outside1"/>
      <sheetName val="2_2_CL_Inside1"/>
      <sheetName val="2_3_CL_Ramp1"/>
      <sheetName val="3_1_CB_Outside1"/>
      <sheetName val="3_2_CB_Inside1"/>
      <sheetName val="4_Stair1"/>
      <sheetName val="5_Ramp1"/>
      <sheetName val="6_Handrail1"/>
      <sheetName val="Invoice_(Interim_No_28)1"/>
      <sheetName val="Cost_Summary1"/>
      <sheetName val="Direct_Cost1"/>
      <sheetName val="Direct_Cost_(2)1"/>
      <sheetName val="Summary_(3)1"/>
      <sheetName val="Indirect_Cost_Summary1"/>
      <sheetName val="1_11_b1"/>
      <sheetName val="5_Cennik1"/>
      <sheetName val="XZLC003_PART1"/>
      <sheetName val="INPUT_TABLE"/>
      <sheetName val="LDB"/>
      <sheetName val="8-31-98"/>
      <sheetName val="combined 9-30"/>
      <sheetName val="worksheet inchican"/>
      <sheetName val="combined_9-30"/>
      <sheetName val="worksheet_inchican"/>
      <sheetName val="combined_9-301"/>
      <sheetName val="worksheet_inchican1"/>
      <sheetName val="8_31_98"/>
      <sheetName val="combined 9_30"/>
      <sheetName val="bar chart-rev"/>
      <sheetName val="combined_9_30"/>
      <sheetName val="bar_chart-rev"/>
      <sheetName val="combined_9_301"/>
      <sheetName val="bar_chart-rev1"/>
      <sheetName val="MATERIAL'S PRICE"/>
      <sheetName val="combined_9-303"/>
      <sheetName val="worksheet_inchican3"/>
      <sheetName val="combined_9_303"/>
      <sheetName val="bar_chart-rev3"/>
      <sheetName val="MATERIAL'S_PRICE1"/>
      <sheetName val="combined_9-302"/>
      <sheetName val="worksheet_inchican2"/>
      <sheetName val="combined_9_302"/>
      <sheetName val="bar_chart-rev2"/>
      <sheetName val="MATERIAL'S_PRICE"/>
      <sheetName val="arch-derivation"/>
      <sheetName val="Schedule S-Curve Revision#3"/>
      <sheetName val="Schedule_S-Curve_Revision#31"/>
      <sheetName val="Schedule_S-Curve_Revision#3"/>
      <sheetName val="PC &amp; PVS"/>
      <sheetName val="combined_9-304"/>
      <sheetName val="worksheet_inchican4"/>
      <sheetName val="combined_9_304"/>
      <sheetName val="bar_chart-rev4"/>
      <sheetName val="MATERIAL'S_PRICE2"/>
      <sheetName val="combined_9-305"/>
      <sheetName val="worksheet_inchican5"/>
      <sheetName val="combined_9_305"/>
      <sheetName val="bar_chart-rev5"/>
      <sheetName val="MATERIAL'S_PRICE3"/>
      <sheetName val="2.223M_due to adj profit"/>
      <sheetName val="derive"/>
      <sheetName val="Factor"/>
      <sheetName val="deriv"/>
      <sheetName val="Inchican Road Accomplishment"/>
      <sheetName val="Bill3-Basement"/>
      <sheetName val="combined_9-306"/>
      <sheetName val="worksheet_inchican6"/>
      <sheetName val="combined_9_306"/>
      <sheetName val="bar_chart-rev6"/>
      <sheetName val="MATERIAL'S_PRICE4"/>
      <sheetName val="Schedule_S-Curve_Revision#32"/>
      <sheetName val="PC_&amp;_PVS"/>
      <sheetName val="combined_9-307"/>
      <sheetName val="worksheet_inchican7"/>
      <sheetName val="combined_9_307"/>
      <sheetName val="bar_chart-rev7"/>
      <sheetName val="MATERIAL'S_PRICE5"/>
      <sheetName val="Schedule_S-Curve_Revision#33"/>
      <sheetName val="PC_&amp;_PVS1"/>
      <sheetName val="combined_9-308"/>
      <sheetName val="worksheet_inchican8"/>
      <sheetName val="combined_9_308"/>
      <sheetName val="bar_chart-rev8"/>
      <sheetName val="MATERIAL'S_PRICE6"/>
      <sheetName val="Schedule_S-Curve_Revision#34"/>
      <sheetName val="PC_&amp;_PVS2"/>
      <sheetName val="Shut down"/>
      <sheetName val="Building"/>
      <sheetName val="HSBC"/>
      <sheetName val="bill 2"/>
      <sheetName val="combined_9-309"/>
      <sheetName val="worksheet_inchican9"/>
      <sheetName val="combined_9_309"/>
      <sheetName val="bar_chart-rev9"/>
      <sheetName val="MATERIAL'S_PRICE7"/>
      <sheetName val="Schedule_S-Curve_Revision#36"/>
      <sheetName val="Schedule_S-Curve_Revision#35"/>
      <sheetName val="P2P"/>
      <sheetName val="combined_9-3010"/>
      <sheetName val="worksheet_inchican10"/>
      <sheetName val="combined_9_3010"/>
      <sheetName val="bar_chart-rev10"/>
      <sheetName val="MATERIAL'S_PRICE8"/>
      <sheetName val="PC_&amp;_PVS4"/>
      <sheetName val="PC_&amp;_PVS3"/>
      <sheetName val="factors"/>
      <sheetName val="s-31-98"/>
      <sheetName val="sorksheet inchican"/>
      <sheetName val="sombined 9-30"/>
      <sheetName val="30120302(PT3)-Nov"/>
      <sheetName val="S-Curve"/>
      <sheetName val="OPT1"/>
      <sheetName val="03"/>
      <sheetName val="REBAR"/>
      <sheetName val="PH 5"/>
      <sheetName val="Inchican_Road_Accomplishment"/>
      <sheetName val="Inchican_Road_Accomplishment2"/>
      <sheetName val="4-Lane_bridge2"/>
      <sheetName val="Inchican_Road_Accomplishment1"/>
      <sheetName val="4-Lane_bridge1"/>
      <sheetName val="MU"/>
      <sheetName val="CONTRACT-SUM"/>
      <sheetName val="remaining billing"/>
      <sheetName val="Hac.Lots"/>
      <sheetName val="Res.Lots"/>
      <sheetName val="Spine Road"/>
      <sheetName val="CSA"/>
      <sheetName val="INPUT DATA HERE"/>
      <sheetName val="combined_9-3011"/>
      <sheetName val="worksheet_inchican11"/>
      <sheetName val="combined_9_3011"/>
      <sheetName val="bar_chart-rev11"/>
      <sheetName val="MATERIAL'S_PRICE9"/>
      <sheetName val="Schedule_S-Curve_Revision#37"/>
      <sheetName val="PC_&amp;_PVS5"/>
      <sheetName val="2_223M_due_to_adj_profit"/>
      <sheetName val="bill_2"/>
      <sheetName val="Shut_down"/>
      <sheetName val="sorksheet_inchican"/>
      <sheetName val="sombined_9-30"/>
      <sheetName val="PH_5"/>
      <sheetName val="conditions"/>
      <sheetName val="openings"/>
      <sheetName val="option Y1"/>
      <sheetName val="Poundage"/>
      <sheetName val="4-Lane_bridge3"/>
      <sheetName val="Inchican_Road_Accomplishment3"/>
      <sheetName val="Land_Dev't__Ph-13"/>
      <sheetName val="remaining_billing"/>
      <sheetName val="Hac_Lots"/>
      <sheetName val="Res_Lots"/>
      <sheetName val="Spine_Road"/>
      <sheetName val="derivationB2&amp;B3"/>
      <sheetName val="Summary (overall)"/>
      <sheetName val="breakdown"/>
      <sheetName val="Adimi bldg"/>
      <sheetName val="Pump House"/>
      <sheetName val="Fuel Regu Station"/>
      <sheetName val="combined_9-3012"/>
      <sheetName val="worksheet_inchican12"/>
      <sheetName val="combined_9_3012"/>
      <sheetName val="bar_chart-rev12"/>
      <sheetName val="MATERIAL'S_PRICE10"/>
      <sheetName val="Schedule_S-Curve_Revision#38"/>
      <sheetName val="PC_&amp;_PVS6"/>
      <sheetName val="2_223M_due_to_adj_profit1"/>
      <sheetName val="4-Lane_bridge4"/>
      <sheetName val="Inchican_Road_Accomplishment4"/>
      <sheetName val="Land_Dev't__Ph-14"/>
      <sheetName val="bill_21"/>
      <sheetName val="Shut_down1"/>
      <sheetName val="sorksheet_inchican1"/>
      <sheetName val="sombined_9-301"/>
      <sheetName val="PH_51"/>
      <sheetName val="remaining_billing1"/>
      <sheetName val="Hac_Lots1"/>
      <sheetName val="Res_Lots1"/>
      <sheetName val="Spine_Road1"/>
      <sheetName val="INPUT_DATA_HERE"/>
      <sheetName val="option_Y1"/>
      <sheetName val="combined_9-3013"/>
      <sheetName val="worksheet_inchican13"/>
      <sheetName val="combined_9_3013"/>
      <sheetName val="bar_chart-rev13"/>
      <sheetName val="MATERIAL'S_PRICE11"/>
      <sheetName val="Schedule_S-Curve_Revision#39"/>
      <sheetName val="PC_&amp;_PVS7"/>
      <sheetName val="2_223M_due_to_adj_profit2"/>
      <sheetName val="4-Lane_bridge5"/>
      <sheetName val="Inchican_Road_Accomplishment5"/>
      <sheetName val="Land_Dev't__Ph-15"/>
      <sheetName val="bill_22"/>
      <sheetName val="Shut_down2"/>
      <sheetName val="sorksheet_inchican2"/>
      <sheetName val="sombined_9-302"/>
      <sheetName val="PH_52"/>
      <sheetName val="remaining_billing2"/>
      <sheetName val="Hac_Lots2"/>
      <sheetName val="Res_Lots2"/>
      <sheetName val="Spine_Road2"/>
      <sheetName val="INPUT_DATA_HERE1"/>
      <sheetName val="option_Y11"/>
      <sheetName val="combined_9-3014"/>
      <sheetName val="worksheet_inchican14"/>
      <sheetName val="combined_9_3014"/>
      <sheetName val="bar_chart-rev14"/>
      <sheetName val="MATERIAL'S_PRICE12"/>
      <sheetName val="Schedule_S-Curve_Revision#310"/>
      <sheetName val="PC_&amp;_PVS8"/>
      <sheetName val="2_223M_due_to_adj_profit3"/>
      <sheetName val="4-Lane_bridge6"/>
      <sheetName val="Inchican_Road_Accomplishment6"/>
      <sheetName val="Land_Dev't__Ph-16"/>
      <sheetName val="bill_23"/>
      <sheetName val="Shut_down3"/>
      <sheetName val="sorksheet_inchican3"/>
      <sheetName val="sombined_9-303"/>
      <sheetName val="PH_53"/>
      <sheetName val="remaining_billing3"/>
      <sheetName val="Hac_Lots3"/>
      <sheetName val="Res_Lots3"/>
      <sheetName val="Spine_Road3"/>
      <sheetName val="INPUT_DATA_HERE2"/>
      <sheetName val="option_Y12"/>
      <sheetName val="combined_9-3015"/>
      <sheetName val="worksheet_inchican15"/>
      <sheetName val="combined_9_3015"/>
      <sheetName val="bar_chart-rev15"/>
      <sheetName val="MATERIAL'S_PRICE13"/>
      <sheetName val="Schedule_S-Curve_Revision#311"/>
      <sheetName val="PC_&amp;_PVS9"/>
      <sheetName val="2_223M_due_to_adj_profit4"/>
      <sheetName val="4-Lane_bridge7"/>
      <sheetName val="Inchican_Road_Accomplishment7"/>
      <sheetName val="Land_Dev't__Ph-17"/>
      <sheetName val="bill_24"/>
      <sheetName val="Shut_down4"/>
      <sheetName val="sorksheet_inchican4"/>
      <sheetName val="sombined_9-304"/>
      <sheetName val="PH_54"/>
      <sheetName val="remaining_billing4"/>
      <sheetName val="Hac_Lots4"/>
      <sheetName val="Res_Lots4"/>
      <sheetName val="Spine_Road4"/>
      <sheetName val="INPUT_DATA_HERE3"/>
      <sheetName val="option_Y13"/>
      <sheetName val="combined_9-3016"/>
      <sheetName val="worksheet_inchican16"/>
      <sheetName val="combined_9_3016"/>
      <sheetName val="bar_chart-rev16"/>
      <sheetName val="MATERIAL'S_PRICE14"/>
      <sheetName val="Schedule_S-Curve_Revision#312"/>
      <sheetName val="PC_&amp;_PVS10"/>
      <sheetName val="2_223M_due_to_adj_profit5"/>
      <sheetName val="4-Lane_bridge8"/>
      <sheetName val="Inchican_Road_Accomplishment8"/>
      <sheetName val="Land_Dev't__Ph-18"/>
      <sheetName val="bill_25"/>
      <sheetName val="Shut_down5"/>
      <sheetName val="sorksheet_inchican5"/>
      <sheetName val="sombined_9-305"/>
      <sheetName val="PH_55"/>
      <sheetName val="remaining_billing5"/>
      <sheetName val="Hac_Lots5"/>
      <sheetName val="Res_Lots5"/>
      <sheetName val="Spine_Road5"/>
      <sheetName val="INPUT_DATA_HERE4"/>
      <sheetName val="option_Y14"/>
      <sheetName val="combined_9-3017"/>
      <sheetName val="worksheet_inchican17"/>
      <sheetName val="combined_9_3017"/>
      <sheetName val="bar_chart-rev17"/>
      <sheetName val="MATERIAL'S_PRICE15"/>
      <sheetName val="Schedule_S-Curve_Revision#313"/>
      <sheetName val="PC_&amp;_PVS11"/>
      <sheetName val="2_223M_due_to_adj_profit6"/>
      <sheetName val="Material_Price6"/>
      <sheetName val="4-Lane_bridge9"/>
      <sheetName val="Inchican_Road_Accomplishment9"/>
      <sheetName val="Land_Dev't__Ph-19"/>
      <sheetName val="bill_26"/>
      <sheetName val="Shut_down6"/>
      <sheetName val="sorksheet_inchican6"/>
      <sheetName val="sombined_9-306"/>
      <sheetName val="PH_56"/>
      <sheetName val="remaining_billing6"/>
      <sheetName val="Hac_Lots6"/>
      <sheetName val="Res_Lots6"/>
      <sheetName val="Spine_Road6"/>
      <sheetName val="INPUT_DATA_HERE5"/>
      <sheetName val="option_Y15"/>
      <sheetName val="combined_9-3018"/>
      <sheetName val="worksheet_inchican18"/>
      <sheetName val="combined_9_3018"/>
      <sheetName val="bar_chart-rev18"/>
      <sheetName val="MATERIAL'S_PRICE16"/>
      <sheetName val="Schedule_S-Curve_Revision#314"/>
      <sheetName val="PC_&amp;_PVS12"/>
      <sheetName val="2_223M_due_to_adj_profit7"/>
      <sheetName val="Material_Price7"/>
      <sheetName val="4-Lane_bridge10"/>
      <sheetName val="Inchican_Road_Accomplishment10"/>
      <sheetName val="Land_Dev't__Ph-110"/>
      <sheetName val="bill_27"/>
      <sheetName val="Shut_down7"/>
      <sheetName val="remaining_billing7"/>
      <sheetName val="Hac_Lots7"/>
      <sheetName val="Res_Lots7"/>
      <sheetName val="Spine_Road7"/>
      <sheetName val="sorksheet_inchican7"/>
      <sheetName val="sombined_9-307"/>
      <sheetName val="INPUT_DATA_HERE6"/>
      <sheetName val="PH_57"/>
      <sheetName val="option_Y16"/>
      <sheetName val="combined_9-3019"/>
      <sheetName val="worksheet_inchican19"/>
      <sheetName val="combined_9_3019"/>
      <sheetName val="bar_chart-rev19"/>
      <sheetName val="MATERIAL'S_PRICE17"/>
      <sheetName val="Schedule_S-Curve_Revision#315"/>
      <sheetName val="PC_&amp;_PVS13"/>
      <sheetName val="2_223M_due_to_adj_profit8"/>
      <sheetName val="Material_Price8"/>
      <sheetName val="4-Lane_bridge11"/>
      <sheetName val="Inchican_Road_Accomplishment11"/>
      <sheetName val="Land_Dev't__Ph-111"/>
      <sheetName val="bill_28"/>
      <sheetName val="Shut_down8"/>
      <sheetName val="sorksheet_inchican8"/>
      <sheetName val="sombined_9-308"/>
      <sheetName val="PH_58"/>
      <sheetName val="remaining_billing8"/>
      <sheetName val="Hac_Lots8"/>
      <sheetName val="Res_Lots8"/>
      <sheetName val="Spine_Road8"/>
      <sheetName val="INPUT_DATA_HERE7"/>
      <sheetName val="option_Y17"/>
      <sheetName val="combined_9-3020"/>
      <sheetName val="worksheet_inchican20"/>
      <sheetName val="combined_9_3020"/>
      <sheetName val="bar_chart-rev20"/>
      <sheetName val="MATERIAL'S_PRICE18"/>
      <sheetName val="Schedule_S-Curve_Revision#316"/>
      <sheetName val="PC_&amp;_PVS14"/>
      <sheetName val="2_223M_due_to_adj_profit9"/>
      <sheetName val="Material_Price9"/>
      <sheetName val="4-Lane_bridge12"/>
      <sheetName val="Inchican_Road_Accomplishment12"/>
      <sheetName val="Land_Dev't__Ph-112"/>
      <sheetName val="bill_29"/>
      <sheetName val="Shut_down9"/>
      <sheetName val="sorksheet_inchican9"/>
      <sheetName val="sombined_9-309"/>
      <sheetName val="PH_59"/>
      <sheetName val="remaining_billing9"/>
      <sheetName val="Hac_Lots9"/>
      <sheetName val="Res_Lots9"/>
      <sheetName val="Spine_Road9"/>
      <sheetName val="INPUT_DATA_HERE8"/>
      <sheetName val="option_Y18"/>
      <sheetName val="combined_9-3021"/>
      <sheetName val="worksheet_inchican21"/>
      <sheetName val="combined_9_3021"/>
      <sheetName val="bar_chart-rev21"/>
      <sheetName val="MATERIAL'S_PRICE19"/>
      <sheetName val="Schedule_S-Curve_Revision#317"/>
      <sheetName val="PC_&amp;_PVS15"/>
      <sheetName val="2_223M_due_to_adj_profit10"/>
      <sheetName val="Material_Price10"/>
      <sheetName val="4-Lane_bridge13"/>
      <sheetName val="Inchican_Road_Accomplishment13"/>
      <sheetName val="Land_Dev't__Ph-113"/>
      <sheetName val="bill_210"/>
      <sheetName val="Shut_down10"/>
      <sheetName val="sorksheet_inchican10"/>
      <sheetName val="sombined_9-3010"/>
      <sheetName val="PH_510"/>
      <sheetName val="remaining_billing10"/>
      <sheetName val="Hac_Lots10"/>
      <sheetName val="Res_Lots10"/>
      <sheetName val="Spine_Road10"/>
      <sheetName val="INPUT_DATA_HERE9"/>
      <sheetName val="option_Y19"/>
      <sheetName val="combined_9-3022"/>
      <sheetName val="worksheet_inchican22"/>
      <sheetName val="combined_9_3022"/>
      <sheetName val="bar_chart-rev22"/>
      <sheetName val="MATERIAL'S_PRICE20"/>
      <sheetName val="Schedule_S-Curve_Revision#318"/>
      <sheetName val="PC_&amp;_PVS16"/>
      <sheetName val="2_223M_due_to_adj_profit11"/>
      <sheetName val="Material_Price11"/>
      <sheetName val="4-Lane_bridge14"/>
      <sheetName val="Inchican_Road_Accomplishment14"/>
      <sheetName val="Land_Dev't__Ph-114"/>
      <sheetName val="bill_211"/>
      <sheetName val="Shut_down11"/>
      <sheetName val="sorksheet_inchican11"/>
      <sheetName val="sombined_9-3011"/>
      <sheetName val="PH_511"/>
      <sheetName val="remaining_billing11"/>
      <sheetName val="Hac_Lots11"/>
      <sheetName val="Res_Lots11"/>
      <sheetName val="Spine_Road11"/>
      <sheetName val="INPUT_DATA_HERE10"/>
      <sheetName val="option_Y110"/>
      <sheetName val="combined_9-3023"/>
      <sheetName val="worksheet_inchican23"/>
      <sheetName val="combined_9_3023"/>
      <sheetName val="bar_chart-rev23"/>
      <sheetName val="MATERIAL'S_PRICE21"/>
      <sheetName val="Schedule_S-Curve_Revision#319"/>
      <sheetName val="PC_&amp;_PVS17"/>
      <sheetName val="2_223M_due_to_adj_profit12"/>
      <sheetName val="Material_Price12"/>
      <sheetName val="4-Lane_bridge15"/>
      <sheetName val="Inchican_Road_Accomplishment15"/>
      <sheetName val="Land_Dev't__Ph-115"/>
      <sheetName val="bill_212"/>
      <sheetName val="Shut_down12"/>
      <sheetName val="sorksheet_inchican12"/>
      <sheetName val="sombined_9-3012"/>
      <sheetName val="PH_512"/>
      <sheetName val="remaining_billing12"/>
      <sheetName val="Hac_Lots12"/>
      <sheetName val="Res_Lots12"/>
      <sheetName val="Spine_Road12"/>
      <sheetName val="INPUT_DATA_HERE11"/>
      <sheetName val="option_Y111"/>
      <sheetName val="Footing Tie Beam"/>
      <sheetName val="combined_9-3024"/>
      <sheetName val="worksheet_inchican24"/>
      <sheetName val="combined_9_3024"/>
      <sheetName val="bar_chart-rev24"/>
      <sheetName val="MATERIAL'S_PRICE22"/>
      <sheetName val="Schedule_S-Curve_Revision#320"/>
      <sheetName val="PC_&amp;_PVS18"/>
      <sheetName val="2_223M_due_to_adj_profit13"/>
      <sheetName val="Material_Price13"/>
      <sheetName val="4-Lane_bridge16"/>
      <sheetName val="Inchican_Road_Accomplishment16"/>
      <sheetName val="Land_Dev't__Ph-116"/>
      <sheetName val="bill_213"/>
      <sheetName val="Shut_down13"/>
      <sheetName val="sorksheet_inchican13"/>
      <sheetName val="sombined_9-3013"/>
      <sheetName val="PH_513"/>
      <sheetName val="remaining_billing13"/>
      <sheetName val="Hac_Lots13"/>
      <sheetName val="Res_Lots13"/>
      <sheetName val="Spine_Road13"/>
      <sheetName val="INPUT_DATA_HERE12"/>
      <sheetName val="option_Y112"/>
      <sheetName val="UTILITIES"/>
      <sheetName val="FINAL NEGO"/>
      <sheetName val="DISCUSSION"/>
      <sheetName val="SIGN-OFF"/>
      <sheetName val="RFP Codes"/>
      <sheetName val="Bill summary of cost"/>
      <sheetName val="unit price"/>
      <sheetName val="Schedule S-Curve (new scheme)"/>
      <sheetName val="UPA-struc"/>
      <sheetName val="Fire Suppression"/>
      <sheetName val="revised#1"/>
      <sheetName val="Materials"/>
      <sheetName val="lookups"/>
      <sheetName val="tabulation (comparison)"/>
      <sheetName val="area comp 2011 01 18"/>
      <sheetName val="combined_9-3025"/>
      <sheetName val="worksheet_inchican25"/>
      <sheetName val="combined_9_3025"/>
      <sheetName val="bar_chart-rev25"/>
      <sheetName val="MATERIAL'S_PRICE23"/>
      <sheetName val="PC_&amp;_PVS19"/>
      <sheetName val="Schedule_S-Curve_Revision#321"/>
      <sheetName val="Land_Dev't__Ph-117"/>
      <sheetName val="4-Lane_bridge17"/>
      <sheetName val="2_223M_due_to_adj_profit14"/>
      <sheetName val="Material_Price14"/>
      <sheetName val="Inchican_Road_Accomplishment17"/>
      <sheetName val="Shut_down14"/>
      <sheetName val="bill_214"/>
      <sheetName val="sorksheet_inchican14"/>
      <sheetName val="sombined_9-3014"/>
      <sheetName val="PH_514"/>
      <sheetName val="option_Y113"/>
      <sheetName val="remaining_billing14"/>
      <sheetName val="Hac_Lots14"/>
      <sheetName val="Res_Lots14"/>
      <sheetName val="Spine_Road14"/>
      <sheetName val="INPUT_DATA_HERE13"/>
      <sheetName val="Summary_(overall)"/>
      <sheetName val="Adimi_bldg"/>
      <sheetName val="Pump_House"/>
      <sheetName val="Fuel_Regu_Station"/>
      <sheetName val="FINAL_NEGO"/>
      <sheetName val="Footing_Tie_Beam"/>
      <sheetName val="RFP_Codes"/>
      <sheetName val="Bill_summary_of_cost"/>
      <sheetName val="unit_price"/>
      <sheetName val="Schedule_S-Curve_(new_scheme)"/>
      <sheetName val="Fire_Suppression"/>
      <sheetName val="tabulation_(comparison)"/>
      <sheetName val="area_comp_2011_01_18"/>
      <sheetName val="Addendum_No_1_BILL_2"/>
      <sheetName val="Tabulation "/>
      <sheetName val="afis"/>
      <sheetName val="COLUMN"/>
      <sheetName val="3.-RESOURCE LIST"/>
      <sheetName val="0.-SUMMARY"/>
      <sheetName val="3.2.AUX"/>
      <sheetName val="3.3.AUX-2"/>
      <sheetName val="見管SＴ"/>
      <sheetName val="見管ＧＴ"/>
      <sheetName val="GRAND SUM"/>
      <sheetName val="VCC 11110-461"/>
      <sheetName val="S1BOQ"/>
      <sheetName val="C1 (calcolo)"/>
      <sheetName val="TABLO-3"/>
      <sheetName val="CC"/>
      <sheetName val="5.5FWBS CODE"/>
      <sheetName val="JKT"/>
      <sheetName val="1195 B1"/>
      <sheetName val="page 6"/>
      <sheetName val="Capel KI"/>
      <sheetName val="Capel PK"/>
      <sheetName val="Summary HS Pipa CS"/>
      <sheetName val="AsumsiDasar"/>
      <sheetName val="Raw Data-Combined"/>
      <sheetName val="Rates"/>
      <sheetName val="Spread"/>
      <sheetName val="TRNS-C1"/>
      <sheetName val="plumbing"/>
      <sheetName val="MANPOWER-RATES"/>
      <sheetName val="EQUIPMENT-PRICE"/>
      <sheetName val="Instrument Proc"/>
      <sheetName val="MTO Civil Work"/>
      <sheetName val="Sched 3 (Construction)"/>
      <sheetName val="Sched 1 (Engineering)"/>
      <sheetName val="Sched 2 (Procurement "/>
      <sheetName val="JOB Code"/>
      <sheetName val="Days"/>
      <sheetName val="COVER_RECAP_INSTALL (2)"/>
      <sheetName val="COVER_RECAP_INSTALL"/>
      <sheetName val="Rekap Summary"/>
      <sheetName val="Rekap Breakdown"/>
      <sheetName val="Mapping"/>
      <sheetName val="Acceptance"/>
      <sheetName val="ISR"/>
      <sheetName val="Detail Eng"/>
      <sheetName val="Equiv.Length"/>
      <sheetName val="lkalibrasi BENENAIN"/>
      <sheetName val="HSATUAN"/>
      <sheetName val="Terbilang"/>
      <sheetName val="har-sat"/>
      <sheetName val="Harga Mat "/>
      <sheetName val="Definitions"/>
      <sheetName val="_x005f_x005f_x00ည톐ឮ"/>
      <sheetName val="Integrated-S Curve"/>
      <sheetName val="변경내역대비표(2)"/>
      <sheetName val="Lists"/>
      <sheetName val="Riser-1"/>
      <sheetName val="6_2_Floor_Finishes"/>
      <sheetName val="CC8"/>
      <sheetName val="SOR"/>
      <sheetName val="FR"/>
      <sheetName val="Elektrikal"/>
      <sheetName val="PESANTREN"/>
      <sheetName val="G"/>
      <sheetName val=" hrg bhn"/>
      <sheetName val="BAHAN"/>
      <sheetName val="Page1"/>
      <sheetName val="Home Office"/>
      <sheetName val="Process Piping"/>
      <sheetName val="REQDELTA"/>
      <sheetName val="기준"/>
      <sheetName val="IndirectSum"/>
      <sheetName val="2공구산출내역"/>
      <sheetName val="MSH51C"/>
      <sheetName val="Micro"/>
      <sheetName val="Macro"/>
      <sheetName val="Accountingword"/>
      <sheetName val="Main Control"/>
      <sheetName val="upa"/>
      <sheetName val="Ra  stair"/>
      <sheetName val="热工设备"/>
      <sheetName val="仪表设备"/>
      <sheetName val="Man Power"/>
      <sheetName val="grafik"/>
      <sheetName val="OP-DSU"/>
      <sheetName val="pro ra op"/>
      <sheetName val="analis standar(8m)"/>
      <sheetName val="Ex_Rate"/>
      <sheetName val="ShareCapital "/>
      <sheetName val="Inventories"/>
      <sheetName val="BAG_2"/>
      <sheetName val="HS"/>
      <sheetName val="Koordinat"/>
      <sheetName val="3-DIV4"/>
      <sheetName val="ANALIS"/>
      <sheetName val="_x005f_x0002__x005f_x0000_뻘N_x005f_x0000__x005f_x0000__"/>
      <sheetName val="내역서 (∮ἀ嘆ɶ_x005f_x0000_᠀㬁_x005f_x0000_"/>
      <sheetName val="당초_x005f_xd8b4_∸ἀ"/>
      <sheetName val="_x005f_x0002__뻘N___x005f_x0001_ࠀ역서"/>
      <sheetName val="_x005f_x0002_"/>
      <sheetName val="_x005f_x0004__x005f_x0000__x005f_x000d__x005f_x0000__x0"/>
      <sheetName val="_x005f_x000a__x005f_x0000__x005f_x001b__x005f_x0000__x0"/>
      <sheetName val="_x005f_x000a__x005f_x000a_"/>
      <sheetName val="_x005f_x0004_"/>
      <sheetName val="_x005f_x000a_"/>
      <sheetName val=" _x005f_x0000__x005f_x001b__x005f_x0000__x005f_x0006__x"/>
      <sheetName val="내역서 耰&quot;_x005f_x005f_x005f_x0000__x0000"/>
      <sheetName val="_x005f_x005f_x005f_x005f_x005f_x005f_x005f_x005f_"/>
      <sheetName val="Weekl_x005f_x0004__x005f_x0000__x005f_x0016__x000"/>
      <sheetName val="_x005f_x0000__x005f_x000e__x005f_x0000__x005f_x0005_"/>
      <sheetName val="내역서_(N_x005f_x0009__x005f_x000e__x005f_x000e__x00"/>
      <sheetName val="내역서_(N _x005f_x000e__x005f_x000e__x005f_x000e_  _"/>
      <sheetName val="내역서_耰&quot;_x005f_x005f_x005f_x0000__x0000"/>
      <sheetName val="7422CW_x005f_x0013__x005f_x0000_"/>
      <sheetName val="OPT_x005f_x0012__x005f_x0000__x005f_x0010__x005f_x0000_"/>
      <sheetName val="_x005f_x0000__x005f_x0013__x005f_x0000__x005f_x0014_"/>
      <sheetName val="Weekl_x005f_x0004_"/>
      <sheetName val="내역서_耰&quot;_x005f_x005f_x005f_x0000__x0001"/>
      <sheetName val="내역서_耰&quot;_x005f_x005f_x005f_x005f_x00001"/>
      <sheetName val="내역서_耰&quot;_x005f_x005f_x005f_x005f_x005f1"/>
      <sheetName val="내역서_耰&quot;_x005f_x005f_x005f_x0000__x0002"/>
      <sheetName val="내역서_耰&quot;_x005f_x005f_x005f_x005f_x00002"/>
      <sheetName val="내역서_耰&quot;_x005f_x005f_x005f_x005f_x005f2"/>
      <sheetName val="실행집_x005f_x0005_"/>
      <sheetName val="내역서_耰&quot;_x005f_x005f_x005f_x0000__x00001"/>
      <sheetName val="Weekl_x005f_x000a_"/>
      <sheetName val="내역서_(N____x005f_x000a_"/>
      <sheetName val="내역서_(N   _x005f_x000a_"/>
      <sheetName val="_x005f_x000a__x0"/>
      <sheetName val="OPT_x005f_x000a_"/>
      <sheetName val="9-1차이내역"/>
      <sheetName val="Bangunan Utama"/>
      <sheetName val="daf-3(OK)"/>
      <sheetName val="daf-7(OK)"/>
      <sheetName val="Hrg.Sat"/>
      <sheetName val="음료실행"/>
      <sheetName val="Áý°èÇ¥_(TOTAN)5"/>
      <sheetName val="단가표"/>
      <sheetName val="_______x005f_x005f_x005f_x0000__x005f_x005f_x00_2"/>
      <sheetName val="_____x005f_x005f_x005f_x005f_x005f_x005f_x005f_x0000__2"/>
      <sheetName val="_______x005f_x005f_x005f_x005f_x005f_x005f_x000_2"/>
      <sheetName val="Section 1"/>
      <sheetName val="GKP"/>
      <sheetName val="renc mgn"/>
      <sheetName val="내역서 耰&quot;_x005f_x0000__x005f_x005f_x0000"/>
      <sheetName val="SCOPES"/>
      <sheetName val="분양가표"/>
      <sheetName val="Mucluc"/>
      <sheetName val="Dinh muc CP KTCB khac"/>
      <sheetName val="TH May TC"/>
      <sheetName val="KLDT DIEN"/>
      <sheetName val="PTVT DIEN"/>
      <sheetName val="TH kinh phi"/>
      <sheetName val="Thong ke thiet bi"/>
      <sheetName val="TH vat tu"/>
      <sheetName val="Earthwork"/>
      <sheetName val="BREAKDOWN-PRICE"/>
      <sheetName val="A.SIS"/>
      <sheetName val="BQ-E20-02(Rp)"/>
      <sheetName val="gia vt"/>
      <sheetName val="1.BILL MOI THAU CAN THUONG"/>
      <sheetName val="PHAN NGAM"/>
      <sheetName val="SITE-E"/>
      <sheetName val="sch6-rm"/>
      <sheetName val="침하계"/>
      <sheetName val="hs-str"/>
      <sheetName val="hs_str"/>
      <sheetName val="Rekap Addendum"/>
      <sheetName val="6"/>
      <sheetName val="7"/>
      <sheetName val="8"/>
      <sheetName val="9"/>
      <sheetName val="11"/>
      <sheetName val="12"/>
      <sheetName val="13"/>
      <sheetName val="14"/>
      <sheetName val="15"/>
      <sheetName val="17"/>
      <sheetName val="18"/>
      <sheetName val="19"/>
      <sheetName val="20"/>
      <sheetName val="4"/>
      <sheetName val="AT 2"/>
      <sheetName val="Jateng"/>
      <sheetName val="Jatim"/>
      <sheetName val="Steel-Twr"/>
      <sheetName val="Alat"/>
      <sheetName val="EST_EQUIPOS"/>
      <sheetName val="내역서_耰&quot;10"/>
      <sheetName val="TR_Rev_vs_Commit1"/>
      <sheetName val="TR_+MMHE_PL_report1"/>
      <sheetName val="P23P2724___Commitment_1"/>
      <sheetName val="Precios_Unitariԯ2"/>
      <sheetName val="สรุปยอดเหล็กตาม_Cost_Record_VY1"/>
      <sheetName val="แนบ_PR1"/>
      <sheetName val="OR21_Final_Forecast_Rev_21"/>
      <sheetName val="Summary_Forecast_Budget_1&amp;21"/>
      <sheetName val="Summary_Forecast_Budget_Rev_21"/>
      <sheetName val="Backup_OR21_1"/>
      <sheetName val="Budget_for_ENT1"/>
      <sheetName val="ADJ__D-Wall&amp;BR_Ent__Rev_2_11"/>
      <sheetName val="Rebar+Conพื้น_Waste10%1"/>
      <sheetName val="Backup_D-Wall_Ent__13_07_191"/>
      <sheetName val="Backup_BR_ENT__13_07_191"/>
      <sheetName val="Final_Forecast_721111"/>
      <sheetName val="IMP_OR21_2019_07_111"/>
      <sheetName val="Concrete_721121"/>
      <sheetName val="หินเกล็ด_1"/>
      <sheetName val="เปรียบเทียบBudget_BR_1"/>
      <sheetName val="ADJ__BR_Ent__Rev_2_1_(2)1"/>
      <sheetName val="แผนงานBarrette_Pile1"/>
      <sheetName val="BOQ__VI_03_09_19_1"/>
      <sheetName val="Backup_BR_BMA1"/>
      <sheetName val="Sum_Budget&amp;Rev_11"/>
      <sheetName val="Sum_Budget_Rev_11"/>
      <sheetName val="Sum_Budget&amp;Rev_1_Rebar1"/>
      <sheetName val="Sum_Budget_Rev_2_Rebar1"/>
      <sheetName val="Rebar+Conพื้น_Waste10%_Rev_001"/>
      <sheetName val="Rebar+Conพื้น_Waste10%_Rev_01_1"/>
      <sheetName val="Equip_Rev_00_Budget1"/>
      <sheetName val="Budget_Waterpoofing1"/>
      <sheetName val="Sch_61"/>
      <sheetName val="InD_Mpower1"/>
      <sheetName val="내역서_(∮ἀ嘆ɶ_᠀㬁_2"/>
      <sheetName val="Vehicle_Log1"/>
      <sheetName val="M&amp;E_Summary1"/>
      <sheetName val="rev_summary1"/>
      <sheetName val="M&amp;E_Prelims1"/>
      <sheetName val="B-FP_(2)1"/>
      <sheetName val="Sch_11"/>
      <sheetName val="A__ENGINEERING1"/>
      <sheetName val="B-1__배관자재1"/>
      <sheetName val="B-2__전기자재1"/>
      <sheetName val="B-3__계장자재1"/>
      <sheetName val="B-4__기계자재1"/>
      <sheetName val="C-1__공통가설1"/>
      <sheetName val="C-2__토목1"/>
      <sheetName val="C-4__철골1"/>
      <sheetName val="C-5__기계1"/>
      <sheetName val="C-6__배관1"/>
      <sheetName val="C-7__전기1"/>
      <sheetName val="C-8__계장1"/>
      <sheetName val="C-9__중장비1"/>
      <sheetName val="C-10__소방설비1"/>
      <sheetName val="C-11__보온1"/>
      <sheetName val="C-12__CMS1"/>
      <sheetName val="IRR_sponsor1"/>
      <sheetName val="2013电气概算_价目表_(营改增调整)1"/>
      <sheetName val="내역서_(N____12"/>
      <sheetName val="List_Equip1"/>
      <sheetName val="Process_C_(1-166)1"/>
      <sheetName val="TRUCK_HAUL_CYCLE-waste1"/>
      <sheetName val="Existing_PC_Pavement1"/>
      <sheetName val="Master_Data1"/>
      <sheetName val="ind'l_cp1"/>
      <sheetName val="LAST_UPDATE1"/>
      <sheetName val="0_품의서(전체)1"/>
      <sheetName val="3_부제O호표1"/>
      <sheetName val="5_소모재료비1"/>
      <sheetName val="8_시멘트제원표1"/>
      <sheetName val="2_품제O호표1"/>
      <sheetName val="본부_SHOP1"/>
      <sheetName val="#6_MDU_일반1"/>
      <sheetName val="#6_MDU엄반장1"/>
      <sheetName val="#6MDU_기계1"/>
      <sheetName val="HOU_COMP`1"/>
      <sheetName val="FCC_OBL-SHOP1"/>
      <sheetName val="NEW_FCC_OBL1"/>
      <sheetName val="#4_MDU1"/>
      <sheetName val="#6_SHOP1"/>
      <sheetName val="NRC_OBL-조연식1"/>
      <sheetName val="광양-조연식_반장1"/>
      <sheetName val="#5MDU_REV1"/>
      <sheetName val="LBO_PROJECT1"/>
      <sheetName val="VENDOR_LIST1"/>
      <sheetName val="BOP_LINE_LIST1"/>
      <sheetName val="ABB_Summary1"/>
      <sheetName val="Man_power_rate1"/>
      <sheetName val="Const_equip_rate1"/>
      <sheetName val="01-Gang_Rate_&amp;_Info1"/>
      <sheetName val="05-Sum_Cost1"/>
      <sheetName val="06-Indirect_Loading1"/>
      <sheetName val="07-Heavy_Equipment1"/>
      <sheetName val="08-RR_Check_List1"/>
      <sheetName val="1)_Risk_and_Opportunities1"/>
      <sheetName val="2)_Full_Cost_Calculation1"/>
      <sheetName val="tblg_denda2"/>
      <sheetName val="F1_41"/>
      <sheetName val="Manpower_Categories1"/>
      <sheetName val="Equipt_Rental1"/>
      <sheetName val="EQ_USED_(CORRECTED)1"/>
      <sheetName val="Rebar_Constant1"/>
      <sheetName val="CONCRETE_TYPE1"/>
      <sheetName val="External_Issues1"/>
      <sheetName val="Equip_Mstr_FOR_3A11"/>
      <sheetName val="G_R300경비1"/>
      <sheetName val="AS포장복구_1"/>
      <sheetName val="중기조종사_단위단가1"/>
      <sheetName val="설_계1"/>
      <sheetName val="5_Cennik2"/>
      <sheetName val="_토목_처리장도급내역서_1"/>
      <sheetName val="Garph_Work-Cost1"/>
      <sheetName val="LRK_1"/>
      <sheetName val="Insulation_1501081"/>
      <sheetName val="동상부_Tact_기준_반입일정_및_수량_02171"/>
      <sheetName val="MASTER_RATE_ANALYSIS1"/>
      <sheetName val="MN_T_B_1"/>
      <sheetName val="INDIGINEOUS_ITEMS_1"/>
      <sheetName val="Core_Data1"/>
      <sheetName val="final_abstract1"/>
      <sheetName val="Manpower_Categories"/>
      <sheetName val="Equip_Mstr_FOR_3A1"/>
      <sheetName val="_토목_처리장도급내역서_"/>
      <sheetName val="Garph_Work-Cost"/>
      <sheetName val="동상부_Tact_기준_반입일정_및_수량_0217"/>
      <sheetName val="MASTER_RATE_ANALYSIS"/>
      <sheetName val="MN_T_B_"/>
      <sheetName val="INDIGINEOUS_ITEMS_"/>
      <sheetName val="Core_Data"/>
      <sheetName val="final_abstract"/>
      <sheetName val="KUWATI(Total)_15"/>
      <sheetName val="OPTION_215"/>
      <sheetName val="OPTION_315"/>
      <sheetName val="집계표_(TOTAL)15"/>
      <sheetName val="집계표_(CIVIL-23)15"/>
      <sheetName val="집계표_(FGRU)15"/>
      <sheetName val="집계표_(25,26)15"/>
      <sheetName val="집계표_(MEROX)15"/>
      <sheetName val="집계표_(NITROGEN)15"/>
      <sheetName val="집계표_(M4)15"/>
      <sheetName val="집계표_(CIVIL4)15"/>
      <sheetName val="집계표_(CIVIL6)15"/>
      <sheetName val="집계표_(CIVIL7)15"/>
      <sheetName val="내역서(DEMO_TOTAL)15"/>
      <sheetName val="내역서_(CIVIL-23)15"/>
      <sheetName val="내역서_(fgru)15"/>
      <sheetName val="내역서_(25&amp;26)15"/>
      <sheetName val="내역서_(MEROX)15"/>
      <sheetName val="내역서_(NITROGEN)15"/>
      <sheetName val="내역서_(M4)15"/>
      <sheetName val="내역서_(CIVIL-4)15"/>
      <sheetName val="내역서_(CIVIL-6)15"/>
      <sheetName val="내역서_(CIVIL-7)15"/>
      <sheetName val="2002년_현장공사비_국내_실적15"/>
      <sheetName val="2003년국내현장공사비_실적15"/>
      <sheetName val="VC2_10_9915"/>
      <sheetName val="INPUT_DATA14"/>
      <sheetName val="집계표_(25,26ဩ14"/>
      <sheetName val="General_Data14"/>
      <sheetName val="Form_014"/>
      <sheetName val="LABOR_&amp;_자재13"/>
      <sheetName val="입출재고현황_(2)13"/>
      <sheetName val="Form_D-113"/>
      <sheetName val="Form_B-113"/>
      <sheetName val="Form_F-113"/>
      <sheetName val="Form_A13"/>
      <sheetName val="3_공통공사대비13"/>
      <sheetName val="간접비_총괄13"/>
      <sheetName val="Rate_Analysis13"/>
      <sheetName val="Price_Schedule13"/>
      <sheetName val="CAL_13"/>
      <sheetName val="EQUIPMENT_-213"/>
      <sheetName val="Z-_GENERAL_PRICE_SUMMARY11"/>
      <sheetName val="_Estimate__11"/>
      <sheetName val="WEIGHT_LIST12"/>
      <sheetName val="산#2-1_(2)12"/>
      <sheetName val="BEND_LOSS12"/>
      <sheetName val="공사비_내역_(가)12"/>
      <sheetName val="내역서_耰&quot;??13"/>
      <sheetName val="단면_(2)12"/>
      <sheetName val="6PILE__(돌출)12"/>
      <sheetName val="Static_Equip12"/>
      <sheetName val="Form_A_12"/>
      <sheetName val="내역서_耰&quot;_x005f_x0000__x005f_x0000_12"/>
      <sheetName val="3_Breakdown_Direct_Paint12"/>
      <sheetName val="Áý°èÇ¥_(TOTAL)11"/>
      <sheetName val="Áý°èÇ¥_(CIVIL-23)11"/>
      <sheetName val="Áý°èÇ¥_(FGRU)11"/>
      <sheetName val="Áý°èÇ¥_(25,26)11"/>
      <sheetName val="Áý°èÇ¥_(MEROX)11"/>
      <sheetName val="Áý°èÇ¥_(NITROGEN)11"/>
      <sheetName val="Áý°èÇ¥_(M4)11"/>
      <sheetName val="Áý°èÇ¥_(CIVIL4)11"/>
      <sheetName val="Áý°èÇ¥_(CIVIL6)11"/>
      <sheetName val="Áý°èÇ¥_(CIVIL7)11"/>
      <sheetName val="³»¿ª¼­(DEMO_TOTAL)11"/>
      <sheetName val="³»¿ª¼­_(CIVIL-23)11"/>
      <sheetName val="³»¿ª¼­_(fgru)11"/>
      <sheetName val="³»¿ª¼­_(25&amp;26)11"/>
      <sheetName val="³»¿ª¼­_(MEROX)11"/>
      <sheetName val="³»¿ª¼­_(NITROGEN)11"/>
      <sheetName val="³»¿ª¼­_(M4)11"/>
      <sheetName val="³»¿ª¼­_(CIVIL-4)11"/>
      <sheetName val="³»¿ª¼­_(CIVIL-6)11"/>
      <sheetName val="³»¿ª¼­_(CIVIL-7)11"/>
      <sheetName val="2002³â_ÇöÀå°ø»çºñ_±¹³»_½ÇÀû11"/>
      <sheetName val="2003³â±¹³»ÇöÀå°ø»çºñ_½ÇÀû11"/>
      <sheetName val="내역서_耰&quot;__13"/>
      <sheetName val="Summary_Sheets12"/>
      <sheetName val="Man_Hole11"/>
      <sheetName val="Sheet1_(2)12"/>
      <sheetName val="Civil_112"/>
      <sheetName val="Civil_212"/>
      <sheetName val="Civil_312"/>
      <sheetName val="Site_112"/>
      <sheetName val="Site_212"/>
      <sheetName val="Site_312"/>
      <sheetName val="Site_Faci12"/>
      <sheetName val="내역서_耰&quot;_x005f_x005f_x005f_x0000__x005f_x005f_x0011"/>
      <sheetName val="7__월별투입내역서11"/>
      <sheetName val="계측_내역서11"/>
      <sheetName val="2_2_STAFF_Scedule11"/>
      <sheetName val="내역서_耰&quot;_x005f_x005f_x005f_x005f_x005f_x005f_x00011"/>
      <sheetName val="T_311"/>
      <sheetName val="HORI__VESSEL11"/>
      <sheetName val="EQUIP_LIST11"/>
      <sheetName val="MP_MOB11"/>
      <sheetName val="Form_B11"/>
      <sheetName val="Precios_Unitarios11"/>
      <sheetName val="Administrative_Prices11"/>
      <sheetName val="WBS_4411"/>
      <sheetName val="WBS_4111"/>
      <sheetName val="Precios_por_Administración11"/>
      <sheetName val="Subcon_A11"/>
      <sheetName val="Monthly_Load11"/>
      <sheetName val="Weekly_Load11"/>
      <sheetName val="BM_DATA_SHEET12"/>
      <sheetName val="Vind_-_BtB11"/>
      <sheetName val="LV_induction_motors11"/>
      <sheetName val="BSD_(2)11"/>
      <sheetName val="내역서_耰&quot;_x005f_x005f_x005f_x005f_x005f_x005f_x00511"/>
      <sheetName val="Material_Selections11"/>
      <sheetName val="breakdown_of_wage_rate11"/>
      <sheetName val="Indirect_Cost11"/>
      <sheetName val="97_사업추정(WEKI)11"/>
      <sheetName val="[SANDAN_XLS??11"/>
      <sheetName val="Piping_BQ_for_one_turbine11"/>
      <sheetName val="Utility_and_Fire_flange11"/>
      <sheetName val="_SANDAN_XLS__11"/>
      <sheetName val="Eq__Mobilization11"/>
      <sheetName val="Fire_Protection11"/>
      <sheetName val="입찰내역_발주처_양식11"/>
      <sheetName val="Heavy_Equipments11"/>
      <sheetName val="AG_Pipe_Qty_Analysis11"/>
      <sheetName val="FWBS_153010"/>
      <sheetName val="Resource_table11"/>
      <sheetName val="Equipment_List11"/>
      <sheetName val="Form1_SQP11"/>
      <sheetName val="공정계획(내부계획25%,내부w_f)11"/>
      <sheetName val="SFN_ORIG11"/>
      <sheetName val="Currency_Rate6"/>
      <sheetName val="w't_table11"/>
      <sheetName val="SCHEDD_TAMBAHAN11"/>
      <sheetName val="실행예산_MM10"/>
      <sheetName val="MODULE_CONFIRM10"/>
      <sheetName val="ITB_COST11"/>
      <sheetName val="내역서_(∮ἀ嘆ɶ10"/>
      <sheetName val="Dir_Manpower_Other_Exp_11"/>
      <sheetName val="4-3LEVEL-5_epic_410"/>
      <sheetName val="단가_(2)10"/>
      <sheetName val="BOQ-B_DOWN10"/>
      <sheetName val="Cash_In-Cash_Out_Actual10"/>
      <sheetName val="PROTECTION_10"/>
      <sheetName val="내역서1999_8최종6"/>
      <sheetName val="Unit_Price_6"/>
      <sheetName val="plan&amp;section_of_foundation7"/>
      <sheetName val="working_load_at_the_btm_ft_7"/>
      <sheetName val="stability_check7"/>
      <sheetName val="design_load7"/>
      <sheetName val="TDC_COA_Sumry6"/>
      <sheetName val="TDC_Item_Dets6"/>
      <sheetName val="TDC_Item_Sumry6"/>
      <sheetName val="TDC_Key_Qty_Sumry6"/>
      <sheetName val="List_-_Components6"/>
      <sheetName val="List_-_Equipment6"/>
      <sheetName val="COA_Sumry_-_Std_Imp6"/>
      <sheetName val="Contr_TDC_-_Std_Imp6"/>
      <sheetName val="Item_Sumry_-_Std_Imp6"/>
      <sheetName val="Unit_Costs_-_Std_Imp6"/>
      <sheetName val="Unit_MH_-_Std_Imp6"/>
      <sheetName val="Proj_TIC_-_Std_Imp6"/>
      <sheetName val="Updating_Form-Oct_20116"/>
      <sheetName val="Weld_Consumable6"/>
      <sheetName val="NDE_Cost-Summary6"/>
      <sheetName val="9July_Above_Ground_Pipe6"/>
      <sheetName val="M_116"/>
      <sheetName val="Process_Data_16"/>
      <sheetName val="Sum_(Case-3)6"/>
      <sheetName val="Man_Power_&amp;_Comp6"/>
      <sheetName val="Data_List6"/>
      <sheetName val="4-Basic_Price6"/>
      <sheetName val="Evaluasi_Penw6"/>
      <sheetName val="Closeout_Control6"/>
      <sheetName val="PROJECT_BRIEF6"/>
      <sheetName val="CUADRO_DE_PRECIOS10"/>
      <sheetName val="Site_Findings_Status_Sheet6"/>
      <sheetName val="5_)_Time_Delays6"/>
      <sheetName val="Unt_rate6"/>
      <sheetName val="1100-1200-1300-1910-2140-LEV_26"/>
      <sheetName val="내역서_耰&quot;_x005f_x005f_x005f_x0000_6"/>
      <sheetName val="내역서_耰&quot;_x005f_x005f_x005f_x005f_6"/>
      <sheetName val="내역서_耰&quot;_x005f_x0000__x00007"/>
      <sheetName val="99__FWBS(Ref)6"/>
      <sheetName val="99__Change_Rate6"/>
      <sheetName val="할증_6"/>
      <sheetName val="RAB_AR&amp;STR6"/>
      <sheetName val="Equip_Rental_Summary_by_Contr6"/>
      <sheetName val="Project_Equip_Rental_Summary6"/>
      <sheetName val="Contractor_Indirect_Sumry6"/>
      <sheetName val="Project_Indirect_Sumry6"/>
      <sheetName val="COA_Sumry_by_Area6"/>
      <sheetName val="COA_Sumry_by_Contr6"/>
      <sheetName val="COA_Sumry_by_RG6"/>
      <sheetName val="TDC_COA_Grp_Sumry6"/>
      <sheetName val="TDC_COA_Grp_Sumry_by_Area6"/>
      <sheetName val="TDC_COA_Grp_Sumry_by_RG6"/>
      <sheetName val="Equipment_Sumry6"/>
      <sheetName val="TDC_Item_Dets-Full6"/>
      <sheetName val="TDC_Item_Dets-IPM-Full6"/>
      <sheetName val="TDC_Item_Sumry_by_Area6"/>
      <sheetName val="TDC_Item_Sumry_by_RG6"/>
      <sheetName val="TDC_Key_Qty_Sumry_by_RG6"/>
      <sheetName val="List_-_Equipment_by_Area6"/>
      <sheetName val="List_-_Equipment_by_Contr6"/>
      <sheetName val="Equipment_-_Unit_Costs_by_Mat6"/>
      <sheetName val="List_-_Equipment_by_Rep_Grp6"/>
      <sheetName val="Craft_Summary_by_Contr6"/>
      <sheetName val="Project_Craft_Summary6"/>
      <sheetName val="Project_Metrics6"/>
      <sheetName val="Discounted_Cash_Flow6"/>
      <sheetName val="Ocean_Transporation_Charge6"/>
      <sheetName val="SUMMARY_(0A)6"/>
      <sheetName val="SUMMARY_(1A)6"/>
      <sheetName val="SUMMARY_(1B)6"/>
      <sheetName val="SUMMARY_(03)6"/>
      <sheetName val="F1(Cable_Rack)6"/>
      <sheetName val="F2(Cable_Rack)6"/>
      <sheetName val="F3(Cable_Rack)6"/>
      <sheetName val="F1_(POLYMER)6"/>
      <sheetName val="F2_(POLYMER)6"/>
      <sheetName val="F3_(POLYMER)6"/>
      <sheetName val="F4_(POLYMER)6"/>
      <sheetName val="F5(_Polymerization_)6"/>
      <sheetName val="F6_(_Polymerization_)6"/>
      <sheetName val="B1_(Grid_A-7,_-6)6"/>
      <sheetName val="B1_(Grid_A,_B)6"/>
      <sheetName val="B1_(Grid_C-7,_-6)6"/>
      <sheetName val="B2_(Grid_-7_B,_C)_(1)6"/>
      <sheetName val="B2_(Grid_-7_B,_C)_(2)6"/>
      <sheetName val="B2_(Grid_-6_B,_C)_(1)6"/>
      <sheetName val="B2_(Grid_-6_B,_C)_(2)6"/>
      <sheetName val="F1_(MONOMER)6"/>
      <sheetName val="F2_(MONOMER)6"/>
      <sheetName val="F3_(MONOMER)6"/>
      <sheetName val="90K060C_(MONOMER)6"/>
      <sheetName val="F1_(EXTRUSION)6"/>
      <sheetName val="F2_(EXTRUSION)6"/>
      <sheetName val="F3_(EXTRUSION)6"/>
      <sheetName val="F4_(EXTRUSION)6"/>
      <sheetName val="F5_(EXTRUSION)6"/>
      <sheetName val="F6A_(EXTRUSION)6"/>
      <sheetName val="F6D_(EXTRUSION)6"/>
      <sheetName val="F7_(EXTRUSION)6"/>
      <sheetName val="F8_(EXTRUSION)6"/>
      <sheetName val="F9_(EXTRUSION)6"/>
      <sheetName val="F10_(EXTRUSION)6"/>
      <sheetName val="F11_(EXTRUSION)6"/>
      <sheetName val="B1_(Grid_F-5`,_4`)6"/>
      <sheetName val="B2_(Grid_F,E-4`)6"/>
      <sheetName val="B2_(Grid_F,E-5`)6"/>
      <sheetName val="B3_(Grid_C,B-4`)6"/>
      <sheetName val="B4_(Grid_B,A-4`)6"/>
      <sheetName val="B5_(Grid_E-5`)_&amp;_(Grid_D-5`)6"/>
      <sheetName val="B6_(Grid_E,D-5')6"/>
      <sheetName val="B7_(Grid_E,D-5')6"/>
      <sheetName val="95D040,_A5066"/>
      <sheetName val="95P040AB,_A5076"/>
      <sheetName val="95X020-U08,_A6026"/>
      <sheetName val="95X020-U07,_A6066"/>
      <sheetName val="95E040,_A5096"/>
      <sheetName val="95D024;025,_A6156"/>
      <sheetName val="95X020-U05,_A6016"/>
      <sheetName val="95X020-U02,_A2046"/>
      <sheetName val="Extruder_FDN6"/>
      <sheetName val="BOG_COMP__FDN6"/>
      <sheetName val="SOG_COMP__FDN6"/>
      <sheetName val="1G1_(Ground_Beam)6"/>
      <sheetName val="1G2-1(Ground_Beam)6"/>
      <sheetName val="1G2-2(Ground_Beam)6"/>
      <sheetName val="P15,_166"/>
      <sheetName val="LO_CONSOLE_FDN6"/>
      <sheetName val="OIL_COOLER_FDN6"/>
      <sheetName val="CW_CONSOLE_FDN_(SOG)6"/>
      <sheetName val="PD3_(SOG)6"/>
      <sheetName val="SF1_(SOG)6"/>
      <sheetName val="SF2_(SOG)6"/>
      <sheetName val="SLAB_(1S1-1)6"/>
      <sheetName val="SLAB_(1S1-2)6"/>
      <sheetName val="SLAB_(1S1-3)6"/>
      <sheetName val="COLUMN_(+5500)6"/>
      <sheetName val="COLUMN_(+12500)6"/>
      <sheetName val="COLUMN_(+15500)6"/>
      <sheetName val="ETC_6"/>
      <sheetName val="Cash_Flow_bulanan6"/>
      <sheetName val="H_Satuan6"/>
      <sheetName val="In-House_Summary6"/>
      <sheetName val="Tools_&amp;_Settings6"/>
      <sheetName val="Data_Summary6"/>
      <sheetName val="Crew_Costs6"/>
      <sheetName val="Spread_Costs6"/>
      <sheetName val="Unique_List_Misc6"/>
      <sheetName val="Codes_Pers6"/>
      <sheetName val="Direct_PMS6"/>
      <sheetName val="UP_MINOR6"/>
      <sheetName val="Item_code6"/>
      <sheetName val="Aux_6"/>
      <sheetName val="Pengesahan_6"/>
      <sheetName val="__6"/>
      <sheetName val="_6"/>
      <sheetName val="breakdown_of_wage_ra`f5"/>
      <sheetName val="breakdown_of_wage_ra5"/>
      <sheetName val="breakdown_of_wage_rað-5"/>
      <sheetName val="2_Overall_Summary_5"/>
      <sheetName val="Rates_&amp;_Legend6"/>
      <sheetName val="OCT_FDN6"/>
      <sheetName val="BO䁑-B_䁄OWN6"/>
      <sheetName val="Bill_rekap6"/>
      <sheetName val="Harga_Satuan6"/>
      <sheetName val="F_ALARM6"/>
      <sheetName val="0__Resource　Code5"/>
      <sheetName val="breakdown_of_wage_rap5"/>
      <sheetName val="00-Summary_Information-ABB5"/>
      <sheetName val="breakdown_of_wage_ra5"/>
      <sheetName val="Exchange_Rate6"/>
      <sheetName val="General_Notes6"/>
      <sheetName val="내역서_耰&quot;_x005f_x0000_6"/>
      <sheetName val="내역서_耰&quot;_x005f_x005f_6"/>
      <sheetName val="Process_Data_(2)6"/>
      <sheetName val="PABS,Site_info5"/>
      <sheetName val="내역서_耰&quot;_5"/>
      <sheetName val="2__현장_자금투입_집계표6"/>
      <sheetName val="_도면_및_도서_제출목록_및_일정_170202_xlsx6"/>
      <sheetName val="Distribution_Table5"/>
      <sheetName val="Raw_data5"/>
      <sheetName val="차트_(2)6"/>
      <sheetName val="Material_code5"/>
      <sheetName val="DROP_DOWN5"/>
      <sheetName val="개시대사_(2)5"/>
      <sheetName val="DATA_MENTAH5"/>
      <sheetName val="내역서_(N____x000a_6"/>
      <sheetName val="TQ_Format4"/>
      <sheetName val="HO_Site_Rates-20115"/>
      <sheetName val="Linelist_LNGC_Process5"/>
      <sheetName val="Equipment_Spec_List5"/>
      <sheetName val="SPEC_LIST(EQUP,_SYS)5"/>
      <sheetName val="Action_Item5"/>
      <sheetName val="ID_CD5"/>
      <sheetName val="Air_Cooler-E5"/>
      <sheetName val="SUM_4"/>
      <sheetName val="Al_Taweelah5"/>
      <sheetName val="Particular_Sch5"/>
      <sheetName val="breakdown_of_wage_raÐ¾4"/>
      <sheetName val="Additional_data4"/>
      <sheetName val="11_자재단가3"/>
      <sheetName val="LIFE_&amp;_REP_PROVN3"/>
      <sheetName val="O&amp;M_CREW3"/>
      <sheetName val="33628-Rev__A3"/>
      <sheetName val="Cashflow_Analysis3"/>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Attach_4-183"/>
      <sheetName val="INPUT_DATA_OF_SCHEDULE3"/>
      <sheetName val="OIL_SEPARATOR3"/>
      <sheetName val="CATCH_BASIN3"/>
      <sheetName val="FW_Post_Indicator_Valve_24&quot;3"/>
      <sheetName val="FW_Post_Indicator_Valve_20&quot;3"/>
      <sheetName val="FW_Post_Indicator_Valve_6&quot;3"/>
      <sheetName val="Fire_Monitor_or_Hydrant_6&quot;_FDN3"/>
      <sheetName val="SUMP_VB3"/>
      <sheetName val="CLEANOUT_4&quot;3"/>
      <sheetName val="Not_reqd3"/>
      <sheetName val="호환성_보고서3"/>
      <sheetName val="Finansal_tamamlanma_Eğrisi3"/>
      <sheetName val="Master_List3"/>
      <sheetName val="Scheme_Area_Details_Block___C23"/>
      <sheetName val="14-Eng_rate3"/>
      <sheetName val="리스크_분류체계3"/>
      <sheetName val="Tender_data3"/>
      <sheetName val="Activity_Form3"/>
      <sheetName val="GM_0003"/>
      <sheetName val="Admin_Manu_2-Equipment_Type_ID3"/>
      <sheetName val="일위대가_3"/>
      <sheetName val="SECL_리스크_분류체계_(2)3"/>
      <sheetName val="1_설계기준3"/>
      <sheetName val="Cash_Flow3"/>
      <sheetName val="REF_for_VV3"/>
      <sheetName val="P-Ins_&amp;_Bonds3"/>
      <sheetName val="INSTLIST_13"/>
      <sheetName val="내역서_(∮ἀ嘆ɶ?᠀㬁?3"/>
      <sheetName val="Fig_4-143"/>
      <sheetName val="Itembalance_Report_(18-sep-18)3"/>
      <sheetName val="BUDGET_SUMMARY_3"/>
      <sheetName val="광통신_견적내역서13"/>
      <sheetName val="5__월별투입내역서3"/>
      <sheetName val="Att-1_CTCI_MH_rate3"/>
      <sheetName val="설산1_나3"/>
      <sheetName val="Analisa_Fave3"/>
      <sheetName val="Harsat_Bahan3"/>
      <sheetName val="Harsat_Subkon3"/>
      <sheetName val="Harsat_Upah3"/>
      <sheetName val="Master_1_03"/>
      <sheetName val="Agregat_Halus_&amp;_Kasar3"/>
      <sheetName val="HARGA_MATERIAL3"/>
      <sheetName val="Harga_Sat_APP3"/>
      <sheetName val="Tgh_JGC-Inv_I_clp3"/>
      <sheetName val="PCS_3"/>
      <sheetName val="Progress_Statement-SI3"/>
      <sheetName val="Progress_Payment-31103"/>
      <sheetName val="Perm__Test3"/>
      <sheetName val="Galian_13"/>
      <sheetName val="Analisa_Lump_sum3"/>
      <sheetName val="Sec_I_ML3"/>
      <sheetName val="dongia_(2)3"/>
      <sheetName val="BM_#13"/>
      <sheetName val="Weekl_4"/>
      <sheetName val="내역서_(N____7"/>
      <sheetName val="내역서_(N____8"/>
      <sheetName val="__x03"/>
      <sheetName val="OPT_4"/>
      <sheetName val="내역서_(N__x003"/>
      <sheetName val="List_register3"/>
      <sheetName val="Direct_Histogram_Rev__A_(f)3"/>
      <sheetName val="Tables_3_1_to_3_5_EXH_G3"/>
      <sheetName val="64_43"/>
      <sheetName val="64_53"/>
      <sheetName val="36_23"/>
      <sheetName val="36_13"/>
      <sheetName val="EQUIPOS_DE_SEGURIDAD3"/>
      <sheetName val="MATERIALES_CONSUMIBLES3"/>
      <sheetName val="PERSONAL_INDIRECTO_3"/>
      <sheetName val="Cost_Code3"/>
      <sheetName val="Data_Ref3"/>
      <sheetName val="Interdept_Rate3"/>
      <sheetName val="4300_UTILITY_BLDG_(2)3"/>
      <sheetName val="5__Work_load(현재원기준)3"/>
      <sheetName val="GRAND_REKAP"/>
      <sheetName val="analisa_(2)"/>
      <sheetName val="Analisa_2"/>
      <sheetName val="Up_&amp;_bhn"/>
      <sheetName val="HRG_BHN"/>
      <sheetName val="Alat_(2)"/>
      <sheetName val="Rekap_Biaya"/>
      <sheetName val="Kuantitas_&amp;_Harga"/>
      <sheetName val="Nopember_(2)"/>
      <sheetName val="Ramp_data"/>
      <sheetName val="Lower_Ground"/>
      <sheetName val="Cap_Cost"/>
      <sheetName val="RLV_Calc"/>
      <sheetName val="Costs_(dev)"/>
      <sheetName val="Bluewater_NPV_-_sell_January"/>
      <sheetName val="Upper_Ground"/>
      <sheetName val="PARK_NE"/>
      <sheetName val="Financial_Summary"/>
      <sheetName val="D&amp;C_Calcs"/>
      <sheetName val="CA_Upside_Downside_Old"/>
      <sheetName val="EASEL_CA_Example"/>
      <sheetName val="Urai__Resap_pengikat"/>
      <sheetName val="DAF_HRG"/>
      <sheetName val="7_공정표"/>
      <sheetName val="Kolom_UT"/>
      <sheetName val="HB_"/>
      <sheetName val="Memb_Schd"/>
      <sheetName val="Coef_et_données"/>
      <sheetName val="Eng_Hrs_(HO)"/>
      <sheetName val="MFG_&amp;_DEL"/>
      <sheetName val="원가조정_내역"/>
      <sheetName val="InsertListDrawing_1_"/>
      <sheetName val="P_Staff_fac"/>
      <sheetName val="beam-reinft-IIInd_floor"/>
      <sheetName val="P-Site_fac"/>
      <sheetName val="P-Clients_fac"/>
      <sheetName val="P2-Project_Data"/>
      <sheetName val="a_h_ars_sum"/>
      <sheetName val="a_h_ars"/>
      <sheetName val="KUWATI(Total)_16"/>
      <sheetName val="OPTION_216"/>
      <sheetName val="OPTION_316"/>
      <sheetName val="집계표_(TOTAL)16"/>
      <sheetName val="집계표_(CIVIL-23)16"/>
      <sheetName val="집계표_(FGRU)16"/>
      <sheetName val="집계표_(25,26)16"/>
      <sheetName val="집계표_(MEROX)16"/>
      <sheetName val="집계표_(NITROGEN)16"/>
      <sheetName val="집계표_(M4)16"/>
      <sheetName val="집계표_(CIVIL4)16"/>
      <sheetName val="집계표_(CIVIL6)16"/>
      <sheetName val="집계표_(CIVIL7)16"/>
      <sheetName val="내역서(DEMO_TOTAL)16"/>
      <sheetName val="내역서_(CIVIL-23)16"/>
      <sheetName val="내역서_(fgru)16"/>
      <sheetName val="내역서_(25&amp;26)16"/>
      <sheetName val="내역서_(MEROX)16"/>
      <sheetName val="내역서_(NITROGEN)16"/>
      <sheetName val="내역서_(M4)16"/>
      <sheetName val="내역서_(CIVIL-4)16"/>
      <sheetName val="내역서_(CIVIL-6)16"/>
      <sheetName val="내역서_(CIVIL-7)16"/>
      <sheetName val="2002년_현장공사비_국내_실적16"/>
      <sheetName val="2003년국내현장공사비_실적16"/>
      <sheetName val="VC2_10_9916"/>
      <sheetName val="INPUT_DATA15"/>
      <sheetName val="집계표_(25,26ဩ15"/>
      <sheetName val="General_Data15"/>
      <sheetName val="Form_015"/>
      <sheetName val="LABOR_&amp;_자재14"/>
      <sheetName val="입출재고현황_(2)14"/>
      <sheetName val="Form_D-114"/>
      <sheetName val="Form_B-114"/>
      <sheetName val="Form_F-114"/>
      <sheetName val="Form_A14"/>
      <sheetName val="3_공통공사대비14"/>
      <sheetName val="간접비_총괄14"/>
      <sheetName val="Rate_Analysis14"/>
      <sheetName val="Price_Schedule14"/>
      <sheetName val="CAL_14"/>
      <sheetName val="EQUIPMENT_-214"/>
      <sheetName val="Z-_GENERAL_PRICE_SUMMARY12"/>
      <sheetName val="_Estimate__12"/>
      <sheetName val="WEIGHT_LIST13"/>
      <sheetName val="산#2-1_(2)13"/>
      <sheetName val="BEND_LOSS13"/>
      <sheetName val="공사비_내역_(가)13"/>
      <sheetName val="내역서_耰&quot;??14"/>
      <sheetName val="단면_(2)13"/>
      <sheetName val="6PILE__(돌출)13"/>
      <sheetName val="Static_Equip13"/>
      <sheetName val="Form_A_13"/>
      <sheetName val="내역서_耰&quot;_x005f_x0000__x005f_x0000_13"/>
      <sheetName val="3_Breakdown_Direct_Paint13"/>
      <sheetName val="Áý°èÇ¥_(TOTAL)12"/>
      <sheetName val="Áý°èÇ¥_(CIVIL-23)12"/>
      <sheetName val="Áý°èÇ¥_(FGRU)12"/>
      <sheetName val="Áý°èÇ¥_(25,26)12"/>
      <sheetName val="Áý°èÇ¥_(MEROX)12"/>
      <sheetName val="Áý°èÇ¥_(NITROGEN)12"/>
      <sheetName val="Áý°èÇ¥_(M4)12"/>
      <sheetName val="Áý°èÇ¥_(CIVIL4)12"/>
      <sheetName val="Áý°èÇ¥_(CIVIL6)12"/>
      <sheetName val="Áý°èÇ¥_(CIVIL7)12"/>
      <sheetName val="³»¿ª¼­(DEMO_TOTAL)12"/>
      <sheetName val="³»¿ª¼­_(CIVIL-23)12"/>
      <sheetName val="³»¿ª¼­_(fgru)12"/>
      <sheetName val="³»¿ª¼­_(25&amp;26)12"/>
      <sheetName val="³»¿ª¼­_(MEROX)12"/>
      <sheetName val="³»¿ª¼­_(NITROGEN)12"/>
      <sheetName val="³»¿ª¼­_(M4)12"/>
      <sheetName val="³»¿ª¼­_(CIVIL-4)12"/>
      <sheetName val="³»¿ª¼­_(CIVIL-6)12"/>
      <sheetName val="³»¿ª¼­_(CIVIL-7)12"/>
      <sheetName val="2002³â_ÇöÀå°ø»çºñ_±¹³»_½ÇÀû12"/>
      <sheetName val="2003³â±¹³»ÇöÀå°ø»çºñ_½ÇÀû12"/>
      <sheetName val="내역서_耰&quot;__14"/>
      <sheetName val="Summary_Sheets13"/>
      <sheetName val="Man_Hole12"/>
      <sheetName val="Sheet1_(2)13"/>
      <sheetName val="Civil_113"/>
      <sheetName val="Civil_213"/>
      <sheetName val="Civil_313"/>
      <sheetName val="Site_113"/>
      <sheetName val="Site_213"/>
      <sheetName val="Site_313"/>
      <sheetName val="Site_Faci13"/>
      <sheetName val="내역서_耰&quot;_x005f_x005f_x005f_x0000__x005f_x005f_x0012"/>
      <sheetName val="7__월별투입내역서12"/>
      <sheetName val="계측_내역서12"/>
      <sheetName val="2_2_STAFF_Scedule12"/>
      <sheetName val="내역서_耰&quot;_x005f_x005f_x005f_x005f_x005f_x005f_x00012"/>
      <sheetName val="T_312"/>
      <sheetName val="HORI__VESSEL12"/>
      <sheetName val="EQUIP_LIST12"/>
      <sheetName val="MP_MOB12"/>
      <sheetName val="Form_B12"/>
      <sheetName val="Precios_Unitarios12"/>
      <sheetName val="Administrative_Prices12"/>
      <sheetName val="WBS_4412"/>
      <sheetName val="WBS_4112"/>
      <sheetName val="Precios_por_Administración12"/>
      <sheetName val="Subcon_A12"/>
      <sheetName val="Monthly_Load12"/>
      <sheetName val="Weekly_Load12"/>
      <sheetName val="BM_DATA_SHEET13"/>
      <sheetName val="Vind_-_BtB12"/>
      <sheetName val="LV_induction_motors12"/>
      <sheetName val="BSD_(2)12"/>
      <sheetName val="내역서_耰&quot;_x005f_x005f_x005f_x005f_x005f_x005f_x00512"/>
      <sheetName val="Material_Selections12"/>
      <sheetName val="내역서_耰&quot;11"/>
      <sheetName val="breakdown_of_wage_rate12"/>
      <sheetName val="Indirect_Cost12"/>
      <sheetName val="97_사업추정(WEKI)12"/>
      <sheetName val="[SANDAN_XLS??12"/>
      <sheetName val="Piping_BQ_for_one_turbine12"/>
      <sheetName val="Utility_and_Fire_flange12"/>
      <sheetName val="_SANDAN_XLS__12"/>
      <sheetName val="Eq__Mobilization12"/>
      <sheetName val="Fire_Protection12"/>
      <sheetName val="입찰내역_발주처_양식12"/>
      <sheetName val="Heavy_Equipments12"/>
      <sheetName val="AG_Pipe_Qty_Analysis12"/>
      <sheetName val="FWBS_153011"/>
      <sheetName val="Resource_table12"/>
      <sheetName val="Equipment_List12"/>
      <sheetName val="Form1_SQP12"/>
      <sheetName val="공정계획(내부계획25%,내부w_f)12"/>
      <sheetName val="SFN_ORIG12"/>
      <sheetName val="Currency_Rate7"/>
      <sheetName val="w't_table12"/>
      <sheetName val="SCHEDD_TAMBAHAN12"/>
      <sheetName val="실행예산_MM11"/>
      <sheetName val="MODULE_CONFIRM11"/>
      <sheetName val="ITB_COST12"/>
      <sheetName val="내역서_(∮ἀ嘆ɶ11"/>
      <sheetName val="Dir_Manpower_Other_Exp_12"/>
      <sheetName val="4-3LEVEL-5_epic_411"/>
      <sheetName val="단가_(2)11"/>
      <sheetName val="BOQ-B_DOWN11"/>
      <sheetName val="Cash_In-Cash_Out_Actual11"/>
      <sheetName val="PROTECTION_11"/>
      <sheetName val="내역서1999_8최종7"/>
      <sheetName val="Unit_Price_7"/>
      <sheetName val="plan&amp;section_of_foundation8"/>
      <sheetName val="working_load_at_the_btm_ft_8"/>
      <sheetName val="stability_check8"/>
      <sheetName val="design_load8"/>
      <sheetName val="TDC_COA_Sumry7"/>
      <sheetName val="TDC_Item_Dets7"/>
      <sheetName val="TDC_Item_Sumry7"/>
      <sheetName val="TDC_Key_Qty_Sumry7"/>
      <sheetName val="List_-_Components7"/>
      <sheetName val="List_-_Equipment7"/>
      <sheetName val="COA_Sumry_-_Std_Imp7"/>
      <sheetName val="Contr_TDC_-_Std_Imp7"/>
      <sheetName val="Item_Sumry_-_Std_Imp7"/>
      <sheetName val="Unit_Costs_-_Std_Imp7"/>
      <sheetName val="Unit_MH_-_Std_Imp7"/>
      <sheetName val="Proj_TIC_-_Std_Imp7"/>
      <sheetName val="Updating_Form-Oct_20117"/>
      <sheetName val="Weld_Consumable7"/>
      <sheetName val="NDE_Cost-Summary7"/>
      <sheetName val="9July_Above_Ground_Pipe7"/>
      <sheetName val="M_117"/>
      <sheetName val="Process_Data_17"/>
      <sheetName val="Sum_(Case-3)7"/>
      <sheetName val="Man_Power_&amp;_Comp7"/>
      <sheetName val="Data_List7"/>
      <sheetName val="4-Basic_Price7"/>
      <sheetName val="Evaluasi_Penw7"/>
      <sheetName val="Closeout_Control7"/>
      <sheetName val="PROJECT_BRIEF7"/>
      <sheetName val="CUADRO_DE_PRECIOS11"/>
      <sheetName val="Site_Findings_Status_Sheet7"/>
      <sheetName val="5_)_Time_Delays7"/>
      <sheetName val="Unt_rate7"/>
      <sheetName val="1100-1200-1300-1910-2140-LEV_27"/>
      <sheetName val="내역서_耰&quot;_x005f_x005f_x005f_x0000_7"/>
      <sheetName val="내역서_耰&quot;_x005f_x005f_x005f_x005f_7"/>
      <sheetName val="내역서_耰&quot;_x005f_x0000__x00008"/>
      <sheetName val="99__FWBS(Ref)7"/>
      <sheetName val="99__Change_Rate7"/>
      <sheetName val="할증_7"/>
      <sheetName val="RAB_AR&amp;STR7"/>
      <sheetName val="Equip_Rental_Summary_by_Contr7"/>
      <sheetName val="Project_Equip_Rental_Summary7"/>
      <sheetName val="Contractor_Indirect_Sumry7"/>
      <sheetName val="Project_Indirect_Sumry7"/>
      <sheetName val="COA_Sumry_by_Area7"/>
      <sheetName val="COA_Sumry_by_Contr7"/>
      <sheetName val="COA_Sumry_by_RG7"/>
      <sheetName val="TDC_COA_Grp_Sumry7"/>
      <sheetName val="TDC_COA_Grp_Sumry_by_Area7"/>
      <sheetName val="TDC_COA_Grp_Sumry_by_RG7"/>
      <sheetName val="Equipment_Sumry7"/>
      <sheetName val="TDC_Item_Dets-Full7"/>
      <sheetName val="TDC_Item_Dets-IPM-Full7"/>
      <sheetName val="TDC_Item_Sumry_by_Area7"/>
      <sheetName val="TDC_Item_Sumry_by_RG7"/>
      <sheetName val="TDC_Key_Qty_Sumry_by_RG7"/>
      <sheetName val="List_-_Equipment_by_Area7"/>
      <sheetName val="List_-_Equipment_by_Contr7"/>
      <sheetName val="Equipment_-_Unit_Costs_by_Mat7"/>
      <sheetName val="List_-_Equipment_by_Rep_Grp7"/>
      <sheetName val="Craft_Summary_by_Contr7"/>
      <sheetName val="Project_Craft_Summary7"/>
      <sheetName val="Project_Metrics7"/>
      <sheetName val="Discounted_Cash_Flow7"/>
      <sheetName val="Ocean_Transporation_Charge7"/>
      <sheetName val="SUMMARY_(0A)7"/>
      <sheetName val="SUMMARY_(1A)7"/>
      <sheetName val="SUMMARY_(1B)7"/>
      <sheetName val="SUMMARY_(03)7"/>
      <sheetName val="F1(Cable_Rack)7"/>
      <sheetName val="F2(Cable_Rack)7"/>
      <sheetName val="F3(Cable_Rack)7"/>
      <sheetName val="F1_(POLYMER)7"/>
      <sheetName val="F2_(POLYMER)7"/>
      <sheetName val="F3_(POLYMER)7"/>
      <sheetName val="F4_(POLYMER)7"/>
      <sheetName val="F5(_Polymerization_)7"/>
      <sheetName val="F6_(_Polymerization_)7"/>
      <sheetName val="B1_(Grid_A-7,_-6)7"/>
      <sheetName val="B1_(Grid_A,_B)7"/>
      <sheetName val="B1_(Grid_C-7,_-6)7"/>
      <sheetName val="B2_(Grid_-7_B,_C)_(1)7"/>
      <sheetName val="B2_(Grid_-7_B,_C)_(2)7"/>
      <sheetName val="B2_(Grid_-6_B,_C)_(1)7"/>
      <sheetName val="B2_(Grid_-6_B,_C)_(2)7"/>
      <sheetName val="F1_(MONOMER)7"/>
      <sheetName val="F2_(MONOMER)7"/>
      <sheetName val="F3_(MONOMER)7"/>
      <sheetName val="90K060C_(MONOMER)7"/>
      <sheetName val="F1_(EXTRUSION)7"/>
      <sheetName val="F2_(EXTRUSION)7"/>
      <sheetName val="F3_(EXTRUSION)7"/>
      <sheetName val="F4_(EXTRUSION)7"/>
      <sheetName val="F5_(EXTRUSION)7"/>
      <sheetName val="F6A_(EXTRUSION)7"/>
      <sheetName val="F6D_(EXTRUSION)7"/>
      <sheetName val="F7_(EXTRUSION)7"/>
      <sheetName val="F8_(EXTRUSION)7"/>
      <sheetName val="F9_(EXTRUSION)7"/>
      <sheetName val="F10_(EXTRUSION)7"/>
      <sheetName val="F11_(EXTRUSION)7"/>
      <sheetName val="B1_(Grid_F-5`,_4`)7"/>
      <sheetName val="B2_(Grid_F,E-4`)7"/>
      <sheetName val="B2_(Grid_F,E-5`)7"/>
      <sheetName val="B3_(Grid_C,B-4`)7"/>
      <sheetName val="B4_(Grid_B,A-4`)7"/>
      <sheetName val="B5_(Grid_E-5`)_&amp;_(Grid_D-5`)7"/>
      <sheetName val="B6_(Grid_E,D-5')7"/>
      <sheetName val="B7_(Grid_E,D-5')7"/>
      <sheetName val="95D040,_A5067"/>
      <sheetName val="95P040AB,_A5077"/>
      <sheetName val="95X020-U08,_A6027"/>
      <sheetName val="95X020-U07,_A6067"/>
      <sheetName val="95E040,_A5097"/>
      <sheetName val="95D024;025,_A6157"/>
      <sheetName val="95X020-U05,_A6017"/>
      <sheetName val="95X020-U02,_A2047"/>
      <sheetName val="Extruder_FDN7"/>
      <sheetName val="BOG_COMP__FDN7"/>
      <sheetName val="SOG_COMP__FDN7"/>
      <sheetName val="1G1_(Ground_Beam)7"/>
      <sheetName val="1G2-1(Ground_Beam)7"/>
      <sheetName val="1G2-2(Ground_Beam)7"/>
      <sheetName val="P15,_167"/>
      <sheetName val="LO_CONSOLE_FDN7"/>
      <sheetName val="OIL_COOLER_FDN7"/>
      <sheetName val="CW_CONSOLE_FDN_(SOG)7"/>
      <sheetName val="PD3_(SOG)7"/>
      <sheetName val="SF1_(SOG)7"/>
      <sheetName val="SF2_(SOG)7"/>
      <sheetName val="SLAB_(1S1-1)7"/>
      <sheetName val="SLAB_(1S1-2)7"/>
      <sheetName val="SLAB_(1S1-3)7"/>
      <sheetName val="COLUMN_(+5500)7"/>
      <sheetName val="COLUMN_(+12500)7"/>
      <sheetName val="COLUMN_(+15500)7"/>
      <sheetName val="ETC_7"/>
      <sheetName val="Cash_Flow_bulanan7"/>
      <sheetName val="H_Satuan7"/>
      <sheetName val="In-House_Summary7"/>
      <sheetName val="Tools_&amp;_Settings7"/>
      <sheetName val="Data_Summary7"/>
      <sheetName val="Crew_Costs7"/>
      <sheetName val="Spread_Costs7"/>
      <sheetName val="Unique_List_Misc7"/>
      <sheetName val="Codes_Pers7"/>
      <sheetName val="Direct_PMS7"/>
      <sheetName val="UP_MINOR7"/>
      <sheetName val="Item_code7"/>
      <sheetName val="Aux_7"/>
      <sheetName val="Pengesahan_7"/>
      <sheetName val="__7"/>
      <sheetName val="_7"/>
      <sheetName val="breakdown_of_wage_ra`f6"/>
      <sheetName val="breakdown_of_wage_ra6"/>
      <sheetName val="breakdown_of_wage_rað-6"/>
      <sheetName val="2_Overall_Summary_6"/>
      <sheetName val="Rates_&amp;_Legend7"/>
      <sheetName val="OCT_FDN7"/>
      <sheetName val="BO䁑-B_䁄OWN7"/>
      <sheetName val="Bill_rekap7"/>
      <sheetName val="Harga_Satuan7"/>
      <sheetName val="F_ALARM7"/>
      <sheetName val="0__Resource　Code6"/>
      <sheetName val="breakdown_of_wage_rap6"/>
      <sheetName val="00-Summary_Information-ABB6"/>
      <sheetName val="breakdown_of_wage_ra6"/>
      <sheetName val="Exchange_Rate7"/>
      <sheetName val="General_Notes7"/>
      <sheetName val="내역서_耰&quot;_x005f_x0000_7"/>
      <sheetName val="내역서_耰&quot;_x005f_x005f_7"/>
      <sheetName val="Process_Data_(2)7"/>
      <sheetName val="PABS,Site_info6"/>
      <sheetName val="내역서_耰&quot;_6"/>
      <sheetName val="2__현장_자금투입_집계표7"/>
      <sheetName val="_도면_및_도서_제출목록_및_일정_170202_xlsx7"/>
      <sheetName val="Distribution_Table6"/>
      <sheetName val="Raw_data6"/>
      <sheetName val="차트_(2)7"/>
      <sheetName val="Material_code6"/>
      <sheetName val="DROP_DOWN6"/>
      <sheetName val="개시대사_(2)6"/>
      <sheetName val="DATA_MENTAH6"/>
      <sheetName val="내역서_(N____x000a_7"/>
      <sheetName val="TQ_Format5"/>
      <sheetName val="HO_Site_Rates-20116"/>
      <sheetName val="Linelist_LNGC_Process6"/>
      <sheetName val="Equipment_Spec_List6"/>
      <sheetName val="SPEC_LIST(EQUP,_SYS)6"/>
      <sheetName val="Action_Item6"/>
      <sheetName val="ID_CD6"/>
      <sheetName val="Air_Cooler-E6"/>
      <sheetName val="SUM_5"/>
      <sheetName val="Al_Taweelah6"/>
      <sheetName val="Particular_Sch6"/>
      <sheetName val="breakdown_of_wage_raÐ¾5"/>
      <sheetName val="Additional_data5"/>
      <sheetName val="11_자재단가4"/>
      <sheetName val="LIFE_&amp;_REP_PROVN4"/>
      <sheetName val="O&amp;M_CREW4"/>
      <sheetName val="33628-Rev__A4"/>
      <sheetName val="Cashflow_Analysis4"/>
      <sheetName val="Schedule_4"/>
      <sheetName val="Loading_Struc4"/>
      <sheetName val="Loading_Pip4"/>
      <sheetName val="Loading_Overall_(BASE_Proposal4"/>
      <sheetName val="Steel_Structure4"/>
      <sheetName val="PIPING_AG-UG_NEW_UNITS4"/>
      <sheetName val="MEC_PIPING_PREFABR4"/>
      <sheetName val="Working_File-Pip4"/>
      <sheetName val="Equip_ISBL_&amp;_OSBL_4"/>
      <sheetName val="Attach_4-184"/>
      <sheetName val="INPUT_DATA_OF_SCHEDULE4"/>
      <sheetName val="OIL_SEPARATOR4"/>
      <sheetName val="CATCH_BASIN4"/>
      <sheetName val="FW_Post_Indicator_Valve_24&quot;4"/>
      <sheetName val="FW_Post_Indicator_Valve_20&quot;4"/>
      <sheetName val="FW_Post_Indicator_Valve_6&quot;4"/>
      <sheetName val="Fire_Monitor_or_Hydrant_6&quot;_FDN4"/>
      <sheetName val="SUMP_VB4"/>
      <sheetName val="CLEANOUT_4&quot;4"/>
      <sheetName val="Not_reqd4"/>
      <sheetName val="호환성_보고서4"/>
      <sheetName val="Finansal_tamamlanma_Eğrisi4"/>
      <sheetName val="Master_List4"/>
      <sheetName val="Scheme_Area_Details_Block___C24"/>
      <sheetName val="14-Eng_rate4"/>
      <sheetName val="리스크_분류체계4"/>
      <sheetName val="Tender_data4"/>
      <sheetName val="Activity_Form4"/>
      <sheetName val="GM_0004"/>
      <sheetName val="Admin_Manu_2-Equipment_Type_ID4"/>
      <sheetName val="일위대가_4"/>
      <sheetName val="SECL_리스크_분류체계_(2)4"/>
      <sheetName val="1_설계기준4"/>
      <sheetName val="Cash_Flow4"/>
      <sheetName val="REF_for_VV4"/>
      <sheetName val="P-Ins_&amp;_Bonds4"/>
      <sheetName val="INSTLIST_14"/>
      <sheetName val="내역서_(∮ἀ嘆ɶ?᠀㬁?4"/>
      <sheetName val="Fig_4-144"/>
      <sheetName val="Itembalance_Report_(18-sep-18)4"/>
      <sheetName val="BUDGET_SUMMARY_4"/>
      <sheetName val="광통신_견적내역서14"/>
      <sheetName val="5__월별투입내역서4"/>
      <sheetName val="Att-1_CTCI_MH_rate4"/>
      <sheetName val="SUMMARY_MTO_02_2_352"/>
      <sheetName val="N_G_METERING_CALC_2"/>
      <sheetName val="N_G_METERING2"/>
      <sheetName val="N_G_METERING_(2)2"/>
      <sheetName val="CUMENE_METERING2"/>
      <sheetName val="N2_METERING_2"/>
      <sheetName val="H2_METERING__2"/>
      <sheetName val="CO_METERING2"/>
      <sheetName val="Bill_4_7_Predestain_Bridge_2"/>
      <sheetName val="Bill_4_7_Predestain2"/>
      <sheetName val="1_1_FT_type_12"/>
      <sheetName val="1_2_FT_type_1A2"/>
      <sheetName val="1_3_FT_type_22"/>
      <sheetName val="1_4_FT_type_32"/>
      <sheetName val="1_5_FT_type_42"/>
      <sheetName val="2_1_CL_Outside2"/>
      <sheetName val="2_2_CL_Inside2"/>
      <sheetName val="2_3_CL_Ramp2"/>
      <sheetName val="3_1_CB_Outside2"/>
      <sheetName val="3_2_CB_Inside2"/>
      <sheetName val="4_Stair2"/>
      <sheetName val="5_Ramp2"/>
      <sheetName val="6_Handrail2"/>
      <sheetName val="Invoice_(Interim_No_28)2"/>
      <sheetName val="Cost_Summary2"/>
      <sheetName val="Direct_Cost2"/>
      <sheetName val="Direct_Cost_(2)2"/>
      <sheetName val="Summary_(3)2"/>
      <sheetName val="Indirect_Cost_Summary2"/>
      <sheetName val="TR_Rev_vs_Commit2"/>
      <sheetName val="TR_+MMHE_PL_report2"/>
      <sheetName val="P23P2724___Commitment_2"/>
      <sheetName val="설산1_나4"/>
      <sheetName val="Analisa_Fave4"/>
      <sheetName val="Harsat_Bahan4"/>
      <sheetName val="Harsat_Subkon4"/>
      <sheetName val="Harsat_Upah4"/>
      <sheetName val="Master_1_04"/>
      <sheetName val="Agregat_Halus_&amp;_Kasar4"/>
      <sheetName val="HARGA_MATERIAL4"/>
      <sheetName val="Harga_Sat_APP4"/>
      <sheetName val="Tgh_JGC-Inv_I_clp4"/>
      <sheetName val="PCS_4"/>
      <sheetName val="Progress_Statement-SI4"/>
      <sheetName val="Progress_Payment-31104"/>
      <sheetName val="Perm__Test4"/>
      <sheetName val="Galian_14"/>
      <sheetName val="Analisa_Lump_sum4"/>
      <sheetName val="Sec_I_ML4"/>
      <sheetName val="dongia_(2)4"/>
      <sheetName val="BM_#14"/>
      <sheetName val="Weekl_5"/>
      <sheetName val="내역서_(N____9"/>
      <sheetName val="내역서_(N____10"/>
      <sheetName val="__x04"/>
      <sheetName val="OPT_5"/>
      <sheetName val="내역서_(N__x004"/>
      <sheetName val="List_register4"/>
      <sheetName val="Direct_Histogram_Rev__A_(f)4"/>
      <sheetName val="Tables_3_1_to_3_5_EXH_G4"/>
      <sheetName val="64_44"/>
      <sheetName val="64_54"/>
      <sheetName val="36_24"/>
      <sheetName val="36_14"/>
      <sheetName val="Precios_Unitariԯ3"/>
      <sheetName val="EQUIPOS_DE_SEGURIDAD4"/>
      <sheetName val="MATERIALES_CONSUMIBLES4"/>
      <sheetName val="PERSONAL_INDIRECTO_4"/>
      <sheetName val="1_자금요약2"/>
      <sheetName val="2_실행비투입2"/>
      <sheetName val="3_본사집계2"/>
      <sheetName val="3-1_본사투입2"/>
      <sheetName val="4_지사집계2"/>
      <sheetName val="4-1_지사투입2"/>
      <sheetName val="5_현장총집계2"/>
      <sheetName val="5-1_현금집계2"/>
      <sheetName val="5-2_현금출납2"/>
      <sheetName val="5-3_외상집계2"/>
      <sheetName val="5-4_외상투입2"/>
      <sheetName val="6_미지급금2"/>
      <sheetName val="5-5_기타공제집계2"/>
      <sheetName val="5-6_기타공제2"/>
      <sheetName val="7_기성현황(실)2"/>
      <sheetName val="8_한국인수당2"/>
      <sheetName val="8_한국인수당_(Master_file)2"/>
      <sheetName val="9_기타수입2"/>
      <sheetName val="10_투입집계2"/>
      <sheetName val="5-4_외상투입_(2)2"/>
      <sheetName val="16_기성현황(예)2"/>
      <sheetName val="17_자금요약22"/>
      <sheetName val="18_실행대비투입22"/>
      <sheetName val="SPT_vs_PHI2"/>
      <sheetName val="05__Curva_S3"/>
      <sheetName val="Cost_Code4"/>
      <sheetName val="Data_Ref4"/>
      <sheetName val="Interdept_Rate4"/>
      <sheetName val="4300_UTILITY_BLDG_(2)4"/>
      <sheetName val="Payment_Certificate-12"/>
      <sheetName val="Floor_wet2"/>
      <sheetName val="Floor_Balcony2"/>
      <sheetName val="Hard_scape_Floor2"/>
      <sheetName val="P03_Skirting2"/>
      <sheetName val="GF_wall2"/>
      <sheetName val="Kitchen_Wall_wet_LIN-7012"/>
      <sheetName val="Wall_wet_LIN-601_2"/>
      <sheetName val="BOQ_(2)2"/>
      <sheetName val="VO_Schedule-12"/>
      <sheetName val="HOLD_AMOUNT2"/>
      <sheetName val="Back_Charge_(2)2"/>
      <sheetName val="Temporary_Deductions-1_2"/>
      <sheetName val="Contracharges_Check_list-1_2"/>
      <sheetName val="PC_032"/>
      <sheetName val="Measurement_sheet2"/>
      <sheetName val="Material_Only2"/>
      <sheetName val="Man_power_supply2"/>
      <sheetName val="Camp_Deduction2"/>
      <sheetName val="สรุปยอดเหล็กตาม_Cost_Record_VY2"/>
      <sheetName val="แนบ_PR2"/>
      <sheetName val="OR21_Final_Forecast_Rev_22"/>
      <sheetName val="Summary_Forecast_Budget_1&amp;22"/>
      <sheetName val="Summary_Forecast_Budget_Rev_22"/>
      <sheetName val="Backup_OR21_2"/>
      <sheetName val="Budget_for_ENT2"/>
      <sheetName val="ADJ__D-Wall&amp;BR_Ent__Rev_2_12"/>
      <sheetName val="Rebar+Conพื้น_Waste10%2"/>
      <sheetName val="Backup_D-Wall_Ent__13_07_192"/>
      <sheetName val="Backup_BR_ENT__13_07_192"/>
      <sheetName val="Final_Forecast_721112"/>
      <sheetName val="IMP_OR21_2019_07_112"/>
      <sheetName val="Concrete_721122"/>
      <sheetName val="หินเกล็ด_2"/>
      <sheetName val="เปรียบเทียบBudget_BR_2"/>
      <sheetName val="ADJ__BR_Ent__Rev_2_1_(2)2"/>
      <sheetName val="แผนงานBarrette_Pile2"/>
      <sheetName val="BOQ__VI_03_09_19_2"/>
      <sheetName val="Backup_BR_BMA2"/>
      <sheetName val="Sum_Budget&amp;Rev_12"/>
      <sheetName val="Sum_Budget_Rev_12"/>
      <sheetName val="Sum_Budget&amp;Rev_1_Rebar2"/>
      <sheetName val="Sum_Budget_Rev_2_Rebar2"/>
      <sheetName val="Rebar+Conพื้น_Waste10%_Rev_002"/>
      <sheetName val="Rebar+Conพื้น_Waste10%_Rev_01_2"/>
      <sheetName val="Equip_Rev_00_Budget2"/>
      <sheetName val="Budget_Waterpoofing2"/>
      <sheetName val="Enron_Form2"/>
      <sheetName val="IRR_sponsor2"/>
      <sheetName val="Consortium_VP2"/>
      <sheetName val="Summary_MONTH2"/>
      <sheetName val="DESICON_SUM2"/>
      <sheetName val="DES_TCF_Rental2"/>
      <sheetName val="DES_TCF_Maints_pers2"/>
      <sheetName val="DES_TCF_Heavy_Equipment2"/>
      <sheetName val="BANK_BOND2"/>
      <sheetName val="PHC_WAREHOUSE_-_INFOONLY2"/>
      <sheetName val="CATERING_CONTROL2"/>
      <sheetName val="SUB_CONTRACT2"/>
      <sheetName val="SPDC_-_INFONLY2"/>
      <sheetName val="VENDOR_SCHEDUL2"/>
      <sheetName val="VENDOR_PRESENCE_-_COMM2"/>
      <sheetName val="VENDOR_PRESENCE_-_RECH2"/>
      <sheetName val="VENDOR_PRESENCE_-_COMM_2"/>
      <sheetName val="CONTRACT_RATES2"/>
      <sheetName val="Sch_62"/>
      <sheetName val="2013电气概算_价目表_(营改增调整)2"/>
      <sheetName val="1_11_b2"/>
      <sheetName val="SPEC(CABLE_&amp;_WIRE)2"/>
      <sheetName val="RESUMEN_CD2"/>
      <sheetName val="BOQ_REV62"/>
      <sheetName val="Maliyet_Ozet2"/>
      <sheetName val="1_1-1_22"/>
      <sheetName val="1_3-_1_42"/>
      <sheetName val="3_12"/>
      <sheetName val="3_22"/>
      <sheetName val="4_1(a)2"/>
      <sheetName val="4_1(b)2"/>
      <sheetName val="4_1_(c)2"/>
      <sheetName val="5_12"/>
      <sheetName val="내역서_(N____13"/>
      <sheetName val="6_공정표2"/>
      <sheetName val="List_Equip2"/>
      <sheetName val="Process_C_(1-166)2"/>
      <sheetName val="TRUCK_HAUL_CYCLE-waste2"/>
      <sheetName val="Existing_PC_Pavement2"/>
      <sheetName val="Master_Data2"/>
      <sheetName val="ind'l_cp2"/>
      <sheetName val="LAST_UPDATE2"/>
      <sheetName val="0_품의서(전체)2"/>
      <sheetName val="3_부제O호표2"/>
      <sheetName val="5_소모재료비2"/>
      <sheetName val="8_시멘트제원표2"/>
      <sheetName val="2_품제O호표2"/>
      <sheetName val="본부_SHOP2"/>
      <sheetName val="#6_MDU_일반2"/>
      <sheetName val="#6_MDU엄반장2"/>
      <sheetName val="#6MDU_기계2"/>
      <sheetName val="HOU_COMP`2"/>
      <sheetName val="FCC_OBL-SHOP2"/>
      <sheetName val="NEW_FCC_OBL2"/>
      <sheetName val="#4_MDU2"/>
      <sheetName val="#6_SHOP2"/>
      <sheetName val="NRC_OBL-조연식2"/>
      <sheetName val="광양-조연식_반장2"/>
      <sheetName val="#5MDU_REV2"/>
      <sheetName val="LBO_PROJECT2"/>
      <sheetName val="VENDOR_LIST2"/>
      <sheetName val="BOP_LINE_LIST2"/>
      <sheetName val="5__Work_load(현재원기준)4"/>
      <sheetName val="A__ENGINEERING2"/>
      <sheetName val="B-1__배관자재2"/>
      <sheetName val="B-2__전기자재2"/>
      <sheetName val="B-3__계장자재2"/>
      <sheetName val="B-4__기계자재2"/>
      <sheetName val="C-1__공통가설2"/>
      <sheetName val="C-2__토목2"/>
      <sheetName val="C-4__철골2"/>
      <sheetName val="C-5__기계2"/>
      <sheetName val="C-6__배관2"/>
      <sheetName val="C-7__전기2"/>
      <sheetName val="C-8__계장2"/>
      <sheetName val="C-9__중장비2"/>
      <sheetName val="C-10__소방설비2"/>
      <sheetName val="C-11__보온2"/>
      <sheetName val="C-12__CMS2"/>
      <sheetName val="Equipt_Rental2"/>
      <sheetName val="EQ_USED_(CORRECTED)2"/>
      <sheetName val="Rebar_Constant2"/>
      <sheetName val="CONCRETE_TYPE2"/>
      <sheetName val="Other_data2"/>
      <sheetName val="내역서_(∮ἀ嘆ɶ_᠀㬁_3"/>
      <sheetName val="InD_Mpower2"/>
      <sheetName val="ABB_Summary2"/>
      <sheetName val="Man_power_rate2"/>
      <sheetName val="Const_equip_rate2"/>
      <sheetName val="01-Gang_Rate_&amp;_Info2"/>
      <sheetName val="05-Sum_Cost2"/>
      <sheetName val="06-Indirect_Loading2"/>
      <sheetName val="07-Heavy_Equipment2"/>
      <sheetName val="08-RR_Check_List2"/>
      <sheetName val="1)_Risk_and_Opportunities2"/>
      <sheetName val="2)_Full_Cost_Calculation2"/>
      <sheetName val="Vehicle_Log2"/>
      <sheetName val="M&amp;E_Summary2"/>
      <sheetName val="rev_summary2"/>
      <sheetName val="M&amp;E_Prelims2"/>
      <sheetName val="B-FP_(2)2"/>
      <sheetName val="Sch_12"/>
      <sheetName val="tblg_denda3"/>
      <sheetName val="F1_42"/>
      <sheetName val="Manpower_Categories2"/>
      <sheetName val="External_Issues2"/>
      <sheetName val="Statprod_gab3"/>
      <sheetName val="L_13"/>
      <sheetName val="Equip_Mstr_FOR_3A12"/>
      <sheetName val="G_R300경비2"/>
      <sheetName val="AS포장복구_2"/>
      <sheetName val="중기조종사_단위단가2"/>
      <sheetName val="설_계2"/>
      <sheetName val="5_Cennik3"/>
      <sheetName val="_토목_처리장도급내역서_2"/>
      <sheetName val="Garph_Work-Cost2"/>
      <sheetName val="LRK_2"/>
      <sheetName val="Insulation_1501082"/>
      <sheetName val="동상부_Tact_기준_반입일정_및_수량_02172"/>
      <sheetName val="MASTER_RATE_ANALYSIS2"/>
      <sheetName val="MN_T_B_2"/>
      <sheetName val="INDIGINEOUS_ITEMS_2"/>
      <sheetName val="Core_Data2"/>
      <sheetName val="final_abstract2"/>
      <sheetName val="GRAND_REKAP1"/>
      <sheetName val="analisa_(2)1"/>
      <sheetName val="Analisa_21"/>
      <sheetName val="Up_&amp;_bhn1"/>
      <sheetName val="HRG_BHN1"/>
      <sheetName val="Analisa_(ok_punya)1"/>
      <sheetName val="Alat_(2)1"/>
      <sheetName val="Rekap_Biaya1"/>
      <sheetName val="Kuantitas_&amp;_Harga1"/>
      <sheetName val="Nopember_(2)1"/>
      <sheetName val="Ramp_data1"/>
      <sheetName val="Lower_Ground1"/>
      <sheetName val="Cap_Cost1"/>
      <sheetName val="RLV_Calc1"/>
      <sheetName val="Costs_(dev)1"/>
      <sheetName val="Bluewater_NPV_-_sell_January1"/>
      <sheetName val="Upper_Ground1"/>
      <sheetName val="PARK_NE1"/>
      <sheetName val="Financial_Summary1"/>
      <sheetName val="D&amp;C_Calcs1"/>
      <sheetName val="CA_Upside_Downside_Old1"/>
      <sheetName val="EASEL_CA_Example1"/>
      <sheetName val="Urai__Resap_pengikat1"/>
      <sheetName val="DAF_HRG1"/>
      <sheetName val="7_공정표1"/>
      <sheetName val="Kolom_UT1"/>
      <sheetName val="HB_1"/>
      <sheetName val="Memb_Schd1"/>
      <sheetName val="Coef_et_données1"/>
      <sheetName val="Eng_Hrs_(HO)1"/>
      <sheetName val="MFG_&amp;_DEL1"/>
      <sheetName val="원가조정_내역1"/>
      <sheetName val="InsertListDrawing_1_1"/>
      <sheetName val="P_Staff_fac1"/>
      <sheetName val="beam-reinft-IIInd_floor1"/>
      <sheetName val="P-Site_fac1"/>
      <sheetName val="P-Clients_fac1"/>
      <sheetName val="P2-Project_Data1"/>
      <sheetName val="a_h_ars_sum1"/>
      <sheetName val="a_h_ars1"/>
      <sheetName val="KUWATI(Total)_17"/>
      <sheetName val="OPTION_217"/>
      <sheetName val="OPTION_317"/>
      <sheetName val="집계표_(TOTAL)17"/>
      <sheetName val="집계표_(CIVIL-23)17"/>
      <sheetName val="집계표_(FGRU)17"/>
      <sheetName val="집계표_(25,26)17"/>
      <sheetName val="집계표_(MEROX)17"/>
      <sheetName val="집계표_(NITROGEN)17"/>
      <sheetName val="집계표_(M4)17"/>
      <sheetName val="집계표_(CIVIL4)17"/>
      <sheetName val="집계표_(CIVIL6)17"/>
      <sheetName val="집계표_(CIVIL7)17"/>
      <sheetName val="내역서(DEMO_TOTAL)17"/>
      <sheetName val="내역서_(CIVIL-23)17"/>
      <sheetName val="내역서_(fgru)17"/>
      <sheetName val="내역서_(25&amp;26)17"/>
      <sheetName val="내역서_(MEROX)17"/>
      <sheetName val="내역서_(NITROGEN)17"/>
      <sheetName val="내역서_(M4)17"/>
      <sheetName val="내역서_(CIVIL-4)17"/>
      <sheetName val="내역서_(CIVIL-6)17"/>
      <sheetName val="내역서_(CIVIL-7)17"/>
      <sheetName val="2002년_현장공사비_국내_실적17"/>
      <sheetName val="2003년국내현장공사비_실적17"/>
      <sheetName val="VC2_10_9917"/>
      <sheetName val="INPUT_DATA16"/>
      <sheetName val="집계표_(25,26ဩ16"/>
      <sheetName val="General_Data16"/>
      <sheetName val="Form_016"/>
      <sheetName val="LABOR_&amp;_자재15"/>
      <sheetName val="입출재고현황_(2)15"/>
      <sheetName val="Form_D-115"/>
      <sheetName val="Form_B-115"/>
      <sheetName val="Form_F-115"/>
      <sheetName val="Form_A15"/>
      <sheetName val="3_공통공사대비15"/>
      <sheetName val="간접비_총괄15"/>
      <sheetName val="Rate_Analysis15"/>
      <sheetName val="Price_Schedule15"/>
      <sheetName val="CAL_15"/>
      <sheetName val="EQUIPMENT_-215"/>
      <sheetName val="Z-_GENERAL_PRICE_SUMMARY13"/>
      <sheetName val="_Estimate__13"/>
      <sheetName val="WEIGHT_LIST14"/>
      <sheetName val="산#2-1_(2)14"/>
      <sheetName val="BEND_LOSS14"/>
      <sheetName val="공사비_내역_(가)14"/>
      <sheetName val="내역서_耰&quot;??15"/>
      <sheetName val="단면_(2)14"/>
      <sheetName val="6PILE__(돌출)14"/>
      <sheetName val="Static_Equip14"/>
      <sheetName val="Form_A_14"/>
      <sheetName val="내역서_耰&quot;_x005f_x0000__x005f_x0000_14"/>
      <sheetName val="3_Breakdown_Direct_Paint14"/>
      <sheetName val="Áý°èÇ¥_(TOTAL)13"/>
      <sheetName val="Áý°èÇ¥_(CIVIL-23)13"/>
      <sheetName val="Áý°èÇ¥_(FGRU)13"/>
      <sheetName val="Áý°èÇ¥_(25,26)13"/>
      <sheetName val="Áý°èÇ¥_(MEROX)13"/>
      <sheetName val="Áý°èÇ¥_(NITROGEN)13"/>
      <sheetName val="Áý°èÇ¥_(M4)13"/>
      <sheetName val="Áý°èÇ¥_(CIVIL4)13"/>
      <sheetName val="Áý°èÇ¥_(CIVIL6)13"/>
      <sheetName val="Áý°èÇ¥_(CIVIL7)13"/>
      <sheetName val="³»¿ª¼­(DEMO_TOTAL)13"/>
      <sheetName val="³»¿ª¼­_(CIVIL-23)13"/>
      <sheetName val="³»¿ª¼­_(fgru)13"/>
      <sheetName val="³»¿ª¼­_(25&amp;26)13"/>
      <sheetName val="³»¿ª¼­_(MEROX)13"/>
      <sheetName val="³»¿ª¼­_(NITROGEN)13"/>
      <sheetName val="³»¿ª¼­_(M4)13"/>
      <sheetName val="³»¿ª¼­_(CIVIL-4)13"/>
      <sheetName val="³»¿ª¼­_(CIVIL-6)13"/>
      <sheetName val="³»¿ª¼­_(CIVIL-7)13"/>
      <sheetName val="2002³â_ÇöÀå°ø»çºñ_±¹³»_½ÇÀû13"/>
      <sheetName val="2003³â±¹³»ÇöÀå°ø»çºñ_½ÇÀû13"/>
      <sheetName val="내역서_耰&quot;__15"/>
      <sheetName val="Summary_Sheets14"/>
      <sheetName val="Man_Hole13"/>
      <sheetName val="Sheet1_(2)14"/>
      <sheetName val="Civil_114"/>
      <sheetName val="Civil_214"/>
      <sheetName val="Civil_314"/>
      <sheetName val="Site_114"/>
      <sheetName val="Site_214"/>
      <sheetName val="Site_314"/>
      <sheetName val="Site_Faci14"/>
      <sheetName val="내역서_耰&quot;_x005f_x005f_x005f_x0000__x005f_x005f_x0013"/>
      <sheetName val="7__월별투입내역서13"/>
      <sheetName val="계측_내역서13"/>
      <sheetName val="2_2_STAFF_Scedule13"/>
      <sheetName val="내역서_耰&quot;_x005f_x005f_x005f_x005f_x005f_x005f_x00013"/>
      <sheetName val="T_313"/>
      <sheetName val="HORI__VESSEL13"/>
      <sheetName val="EQUIP_LIST13"/>
      <sheetName val="MP_MOB13"/>
      <sheetName val="Form_B13"/>
      <sheetName val="Precios_Unitarios13"/>
      <sheetName val="Administrative_Prices13"/>
      <sheetName val="WBS_4413"/>
      <sheetName val="WBS_4113"/>
      <sheetName val="Precios_por_Administración13"/>
      <sheetName val="Subcon_A13"/>
      <sheetName val="Monthly_Load13"/>
      <sheetName val="Weekly_Load13"/>
      <sheetName val="BM_DATA_SHEET14"/>
      <sheetName val="Vind_-_BtB13"/>
      <sheetName val="LV_induction_motors13"/>
      <sheetName val="BSD_(2)13"/>
      <sheetName val="내역서_耰&quot;_x005f_x005f_x005f_x005f_x005f_x005f_x00513"/>
      <sheetName val="Material_Selections13"/>
      <sheetName val="내역서_耰&quot;12"/>
      <sheetName val="breakdown_of_wage_rate13"/>
      <sheetName val="Indirect_Cost13"/>
      <sheetName val="97_사업추정(WEKI)13"/>
      <sheetName val="[SANDAN_XLS??13"/>
      <sheetName val="Piping_BQ_for_one_turbine13"/>
      <sheetName val="Utility_and_Fire_flange13"/>
      <sheetName val="_SANDAN_XLS__13"/>
      <sheetName val="Eq__Mobilization13"/>
      <sheetName val="Fire_Protection13"/>
      <sheetName val="입찰내역_발주처_양식13"/>
      <sheetName val="Heavy_Equipments13"/>
      <sheetName val="AG_Pipe_Qty_Analysis13"/>
      <sheetName val="FWBS_153012"/>
      <sheetName val="Resource_table13"/>
      <sheetName val="Equipment_List13"/>
      <sheetName val="Form1_SQP13"/>
      <sheetName val="공정계획(내부계획25%,내부w_f)13"/>
      <sheetName val="SFN_ORIG13"/>
      <sheetName val="Currency_Rate8"/>
      <sheetName val="w't_table13"/>
      <sheetName val="SCHEDD_TAMBAHAN13"/>
      <sheetName val="실행예산_MM12"/>
      <sheetName val="MODULE_CONFIRM12"/>
      <sheetName val="ITB_COST13"/>
      <sheetName val="내역서_(∮ἀ嘆ɶ12"/>
      <sheetName val="Dir_Manpower_Other_Exp_13"/>
      <sheetName val="4-3LEVEL-5_epic_412"/>
      <sheetName val="단가_(2)12"/>
      <sheetName val="BOQ-B_DOWN12"/>
      <sheetName val="Cash_In-Cash_Out_Actual12"/>
      <sheetName val="PROTECTION_12"/>
      <sheetName val="내역서1999_8최종8"/>
      <sheetName val="Unit_Price_8"/>
      <sheetName val="plan&amp;section_of_foundation9"/>
      <sheetName val="working_load_at_the_btm_ft_9"/>
      <sheetName val="stability_check9"/>
      <sheetName val="design_load9"/>
      <sheetName val="TDC_COA_Sumry8"/>
      <sheetName val="TDC_Item_Dets8"/>
      <sheetName val="TDC_Item_Sumry8"/>
      <sheetName val="TDC_Key_Qty_Sumry8"/>
      <sheetName val="List_-_Components8"/>
      <sheetName val="List_-_Equipment8"/>
      <sheetName val="COA_Sumry_-_Std_Imp8"/>
      <sheetName val="Contr_TDC_-_Std_Imp8"/>
      <sheetName val="Item_Sumry_-_Std_Imp8"/>
      <sheetName val="Unit_Costs_-_Std_Imp8"/>
      <sheetName val="Unit_MH_-_Std_Imp8"/>
      <sheetName val="Proj_TIC_-_Std_Imp8"/>
      <sheetName val="Updating_Form-Oct_20118"/>
      <sheetName val="Weld_Consumable8"/>
      <sheetName val="NDE_Cost-Summary8"/>
      <sheetName val="9July_Above_Ground_Pipe8"/>
      <sheetName val="M_118"/>
      <sheetName val="Process_Data_18"/>
      <sheetName val="Sum_(Case-3)8"/>
      <sheetName val="Man_Power_&amp;_Comp8"/>
      <sheetName val="Data_List8"/>
      <sheetName val="4-Basic_Price8"/>
      <sheetName val="Evaluasi_Penw8"/>
      <sheetName val="Closeout_Control8"/>
      <sheetName val="PROJECT_BRIEF8"/>
      <sheetName val="CUADRO_DE_PRECIOS12"/>
      <sheetName val="Site_Findings_Status_Sheet8"/>
      <sheetName val="5_)_Time_Delays8"/>
      <sheetName val="Unt_rate8"/>
      <sheetName val="1100-1200-1300-1910-2140-LEV_28"/>
      <sheetName val="내역서_耰&quot;_x005f_x005f_x005f_x0000_8"/>
      <sheetName val="내역서_耰&quot;_x005f_x005f_x005f_x005f_8"/>
      <sheetName val="내역서_耰&quot;_x005f_x0000__x00009"/>
      <sheetName val="99__FWBS(Ref)8"/>
      <sheetName val="99__Change_Rate8"/>
      <sheetName val="할증_8"/>
      <sheetName val="RAB_AR&amp;STR8"/>
      <sheetName val="Equip_Rental_Summary_by_Contr8"/>
      <sheetName val="Project_Equip_Rental_Summary8"/>
      <sheetName val="Contractor_Indirect_Sumry8"/>
      <sheetName val="Project_Indirect_Sumry8"/>
      <sheetName val="COA_Sumry_by_Area8"/>
      <sheetName val="COA_Sumry_by_Contr8"/>
      <sheetName val="COA_Sumry_by_RG8"/>
      <sheetName val="TDC_COA_Grp_Sumry8"/>
      <sheetName val="TDC_COA_Grp_Sumry_by_Area8"/>
      <sheetName val="TDC_COA_Grp_Sumry_by_RG8"/>
      <sheetName val="Equipment_Sumry8"/>
      <sheetName val="TDC_Item_Dets-Full8"/>
      <sheetName val="TDC_Item_Dets-IPM-Full8"/>
      <sheetName val="TDC_Item_Sumry_by_Area8"/>
      <sheetName val="TDC_Item_Sumry_by_RG8"/>
      <sheetName val="TDC_Key_Qty_Sumry_by_RG8"/>
      <sheetName val="List_-_Equipment_by_Area8"/>
      <sheetName val="List_-_Equipment_by_Contr8"/>
      <sheetName val="Equipment_-_Unit_Costs_by_Mat8"/>
      <sheetName val="List_-_Equipment_by_Rep_Grp8"/>
      <sheetName val="Craft_Summary_by_Contr8"/>
      <sheetName val="Project_Craft_Summary8"/>
      <sheetName val="Project_Metrics8"/>
      <sheetName val="Discounted_Cash_Flow8"/>
      <sheetName val="Ocean_Transporation_Charge8"/>
      <sheetName val="SUMMARY_(0A)8"/>
      <sheetName val="SUMMARY_(1A)8"/>
      <sheetName val="SUMMARY_(1B)8"/>
      <sheetName val="SUMMARY_(03)8"/>
      <sheetName val="F1(Cable_Rack)8"/>
      <sheetName val="F2(Cable_Rack)8"/>
      <sheetName val="F3(Cable_Rack)8"/>
      <sheetName val="F1_(POLYMER)8"/>
      <sheetName val="F2_(POLYMER)8"/>
      <sheetName val="F3_(POLYMER)8"/>
      <sheetName val="F4_(POLYMER)8"/>
      <sheetName val="F5(_Polymerization_)8"/>
      <sheetName val="F6_(_Polymerization_)8"/>
      <sheetName val="B1_(Grid_A-7,_-6)8"/>
      <sheetName val="B1_(Grid_A,_B)8"/>
      <sheetName val="B1_(Grid_C-7,_-6)8"/>
      <sheetName val="B2_(Grid_-7_B,_C)_(1)8"/>
      <sheetName val="B2_(Grid_-7_B,_C)_(2)8"/>
      <sheetName val="B2_(Grid_-6_B,_C)_(1)8"/>
      <sheetName val="B2_(Grid_-6_B,_C)_(2)8"/>
      <sheetName val="F1_(MONOMER)8"/>
      <sheetName val="F2_(MONOMER)8"/>
      <sheetName val="F3_(MONOMER)8"/>
      <sheetName val="90K060C_(MONOMER)8"/>
      <sheetName val="F1_(EXTRUSION)8"/>
      <sheetName val="F2_(EXTRUSION)8"/>
      <sheetName val="F3_(EXTRUSION)8"/>
      <sheetName val="F4_(EXTRUSION)8"/>
      <sheetName val="F5_(EXTRUSION)8"/>
      <sheetName val="F6A_(EXTRUSION)8"/>
      <sheetName val="F6D_(EXTRUSION)8"/>
      <sheetName val="F7_(EXTRUSION)8"/>
      <sheetName val="F8_(EXTRUSION)8"/>
      <sheetName val="F9_(EXTRUSION)8"/>
      <sheetName val="F10_(EXTRUSION)8"/>
      <sheetName val="F11_(EXTRUSION)8"/>
      <sheetName val="B1_(Grid_F-5`,_4`)8"/>
      <sheetName val="B2_(Grid_F,E-4`)8"/>
      <sheetName val="B2_(Grid_F,E-5`)8"/>
      <sheetName val="B3_(Grid_C,B-4`)8"/>
      <sheetName val="B4_(Grid_B,A-4`)8"/>
      <sheetName val="B5_(Grid_E-5`)_&amp;_(Grid_D-5`)8"/>
      <sheetName val="B6_(Grid_E,D-5')8"/>
      <sheetName val="B7_(Grid_E,D-5')8"/>
      <sheetName val="95D040,_A5068"/>
      <sheetName val="95P040AB,_A5078"/>
      <sheetName val="95X020-U08,_A6028"/>
      <sheetName val="95X020-U07,_A6068"/>
      <sheetName val="95E040,_A5098"/>
      <sheetName val="95D024;025,_A6158"/>
      <sheetName val="95X020-U05,_A6018"/>
      <sheetName val="95X020-U02,_A2048"/>
      <sheetName val="Extruder_FDN8"/>
      <sheetName val="BOG_COMP__FDN8"/>
      <sheetName val="SOG_COMP__FDN8"/>
      <sheetName val="1G1_(Ground_Beam)8"/>
      <sheetName val="1G2-1(Ground_Beam)8"/>
      <sheetName val="1G2-2(Ground_Beam)8"/>
      <sheetName val="P15,_168"/>
      <sheetName val="LO_CONSOLE_FDN8"/>
      <sheetName val="OIL_COOLER_FDN8"/>
      <sheetName val="CW_CONSOLE_FDN_(SOG)8"/>
      <sheetName val="PD3_(SOG)8"/>
      <sheetName val="SF1_(SOG)8"/>
      <sheetName val="SF2_(SOG)8"/>
      <sheetName val="SLAB_(1S1-1)8"/>
      <sheetName val="SLAB_(1S1-2)8"/>
      <sheetName val="SLAB_(1S1-3)8"/>
      <sheetName val="COLUMN_(+5500)8"/>
      <sheetName val="COLUMN_(+12500)8"/>
      <sheetName val="COLUMN_(+15500)8"/>
      <sheetName val="ETC_8"/>
      <sheetName val="Cash_Flow_bulanan8"/>
      <sheetName val="H_Satuan8"/>
      <sheetName val="In-House_Summary8"/>
      <sheetName val="Tools_&amp;_Settings8"/>
      <sheetName val="Data_Summary8"/>
      <sheetName val="Crew_Costs8"/>
      <sheetName val="Spread_Costs8"/>
      <sheetName val="Unique_List_Misc8"/>
      <sheetName val="Codes_Pers8"/>
      <sheetName val="Direct_PMS8"/>
      <sheetName val="UP_MINOR8"/>
      <sheetName val="Item_code8"/>
      <sheetName val="Aux_8"/>
      <sheetName val="Pengesahan_8"/>
      <sheetName val="__8"/>
      <sheetName val="_8"/>
      <sheetName val="breakdown_of_wage_ra`f7"/>
      <sheetName val="breakdown_of_wage_ra7"/>
      <sheetName val="breakdown_of_wage_rað-7"/>
      <sheetName val="2_Overall_Summary_7"/>
      <sheetName val="Rates_&amp;_Legend8"/>
      <sheetName val="OCT_FDN8"/>
      <sheetName val="BO䁑-B_䁄OWN8"/>
      <sheetName val="Bill_rekap8"/>
      <sheetName val="Harga_Satuan8"/>
      <sheetName val="F_ALARM8"/>
      <sheetName val="0__Resource　Code7"/>
      <sheetName val="breakdown_of_wage_rap7"/>
      <sheetName val="00-Summary_Information-ABB7"/>
      <sheetName val="breakdown_of_wage_ra7"/>
      <sheetName val="Exchange_Rate8"/>
      <sheetName val="General_Notes8"/>
      <sheetName val="내역서_耰&quot;_x005f_x0000_8"/>
      <sheetName val="내역서_耰&quot;_x005f_x005f_8"/>
      <sheetName val="Process_Data_(2)8"/>
      <sheetName val="PABS,Site_info7"/>
      <sheetName val="내역서_耰&quot;_7"/>
      <sheetName val="2__현장_자금투입_집계표8"/>
      <sheetName val="_도면_및_도서_제출목록_및_일정_170202_xlsx8"/>
      <sheetName val="Distribution_Table7"/>
      <sheetName val="Raw_data7"/>
      <sheetName val="차트_(2)8"/>
      <sheetName val="Material_code7"/>
      <sheetName val="DROP_DOWN7"/>
      <sheetName val="개시대사_(2)7"/>
      <sheetName val="DATA_MENTAH7"/>
      <sheetName val="내역서_(N____x000a_8"/>
      <sheetName val="TQ_Format6"/>
      <sheetName val="HO_Site_Rates-20117"/>
      <sheetName val="Linelist_LNGC_Process7"/>
      <sheetName val="Equipment_Spec_List7"/>
      <sheetName val="SPEC_LIST(EQUP,_SYS)7"/>
      <sheetName val="Action_Item7"/>
      <sheetName val="ID_CD7"/>
      <sheetName val="Air_Cooler-E7"/>
      <sheetName val="SUM_6"/>
      <sheetName val="Al_Taweelah7"/>
      <sheetName val="Particular_Sch7"/>
      <sheetName val="breakdown_of_wage_raÐ¾6"/>
      <sheetName val="Additional_data6"/>
      <sheetName val="11_자재단가5"/>
      <sheetName val="LIFE_&amp;_REP_PROVN5"/>
      <sheetName val="O&amp;M_CREW5"/>
      <sheetName val="33628-Rev__A5"/>
      <sheetName val="Cashflow_Analysis5"/>
      <sheetName val="Schedule_5"/>
      <sheetName val="Loading_Struc5"/>
      <sheetName val="Loading_Pip5"/>
      <sheetName val="Loading_Overall_(BASE_Proposal5"/>
      <sheetName val="Steel_Structure5"/>
      <sheetName val="PIPING_AG-UG_NEW_UNITS5"/>
      <sheetName val="MEC_PIPING_PREFABR5"/>
      <sheetName val="Working_File-Pip5"/>
      <sheetName val="Equip_ISBL_&amp;_OSBL_5"/>
      <sheetName val="Attach_4-185"/>
      <sheetName val="INPUT_DATA_OF_SCHEDULE5"/>
      <sheetName val="OIL_SEPARATOR5"/>
      <sheetName val="CATCH_BASIN5"/>
      <sheetName val="FW_Post_Indicator_Valve_24&quot;5"/>
      <sheetName val="FW_Post_Indicator_Valve_20&quot;5"/>
      <sheetName val="FW_Post_Indicator_Valve_6&quot;5"/>
      <sheetName val="Fire_Monitor_or_Hydrant_6&quot;_FDN5"/>
      <sheetName val="SUMP_VB5"/>
      <sheetName val="CLEANOUT_4&quot;5"/>
      <sheetName val="Not_reqd5"/>
      <sheetName val="호환성_보고서5"/>
      <sheetName val="Finansal_tamamlanma_Eğrisi5"/>
      <sheetName val="Master_List5"/>
      <sheetName val="Scheme_Area_Details_Block___C25"/>
      <sheetName val="14-Eng_rate5"/>
      <sheetName val="리스크_분류체계5"/>
      <sheetName val="Tender_data5"/>
      <sheetName val="Activity_Form5"/>
      <sheetName val="GM_0005"/>
      <sheetName val="Admin_Manu_2-Equipment_Type_ID5"/>
      <sheetName val="일위대가_5"/>
      <sheetName val="SECL_리스크_분류체계_(2)5"/>
      <sheetName val="1_설계기준5"/>
      <sheetName val="Cash_Flow5"/>
      <sheetName val="REF_for_VV5"/>
      <sheetName val="P-Ins_&amp;_Bonds5"/>
      <sheetName val="INSTLIST_15"/>
      <sheetName val="내역서_(∮ἀ嘆ɶ?᠀㬁?5"/>
      <sheetName val="Fig_4-145"/>
      <sheetName val="Itembalance_Report_(18-sep-18)5"/>
      <sheetName val="BUDGET_SUMMARY_5"/>
      <sheetName val="광통신_견적내역서15"/>
      <sheetName val="5__월별투입내역서5"/>
      <sheetName val="Att-1_CTCI_MH_rate5"/>
      <sheetName val="SUMMARY_MTO_02_2_353"/>
      <sheetName val="N_G_METERING_CALC_3"/>
      <sheetName val="N_G_METERING3"/>
      <sheetName val="N_G_METERING_(2)3"/>
      <sheetName val="CUMENE_METERING3"/>
      <sheetName val="N2_METERING_3"/>
      <sheetName val="H2_METERING__3"/>
      <sheetName val="CO_METERING3"/>
      <sheetName val="Bill_4_7_Predestain_Bridge_3"/>
      <sheetName val="Bill_4_7_Predestain3"/>
      <sheetName val="1_1_FT_type_13"/>
      <sheetName val="1_2_FT_type_1A3"/>
      <sheetName val="1_3_FT_type_23"/>
      <sheetName val="1_4_FT_type_33"/>
      <sheetName val="1_5_FT_type_43"/>
      <sheetName val="2_1_CL_Outside3"/>
      <sheetName val="2_2_CL_Inside3"/>
      <sheetName val="2_3_CL_Ramp3"/>
      <sheetName val="3_1_CB_Outside3"/>
      <sheetName val="3_2_CB_Inside3"/>
      <sheetName val="4_Stair3"/>
      <sheetName val="5_Ramp3"/>
      <sheetName val="6_Handrail3"/>
      <sheetName val="Invoice_(Interim_No_28)3"/>
      <sheetName val="Cost_Summary3"/>
      <sheetName val="Direct_Cost3"/>
      <sheetName val="Direct_Cost_(2)3"/>
      <sheetName val="Summary_(3)3"/>
      <sheetName val="Indirect_Cost_Summary3"/>
      <sheetName val="TR_Rev_vs_Commit3"/>
      <sheetName val="TR_+MMHE_PL_report3"/>
      <sheetName val="P23P2724___Commitment_3"/>
      <sheetName val="설산1_나5"/>
      <sheetName val="Analisa_Fave5"/>
      <sheetName val="Harsat_Bahan5"/>
      <sheetName val="Harsat_Subkon5"/>
      <sheetName val="Harsat_Upah5"/>
      <sheetName val="Master_1_05"/>
      <sheetName val="Agregat_Halus_&amp;_Kasar5"/>
      <sheetName val="HARGA_MATERIAL5"/>
      <sheetName val="Harga_Sat_APP5"/>
      <sheetName val="Tgh_JGC-Inv_I_clp5"/>
      <sheetName val="PCS_5"/>
      <sheetName val="Progress_Statement-SI5"/>
      <sheetName val="Progress_Payment-31105"/>
      <sheetName val="Perm__Test5"/>
      <sheetName val="Galian_15"/>
      <sheetName val="Analisa_Lump_sum5"/>
      <sheetName val="Sec_I_ML5"/>
      <sheetName val="dongia_(2)5"/>
      <sheetName val="BM_#15"/>
      <sheetName val="Weekl_6"/>
      <sheetName val="내역서_(N____14"/>
      <sheetName val="내역서_(N____15"/>
      <sheetName val="__x05"/>
      <sheetName val="OPT_6"/>
      <sheetName val="내역서_(N__x005"/>
      <sheetName val="List_register5"/>
      <sheetName val="Direct_Histogram_Rev__A_(f)5"/>
      <sheetName val="Tables_3_1_to_3_5_EXH_G5"/>
      <sheetName val="64_45"/>
      <sheetName val="64_55"/>
      <sheetName val="36_25"/>
      <sheetName val="36_15"/>
      <sheetName val="Precios_Unitariԯ4"/>
      <sheetName val="EQUIPOS_DE_SEGURIDAD5"/>
      <sheetName val="MATERIALES_CONSUMIBLES5"/>
      <sheetName val="PERSONAL_INDIRECTO_5"/>
      <sheetName val="1_자금요약3"/>
      <sheetName val="2_실행비투입3"/>
      <sheetName val="3_본사집계3"/>
      <sheetName val="3-1_본사투입3"/>
      <sheetName val="4_지사집계3"/>
      <sheetName val="4-1_지사투입3"/>
      <sheetName val="5_현장총집계3"/>
      <sheetName val="5-1_현금집계3"/>
      <sheetName val="5-2_현금출납3"/>
      <sheetName val="5-3_외상집계3"/>
      <sheetName val="5-4_외상투입3"/>
      <sheetName val="6_미지급금3"/>
      <sheetName val="5-5_기타공제집계3"/>
      <sheetName val="5-6_기타공제3"/>
      <sheetName val="7_기성현황(실)3"/>
      <sheetName val="8_한국인수당3"/>
      <sheetName val="8_한국인수당_(Master_file)3"/>
      <sheetName val="9_기타수입3"/>
      <sheetName val="10_투입집계3"/>
      <sheetName val="5-4_외상투입_(2)3"/>
      <sheetName val="16_기성현황(예)3"/>
      <sheetName val="17_자금요약23"/>
      <sheetName val="18_실행대비투입23"/>
      <sheetName val="SPT_vs_PHI3"/>
      <sheetName val="05__Curva_S4"/>
      <sheetName val="Cost_Code5"/>
      <sheetName val="Data_Ref5"/>
      <sheetName val="Interdept_Rate5"/>
      <sheetName val="4300_UTILITY_BLDG_(2)5"/>
      <sheetName val="Payment_Certificate-13"/>
      <sheetName val="Floor_wet3"/>
      <sheetName val="Floor_Balcony3"/>
      <sheetName val="Hard_scape_Floor3"/>
      <sheetName val="P03_Skirting3"/>
      <sheetName val="GF_wall3"/>
      <sheetName val="Kitchen_Wall_wet_LIN-7013"/>
      <sheetName val="Wall_wet_LIN-601_3"/>
      <sheetName val="BOQ_(2)3"/>
      <sheetName val="VO_Schedule-13"/>
      <sheetName val="HOLD_AMOUNT3"/>
      <sheetName val="Back_Charge_(2)3"/>
      <sheetName val="Temporary_Deductions-1_3"/>
      <sheetName val="Contracharges_Check_list-1_3"/>
      <sheetName val="PC_033"/>
      <sheetName val="Measurement_sheet3"/>
      <sheetName val="Material_Only3"/>
      <sheetName val="Man_power_supply3"/>
      <sheetName val="Camp_Deduction3"/>
      <sheetName val="สรุปยอดเหล็กตาม_Cost_Record_VY3"/>
      <sheetName val="แนบ_PR3"/>
      <sheetName val="OR21_Final_Forecast_Rev_23"/>
      <sheetName val="Summary_Forecast_Budget_1&amp;23"/>
      <sheetName val="Summary_Forecast_Budget_Rev_23"/>
      <sheetName val="Backup_OR21_3"/>
      <sheetName val="Budget_for_ENT3"/>
      <sheetName val="ADJ__D-Wall&amp;BR_Ent__Rev_2_13"/>
      <sheetName val="Rebar+Conพื้น_Waste10%3"/>
      <sheetName val="Backup_D-Wall_Ent__13_07_193"/>
      <sheetName val="Backup_BR_ENT__13_07_193"/>
      <sheetName val="Final_Forecast_721113"/>
      <sheetName val="IMP_OR21_2019_07_113"/>
      <sheetName val="Concrete_721123"/>
      <sheetName val="หินเกล็ด_3"/>
      <sheetName val="เปรียบเทียบBudget_BR_3"/>
      <sheetName val="ADJ__BR_Ent__Rev_2_1_(2)3"/>
      <sheetName val="แผนงานBarrette_Pile3"/>
      <sheetName val="BOQ__VI_03_09_19_3"/>
      <sheetName val="Backup_BR_BMA3"/>
      <sheetName val="Sum_Budget&amp;Rev_13"/>
      <sheetName val="Sum_Budget_Rev_13"/>
      <sheetName val="Sum_Budget&amp;Rev_1_Rebar3"/>
      <sheetName val="Sum_Budget_Rev_2_Rebar3"/>
      <sheetName val="Rebar+Conพื้น_Waste10%_Rev_003"/>
      <sheetName val="Rebar+Conพื้น_Waste10%_Rev_01_3"/>
      <sheetName val="Equip_Rev_00_Budget3"/>
      <sheetName val="Budget_Waterpoofing3"/>
      <sheetName val="Enron_Form3"/>
      <sheetName val="IRR_sponsor3"/>
      <sheetName val="Consortium_VP3"/>
      <sheetName val="Summary_MONTH3"/>
      <sheetName val="DESICON_SUM3"/>
      <sheetName val="DES_TCF_Rental3"/>
      <sheetName val="DES_TCF_Maints_pers3"/>
      <sheetName val="DES_TCF_Heavy_Equipment3"/>
      <sheetName val="BANK_BOND3"/>
      <sheetName val="PHC_WAREHOUSE_-_INFOONLY3"/>
      <sheetName val="CATERING_CONTROL3"/>
      <sheetName val="SUB_CONTRACT3"/>
      <sheetName val="SPDC_-_INFONLY3"/>
      <sheetName val="VENDOR_SCHEDUL3"/>
      <sheetName val="VENDOR_PRESENCE_-_COMM3"/>
      <sheetName val="VENDOR_PRESENCE_-_RECH3"/>
      <sheetName val="VENDOR_PRESENCE_-_COMM_3"/>
      <sheetName val="CONTRACT_RATES3"/>
      <sheetName val="Sch_63"/>
      <sheetName val="2013电气概算_价目表_(营改增调整)3"/>
      <sheetName val="1_11_b3"/>
      <sheetName val="SPEC(CABLE_&amp;_WIRE)3"/>
      <sheetName val="RESUMEN_CD3"/>
      <sheetName val="BOQ_REV63"/>
      <sheetName val="Maliyet_Ozet3"/>
      <sheetName val="1_1-1_23"/>
      <sheetName val="1_3-_1_43"/>
      <sheetName val="3_13"/>
      <sheetName val="3_23"/>
      <sheetName val="4_1(a)3"/>
      <sheetName val="4_1(b)3"/>
      <sheetName val="4_1_(c)3"/>
      <sheetName val="5_13"/>
      <sheetName val="내역서_(N____16"/>
      <sheetName val="6_공정표3"/>
      <sheetName val="List_Equip3"/>
      <sheetName val="Process_C_(1-166)3"/>
      <sheetName val="TRUCK_HAUL_CYCLE-waste3"/>
      <sheetName val="Existing_PC_Pavement3"/>
      <sheetName val="Master_Data3"/>
      <sheetName val="ind'l_cp3"/>
      <sheetName val="LAST_UPDATE3"/>
      <sheetName val="0_품의서(전체)3"/>
      <sheetName val="3_부제O호표3"/>
      <sheetName val="5_소모재료비3"/>
      <sheetName val="8_시멘트제원표3"/>
      <sheetName val="2_품제O호표3"/>
      <sheetName val="본부_SHOP3"/>
      <sheetName val="#6_MDU_일반3"/>
      <sheetName val="#6_MDU엄반장3"/>
      <sheetName val="#6MDU_기계3"/>
      <sheetName val="HOU_COMP`3"/>
      <sheetName val="FCC_OBL-SHOP3"/>
      <sheetName val="NEW_FCC_OBL3"/>
      <sheetName val="#4_MDU3"/>
      <sheetName val="#6_SHOP3"/>
      <sheetName val="NRC_OBL-조연식3"/>
      <sheetName val="광양-조연식_반장3"/>
      <sheetName val="#5MDU_REV3"/>
      <sheetName val="LBO_PROJECT3"/>
      <sheetName val="VENDOR_LIST3"/>
      <sheetName val="BOP_LINE_LIST3"/>
      <sheetName val="5__Work_load(현재원기준)5"/>
      <sheetName val="A__ENGINEERING3"/>
      <sheetName val="B-1__배관자재3"/>
      <sheetName val="B-2__전기자재3"/>
      <sheetName val="B-3__계장자재3"/>
      <sheetName val="B-4__기계자재3"/>
      <sheetName val="C-1__공통가설3"/>
      <sheetName val="C-2__토목3"/>
      <sheetName val="C-4__철골3"/>
      <sheetName val="C-5__기계3"/>
      <sheetName val="C-6__배관3"/>
      <sheetName val="C-7__전기3"/>
      <sheetName val="C-8__계장3"/>
      <sheetName val="C-9__중장비3"/>
      <sheetName val="C-10__소방설비3"/>
      <sheetName val="C-11__보온3"/>
      <sheetName val="C-12__CMS3"/>
      <sheetName val="Equipt_Rental3"/>
      <sheetName val="EQ_USED_(CORRECTED)3"/>
      <sheetName val="Rebar_Constant3"/>
      <sheetName val="CONCRETE_TYPE3"/>
      <sheetName val="Other_data3"/>
      <sheetName val="내역서_(∮ἀ嘆ɶ_᠀㬁_4"/>
      <sheetName val="InD_Mpower3"/>
      <sheetName val="ABB_Summary3"/>
      <sheetName val="Man_power_rate3"/>
      <sheetName val="Const_equip_rate3"/>
      <sheetName val="01-Gang_Rate_&amp;_Info3"/>
      <sheetName val="05-Sum_Cost3"/>
      <sheetName val="06-Indirect_Loading3"/>
      <sheetName val="07-Heavy_Equipment3"/>
      <sheetName val="08-RR_Check_List3"/>
      <sheetName val="1)_Risk_and_Opportunities3"/>
      <sheetName val="2)_Full_Cost_Calculation3"/>
      <sheetName val="Vehicle_Log3"/>
      <sheetName val="M&amp;E_Summary3"/>
      <sheetName val="rev_summary3"/>
      <sheetName val="M&amp;E_Prelims3"/>
      <sheetName val="B-FP_(2)3"/>
      <sheetName val="Sch_13"/>
      <sheetName val="tblg_denda4"/>
      <sheetName val="F1_43"/>
      <sheetName val="Manpower_Categories3"/>
      <sheetName val="External_Issues3"/>
      <sheetName val="Statprod_gab4"/>
      <sheetName val="L_14"/>
      <sheetName val="Equip_Mstr_FOR_3A13"/>
      <sheetName val="G_R300경비3"/>
      <sheetName val="AS포장복구_3"/>
      <sheetName val="중기조종사_단위단가3"/>
      <sheetName val="설_계3"/>
      <sheetName val="5_Cennik4"/>
      <sheetName val="_토목_처리장도급내역서_3"/>
      <sheetName val="Garph_Work-Cost3"/>
      <sheetName val="LRK_3"/>
      <sheetName val="Insulation_1501083"/>
      <sheetName val="동상부_Tact_기준_반입일정_및_수량_02173"/>
      <sheetName val="MASTER_RATE_ANALYSIS3"/>
      <sheetName val="MN_T_B_3"/>
      <sheetName val="INDIGINEOUS_ITEMS_3"/>
      <sheetName val="Core_Data3"/>
      <sheetName val="final_abstract3"/>
      <sheetName val="GRAND_REKAP2"/>
      <sheetName val="analisa_(2)2"/>
      <sheetName val="Analisa_22"/>
      <sheetName val="Up_&amp;_bhn2"/>
      <sheetName val="HRG_BHN2"/>
      <sheetName val="Analisa_(ok_punya)2"/>
      <sheetName val="Alat_(2)2"/>
      <sheetName val="Rekap_Biaya2"/>
      <sheetName val="Kuantitas_&amp;_Harga2"/>
      <sheetName val="Nopember_(2)2"/>
      <sheetName val="Ramp_data2"/>
      <sheetName val="Lower_Ground2"/>
      <sheetName val="Cap_Cost2"/>
      <sheetName val="RLV_Calc2"/>
      <sheetName val="Costs_(dev)2"/>
      <sheetName val="Bluewater_NPV_-_sell_January2"/>
      <sheetName val="Upper_Ground2"/>
      <sheetName val="PARK_NE2"/>
      <sheetName val="Financial_Summary2"/>
      <sheetName val="D&amp;C_Calcs2"/>
      <sheetName val="CA_Upside_Downside_Old2"/>
      <sheetName val="EASEL_CA_Example2"/>
      <sheetName val="Urai__Resap_pengikat2"/>
      <sheetName val="DAF_HRG2"/>
      <sheetName val="7_공정표2"/>
      <sheetName val="Kolom_UT2"/>
      <sheetName val="HB_2"/>
      <sheetName val="Memb_Schd2"/>
      <sheetName val="Coef_et_données2"/>
      <sheetName val="Eng_Hrs_(HO)2"/>
      <sheetName val="MFG_&amp;_DEL2"/>
      <sheetName val="원가조정_내역2"/>
      <sheetName val="InsertListDrawing_1_2"/>
      <sheetName val="P_Staff_fac2"/>
      <sheetName val="beam-reinft-IIInd_floor2"/>
      <sheetName val="P-Site_fac2"/>
      <sheetName val="P-Clients_fac2"/>
      <sheetName val="P2-Project_Data2"/>
      <sheetName val="a_h_ars_sum2"/>
      <sheetName val="a_h_ars2"/>
      <sheetName val="Chap_2-_Page_4_"/>
      <sheetName val="VAT_TU_DIEN"/>
      <sheetName val="bldg_list"/>
      <sheetName val="Scaffolding_Volume"/>
      <sheetName val="BQ Summary"/>
      <sheetName val="FittingR1"/>
      <sheetName val="Gasket"/>
      <sheetName val="Bolt"/>
      <sheetName val="LV induction _x0005_묠"/>
      <sheetName val="Rekap Analisa"/>
      <sheetName val="SchC"/>
      <sheetName val="SchA"/>
      <sheetName val="SewAlat"/>
      <sheetName val="ANALISA PEK.UMUM"/>
      <sheetName val="IN OUT"/>
      <sheetName val="7422CW_x005f_x0013_"/>
      <sheetName val="OPT_x005f_x0012_"/>
      <sheetName val="내역서 ᢐ_x005f_x001f_"/>
      <sheetName val="내역서_耰&quot;_x005f_x005f_x005f_x0000__x0003"/>
      <sheetName val="내역서_耰&quot;_x005f_x005f_x005f_x005f_x00003"/>
      <sheetName val="내역서_耰&quot;_x005f_x005f_x005f_x005f_x005f3"/>
      <sheetName val="내역서_耰&quot;_x005f_x005f_x005f_x0000__x0004"/>
      <sheetName val="내역서_耰&quot;_x005f_x005f_x005f_x005f_x00004"/>
      <sheetName val="내역서_耰&quot;_x005f_x005f_x005f_x005f_x005f4"/>
      <sheetName val="내역서_耰&quot;_x005f_x005f_x005f_x0000__x0005"/>
      <sheetName val="내역서_耰&quot;_x005f_x005f_x005f_x005f_x00005"/>
      <sheetName val="내역서_耰&quot;_x005f_x005f_x005f_x005f_x005f5"/>
      <sheetName val="내역서 ᢐ_x005f_x001f__x005f_x0000__x005f_x0000_"/>
      <sheetName val="EQUIPMENT_-_x005f_x0000_"/>
      <sheetName val="__x005f_x0000__x005f_x001b__x005f_x0000__x005f_x0006__x"/>
      <sheetName val="바닥판_x005f_x0000_⽷_x005f_x0000_"/>
      <sheetName val="내역서_耰&quot;_x005f_x005f_x005f_x0000__x00002"/>
      <sheetName val="내역서_(N____x005f_x000a_2"/>
      <sheetName val="내역서_(N____x005f_x000a_1"/>
      <sheetName val="내역서_耰&quot;_x005f_x005f_x005f_x0000__x00003"/>
      <sheetName val="Sat Bah _ Up"/>
      <sheetName val="DATA PROYEK"/>
      <sheetName val="rab me (by owner) "/>
      <sheetName val="BQ (by owner)"/>
      <sheetName val="rab me (fisik)"/>
      <sheetName val="abut2"/>
      <sheetName val="LIST ANHARSAT"/>
      <sheetName val="P. control"/>
      <sheetName val="EVAL"/>
      <sheetName val="Costing Detailed"/>
      <sheetName val="ER10_Old"/>
      <sheetName val="Basic Data Inputs"/>
      <sheetName val="BLN_PKG"/>
      <sheetName val="TEMP PROFILE"/>
      <sheetName val="_선택 속성(잠금)"/>
      <sheetName val="Drop-down lists"/>
      <sheetName val="AIRCOND"/>
      <sheetName val="EXTERNAL"/>
      <sheetName val="MDGAS"/>
      <sheetName val="BILL 1"/>
      <sheetName val="Step2 -&gt; Mat. Cost"/>
      <sheetName val="Team 3 S-Curve"/>
      <sheetName val="내역서_耰&quot;_x005f_x0000__x0008"/>
      <sheetName val="내역서_耰&quot;_x005f_x005f_x00008"/>
      <sheetName val="내역서_耰&quot;_x005f_x005f_x005f8"/>
      <sheetName val="내역서_耰&quot;_x00007"/>
      <sheetName val="내역서_耰&quot;_x005f7"/>
      <sheetName val="_x00ည톐ឮ"/>
      <sheetName val="내역서_耰&quot;_x0007"/>
      <sheetName val="MOBSCH"/>
      <sheetName val="p.mgmt"/>
      <sheetName val="PIP3C"/>
      <sheetName val="Dati base"/>
      <sheetName val="orig-sap"/>
      <sheetName val="Asset Mansys Sum"/>
      <sheetName val="Job List (2)"/>
      <sheetName val="Constn &amp; Install - LEV.4"/>
      <sheetName val="LEV.4 Project Managem"/>
      <sheetName val="Site Management"/>
      <sheetName val="Manhrs Sum"/>
      <sheetName val="rencst0599"/>
      <sheetName val="表三"/>
      <sheetName val="建筑定额 (2002)"/>
      <sheetName val="ADI"/>
      <sheetName val="运"/>
      <sheetName val="建筑定额"/>
      <sheetName val="原始数据"/>
      <sheetName val="经评"/>
      <sheetName val="G2TempSheet"/>
      <sheetName val="30万表三"/>
      <sheetName val="ADI Edison Termoelettrica"/>
      <sheetName val="uraian analisa"/>
      <sheetName val="8LT 12"/>
      <sheetName val="Basic Price"/>
      <sheetName val="TL"/>
      <sheetName val="mob"/>
      <sheetName val="igp-03"/>
      <sheetName val="PNT-QUOT-#3"/>
      <sheetName val="COAT&amp;WRAP-QIOT-#3"/>
      <sheetName val="价格取值"/>
      <sheetName val="Daily Forwards"/>
      <sheetName val="KUWATI(Total)_18"/>
      <sheetName val="OPTION_218"/>
      <sheetName val="OPTION_318"/>
      <sheetName val="집계표_(TOTAL)18"/>
      <sheetName val="집계표_(CIVIL-23)18"/>
      <sheetName val="집계표_(FGRU)18"/>
      <sheetName val="집계표_(25,26)18"/>
      <sheetName val="집계표_(MEROX)18"/>
      <sheetName val="집계표_(NITROGEN)18"/>
      <sheetName val="집계표_(M4)18"/>
      <sheetName val="집계표_(CIVIL4)18"/>
      <sheetName val="집계표_(CIVIL6)18"/>
      <sheetName val="집계표_(CIVIL7)18"/>
      <sheetName val="내역서(DEMO_TOTAL)18"/>
      <sheetName val="내역서_(CIVIL-23)18"/>
      <sheetName val="내역서_(fgru)18"/>
      <sheetName val="내역서_(25&amp;26)18"/>
      <sheetName val="내역서_(MEROX)18"/>
      <sheetName val="내역서_(NITROGEN)18"/>
      <sheetName val="내역서_(M4)18"/>
      <sheetName val="내역서_(CIVIL-4)18"/>
      <sheetName val="내역서_(CIVIL-6)18"/>
      <sheetName val="내역서_(CIVIL-7)18"/>
      <sheetName val="2002년_현장공사비_국내_실적18"/>
      <sheetName val="2003년국내현장공사비_실적18"/>
      <sheetName val="VC2_10_9918"/>
      <sheetName val="INPUT_DATA17"/>
      <sheetName val="집계표_(25,26ဩ17"/>
      <sheetName val="General_Data17"/>
      <sheetName val="Form_017"/>
      <sheetName val="LABOR_&amp;_자재16"/>
      <sheetName val="입출재고현황_(2)16"/>
      <sheetName val="Form_D-116"/>
      <sheetName val="Form_B-116"/>
      <sheetName val="Form_F-116"/>
      <sheetName val="Form_A16"/>
      <sheetName val="3_공통공사대비16"/>
      <sheetName val="간접비_총괄16"/>
      <sheetName val="Rate_Analysis16"/>
      <sheetName val="Price_Schedule16"/>
      <sheetName val="CAL_16"/>
      <sheetName val="EQUIPMENT_-216"/>
      <sheetName val="Z-_GENERAL_PRICE_SUMMARY14"/>
      <sheetName val="_Estimate__14"/>
      <sheetName val="WEIGHT_LIST15"/>
      <sheetName val="산#2-1_(2)15"/>
      <sheetName val="BEND_LOSS15"/>
      <sheetName val="공사비_내역_(가)15"/>
      <sheetName val="내역서_耰&quot;??16"/>
      <sheetName val="단면_(2)15"/>
      <sheetName val="6PILE__(돌출)15"/>
      <sheetName val="Static_Equip15"/>
      <sheetName val="Form_A_15"/>
      <sheetName val="내역서_耰&quot;_x005f_x0000__x005f_x0000_15"/>
      <sheetName val="3_Breakdown_Direct_Paint15"/>
      <sheetName val="Áý°èÇ¥_(TOTAL)14"/>
      <sheetName val="Áý°èÇ¥_(CIVIL-23)14"/>
      <sheetName val="Áý°èÇ¥_(FGRU)14"/>
      <sheetName val="Áý°èÇ¥_(25,26)14"/>
      <sheetName val="Áý°èÇ¥_(MEROX)14"/>
      <sheetName val="Áý°èÇ¥_(NITROGEN)14"/>
      <sheetName val="Áý°èÇ¥_(M4)14"/>
      <sheetName val="Áý°èÇ¥_(CIVIL4)14"/>
      <sheetName val="Áý°èÇ¥_(CIVIL6)14"/>
      <sheetName val="Áý°èÇ¥_(CIVIL7)14"/>
      <sheetName val="³»¿ª¼­(DEMO_TOTAL)14"/>
      <sheetName val="³»¿ª¼­_(CIVIL-23)14"/>
      <sheetName val="³»¿ª¼­_(fgru)14"/>
      <sheetName val="³»¿ª¼­_(25&amp;26)14"/>
      <sheetName val="³»¿ª¼­_(MEROX)14"/>
      <sheetName val="³»¿ª¼­_(NITROGEN)14"/>
      <sheetName val="³»¿ª¼­_(M4)14"/>
      <sheetName val="³»¿ª¼­_(CIVIL-4)14"/>
      <sheetName val="³»¿ª¼­_(CIVIL-6)14"/>
      <sheetName val="³»¿ª¼­_(CIVIL-7)14"/>
      <sheetName val="2002³â_ÇöÀå°ø»çºñ_±¹³»_½ÇÀû14"/>
      <sheetName val="2003³â±¹³»ÇöÀå°ø»çºñ_½ÇÀû14"/>
      <sheetName val="내역서_耰&quot;__16"/>
      <sheetName val="Summary_Sheets15"/>
      <sheetName val="Man_Hole14"/>
      <sheetName val="Sheet1_(2)15"/>
      <sheetName val="Civil_115"/>
      <sheetName val="Civil_215"/>
      <sheetName val="Civil_315"/>
      <sheetName val="Site_115"/>
      <sheetName val="Site_215"/>
      <sheetName val="Site_315"/>
      <sheetName val="Site_Faci15"/>
      <sheetName val="내역서_耰&quot;_x005f_x005f_x005f_x0000__x005f_x005f_x0014"/>
      <sheetName val="7__월별투입내역서14"/>
      <sheetName val="계측_내역서14"/>
      <sheetName val="2_2_STAFF_Scedule14"/>
      <sheetName val="내역서_耰&quot;_x005f_x005f_x005f_x005f_x005f_x005f_x00014"/>
      <sheetName val="T_314"/>
      <sheetName val="HORI__VESSEL14"/>
      <sheetName val="EQUIP_LIST14"/>
      <sheetName val="MP_MOB14"/>
      <sheetName val="Form_B14"/>
      <sheetName val="Precios_Unitarios14"/>
      <sheetName val="Administrative_Prices14"/>
      <sheetName val="WBS_4414"/>
      <sheetName val="WBS_4114"/>
      <sheetName val="Precios_por_Administración14"/>
      <sheetName val="Subcon_A14"/>
      <sheetName val="Monthly_Load14"/>
      <sheetName val="Weekly_Load14"/>
      <sheetName val="BM_DATA_SHEET15"/>
      <sheetName val="Vind_-_BtB14"/>
      <sheetName val="LV_induction_motors14"/>
      <sheetName val="BSD_(2)14"/>
      <sheetName val="내역서_耰&quot;_x005f_x005f_x005f_x005f_x005f_x005f_x00514"/>
      <sheetName val="Material_Selections14"/>
      <sheetName val="내역서_耰&quot;13"/>
      <sheetName val="breakdown_of_wage_rate14"/>
      <sheetName val="Indirect_Cost14"/>
      <sheetName val="97_사업추정(WEKI)14"/>
      <sheetName val="[SANDAN_XLS??14"/>
      <sheetName val="Piping_BQ_for_one_turbine14"/>
      <sheetName val="Utility_and_Fire_flange14"/>
      <sheetName val="_SANDAN_XLS__14"/>
      <sheetName val="Eq__Mobilization14"/>
      <sheetName val="Fire_Protection14"/>
      <sheetName val="입찰내역_발주처_양식14"/>
      <sheetName val="Heavy_Equipments14"/>
      <sheetName val="AG_Pipe_Qty_Analysis14"/>
      <sheetName val="FWBS_153013"/>
      <sheetName val="Resource_table14"/>
      <sheetName val="Equipment_List14"/>
      <sheetName val="Form1_SQP14"/>
      <sheetName val="공정계획(내부계획25%,내부w_f)14"/>
      <sheetName val="SFN_ORIG14"/>
      <sheetName val="Currency_Rate9"/>
      <sheetName val="w't_table14"/>
      <sheetName val="SCHEDD_TAMBAHAN14"/>
      <sheetName val="실행예산_MM13"/>
      <sheetName val="MODULE_CONFIRM13"/>
      <sheetName val="ITB_COST14"/>
      <sheetName val="내역서_(∮ἀ嘆ɶ13"/>
      <sheetName val="Dir_Manpower_Other_Exp_14"/>
      <sheetName val="4-3LEVEL-5_epic_413"/>
      <sheetName val="단가_(2)13"/>
      <sheetName val="BOQ-B_DOWN13"/>
      <sheetName val="Cash_In-Cash_Out_Actual13"/>
      <sheetName val="PROTECTION_13"/>
      <sheetName val="내역서1999_8최종9"/>
      <sheetName val="Unit_Price_9"/>
      <sheetName val="plan&amp;section_of_foundation10"/>
      <sheetName val="working_load_at_the_btm_ft_10"/>
      <sheetName val="stability_check10"/>
      <sheetName val="design_load10"/>
      <sheetName val="TDC_COA_Sumry9"/>
      <sheetName val="TDC_Item_Dets9"/>
      <sheetName val="TDC_Item_Sumry9"/>
      <sheetName val="TDC_Key_Qty_Sumry9"/>
      <sheetName val="List_-_Components9"/>
      <sheetName val="List_-_Equipment9"/>
      <sheetName val="COA_Sumry_-_Std_Imp9"/>
      <sheetName val="Contr_TDC_-_Std_Imp9"/>
      <sheetName val="Item_Sumry_-_Std_Imp9"/>
      <sheetName val="Unit_Costs_-_Std_Imp9"/>
      <sheetName val="Unit_MH_-_Std_Imp9"/>
      <sheetName val="Proj_TIC_-_Std_Imp9"/>
      <sheetName val="Updating_Form-Oct_20119"/>
      <sheetName val="Weld_Consumable9"/>
      <sheetName val="NDE_Cost-Summary9"/>
      <sheetName val="9July_Above_Ground_Pipe9"/>
      <sheetName val="M_119"/>
      <sheetName val="Process_Data_19"/>
      <sheetName val="Sum_(Case-3)9"/>
      <sheetName val="Man_Power_&amp;_Comp9"/>
      <sheetName val="Data_List9"/>
      <sheetName val="4-Basic_Price9"/>
      <sheetName val="Evaluasi_Penw9"/>
      <sheetName val="Closeout_Control9"/>
      <sheetName val="PROJECT_BRIEF9"/>
      <sheetName val="CUADRO_DE_PRECIOS13"/>
      <sheetName val="Site_Findings_Status_Sheet9"/>
      <sheetName val="5_)_Time_Delays9"/>
      <sheetName val="Unt_rate9"/>
      <sheetName val="1100-1200-1300-1910-2140-LEV_29"/>
      <sheetName val="내역서_耰&quot;_x005f_x005f_x005f_x0000_9"/>
      <sheetName val="내역서_耰&quot;_x005f_x005f_x005f_x005f_9"/>
      <sheetName val="내역서_耰&quot;_x005f_x0000__x000010"/>
      <sheetName val="RAB_AR&amp;STR9"/>
      <sheetName val="Equip_Rental_Summary_by_Contr9"/>
      <sheetName val="Project_Equip_Rental_Summary9"/>
      <sheetName val="Contractor_Indirect_Sumry9"/>
      <sheetName val="Project_Indirect_Sumry9"/>
      <sheetName val="COA_Sumry_by_Area9"/>
      <sheetName val="COA_Sumry_by_Contr9"/>
      <sheetName val="COA_Sumry_by_RG9"/>
      <sheetName val="TDC_COA_Grp_Sumry9"/>
      <sheetName val="TDC_COA_Grp_Sumry_by_Area9"/>
      <sheetName val="TDC_COA_Grp_Sumry_by_RG9"/>
      <sheetName val="Equipment_Sumry9"/>
      <sheetName val="TDC_Item_Dets-Full9"/>
      <sheetName val="TDC_Item_Dets-IPM-Full9"/>
      <sheetName val="TDC_Item_Sumry_by_Area9"/>
      <sheetName val="TDC_Item_Sumry_by_RG9"/>
      <sheetName val="TDC_Key_Qty_Sumry_by_RG9"/>
      <sheetName val="List_-_Equipment_by_Area9"/>
      <sheetName val="List_-_Equipment_by_Contr9"/>
      <sheetName val="Equipment_-_Unit_Costs_by_Mat9"/>
      <sheetName val="List_-_Equipment_by_Rep_Grp9"/>
      <sheetName val="Craft_Summary_by_Contr9"/>
      <sheetName val="Project_Craft_Summary9"/>
      <sheetName val="Project_Metrics9"/>
      <sheetName val="할증_9"/>
      <sheetName val="99__FWBS(Ref)9"/>
      <sheetName val="99__Change_Rate9"/>
      <sheetName val="Discounted_Cash_Flow9"/>
      <sheetName val="Ocean_Transporation_Charge9"/>
      <sheetName val="SUMMARY_(0A)9"/>
      <sheetName val="SUMMARY_(1A)9"/>
      <sheetName val="SUMMARY_(1B)9"/>
      <sheetName val="SUMMARY_(03)9"/>
      <sheetName val="F1(Cable_Rack)9"/>
      <sheetName val="F2(Cable_Rack)9"/>
      <sheetName val="F3(Cable_Rack)9"/>
      <sheetName val="F1_(POLYMER)9"/>
      <sheetName val="F2_(POLYMER)9"/>
      <sheetName val="F3_(POLYMER)9"/>
      <sheetName val="F4_(POLYMER)9"/>
      <sheetName val="F5(_Polymerization_)9"/>
      <sheetName val="F6_(_Polymerization_)9"/>
      <sheetName val="B1_(Grid_A-7,_-6)9"/>
      <sheetName val="B1_(Grid_A,_B)9"/>
      <sheetName val="B1_(Grid_C-7,_-6)9"/>
      <sheetName val="B2_(Grid_-7_B,_C)_(1)9"/>
      <sheetName val="B2_(Grid_-7_B,_C)_(2)9"/>
      <sheetName val="B2_(Grid_-6_B,_C)_(1)9"/>
      <sheetName val="B2_(Grid_-6_B,_C)_(2)9"/>
      <sheetName val="F1_(MONOMER)9"/>
      <sheetName val="F2_(MONOMER)9"/>
      <sheetName val="F3_(MONOMER)9"/>
      <sheetName val="90K060C_(MONOMER)9"/>
      <sheetName val="F1_(EXTRUSION)9"/>
      <sheetName val="F2_(EXTRUSION)9"/>
      <sheetName val="F3_(EXTRUSION)9"/>
      <sheetName val="F4_(EXTRUSION)9"/>
      <sheetName val="F5_(EXTRUSION)9"/>
      <sheetName val="F6A_(EXTRUSION)9"/>
      <sheetName val="F6D_(EXTRUSION)9"/>
      <sheetName val="F7_(EXTRUSION)9"/>
      <sheetName val="F8_(EXTRUSION)9"/>
      <sheetName val="F9_(EXTRUSION)9"/>
      <sheetName val="F10_(EXTRUSION)9"/>
      <sheetName val="F11_(EXTRUSION)9"/>
      <sheetName val="B1_(Grid_F-5`,_4`)9"/>
      <sheetName val="B2_(Grid_F,E-4`)9"/>
      <sheetName val="B2_(Grid_F,E-5`)9"/>
      <sheetName val="B3_(Grid_C,B-4`)9"/>
      <sheetName val="B4_(Grid_B,A-4`)9"/>
      <sheetName val="B5_(Grid_E-5`)_&amp;_(Grid_D-5`)9"/>
      <sheetName val="B6_(Grid_E,D-5')9"/>
      <sheetName val="B7_(Grid_E,D-5')9"/>
      <sheetName val="95D040,_A5069"/>
      <sheetName val="95P040AB,_A5079"/>
      <sheetName val="95X020-U08,_A6029"/>
      <sheetName val="95X020-U07,_A6069"/>
      <sheetName val="95E040,_A5099"/>
      <sheetName val="95D024;025,_A6159"/>
      <sheetName val="95X020-U05,_A6019"/>
      <sheetName val="95X020-U02,_A2049"/>
      <sheetName val="Extruder_FDN9"/>
      <sheetName val="BOG_COMP__FDN9"/>
      <sheetName val="SOG_COMP__FDN9"/>
      <sheetName val="1G1_(Ground_Beam)9"/>
      <sheetName val="1G2-1(Ground_Beam)9"/>
      <sheetName val="1G2-2(Ground_Beam)9"/>
      <sheetName val="P15,_169"/>
      <sheetName val="LO_CONSOLE_FDN9"/>
      <sheetName val="OIL_COOLER_FDN9"/>
      <sheetName val="CW_CONSOLE_FDN_(SOG)9"/>
      <sheetName val="PD3_(SOG)9"/>
      <sheetName val="SF1_(SOG)9"/>
      <sheetName val="SF2_(SOG)9"/>
      <sheetName val="SLAB_(1S1-1)9"/>
      <sheetName val="SLAB_(1S1-2)9"/>
      <sheetName val="SLAB_(1S1-3)9"/>
      <sheetName val="COLUMN_(+5500)9"/>
      <sheetName val="COLUMN_(+12500)9"/>
      <sheetName val="COLUMN_(+15500)9"/>
      <sheetName val="ETC_9"/>
      <sheetName val="Cash_Flow_bulanan9"/>
      <sheetName val="H_Satuan9"/>
      <sheetName val="In-House_Summary9"/>
      <sheetName val="Tools_&amp;_Settings9"/>
      <sheetName val="Data_Summary9"/>
      <sheetName val="Crew_Costs9"/>
      <sheetName val="Spread_Costs9"/>
      <sheetName val="Unique_List_Misc9"/>
      <sheetName val="Codes_Pers9"/>
      <sheetName val="Direct_PMS9"/>
      <sheetName val="UP_MINOR9"/>
      <sheetName val="Item_code9"/>
      <sheetName val="Aux_9"/>
      <sheetName val="Pengesahan_9"/>
      <sheetName val="__9"/>
      <sheetName val="_9"/>
      <sheetName val="breakdown_of_wage_ra`f8"/>
      <sheetName val="breakdown_of_wage_ra8"/>
      <sheetName val="breakdown_of_wage_rað-8"/>
      <sheetName val="2_Overall_Summary_8"/>
      <sheetName val="Rates_&amp;_Legend9"/>
      <sheetName val="OCT_FDN9"/>
      <sheetName val="BO䁑-B_䁄OWN9"/>
      <sheetName val="Bill_rekap9"/>
      <sheetName val="Harga_Satuan9"/>
      <sheetName val="F_ALARM9"/>
      <sheetName val="0__Resource　Code8"/>
      <sheetName val="breakdown_of_wage_rap8"/>
      <sheetName val="00-Summary_Information-ABB8"/>
      <sheetName val="breakdown_of_wage_ra8"/>
      <sheetName val="Exchange_Rate9"/>
      <sheetName val="General_Notes9"/>
      <sheetName val="내역서_耰&quot;_x005f_x0000_9"/>
      <sheetName val="내역서_耰&quot;_x005f_x005f_9"/>
      <sheetName val="Process_Data_(2)9"/>
      <sheetName val="PABS,Site_info8"/>
      <sheetName val="내역서_耰&quot;_8"/>
      <sheetName val="2__현장_자금투입_집계표9"/>
      <sheetName val="_도면_및_도서_제출목록_및_일정_170202_xlsx9"/>
      <sheetName val="Distribution_Table8"/>
      <sheetName val="Raw_data8"/>
      <sheetName val="차트_(2)9"/>
      <sheetName val="Material_code8"/>
      <sheetName val="DROP_DOWN8"/>
      <sheetName val="개시대사_(2)8"/>
      <sheetName val="DATA_MENTAH8"/>
      <sheetName val="내역서_(N____x000a_9"/>
      <sheetName val="TQ_Format7"/>
      <sheetName val="HO_Site_Rates-20118"/>
      <sheetName val="Linelist_LNGC_Process8"/>
      <sheetName val="Equipment_Spec_List8"/>
      <sheetName val="SPEC_LIST(EQUP,_SYS)8"/>
      <sheetName val="Action_Item8"/>
      <sheetName val="ID_CD8"/>
      <sheetName val="Air_Cooler-E8"/>
      <sheetName val="SUM_7"/>
      <sheetName val="Al_Taweelah8"/>
      <sheetName val="Particular_Sch8"/>
      <sheetName val="breakdown_of_wage_raÐ¾7"/>
      <sheetName val="Additional_data7"/>
      <sheetName val="11_자재단가6"/>
      <sheetName val="LIFE_&amp;_REP_PROVN6"/>
      <sheetName val="O&amp;M_CREW6"/>
      <sheetName val="33628-Rev__A6"/>
      <sheetName val="Cashflow_Analysis6"/>
      <sheetName val="Schedule_6"/>
      <sheetName val="Loading_Struc6"/>
      <sheetName val="Loading_Pip6"/>
      <sheetName val="Loading_Overall_(BASE_Proposal6"/>
      <sheetName val="Steel_Structure6"/>
      <sheetName val="PIPING_AG-UG_NEW_UNITS6"/>
      <sheetName val="MEC_PIPING_PREFABR6"/>
      <sheetName val="Working_File-Pip6"/>
      <sheetName val="Equip_ISBL_&amp;_OSBL_6"/>
      <sheetName val="Attach_4-186"/>
      <sheetName val="INPUT_DATA_OF_SCHEDULE6"/>
      <sheetName val="OIL_SEPARATOR6"/>
      <sheetName val="CATCH_BASIN6"/>
      <sheetName val="FW_Post_Indicator_Valve_24&quot;6"/>
      <sheetName val="FW_Post_Indicator_Valve_20&quot;6"/>
      <sheetName val="FW_Post_Indicator_Valve_6&quot;6"/>
      <sheetName val="Fire_Monitor_or_Hydrant_6&quot;_FDN6"/>
      <sheetName val="SUMP_VB6"/>
      <sheetName val="CLEANOUT_4&quot;6"/>
      <sheetName val="Not_reqd6"/>
      <sheetName val="호환성_보고서6"/>
      <sheetName val="Finansal_tamamlanma_Eğrisi6"/>
      <sheetName val="Master_List6"/>
      <sheetName val="Scheme_Area_Details_Block___C26"/>
      <sheetName val="14-Eng_rate6"/>
      <sheetName val="리스크_분류체계6"/>
      <sheetName val="Admin_Manu_2-Equipment_Type_ID6"/>
      <sheetName val="Activity_Form6"/>
      <sheetName val="내역서_(∮ἀ嘆ɶ?᠀㬁?6"/>
      <sheetName val="Itembalance_Report_(18-sep-18)6"/>
      <sheetName val="BUDGET_SUMMARY_6"/>
      <sheetName val="Tender_data6"/>
      <sheetName val="1_설계기준6"/>
      <sheetName val="광통신_견적내역서16"/>
      <sheetName val="Cash_Flow6"/>
      <sheetName val="5__월별투입내역서6"/>
      <sheetName val="Att-1_CTCI_MH_rate6"/>
      <sheetName val="SUMMARY_MTO_02_2_354"/>
      <sheetName val="N_G_METERING_CALC_4"/>
      <sheetName val="N_G_METERING4"/>
      <sheetName val="N_G_METERING_(2)4"/>
      <sheetName val="CUMENE_METERING4"/>
      <sheetName val="N2_METERING_4"/>
      <sheetName val="H2_METERING__4"/>
      <sheetName val="CO_METERING4"/>
      <sheetName val="SECL_리스크_분류체계_(2)6"/>
      <sheetName val="Direct_Histogram_Rev__A_(f)6"/>
      <sheetName val="Fig_4-146"/>
      <sheetName val="GM_0006"/>
      <sheetName val="일위대가_6"/>
      <sheetName val="REF_for_VV6"/>
      <sheetName val="P-Ins_&amp;_Bonds6"/>
      <sheetName val="INSTLIST_16"/>
      <sheetName val="TR_Rev_vs_Commit4"/>
      <sheetName val="TR_+MMHE_PL_report4"/>
      <sheetName val="P23P2724___Commitment_4"/>
      <sheetName val="설산1_나6"/>
      <sheetName val="Analisa_Fave6"/>
      <sheetName val="Harsat_Bahan6"/>
      <sheetName val="Harsat_Subkon6"/>
      <sheetName val="Harsat_Upah6"/>
      <sheetName val="Master_1_06"/>
      <sheetName val="Agregat_Halus_&amp;_Kasar6"/>
      <sheetName val="HARGA_MATERIAL6"/>
      <sheetName val="Harga_Sat_APP6"/>
      <sheetName val="Tgh_JGC-Inv_I_clp6"/>
      <sheetName val="PCS_6"/>
      <sheetName val="Progress_Statement-SI6"/>
      <sheetName val="Progress_Payment-31106"/>
      <sheetName val="Perm__Test6"/>
      <sheetName val="Galian_16"/>
      <sheetName val="Analisa_Lump_sum6"/>
      <sheetName val="Sec_I_ML6"/>
      <sheetName val="dongia_(2)6"/>
      <sheetName val="BM_#16"/>
      <sheetName val="Weekl_7"/>
      <sheetName val="내역서_(N____17"/>
      <sheetName val="내역서_(N____18"/>
      <sheetName val="__x06"/>
      <sheetName val="OPT_7"/>
      <sheetName val="내역서_(N__x006"/>
      <sheetName val="List_register6"/>
      <sheetName val="Tables_3_1_to_3_5_EXH_G6"/>
      <sheetName val="64_46"/>
      <sheetName val="64_56"/>
      <sheetName val="36_26"/>
      <sheetName val="36_16"/>
      <sheetName val="Bill_4_7_Predestain_Bridge_4"/>
      <sheetName val="Bill_4_7_Predestain4"/>
      <sheetName val="1_1_FT_type_14"/>
      <sheetName val="1_2_FT_type_1A4"/>
      <sheetName val="1_3_FT_type_24"/>
      <sheetName val="1_4_FT_type_34"/>
      <sheetName val="1_5_FT_type_44"/>
      <sheetName val="2_1_CL_Outside4"/>
      <sheetName val="2_2_CL_Inside4"/>
      <sheetName val="2_3_CL_Ramp4"/>
      <sheetName val="3_1_CB_Outside4"/>
      <sheetName val="3_2_CB_Inside4"/>
      <sheetName val="4_Stair4"/>
      <sheetName val="5_Ramp4"/>
      <sheetName val="6_Handrail4"/>
      <sheetName val="Invoice_(Interim_No_28)4"/>
      <sheetName val="Cost_Summary4"/>
      <sheetName val="Direct_Cost4"/>
      <sheetName val="Direct_Cost_(2)4"/>
      <sheetName val="Summary_(3)4"/>
      <sheetName val="Indirect_Cost_Summary4"/>
      <sheetName val="Precios_Unitariԯ5"/>
      <sheetName val="EQUIPOS_DE_SEGURIDAD6"/>
      <sheetName val="MATERIALES_CONSUMIBLES6"/>
      <sheetName val="PERSONAL_INDIRECTO_6"/>
      <sheetName val="1_자금요약4"/>
      <sheetName val="2_실행비투입4"/>
      <sheetName val="3_본사집계4"/>
      <sheetName val="3-1_본사투입4"/>
      <sheetName val="4_지사집계4"/>
      <sheetName val="4-1_지사투입4"/>
      <sheetName val="5_현장총집계4"/>
      <sheetName val="5-1_현금집계4"/>
      <sheetName val="5-2_현금출납4"/>
      <sheetName val="5-3_외상집계4"/>
      <sheetName val="5-4_외상투입4"/>
      <sheetName val="6_미지급금4"/>
      <sheetName val="5-5_기타공제집계4"/>
      <sheetName val="5-6_기타공제4"/>
      <sheetName val="7_기성현황(실)4"/>
      <sheetName val="8_한국인수당4"/>
      <sheetName val="8_한국인수당_(Master_file)4"/>
      <sheetName val="9_기타수입4"/>
      <sheetName val="10_투입집계4"/>
      <sheetName val="5-4_외상투입_(2)4"/>
      <sheetName val="16_기성현황(예)4"/>
      <sheetName val="17_자금요약24"/>
      <sheetName val="18_실행대비투입24"/>
      <sheetName val="SPT_vs_PHI4"/>
      <sheetName val="05__Curva_S5"/>
      <sheetName val="สรุปยอดเหล็กตาม_Cost_Record_VY4"/>
      <sheetName val="แนบ_PR4"/>
      <sheetName val="OR21_Final_Forecast_Rev_24"/>
      <sheetName val="Summary_Forecast_Budget_1&amp;24"/>
      <sheetName val="Summary_Forecast_Budget_Rev_24"/>
      <sheetName val="Backup_OR21_4"/>
      <sheetName val="Budget_for_ENT4"/>
      <sheetName val="ADJ__D-Wall&amp;BR_Ent__Rev_2_14"/>
      <sheetName val="Rebar+Conพื้น_Waste10%4"/>
      <sheetName val="Backup_D-Wall_Ent__13_07_194"/>
      <sheetName val="Backup_BR_ENT__13_07_194"/>
      <sheetName val="Final_Forecast_721114"/>
      <sheetName val="IMP_OR21_2019_07_114"/>
      <sheetName val="Concrete_721124"/>
      <sheetName val="หินเกล็ด_4"/>
      <sheetName val="เปรียบเทียบBudget_BR_4"/>
      <sheetName val="ADJ__BR_Ent__Rev_2_1_(2)4"/>
      <sheetName val="แผนงานBarrette_Pile4"/>
      <sheetName val="BOQ__VI_03_09_19_4"/>
      <sheetName val="Backup_BR_BMA4"/>
      <sheetName val="Sum_Budget&amp;Rev_14"/>
      <sheetName val="Sum_Budget_Rev_14"/>
      <sheetName val="Sum_Budget&amp;Rev_1_Rebar4"/>
      <sheetName val="Sum_Budget_Rev_2_Rebar4"/>
      <sheetName val="Rebar+Conพื้น_Waste10%_Rev_004"/>
      <sheetName val="Rebar+Conพื้น_Waste10%_Rev_01_4"/>
      <sheetName val="Equip_Rev_00_Budget4"/>
      <sheetName val="Budget_Waterpoofing4"/>
      <sheetName val="Consortium_VP4"/>
      <sheetName val="Summary_MONTH4"/>
      <sheetName val="DESICON_SUM4"/>
      <sheetName val="DES_TCF_Rental4"/>
      <sheetName val="DES_TCF_Maints_pers4"/>
      <sheetName val="DES_TCF_Heavy_Equipment4"/>
      <sheetName val="BANK_BOND4"/>
      <sheetName val="PHC_WAREHOUSE_-_INFOONLY4"/>
      <sheetName val="CATERING_CONTROL4"/>
      <sheetName val="SUB_CONTRACT4"/>
      <sheetName val="SPDC_-_INFONLY4"/>
      <sheetName val="VENDOR_SCHEDUL4"/>
      <sheetName val="VENDOR_PRESENCE_-_COMM4"/>
      <sheetName val="VENDOR_PRESENCE_-_RECH4"/>
      <sheetName val="VENDOR_PRESENCE_-_COMM_4"/>
      <sheetName val="CONTRACT_RATES4"/>
      <sheetName val="Sch_64"/>
      <sheetName val="InD_Mpower4"/>
      <sheetName val="Cost_Code6"/>
      <sheetName val="Data_Ref6"/>
      <sheetName val="Interdept_Rate6"/>
      <sheetName val="4300_UTILITY_BLDG_(2)6"/>
      <sheetName val="Payment_Certificate-14"/>
      <sheetName val="Floor_wet4"/>
      <sheetName val="Floor_Balcony4"/>
      <sheetName val="Hard_scape_Floor4"/>
      <sheetName val="P03_Skirting4"/>
      <sheetName val="GF_wall4"/>
      <sheetName val="Kitchen_Wall_wet_LIN-7014"/>
      <sheetName val="Wall_wet_LIN-601_4"/>
      <sheetName val="BOQ_(2)4"/>
      <sheetName val="VO_Schedule-14"/>
      <sheetName val="HOLD_AMOUNT4"/>
      <sheetName val="Back_Charge_(2)4"/>
      <sheetName val="Temporary_Deductions-1_4"/>
      <sheetName val="Contracharges_Check_list-1_4"/>
      <sheetName val="PC_034"/>
      <sheetName val="Measurement_sheet4"/>
      <sheetName val="Material_Only4"/>
      <sheetName val="Man_power_supply4"/>
      <sheetName val="Camp_Deduction4"/>
      <sheetName val="Enron_Form4"/>
      <sheetName val="내역서_(∮ἀ嘆ɶ_᠀㬁_5"/>
      <sheetName val="Vehicle_Log4"/>
      <sheetName val="RESUMEN_CD4"/>
      <sheetName val="BOQ_REV64"/>
      <sheetName val="Maliyet_Ozet4"/>
      <sheetName val="1_1-1_24"/>
      <sheetName val="1_3-_1_44"/>
      <sheetName val="3_14"/>
      <sheetName val="3_24"/>
      <sheetName val="4_1(a)4"/>
      <sheetName val="4_1(b)4"/>
      <sheetName val="4_1_(c)4"/>
      <sheetName val="5_14"/>
      <sheetName val="Other_data4"/>
      <sheetName val="M&amp;E_Summary4"/>
      <sheetName val="rev_summary4"/>
      <sheetName val="M&amp;E_Prelims4"/>
      <sheetName val="B-FP_(2)4"/>
      <sheetName val="Sch_14"/>
      <sheetName val="5__Work_load(현재원기준)6"/>
      <sheetName val="SPEC(CABLE_&amp;_WIRE)4"/>
      <sheetName val="6_공정표4"/>
      <sheetName val="A__ENGINEERING4"/>
      <sheetName val="B-1__배관자재4"/>
      <sheetName val="B-2__전기자재4"/>
      <sheetName val="B-3__계장자재4"/>
      <sheetName val="B-4__기계자재4"/>
      <sheetName val="C-1__공통가설4"/>
      <sheetName val="C-2__토목4"/>
      <sheetName val="C-4__철골4"/>
      <sheetName val="C-5__기계4"/>
      <sheetName val="C-6__배관4"/>
      <sheetName val="C-7__전기4"/>
      <sheetName val="C-8__계장4"/>
      <sheetName val="C-9__중장비4"/>
      <sheetName val="C-10__소방설비4"/>
      <sheetName val="C-11__보온4"/>
      <sheetName val="C-12__CMS4"/>
      <sheetName val="IRR_sponsor4"/>
      <sheetName val="2013电气概算_价目表_(营改增调整)4"/>
      <sheetName val="내역서_(N____19"/>
      <sheetName val="1_11_b4"/>
      <sheetName val="List_Equip4"/>
      <sheetName val="Process_C_(1-166)4"/>
      <sheetName val="TRUCK_HAUL_CYCLE-waste4"/>
      <sheetName val="Existing_PC_Pavement4"/>
      <sheetName val="Master_Data4"/>
      <sheetName val="ind'l_cp4"/>
      <sheetName val="LAST_UPDATE4"/>
      <sheetName val="0_품의서(전체)4"/>
      <sheetName val="3_부제O호표4"/>
      <sheetName val="5_소모재료비4"/>
      <sheetName val="8_시멘트제원표4"/>
      <sheetName val="2_품제O호표4"/>
      <sheetName val="본부_SHOP4"/>
      <sheetName val="#6_MDU_일반4"/>
      <sheetName val="#6_MDU엄반장4"/>
      <sheetName val="#6MDU_기계4"/>
      <sheetName val="HOU_COMP`4"/>
      <sheetName val="FCC_OBL-SHOP4"/>
      <sheetName val="NEW_FCC_OBL4"/>
      <sheetName val="#4_MDU4"/>
      <sheetName val="#6_SHOP4"/>
      <sheetName val="NRC_OBL-조연식4"/>
      <sheetName val="광양-조연식_반장4"/>
      <sheetName val="#5MDU_REV4"/>
      <sheetName val="LBO_PROJECT4"/>
      <sheetName val="VENDOR_LIST4"/>
      <sheetName val="BOP_LINE_LIST4"/>
      <sheetName val="ABB_Summary4"/>
      <sheetName val="Man_power_rate4"/>
      <sheetName val="Const_equip_rate4"/>
      <sheetName val="01-Gang_Rate_&amp;_Info4"/>
      <sheetName val="05-Sum_Cost4"/>
      <sheetName val="06-Indirect_Loading4"/>
      <sheetName val="07-Heavy_Equipment4"/>
      <sheetName val="08-RR_Check_List4"/>
      <sheetName val="1)_Risk_and_Opportunities4"/>
      <sheetName val="2)_Full_Cost_Calculation4"/>
      <sheetName val="tblg_denda5"/>
      <sheetName val="F1_44"/>
      <sheetName val="Manpower_Categories4"/>
      <sheetName val="Equipt_Rental4"/>
      <sheetName val="EQ_USED_(CORRECTED)4"/>
      <sheetName val="Rebar_Constant4"/>
      <sheetName val="CONCRETE_TYPE4"/>
      <sheetName val="External_Issues4"/>
      <sheetName val="Statprod_gab5"/>
      <sheetName val="L_15"/>
      <sheetName val="Equip_Mstr_FOR_3A14"/>
      <sheetName val="G_R300경비4"/>
      <sheetName val="AS포장복구_4"/>
      <sheetName val="중기조종사_단위단가4"/>
      <sheetName val="설_계4"/>
      <sheetName val="5_Cennik5"/>
      <sheetName val="_토목_처리장도급내역서_4"/>
      <sheetName val="Garph_Work-Cost4"/>
      <sheetName val="LRK_4"/>
      <sheetName val="Insulation_1501084"/>
      <sheetName val="동상부_Tact_기준_반입일정_및_수량_02174"/>
      <sheetName val="MASTER_RATE_ANALYSIS4"/>
      <sheetName val="MN_T_B_4"/>
      <sheetName val="INDIGINEOUS_ITEMS_4"/>
      <sheetName val="Core_Data4"/>
      <sheetName val="final_abstract4"/>
      <sheetName val="GRAND_REKAP3"/>
      <sheetName val="analisa_(2)3"/>
      <sheetName val="Analisa_23"/>
      <sheetName val="Up_&amp;_bhn3"/>
      <sheetName val="HRG_BHN3"/>
      <sheetName val="Analisa_(ok_punya)3"/>
      <sheetName val="Alat_(2)3"/>
      <sheetName val="Rekap_Biaya3"/>
      <sheetName val="Kuantitas_&amp;_Harga3"/>
      <sheetName val="Nopember_(2)3"/>
      <sheetName val="Ramp_data3"/>
      <sheetName val="Lower_Ground3"/>
      <sheetName val="Cap_Cost3"/>
      <sheetName val="RLV_Calc3"/>
      <sheetName val="Costs_(dev)3"/>
      <sheetName val="Bluewater_NPV_-_sell_January3"/>
      <sheetName val="Upper_Ground3"/>
      <sheetName val="PARK_NE3"/>
      <sheetName val="Financial_Summary3"/>
      <sheetName val="D&amp;C_Calcs3"/>
      <sheetName val="CA_Upside_Downside_Old3"/>
      <sheetName val="EASEL_CA_Example3"/>
      <sheetName val="Urai__Resap_pengikat3"/>
      <sheetName val="DAF_HRG3"/>
      <sheetName val="7_공정표3"/>
      <sheetName val="Kolom_UT3"/>
      <sheetName val="HB_3"/>
      <sheetName val="Memb_Schd3"/>
      <sheetName val="Coef_et_données3"/>
      <sheetName val="Eng_Hrs_(HO)3"/>
      <sheetName val="MFG_&amp;_DEL3"/>
      <sheetName val="원가조정_내역3"/>
      <sheetName val="InsertListDrawing_1_3"/>
      <sheetName val="P_Staff_fac3"/>
      <sheetName val="beam-reinft-IIInd_floor3"/>
      <sheetName val="P-Site_fac3"/>
      <sheetName val="P-Clients_fac3"/>
      <sheetName val="P2-Project_Data3"/>
      <sheetName val="a_h_ars_sum3"/>
      <sheetName val="a_h_ars3"/>
      <sheetName val="Chap_2-_Page_4_1"/>
      <sheetName val="VAT_TU_DIEN1"/>
      <sheetName val="bldg_list1"/>
      <sheetName val="Scaffolding_Volume1"/>
      <sheetName val="REF_ONLY"/>
      <sheetName val="PLSt_03__"/>
      <sheetName val="П_7_курс_аванса"/>
      <sheetName val="IncStat_03-04"/>
      <sheetName val="IncStat_03__"/>
      <sheetName val="Авансы_по_СНГ"/>
      <sheetName val="Process_Piping"/>
      <sheetName val="SWALE_(구산)"/>
      <sheetName val="Data_Ref_"/>
      <sheetName val="KKS_System_Codes"/>
      <sheetName val="Price_Schedule_Code"/>
      <sheetName val="Detail_Eng"/>
      <sheetName val="ENE-CAL_1"/>
      <sheetName val="내역서_(N____20"/>
      <sheetName val="Dsr_Hitung"/>
      <sheetName val="Mat_Tower"/>
      <sheetName val="RT13526_CPI"/>
      <sheetName val="Inputs_-_Results"/>
      <sheetName val="GENERAL_"/>
      <sheetName val="Tank_Loading"/>
      <sheetName val="Fdn_Calc"/>
      <sheetName val="LATERAL_OCDI_BH-02"/>
      <sheetName val="Lateral_Broms"/>
      <sheetName val="N-SPT_corr"/>
      <sheetName val="Curve_N-SPT"/>
      <sheetName val="COST_BD"/>
      <sheetName val="MSP-Operator_Building-Area_C"/>
      <sheetName val="Monthly_S_Curve_SPK"/>
      <sheetName val="UPAH_&amp;_BHN_ARS"/>
      <sheetName val="AHS_ARS"/>
      <sheetName val="Analisa_HSP"/>
      <sheetName val="입찰내역_발주처_양卤"/>
      <sheetName val="Analisa_Neraca"/>
      <sheetName val="-0_5_TABLA_PRESUPUESTOS1"/>
      <sheetName val="ﾄﾞﾊﾞｲFUEL_GAS追見1"/>
      <sheetName val="Sheet_14"/>
      <sheetName val="Raw_Ref"/>
      <sheetName val="Cost_Codes"/>
      <sheetName val="Code_07"/>
      <sheetName val="OE_(KSB)"/>
      <sheetName val="galian_saluran"/>
      <sheetName val="Ana__PU"/>
      <sheetName val="Perhit_Alat"/>
      <sheetName val="05_Analisa_Teknik"/>
      <sheetName val="?_x000a_????_x000a_?"/>
      <sheetName val="_x000a_?????_x000a_??"/>
      <sheetName val="_?????_??"/>
      <sheetName val="Weekl??_x000a_?"/>
      <sheetName val="?뻘N??_"/>
      <sheetName val="?_x000a_?_x0"/>
      <sheetName val="_x000a_??_x0"/>
      <sheetName val="7422CW?"/>
      <sheetName val="OPT??_x000a_?"/>
      <sheetName val="Analisa_SNI_STANDART_"/>
      <sheetName val="1_B"/>
      <sheetName val="Week_ending"/>
      <sheetName val="Planners_Workload"/>
      <sheetName val="breakdown_of_FA113"/>
      <sheetName val="SANDAN_XLS8"/>
      <sheetName val="Page 2"/>
      <sheetName val="Project Grading"/>
      <sheetName val="satuan"/>
      <sheetName val="DHSD"/>
      <sheetName val="kalibrasi-Tank"/>
      <sheetName val="terdistribusi"/>
      <sheetName val="MAT&amp;LABOR"/>
      <sheetName val="5대총괄"/>
      <sheetName val="ouse_Summary2_________________2"/>
      <sheetName val="Faktor"/>
      <sheetName val="luar"/>
      <sheetName val="RINC hotel"/>
      <sheetName val="RINC FIN T4 "/>
      <sheetName val="RINC FIN T4  _3_"/>
      <sheetName val="RINC FIN T4  _2_"/>
      <sheetName val="Breadown"/>
      <sheetName val="合成単価作成・-BLDG"/>
      <sheetName val="XL4Poppy"/>
      <sheetName val="내역서_(∮ἀ嘆ɶ᠀㬁1"/>
      <sheetName val="MAN-STD"/>
      <sheetName val="LV induction "/>
      <sheetName val="내역서(전기)"/>
      <sheetName val="본부소개"/>
      <sheetName val="NM2"/>
      <sheetName val="NW1"/>
      <sheetName val="NW2"/>
      <sheetName val="PW3"/>
      <sheetName val="PW4"/>
      <sheetName val="SC1"/>
      <sheetName val="DNW"/>
      <sheetName val="NE"/>
      <sheetName val="PM"/>
      <sheetName val="TR"/>
      <sheetName val="ENE-CAL_11"/>
      <sheetName val="2_x0010__x000a__x0003__x000d__x0008__x0010__x0004__x0004__x0004_"/>
      <sheetName val="9011 EXPAT_MANP"/>
      <sheetName val="2_x0010_"/>
      <sheetName val="PriceSummary"/>
      <sheetName val="App A Basis of Design"/>
      <sheetName val="CBA"/>
      <sheetName val="MH and Unit Cost"/>
      <sheetName val="BOQ_PAINTING"/>
      <sheetName val="Material Cost(as per Nation)"/>
      <sheetName val="VS P-Q"/>
      <sheetName val="Harga material_1"/>
      <sheetName val="abcdef"/>
      <sheetName val="bahan,upah,alat"/>
      <sheetName val="Peralatan (2)"/>
      <sheetName val="집계표(2 안)"/>
      <sheetName val="Plan1"/>
      <sheetName val="Pnl-10"/>
      <sheetName val="70"/>
      <sheetName val="AA"/>
      <sheetName val="AP110"/>
      <sheetName val="B-10"/>
      <sheetName val="BB-1"/>
      <sheetName val="C-5"/>
      <sheetName val="C-6"/>
      <sheetName val="C-6a"/>
      <sheetName val="F-1l2"/>
      <sheetName val="F-21"/>
      <sheetName val="F-4"/>
      <sheetName val="FF"/>
      <sheetName val="FF-2"/>
      <sheetName val="L"/>
      <sheetName val="M MM"/>
      <sheetName val="30a"/>
      <sheetName val="30-Note"/>
      <sheetName val="U-2"/>
      <sheetName val="Z- GENERAL PRIC橿⿂⒘ࡈ"/>
      <sheetName val="Z- GENERAL PRIC鋘@俀~橿⿂⍈"/>
      <sheetName val="Z- GENERAL PRIC_x0005_ẹ"/>
      <sheetName val="tabel berat"/>
      <sheetName val="daf_3_OK_"/>
      <sheetName val="daf_7_OK_"/>
      <sheetName val="L_TIGA"/>
      <sheetName val="SWALE_(구산)1"/>
      <sheetName val="REF_ONLY1"/>
      <sheetName val="Data_Ref_1"/>
      <sheetName val="KKS_System_Codes1"/>
      <sheetName val="Price_Schedule_Code1"/>
      <sheetName val="MC-P1"/>
      <sheetName val="IRR_sponsor5"/>
      <sheetName val="SPT_vs_PHI5"/>
      <sheetName val="1_자금요약5"/>
      <sheetName val="2_실행비투입5"/>
      <sheetName val="3_본사집계5"/>
      <sheetName val="3-1_본사투입5"/>
      <sheetName val="4_지사집계5"/>
      <sheetName val="4-1_지사투입5"/>
      <sheetName val="5_현장총집계5"/>
      <sheetName val="5-1_현금집계5"/>
      <sheetName val="5-2_현금출납5"/>
      <sheetName val="5-3_외상집계5"/>
      <sheetName val="5-4_외상투입5"/>
      <sheetName val="6_미지급금5"/>
      <sheetName val="5-5_기타공제집계5"/>
      <sheetName val="5-6_기타공제5"/>
      <sheetName val="7_기성현황(실)5"/>
      <sheetName val="8_한국인수당5"/>
      <sheetName val="8_한국인수당_(Master_file)5"/>
      <sheetName val="9_기타수입5"/>
      <sheetName val="10_투입집계5"/>
      <sheetName val="5-4_외상투입_(2)5"/>
      <sheetName val="16_기성현황(예)5"/>
      <sheetName val="17_자금요약25"/>
      <sheetName val="18_실행대비투입25"/>
      <sheetName val="Consortium_VP5"/>
      <sheetName val="Summary_MONTH5"/>
      <sheetName val="DESICON_SUM5"/>
      <sheetName val="DES_TCF_Rental5"/>
      <sheetName val="DES_TCF_Maints_pers5"/>
      <sheetName val="DES_TCF_Heavy_Equipment5"/>
      <sheetName val="BANK_BOND5"/>
      <sheetName val="PHC_WAREHOUSE_-_INFOONLY5"/>
      <sheetName val="CATERING_CONTROL5"/>
      <sheetName val="SUB_CONTRACT5"/>
      <sheetName val="SPDC_-_INFONLY5"/>
      <sheetName val="VENDOR_SCHEDUL5"/>
      <sheetName val="VENDOR_PRESENCE_-_COMM5"/>
      <sheetName val="VENDOR_PRESENCE_-_RECH5"/>
      <sheetName val="VENDOR_PRESENCE_-_COMM_5"/>
      <sheetName val="CONTRACT_RATES5"/>
      <sheetName val="2013电气概算_价目表_(营改增调整)5"/>
      <sheetName val="Payment_Certificate-15"/>
      <sheetName val="Floor_wet5"/>
      <sheetName val="Floor_Balcony5"/>
      <sheetName val="Hard_scape_Floor5"/>
      <sheetName val="P03_Skirting5"/>
      <sheetName val="GF_wall5"/>
      <sheetName val="Kitchen_Wall_wet_LIN-7015"/>
      <sheetName val="Wall_wet_LIN-601_5"/>
      <sheetName val="BOQ_(2)5"/>
      <sheetName val="VO_Schedule-15"/>
      <sheetName val="HOLD_AMOUNT5"/>
      <sheetName val="Back_Charge_(2)5"/>
      <sheetName val="Temporary_Deductions-1_5"/>
      <sheetName val="Contracharges_Check_list-1_5"/>
      <sheetName val="PC_035"/>
      <sheetName val="Measurement_sheet5"/>
      <sheetName val="Material_Only5"/>
      <sheetName val="Man_power_supply5"/>
      <sheetName val="Camp_Deduction5"/>
      <sheetName val="Other_data5"/>
      <sheetName val="Enron_Form5"/>
      <sheetName val="List_Equip5"/>
      <sheetName val="Process_C_(1-166)5"/>
      <sheetName val="TRUCK_HAUL_CYCLE-waste5"/>
      <sheetName val="Existing_PC_Pavement5"/>
      <sheetName val="Sch_65"/>
      <sheetName val="Master_Data5"/>
      <sheetName val="ind'l_cp5"/>
      <sheetName val="LAST_UPDATE5"/>
      <sheetName val="0_품의서(전체)5"/>
      <sheetName val="SUMMARY_MTO_02_2_355"/>
      <sheetName val="N_G_METERING_CALC_5"/>
      <sheetName val="N_G_METERING5"/>
      <sheetName val="N_G_METERING_(2)5"/>
      <sheetName val="CUMENE_METERING5"/>
      <sheetName val="N2_METERING_5"/>
      <sheetName val="H2_METERING__5"/>
      <sheetName val="CO_METERING5"/>
      <sheetName val="Daily Photo"/>
      <sheetName val="Manpower Status"/>
      <sheetName val="opstat"/>
      <sheetName val="costs"/>
      <sheetName val="Selling_Sheet_cons"/>
      <sheetName val="JGSummit_Package_2_(CTCI)"/>
      <sheetName val="MenuSheet"/>
      <sheetName val="Forecast"/>
      <sheetName val="Batam Forecast"/>
      <sheetName val="Batam Forecast_jun"/>
      <sheetName val="Fabrication Summary"/>
      <sheetName val="D6978 Mar 21 - FProj07"/>
      <sheetName val="Ecosys-Mar'21"/>
      <sheetName val="GEAC - Dec19"/>
      <sheetName val="breakdown_of_FA1131"/>
      <sheetName val="Sheet_141"/>
      <sheetName val="MSP-Operator_Building-Area_C1"/>
      <sheetName val="JGSummit_Package_2_(CTCI)1"/>
      <sheetName val="-0_5_TABLA_PRESUPUESTOS2"/>
      <sheetName val="ﾄﾞﾊﾞｲFUEL_GAS追見2"/>
      <sheetName val="BG Working Sheet"/>
      <sheetName val="당초?➴ȭ"/>
      <sheetName val="COS_REP.XLS"/>
      <sheetName val="ANL_TEK.6"/>
      <sheetName val="HM.MEK."/>
      <sheetName val="Volume"/>
      <sheetName val="내역서_耰&quot;_x005f_x0000__x005f_x005f_x0000"/>
      <sheetName val="내역서_耰&quot;_x005f_x0000__x005f_x005f_x0001"/>
      <sheetName val="내역서_耰&quot;_x005f_x0000__x005f_x005f_x0002"/>
      <sheetName val="내역서_耰&quot;_x005f_x0000__x005f_x005f_x0004"/>
      <sheetName val="내역서_耰&quot;_x005f_x0000__x005f_x005f_x0003"/>
      <sheetName val="내역서_耰&quot;_x005f_x0000__x005f_x005f_x0005"/>
      <sheetName val="내역서_耰&quot;_x005f_x0000__x005f_x005f_x0006"/>
      <sheetName val="내역서_耰&quot;_x005f_x0000__x005f_x005f_x0007"/>
      <sheetName val="_______x005f_x0000__x005f_x005f_x00_2"/>
      <sheetName val="_____x005f_x005f_x005f_x0000__2"/>
      <sheetName val="당초?ȭ"/>
      <sheetName val="내역서_耰&quot;_x005f_x0000__x005f_x005f_x0008"/>
      <sheetName val="Fire Fighting"/>
      <sheetName val="HARGA DASAR"/>
      <sheetName val="MACROS"/>
      <sheetName val="KR2&amp;KVCM(MAR 1-6'99)"/>
      <sheetName val="電源計画"/>
      <sheetName val="AnalisisHSPekerjaan"/>
      <sheetName val="ANALISA KONST BTN"/>
      <sheetName val="당초_ἀ"/>
      <sheetName val="_x0004___x000d___x0003___x0004___x0016___x000d___x0004_"/>
      <sheetName val="___x001b___x0006___x0006___x0008_____"/>
      <sheetName val=" __x001b___x0006___x0006___x0008__ __"/>
      <sheetName val="Weekl_x0004___x0016___x000d__"/>
      <sheetName val="__x000e___x0005_"/>
      <sheetName val="_x0002__뻘N___"/>
      <sheetName val="_x0004___x000d___x0"/>
      <sheetName val="___x001b___x0"/>
      <sheetName val="7422CW_x0013__"/>
      <sheetName val="OPT_x0012___x0010____"/>
      <sheetName val="__x0013___x0014_"/>
      <sheetName val="Bill of Qty"/>
      <sheetName val="ENG-101"/>
      <sheetName val="RKUPRKUF"/>
      <sheetName val="Bilanz Bus.plan 2002"/>
      <sheetName val="Mei LD"/>
      <sheetName val="Data Input"/>
      <sheetName val="financials"/>
      <sheetName val="C94151"/>
      <sheetName val="Project budget BTS"/>
      <sheetName val="손익예상"/>
      <sheetName val="piutang"/>
      <sheetName val="Well-20"/>
      <sheetName val="Well-7"/>
      <sheetName val="ChemCost-Lab"/>
      <sheetName val="Well-13"/>
      <sheetName val="Well-9"/>
      <sheetName val="Well Plan 1"/>
      <sheetName val="jadw"/>
      <sheetName val="DIV.3"/>
      <sheetName val="DIV.9"/>
      <sheetName val="00-MEMO"/>
      <sheetName val="07"/>
      <sheetName val="08"/>
      <sheetName val="06"/>
      <sheetName val="LOKASI RIG Litbang"/>
      <sheetName val="PACK"/>
      <sheetName val="2930"/>
      <sheetName val="2933"/>
      <sheetName val="2934"/>
      <sheetName val="Identitas"/>
      <sheetName val="struktur tdk dipakai"/>
      <sheetName val="H-Sat"/>
      <sheetName val="upah bahan"/>
      <sheetName val="AnalisaSIPIL RIIL"/>
      <sheetName val="Har Sat"/>
      <sheetName val="Basicprice"/>
      <sheetName val="Rek.Analisa"/>
      <sheetName val="HRG BAHAN &amp; UPAH okk"/>
      <sheetName val="sleksi"/>
      <sheetName val="TS"/>
      <sheetName val="TS MINGGUAN rev (2)"/>
      <sheetName val="DAF.ALAT"/>
      <sheetName val="ceklis"/>
      <sheetName val="LV induction mot_x0005_"/>
      <sheetName val="원가&amp;하도급원가"/>
      <sheetName val="건축(을)"/>
      <sheetName val="Sheet_x0005_ư"/>
      <sheetName val="Sheet_x0005_፠"/>
      <sheetName val="Sheet_x0005__xded0_"/>
      <sheetName val="Sheet_x0005_팠"/>
      <sheetName val="Sheet_x0005_⡰"/>
      <sheetName val="Sheet_x0005_㜰"/>
      <sheetName val="Sheet_x0005_븰"/>
      <sheetName val="적용단가"/>
      <sheetName val="리비아견적작업"/>
      <sheetName val="SUMMARY_철거"/>
      <sheetName val="내역(정지)"/>
      <sheetName val="차이내역"/>
      <sheetName val="내역서_(N____21"/>
      <sheetName val="ANAL_BOW"/>
      <sheetName val="Isolasi_Luar_Dalam"/>
      <sheetName val="Isolasi_Luar"/>
      <sheetName val="график_финансирования"/>
      <sheetName val="keyword"/>
      <sheetName val="TH VL, NC, DDHT Thanhphuoc"/>
      <sheetName val="현금흐름표"/>
      <sheetName val="COMPLEXALL"/>
      <sheetName val="Materials "/>
      <sheetName val="MAchinery(R1)"/>
      <sheetName val="State List"/>
      <sheetName val="TIE-INS"/>
      <sheetName val="black_out"/>
      <sheetName val="WK"/>
      <sheetName val="IPL_SCHEDULE"/>
      <sheetName val="DAILY"/>
      <sheetName val="SANDAN_XLS9"/>
      <sheetName val="내역서_(∮ἀ嘆ɶ᠀㬁2"/>
      <sheetName val="1.0_Criteria_New"/>
      <sheetName val="cost curve calc"/>
      <sheetName val="QPL"/>
      <sheetName val="TOWN"/>
      <sheetName val="ALAT1"/>
      <sheetName val="ALAT2 (TDK DIPAKAI)"/>
      <sheetName val="DIV10"/>
      <sheetName val="Fill this out first___"/>
      <sheetName val="Pesanan"/>
      <sheetName val="Penjualan"/>
      <sheetName val="FAI-1"/>
      <sheetName val="idx-03"/>
      <sheetName val="PERBULAN"/>
      <sheetName val="SUJAKA"/>
      <sheetName val="KALTIM"/>
      <sheetName val="KALSEL"/>
      <sheetName val="IDX06"/>
      <sheetName val="BLOK-BJR"/>
      <sheetName val="DPro"/>
      <sheetName val="PercenDiv"/>
      <sheetName val="pro_ra_op"/>
      <sheetName val="analis_standar(8m)"/>
      <sheetName val="renc_mgn"/>
      <sheetName val="ShareCapital_"/>
      <sheetName val="Instrument_Proc"/>
      <sheetName val="MTO_Civil_Work"/>
      <sheetName val="Sched_3_(Construction)"/>
      <sheetName val="Sched_1_(Engineering)"/>
      <sheetName val="Sched_2_(Procurement_"/>
      <sheetName val="lkalibrasi_BENENAIN"/>
      <sheetName val="Rekap_Addendum"/>
      <sheetName val="AT_2"/>
      <sheetName val="Ch"/>
      <sheetName val="Perhitungan RAB"/>
      <sheetName val="5-Peralatan"/>
      <sheetName val="trans"/>
      <sheetName val="INPUT DATAS"/>
      <sheetName val="PaintBreak"/>
      <sheetName val="INSSUBCON"/>
      <sheetName val="ABK.04.AWALR+CO+TAB.RUPS"/>
      <sheetName val="9 58&quot;_single"/>
      <sheetName val="COSTPERBBL"/>
      <sheetName val="Material_Price15"/>
      <sheetName val="Land_Dev't__Ph-118"/>
      <sheetName val="4-Lane_bridge18"/>
      <sheetName val="Addendum_No_1_BILL_21"/>
      <sheetName val="Home_Office"/>
      <sheetName val="7_6_3_J_Inline_Instrument"/>
      <sheetName val="6_2_Floor_Finishes1"/>
      <sheetName val="Project_D"/>
      <sheetName val="Tender_Summary"/>
      <sheetName val="MAY_00-Bobbins"/>
      <sheetName val="2_2_띠장의_설계"/>
      <sheetName val="(10)_Other_Costs5"/>
      <sheetName val="combined_9-3026"/>
      <sheetName val="worksheet_inchican26"/>
      <sheetName val="combined_9_3026"/>
      <sheetName val="bar_chart-rev26"/>
      <sheetName val="MATERIAL'S_PRICE24"/>
      <sheetName val="Schedule_S-Curve_Revision#322"/>
      <sheetName val="PC_&amp;_PVS20"/>
      <sheetName val="2_223M_due_to_adj_profit15"/>
      <sheetName val="Inchican_Road_Accomplishment18"/>
      <sheetName val="Shut_down15"/>
      <sheetName val="bill_215"/>
      <sheetName val="sorksheet_inchican15"/>
      <sheetName val="sombined_9-3015"/>
      <sheetName val="PH_515"/>
      <sheetName val="remaining_billing15"/>
      <sheetName val="Hac_Lots15"/>
      <sheetName val="Res_Lots15"/>
      <sheetName val="Spine_Road15"/>
      <sheetName val="INPUT_DATA_HERE14"/>
      <sheetName val="option_Y114"/>
      <sheetName val="Summary_(overall)1"/>
      <sheetName val="Adimi_bldg1"/>
      <sheetName val="Pump_House1"/>
      <sheetName val="Fuel_Regu_Station1"/>
      <sheetName val="Footing_Tie_Beam1"/>
      <sheetName val="FINAL_NEGO1"/>
      <sheetName val="RFP_Codes1"/>
      <sheetName val="Bill_summary_of_cost1"/>
      <sheetName val="unit_price1"/>
      <sheetName val="Schedule_S-Curve_(new_scheme)1"/>
      <sheetName val="Fire_Suppression1"/>
      <sheetName val="tabulation_(comparison)1"/>
      <sheetName val="area_comp_2011_01_181"/>
      <sheetName val="Tabulation_"/>
      <sheetName val="3_-RESOURCE_LIST"/>
      <sheetName val="0_-SUMMARY"/>
      <sheetName val="3_2_AUX"/>
      <sheetName val="3_3_AUX-2"/>
      <sheetName val="GRAND_SUM"/>
      <sheetName val="VCC_11110-461"/>
      <sheetName val="Appendix_A"/>
      <sheetName val="C1_(calcolo)"/>
      <sheetName val="5_5FWBS_CODE"/>
      <sheetName val="1195_B1"/>
      <sheetName val="page_6"/>
      <sheetName val="Capel_KI"/>
      <sheetName val="Capel_PK"/>
      <sheetName val="Summary_HS_Pipa_CS"/>
      <sheetName val="Raw_Data-Combined"/>
      <sheetName val="JOB_Code"/>
      <sheetName val="COVER_RECAP_INSTALL_(2)"/>
      <sheetName val="Rekap_Summary"/>
      <sheetName val="Rekap_Breakdown"/>
      <sheetName val="Equiv_Length"/>
      <sheetName val="Harga_Mat_"/>
      <sheetName val="Integrated-S_Curve"/>
      <sheetName val="Bang_KL"/>
      <sheetName val="_hrg_bhn"/>
      <sheetName val="Section_1"/>
      <sheetName val="Main_Control"/>
      <sheetName val="Ra__stair"/>
      <sheetName val="Man_Power"/>
      <sheetName val="내역서_(∮ἀ嘆ɶ_x005f_x0000_᠀㬁_x005f_x0000_"/>
      <sheetName val="내역서_(N__x005f_x000e__x005f_x000e__x005f_x000e____"/>
      <sheetName val="Bangunan_Utama"/>
      <sheetName val="Hrg_Sat"/>
      <sheetName val="Subcon Rate"/>
      <sheetName val="Z- GENERAL PRIC橿⿂"/>
      <sheetName val="Z- GENERAL PRIC鋘@俀~橿⿂"/>
      <sheetName val="Z- GENERAL PRIC"/>
      <sheetName val="PROC%"/>
      <sheetName val="LV induction mot"/>
      <sheetName val="Notes"/>
      <sheetName val="4B-H150"/>
      <sheetName val="8B1s-H440"/>
      <sheetName val="8B0s"/>
      <sheetName val="H244"/>
      <sheetName val="4334-Summary"/>
      <sheetName val="Eng_Hrs"/>
      <sheetName val="A-11 Steel Str"/>
      <sheetName val="A-03 Pile"/>
      <sheetName val="CONS."/>
      <sheetName val="내역서_耰&quot;_x0008"/>
      <sheetName val="내역서_耰&quot;_x00008"/>
      <sheetName val="내역서_耰&quot;_x005f8"/>
      <sheetName val="내역서_耰&quot;_x005f_x0000__x0009"/>
      <sheetName val="내역서_耰&quot;_x005f_x005f_x00009"/>
      <sheetName val="내역서_耰&quot;_x005f_x005f_x005f9"/>
      <sheetName val="내역서_耰&quot;_x005f_x0000__x0010"/>
      <sheetName val="내역서_耰&quot;_x005f_x005f_x00010"/>
      <sheetName val="내역서_耰&quot;_x005f_x005f_x00510"/>
      <sheetName val="Country (kVA-Hz.)"/>
      <sheetName val="Auftragskalkulation"/>
      <sheetName val="Projektinformation"/>
      <sheetName val="SEK Vertrieb"/>
      <sheetName val="Verkaufspreis"/>
      <sheetName val="Unterlieferantenspiegel"/>
      <sheetName val="Engineeringstunden"/>
      <sheetName val="Auftragsrisiko"/>
      <sheetName val="SEK Montage"/>
      <sheetName val="SEK IBN"/>
      <sheetName val="Konsortialanteile"/>
      <sheetName val="Fremdengineering"/>
      <sheetName val="ENGG_CVL"/>
      <sheetName val="PAD TR보호대기초"/>
      <sheetName val="가로등기초"/>
      <sheetName val="HANDHOLE(2)"/>
      <sheetName val="Vind -鴃宼蠀"/>
      <sheetName val="입력시|"/>
      <sheetName val="R05"/>
      <sheetName val="İnsan Gücü"/>
      <sheetName val="정산내역서"/>
      <sheetName val="견적단가"/>
      <sheetName val="계약단가"/>
      <sheetName val="ELECTRIC"/>
      <sheetName val="주요자재집계"/>
      <sheetName val="1.집계표(일반전기)"/>
      <sheetName val="2.집계표(선행공사)"/>
      <sheetName val="3.집계표(소방공사)"/>
      <sheetName val="전력간선"/>
      <sheetName val="동력"/>
      <sheetName val="CABLE TRAY"/>
      <sheetName val="전등,전열"/>
      <sheetName val="접지피뢰설비"/>
      <sheetName val="수변전"/>
      <sheetName val="전력제어_DUCT(완)"/>
      <sheetName val="아파트 기성내역서"/>
      <sheetName val="7IFS-5A"/>
      <sheetName val="단면가정"/>
      <sheetName val="설계조건"/>
      <sheetName val="HaulingLine hardware"/>
      <sheetName val="S Curve"/>
      <sheetName val="Branch Power"/>
      <sheetName val="Distrib"/>
      <sheetName val="Emergency"/>
      <sheetName val="Lighting"/>
      <sheetName val="C. letter 3rd QT"/>
      <sheetName val="P_ROBERTS"/>
      <sheetName val="DESBAST"/>
      <sheetName val="소비자가"/>
      <sheetName val="TBM-T6+5S(Alt1)"/>
      <sheetName val="cespiti cet2 piombino (2)"/>
      <sheetName val="建筑工程统计表06月份 "/>
      <sheetName val="FlujoTJ"/>
      <sheetName val="배포용표지"/>
      <sheetName val="Tra_bang"/>
      <sheetName val="HX"/>
      <sheetName val="ENE-CAL_12"/>
      <sheetName val="Dsr_Hitung1"/>
      <sheetName val="Mat_Tower1"/>
      <sheetName val="RT13526_CPI1"/>
      <sheetName val="Inputs_-_Results1"/>
      <sheetName val="GENERAL_1"/>
      <sheetName val="Tank_Loading1"/>
      <sheetName val="Fdn_Calc1"/>
      <sheetName val="LATERAL_OCDI_BH-021"/>
      <sheetName val="Lateral_Broms1"/>
      <sheetName val="N-SPT_corr1"/>
      <sheetName val="Curve_N-SPT1"/>
      <sheetName val="COST_BD1"/>
      <sheetName val="Monthly_S_Curve_SPK1"/>
      <sheetName val="Daily_Photo"/>
      <sheetName val="Manpower_Status"/>
      <sheetName val="LV_induction_묠"/>
      <sheetName val="__x005f_x0000__x005f_x001b__x005f_x0000__x005f_x0006__1"/>
      <sheetName val="내역서_耰&quot;_x005f_x005f_x005f_x0000__x00004"/>
      <sheetName val="내역서_(N____x005f_x000a_3"/>
      <sheetName val="Dinh_muc_CP_KTCB_khac"/>
      <sheetName val="TH_May_TC"/>
      <sheetName val="KLDT_DIEN"/>
      <sheetName val="PTVT_DIEN"/>
      <sheetName val="TH_kinh_phi"/>
      <sheetName val="Thong_ke_thiet_bi"/>
      <sheetName val="TH_vat_tu"/>
      <sheetName val="A_SIS"/>
      <sheetName val="gia_vt"/>
      <sheetName val="1_BILL_MOI_THAU_CAN_THUONG"/>
      <sheetName val="PHAN_NGAM"/>
      <sheetName val="집계표(2_안)"/>
      <sheetName val="uraian_analisa"/>
      <sheetName val="8LT_12"/>
      <sheetName val="Basic_Price"/>
      <sheetName val="Rekap_Analisa"/>
      <sheetName val="ANALISA_PEK_UMUM"/>
      <sheetName val="IN_OUT"/>
      <sheetName val="내역서_ᢐ_x005f_x001f_"/>
      <sheetName val="내역서_ᢐ_x005f_x001f__x005f_x0000__x005f_x0000_"/>
      <sheetName val="Sat_Bah___Up"/>
      <sheetName val="DATA_PROYEK"/>
      <sheetName val="rab_me_(by_owner)_"/>
      <sheetName val="BQ_(by_owner)"/>
      <sheetName val="rab_me_(fisik)"/>
      <sheetName val="LIST_ANHARSAT"/>
      <sheetName val="P__control"/>
      <sheetName val="Costing_Detailed"/>
      <sheetName val="Basic_Data_Inputs"/>
      <sheetName val="BILL_1"/>
      <sheetName val="Step2_-&gt;_Mat__Cost"/>
      <sheetName val="TEMP_PROFILE"/>
      <sheetName val="_선택_속성(잠금)"/>
      <sheetName val="Drop-down_lists"/>
      <sheetName val="建筑定额_(2002)"/>
      <sheetName val="ADI_Edison_Termoelettrica"/>
      <sheetName val="Daily_Forwards"/>
      <sheetName val="VS_P-Q"/>
      <sheetName val="BQ_Summary"/>
      <sheetName val="Sheetư"/>
      <sheetName val="Sheet፠"/>
      <sheetName val="Sheet팠"/>
      <sheetName val="Sheet⡰"/>
      <sheetName val="Sheet㜰"/>
      <sheetName val="Sheet븰"/>
      <sheetName val="LV_induction_"/>
      <sheetName val="LV_induction_mot"/>
      <sheetName val="Harga_material_1"/>
      <sheetName val="Peralatan_(2)"/>
      <sheetName val="Team_3_S-Curve"/>
      <sheetName val="MH_and_Unit_Cost"/>
      <sheetName val="Material_Cost(as_per_Nation)"/>
      <sheetName val="FA_LISTING"/>
      <sheetName val="FA-LISTING"/>
      <sheetName val="6MONTHS"/>
      <sheetName val="負荷集計（断熱不燃）"/>
      <sheetName val="NoDelete_NoHide"/>
      <sheetName val="报价说明 (3)"/>
      <sheetName val="报价说明 (4)"/>
      <sheetName val="2.履约阶段供应链管理计划"/>
      <sheetName val="XREF"/>
      <sheetName val="sis.xlm"/>
      <sheetName val="spot prices"/>
      <sheetName val="Forma E-17"/>
      <sheetName val="1999 BUDGET"/>
      <sheetName val="Boq(1)"/>
      <sheetName val="Risk Variables"/>
      <sheetName val="간접비 총괄표"/>
      <sheetName val="BOQ LIST"/>
      <sheetName val="石炭性状"/>
      <sheetName val="SUM-AIR-Submit"/>
      <sheetName val="Star Rate"/>
      <sheetName val="sch 1.2"/>
      <sheetName val="B_6"/>
      <sheetName val="B_7"/>
      <sheetName val="B_8"/>
      <sheetName val="B_9"/>
      <sheetName val="B_10 (4)"/>
      <sheetName val="AGG"/>
      <sheetName val="MT"/>
      <sheetName val="BP"/>
      <sheetName val="Cover-L"/>
      <sheetName val="Rev "/>
      <sheetName val="LIST"/>
      <sheetName val="支架原始数据"/>
      <sheetName val="材料规格"/>
      <sheetName val="Sheet1 (4)"/>
      <sheetName val="ISBL-J10"/>
      <sheetName val="BQ Working"/>
      <sheetName val="PipWT"/>
      <sheetName val="N-detail"/>
      <sheetName val="FACSUM"/>
      <sheetName val="04.09.19 Mufqi(2)"/>
      <sheetName val="04.09.19 Winda(2)"/>
      <sheetName val="Mufqi 29.08.19"/>
      <sheetName val="Ade 30.08.19"/>
      <sheetName val="Pramudibyo 30.08.19"/>
      <sheetName val="Aji 02.09.19"/>
      <sheetName val="Diah 02.09.19"/>
      <sheetName val=".09.19"/>
      <sheetName val="Kode"/>
      <sheetName val="Unit-P"/>
      <sheetName val="61004"/>
      <sheetName val="61005"/>
      <sheetName val="61006"/>
      <sheetName val="61007"/>
      <sheetName val="61008"/>
      <sheetName val="Own"/>
      <sheetName val="Dash"/>
      <sheetName val="skejul"/>
      <sheetName val="01A_ RAB"/>
      <sheetName val="27"/>
      <sheetName val="46"/>
      <sheetName val="33"/>
      <sheetName val="26"/>
      <sheetName val="42"/>
      <sheetName val="32"/>
      <sheetName val="41"/>
      <sheetName val="31"/>
      <sheetName val="64_6"/>
      <sheetName val="62"/>
      <sheetName val="24"/>
      <sheetName val="43"/>
      <sheetName val="53 "/>
      <sheetName val="54"/>
      <sheetName val="MH CIVIL"/>
      <sheetName val="30"/>
      <sheetName val="64_14"/>
      <sheetName val="64_1"/>
      <sheetName val="64_2"/>
      <sheetName val="64_3"/>
      <sheetName val="51"/>
      <sheetName val="38"/>
      <sheetName val="52"/>
      <sheetName val="23"/>
      <sheetName val="49"/>
      <sheetName val="29"/>
      <sheetName val="36_3"/>
      <sheetName val="36_4"/>
      <sheetName val="44"/>
      <sheetName val="45"/>
      <sheetName val="63"/>
      <sheetName val="div-4"/>
      <sheetName val="DIV 2"/>
      <sheetName val="DIV 7"/>
      <sheetName val="DIV 8"/>
      <sheetName val="UBA"/>
      <sheetName val="DIV 3"/>
      <sheetName val="SDHU&amp;B"/>
      <sheetName val="S"/>
      <sheetName val="가격조사서"/>
      <sheetName val="TEKNIS"/>
      <sheetName val="Mob2"/>
      <sheetName val="MR EUR"/>
      <sheetName val="changes"/>
      <sheetName val="Ind. Budget"/>
      <sheetName val="1) COMMON FACILITIES"/>
      <sheetName val="Basisdaten"/>
      <sheetName val="SA516-60,70 (정리)"/>
      <sheetName val="ENQ222394AL NASR_Steel Report"/>
      <sheetName val="DP"/>
      <sheetName val="범례"/>
      <sheetName val="КС2_24.1-8 (4.1.8.11.200)corr"/>
      <sheetName val="SWALE_(구산)2"/>
      <sheetName val="Chap_2-_Page_4_2"/>
      <sheetName val="VAT_TU_DIEN2"/>
      <sheetName val="bldg_list2"/>
      <sheetName val="UPAH_&amp;_BHN_ARS1"/>
      <sheetName val="AHS_ARS1"/>
      <sheetName val="Analisa_HSP1"/>
      <sheetName val="입찰내역_발주처_양卤1"/>
      <sheetName val="Analisa_Neraca1"/>
      <sheetName val="내역서_(N____22"/>
      <sheetName val="Data_Ref_2"/>
      <sheetName val="KKS_System_Codes2"/>
      <sheetName val="Price_Schedule_Code2"/>
      <sheetName val="REF_ONLY2"/>
      <sheetName val="ANAL_BOW1"/>
      <sheetName val="Isolasi_Luar_Dalam1"/>
      <sheetName val="Isolasi_Luar1"/>
      <sheetName val="график_финансирования1"/>
      <sheetName val="SANDAN_XLS10"/>
      <sheetName val="Project_D1"/>
      <sheetName val="Tender_Summary1"/>
      <sheetName val="Ana__PU1"/>
      <sheetName val="Ra__stair1"/>
      <sheetName val="1195_B11"/>
      <sheetName val="Capel_KI1"/>
      <sheetName val="Capel_PK1"/>
      <sheetName val="page_61"/>
      <sheetName val="Raw_Data-Combined1"/>
      <sheetName val="Summary_HS_Pipa_CS1"/>
      <sheetName val="galian_saluran1"/>
      <sheetName val="Perhit_Alat1"/>
      <sheetName val="05_Analisa_Teknik1"/>
      <sheetName val="Analisa_SNI_STANDART_1"/>
      <sheetName val="1_B1"/>
      <sheetName val="lkalibrasi_BENENAIN1"/>
      <sheetName val="Rekap_Addendum1"/>
      <sheetName val="AT_21"/>
      <sheetName val="_hrg_bhn1"/>
      <sheetName val="Harga_Mat_1"/>
      <sheetName val="Section_11"/>
      <sheetName val="OE_(KSB)1"/>
      <sheetName val="6_2_Floor_Finishes2"/>
      <sheetName val="cost_curve_calc"/>
      <sheetName val="КС2_24_1-8_(4_1_8_11_200)corr"/>
      <sheetName val="2_x000a__x000a_"/>
      <sheetName val="9011_EXPAT_MANP"/>
      <sheetName val="App_A_Basis_of_Design"/>
      <sheetName val="SEK_Vertrieb"/>
      <sheetName val="SEK_Montage"/>
      <sheetName val="SEK_IBN"/>
      <sheetName val="Z-_GENERAL_PRIC橿⿂⒘ࡈ"/>
      <sheetName val="Z-_GENERAL_PRIC鋘@俀~橿⿂⍈"/>
      <sheetName val="Z-_GENERAL_PRICẹ"/>
      <sheetName val="tabel_berat"/>
      <sheetName val="BQ_Working"/>
      <sheetName val="MR_EUR"/>
      <sheetName val="Ind__Budget"/>
      <sheetName val="Star_Rate"/>
      <sheetName val="분석"/>
      <sheetName val="DO NOT DELETE"/>
      <sheetName val="첨부 #8 기자재 Cost Summary"/>
      <sheetName val="Considerations"/>
      <sheetName val="Dia Inch"/>
      <sheetName val="JP-I.500155"/>
      <sheetName val="PBAC budget"/>
      <sheetName val="3.6M RETAINING WALL"/>
      <sheetName val="指數Case"/>
      <sheetName val="TRENCH"/>
      <sheetName val="Cost Control"/>
      <sheetName val="Factor Sheet"/>
      <sheetName val="Cost Factor Sheet"/>
      <sheetName val="Ragama"/>
      <sheetName val="Price Sheet"/>
      <sheetName val="Room Type"/>
      <sheetName val="Basement2 DB"/>
      <sheetName val="FAC"/>
      <sheetName val="COST"/>
      <sheetName val="BOQ SUM"/>
      <sheetName val="MALZEME"/>
      <sheetName val="UNIT RATE"/>
      <sheetName val="내역서_(N___ 3"/>
      <sheetName val="내역서_(N___ 4"/>
      <sheetName val="내역서_(N___ 5"/>
      <sheetName val="_x0004_? ?_x0003_?_x0004_?_x0016_? ?_x0004_"/>
      <sheetName val="Weekl_x0004_?_x0016_? ?"/>
      <sheetName val="_x0004_? ?_x0"/>
      <sheetName val=" ?_x001b_?_x0"/>
      <sheetName val="OPT_x0012_?_x0010_? ?"/>
      <sheetName val="내역서_(N___ 6"/>
      <sheetName val="내역서_(N___ 7"/>
      <sheetName val="내역서_(N___ 8"/>
      <sheetName val="KUWATI(Total)_19"/>
      <sheetName val="집계표_(TOTAL)19"/>
      <sheetName val="집계표_(CIVIL-23)19"/>
      <sheetName val="집계표_(FGRU)19"/>
      <sheetName val="집계표_(25,26)19"/>
      <sheetName val="집계표_(MEROX)19"/>
      <sheetName val="집계표_(NITROGEN)19"/>
      <sheetName val="집계표_(M4)19"/>
      <sheetName val="집계표_(CIVIL4)19"/>
      <sheetName val="집계표_(CIVIL6)19"/>
      <sheetName val="집계표_(CIVIL7)19"/>
      <sheetName val="내역서(DEMO_TOTAL)19"/>
      <sheetName val="내역서_(CIVIL-23)19"/>
      <sheetName val="내역서_(fgru)19"/>
      <sheetName val="내역서_(25&amp;26)19"/>
      <sheetName val="내역서_(MEROX)19"/>
      <sheetName val="내역서_(NITROGEN)19"/>
      <sheetName val="내역서_(M4)19"/>
      <sheetName val="내역서_(CIVIL-4)19"/>
      <sheetName val="내역서_(CIVIL-6)19"/>
      <sheetName val="내역서_(CIVIL-7)19"/>
      <sheetName val="OPTION_219"/>
      <sheetName val="OPTION_319"/>
      <sheetName val="2002년_현장공사비_국내_실적19"/>
      <sheetName val="2003년국내현장공사비_실적19"/>
      <sheetName val="VC2_10_9919"/>
      <sheetName val="INPUT_DATA18"/>
      <sheetName val="집계표_(25,26ဩ18"/>
      <sheetName val="Form_018"/>
      <sheetName val="General_Data18"/>
      <sheetName val="입출재고현황_(2)17"/>
      <sheetName val="Form_D-117"/>
      <sheetName val="Form_B-117"/>
      <sheetName val="Form_F-117"/>
      <sheetName val="Form_A17"/>
      <sheetName val="LABOR_&amp;_자재17"/>
      <sheetName val="3_공통공사대비17"/>
      <sheetName val="간접비_총괄17"/>
      <sheetName val="Price_Schedule17"/>
      <sheetName val="CAL_17"/>
      <sheetName val="Rate_Analysis17"/>
      <sheetName val="WEIGHT_LIST16"/>
      <sheetName val="산#2-1_(2)16"/>
      <sheetName val="BEND_LOSS16"/>
      <sheetName val="공사비_내역_(가)16"/>
      <sheetName val="내역서_耰&quot;??17"/>
      <sheetName val="EQUIPMENT_-217"/>
      <sheetName val="6PILE__(돌출)16"/>
      <sheetName val="Static_Equip16"/>
      <sheetName val="Form_A_16"/>
      <sheetName val="단면_(2)16"/>
      <sheetName val="내역서_耰&quot;_x005f_x0000__x005f_x0000_16"/>
      <sheetName val="3_Breakdown_Direct_Paint16"/>
      <sheetName val="내역서_耰&quot;__17"/>
      <sheetName val="Summary_Sheets16"/>
      <sheetName val="Civil_116"/>
      <sheetName val="Civil_216"/>
      <sheetName val="Civil_316"/>
      <sheetName val="Site_116"/>
      <sheetName val="Site_216"/>
      <sheetName val="Site_316"/>
      <sheetName val="Site_Faci16"/>
      <sheetName val="Áý°èÇ¥_(TOTAL)15"/>
      <sheetName val="Áý°èÇ¥_(CIVIL-23)15"/>
      <sheetName val="Áý°èÇ¥_(FGRU)15"/>
      <sheetName val="Áý°èÇ¥_(25,26)15"/>
      <sheetName val="Áý°èÇ¥_(MEROX)15"/>
      <sheetName val="Áý°èÇ¥_(NITROGEN)15"/>
      <sheetName val="Áý°èÇ¥_(M4)15"/>
      <sheetName val="Áý°èÇ¥_(CIVIL4)15"/>
      <sheetName val="Áý°èÇ¥_(CIVIL6)15"/>
      <sheetName val="Áý°èÇ¥_(CIVIL7)15"/>
      <sheetName val="³»¿ª¼­(DEMO_TOTAL)15"/>
      <sheetName val="³»¿ª¼­_(CIVIL-23)15"/>
      <sheetName val="³»¿ª¼­_(fgru)15"/>
      <sheetName val="³»¿ª¼­_(25&amp;26)15"/>
      <sheetName val="³»¿ª¼­_(MEROX)15"/>
      <sheetName val="³»¿ª¼­_(NITROGEN)15"/>
      <sheetName val="³»¿ª¼­_(M4)15"/>
      <sheetName val="³»¿ª¼­_(CIVIL-4)15"/>
      <sheetName val="³»¿ª¼­_(CIVIL-6)15"/>
      <sheetName val="³»¿ª¼­_(CIVIL-7)15"/>
      <sheetName val="2002³â_ÇöÀå°ø»çºñ_±¹³»_½ÇÀû15"/>
      <sheetName val="2003³â±¹³»ÇöÀå°ø»çºñ_½ÇÀû15"/>
      <sheetName val="내역서_耰&quot;_x005f_x005f_x005f_x0000__x005f_x005f_x0015"/>
      <sheetName val="2_2_STAFF_Scedule15"/>
      <sheetName val="Man_Hole15"/>
      <sheetName val="7__월별투입내역서15"/>
      <sheetName val="계측_내역서15"/>
      <sheetName val="내역서_耰&quot;_x005f_x005f_x005f_x005f_x005f_x005f_x00015"/>
      <sheetName val="Z-_GENERAL_PRICE_SUMMARY15"/>
      <sheetName val="_Estimate__15"/>
      <sheetName val="T_315"/>
      <sheetName val="Sheet1_(2)16"/>
      <sheetName val="HORI__VESSEL15"/>
      <sheetName val="EQUIP_LIST15"/>
      <sheetName val="BM_DATA_SHEET16"/>
      <sheetName val="Vind_-_BtB15"/>
      <sheetName val="LV_induction_motors15"/>
      <sheetName val="BSD_(2)15"/>
      <sheetName val="Precios_Unitarios15"/>
      <sheetName val="Administrative_Prices15"/>
      <sheetName val="WBS_4415"/>
      <sheetName val="WBS_4115"/>
      <sheetName val="Precios_por_Administración15"/>
      <sheetName val="Subcon_A15"/>
      <sheetName val="내역서_耰&quot;_x005f_x005f_x005f_x005f_x005f_x005f_x00515"/>
      <sheetName val="MP_MOB15"/>
      <sheetName val="Form_B15"/>
      <sheetName val="Monthly_Load15"/>
      <sheetName val="Weekly_Load15"/>
      <sheetName val="[SANDAN_XLS??15"/>
      <sheetName val="breakdown_of_wage_rate15"/>
      <sheetName val="Indirect_Cost15"/>
      <sheetName val="97_사업추정(WEKI)15"/>
      <sheetName val="Eq__Mobilization15"/>
      <sheetName val="Piping_BQ_for_one_turbine15"/>
      <sheetName val="Material_Selections15"/>
      <sheetName val="Resource_table15"/>
      <sheetName val="Utility_and_Fire_flange15"/>
      <sheetName val="Heavy_Equipments15"/>
      <sheetName val="AG_Pipe_Qty_Analysis15"/>
      <sheetName val="_SANDAN_XLS__15"/>
      <sheetName val="입찰내역_발주처_양식15"/>
      <sheetName val="Equipment_List15"/>
      <sheetName val="Form1_SQP15"/>
      <sheetName val="공정계획(내부계획25%,내부w_f)15"/>
      <sheetName val="FWBS_153014"/>
      <sheetName val="Fire_Protection15"/>
      <sheetName val="SFN_ORIG15"/>
      <sheetName val="내역서_(∮ἀ嘆ɶ14"/>
      <sheetName val="w't_table15"/>
      <sheetName val="SCHEDD_TAMBAHAN15"/>
      <sheetName val="Dir_Manpower_Other_Exp_15"/>
      <sheetName val="실행예산_MM14"/>
      <sheetName val="MODULE_CONFIRM14"/>
      <sheetName val="ITB_COST15"/>
      <sheetName val="4-3LEVEL-5_epic_414"/>
      <sheetName val="단가_(2)14"/>
      <sheetName val="BOQ-B_DOWN14"/>
      <sheetName val="내역서1999_8최종10"/>
      <sheetName val="Cash_In-Cash_Out_Actual14"/>
      <sheetName val="PROTECTION_14"/>
      <sheetName val="plan&amp;section_of_foundation11"/>
      <sheetName val="working_load_at_the_btm_ft_11"/>
      <sheetName val="stability_check11"/>
      <sheetName val="design_load11"/>
      <sheetName val="Updating_Form-Oct_201110"/>
      <sheetName val="Weld_Consumable10"/>
      <sheetName val="NDE_Cost-Summary10"/>
      <sheetName val="9July_Above_Ground_Pipe10"/>
      <sheetName val="M_1110"/>
      <sheetName val="Process_Data_110"/>
      <sheetName val="TDC_COA_Sumry10"/>
      <sheetName val="TDC_Item_Dets10"/>
      <sheetName val="TDC_Item_Sumry10"/>
      <sheetName val="TDC_Key_Qty_Sumry10"/>
      <sheetName val="List_-_Components10"/>
      <sheetName val="List_-_Equipment10"/>
      <sheetName val="COA_Sumry_-_Std_Imp10"/>
      <sheetName val="Contr_TDC_-_Std_Imp10"/>
      <sheetName val="Item_Sumry_-_Std_Imp10"/>
      <sheetName val="Unit_Costs_-_Std_Imp10"/>
      <sheetName val="Unit_MH_-_Std_Imp10"/>
      <sheetName val="Proj_TIC_-_Std_Imp10"/>
      <sheetName val="PROJECT_BRIEF10"/>
      <sheetName val="Unit_Price_10"/>
      <sheetName val="CUADRO_DE_PRECIOS14"/>
      <sheetName val="Closeout_Control10"/>
      <sheetName val="Site_Findings_Status_Sheet10"/>
      <sheetName val="Sum_(Case-3)10"/>
      <sheetName val="Man_Power_&amp;_Comp10"/>
      <sheetName val="Data_List10"/>
      <sheetName val="4-Basic_Price10"/>
      <sheetName val="Evaluasi_Penw10"/>
      <sheetName val="Currency_Rate10"/>
      <sheetName val="1100-1200-1300-1910-2140-LEV_10"/>
      <sheetName val="5_)_Time_Delays10"/>
      <sheetName val="Material_Price16"/>
      <sheetName val="내역서_耰&quot;_x005f_x005f_x005f_x0000_10"/>
      <sheetName val="내역서_耰&quot;_x005f_x005f_x005f_x005f_10"/>
      <sheetName val="내역서_耰&quot;_x005f_x0000__x000011"/>
      <sheetName val="할증_10"/>
      <sheetName val="RAB_AR&amp;STR10"/>
      <sheetName val="Unt_rate10"/>
      <sheetName val="SUMMARY_(0A)10"/>
      <sheetName val="SUMMARY_(1A)10"/>
      <sheetName val="SUMMARY_(1B)10"/>
      <sheetName val="SUMMARY_(03)10"/>
      <sheetName val="F1(Cable_Rack)10"/>
      <sheetName val="F2(Cable_Rack)10"/>
      <sheetName val="F3(Cable_Rack)10"/>
      <sheetName val="F1_(POLYMER)10"/>
      <sheetName val="F2_(POLYMER)10"/>
      <sheetName val="F3_(POLYMER)10"/>
      <sheetName val="F4_(POLYMER)10"/>
      <sheetName val="F5(_Polymerization_)10"/>
      <sheetName val="F6_(_Polymerization_)10"/>
      <sheetName val="B1_(Grid_A-7,_-6)10"/>
      <sheetName val="B1_(Grid_A,_B)10"/>
      <sheetName val="B1_(Grid_C-7,_-6)10"/>
      <sheetName val="B2_(Grid_-7_B,_C)_(1)10"/>
      <sheetName val="B2_(Grid_-7_B,_C)_(2)10"/>
      <sheetName val="B2_(Grid_-6_B,_C)_(1)10"/>
      <sheetName val="B2_(Grid_-6_B,_C)_(2)10"/>
      <sheetName val="F1_(MONOMER)10"/>
      <sheetName val="F2_(MONOMER)10"/>
      <sheetName val="F3_(MONOMER)10"/>
      <sheetName val="90K060C_(MONOMER)10"/>
      <sheetName val="F1_(EXTRUSION)10"/>
      <sheetName val="F2_(EXTRUSION)10"/>
      <sheetName val="F3_(EXTRUSION)10"/>
      <sheetName val="F4_(EXTRUSION)10"/>
      <sheetName val="F5_(EXTRUSION)10"/>
      <sheetName val="F6A_(EXTRUSION)10"/>
      <sheetName val="F6D_(EXTRUSION)10"/>
      <sheetName val="F7_(EXTRUSION)10"/>
      <sheetName val="F8_(EXTRUSION)10"/>
      <sheetName val="F9_(EXTRUSION)10"/>
      <sheetName val="F10_(EXTRUSION)10"/>
      <sheetName val="F11_(EXTRUSION)10"/>
      <sheetName val="B1_(Grid_F-5`,_4`)10"/>
      <sheetName val="B2_(Grid_F,E-4`)10"/>
      <sheetName val="B2_(Grid_F,E-5`)10"/>
      <sheetName val="B3_(Grid_C,B-4`)10"/>
      <sheetName val="B4_(Grid_B,A-4`)10"/>
      <sheetName val="B5_(Grid_E-5`)_&amp;_(Grid_D-5`)10"/>
      <sheetName val="B6_(Grid_E,D-5')10"/>
      <sheetName val="B7_(Grid_E,D-5')10"/>
      <sheetName val="95D040,_A50610"/>
      <sheetName val="95P040AB,_A50710"/>
      <sheetName val="95X020-U08,_A60210"/>
      <sheetName val="95X020-U07,_A60610"/>
      <sheetName val="95E040,_A50910"/>
      <sheetName val="95D024;025,_A61510"/>
      <sheetName val="95X020-U05,_A60110"/>
      <sheetName val="95X020-U02,_A20410"/>
      <sheetName val="Extruder_FDN10"/>
      <sheetName val="BOG_COMP__FDN10"/>
      <sheetName val="SOG_COMP__FDN10"/>
      <sheetName val="1G1_(Ground_Beam)10"/>
      <sheetName val="1G2-1(Ground_Beam)10"/>
      <sheetName val="1G2-2(Ground_Beam)10"/>
      <sheetName val="P15,_1610"/>
      <sheetName val="LO_CONSOLE_FDN10"/>
      <sheetName val="OIL_COOLER_FDN10"/>
      <sheetName val="CW_CONSOLE_FDN_(SOG)10"/>
      <sheetName val="PD3_(SOG)10"/>
      <sheetName val="SF1_(SOG)10"/>
      <sheetName val="SF2_(SOG)10"/>
      <sheetName val="SLAB_(1S1-1)10"/>
      <sheetName val="SLAB_(1S1-2)10"/>
      <sheetName val="SLAB_(1S1-3)10"/>
      <sheetName val="COLUMN_(+5500)10"/>
      <sheetName val="COLUMN_(+12500)10"/>
      <sheetName val="COLUMN_(+15500)10"/>
      <sheetName val="ETC_10"/>
      <sheetName val="Tools_&amp;_Settings10"/>
      <sheetName val="Data_Summary10"/>
      <sheetName val="Crew_Costs10"/>
      <sheetName val="Spread_Costs10"/>
      <sheetName val="Unique_List_Misc10"/>
      <sheetName val="UP_MINOR10"/>
      <sheetName val="Equip_Rental_Summary_by_Contr10"/>
      <sheetName val="Project_Equip_Rental_Summary10"/>
      <sheetName val="Contractor_Indirect_Sumry10"/>
      <sheetName val="Project_Indirect_Sumry10"/>
      <sheetName val="COA_Sumry_by_Area10"/>
      <sheetName val="COA_Sumry_by_Contr10"/>
      <sheetName val="COA_Sumry_by_RG10"/>
      <sheetName val="TDC_COA_Grp_Sumry10"/>
      <sheetName val="TDC_COA_Grp_Sumry_by_Area10"/>
      <sheetName val="TDC_COA_Grp_Sumry_by_RG10"/>
      <sheetName val="Equipment_Sumry10"/>
      <sheetName val="TDC_Item_Dets-Full10"/>
      <sheetName val="TDC_Item_Dets-IPM-Full10"/>
      <sheetName val="TDC_Item_Sumry_by_Area10"/>
      <sheetName val="TDC_Item_Sumry_by_RG10"/>
      <sheetName val="TDC_Key_Qty_Sumry_by_RG10"/>
      <sheetName val="List_-_Equipment_by_Area10"/>
      <sheetName val="List_-_Equipment_by_Contr10"/>
      <sheetName val="Equipment_-_Unit_Costs_by_Mat10"/>
      <sheetName val="List_-_Equipment_by_Rep_Grp10"/>
      <sheetName val="Craft_Summary_by_Contr10"/>
      <sheetName val="Project_Craft_Summary10"/>
      <sheetName val="Project_Metrics10"/>
      <sheetName val="99__FWBS(Ref)10"/>
      <sheetName val="99__Change_Rate10"/>
      <sheetName val="Item_code10"/>
      <sheetName val="In-House_Summary10"/>
      <sheetName val="2__현장_자금투입_집계표10"/>
      <sheetName val="_도면_및_도서_제출목록_및_일정_170202_xls10"/>
      <sheetName val="Direct_PMS10"/>
      <sheetName val="Aux_10"/>
      <sheetName val="Codes_Pers10"/>
      <sheetName val="Rates_&amp;_Legend10"/>
      <sheetName val="Discounted_Cash_Flow10"/>
      <sheetName val="Ocean_Transporation_Charge10"/>
      <sheetName val="Cash_Flow_bulanan10"/>
      <sheetName val="H_Satuan10"/>
      <sheetName val="OCT_FDN10"/>
      <sheetName val="Exchange_Rate10"/>
      <sheetName val="General_Notes10"/>
      <sheetName val="BO䁑-B_䁄OWN10"/>
      <sheetName val="Pengesahan_10"/>
      <sheetName val="차트_(2)10"/>
      <sheetName val="00-Summary_Information-ABB9"/>
      <sheetName val="PABS,Site_info9"/>
      <sheetName val="Harga_Satuan10"/>
      <sheetName val="F_ALARM10"/>
      <sheetName val="DATA_MENTAH9"/>
      <sheetName val="2_Overall_Summary_9"/>
      <sheetName val="Bill_rekap10"/>
      <sheetName val="breakdown_of_wage_ra9"/>
      <sheetName val="breakdown_of_wage_ra`f9"/>
      <sheetName val="__10"/>
      <sheetName val="_10"/>
      <sheetName val="breakdown_of_wage_rað-9"/>
      <sheetName val="breakdown_of_wage_rap9"/>
      <sheetName val="내역서_耰&quot;_x005f_x0000_10"/>
      <sheetName val="내역서_耰&quot;_x005f_x005f_10"/>
      <sheetName val="Process_Data_(2)10"/>
      <sheetName val="breakdown_of_wage_ra9"/>
      <sheetName val="Raw_data9"/>
      <sheetName val="내역서_(N____x000a_10"/>
      <sheetName val="0__Resource　Code9"/>
      <sheetName val="Material_code9"/>
      <sheetName val="TQ_Format8"/>
      <sheetName val="내역서_耰&quot;14"/>
      <sheetName val="SUM_8"/>
      <sheetName val="Distribution_Table9"/>
      <sheetName val="HO_Site_Rates-20119"/>
      <sheetName val="Particular_Sch9"/>
      <sheetName val="내역서_耰&quot;_9"/>
      <sheetName val="DROP_DOWN9"/>
      <sheetName val="Al_Taweelah9"/>
      <sheetName val="Air_Cooler-E9"/>
      <sheetName val="Action_Item9"/>
      <sheetName val="ID_CD9"/>
      <sheetName val="Equipment_Spec_List9"/>
      <sheetName val="개시대사_(2)9"/>
      <sheetName val="SPEC_LIST(EQUP,_SYS)9"/>
      <sheetName val="Linelist_LNGC_Process9"/>
      <sheetName val="리스크_분류체계7"/>
      <sheetName val="SECL_리스크_분류체계_(2)7"/>
      <sheetName val="INPUT_DATA_OF_SCHEDULE7"/>
      <sheetName val="Cashflow_Analysis7"/>
      <sheetName val="breakdown_of_wage_raÐ¾8"/>
      <sheetName val="Additional_data8"/>
      <sheetName val="11_자재단가7"/>
      <sheetName val="LIFE_&amp;_REP_PROVN7"/>
      <sheetName val="O&amp;M_CREW7"/>
      <sheetName val="Schedule_7"/>
      <sheetName val="Loading_Struc7"/>
      <sheetName val="Loading_Pip7"/>
      <sheetName val="Loading_Overall_(BASE_Proposal7"/>
      <sheetName val="Steel_Structure7"/>
      <sheetName val="PIPING_AG-UG_NEW_UNITS7"/>
      <sheetName val="MEC_PIPING_PREFABR7"/>
      <sheetName val="Working_File-Pip7"/>
      <sheetName val="Equip_ISBL_&amp;_OSBL_7"/>
      <sheetName val="33628-Rev__A7"/>
      <sheetName val="14-Eng_rate7"/>
      <sheetName val="Attach_4-187"/>
      <sheetName val="OIL_SEPARATOR7"/>
      <sheetName val="CATCH_BASIN7"/>
      <sheetName val="FW_Post_Indicator_Valve_24&quot;7"/>
      <sheetName val="FW_Post_Indicator_Valve_20&quot;7"/>
      <sheetName val="FW_Post_Indicator_Valve_6&quot;7"/>
      <sheetName val="Fire_Monitor_or_Hydrant_6&quot;_FDN7"/>
      <sheetName val="SUMP_VB7"/>
      <sheetName val="CLEANOUT_4&quot;7"/>
      <sheetName val="Not_reqd7"/>
      <sheetName val="호환성_보고서7"/>
      <sheetName val="Finansal_tamamlanma_Eğrisi7"/>
      <sheetName val="Master_List7"/>
      <sheetName val="Scheme_Area_Details_Block___C27"/>
      <sheetName val="Admin_Manu_2-Equipment_Type_ID7"/>
      <sheetName val="SUMMARY_MTO_02_2_356"/>
      <sheetName val="N_G_METERING_CALC_6"/>
      <sheetName val="N_G_METERING6"/>
      <sheetName val="N_G_METERING_(2)6"/>
      <sheetName val="CUMENE_METERING6"/>
      <sheetName val="N2_METERING_6"/>
      <sheetName val="H2_METERING__6"/>
      <sheetName val="CO_METERING6"/>
      <sheetName val="Tender_data7"/>
      <sheetName val="Activity_Form7"/>
      <sheetName val="GM_0007"/>
      <sheetName val="일위대가_7"/>
      <sheetName val="Cash_Flow7"/>
      <sheetName val="Direct_Histogram_Rev__A_(f)7"/>
      <sheetName val="광통신_견적내역서17"/>
      <sheetName val="내역서_(∮ἀ嘆ɶ?᠀㬁?7"/>
      <sheetName val="Fig_4-147"/>
      <sheetName val="Itembalance_Report_(18-sep-18)7"/>
      <sheetName val="BUDGET_SUMMARY_7"/>
      <sheetName val="1_설계기준7"/>
      <sheetName val="5__월별투입내역서7"/>
      <sheetName val="Att-1_CTCI_MH_rate7"/>
      <sheetName val="REF_for_VV7"/>
      <sheetName val="Bill_4_7_Predestain_Bridge_5"/>
      <sheetName val="Bill_4_7_Predestain5"/>
      <sheetName val="1_1_FT_type_15"/>
      <sheetName val="1_2_FT_type_1A5"/>
      <sheetName val="1_3_FT_type_25"/>
      <sheetName val="1_4_FT_type_35"/>
      <sheetName val="1_5_FT_type_45"/>
      <sheetName val="2_1_CL_Outside5"/>
      <sheetName val="2_2_CL_Inside5"/>
      <sheetName val="2_3_CL_Ramp5"/>
      <sheetName val="3_1_CB_Outside5"/>
      <sheetName val="3_2_CB_Inside5"/>
      <sheetName val="4_Stair5"/>
      <sheetName val="5_Ramp5"/>
      <sheetName val="6_Handrail5"/>
      <sheetName val="Invoice_(Interim_No_28)5"/>
      <sheetName val="Cost_Summary5"/>
      <sheetName val="Direct_Cost5"/>
      <sheetName val="Direct_Cost_(2)5"/>
      <sheetName val="Summary_(3)5"/>
      <sheetName val="Indirect_Cost_Summary5"/>
      <sheetName val="List_register7"/>
      <sheetName val="TR_Rev_vs_Commit5"/>
      <sheetName val="TR_+MMHE_PL_report5"/>
      <sheetName val="P23P2724___Commitment_5"/>
      <sheetName val="설산1_나7"/>
      <sheetName val="Analisa_Fave7"/>
      <sheetName val="Harsat_Bahan7"/>
      <sheetName val="Harsat_Subkon7"/>
      <sheetName val="Harsat_Upah7"/>
      <sheetName val="Master_1_07"/>
      <sheetName val="Agregat_Halus_&amp;_Kasar7"/>
      <sheetName val="HARGA_MATERIAL7"/>
      <sheetName val="Harga_Sat_APP7"/>
      <sheetName val="Tgh_JGC-Inv_I_clp7"/>
      <sheetName val="PCS_7"/>
      <sheetName val="Progress_Statement-SI7"/>
      <sheetName val="Progress_Payment-31107"/>
      <sheetName val="Perm__Test7"/>
      <sheetName val="Galian_17"/>
      <sheetName val="Analisa_Lump_sum7"/>
      <sheetName val="Sec_I_ML7"/>
      <sheetName val="dongia_(2)7"/>
      <sheetName val="BM_#17"/>
      <sheetName val="Weekl_8"/>
      <sheetName val="내역서_(N____23"/>
      <sheetName val="__x07"/>
      <sheetName val="OPT_8"/>
      <sheetName val="내역서_(N__x007"/>
      <sheetName val="Tables_3_1_to_3_5_EXH_G7"/>
      <sheetName val="64_47"/>
      <sheetName val="64_57"/>
      <sheetName val="36_27"/>
      <sheetName val="36_17"/>
      <sheetName val="Cost_Code7"/>
      <sheetName val="Data_Ref7"/>
      <sheetName val="Interdept_Rate7"/>
      <sheetName val="INSTLIST_17"/>
      <sheetName val="P-Ins_&amp;_Bonds7"/>
      <sheetName val="EQUIPOS_DE_SEGURIDAD7"/>
      <sheetName val="MATERIALES_CONSUMIBLES7"/>
      <sheetName val="PERSONAL_INDIRECTO_7"/>
      <sheetName val="Land_Dev't__Ph-119"/>
      <sheetName val="4300_UTILITY_BLDG_(2)7"/>
      <sheetName val="SPT_vs_PHI6"/>
      <sheetName val="1_자금요약6"/>
      <sheetName val="2_실행비투입6"/>
      <sheetName val="3_본사집계6"/>
      <sheetName val="3-1_본사투입6"/>
      <sheetName val="4_지사집계6"/>
      <sheetName val="4-1_지사투입6"/>
      <sheetName val="5_현장총집계6"/>
      <sheetName val="5-1_현금집계6"/>
      <sheetName val="5-2_현금출납6"/>
      <sheetName val="5-3_외상집계6"/>
      <sheetName val="5-4_외상투입6"/>
      <sheetName val="6_미지급금6"/>
      <sheetName val="5-5_기타공제집계6"/>
      <sheetName val="5-6_기타공제6"/>
      <sheetName val="7_기성현황(실)6"/>
      <sheetName val="8_한국인수당6"/>
      <sheetName val="8_한국인수당_(Master_file)6"/>
      <sheetName val="9_기타수입6"/>
      <sheetName val="10_투입집계6"/>
      <sheetName val="5-4_외상투입_(2)6"/>
      <sheetName val="16_기성현황(예)6"/>
      <sheetName val="17_자금요약26"/>
      <sheetName val="18_실행대비투입26"/>
      <sheetName val="05__Curva_S6"/>
      <sheetName val="Payment_Certificate-16"/>
      <sheetName val="Floor_wet6"/>
      <sheetName val="Floor_Balcony6"/>
      <sheetName val="Hard_scape_Floor6"/>
      <sheetName val="P03_Skirting6"/>
      <sheetName val="GF_wall6"/>
      <sheetName val="Kitchen_Wall_wet_LIN-7016"/>
      <sheetName val="Wall_wet_LIN-601_6"/>
      <sheetName val="BOQ_(2)6"/>
      <sheetName val="VO_Schedule-16"/>
      <sheetName val="HOLD_AMOUNT6"/>
      <sheetName val="Back_Charge_(2)6"/>
      <sheetName val="Temporary_Deductions-1_6"/>
      <sheetName val="Contracharges_Check_list-1_6"/>
      <sheetName val="PC_036"/>
      <sheetName val="Measurement_sheet6"/>
      <sheetName val="Material_Only6"/>
      <sheetName val="Man_power_supply6"/>
      <sheetName val="Camp_Deduction6"/>
      <sheetName val="Enron_Form6"/>
      <sheetName val="IRR_sponsor6"/>
      <sheetName val="4-Lane_bridge19"/>
      <sheetName val="Consortium_VP6"/>
      <sheetName val="Summary_MONTH6"/>
      <sheetName val="DESICON_SUM6"/>
      <sheetName val="DES_TCF_Rental6"/>
      <sheetName val="DES_TCF_Maints_pers6"/>
      <sheetName val="DES_TCF_Heavy_Equipment6"/>
      <sheetName val="BANK_BOND6"/>
      <sheetName val="PHC_WAREHOUSE_-_INFOONLY6"/>
      <sheetName val="CATERING_CONTROL6"/>
      <sheetName val="SUB_CONTRACT6"/>
      <sheetName val="SPDC_-_INFONLY6"/>
      <sheetName val="VENDOR_SCHEDUL6"/>
      <sheetName val="VENDOR_PRESENCE_-_COMM6"/>
      <sheetName val="VENDOR_PRESENCE_-_RECH6"/>
      <sheetName val="VENDOR_PRESENCE_-_COMM_6"/>
      <sheetName val="CONTRACT_RATES6"/>
      <sheetName val="Sch_66"/>
      <sheetName val="2013电气概算_价目表_(营改增调整)6"/>
      <sheetName val="สรุปยอดเหล็กตาม_Cost_Record_VY5"/>
      <sheetName val="แนบ_PR5"/>
      <sheetName val="OR21_Final_Forecast_Rev_25"/>
      <sheetName val="Summary_Forecast_Budget_1&amp;25"/>
      <sheetName val="Summary_Forecast_Budget_Rev_25"/>
      <sheetName val="Backup_OR21_5"/>
      <sheetName val="Budget_for_ENT5"/>
      <sheetName val="ADJ__D-Wall&amp;BR_Ent__Rev_2_15"/>
      <sheetName val="Rebar+Conพื้น_Waste10%5"/>
      <sheetName val="Backup_D-Wall_Ent__13_07_195"/>
      <sheetName val="Backup_BR_ENT__13_07_195"/>
      <sheetName val="Final_Forecast_721115"/>
      <sheetName val="IMP_OR21_2019_07_115"/>
      <sheetName val="Concrete_721125"/>
      <sheetName val="หินเกล็ด_5"/>
      <sheetName val="เปรียบเทียบBudget_BR_5"/>
      <sheetName val="ADJ__BR_Ent__Rev_2_1_(2)5"/>
      <sheetName val="แผนงานBarrette_Pile5"/>
      <sheetName val="BOQ__VI_03_09_19_5"/>
      <sheetName val="Backup_BR_BMA5"/>
      <sheetName val="Sum_Budget&amp;Rev_15"/>
      <sheetName val="Sum_Budget_Rev_15"/>
      <sheetName val="Sum_Budget&amp;Rev_1_Rebar5"/>
      <sheetName val="Sum_Budget_Rev_2_Rebar5"/>
      <sheetName val="Rebar+Conพื้น_Waste10%_Rev_005"/>
      <sheetName val="Rebar+Conพื้น_Waste10%_Rev_01_5"/>
      <sheetName val="Equip_Rev_00_Budget5"/>
      <sheetName val="Budget_Waterpoofing5"/>
      <sheetName val="1_11_b5"/>
      <sheetName val="Precios_Unitariԯ6"/>
      <sheetName val="SPEC(CABLE_&amp;_WIRE)5"/>
      <sheetName val="RESUMEN_CD5"/>
      <sheetName val="BOQ_REV65"/>
      <sheetName val="Maliyet_Ozet5"/>
      <sheetName val="1_1-1_25"/>
      <sheetName val="1_3-_1_45"/>
      <sheetName val="3_15"/>
      <sheetName val="3_25"/>
      <sheetName val="4_1(a)5"/>
      <sheetName val="4_1(b)5"/>
      <sheetName val="4_1_(c)5"/>
      <sheetName val="5_15"/>
      <sheetName val="내역서_(N____110"/>
      <sheetName val="6_공정표5"/>
      <sheetName val="List_Equip6"/>
      <sheetName val="Process_C_(1-166)6"/>
      <sheetName val="TRUCK_HAUL_CYCLE-waste6"/>
      <sheetName val="Existing_PC_Pavement6"/>
      <sheetName val="Master_Data6"/>
      <sheetName val="ind'l_cp6"/>
      <sheetName val="LAST_UPDATE6"/>
      <sheetName val="0_품의서(전체)6"/>
      <sheetName val="3_부제O호표5"/>
      <sheetName val="5_소모재료비5"/>
      <sheetName val="8_시멘트제원표5"/>
      <sheetName val="2_품제O호표5"/>
      <sheetName val="본부_SHOP5"/>
      <sheetName val="#6_MDU_일반5"/>
      <sheetName val="#6_MDU엄반장5"/>
      <sheetName val="#6MDU_기계5"/>
      <sheetName val="HOU_COMP`5"/>
      <sheetName val="FCC_OBL-SHOP5"/>
      <sheetName val="NEW_FCC_OBL5"/>
      <sheetName val="#4_MDU5"/>
      <sheetName val="#6_SHOP5"/>
      <sheetName val="NRC_OBL-조연식5"/>
      <sheetName val="광양-조연식_반장5"/>
      <sheetName val="#5MDU_REV5"/>
      <sheetName val="LBO_PROJECT5"/>
      <sheetName val="VENDOR_LIST5"/>
      <sheetName val="BOP_LINE_LIST5"/>
      <sheetName val="5__Work_load(현재원기준)7"/>
      <sheetName val="A__ENGINEERING5"/>
      <sheetName val="B-1__배관자재5"/>
      <sheetName val="B-2__전기자재5"/>
      <sheetName val="B-3__계장자재5"/>
      <sheetName val="B-4__기계자재5"/>
      <sheetName val="C-1__공통가설5"/>
      <sheetName val="C-2__토목5"/>
      <sheetName val="C-4__철골5"/>
      <sheetName val="C-5__기계5"/>
      <sheetName val="C-6__배관5"/>
      <sheetName val="C-7__전기5"/>
      <sheetName val="C-8__계장5"/>
      <sheetName val="C-9__중장비5"/>
      <sheetName val="C-10__소방설비5"/>
      <sheetName val="C-11__보온5"/>
      <sheetName val="C-12__CMS5"/>
      <sheetName val="Equipt_Rental5"/>
      <sheetName val="EQ_USED_(CORRECTED)5"/>
      <sheetName val="Rebar_Constant5"/>
      <sheetName val="CONCRETE_TYPE5"/>
      <sheetName val="Other_data6"/>
      <sheetName val="External_Issues5"/>
      <sheetName val="ABB_Summary5"/>
      <sheetName val="Man_power_rate5"/>
      <sheetName val="Const_equip_rate5"/>
      <sheetName val="01-Gang_Rate_&amp;_Info5"/>
      <sheetName val="05-Sum_Cost5"/>
      <sheetName val="06-Indirect_Loading5"/>
      <sheetName val="07-Heavy_Equipment5"/>
      <sheetName val="08-RR_Check_List5"/>
      <sheetName val="1)_Risk_and_Opportunities5"/>
      <sheetName val="2)_Full_Cost_Calculation5"/>
      <sheetName val="Vehicle_Log5"/>
      <sheetName val="Statprod_gab6"/>
      <sheetName val="L_16"/>
      <sheetName val="동상부_Tact_기준_반입일정_및_수량_02175"/>
      <sheetName val="5_Cennik6"/>
      <sheetName val="tblg_denda6"/>
      <sheetName val="_토목_처리장도급내역서_5"/>
      <sheetName val="G_R300경비5"/>
      <sheetName val="AS포장복구_5"/>
      <sheetName val="중기조종사_단위단가5"/>
      <sheetName val="설_계5"/>
      <sheetName val="Equip_Mstr_FOR_3A15"/>
      <sheetName val="F1_45"/>
      <sheetName val="내역서_(∮ἀ嘆ɶ_᠀㬁_6"/>
      <sheetName val="M&amp;E_Summary5"/>
      <sheetName val="rev_summary5"/>
      <sheetName val="M&amp;E_Prelims5"/>
      <sheetName val="B-FP_(2)5"/>
      <sheetName val="Sch_15"/>
      <sheetName val="Manpower_Categories5"/>
      <sheetName val="Garph_Work-Cost5"/>
      <sheetName val="Scaffolding_Volume2"/>
      <sheetName val="Rekap_Biaya4"/>
      <sheetName val="Kuantitas_&amp;_Harga4"/>
      <sheetName val="Nopember_(2)4"/>
      <sheetName val="GRAND_REKAP4"/>
      <sheetName val="analisa_(2)4"/>
      <sheetName val="Analisa_24"/>
      <sheetName val="LRK_5"/>
      <sheetName val="MASTER_RATE_ANALYSIS5"/>
      <sheetName val="MN_T_B_5"/>
      <sheetName val="INDIGINEOUS_ITEMS_5"/>
      <sheetName val="Core_Data5"/>
      <sheetName val="final_abstract5"/>
      <sheetName val="InD_Mpower5"/>
      <sheetName val="P_Staff_fac4"/>
      <sheetName val="beam-reinft-IIInd_floor4"/>
      <sheetName val="P-Site_fac4"/>
      <sheetName val="P-Clients_fac4"/>
      <sheetName val="Eng_Hrs_(HO)4"/>
      <sheetName val="원가조정_내역4"/>
      <sheetName val="InsertListDrawing_1_4"/>
      <sheetName val="Analisa_(ok_punya)4"/>
      <sheetName val="Up_&amp;_bhn4"/>
      <sheetName val="HRG_BHN4"/>
      <sheetName val="Alat_(2)4"/>
      <sheetName val="Ramp_data4"/>
      <sheetName val="Lower_Ground4"/>
      <sheetName val="Cap_Cost4"/>
      <sheetName val="RLV_Calc4"/>
      <sheetName val="Costs_(dev)4"/>
      <sheetName val="Bluewater_NPV_-_sell_January4"/>
      <sheetName val="Upper_Ground4"/>
      <sheetName val="PARK_NE4"/>
      <sheetName val="Financial_Summary4"/>
      <sheetName val="D&amp;C_Calcs4"/>
      <sheetName val="CA_Upside_Downside_Old4"/>
      <sheetName val="EASEL_CA_Example4"/>
      <sheetName val="Urai__Resap_pengikat4"/>
      <sheetName val="DAF_HRG4"/>
      <sheetName val="7_공정표4"/>
      <sheetName val="Kolom_UT4"/>
      <sheetName val="HB_4"/>
      <sheetName val="Memb_Schd4"/>
      <sheetName val="Coef_et_données4"/>
      <sheetName val="MFG_&amp;_DEL4"/>
      <sheetName val="P2-Project_Data4"/>
      <sheetName val="a_h_ars_sum4"/>
      <sheetName val="a_h_ars4"/>
      <sheetName val="Insulation_1501085"/>
      <sheetName val="PLSt_03__1"/>
      <sheetName val="П_7_курс_аванса1"/>
      <sheetName val="IncStat_03-041"/>
      <sheetName val="IncStat_03__1"/>
      <sheetName val="Авансы_по_СНГ1"/>
      <sheetName val="Sheet_142"/>
      <sheetName val="Raw_Ref1"/>
      <sheetName val="Cost_Codes1"/>
      <sheetName val="Addendum_No_1_BILL_22"/>
      <sheetName val="Code_071"/>
      <sheetName val="JGSummit_Package_2_(CTCI)2"/>
      <sheetName val="내역서_(N____24"/>
      <sheetName val="Dsr_Hitung2"/>
      <sheetName val="Mat_Tower2"/>
      <sheetName val="RT13526_CPI2"/>
      <sheetName val="Inputs_-_Results2"/>
      <sheetName val="GENERAL_2"/>
      <sheetName val="Tank_Loading2"/>
      <sheetName val="Fdn_Calc2"/>
      <sheetName val="LATERAL_OCDI_BH-022"/>
      <sheetName val="Lateral_Broms2"/>
      <sheetName val="N-SPT_corr2"/>
      <sheetName val="Curve_N-SPT2"/>
      <sheetName val="COST_BD2"/>
      <sheetName val="MSP-Operator_Building-Area_C2"/>
      <sheetName val="ENE-CAL_13"/>
      <sheetName val="내역서_(N____25"/>
      <sheetName val="Monthly_S_Curve_SPK2"/>
      <sheetName val="Week_ending1"/>
      <sheetName val="Planners_Workload1"/>
      <sheetName val="Appendix_A1"/>
      <sheetName val="7_6_3_J_Inline_Instrument1"/>
      <sheetName val="-0_5_TABLA_PRESUPUESTOS3"/>
      <sheetName val="ﾄﾞﾊﾞｲFUEL_GAS追見3"/>
      <sheetName val="내역서_耰&quot;_x005f9"/>
      <sheetName val="MAY_00-Bobbins1"/>
      <sheetName val="2_2_띠장의_설계1"/>
      <sheetName val="(10)_Other_Costs51"/>
      <sheetName val="breakdown_of_FA1132"/>
      <sheetName val="combined_9-3027"/>
      <sheetName val="worksheet_inchican27"/>
      <sheetName val="combined_9_3027"/>
      <sheetName val="bar_chart-rev27"/>
      <sheetName val="MATERIAL'S_PRICE25"/>
      <sheetName val="Schedule_S-Curve_Revision#323"/>
      <sheetName val="PC_&amp;_PVS21"/>
      <sheetName val="2_223M_due_to_adj_profit16"/>
      <sheetName val="Inchican_Road_Accomplishment19"/>
      <sheetName val="Shut_down16"/>
      <sheetName val="bill_216"/>
      <sheetName val="sorksheet_inchican16"/>
      <sheetName val="sombined_9-3016"/>
      <sheetName val="PH_516"/>
      <sheetName val="remaining_billing16"/>
      <sheetName val="Hac_Lots16"/>
      <sheetName val="Res_Lots16"/>
      <sheetName val="Spine_Road16"/>
      <sheetName val="INPUT_DATA_HERE15"/>
      <sheetName val="option_Y115"/>
      <sheetName val="Summary_(overall)2"/>
      <sheetName val="Adimi_bldg2"/>
      <sheetName val="Pump_House2"/>
      <sheetName val="Fuel_Regu_Station2"/>
      <sheetName val="Footing_Tie_Beam2"/>
      <sheetName val="FINAL_NEGO2"/>
      <sheetName val="RFP_Codes2"/>
      <sheetName val="Bill_summary_of_cost2"/>
      <sheetName val="unit_price2"/>
      <sheetName val="Schedule_S-Curve_(new_scheme)2"/>
      <sheetName val="Fire_Suppression2"/>
      <sheetName val="tabulation_(comparison)2"/>
      <sheetName val="area_comp_2011_01_182"/>
      <sheetName val="Tabulation_1"/>
      <sheetName val="3_-RESOURCE_LIST1"/>
      <sheetName val="0_-SUMMARY1"/>
      <sheetName val="3_2_AUX1"/>
      <sheetName val="3_3_AUX-21"/>
      <sheetName val="GRAND_SUM1"/>
      <sheetName val="VCC_11110-4611"/>
      <sheetName val="C1_(calcolo)1"/>
      <sheetName val="5_5FWBS_CODE1"/>
      <sheetName val="Instrument_Proc1"/>
      <sheetName val="MTO_Civil_Work1"/>
      <sheetName val="Sched_3_(Construction)1"/>
      <sheetName val="Sched_1_(Engineering)1"/>
      <sheetName val="Sched_2_(Procurement_1"/>
      <sheetName val="JOB_Code1"/>
      <sheetName val="COVER_RECAP_INSTALL_(2)1"/>
      <sheetName val="Rekap_Summary1"/>
      <sheetName val="Rekap_Breakdown1"/>
      <sheetName val="Detail_Eng1"/>
      <sheetName val="Equiv_Length1"/>
      <sheetName val="Integrated-S_Curve1"/>
      <sheetName val="Bang_KL1"/>
      <sheetName val="Main_Control1"/>
      <sheetName val="Man_Power1"/>
      <sheetName val="pro_ra_op1"/>
      <sheetName val="analis_standar(8m)1"/>
      <sheetName val="ShareCapital_1"/>
      <sheetName val="내역서_(∮ἀ嘆ɶ_x005f_x0000_᠀㬁_x005f_x0000_1"/>
      <sheetName val="__x005f_x0000__x005f_x001b__x005f_x0000__x005f_x0006__2"/>
      <sheetName val="내역서_耰&quot;_x005f_x005f_x005f_x0000__x00005"/>
      <sheetName val="내역서_(N__x005f_x000e__x005f_x000e__x005f_x000e___1"/>
      <sheetName val="내역서_(N____x005f_x000a_4"/>
      <sheetName val="Bangunan_Utama1"/>
      <sheetName val="Hrg_Sat1"/>
      <sheetName val="Home_Office1"/>
      <sheetName val="Process_Piping1"/>
      <sheetName val="renc_mgn1"/>
      <sheetName val="내역서_耰&quot;_x005f_x0000__x005f_x005f_x00001"/>
      <sheetName val="Dinh_muc_CP_KTCB_khac1"/>
      <sheetName val="TH_May_TC1"/>
      <sheetName val="KLDT_DIEN1"/>
      <sheetName val="PTVT_DIEN1"/>
      <sheetName val="TH_kinh_phi1"/>
      <sheetName val="Thong_ke_thiet_bi1"/>
      <sheetName val="TH_vat_tu1"/>
      <sheetName val="A_SIS1"/>
      <sheetName val="gia_vt1"/>
      <sheetName val="1_BILL_MOI_THAU_CAN_THUONG1"/>
      <sheetName val="PHAN_NGAM1"/>
      <sheetName val="建筑定额_(2002)1"/>
      <sheetName val="ADI_Edison_Termoelettrica1"/>
      <sheetName val="BQ_Summary1"/>
      <sheetName val="Rekap_Analisa1"/>
      <sheetName val="ANALISA_PEK_UMUM1"/>
      <sheetName val="IN_OUT1"/>
      <sheetName val="내역서_ᢐ_x005f_x001f_1"/>
      <sheetName val="내역서_ᢐ_x005f_x001f__x005f_x0000__x005f_x0000_1"/>
      <sheetName val="Sat_Bah___Up1"/>
      <sheetName val="DATA_PROYEK1"/>
      <sheetName val="rab_me_(by_owner)_1"/>
      <sheetName val="BQ_(by_owner)1"/>
      <sheetName val="rab_me_(fisik)1"/>
      <sheetName val="LIST_ANHARSAT1"/>
      <sheetName val="p_mgmt"/>
      <sheetName val="Dati_base"/>
      <sheetName val="Asset_Mansys_Sum"/>
      <sheetName val="Job_List_(2)"/>
      <sheetName val="Constn_&amp;_Install_-_LEV_4"/>
      <sheetName val="LEV_4_Project_Managem"/>
      <sheetName val="Site_Management"/>
      <sheetName val="Manhrs_Sum"/>
      <sheetName val="BILL_11"/>
      <sheetName val="Step2_-&gt;_Mat__Cost1"/>
      <sheetName val="BG_Working_Sheet"/>
      <sheetName val="P__control1"/>
      <sheetName val="Costing_Detailed1"/>
      <sheetName val="Basic_Data_Inputs1"/>
      <sheetName val="TEMP_PROFILE1"/>
      <sheetName val="_선택_속성(잠금)1"/>
      <sheetName val="Drop-down_lists1"/>
      <sheetName val="Team_3_S-Curve1"/>
      <sheetName val="LV_induction_1"/>
      <sheetName val="Daily_Forwards1"/>
      <sheetName val="ANALISA_KONST_BTN"/>
      <sheetName val="uraian_analisa1"/>
      <sheetName val="8LT_121"/>
      <sheetName val="Basic_Price1"/>
      <sheetName val="VS_P-Q1"/>
      <sheetName val="집계표(2_안)1"/>
      <sheetName val="Harga_material_11"/>
      <sheetName val="Peralatan_(2)1"/>
      <sheetName val="Daily_Photo1"/>
      <sheetName val="Manpower_Status1"/>
      <sheetName val="MH_and_Unit_Cost1"/>
      <sheetName val="Material_Cost(as_per_Nation)1"/>
      <sheetName val="TH_VL,_NC,_DDHT_Thanhphuoc"/>
      <sheetName val="Project_Grading"/>
      <sheetName val="Fire_Fighting"/>
      <sheetName val="HARGA_DASAR"/>
      <sheetName val="KR2&amp;KVCM(MAR_1-6'99)"/>
      <sheetName val="RINC_hotel"/>
      <sheetName val="RINC_FIN_T4_"/>
      <sheetName val="RINC_FIN_T4___3_"/>
      <sheetName val="RINC_FIN_T4___2_"/>
      <sheetName val="Page_21"/>
      <sheetName val="Bilanz_Bus_plan_2002"/>
      <sheetName val="Mei_LD"/>
      <sheetName val="Data_Input"/>
      <sheetName val="Project_budget_BTS"/>
      <sheetName val="Well_Plan_1"/>
      <sheetName val="1_0_Criteria_New"/>
      <sheetName val="__x000a______x000a__"/>
      <sheetName val="_________"/>
      <sheetName val="_________1"/>
      <sheetName val="Weekl___x000a__"/>
      <sheetName val="_뻘N___"/>
      <sheetName val="__x000a___x0"/>
      <sheetName val="____x0"/>
      <sheetName val="7422CW_"/>
      <sheetName val="OPT____"/>
      <sheetName val="ANL_TEK_6"/>
      <sheetName val="HM_MEK_"/>
      <sheetName val="Bill_of_Qty"/>
      <sheetName val="ALAT2_(TDK_DIPAKAI)"/>
      <sheetName val="Fill_this_out_first___"/>
      <sheetName val="Perhitungan_RAB"/>
      <sheetName val="INPUT_DATAS"/>
      <sheetName val="ABK_04_AWALR+CO+TAB_RUPS"/>
      <sheetName val="9_58&quot;_single"/>
      <sheetName val="LV_induction_mot1"/>
      <sheetName val="Z-_GENERAL_PRIC橿⿂"/>
      <sheetName val="Z-_GENERAL_PRIC鋘@俀~橿⿂"/>
      <sheetName val="Z-_GENERAL_PRIC"/>
      <sheetName val="A-11_Steel_Str"/>
      <sheetName val="A-03_Pile"/>
      <sheetName val="CONS_"/>
      <sheetName val="Country_(kVA-Hz_)"/>
      <sheetName val="Materials_"/>
      <sheetName val="PAD_TR보호대기초"/>
      <sheetName val="Vind_-鴃宼蠀"/>
      <sheetName val="İnsan_Gücü"/>
      <sheetName val="1_집계표(일반전기)"/>
      <sheetName val="2_집계표(선행공사)"/>
      <sheetName val="3_집계표(소방공사)"/>
      <sheetName val="CABLE_TRAY"/>
      <sheetName val="아파트_기성내역서"/>
      <sheetName val="HaulingLine_hardware"/>
      <sheetName val="S_Curve"/>
      <sheetName val="Branch_Power"/>
      <sheetName val="C__letter_3rd_QT"/>
      <sheetName val="cespiti_cet2_piombino_(2)"/>
      <sheetName val="建筑工程统计表06月份_"/>
      <sheetName val="报价说明_(3)"/>
      <sheetName val="报价说明_(4)"/>
      <sheetName val="2_履约阶段供应链管理计划"/>
      <sheetName val="sis_xlm"/>
      <sheetName val="spot_prices"/>
      <sheetName val="Forma_E-17"/>
      <sheetName val="1999_BUDGET"/>
      <sheetName val="M_MM"/>
      <sheetName val="Batam_Forecast"/>
      <sheetName val="Batam_Forecast_jun"/>
      <sheetName val="Fabrication_Summary"/>
      <sheetName val="D6978_Mar_21_-_FProj07"/>
      <sheetName val="GEAC_-_Dec19"/>
      <sheetName val="COS_REP_XLS"/>
      <sheetName val="DIV_3"/>
      <sheetName val="DIV_9"/>
      <sheetName val="LOKASI_RIG_Litbang"/>
      <sheetName val="struktur_tdk_dipakai"/>
      <sheetName val="upah_bahan"/>
      <sheetName val="AnalisaSIPIL_RIIL"/>
      <sheetName val="Har_Sat"/>
      <sheetName val="Rek_Analisa"/>
      <sheetName val="HRG_BAHAN_&amp;_UPAH_okk"/>
      <sheetName val="TS_MINGGUAN_rev_(2)"/>
      <sheetName val="DAF_ALAT"/>
      <sheetName val="State_List"/>
      <sheetName val="sch_1_2"/>
      <sheetName val="B_10_(4)"/>
      <sheetName val="Rev_"/>
      <sheetName val="Sheet1_(4)"/>
      <sheetName val="샘플표지"/>
      <sheetName val="일위대가(가설)"/>
      <sheetName val="Tmp1"/>
      <sheetName val="B表"/>
      <sheetName val="チューブ仕様"/>
      <sheetName val="Breakdown Instrument"/>
      <sheetName val="XLR_NoRangeSheet"/>
      <sheetName val="Hujan BUlanan"/>
      <sheetName val="Gas Specific Gravities and GHV"/>
      <sheetName val="ELXX"/>
      <sheetName val="Bored Pile"/>
      <sheetName val="mat'ls"/>
      <sheetName val="03-13 Anticipated"/>
      <sheetName val="03-13 Approved"/>
      <sheetName val="hauling"/>
      <sheetName val="IS"/>
      <sheetName val="PR-BF"/>
      <sheetName val="CP_TU_AD"/>
      <sheetName val="SHL"/>
      <sheetName val="Pivot Table"/>
      <sheetName val="SUP-DET"/>
      <sheetName val="GRSummary"/>
      <sheetName val="WITHOUT C&amp;I PROFIT (3)"/>
      <sheetName val="CCD-SF-405"/>
      <sheetName val="Dynamic Query"/>
      <sheetName val="GENDATA Sht 1"/>
      <sheetName val="Issue Log "/>
      <sheetName val="Basic Rate"/>
      <sheetName val="PROG."/>
      <sheetName val="Calc Sheet"/>
      <sheetName val="ECA"/>
      <sheetName val="2. Steel Structural"/>
      <sheetName val="Material Groups"/>
      <sheetName val="Material Kind"/>
      <sheetName val="Unit of Measurement "/>
      <sheetName val="Projekt4"/>
      <sheetName val="Base_Data"/>
      <sheetName val="PipTable"/>
      <sheetName val="82巴基斯坦tapal"/>
      <sheetName val="Batam_Forecast2"/>
      <sheetName val="Batam_Forecast_jun2"/>
      <sheetName val="Fabrication_Summary2"/>
      <sheetName val="D6978_Mar_21_-_FProj072"/>
      <sheetName val="GEAC_-_Dec192"/>
      <sheetName val="Batam_Forecast1"/>
      <sheetName val="Batam_Forecast_jun1"/>
      <sheetName val="Fabrication_Summary1"/>
      <sheetName val="D6978_Mar_21_-_FProj071"/>
      <sheetName val="GEAC_-_Dec191"/>
      <sheetName val="Unit-1"/>
      <sheetName val="내역서_(∮ἀ嘆ɶ᠀㬁3"/>
      <sheetName val="LM001"/>
      <sheetName val="LM002"/>
      <sheetName val="LM003"/>
      <sheetName val="LM005"/>
      <sheetName val="LM006"/>
      <sheetName val="LM008"/>
      <sheetName val="LM004"/>
      <sheetName val="1)_COMMON_FACILITIES"/>
      <sheetName val="월간보고자료FORM2"/>
      <sheetName val="PSV2701F"/>
      <sheetName val="Embank"/>
      <sheetName val="anal rab"/>
      <sheetName val="H_ Dasar"/>
      <sheetName val="HRG BH"/>
      <sheetName val="Prosentase"/>
      <sheetName val="ALT"/>
      <sheetName val="U,B"/>
      <sheetName val="giathanh1"/>
      <sheetName val="CHITIET VL-NC-TT -1p"/>
      <sheetName val="gtrinh"/>
      <sheetName val="TONG HOP VL-NC"/>
      <sheetName val="chitiet"/>
      <sheetName val="TONGKE3p "/>
      <sheetName val="DONGIA"/>
      <sheetName val="lam-moi"/>
      <sheetName val="thao-go"/>
      <sheetName val="DON GIA"/>
      <sheetName val="DG"/>
      <sheetName val="TONGKE-HT"/>
      <sheetName val="t-h HA THE"/>
      <sheetName val="THPDMoi  (2)"/>
      <sheetName val="TONG HOP VL-NC TT"/>
      <sheetName val="TNHCHINH"/>
      <sheetName val="TH XL"/>
      <sheetName val="CHITIET VL-NC"/>
      <sheetName val="Tiepdia"/>
      <sheetName val="TDTKP1"/>
      <sheetName val="VCV-BE-TONG"/>
      <sheetName val="HARGA SAT"/>
      <sheetName val="F3a"/>
      <sheetName val="G1"/>
      <sheetName val="G3"/>
      <sheetName val="G4a"/>
      <sheetName val="F4b"/>
      <sheetName val="F5a"/>
      <sheetName val="plant"/>
      <sheetName val="data_val"/>
      <sheetName val="D-3 (M)"/>
      <sheetName val="D-7 (M)"/>
      <sheetName val="Anls-Um"/>
      <sheetName val="01A- RAB"/>
      <sheetName val="SLNK"/>
      <sheetName val="bahan-mos"/>
      <sheetName val="Cycle Time"/>
      <sheetName val="UtilitasTM"/>
      <sheetName val="rekap harga satuan pek"/>
      <sheetName val="PERSIAPAN"/>
      <sheetName val="tanah"/>
      <sheetName val="pembesian"/>
      <sheetName val="A-ALAT"/>
      <sheetName val="design_criteria6"/>
      <sheetName val="rab j17"/>
      <sheetName val="________"/>
      <sheetName val="Weekl____"/>
      <sheetName val="첨부2. 물량소화계획 상세"/>
      <sheetName val="spread-sheet"/>
      <sheetName val="RekapDataProyek-hide4print"/>
      <sheetName val="install_valve"/>
      <sheetName val="Deliverable list"/>
      <sheetName val="setting"/>
      <sheetName val="Gol"/>
      <sheetName val="Asm"/>
      <sheetName val="PrBS"/>
      <sheetName val="PrDepr"/>
      <sheetName val="PrIS"/>
      <sheetName val="Indirect_Const"/>
      <sheetName val="COMBINE"/>
      <sheetName val="HB"/>
      <sheetName val="member design"/>
      <sheetName val="Data basic price jgan diprint"/>
      <sheetName val="Sewa Alat"/>
      <sheetName val="BQ ARS"/>
      <sheetName val="DAFTAR ISI"/>
      <sheetName val="DAFTAR TBL _ FORM"/>
      <sheetName val="Tanggapan"/>
      <sheetName val="ELKP"/>
      <sheetName val="Harga ME "/>
      <sheetName val="Form 4 _ 4_A"/>
      <sheetName val="T-3.2 UP Material"/>
      <sheetName val="Analisa STR"/>
      <sheetName val="formminat"/>
      <sheetName val="anal alat"/>
      <sheetName val="Daf 1"/>
      <sheetName val="Data SRL"/>
      <sheetName val="Data Prod_Graf"/>
      <sheetName val="Curup"/>
      <sheetName val="Prabu"/>
      <sheetName val="Process"/>
      <sheetName val="Refinery"/>
      <sheetName val="Fructose"/>
      <sheetName val="RAB J18 "/>
      <sheetName val="HARGA J18"/>
      <sheetName val="analisa J18"/>
      <sheetName val="Cash Out Table"/>
      <sheetName val="Net Cash Table"/>
      <sheetName val="본사공가현황"/>
      <sheetName val="앉음벽 (2)"/>
      <sheetName val="WORKER"/>
      <sheetName val="5.새들부해석 및 철근배근"/>
      <sheetName val="reinforce"/>
      <sheetName val="Executive Summary (Aug 25)"/>
      <sheetName val="P-J"/>
      <sheetName val="P.M 별"/>
      <sheetName val="5.세운W-A"/>
      <sheetName val="Rek.An"/>
      <sheetName val="Rencana Anggaran Biaya"/>
      <sheetName val="BCC CABLE DATA"/>
      <sheetName val="FJR CABLE DATA"/>
      <sheetName val="JRT CABLE DATA"/>
      <sheetName val="PD CABLE DATA "/>
      <sheetName val="TBA CABLE DATA"/>
      <sheetName val="TY CABLE DATA"/>
      <sheetName val="5a. Code_E"/>
      <sheetName val="LstsÙÁ"/>
      <sheetName val="DE-110"/>
      <sheetName val="WBS"/>
      <sheetName val="coastal"/>
      <sheetName val="3. PE Unit "/>
      <sheetName val="Cut to spoil (sound rock)"/>
      <sheetName val="Cut to spoil (soft rock)"/>
      <sheetName val="Divertions"/>
      <sheetName val="Extra over haulages.."/>
      <sheetName val="Fill from borrow"/>
      <sheetName val="Milling 10.6 TO 58"/>
      <sheetName val="Obliteration"/>
      <sheetName val="Removal Top Soil"/>
      <sheetName val="Removal unsuitable"/>
      <sheetName val="Subbase"/>
      <sheetName val="Site clearance"/>
      <sheetName val="Eqpt"/>
      <sheetName val="Drn"/>
      <sheetName val="Issue Detail (2nd Stage)"/>
      <sheetName val="PUNCH DESCRIPTION"/>
      <sheetName val="p17 POP 2"/>
      <sheetName val="p16 POP 1"/>
      <sheetName val="p14 cooling mp 2"/>
      <sheetName val="p15 cooling mp 3"/>
      <sheetName val="Committed Cost"/>
      <sheetName val="Div26 - Elect"/>
      <sheetName val="proj"/>
      <sheetName val="Ca máy"/>
      <sheetName val="Cước VC + ĐM CP Tư vấn"/>
      <sheetName val="Dự toán"/>
      <sheetName val="Đơn Giá TH"/>
      <sheetName val="Nhân công"/>
      <sheetName val="Phân tích"/>
      <sheetName val="Hệ số"/>
      <sheetName val="C.P Thiết bị"/>
      <sheetName val="T.H Kinh phí"/>
      <sheetName val="Vật tư"/>
      <sheetName val="Trang bìa"/>
      <sheetName val="Riesgos y Oportunidades"/>
      <sheetName val="Man. Sum."/>
      <sheetName val="unit mh study"/>
      <sheetName val="penalties"/>
      <sheetName val="Offer Sum."/>
      <sheetName val="Indirect Pers."/>
      <sheetName val="endirek ad-sa"/>
      <sheetName val="Support Pers."/>
      <sheetName val="Indirect Pers. Assumptions"/>
      <sheetName val="Feuil1"/>
      <sheetName val="Machinery"/>
      <sheetName val="Scaffolding"/>
      <sheetName val="Mob-demob"/>
      <sheetName val="ind. cost of direct"/>
      <sheetName val="Net Salary of a Direct"/>
      <sheetName val="Direct Cost Sum."/>
      <sheetName val="Furniture"/>
      <sheetName val="Water Cons."/>
      <sheetName val="Ind Sale"/>
      <sheetName val="GWP3 Outfitting Works Indirect "/>
      <sheetName val="Parameter"/>
      <sheetName val="SubContractingDetail"/>
      <sheetName val="Ключ"/>
      <sheetName val="archi(본사)"/>
      <sheetName val="간접비NE"/>
      <sheetName val="0226"/>
      <sheetName val="FPF-Unit Rates"/>
      <sheetName val="PNT-Unit Rates"/>
      <sheetName val="E1"/>
      <sheetName val="1 间接人工费"/>
      <sheetName val="CW"/>
      <sheetName val="RELACION COSTE"/>
      <sheetName val="NC"/>
      <sheetName val="Named Range"/>
      <sheetName val="Floor Level"/>
      <sheetName val="DataSheet"/>
      <sheetName val="Chemreq"/>
      <sheetName val="19. drill CD6"/>
      <sheetName val="MASTER AR"/>
      <sheetName val="Sheet_x0005_"/>
      <sheetName val="Cause Categories"/>
      <sheetName val="Change Order Log"/>
      <sheetName val="11FEB"/>
      <sheetName val="Control Panel"/>
      <sheetName val="基础资料"/>
      <sheetName val="using rjs409 progress data"/>
      <sheetName val="公司"/>
      <sheetName val="公司部门"/>
      <sheetName val="Summary F-217 R6"/>
      <sheetName val="BEU btm nozz @ tsht"/>
      <sheetName val="401_1"/>
      <sheetName val="401_2"/>
      <sheetName val="401_3"/>
      <sheetName val="401_4"/>
      <sheetName val="401_5"/>
      <sheetName val="401_7"/>
      <sheetName val="Cover Sheet"/>
      <sheetName val="BOKOR TOPSIDE LS_3.17M480R"/>
      <sheetName val="ZKPAOINCURREDTS"/>
      <sheetName val="ZKPAOBALANCETSJKT"/>
      <sheetName val="ZKPAOBALANCETS"/>
      <sheetName val="ZKPAOINCURREDJKT"/>
      <sheetName val="ZKPAOPRJKT"/>
      <sheetName val="ZKPAOPRTS"/>
      <sheetName val="MPP"/>
      <sheetName val="S&amp;M Opex"/>
      <sheetName val="골조"/>
      <sheetName val="ExchRate"/>
      <sheetName val="지계"/>
      <sheetName val="Solieu"/>
      <sheetName val="Xuly Data"/>
      <sheetName val="환경기계공정표 (3)"/>
      <sheetName val="Project Information In-Out"/>
      <sheetName val="機器リスト"/>
      <sheetName val="Fee Rate Summary"/>
      <sheetName val="교각계산"/>
      <sheetName val="Sheet15"/>
      <sheetName val="Sheet13"/>
      <sheetName val="APT"/>
      <sheetName val="New Rates"/>
      <sheetName val="OOC Form"/>
      <sheetName val="사통"/>
      <sheetName val="J直材4"/>
      <sheetName val="원하도급내역서(당초)"/>
      <sheetName val="WITHOUT_C&amp;I_PROFIT_(3)"/>
      <sheetName val="ENQ222394AL_NASR_Steel_Report"/>
      <sheetName val="Dynamic_Query"/>
      <sheetName val="설비원가"/>
      <sheetName val="배관쳻᫥"/>
      <sheetName val="배관䳝ᇪ"/>
      <sheetName val="배관᳝᧪"/>
      <sheetName val="8&gt;한국인수당 (Master file)"/>
      <sheetName val="N賃率-職"/>
      <sheetName val="공사사진"/>
      <sheetName val="잡철물"/>
      <sheetName val="TOWER 12TON"/>
      <sheetName val="TOWER 10TON"/>
      <sheetName val="인원칠ᦑ"/>
      <sheetName val="날개벽수량표"/>
      <sheetName val="샘플수"/>
      <sheetName val="FS-LT"/>
      <sheetName val="5-ALAT"/>
      <sheetName val="4-BASIC"/>
      <sheetName val="AP 'S ANALYSIS"/>
      <sheetName val="DATA(입력)"/>
      <sheetName val="배명(단가)"/>
      <sheetName val="drop down list"/>
      <sheetName val="Data Sheet"/>
      <sheetName val="@risk rents and incentives"/>
      <sheetName val="Car park lease"/>
      <sheetName val="Net rent analysis"/>
      <sheetName val="cost project"/>
      <sheetName val="Results"/>
      <sheetName val="co-no.2"/>
      <sheetName val="Labor abs-NMR"/>
      <sheetName val="Malaysia incl. RET"/>
      <sheetName val="GM &amp; TA"/>
      <sheetName val="Scaff-Rose"/>
      <sheetName val="Zone 1"/>
      <sheetName val="Zone 2"/>
      <sheetName val="Zone 3"/>
      <sheetName val="Zone 4"/>
      <sheetName val="Zone 5"/>
      <sheetName val="0. Index"/>
      <sheetName val="内訳書"/>
      <sheetName val="Chart Data"/>
      <sheetName val="단중"/>
      <sheetName val="품셈표"/>
      <sheetName val="당초_ȭ"/>
      <sheetName val="당초_➴ȭ"/>
      <sheetName val="TWO PASS"/>
      <sheetName val="THREE PASS"/>
      <sheetName val="Fuel"/>
      <sheetName val="D.Base"/>
      <sheetName val="BBM"/>
      <sheetName val="Neraca"/>
      <sheetName val="R-L"/>
      <sheetName val="DETANAL-AUG"/>
      <sheetName val="YRACCT"/>
      <sheetName val="ocean voyage"/>
      <sheetName val="내역서_耰&quot;_x0009"/>
      <sheetName val="내역서_耰&quot;_x0010"/>
      <sheetName val="내역서_耰&quot;_x00009"/>
      <sheetName val="내역서_耰&quot;_x00010"/>
      <sheetName val="내역서_耰&quot;_x00510"/>
      <sheetName val="_______x005f_x0000__x00_2"/>
      <sheetName val="_______x005f_x005f_x000_2"/>
      <sheetName val="TOSHIBA-Structure"/>
      <sheetName val="Perhitungan"/>
      <sheetName val="REN2000"/>
      <sheetName val="STEP1.a-JUL03"/>
      <sheetName val="Equip COA Sumry"/>
      <sheetName val="Admin"/>
      <sheetName val="PEF24_0I_mnpwr"/>
      <sheetName val="PEF25_0I_mnhr"/>
      <sheetName val="Penjumlahan"/>
      <sheetName val="AGREGAT"/>
      <sheetName val="Rekap Bill"/>
      <sheetName val="Menu"/>
      <sheetName val="Daf Alat"/>
      <sheetName val="Jdw Alat"/>
      <sheetName val="S Penawar"/>
      <sheetName val="O"/>
      <sheetName val="UPH,BHN,ALT"/>
      <sheetName val="Analis harga"/>
      <sheetName val="Content-i"/>
      <sheetName val="Sat Bah &amp; Up"/>
      <sheetName val=" PE-F-42 MR 9 Manpower"/>
      <sheetName val="TABEL BAJA"/>
      <sheetName val="BAG-III"/>
      <sheetName val="Analis Kusen okk"/>
      <sheetName val="Subkon"/>
      <sheetName val="Electrikal"/>
      <sheetName val="Elektronik"/>
      <sheetName val="Item Kompensasi"/>
      <sheetName val="rekap str+ars"/>
      <sheetName val="struktur"/>
      <sheetName val="SOHAR(2nd)"/>
      <sheetName val="내역ࠜĀ_x005f_x005f_x005f_x005F_x005f_x0000_M4"/>
      <sheetName val="내역서 耰&quot;_x005f_x005f_x005f_x005F_x005f_x0000_"/>
      <sheetName val="_x005f_x005f_x005f_x005F_x005f_x0008_"/>
      <sheetName val="내역ࠜĀ_x005f_x005f_x005f_x005F_x005f_x005f_x0"/>
      <sheetName val="내역서 耰&quot;_x005f_x005f_x005f_x005F_x005f_x005f_"/>
      <sheetName val="내역서_耰&quot;_x005f_x005f_x005f_x005F_x005f_x0000_"/>
      <sheetName val="내역서_耰&quot;_x005f_x005f_x005f_x005F_x005f_x005f_"/>
      <sheetName val="내역서 耰&quot;?_x0000"/>
      <sheetName val="내역서_耰&quot;?_x0000"/>
      <sheetName val="내역ࠜĀ?M4"/>
      <sheetName val="내역서_耰&quot;?_x0001"/>
      <sheetName val="내역서_耰&quot;?_x0002"/>
      <sheetName val="_?_x001b_?_x0006__x"/>
      <sheetName val="바닥판?⽷?"/>
      <sheetName val="EQUIPMENT_-?"/>
      <sheetName val="내역서 ᢐ_x001f_??"/>
      <sheetName val=" ?_x001b_?_x0006__x"/>
      <sheetName val="Weekl_x0004_?_x0016__x000"/>
      <sheetName val="내역서_耰&quot;_x005f_x005f_x005f_x005F_x00006"/>
      <sheetName val="내역서_耰&quot;_x005f_x005f_x005f_x005F_x005f6"/>
      <sheetName val="Precios Unitariԯ?"/>
      <sheetName val="내역서_耰&quot;?_x0004"/>
      <sheetName val="내역서_耰&quot;?_x0003"/>
      <sheetName val="내역서_耰&quot;?_x0005"/>
      <sheetName val="OPT_x0012_?_x0010_?"/>
      <sheetName val="내역서 耰&quot;?"/>
      <sheetName val="내역서_耰&quot;?"/>
      <sheetName val="내역서_耰&quot;?_x00001"/>
      <sheetName val="내역서_耰&quot;_x005f_x005f_x005f_x005F_x00007"/>
      <sheetName val="내역서_耰&quot;_x005f_x005f_x005f_x005F_x005f7"/>
      <sheetName val="_x005f_x005f_x005f_x005F_x00ည톐ឮ"/>
      <sheetName val="내역서_耰&quot;?_x0006"/>
      <sheetName val="?_x0004_"/>
      <sheetName val="내역서_耰&quot;_x005f_x005f_x005f_x005F_x00008"/>
      <sheetName val="내역서_耰&quot;_x005f_x005f_x005f_x005F_x005f8"/>
      <sheetName val="Site??"/>
      <sheetName val="내역서_耰&quot;?_x00002"/>
      <sheetName val="내역서_耰&quot;?1"/>
      <sheetName val="내역서_耰&quot;?_x00003"/>
      <sheetName val="내역서_耰&quot;?2"/>
      <sheetName val="내역서_耰&quot;_x005f_x0000__x005f_x005f_x0009"/>
      <sheetName val="내역서_耰&quot;_x005f_x005f_x005f_x005F_x00009"/>
      <sheetName val="내역서_耰&quot;_x005f_x005f_x005f_x005F_x005f9"/>
      <sheetName val="내역서_耰&quot;_x005f_x0000__x005f_x005f_x0010"/>
      <sheetName val="내역서_耰&quot;_x005f_x005f_x005f_x005F_x00010"/>
      <sheetName val="내역서_耰&quot;_x005f_x005f_x005f_x005F_x00510"/>
      <sheetName val="data-hujan"/>
      <sheetName val="23.FILTH "/>
      <sheetName val="29Formalin"/>
      <sheetName val="24TVBN"/>
      <sheetName val="02.01E.coli"/>
      <sheetName val="실행예산갑지"/>
      <sheetName val="현장관리비"/>
      <sheetName val=" anal hrg sat"/>
      <sheetName val="HS_TRG"/>
      <sheetName val="RAB KapukII"/>
      <sheetName val="BAU"/>
      <sheetName val="개산공사비"/>
      <sheetName val="부하계산서"/>
      <sheetName val="U4350"/>
      <sheetName val="Introduction"/>
      <sheetName val="Cover (sh 1)"/>
      <sheetName val="Instructions"/>
      <sheetName val="SI No.25"/>
      <sheetName val="Additional Work"/>
      <sheetName val="DPA"/>
      <sheetName val="D -12"/>
      <sheetName val="2004"/>
      <sheetName val="SPK"/>
      <sheetName val="BA"/>
      <sheetName val="A H S P"/>
      <sheetName val="Harga Bahan"/>
      <sheetName val="HSA &amp; PAB"/>
      <sheetName val="Format Report-for analysis only"/>
      <sheetName val="Rekap BQ-Pompong"/>
      <sheetName val="Page 2api"/>
      <sheetName val="1.Unit Price"/>
      <sheetName val="_x0004__ __x0003___x0004___x0016__ __x0004_"/>
      <sheetName val="Weekl_x0004___x0016__ _"/>
      <sheetName val="_x0004__ __x0"/>
      <sheetName val="Absen 4"/>
      <sheetName val="Evaluasi Teknis _B_"/>
      <sheetName val="Jadwal"/>
      <sheetName val="Koreksi Aritmatika"/>
      <sheetName val="Kreteria"/>
      <sheetName val="Range HPS"/>
      <sheetName val="Cover1"/>
      <sheetName val="Pt"/>
      <sheetName val="Rkap1998"/>
      <sheetName val="lm7-11"/>
      <sheetName val="laru-kbn"/>
      <sheetName val="REALABO"/>
      <sheetName val="SS MH"/>
      <sheetName val="__x001b__x0006__x0006__x0008__"/>
      <sheetName val="__x001b__x0"/>
      <sheetName val="OPT_x0012__x0010__"/>
      <sheetName val="2_x0010___x0003__x000d__x0008__x0010__x0004__x0004__x0004_"/>
      <sheetName val="Grand summary Lot#1"/>
      <sheetName val="Part1 Preliminaries &amp; General"/>
      <sheetName val="Part2 Wastewater System"/>
      <sheetName val="Part3 Stormwater Drainage Syste"/>
      <sheetName val="Part4 Dayworks"/>
      <sheetName val="Part5 O&amp;M Equipment"/>
      <sheetName val="Part6 Training"/>
      <sheetName val="Saisie"/>
      <sheetName val="MTO 18 Jul07&amp;19Nov08"/>
      <sheetName val="GIAVLIEU"/>
      <sheetName val="Analisa HS"/>
      <sheetName val="HPS PC"/>
      <sheetName val="Pile Cap"/>
      <sheetName val="SUR-HARGA"/>
      <sheetName val="COMM"/>
      <sheetName val="기타 (3)"/>
      <sheetName val="基本"/>
      <sheetName val="att4建造-电气"/>
      <sheetName val="att4建造-仪表"/>
      <sheetName val="RENUN"/>
      <sheetName val="VA_code"/>
      <sheetName val="bs分析"/>
      <sheetName val="PROJECT MPP"/>
      <sheetName val="UOP"/>
      <sheetName val="coverpage"/>
      <sheetName val="FA"/>
      <sheetName val="8000"/>
      <sheetName val="Billing"/>
      <sheetName val="HO mhrs-sum"/>
      <sheetName val="FB"/>
      <sheetName val="CS mhrs-sum"/>
      <sheetName val="FC"/>
      <sheetName val="SP"/>
      <sheetName val="分包资金计划台账"/>
      <sheetName val="1 Cover"/>
      <sheetName val="Varible"/>
      <sheetName val="Inputdata"/>
      <sheetName val="Progress Tables"/>
      <sheetName val="Twr (15)"/>
      <sheetName val="Shedule"/>
      <sheetName val="D8(1)"/>
      <sheetName val="Analisa ME"/>
      <sheetName val="MTL(AG)"/>
      <sheetName val="rumus"/>
      <sheetName val="Time Schedule"/>
      <sheetName val="Cancelled"/>
      <sheetName val="Data1"/>
      <sheetName val="DataMO"/>
      <sheetName val="RFI_Bolt"/>
      <sheetName val="sc"/>
      <sheetName val="?????????"/>
      <sheetName val="기성"/>
      <sheetName val="_x005f_x005f_x005f_x005f_x005f_x005f_x00Ȋ䀀"/>
      <sheetName val="_x005f_x005f_x005f_x005f_x005f_x005f_x00《䕩堤"/>
      <sheetName val="MOTOR OPERATED VALVE LIST_1"/>
      <sheetName val="Sheet_x0005_�"/>
      <sheetName val="输煤冲洗水泵房"/>
      <sheetName val="Chap_2-_Page_4_3"/>
      <sheetName val="VAT_TU_DIEN3"/>
      <sheetName val="bldg_list3"/>
      <sheetName val="OE_(KSB)2"/>
      <sheetName val="galian_saluran2"/>
      <sheetName val="Ana__PU2"/>
      <sheetName val="Perhit_Alat2"/>
      <sheetName val="05_Analisa_Teknik2"/>
      <sheetName val="Analisa_SNI_STANDART_2"/>
      <sheetName val="1_B2"/>
      <sheetName val="SWALE_(구산)3"/>
      <sheetName val="SANDAN_XLS11"/>
      <sheetName val="Data_Ref_3"/>
      <sheetName val="KKS_System_Codes3"/>
      <sheetName val="Price_Schedule_Code3"/>
      <sheetName val="UPAH_&amp;_BHN_ARS2"/>
      <sheetName val="AHS_ARS2"/>
      <sheetName val="Analisa_HSP2"/>
      <sheetName val="입찰내역_발주처_양卤2"/>
      <sheetName val="Analisa_Neraca2"/>
      <sheetName val="Harga_Mat_2"/>
      <sheetName val="REF_ONLY3"/>
      <sheetName val="Project_D2"/>
      <sheetName val="Tender_Summary2"/>
      <sheetName val="내역서_(N____26"/>
      <sheetName val="ANAL_BOW2"/>
      <sheetName val="Isolasi_Luar_Dalam2"/>
      <sheetName val="Isolasi_Luar2"/>
      <sheetName val="график_финансирования2"/>
      <sheetName val="6_2_Floor_Finishes3"/>
      <sheetName val="1195_B12"/>
      <sheetName val="page_62"/>
      <sheetName val="Capel_KI2"/>
      <sheetName val="Capel_PK2"/>
      <sheetName val="Summary_HS_Pipa_CS2"/>
      <sheetName val="Raw_Data-Combined2"/>
      <sheetName val="lkalibrasi_BENENAIN2"/>
      <sheetName val="_hrg_bhn2"/>
      <sheetName val="Rekap_Addendum2"/>
      <sheetName val="AT_22"/>
      <sheetName val="Section_12"/>
      <sheetName val="Ra__stair2"/>
      <sheetName val="9011_EXPAT_MANP1"/>
      <sheetName val="App_A_Basis_of_Design1"/>
      <sheetName val="tabel_berat1"/>
      <sheetName val="cost_curve_calc1"/>
      <sheetName val="Subcon_Rate"/>
      <sheetName val="SEK_Vertrieb1"/>
      <sheetName val="SEK_Montage1"/>
      <sheetName val="SEK_IBN1"/>
      <sheetName val="JP-I_500155"/>
      <sheetName val="Risk_Variables"/>
      <sheetName val="간접비_총괄표"/>
      <sheetName val="BOQ_LIST"/>
      <sheetName val="PBAC_budget"/>
      <sheetName val="3_6M_RETAINING_WALL"/>
      <sheetName val="DO_NOT_DELETE"/>
      <sheetName val="MR_EUR1"/>
      <sheetName val="Ind__Budget1"/>
      <sheetName val="BQ_Working1"/>
      <sheetName val="Star_Rate1"/>
      <sheetName val="04_09_19_Mufqi(2)"/>
      <sheetName val="04_09_19_Winda(2)"/>
      <sheetName val="Mufqi_29_08_19"/>
      <sheetName val="Ade_30_08_19"/>
      <sheetName val="Pramudibyo_30_08_19"/>
      <sheetName val="Aji_02_09_19"/>
      <sheetName val="Diah_02_09_19"/>
      <sheetName val="_09_19"/>
      <sheetName val="01A__RAB"/>
      <sheetName val="53_"/>
      <sheetName val="MH_CIVIL"/>
      <sheetName val="DIV_21"/>
      <sheetName val="DIV_7"/>
      <sheetName val="DIV_81"/>
      <sheetName val="DIV_31"/>
      <sheetName val="SA516-60,70_(정리)"/>
      <sheetName val="КС2_24_1-8_(4_1_8_11_200)corr1"/>
      <sheetName val="첨부_#8_기자재_Cost_Summary"/>
      <sheetName val="Dia_Inch"/>
      <sheetName val="Cost_Control"/>
      <sheetName val="Factor_Sheet"/>
      <sheetName val="Cost_Factor_Sheet"/>
      <sheetName val="Price_Sheet"/>
      <sheetName val="Room_Type"/>
      <sheetName val="Basement2_DB"/>
      <sheetName val="BOQ_SUM"/>
      <sheetName val="2_x0010_ _x0003__x000d__x0008__x0010__x0004__x0004__x0004_"/>
      <sheetName val="내역서_(N___ 9"/>
      <sheetName val="? ???? ?"/>
      <sheetName val=" ????? ??"/>
      <sheetName val="Weekl?? ?"/>
      <sheetName val="? ?_x0"/>
      <sheetName val=" ??_x0"/>
      <sheetName val="OPT?? ?"/>
      <sheetName val="탈황2팀(밸브)"/>
      <sheetName val="gVL"/>
      <sheetName val="임대"/>
      <sheetName val="9911실적(공장)"/>
      <sheetName val="정산표"/>
      <sheetName val="회사정보"/>
      <sheetName val="선수금(29)"/>
      <sheetName val="호남2"/>
      <sheetName val="계정code"/>
      <sheetName val="BOJUNGGM"/>
      <sheetName val="(참조)RCM_Final_수정_감사실"/>
      <sheetName val="공사기성"/>
      <sheetName val="1100A"/>
      <sheetName val="대차대조표"/>
      <sheetName val="손익계산서"/>
      <sheetName val="이익잉여금"/>
      <sheetName val="통장출금액"/>
      <sheetName val="은행"/>
      <sheetName val="COBS"/>
      <sheetName val="지점장"/>
      <sheetName val="산출"/>
      <sheetName val="리스"/>
      <sheetName val="(참고) 리스크 맵"/>
      <sheetName val="CM_history"/>
      <sheetName val="보험"/>
      <sheetName val="질의(금액)참조"/>
      <sheetName val="합손"/>
      <sheetName val="상각률표"/>
      <sheetName val="fmv"/>
      <sheetName val="99.7월 당월회수 실적"/>
      <sheetName val="선급금"/>
      <sheetName val="당월"/>
      <sheetName val="4b Consolidated PL"/>
      <sheetName val="현장"/>
      <sheetName val="하수급견적대비"/>
      <sheetName val="손익항목표"/>
      <sheetName val="외환익"/>
      <sheetName val="신공항A-9(원가수정)"/>
      <sheetName val="시산"/>
      <sheetName val="Scoping"/>
      <sheetName val="ROMM"/>
      <sheetName val="Materiality - Fin.(계획)"/>
      <sheetName val="Lead"/>
      <sheetName val="LU"/>
      <sheetName val="Dropdowns"/>
      <sheetName val="Workings"/>
      <sheetName val="Controls"/>
      <sheetName val="CMA Reconciliation"/>
      <sheetName val="Financial Statements"/>
      <sheetName val="select ---&gt; hide"/>
      <sheetName val="Balance Sheet"/>
      <sheetName val="Income Statement"/>
      <sheetName val="32.1"/>
      <sheetName val="이자비용 (2)"/>
      <sheetName val="감가상각"/>
      <sheetName val="DB명세"/>
      <sheetName val="Currency"/>
      <sheetName val="SAPHDB.05"/>
      <sheetName val="SAPHDB.06"/>
      <sheetName val="SAPHDB.10"/>
      <sheetName val="SAPHDB.14"/>
      <sheetName val="SAPHDB.15"/>
      <sheetName val="SAPHDB.16"/>
      <sheetName val="SUPER_T3"/>
      <sheetName val="Set Parameters"/>
      <sheetName val="Non-Statistical Sampling"/>
      <sheetName val="portfolio"/>
      <sheetName val="ins"/>
      <sheetName val="Non-Statistical Sampling Master"/>
      <sheetName val="Materiality - Components(계획)"/>
      <sheetName val="IT Function"/>
      <sheetName val="정리기입"/>
      <sheetName val="SAP.23a"/>
      <sheetName val="SAP.24a"/>
      <sheetName val="SAP.25a"/>
      <sheetName val="SAP.26a"/>
      <sheetName val="SAP.13a"/>
      <sheetName val="SAP.21a"/>
      <sheetName val="SAP.15a"/>
      <sheetName val="SAP.18a"/>
      <sheetName val="SAP.05a"/>
      <sheetName val="SAP.11a"/>
      <sheetName val="SAP.27a"/>
      <sheetName val="Rules"/>
      <sheetName val="AR Drop Downs"/>
      <sheetName val="Control Activities"/>
      <sheetName val="Two Step Revenue Testing Master"/>
      <sheetName val="OS명세"/>
      <sheetName val="ELBLOCK(981021)"/>
      <sheetName val="ARP Q3 Security Access Review"/>
      <sheetName val="AB1 Q3 Security Access Review"/>
      <sheetName val="6월추가불출"/>
      <sheetName val="12-31-2000"/>
      <sheetName val="AB1 FY12"/>
      <sheetName val="SAP011"/>
      <sheetName val="f5"/>
      <sheetName val="f4"/>
      <sheetName val="유형자산"/>
      <sheetName val="F456"/>
      <sheetName val="Global Data"/>
      <sheetName val="vapoc-00p12"/>
      <sheetName val="wi"/>
      <sheetName val="Section"/>
      <sheetName val="감가상각LS"/>
      <sheetName val="LS (2)"/>
      <sheetName val="건물 (2)"/>
      <sheetName val="유선방송설비 (2)"/>
      <sheetName val="차량운반구 (2)"/>
      <sheetName val="전송선로설비 (2)"/>
      <sheetName val="집기비품 (2)"/>
      <sheetName val="공구기구 (2)"/>
      <sheetName val="구축물 (2)"/>
      <sheetName val="컨버터 (2)"/>
      <sheetName val="LS "/>
      <sheetName val="PAJE,PRJE"/>
      <sheetName val="PAY"/>
      <sheetName val="KUWATI(Total)_20"/>
      <sheetName val="집계표_(TOTAL)20"/>
      <sheetName val="집계표_(CIVIL-23)20"/>
      <sheetName val="집계표_(FGRU)20"/>
      <sheetName val="집계표_(25,26)20"/>
      <sheetName val="집계표_(MEROX)20"/>
      <sheetName val="집계표_(NITROGEN)20"/>
      <sheetName val="집계표_(M4)20"/>
      <sheetName val="집계표_(CIVIL4)20"/>
      <sheetName val="집계표_(CIVIL6)20"/>
      <sheetName val="집계표_(CIVIL7)20"/>
      <sheetName val="내역서(DEMO_TOTAL)20"/>
      <sheetName val="내역서_(CIVIL-23)20"/>
      <sheetName val="내역서_(fgru)20"/>
      <sheetName val="내역서_(25&amp;26)20"/>
      <sheetName val="내역서_(MEROX)20"/>
      <sheetName val="내역서_(NITROGEN)20"/>
      <sheetName val="내역서_(M4)20"/>
      <sheetName val="내역서_(CIVIL-4)20"/>
      <sheetName val="내역서_(CIVIL-6)20"/>
      <sheetName val="내역서_(CIVIL-7)20"/>
      <sheetName val="OPTION_220"/>
      <sheetName val="OPTION_320"/>
      <sheetName val="2002년_현장공사비_국내_실적20"/>
      <sheetName val="2003년국내현장공사비_실적20"/>
      <sheetName val="VC2_10_9920"/>
      <sheetName val="INPUT_DATA19"/>
      <sheetName val="집계표_(25,26ဩ19"/>
      <sheetName val="입출재고현황_(2)18"/>
      <sheetName val="Form_019"/>
      <sheetName val="Form_D-118"/>
      <sheetName val="Form_B-118"/>
      <sheetName val="Form_F-118"/>
      <sheetName val="Form_A18"/>
      <sheetName val="General_Data19"/>
      <sheetName val="LABOR_&amp;_자재18"/>
      <sheetName val="간접비_총괄18"/>
      <sheetName val="3_공통공사대비18"/>
      <sheetName val="Price_Schedule18"/>
      <sheetName val="Rate_Analysis18"/>
      <sheetName val="EQUIPMENT_-218"/>
      <sheetName val="CAL_18"/>
      <sheetName val="내역서_耰&quot;??18"/>
      <sheetName val="WEIGHT_LIST17"/>
      <sheetName val="산#2-1_(2)17"/>
      <sheetName val="BEND_LOSS17"/>
      <sheetName val="공사비_내역_(가)17"/>
      <sheetName val="Form_A_17"/>
      <sheetName val="단면_(2)17"/>
      <sheetName val="Static_Equip17"/>
      <sheetName val="3_Breakdown_Direct_Paint17"/>
      <sheetName val="6PILE__(돌출)17"/>
      <sheetName val="Man_Hole16"/>
      <sheetName val="내역서_耰&quot;_x005f_x0000__x005f_x0000_17"/>
      <sheetName val="Áý°èÇ¥_(TOTAL)16"/>
      <sheetName val="Áý°èÇ¥_(CIVIL-23)16"/>
      <sheetName val="Áý°èÇ¥_(FGRU)16"/>
      <sheetName val="Áý°èÇ¥_(25,26)16"/>
      <sheetName val="Áý°èÇ¥_(MEROX)16"/>
      <sheetName val="Áý°èÇ¥_(NITROGEN)16"/>
      <sheetName val="Áý°èÇ¥_(M4)16"/>
      <sheetName val="Áý°èÇ¥_(CIVIL4)16"/>
      <sheetName val="Áý°èÇ¥_(CIVIL6)16"/>
      <sheetName val="Áý°èÇ¥_(CIVIL7)16"/>
      <sheetName val="³»¿ª¼­(DEMO_TOTAL)16"/>
      <sheetName val="³»¿ª¼­_(CIVIL-23)16"/>
      <sheetName val="³»¿ª¼­_(fgru)16"/>
      <sheetName val="³»¿ª¼­_(25&amp;26)16"/>
      <sheetName val="³»¿ª¼­_(MEROX)16"/>
      <sheetName val="³»¿ª¼­_(NITROGEN)16"/>
      <sheetName val="³»¿ª¼­_(M4)16"/>
      <sheetName val="³»¿ª¼­_(CIVIL-4)16"/>
      <sheetName val="³»¿ª¼­_(CIVIL-6)16"/>
      <sheetName val="³»¿ª¼­_(CIVIL-7)16"/>
      <sheetName val="2002³â_ÇöÀå°ø»çºñ_±¹³»_½ÇÀû16"/>
      <sheetName val="2003³â±¹³»ÇöÀå°ø»çºñ_½ÇÀû16"/>
      <sheetName val="Civil_117"/>
      <sheetName val="Civil_217"/>
      <sheetName val="Civil_317"/>
      <sheetName val="Site_117"/>
      <sheetName val="Site_217"/>
      <sheetName val="Site_317"/>
      <sheetName val="Site_Faci17"/>
      <sheetName val="내역서_耰&quot;__18"/>
      <sheetName val="Summary_Sheets17"/>
      <sheetName val="Administrative_Prices16"/>
      <sheetName val="WBS_4416"/>
      <sheetName val="WBS_4116"/>
      <sheetName val="Precios_por_Administración16"/>
      <sheetName val="Precios_Unitarios16"/>
      <sheetName val="Subcon_A16"/>
      <sheetName val="Sheet1_(2)17"/>
      <sheetName val="내역서_耰&quot;_x005f_x005f_x005f_x0000__x005f_x005f_x0016"/>
      <sheetName val="계측_내역서16"/>
      <sheetName val="2_2_STAFF_Scedule16"/>
      <sheetName val="7__월별투입내역서16"/>
      <sheetName val="내역서_耰&quot;_x005f_x005f_x005f_x005f_x005f_x005f_x00016"/>
      <sheetName val="Z-_GENERAL_PRICE_SUMMARY16"/>
      <sheetName val="_Estimate__16"/>
      <sheetName val="T_316"/>
      <sheetName val="HORI__VESSEL16"/>
      <sheetName val="BM_DATA_SHEET17"/>
      <sheetName val="내역서_耰&quot;_x005f_x005f_x005f_x005f_x005f_x005f_x00516"/>
      <sheetName val="Vind_-_BtB16"/>
      <sheetName val="LV_induction_motors16"/>
      <sheetName val="BSD_(2)16"/>
      <sheetName val="EQUIP_LIST16"/>
      <sheetName val="MP_MOB16"/>
      <sheetName val="Form_B16"/>
      <sheetName val="97_사업추정(WEKI)16"/>
      <sheetName val="Monthly_Load16"/>
      <sheetName val="Weekly_Load16"/>
      <sheetName val="breakdown_of_wage_rate16"/>
      <sheetName val="Indirect_Cost16"/>
      <sheetName val="Material_Selections16"/>
      <sheetName val="[SANDAN_XLS??16"/>
      <sheetName val="Piping_BQ_for_one_turbine16"/>
      <sheetName val="Eq__Mobilization16"/>
      <sheetName val="Utility_and_Fire_flange16"/>
      <sheetName val="Heavy_Equipments16"/>
      <sheetName val="AG_Pipe_Qty_Analysis16"/>
      <sheetName val="_SANDAN_XLS__16"/>
      <sheetName val="입찰내역_발주처_양식16"/>
      <sheetName val="Resource_table16"/>
      <sheetName val="Equipment_List16"/>
      <sheetName val="Form1_SQP16"/>
      <sheetName val="공정계획(내부계획25%,내부w_f)16"/>
      <sheetName val="SCHEDD_TAMBAHAN16"/>
      <sheetName val="w't_table16"/>
      <sheetName val="SFN_ORIG16"/>
      <sheetName val="Fire_Protection16"/>
      <sheetName val="FWBS_153015"/>
      <sheetName val="내역서_(∮ἀ嘆ɶ15"/>
      <sheetName val="Dir_Manpower_Other_Exp_16"/>
      <sheetName val="실행예산_MM15"/>
      <sheetName val="BOQ-B_DOWN15"/>
      <sheetName val="단가_(2)15"/>
      <sheetName val="4-3LEVEL-5_epic_415"/>
      <sheetName val="ITB_COST16"/>
      <sheetName val="MODULE_CONFIRM15"/>
      <sheetName val="PROTECTION_15"/>
      <sheetName val="1100-1200-1300-1910-2140-LEV_11"/>
      <sheetName val="Cash_In-Cash_Out_Actual15"/>
      <sheetName val="Material_Price17"/>
      <sheetName val="TDC_COA_Sumry11"/>
      <sheetName val="TDC_Item_Dets11"/>
      <sheetName val="TDC_Item_Sumry11"/>
      <sheetName val="TDC_Key_Qty_Sumry11"/>
      <sheetName val="List_-_Components11"/>
      <sheetName val="List_-_Equipment11"/>
      <sheetName val="COA_Sumry_-_Std_Imp11"/>
      <sheetName val="Contr_TDC_-_Std_Imp11"/>
      <sheetName val="Item_Sumry_-_Std_Imp11"/>
      <sheetName val="Unit_Costs_-_Std_Imp11"/>
      <sheetName val="Unit_MH_-_Std_Imp11"/>
      <sheetName val="Proj_TIC_-_Std_Imp11"/>
      <sheetName val="plan&amp;section_of_foundation12"/>
      <sheetName val="Unit_Price_11"/>
      <sheetName val="내역서1999_8최종11"/>
      <sheetName val="CUADRO_DE_PRECIOS15"/>
      <sheetName val="In-House_Summary11"/>
      <sheetName val="Updating_Form-Oct_201111"/>
      <sheetName val="Weld_Consumable11"/>
      <sheetName val="NDE_Cost-Summary11"/>
      <sheetName val="9July_Above_Ground_Pipe11"/>
      <sheetName val="M_1111"/>
      <sheetName val="Process_Data_111"/>
      <sheetName val="working_load_at_the_btm_ft_12"/>
      <sheetName val="stability_check12"/>
      <sheetName val="design_load12"/>
      <sheetName val="Currency_Rate11"/>
      <sheetName val="4-Basic_Price11"/>
      <sheetName val="Evaluasi_Penw11"/>
      <sheetName val="Man_Power_&amp;_Comp11"/>
      <sheetName val="Data_List11"/>
      <sheetName val="Closeout_Control11"/>
      <sheetName val="Site_Findings_Status_Sheet11"/>
      <sheetName val="내역서_耰&quot;_x005f_x005f_x005f_x0000_11"/>
      <sheetName val="내역서_耰&quot;_x005f_x005f_x005f_x005f_11"/>
      <sheetName val="내역서_耰&quot;_x005f_x0000__x000012"/>
      <sheetName val="Direct_PMS11"/>
      <sheetName val="Sum_(Case-3)11"/>
      <sheetName val="PROJECT_BRIEF11"/>
      <sheetName val="Tools_&amp;_Settings11"/>
      <sheetName val="Data_Summary11"/>
      <sheetName val="Crew_Costs11"/>
      <sheetName val="Spread_Costs11"/>
      <sheetName val="Unique_List_Misc11"/>
      <sheetName val="Codes_Pers11"/>
      <sheetName val="할증_11"/>
      <sheetName val="5_)_Time_Delays11"/>
      <sheetName val="Pengesahan_11"/>
      <sheetName val="RAB_AR&amp;STR11"/>
      <sheetName val="99__FWBS(Ref)11"/>
      <sheetName val="99__Change_Rate11"/>
      <sheetName val="Equip_Rental_Summary_by_Contr11"/>
      <sheetName val="Project_Equip_Rental_Summary11"/>
      <sheetName val="Contractor_Indirect_Sumry11"/>
      <sheetName val="Project_Indirect_Sumry11"/>
      <sheetName val="COA_Sumry_by_Area11"/>
      <sheetName val="COA_Sumry_by_Contr11"/>
      <sheetName val="COA_Sumry_by_RG11"/>
      <sheetName val="TDC_COA_Grp_Sumry11"/>
      <sheetName val="TDC_COA_Grp_Sumry_by_Area11"/>
      <sheetName val="TDC_COA_Grp_Sumry_by_RG11"/>
      <sheetName val="Equipment_Sumry11"/>
      <sheetName val="TDC_Item_Dets-Full11"/>
      <sheetName val="TDC_Item_Dets-IPM-Full11"/>
      <sheetName val="TDC_Item_Sumry_by_Area11"/>
      <sheetName val="TDC_Item_Sumry_by_RG11"/>
      <sheetName val="TDC_Key_Qty_Sumry_by_RG11"/>
      <sheetName val="List_-_Equipment_by_Area11"/>
      <sheetName val="List_-_Equipment_by_Contr11"/>
      <sheetName val="Equipment_-_Unit_Costs_by_Mat11"/>
      <sheetName val="List_-_Equipment_by_Rep_Grp11"/>
      <sheetName val="Craft_Summary_by_Contr11"/>
      <sheetName val="Project_Craft_Summary11"/>
      <sheetName val="Project_Metrics11"/>
      <sheetName val="00-Summary_Information-ABB10"/>
      <sheetName val="Unt_rate11"/>
      <sheetName val="__11"/>
      <sheetName val="_11"/>
      <sheetName val="SUMMARY_(0A)11"/>
      <sheetName val="SUMMARY_(1A)11"/>
      <sheetName val="SUMMARY_(1B)11"/>
      <sheetName val="SUMMARY_(03)11"/>
      <sheetName val="F1(Cable_Rack)11"/>
      <sheetName val="F2(Cable_Rack)11"/>
      <sheetName val="F3(Cable_Rack)11"/>
      <sheetName val="F1_(POLYMER)11"/>
      <sheetName val="F2_(POLYMER)11"/>
      <sheetName val="F3_(POLYMER)11"/>
      <sheetName val="F4_(POLYMER)11"/>
      <sheetName val="F5(_Polymerization_)11"/>
      <sheetName val="F6_(_Polymerization_)11"/>
      <sheetName val="B1_(Grid_A-7,_-6)11"/>
      <sheetName val="B1_(Grid_A,_B)11"/>
      <sheetName val="B1_(Grid_C-7,_-6)11"/>
      <sheetName val="B2_(Grid_-7_B,_C)_(1)11"/>
      <sheetName val="B2_(Grid_-7_B,_C)_(2)11"/>
      <sheetName val="B2_(Grid_-6_B,_C)_(1)11"/>
      <sheetName val="B2_(Grid_-6_B,_C)_(2)11"/>
      <sheetName val="F1_(MONOMER)11"/>
      <sheetName val="F2_(MONOMER)11"/>
      <sheetName val="F3_(MONOMER)11"/>
      <sheetName val="90K060C_(MONOMER)11"/>
      <sheetName val="F1_(EXTRUSION)11"/>
      <sheetName val="F2_(EXTRUSION)11"/>
      <sheetName val="F3_(EXTRUSION)11"/>
      <sheetName val="F4_(EXTRUSION)11"/>
      <sheetName val="F5_(EXTRUSION)11"/>
      <sheetName val="F6A_(EXTRUSION)11"/>
      <sheetName val="F6D_(EXTRUSION)11"/>
      <sheetName val="F7_(EXTRUSION)11"/>
      <sheetName val="F8_(EXTRUSION)11"/>
      <sheetName val="F9_(EXTRUSION)11"/>
      <sheetName val="F10_(EXTRUSION)11"/>
      <sheetName val="F11_(EXTRUSION)11"/>
      <sheetName val="B1_(Grid_F-5`,_4`)11"/>
      <sheetName val="B2_(Grid_F,E-4`)11"/>
      <sheetName val="B2_(Grid_F,E-5`)11"/>
      <sheetName val="B3_(Grid_C,B-4`)11"/>
      <sheetName val="B4_(Grid_B,A-4`)11"/>
      <sheetName val="B5_(Grid_E-5`)_&amp;_(Grid_D-5`)11"/>
      <sheetName val="B6_(Grid_E,D-5')11"/>
      <sheetName val="B7_(Grid_E,D-5')11"/>
      <sheetName val="95D040,_A50611"/>
      <sheetName val="95P040AB,_A50711"/>
      <sheetName val="95X020-U08,_A60211"/>
      <sheetName val="95X020-U07,_A60611"/>
      <sheetName val="95E040,_A50911"/>
      <sheetName val="95D024;025,_A61511"/>
      <sheetName val="95X020-U05,_A60111"/>
      <sheetName val="95X020-U02,_A20411"/>
      <sheetName val="Extruder_FDN11"/>
      <sheetName val="BOG_COMP__FDN11"/>
      <sheetName val="SOG_COMP__FDN11"/>
      <sheetName val="1G1_(Ground_Beam)11"/>
      <sheetName val="1G2-1(Ground_Beam)11"/>
      <sheetName val="1G2-2(Ground_Beam)11"/>
      <sheetName val="P15,_1611"/>
      <sheetName val="LO_CONSOLE_FDN11"/>
      <sheetName val="OIL_COOLER_FDN11"/>
      <sheetName val="CW_CONSOLE_FDN_(SOG)11"/>
      <sheetName val="PD3_(SOG)11"/>
      <sheetName val="SF1_(SOG)11"/>
      <sheetName val="SF2_(SOG)11"/>
      <sheetName val="SLAB_(1S1-1)11"/>
      <sheetName val="SLAB_(1S1-2)11"/>
      <sheetName val="SLAB_(1S1-3)11"/>
      <sheetName val="COLUMN_(+5500)11"/>
      <sheetName val="COLUMN_(+12500)11"/>
      <sheetName val="COLUMN_(+15500)11"/>
      <sheetName val="ETC_11"/>
      <sheetName val="breakdown_of_wage_ra`f10"/>
      <sheetName val="breakdown_of_wage_ra10"/>
      <sheetName val="breakdown_of_wage_rað-10"/>
      <sheetName val="UP_MINOR11"/>
      <sheetName val="Discounted_Cash_Flow11"/>
      <sheetName val="Ocean_Transporation_Charge11"/>
      <sheetName val="Cash_Flow_bulanan11"/>
      <sheetName val="H_Satuan11"/>
      <sheetName val="Item_code11"/>
      <sheetName val="BO䁑-B_䁄OWN11"/>
      <sheetName val="Aux_11"/>
      <sheetName val="OCT_FDN11"/>
      <sheetName val="Bill_rekap11"/>
      <sheetName val="Harga_Satuan11"/>
      <sheetName val="F_ALARM11"/>
      <sheetName val="2_Overall_Summary_10"/>
      <sheetName val="Exchange_Rate11"/>
      <sheetName val="General_Notes11"/>
      <sheetName val="PABS,Site_info10"/>
      <sheetName val="0__Resource　Code10"/>
      <sheetName val="내역서_耰&quot;_x005f_x0000_11"/>
      <sheetName val="내역서_耰&quot;_x005f_x005f_11"/>
      <sheetName val="breakdown_of_wage_rap10"/>
      <sheetName val="breakdown_of_wage_ra10"/>
      <sheetName val="Process_Data_(2)11"/>
      <sheetName val="차트_(2)11"/>
      <sheetName val="2__현장_자금투입_집계표11"/>
      <sheetName val="Rates_&amp;_Legend11"/>
      <sheetName val="DATA_MENTAH10"/>
      <sheetName val="내역서_耰&quot;_10"/>
      <sheetName val="Material_code10"/>
      <sheetName val="_도면_및_도서_제출목록_및_일정_170202_xls11"/>
      <sheetName val="Raw_data10"/>
      <sheetName val="Distribution_Table10"/>
      <sheetName val="DROP_DOWN10"/>
      <sheetName val="개시대사_(2)10"/>
      <sheetName val="Action_Item10"/>
      <sheetName val="ID_CD10"/>
      <sheetName val="Equipment_Spec_List10"/>
      <sheetName val="SPEC_LIST(EQUP,_SYS)10"/>
      <sheetName val="Cashflow_Analysis8"/>
      <sheetName val="Finansal_tamamlanma_Eğrisi8"/>
      <sheetName val="내역서_(N____x000a_11"/>
      <sheetName val="HO_Site_Rates-201110"/>
      <sheetName val="Linelist_LNGC_Process10"/>
      <sheetName val="TQ_Format9"/>
      <sheetName val="breakdown_of_wage_raÐ¾9"/>
      <sheetName val="Additional_data9"/>
      <sheetName val="Particular_Sch10"/>
      <sheetName val="11_자재단가8"/>
      <sheetName val="Al_Taweelah10"/>
      <sheetName val="Air_Cooler-E10"/>
      <sheetName val="LIFE_&amp;_REP_PROVN8"/>
      <sheetName val="O&amp;M_CREW8"/>
      <sheetName val="SUM_9"/>
      <sheetName val="내역서_(∮ἀ嘆ɶ?᠀㬁?8"/>
      <sheetName val="INPUT_DATA_OF_SCHEDULE8"/>
      <sheetName val="Master_List8"/>
      <sheetName val="Attach_4-188"/>
      <sheetName val="33628-Rev__A8"/>
      <sheetName val="Admin_Manu_2-Equipment_Type_ID8"/>
      <sheetName val="OIL_SEPARATOR8"/>
      <sheetName val="CATCH_BASIN8"/>
      <sheetName val="FW_Post_Indicator_Valve_24&quot;8"/>
      <sheetName val="FW_Post_Indicator_Valve_20&quot;8"/>
      <sheetName val="FW_Post_Indicator_Valve_6&quot;8"/>
      <sheetName val="Fire_Monitor_or_Hydrant_6&quot;_FDN8"/>
      <sheetName val="SUMP_VB8"/>
      <sheetName val="CLEANOUT_4&quot;8"/>
      <sheetName val="Not_reqd8"/>
      <sheetName val="호환성_보고서8"/>
      <sheetName val="Fig_4-148"/>
      <sheetName val="GM_0008"/>
      <sheetName val="Tender_data8"/>
      <sheetName val="Itembalance_Report_(18-sep-18)8"/>
      <sheetName val="BUDGET_SUMMARY_8"/>
      <sheetName val="EQUIPOS_DE_SEGURIDAD8"/>
      <sheetName val="MATERIALES_CONSUMIBLES8"/>
      <sheetName val="PERSONAL_INDIRECTO_8"/>
      <sheetName val="Scheme_Area_Details_Block___C28"/>
      <sheetName val="14-Eng_rate8"/>
      <sheetName val="리스크_분류체계8"/>
      <sheetName val="Activity_Form8"/>
      <sheetName val="Schedule_8"/>
      <sheetName val="Loading_Struc8"/>
      <sheetName val="Loading_Pip8"/>
      <sheetName val="Loading_Overall_(BASE_Proposal8"/>
      <sheetName val="Steel_Structure8"/>
      <sheetName val="PIPING_AG-UG_NEW_UNITS8"/>
      <sheetName val="MEC_PIPING_PREFABR8"/>
      <sheetName val="Working_File-Pip8"/>
      <sheetName val="Equip_ISBL_&amp;_OSBL_8"/>
      <sheetName val="1_설계기준8"/>
      <sheetName val="광통신_견적내역서18"/>
      <sheetName val="Cash_Flow8"/>
      <sheetName val="5__월별투입내역서8"/>
      <sheetName val="Tables_3_1_to_3_5_EXH_G8"/>
      <sheetName val="List_register8"/>
      <sheetName val="Direct_Histogram_Rev__A_(f)8"/>
      <sheetName val="SECL_리스크_분류체계_(2)8"/>
      <sheetName val="REF_for_VV8"/>
      <sheetName val="설산1_나8"/>
      <sheetName val="일위대가_8"/>
      <sheetName val="05__Curva_S7"/>
      <sheetName val="P-Ins_&amp;_Bonds8"/>
      <sheetName val="INSTLIST_18"/>
      <sheetName val="Weekl_9"/>
      <sheetName val="내역서_(N____27"/>
      <sheetName val="내역서_(N____28"/>
      <sheetName val="__x08"/>
      <sheetName val="OPT_9"/>
      <sheetName val="Att-1_CTCI_MH_rate8"/>
      <sheetName val="Cost_Code8"/>
      <sheetName val="Data_Ref8"/>
      <sheetName val="Interdept_Rate8"/>
      <sheetName val="BM_#18"/>
      <sheetName val="Analisa_Fave8"/>
      <sheetName val="Harsat_Bahan8"/>
      <sheetName val="Harsat_Subkon8"/>
      <sheetName val="Harsat_Upah8"/>
      <sheetName val="Master_1_08"/>
      <sheetName val="Agregat_Halus_&amp;_Kasar8"/>
      <sheetName val="HARGA_MATERIAL8"/>
      <sheetName val="Harga_Sat_APP8"/>
      <sheetName val="Tgh_JGC-Inv_I_clp8"/>
      <sheetName val="PCS_8"/>
      <sheetName val="Progress_Statement-SI8"/>
      <sheetName val="Progress_Payment-31108"/>
      <sheetName val="Perm__Test8"/>
      <sheetName val="Galian_18"/>
      <sheetName val="Analisa_Lump_sum8"/>
      <sheetName val="Sec_I_ML8"/>
      <sheetName val="dongia_(2)8"/>
      <sheetName val="내역서_(N__x008"/>
      <sheetName val="64_48"/>
      <sheetName val="64_58"/>
      <sheetName val="36_28"/>
      <sheetName val="36_18"/>
      <sheetName val="Land_Dev't__Ph-120"/>
      <sheetName val="4300_UTILITY_BLDG_(2)8"/>
      <sheetName val="RESUMEN_CD6"/>
      <sheetName val="BOQ_REV66"/>
      <sheetName val="Maliyet_Ozet6"/>
      <sheetName val="1_1-1_26"/>
      <sheetName val="1_3-_1_46"/>
      <sheetName val="3_16"/>
      <sheetName val="3_26"/>
      <sheetName val="4_1(a)6"/>
      <sheetName val="4_1(b)6"/>
      <sheetName val="4_1_(c)6"/>
      <sheetName val="5_16"/>
      <sheetName val="1_11_b6"/>
      <sheetName val="SPEC(CABLE_&amp;_WIRE)6"/>
      <sheetName val="6_공정표6"/>
      <sheetName val="Bill_4_7_Predestain_Bridge_6"/>
      <sheetName val="Bill_4_7_Predestain6"/>
      <sheetName val="1_1_FT_type_16"/>
      <sheetName val="1_2_FT_type_1A6"/>
      <sheetName val="1_3_FT_type_26"/>
      <sheetName val="1_4_FT_type_36"/>
      <sheetName val="1_5_FT_type_46"/>
      <sheetName val="2_1_CL_Outside6"/>
      <sheetName val="2_2_CL_Inside6"/>
      <sheetName val="2_3_CL_Ramp6"/>
      <sheetName val="3_1_CB_Outside6"/>
      <sheetName val="3_2_CB_Inside6"/>
      <sheetName val="4_Stair6"/>
      <sheetName val="5_Ramp6"/>
      <sheetName val="6_Handrail6"/>
      <sheetName val="Invoice_(Interim_No_28)6"/>
      <sheetName val="Cost_Summary6"/>
      <sheetName val="Direct_Cost6"/>
      <sheetName val="Direct_Cost_(2)6"/>
      <sheetName val="Summary_(3)6"/>
      <sheetName val="Indirect_Cost_Summary6"/>
      <sheetName val="TR_Rev_vs_Commit6"/>
      <sheetName val="TR_+MMHE_PL_report6"/>
      <sheetName val="P23P2724___Commitment_6"/>
      <sheetName val="Ramp_data5"/>
      <sheetName val="Lower_Ground5"/>
      <sheetName val="Cap_Cost5"/>
      <sheetName val="RLV_Calc5"/>
      <sheetName val="Costs_(dev)5"/>
      <sheetName val="Bluewater_NPV_-_sell_January5"/>
      <sheetName val="Upper_Ground5"/>
      <sheetName val="PARK_NE5"/>
      <sheetName val="Financial_Summary5"/>
      <sheetName val="D&amp;C_Calcs5"/>
      <sheetName val="CA_Upside_Downside_Old5"/>
      <sheetName val="EASEL_CA_Example5"/>
      <sheetName val="내역서_(∮ἀ嘆ɶ_᠀㬁_7"/>
      <sheetName val="Vehicle_Log6"/>
      <sheetName val="M&amp;E_Summary6"/>
      <sheetName val="rev_summary6"/>
      <sheetName val="M&amp;E_Prelims6"/>
      <sheetName val="B-FP_(2)6"/>
      <sheetName val="Sch_16"/>
      <sheetName val="5_Cennik7"/>
      <sheetName val="내역서_(N____111"/>
      <sheetName val="External_Issues6"/>
      <sheetName val="Manpower_Categories6"/>
      <sheetName val="tblg_denda7"/>
      <sheetName val="F1_46"/>
      <sheetName val="5__Work_load(현재원기준)8"/>
      <sheetName val="4-Lane_bridge20"/>
      <sheetName val="P_Staff_fac5"/>
      <sheetName val="beam-reinft-IIInd_floor5"/>
      <sheetName val="P-Site_fac5"/>
      <sheetName val="P-Clients_fac5"/>
      <sheetName val="CONCRETE_TYPE6"/>
      <sheetName val="MFG_&amp;_DEL5"/>
      <sheetName val="A__ENGINEERING6"/>
      <sheetName val="B-1__배관자재6"/>
      <sheetName val="B-2__전기자재6"/>
      <sheetName val="B-3__계장자재6"/>
      <sheetName val="B-4__기계자재6"/>
      <sheetName val="C-1__공통가설6"/>
      <sheetName val="C-2__토목6"/>
      <sheetName val="C-4__철골6"/>
      <sheetName val="C-5__기계6"/>
      <sheetName val="C-6__배관6"/>
      <sheetName val="C-7__전기6"/>
      <sheetName val="C-8__계장6"/>
      <sheetName val="C-9__중장비6"/>
      <sheetName val="C-10__소방설비6"/>
      <sheetName val="C-11__보온6"/>
      <sheetName val="C-12__CMS6"/>
      <sheetName val="G_R300경비6"/>
      <sheetName val="AS포장복구_6"/>
      <sheetName val="중기조종사_단위단가6"/>
      <sheetName val="설_계6"/>
      <sheetName val="_토목_처리장도급내역서_6"/>
      <sheetName val="3_부제O호표6"/>
      <sheetName val="5_소모재료비6"/>
      <sheetName val="8_시멘트제원표6"/>
      <sheetName val="2_품제O호표6"/>
      <sheetName val="본부_SHOP6"/>
      <sheetName val="#6_MDU_일반6"/>
      <sheetName val="#6_MDU엄반장6"/>
      <sheetName val="#6MDU_기계6"/>
      <sheetName val="HOU_COMP`6"/>
      <sheetName val="FCC_OBL-SHOP6"/>
      <sheetName val="NEW_FCC_OBL6"/>
      <sheetName val="#4_MDU6"/>
      <sheetName val="#6_SHOP6"/>
      <sheetName val="NRC_OBL-조연식6"/>
      <sheetName val="광양-조연식_반장6"/>
      <sheetName val="#5MDU_REV6"/>
      <sheetName val="LBO_PROJECT6"/>
      <sheetName val="VENDOR_LIST6"/>
      <sheetName val="BOP_LINE_LIST6"/>
      <sheetName val="Equip_Mstr_FOR_3A16"/>
      <sheetName val="สรุปยอดเหล็กตาม_Cost_Record_VY6"/>
      <sheetName val="แนบ_PR6"/>
      <sheetName val="OR21_Final_Forecast_Rev_26"/>
      <sheetName val="Summary_Forecast_Budget_1&amp;26"/>
      <sheetName val="Summary_Forecast_Budget_Rev_26"/>
      <sheetName val="Backup_OR21_6"/>
      <sheetName val="Budget_for_ENT6"/>
      <sheetName val="ADJ__D-Wall&amp;BR_Ent__Rev_2_16"/>
      <sheetName val="Rebar+Conพื้น_Waste10%6"/>
      <sheetName val="Backup_D-Wall_Ent__13_07_196"/>
      <sheetName val="Backup_BR_ENT__13_07_196"/>
      <sheetName val="Final_Forecast_721116"/>
      <sheetName val="IMP_OR21_2019_07_116"/>
      <sheetName val="Concrete_721126"/>
      <sheetName val="หินเกล็ด_6"/>
      <sheetName val="เปรียบเทียบBudget_BR_6"/>
      <sheetName val="ADJ__BR_Ent__Rev_2_1_(2)6"/>
      <sheetName val="แผนงานBarrette_Pile6"/>
      <sheetName val="BOQ__VI_03_09_19_6"/>
      <sheetName val="Backup_BR_BMA6"/>
      <sheetName val="Sum_Budget&amp;Rev_16"/>
      <sheetName val="Sum_Budget_Rev_16"/>
      <sheetName val="Sum_Budget&amp;Rev_1_Rebar6"/>
      <sheetName val="Sum_Budget_Rev_2_Rebar6"/>
      <sheetName val="Rebar+Conพื้น_Waste10%_Rev_006"/>
      <sheetName val="Rebar+Conพื้น_Waste10%_Rev_01_6"/>
      <sheetName val="Equip_Rev_00_Budget6"/>
      <sheetName val="Budget_Waterpoofing6"/>
      <sheetName val="ABB_Summary6"/>
      <sheetName val="Man_power_rate6"/>
      <sheetName val="Const_equip_rate6"/>
      <sheetName val="01-Gang_Rate_&amp;_Info6"/>
      <sheetName val="05-Sum_Cost6"/>
      <sheetName val="06-Indirect_Loading6"/>
      <sheetName val="07-Heavy_Equipment6"/>
      <sheetName val="08-RR_Check_List6"/>
      <sheetName val="1)_Risk_and_Opportunities6"/>
      <sheetName val="2)_Full_Cost_Calculation6"/>
      <sheetName val="동상부_Tact_기준_반입일정_및_수량_02176"/>
      <sheetName val="Equipt_Rental6"/>
      <sheetName val="EQ_USED_(CORRECTED)6"/>
      <sheetName val="Rebar_Constant6"/>
      <sheetName val="Statprod_gab7"/>
      <sheetName val="L_17"/>
      <sheetName val="Eng_Hrs_(HO)5"/>
      <sheetName val="Garph_Work-Cost6"/>
      <sheetName val="LRK_6"/>
      <sheetName val="GRAND_REKAP5"/>
      <sheetName val="analisa_(2)5"/>
      <sheetName val="Analisa_25"/>
      <sheetName val="Up_&amp;_bhn5"/>
      <sheetName val="HRG_BHN5"/>
      <sheetName val="Analisa_(ok_punya)5"/>
      <sheetName val="Alat_(2)5"/>
      <sheetName val="InsertListDrawing_1_5"/>
      <sheetName val="InD_Mpower6"/>
      <sheetName val="Rekap_Biaya5"/>
      <sheetName val="Kuantitas_&amp;_Harga5"/>
      <sheetName val="Nopember_(2)5"/>
      <sheetName val="Chap_2-_Page_4_4"/>
      <sheetName val="VAT_TU_DIEN4"/>
      <sheetName val="bldg_list4"/>
      <sheetName val="P2-Project_Data5"/>
      <sheetName val="a_h_ars_sum5"/>
      <sheetName val="a_h_ars5"/>
      <sheetName val="DAF_HRG5"/>
      <sheetName val="Urai__Resap_pengikat5"/>
      <sheetName val="Kolom_UT5"/>
      <sheetName val="HB_5"/>
      <sheetName val="7_공정표5"/>
      <sheetName val="SWALE_(구산)4"/>
      <sheetName val="REF_ONLY4"/>
      <sheetName val="Memb_Schd5"/>
      <sheetName val="Coef_et_données5"/>
      <sheetName val="원가조정_내역5"/>
      <sheetName val="Data_Ref_4"/>
      <sheetName val="KKS_System_Codes4"/>
      <sheetName val="Price_Schedule_Code4"/>
      <sheetName val="내역서_(N____29"/>
      <sheetName val="Dsr_Hitung3"/>
      <sheetName val="Mat_Tower3"/>
      <sheetName val="RT13526_CPI3"/>
      <sheetName val="Inputs_-_Results3"/>
      <sheetName val="GENERAL_3"/>
      <sheetName val="Tank_Loading3"/>
      <sheetName val="Fdn_Calc3"/>
      <sheetName val="LATERAL_OCDI_BH-023"/>
      <sheetName val="Lateral_Broms3"/>
      <sheetName val="N-SPT_corr3"/>
      <sheetName val="Curve_N-SPT3"/>
      <sheetName val="COST_BD3"/>
      <sheetName val="MSP-Operator_Building-Area_C3"/>
      <sheetName val="Monthly_S_Curve_SPK3"/>
      <sheetName val="UPAH_&amp;_BHN_ARS3"/>
      <sheetName val="AHS_ARS3"/>
      <sheetName val="Analisa_HSP3"/>
      <sheetName val="입찰내역_발주처_양卤3"/>
      <sheetName val="Analisa_Neraca3"/>
      <sheetName val="ENE-CAL_14"/>
      <sheetName val="Scaffolding_Volume3"/>
      <sheetName val="ANAL_BOW3"/>
      <sheetName val="Isolasi_Luar_Dalam3"/>
      <sheetName val="Isolasi_Luar3"/>
      <sheetName val="내역서_(N____210"/>
      <sheetName val="график_финансирования3"/>
      <sheetName val="OE_(KSB)3"/>
      <sheetName val="Ana__PU3"/>
      <sheetName val="galian_saluran3"/>
      <sheetName val="Perhit_Alat3"/>
      <sheetName val="05_Analisa_Teknik3"/>
      <sheetName val="내역서_耰&quot;_x005f10"/>
      <sheetName val="Analisa_SNI_STANDART_3"/>
      <sheetName val="1_B3"/>
      <sheetName val="MASTER_RATE_ANALYSIS6"/>
      <sheetName val="MN_T_B_6"/>
      <sheetName val="INDIGINEOUS_ITEMS_6"/>
      <sheetName val="Core_Data6"/>
      <sheetName val="final_abstract6"/>
      <sheetName val="Appendix_A2"/>
      <sheetName val="-0_5_TABLA_PRESUPUESTOS4"/>
      <sheetName val="ﾄﾞﾊﾞｲFUEL_GAS追見4"/>
      <sheetName val="breakdown_of_FA1133"/>
      <sheetName val="Insulation_1501086"/>
      <sheetName val="Sheet_143"/>
      <sheetName val="SANDAN_XLS12"/>
      <sheetName val="Project_D3"/>
      <sheetName val="Tender_Summary3"/>
      <sheetName val="PLSt_03__2"/>
      <sheetName val="П_7_курс_аванса2"/>
      <sheetName val="IncStat_03-042"/>
      <sheetName val="IncStat_03__2"/>
      <sheetName val="Авансы_по_СНГ2"/>
      <sheetName val="Home_Office2"/>
      <sheetName val="6_2_Floor_Finishes4"/>
      <sheetName val="C1_(calcolo)2"/>
      <sheetName val="Week_ending2"/>
      <sheetName val="Planners_Workload2"/>
      <sheetName val="MAY_00-Bobbins2"/>
      <sheetName val="2_2_띠장의_설계2"/>
      <sheetName val="Raw_Ref2"/>
      <sheetName val="Cost_Codes2"/>
      <sheetName val="(10)_Other_Costs52"/>
      <sheetName val="Ra__stair3"/>
      <sheetName val="Addendum_No_1_BILL_23"/>
      <sheetName val="7_6_3_J_Inline_Instrument2"/>
      <sheetName val="Bang_KL2"/>
      <sheetName val="Harga_Mat_3"/>
      <sheetName val="Code_072"/>
      <sheetName val="combined_9-3028"/>
      <sheetName val="worksheet_inchican28"/>
      <sheetName val="combined_9_3028"/>
      <sheetName val="bar_chart-rev28"/>
      <sheetName val="MATERIAL'S_PRICE26"/>
      <sheetName val="Schedule_S-Curve_Revision#324"/>
      <sheetName val="PC_&amp;_PVS22"/>
      <sheetName val="2_223M_due_to_adj_profit17"/>
      <sheetName val="Inchican_Road_Accomplishment20"/>
      <sheetName val="Shut_down17"/>
      <sheetName val="bill_217"/>
      <sheetName val="sorksheet_inchican17"/>
      <sheetName val="sombined_9-3017"/>
      <sheetName val="PH_517"/>
      <sheetName val="remaining_billing17"/>
      <sheetName val="Hac_Lots17"/>
      <sheetName val="Res_Lots17"/>
      <sheetName val="Spine_Road17"/>
      <sheetName val="INPUT_DATA_HERE16"/>
      <sheetName val="option_Y116"/>
      <sheetName val="Summary_(overall)3"/>
      <sheetName val="Adimi_bldg3"/>
      <sheetName val="Pump_House3"/>
      <sheetName val="Fuel_Regu_Station3"/>
      <sheetName val="Footing_Tie_Beam3"/>
      <sheetName val="FINAL_NEGO3"/>
      <sheetName val="RFP_Codes3"/>
      <sheetName val="Bill_summary_of_cost3"/>
      <sheetName val="unit_price3"/>
      <sheetName val="Schedule_S-Curve_(new_scheme)3"/>
      <sheetName val="Fire_Suppression3"/>
      <sheetName val="tabulation_(comparison)3"/>
      <sheetName val="area_comp_2011_01_183"/>
      <sheetName val="Tabulation_2"/>
      <sheetName val="3_-RESOURCE_LIST2"/>
      <sheetName val="0_-SUMMARY2"/>
      <sheetName val="3_2_AUX2"/>
      <sheetName val="3_3_AUX-22"/>
      <sheetName val="GRAND_SUM2"/>
      <sheetName val="VCC_11110-4612"/>
      <sheetName val="JGSummit_Package_2_(CTCI)3"/>
      <sheetName val="5_5FWBS_CODE2"/>
      <sheetName val="1195_B13"/>
      <sheetName val="page_63"/>
      <sheetName val="Capel_KI3"/>
      <sheetName val="Capel_PK3"/>
      <sheetName val="Summary_HS_Pipa_CS3"/>
      <sheetName val="Raw_Data-Combined3"/>
      <sheetName val="Instrument_Proc2"/>
      <sheetName val="MTO_Civil_Work2"/>
      <sheetName val="Sched_3_(Construction)2"/>
      <sheetName val="Sched_1_(Engineering)2"/>
      <sheetName val="Sched_2_(Procurement_2"/>
      <sheetName val="JOB_Code2"/>
      <sheetName val="COVER_RECAP_INSTALL_(2)2"/>
      <sheetName val="Rekap_Summary2"/>
      <sheetName val="Rekap_Breakdown2"/>
      <sheetName val="Detail_Eng2"/>
      <sheetName val="Equiv_Length2"/>
      <sheetName val="lkalibrasi_BENENAIN3"/>
      <sheetName val="Integrated-S_Curve2"/>
      <sheetName val="_hrg_bhn3"/>
      <sheetName val="Main_Control2"/>
      <sheetName val="Man_Power2"/>
      <sheetName val="pro_ra_op2"/>
      <sheetName val="analis_standar(8m)2"/>
      <sheetName val="ShareCapital_2"/>
      <sheetName val="내역서_(∮ἀ嘆ɶ_x005f_x0000_᠀㬁_x005f_x0000_2"/>
      <sheetName val="__x005f_x0000__x005f_x001b__x005f_x0000__x005f_x0006__3"/>
      <sheetName val="내역서_耰&quot;_x005f_x005f_x005f_x0000__x00006"/>
      <sheetName val="내역서_(N__x005f_x000e__x005f_x000e__x005f_x000e___2"/>
      <sheetName val="내역서_(N____x005f_x000a_5"/>
      <sheetName val="Bangunan_Utama2"/>
      <sheetName val="Hrg_Sat2"/>
      <sheetName val="BILL_12"/>
      <sheetName val="Step2_-&gt;_Mat__Cost2"/>
      <sheetName val="Team_3_S-Curve2"/>
      <sheetName val="Rekap_Addendum3"/>
      <sheetName val="AT_23"/>
      <sheetName val="Section_13"/>
      <sheetName val="MH_and_Unit_Cost2"/>
      <sheetName val="Material_Cost(as_per_Nation)2"/>
      <sheetName val="Materials_1"/>
      <sheetName val="Rekap_Analisa2"/>
      <sheetName val="ANALISA_PEK_UMUM2"/>
      <sheetName val="IN_OUT2"/>
      <sheetName val="내역서_ᢐ_x005f_x001f_2"/>
      <sheetName val="내역서_ᢐ_x005f_x001f__x005f_x0000__x005f_x0000_2"/>
      <sheetName val="Sat_Bah___Up2"/>
      <sheetName val="DATA_PROYEK2"/>
      <sheetName val="rab_me_(by_owner)_2"/>
      <sheetName val="BQ_(by_owner)2"/>
      <sheetName val="rab_me_(fisik)2"/>
      <sheetName val="LIST_ANHARSAT2"/>
      <sheetName val="BQ_Working2"/>
      <sheetName val="P__control2"/>
      <sheetName val="Costing_Detailed2"/>
      <sheetName val="Basic_Data_Inputs2"/>
      <sheetName val="Star_Rate2"/>
      <sheetName val="LV_induction_2"/>
      <sheetName val="TEMP_PROFILE2"/>
      <sheetName val="_선택_속성(잠금)2"/>
      <sheetName val="Drop-down_lists2"/>
      <sheetName val="9011_EXPAT_MANP2"/>
      <sheetName val="App_A_Basis_of_Design2"/>
      <sheetName val="renc_mgn2"/>
      <sheetName val="BQ_Summary2"/>
      <sheetName val="Dinh_muc_CP_KTCB_khac2"/>
      <sheetName val="TH_May_TC2"/>
      <sheetName val="KLDT_DIEN2"/>
      <sheetName val="PTVT_DIEN2"/>
      <sheetName val="TH_kinh_phi2"/>
      <sheetName val="Thong_ke_thiet_bi2"/>
      <sheetName val="TH_vat_tu2"/>
      <sheetName val="A_SIS2"/>
      <sheetName val="gia_vt2"/>
      <sheetName val="1_BILL_MOI_THAU_CAN_THUONG2"/>
      <sheetName val="PHAN_NGAM2"/>
      <sheetName val="tabel_berat2"/>
      <sheetName val="Process_Piping2"/>
      <sheetName val="MR_EUR2"/>
      <sheetName val="Ind__Budget2"/>
      <sheetName val="내역서_耰&quot;_x005f_x0000__x005f_x005f_x00002"/>
      <sheetName val="Daily_Photo2"/>
      <sheetName val="Manpower_Status2"/>
      <sheetName val="ENQ222394AL_NASR_Steel_Report1"/>
      <sheetName val="uraian_analisa2"/>
      <sheetName val="8LT_122"/>
      <sheetName val="Basic_Price2"/>
      <sheetName val="집계표(2_안)2"/>
      <sheetName val="Dynamic_Query1"/>
      <sheetName val="cost_curve_calc2"/>
      <sheetName val="1_0_Criteria_New1"/>
      <sheetName val="SEK_Vertrieb2"/>
      <sheetName val="SEK_Montage2"/>
      <sheetName val="SEK_IBN2"/>
      <sheetName val="VS_P-Q2"/>
      <sheetName val="建筑定额_(2002)2"/>
      <sheetName val="ADI_Edison_Termoelettrica2"/>
      <sheetName val="Daily_Forwards2"/>
      <sheetName val="Harga_material_12"/>
      <sheetName val="Peralatan_(2)2"/>
      <sheetName val="İnsan_Gücü1"/>
      <sheetName val="LV_induction_mot2"/>
      <sheetName val="RINC_hotel1"/>
      <sheetName val="RINC_FIN_T4_1"/>
      <sheetName val="RINC_FIN_T4___3_1"/>
      <sheetName val="RINC_FIN_T4___2_1"/>
      <sheetName val="КС2_24_1-8_(4_1_8_11_200)corr2"/>
      <sheetName val="Project_Grading1"/>
      <sheetName val="Fire_Fighting1"/>
      <sheetName val="HARGA_DASAR1"/>
      <sheetName val="KR2&amp;KVCM(MAR_1-6'99)1"/>
      <sheetName val="ANALISA_KONST_BTN1"/>
      <sheetName val="Page_22"/>
      <sheetName val="Bilanz_Bus_plan_20021"/>
      <sheetName val="Mei_LD1"/>
      <sheetName val="Data_Input1"/>
      <sheetName val="Project_budget_BTS1"/>
      <sheetName val="Well_Plan_11"/>
      <sheetName val="ANL_TEK_61"/>
      <sheetName val="HM_MEK_1"/>
      <sheetName val="PAD_TR보호대기초1"/>
      <sheetName val="Bill_of_Qty1"/>
      <sheetName val="ALAT2_(TDK_DIPAKAI)1"/>
      <sheetName val="Fill_this_out_first___1"/>
      <sheetName val="Z-_GENERAL_PRIC橿⿂1"/>
      <sheetName val="Z-_GENERAL_PRIC鋘@俀~橿⿂1"/>
      <sheetName val="Z-_GENERAL_PRIC1"/>
      <sheetName val="TH_VL,_NC,_DDHT_Thanhphuoc1"/>
      <sheetName val="报价说明_(3)1"/>
      <sheetName val="报价说明_(4)1"/>
      <sheetName val="2_履约阶段供应链管理计划1"/>
      <sheetName val="sis_xlm1"/>
      <sheetName val="spot_prices1"/>
      <sheetName val="Forma_E-171"/>
      <sheetName val="1999_BUDGET1"/>
      <sheetName val="M_MM1"/>
      <sheetName val="JIB CRANE,HOIST"/>
      <sheetName val="2002년_현장공사비_국내_ꠀꌕ⠃"/>
      <sheetName val="실행예산_MM_x0019_2"/>
      <sheetName val="ITB_COST13볷檼謀谁臛픉_x0016_"/>
      <sheetName val="배製㤁"/>
      <sheetName val="011C101"/>
      <sheetName val="15.2 - HVAC Works"/>
      <sheetName val="Sheet233"/>
      <sheetName val="Sheet229"/>
      <sheetName val="[SANDAN.XLS€??"/>
      <sheetName val="Mix Design"/>
      <sheetName val="업무처리전"/>
      <sheetName val="用水量"/>
      <sheetName val="입상내역"/>
      <sheetName val="L V Separator"/>
      <sheetName val="SITE DEV,T"/>
      <sheetName val="Change_Order_Log"/>
      <sheetName val="Bored_Pile"/>
      <sheetName val="03-13_Anticipated"/>
      <sheetName val="03-13_Approved"/>
      <sheetName val="Change_Order_Log1"/>
      <sheetName val="수량집계표"/>
      <sheetName val="MIJIBI"/>
      <sheetName val="unit_weight"/>
      <sheetName val="1)_COMMON_FACILITIES1"/>
      <sheetName val="ES-aLL"/>
      <sheetName val="HASAT"/>
      <sheetName val="Unit Price Analysis"/>
      <sheetName val="Piping_BQ_fMrZone_turbine7"/>
      <sheetName val="3_Breakdown_Direct_Saent9"/>
      <sheetName val="ocean_voyage"/>
      <sheetName val="anal_rab"/>
      <sheetName val="Pivot_Table"/>
      <sheetName val="일위대가-1"/>
      <sheetName val="old BREADKOWN"/>
      <sheetName val="Blk A"/>
      <sheetName val="경비"/>
      <sheetName val="지질조사분석"/>
      <sheetName val="Bill 2K"/>
      <sheetName val="ESTRECAP"/>
      <sheetName val="PDA2"/>
      <sheetName val="ExSum"/>
      <sheetName val="방배2E"/>
      <sheetName val="CONSTANT"/>
      <sheetName val="form"/>
      <sheetName val="CHECKLIST"/>
      <sheetName val="Angkatan Mewah"/>
      <sheetName val="March"/>
      <sheetName val="FOL - Bar"/>
      <sheetName val="7.조직표 (수정)"/>
      <sheetName val="TCS"/>
      <sheetName val="#REF!"/>
      <sheetName val="원가계산서구조조정"/>
      <sheetName val="토적표"/>
      <sheetName val="Gas_Specific_Gravities_and_GHV"/>
      <sheetName val="Issue_Log_"/>
      <sheetName val="Material_Groups"/>
      <sheetName val="Material_Kind"/>
      <sheetName val="P_M_별"/>
      <sheetName val="내역서_(CIVI鷘ș痰"/>
      <sheetName val="내역서_(CIVI痰ā㨬Õ"/>
      <sheetName val="내역서_(CIVI"/>
      <sheetName val="내역서_(∮ἀ嘆ɶ᠀㬁4"/>
      <sheetName val="사업부배부A"/>
      <sheetName val="S. Détail Matériel"/>
      <sheetName val="SUMMARY_MTO_02_2_357"/>
      <sheetName val="N_G_METERING_CALC_7"/>
      <sheetName val="N_G_METERING7"/>
      <sheetName val="N_G_METERING_(2)7"/>
      <sheetName val="CUMENE_METERING7"/>
      <sheetName val="N2_METERING_7"/>
      <sheetName val="H2_METERING__7"/>
      <sheetName val="CO_METERING7"/>
      <sheetName val="SPT_vs_PHI7"/>
      <sheetName val="1_자금요약7"/>
      <sheetName val="2_실행비투입7"/>
      <sheetName val="3_본사집계7"/>
      <sheetName val="3-1_본사투입7"/>
      <sheetName val="4_지사집계7"/>
      <sheetName val="4-1_지사투입7"/>
      <sheetName val="5_현장총집계7"/>
      <sheetName val="5-1_현금집계7"/>
      <sheetName val="5-2_현금출납7"/>
      <sheetName val="5-3_외상집계7"/>
      <sheetName val="5-4_외상투입7"/>
      <sheetName val="6_미지급금7"/>
      <sheetName val="5-5_기타공제집계7"/>
      <sheetName val="5-6_기타공제7"/>
      <sheetName val="7_기성현황(실)7"/>
      <sheetName val="8_한국인수당7"/>
      <sheetName val="8_한국인수당_(Master_file)7"/>
      <sheetName val="9_기타수입7"/>
      <sheetName val="10_투입집계7"/>
      <sheetName val="5-4_외상투입_(2)7"/>
      <sheetName val="16_기성현황(예)7"/>
      <sheetName val="17_자금요약27"/>
      <sheetName val="18_실행대비투입27"/>
      <sheetName val="Payment_Certificate-17"/>
      <sheetName val="Floor_wet7"/>
      <sheetName val="Floor_Balcony7"/>
      <sheetName val="Hard_scape_Floor7"/>
      <sheetName val="P03_Skirting7"/>
      <sheetName val="GF_wall7"/>
      <sheetName val="Kitchen_Wall_wet_LIN-7017"/>
      <sheetName val="Wall_wet_LIN-601_7"/>
      <sheetName val="BOQ_(2)7"/>
      <sheetName val="VO_Schedule-17"/>
      <sheetName val="HOLD_AMOUNT7"/>
      <sheetName val="Back_Charge_(2)7"/>
      <sheetName val="Temporary_Deductions-1_7"/>
      <sheetName val="Contracharges_Check_list-1_7"/>
      <sheetName val="PC_037"/>
      <sheetName val="Measurement_sheet7"/>
      <sheetName val="Material_Only7"/>
      <sheetName val="Man_power_supply7"/>
      <sheetName val="Camp_Deduction7"/>
      <sheetName val="Enron_Form7"/>
      <sheetName val="IRR_sponsor7"/>
      <sheetName val="Consortium_VP7"/>
      <sheetName val="Summary_MONTH7"/>
      <sheetName val="DESICON_SUM7"/>
      <sheetName val="DES_TCF_Rental7"/>
      <sheetName val="DES_TCF_Maints_pers7"/>
      <sheetName val="DES_TCF_Heavy_Equipment7"/>
      <sheetName val="BANK_BOND7"/>
      <sheetName val="PHC_WAREHOUSE_-_INFOONLY7"/>
      <sheetName val="CATERING_CONTROL7"/>
      <sheetName val="SUB_CONTRACT7"/>
      <sheetName val="SPDC_-_INFONLY7"/>
      <sheetName val="VENDOR_SCHEDUL7"/>
      <sheetName val="VENDOR_PRESENCE_-_COMM7"/>
      <sheetName val="VENDOR_PRESENCE_-_RECH7"/>
      <sheetName val="VENDOR_PRESENCE_-_COMM_7"/>
      <sheetName val="CONTRACT_RATES7"/>
      <sheetName val="Sch_67"/>
      <sheetName val="2013电气概算_价目表_(营改增调整)7"/>
      <sheetName val="List_Equip7"/>
      <sheetName val="Process_C_(1-166)7"/>
      <sheetName val="TRUCK_HAUL_CYCLE-waste7"/>
      <sheetName val="Existing_PC_Pavement7"/>
      <sheetName val="Master_Data7"/>
      <sheetName val="ind'l_cp7"/>
      <sheetName val="LAST_UPDATE7"/>
      <sheetName val="0_품의서(전체)7"/>
      <sheetName val="Other_data7"/>
      <sheetName val="p_mgmt1"/>
      <sheetName val="Dati_base1"/>
      <sheetName val="Asset_Mansys_Sum1"/>
      <sheetName val="Job_List_(2)1"/>
      <sheetName val="Constn_&amp;_Install_-_LEV_41"/>
      <sheetName val="LEV_4_Project_Managem1"/>
      <sheetName val="Site_Management1"/>
      <sheetName val="Manhrs_Sum1"/>
      <sheetName val="BG_Working_Sheet1"/>
      <sheetName val="Batam_Forecast3"/>
      <sheetName val="Batam_Forecast_jun3"/>
      <sheetName val="Fabrication_Summary3"/>
      <sheetName val="D6978_Mar_21_-_FProj073"/>
      <sheetName val="GEAC_-_Dec193"/>
      <sheetName val="State_List1"/>
      <sheetName val="COS_REP_XLS1"/>
      <sheetName val="DIV_91"/>
      <sheetName val="LOKASI_RIG_Litbang1"/>
      <sheetName val="struktur_tdk_dipakai1"/>
      <sheetName val="upah_bahan1"/>
      <sheetName val="AnalisaSIPIL_RIIL1"/>
      <sheetName val="Har_Sat1"/>
      <sheetName val="Rek_Analisa1"/>
      <sheetName val="HRG_BAHAN_&amp;_UPAH_okk1"/>
      <sheetName val="TS_MINGGUAN_rev_(2)1"/>
      <sheetName val="DAF_ALAT1"/>
      <sheetName val="Perhitungan_RAB1"/>
      <sheetName val="INPUT_DATAS1"/>
      <sheetName val="ABK_04_AWALR+CO+TAB_RUPS1"/>
      <sheetName val="9_58&quot;_single1"/>
      <sheetName val="A-11_Steel_Str1"/>
      <sheetName val="A-03_Pile1"/>
      <sheetName val="CONS_1"/>
      <sheetName val="Country_(kVA-Hz_)1"/>
      <sheetName val="Vind_-鴃宼蠀1"/>
      <sheetName val="1_집계표(일반전기)1"/>
      <sheetName val="2_집계표(선행공사)1"/>
      <sheetName val="3_집계표(소방공사)1"/>
      <sheetName val="CABLE_TRAY1"/>
      <sheetName val="아파트_기성내역서1"/>
      <sheetName val="HaulingLine_hardware1"/>
      <sheetName val="S_Curve1"/>
      <sheetName val="Branch_Power1"/>
      <sheetName val="C__letter_3rd_QT1"/>
      <sheetName val="cespiti_cet2_piombino_(2)1"/>
      <sheetName val="建筑工程统计表06月份_1"/>
      <sheetName val="내역서_耰&quot;15"/>
      <sheetName val="Precios_Unitariԯ7"/>
      <sheetName val="sch_1_21"/>
      <sheetName val="B_10_(4)1"/>
      <sheetName val="Rev_1"/>
      <sheetName val="Sheet1_(4)1"/>
      <sheetName val="내역서_(N____31"/>
      <sheetName val="내역서_(N____41"/>
      <sheetName val="내역서_(N____51"/>
      <sheetName val="?_????_?"/>
      <sheetName val="Weekl??_?"/>
      <sheetName val="?_?_x0"/>
      <sheetName val="_??_x0"/>
      <sheetName val="OPT??_?"/>
      <sheetName val="내역서_(N____61"/>
      <sheetName val="내역서_(N____71"/>
      <sheetName val="내역서_(N____81"/>
      <sheetName val="내역서_耰&quot;_x000010"/>
      <sheetName val="PROG_"/>
      <sheetName val="WITHOUT_C&amp;I_PROFIT_(3)1"/>
      <sheetName val="2__Steel_Structural"/>
      <sheetName val="Unit_of_Measurement_"/>
      <sheetName val="Calc_Sheet"/>
      <sheetName val="H__Dasar"/>
      <sheetName val="HRG_BH"/>
      <sheetName val="CHITIET_VL-NC-TT_-1p"/>
      <sheetName val="TONG_HOP_VL-NC"/>
      <sheetName val="TONGKE3p_"/>
      <sheetName val="DON_GIA"/>
      <sheetName val="t-h_HA_THE"/>
      <sheetName val="THPDMoi__(2)"/>
      <sheetName val="TONG_HOP_VL-NC_TT"/>
      <sheetName val="TH_XL"/>
      <sheetName val="CHITIET_VL-NC"/>
      <sheetName val="HARGA_SAT"/>
      <sheetName val="DIV_32"/>
      <sheetName val="Unit_Rate"/>
      <sheetName val="D-3_(M)"/>
      <sheetName val="D-7_(M)"/>
      <sheetName val="01A-_RAB"/>
      <sheetName val="Cycle_Time"/>
      <sheetName val="rekap_harga_satuan_pek"/>
      <sheetName val="rab_j17"/>
      <sheetName val="첨부2__물량소화계획_상세"/>
      <sheetName val="Breakdown_Instrument"/>
      <sheetName val="Hujan_BUlanan"/>
      <sheetName val="Deliverable_list"/>
      <sheetName val="member_design"/>
      <sheetName val="Data_basic_price_jgan_diprint"/>
      <sheetName val="Sewa_Alat"/>
      <sheetName val="BQ_ARS"/>
      <sheetName val="DAFTAR_ISI"/>
      <sheetName val="DAFTAR_TBL___FORM"/>
      <sheetName val="Harga_ME_"/>
      <sheetName val="Form_4___4_A"/>
      <sheetName val="T-3_2_UP_Material"/>
      <sheetName val="Analisa_STR"/>
      <sheetName val="anal_alat"/>
      <sheetName val="Daf_1"/>
      <sheetName val="Data_SRL"/>
      <sheetName val="Data_Prod_Graf"/>
      <sheetName val="RAB_J18_"/>
      <sheetName val="HARGA_J18"/>
      <sheetName val="analisa_J18"/>
      <sheetName val="Cash_Out_Table"/>
      <sheetName val="Net_Cash_Table"/>
      <sheetName val="Basic_Rate1"/>
      <sheetName val="앉음벽_(2)"/>
      <sheetName val="5_새들부해석_및_철근배근"/>
      <sheetName val="Executive_Summary_(Aug_25)"/>
      <sheetName val="5_세운W-A"/>
      <sheetName val="Rek_An"/>
      <sheetName val="Rencana_Anggaran_Biaya"/>
      <sheetName val="BCC_CABLE_DATA"/>
      <sheetName val="FJR_CABLE_DATA"/>
      <sheetName val="JRT_CABLE_DATA"/>
      <sheetName val="PD_CABLE_DATA_"/>
      <sheetName val="TBA_CABLE_DATA"/>
      <sheetName val="TY_CABLE_DATA"/>
      <sheetName val="5a__Code_E"/>
      <sheetName val="PUNCH_DESCRIPTION"/>
      <sheetName val="GENDATA_Sht_1"/>
      <sheetName val="RELACION_COSTE"/>
      <sheetName val="Sheet"/>
      <sheetName val="New_Rates"/>
      <sheetName val="OOC_Form"/>
      <sheetName val="Fee_Rate_Summary"/>
      <sheetName val="Committed_Cost"/>
      <sheetName val="Div26_-_Elect"/>
      <sheetName val="Cut_to_spoil_(sound_rock)"/>
      <sheetName val="Cut_to_spoil_(soft_rock)"/>
      <sheetName val="Extra_over_haulages__"/>
      <sheetName val="Fill_from_borrow"/>
      <sheetName val="Milling_10_6_TO_58"/>
      <sheetName val="Removal_Top_Soil"/>
      <sheetName val="Removal_unsuitable"/>
      <sheetName val="Site_clearance"/>
      <sheetName val="Data_Sheet1"/>
      <sheetName val="@risk_rents_and_incentives"/>
      <sheetName val="Car_park_lease"/>
      <sheetName val="Net_rent_analysis"/>
      <sheetName val="cost_project"/>
      <sheetName val="co-no_2"/>
      <sheetName val="Labor_abs-NMR"/>
      <sheetName val="Malaysia_incl__RET"/>
      <sheetName val="GM_&amp;_TA"/>
      <sheetName val="Zone_1"/>
      <sheetName val="Zone_2"/>
      <sheetName val="Zone_3"/>
      <sheetName val="Zone_4"/>
      <sheetName val="Zone_5"/>
      <sheetName val="0__Index"/>
      <sheetName val="Issue_Detail_(2nd_Stage)"/>
      <sheetName val="환경기계공정표_(3)"/>
      <sheetName val="Project_Information_In-Out"/>
      <sheetName val="Cause_Categories"/>
      <sheetName val="3__PE_Unit_"/>
      <sheetName val="FPF-Unit_Rates"/>
      <sheetName val="PNT-Unit_Rates"/>
      <sheetName val="1_间接人工费"/>
      <sheetName val="Chart_Data"/>
      <sheetName val="S&amp;M_Opex"/>
      <sheetName val="Man__Sum_"/>
      <sheetName val="unit_mh_study"/>
      <sheetName val="Offer_Sum_"/>
      <sheetName val="Indirect_Pers_"/>
      <sheetName val="endirek_ad-sa"/>
      <sheetName val="Support_Pers_"/>
      <sheetName val="Indirect_Pers__Assumptions"/>
      <sheetName val="ind__cost_of_direct"/>
      <sheetName val="Net_Salary_of_a_Direct"/>
      <sheetName val="Direct_Cost_Sum_"/>
      <sheetName val="Water_Cons_"/>
      <sheetName val="Ind_Sale"/>
      <sheetName val="GWP3_Outfitting_Works_Indirect_"/>
      <sheetName val="19__drill_CD6"/>
      <sheetName val="Named_Range"/>
      <sheetName val="Floor_Level"/>
      <sheetName val="MASTER_AR"/>
      <sheetName val="8&gt;한국인수당_(Master_file)"/>
      <sheetName val="Ca_máy"/>
      <sheetName val="Cước_VC_+_ĐM_CP_Tư_vấn"/>
      <sheetName val="Dự_toán"/>
      <sheetName val="Đơn_Giá_TH"/>
      <sheetName val="Nhân_công"/>
      <sheetName val="Phân_tích"/>
      <sheetName val="Hệ_số"/>
      <sheetName val="C_P_Thiết_bị"/>
      <sheetName val="T_H_Kinh_phí"/>
      <sheetName val="Vật_tư"/>
      <sheetName val="Trang_bìa"/>
      <sheetName val="TWO_PASS"/>
      <sheetName val="THREE_PASS"/>
      <sheetName val="D_Base"/>
      <sheetName val="STEP1_a-JUL03"/>
      <sheetName val="Equip_COA_Sumry"/>
      <sheetName val="Rekap_Bill"/>
      <sheetName val="Jdw_Alat"/>
      <sheetName val="S_Penawar"/>
      <sheetName val="Analis_harga"/>
      <sheetName val="Sat_Bah_&amp;_Up"/>
      <sheetName val="_PE-F-42_MR_9_Manpower"/>
      <sheetName val="TABEL_BAJA"/>
      <sheetName val="Analis_Kusen_okk"/>
      <sheetName val="Item_Kompensasi"/>
      <sheetName val="rekap_str+ars"/>
      <sheetName val="TOWER_12TON"/>
      <sheetName val="TOWER_10TON"/>
      <sheetName val="내역서_耰&quot;_x005f_x005f_x005f_x005F_x005f_x0000_1"/>
      <sheetName val="내역서_耰&quot;_x005f_x005f_x005f_x005F_x005f_x005f_1"/>
      <sheetName val="내역서_耰&quot;?_x00004"/>
      <sheetName val="_??_x"/>
      <sheetName val="내역서_ᢐ??"/>
      <sheetName val="_??_x1"/>
      <sheetName val="Weekl?_x000"/>
      <sheetName val="Precios_Unitariԯ?"/>
      <sheetName val="OPT??"/>
      <sheetName val="내역서_耰&quot;?3"/>
      <sheetName val="?"/>
      <sheetName val="AP_'S_ANALYSIS"/>
      <sheetName val="23_FILTH_"/>
      <sheetName val="02_01E_coli"/>
      <sheetName val="_anal_hrg_sat"/>
      <sheetName val="RAB_KapukII"/>
      <sheetName val="BOKOR_TOPSIDE_LS_3_17M480R"/>
      <sheetName val="Riesgos_y_Oportunidades"/>
      <sheetName val="Cover_(sh_1)"/>
      <sheetName val="Control_Panel"/>
      <sheetName val="using_rjs409_progress_data"/>
      <sheetName val="Summary_F-217_R6"/>
      <sheetName val="BEU_btm_nozz_@_tsht"/>
      <sheetName val="Cover_Sheet"/>
      <sheetName val="SI_No_25"/>
      <sheetName val="Additional_Work"/>
      <sheetName val="D_-12"/>
      <sheetName val="A_H_S_P"/>
      <sheetName val="Harga_Bahan"/>
      <sheetName val="HSA_&amp;_PAB"/>
      <sheetName val="Format_Report-for_analysis_only"/>
      <sheetName val="Rekap_BQ-Pompong"/>
      <sheetName val="Page_2api"/>
      <sheetName val="1_Unit_Price"/>
      <sheetName val="Absen_4"/>
      <sheetName val="Evaluasi_Teknis__B_"/>
      <sheetName val="Koreksi_Aritmatika"/>
      <sheetName val="Range_HPS"/>
      <sheetName val="SS_MH"/>
      <sheetName val="2__x000a_"/>
      <sheetName val="Grand_summary_Lot#1"/>
      <sheetName val="Part1_Preliminaries_&amp;_General"/>
      <sheetName val="Part2_Wastewater_System"/>
      <sheetName val="Part3_Stormwater_Drainage_Syste"/>
      <sheetName val="Part4_Dayworks"/>
      <sheetName val="Part5_O&amp;M_Equipment"/>
      <sheetName val="Part6_Training"/>
      <sheetName val="p17_POP_2"/>
      <sheetName val="p16_POP_1"/>
      <sheetName val="p14_cooling_mp_2"/>
      <sheetName val="p15_cooling_mp_3"/>
      <sheetName val="Xuly_Data"/>
      <sheetName val="MTO_18_Jul07&amp;19Nov08"/>
      <sheetName val="REC. SALV."/>
      <sheetName val="WORK INDEX"/>
      <sheetName val="Part 3-Cladding"/>
      <sheetName val="MOS"/>
      <sheetName val="S-CURVE_OLD"/>
      <sheetName val="WTPLN_Rev A"/>
      <sheetName val="ค่าขนส่ง"/>
      <sheetName val="nHDD"/>
      <sheetName val="ค่าขนส่ง(6ล้อ)"/>
      <sheetName val="ค่าขนส่ง(พ่วง)"/>
      <sheetName val="Mat_Source"/>
      <sheetName val="Form1"/>
      <sheetName val="ได้ราคาคอนกรีต-เหล็กเสริม"/>
      <sheetName val="Form3"/>
      <sheetName val="ได้งานตีเส้น"/>
      <sheetName val="ข้อมูลวัสดุและค่าดำเนินการ"/>
      <sheetName val="concrete&amp;งานไม้แบบ"/>
      <sheetName val="ราคาวัสดุ"/>
      <sheetName val="_x005f_x005f_x005f_x005f_x005f_x005f_x00Ȋ"/>
      <sheetName val="Lookup Table"/>
      <sheetName val="D 5243-ARAMCO"/>
      <sheetName val="D-4801 OXY"/>
      <sheetName val="ctTBA"/>
      <sheetName val="1.FACTORY"/>
      <sheetName val="C1"/>
      <sheetName val="C2"/>
      <sheetName val="Phiếu YCNT-CVXD"/>
      <sheetName val="T12"/>
      <sheetName val="T22"/>
      <sheetName val="QT2"/>
      <sheetName val="KC52"/>
      <sheetName val="BW"/>
      <sheetName val="PW"/>
      <sheetName val="LINTER"/>
      <sheetName val="BT LINTER"/>
      <sheetName val="LAN CAN"/>
      <sheetName val="TRẦN THẠCH CAO"/>
      <sheetName val="SƠN TRONG NHÀ"/>
      <sheetName val="SƠN NGOÀI NHÀ"/>
      <sheetName val="CỬA THÉP"/>
      <sheetName val="SƠN EPOXY"/>
      <sheetName val="TĂNG CỨNG NỀN"/>
      <sheetName val="CỐNG THOÁT NƯỚC"/>
      <sheetName val="BIỂN HIỆU"/>
      <sheetName val="NẮP GANG"/>
      <sheetName val="RO"/>
      <sheetName val="MA"/>
      <sheetName val="VL"/>
      <sheetName val="OTH"/>
      <sheetName val="WT"/>
      <sheetName val="SL"/>
      <sheetName val="KC82"/>
      <sheetName val="BBNT-Đ"/>
      <sheetName val="BBNT-C"/>
      <sheetName val="BBLM- Cọc"/>
      <sheetName val="BBNT-F"/>
      <sheetName val="NTCV- C"/>
      <sheetName val="BBNT-L"/>
      <sheetName val="BBNT-T"/>
      <sheetName val="VL13"/>
      <sheetName val="tblTHK"/>
      <sheetName val="쬏+쫶&amp;쫹AN.XLS]______x005f_x001f__x000_4"/>
      <sheetName val="쬏+쫶&amp;쫹AN.XLS]______x005f_x001f__x000_2"/>
      <sheetName val="쬏+쫶&amp;쫹AN.XLS]______x005f_x001f__x000_3"/>
      <sheetName val="GL"/>
      <sheetName val="구의33고"/>
      <sheetName val="HSDM"/>
      <sheetName val="MAPDC"/>
      <sheetName val="RPP-6"/>
      <sheetName val="Hsatuan-OK"/>
      <sheetName val="NAMES"/>
      <sheetName val="DaftarHarga"/>
      <sheetName val="Monitor"/>
      <sheetName val="BHN-ALAT"/>
      <sheetName val="bhn-upah"/>
      <sheetName val="MAP2"/>
      <sheetName val="anal-mpu"/>
      <sheetName val="ADD"/>
      <sheetName val="ANALISA "/>
      <sheetName val="Metode"/>
      <sheetName val="ANALISA railing"/>
      <sheetName val="BELAGIO"/>
      <sheetName val="ARTAGDING"/>
      <sheetName val="POMALA"/>
      <sheetName val="SEMANAN"/>
      <sheetName val="BKPM"/>
      <sheetName val="차액보증"/>
      <sheetName val="Rot-Pack"/>
      <sheetName val="STEP"/>
      <sheetName val="공정회의자료(월요일 10시까지)"/>
      <sheetName val="Divisi Operasi"/>
      <sheetName val="Divisi Produksi &amp; Distribusi"/>
      <sheetName val="HARGA ALAT"/>
      <sheetName val="BOQ INTERN"/>
      <sheetName val="BL"/>
      <sheetName val="hsat-SD"/>
      <sheetName val="an-satuan"/>
      <sheetName val="Rekap-SD"/>
      <sheetName val="BOQ EXTERN"/>
      <sheetName val="skets"/>
      <sheetName val="Sumber Daya"/>
      <sheetName val="AVP"/>
      <sheetName val="DCF"/>
      <sheetName val="Estimates"/>
      <sheetName val="Valuation Summary"/>
      <sheetName val="Ownership"/>
      <sheetName val="Shares Traded"/>
      <sheetName val="Public &amp; Private Valuation"/>
      <sheetName val="Momentum"/>
      <sheetName val="rap rinci"/>
      <sheetName val="11421"/>
      <sheetName val="ArusKas"/>
      <sheetName val="CIMB IDR"/>
      <sheetName val="REKAP A BESAR"/>
      <sheetName val="Bunga"/>
      <sheetName val="RAB_DURI"/>
      <sheetName val="Mark-up"/>
      <sheetName val="Alat &amp; Bahan"/>
      <sheetName val="CONSUMABLE"/>
      <sheetName val="______"/>
      <sheetName val="_____x005f_x0000__2"/>
      <sheetName val="_______x000_2"/>
      <sheetName val="내역서_耰&quot;_x005f_x0000__x0011"/>
      <sheetName val="내역서_耰&quot;_x005f_x005f_x00011"/>
      <sheetName val="내역서_耰&quot;_x005f_x005f_x00511"/>
      <sheetName val="내역서_耰&quot;_x005f_x0000__x0012"/>
      <sheetName val="내역서_耰&quot;_x005f_x005f_x00012"/>
      <sheetName val="내역서_耰&quot;_x005f_x005f_x00512"/>
      <sheetName val="내역서_耰&quot;_x005f_x0000__x0013"/>
      <sheetName val="내역서_耰&quot;_x005f_x005f_x00013"/>
      <sheetName val="내역서_耰&quot;_x005f_x005f_x00513"/>
      <sheetName val="내역서_耰&quot;_x005f_x0000__x0014"/>
      <sheetName val="내역서_耰&quot;_x005f_x005f_x00014"/>
      <sheetName val="내역서_耰&quot;_x005f_x005f_x00514"/>
      <sheetName val="내역서_(N__x000e__x000e__x000e____"/>
      <sheetName val="내역서_ᢐ_x001f_"/>
      <sheetName val="砂石料"/>
      <sheetName val="장비명"/>
      <sheetName val="JER3"/>
      <sheetName val="화전내"/>
      <sheetName val="드롭"/>
      <sheetName val="데구"/>
      <sheetName val="U-TYPE(1)"/>
      <sheetName val="VST재료산출"/>
      <sheetName val="인원_x0008_"/>
      <sheetName val="gd_02"/>
      <sheetName val="jj"/>
      <sheetName val="表四"/>
      <sheetName val="表一丙"/>
      <sheetName val="土建b2"/>
      <sheetName val="建筑b2"/>
      <sheetName val="补给水"/>
      <sheetName val="厂外单项土方"/>
      <sheetName val="厂外单项临时"/>
      <sheetName val="地基处理"/>
      <sheetName val="表4"/>
      <sheetName val="燃料"/>
      <sheetName val="水质净化"/>
      <sheetName val="热力系统"/>
      <sheetName val="Tbl 1y 4"/>
      <sheetName val="表二"/>
      <sheetName val="cash budget"/>
      <sheetName val="PLAGCoct03"/>
      <sheetName val="单价"/>
      <sheetName val="综合预算价格"/>
      <sheetName val="2001概算定额"/>
      <sheetName val="예산작성기준(전기)"/>
      <sheetName val="LIMA-CANTA"/>
      <sheetName val="집계표(실적)"/>
      <sheetName val="⑤-1. 기계"/>
      <sheetName val="L01 Actual Cashflow  Rev 3"/>
      <sheetName val="Material List "/>
      <sheetName val="REQ_REMARKS"/>
      <sheetName val="Project data"/>
      <sheetName val="Customize Your Invoice"/>
      <sheetName val="Parking B"/>
      <sheetName val="Progress %"/>
      <sheetName val="UC"/>
      <sheetName val="pricing"/>
      <sheetName val="Dir-Conc "/>
      <sheetName val="OPTION_221"/>
      <sheetName val="OPTION_321"/>
      <sheetName val="KUWATI(Total)_21"/>
      <sheetName val="집계표_(TOTAL)21"/>
      <sheetName val="집계표_(CIVIL-23)21"/>
      <sheetName val="집계표_(FGRU)21"/>
      <sheetName val="집계표_(25,26)21"/>
      <sheetName val="집계표_(MEROX)21"/>
      <sheetName val="집계표_(NITROGEN)21"/>
      <sheetName val="집계표_(M4)21"/>
      <sheetName val="집계표_(CIVIL4)21"/>
      <sheetName val="집계표_(CIVIL6)21"/>
      <sheetName val="집계표_(CIVIL7)21"/>
      <sheetName val="내역서(DEMO_TOTAL)21"/>
      <sheetName val="내역서_(CIVIL-23)21"/>
      <sheetName val="내역서_(fgru)21"/>
      <sheetName val="내역서_(25&amp;26)21"/>
      <sheetName val="내역서_(MEROX)21"/>
      <sheetName val="내역서_(NITROGEN)21"/>
      <sheetName val="내역서_(M4)21"/>
      <sheetName val="내역서_(CIVIL-4)21"/>
      <sheetName val="내역서_(CIVIL-6)21"/>
      <sheetName val="내역서_(CIVIL-7)21"/>
      <sheetName val="2002년_현장공사비_국내_실적21"/>
      <sheetName val="2003년국내현장공사비_실적21"/>
      <sheetName val="VC2_10_9921"/>
      <sheetName val="집계표_(25,26ဩ20"/>
      <sheetName val="INPUT_DATA20"/>
      <sheetName val="Form_020"/>
      <sheetName val="General_Data20"/>
      <sheetName val="Form_D-119"/>
      <sheetName val="Form_B-119"/>
      <sheetName val="Form_F-119"/>
      <sheetName val="Form_A19"/>
      <sheetName val="LABOR_&amp;_자재19"/>
      <sheetName val="입출재고현황_(2)19"/>
      <sheetName val="WEIGHT_LIST18"/>
      <sheetName val="산#2-1_(2)18"/>
      <sheetName val="BEND_LOSS18"/>
      <sheetName val="단면_(2)18"/>
      <sheetName val="3_공통공사대비19"/>
      <sheetName val="간접비_총괄19"/>
      <sheetName val="Price_Schedule19"/>
      <sheetName val="CAL_19"/>
      <sheetName val="Rate_Analysis19"/>
      <sheetName val="EQUIPMENT_-219"/>
      <sheetName val="내역서_耰&quot;??19"/>
      <sheetName val="공사비_내역_(가)18"/>
      <sheetName val="6PILE__(돌출)18"/>
      <sheetName val="Static_Equip18"/>
      <sheetName val="Form_A_18"/>
      <sheetName val="내역서_耰&quot;_x005f_x0000__x005f_x0000_18"/>
      <sheetName val="3_Breakdown_Direct_Paint18"/>
      <sheetName val="내역서_耰&quot;__19"/>
      <sheetName val="Summary_Sheets18"/>
      <sheetName val="Civil_118"/>
      <sheetName val="Civil_218"/>
      <sheetName val="Civil_318"/>
      <sheetName val="Site_118"/>
      <sheetName val="Site_218"/>
      <sheetName val="Site_318"/>
      <sheetName val="Site_Faci18"/>
      <sheetName val="7__월별투입내역서17"/>
      <sheetName val="Man_Hole17"/>
      <sheetName val="Sheet1_(2)18"/>
      <sheetName val="Áý°èÇ¥_(TOTAL)17"/>
      <sheetName val="Áý°èÇ¥_(CIVIL-23)17"/>
      <sheetName val="Áý°èÇ¥_(FGRU)17"/>
      <sheetName val="Áý°èÇ¥_(25,26)17"/>
      <sheetName val="Áý°èÇ¥_(MEROX)17"/>
      <sheetName val="Áý°èÇ¥_(NITROGEN)17"/>
      <sheetName val="Áý°èÇ¥_(M4)17"/>
      <sheetName val="Áý°èÇ¥_(CIVIL4)17"/>
      <sheetName val="Áý°èÇ¥_(CIVIL6)17"/>
      <sheetName val="Áý°èÇ¥_(CIVIL7)17"/>
      <sheetName val="³»¿ª¼­(DEMO_TOTAL)17"/>
      <sheetName val="³»¿ª¼­_(CIVIL-23)17"/>
      <sheetName val="³»¿ª¼­_(fgru)17"/>
      <sheetName val="³»¿ª¼­_(25&amp;26)17"/>
      <sheetName val="³»¿ª¼­_(MEROX)17"/>
      <sheetName val="³»¿ª¼­_(NITROGEN)17"/>
      <sheetName val="³»¿ª¼­_(M4)17"/>
      <sheetName val="³»¿ª¼­_(CIVIL-4)17"/>
      <sheetName val="³»¿ª¼­_(CIVIL-6)17"/>
      <sheetName val="³»¿ª¼­_(CIVIL-7)17"/>
      <sheetName val="2002³â_ÇöÀå°ø»çºñ_±¹³»_½ÇÀû17"/>
      <sheetName val="2003³â±¹³»ÇöÀå°ø»çºñ_½ÇÀû17"/>
      <sheetName val="계측_내역서17"/>
      <sheetName val="Form_B17"/>
      <sheetName val="내역서_耰&quot;_x005f_x005f_x005f_x0000__x005f_x005f_x0017"/>
      <sheetName val="2_2_STAFF_Scedule17"/>
      <sheetName val="내역서_耰&quot;_x005f_x005f_x005f_x005f_x005f_x005f_x00017"/>
      <sheetName val="Z-_GENERAL_PRICE_SUMMARY17"/>
      <sheetName val="_Estimate__17"/>
      <sheetName val="T_317"/>
      <sheetName val="HORI__VESSEL17"/>
      <sheetName val="EQUIP_LIST17"/>
      <sheetName val="Precios_Unitarios17"/>
      <sheetName val="MP_MOB17"/>
      <sheetName val="Vind_-_BtB17"/>
      <sheetName val="LV_induction_motors17"/>
      <sheetName val="BSD_(2)17"/>
      <sheetName val="Administrative_Prices17"/>
      <sheetName val="WBS_4417"/>
      <sheetName val="WBS_4117"/>
      <sheetName val="Precios_por_Administración17"/>
      <sheetName val="Subcon_A17"/>
      <sheetName val="BM_DATA_SHEET18"/>
      <sheetName val="Material_Selections17"/>
      <sheetName val="Monthly_Load17"/>
      <sheetName val="Weekly_Load17"/>
      <sheetName val="내역서_耰&quot;_x005f_x005f_x005f_x005f_x005f_x005f_x00517"/>
      <sheetName val="97_사업추정(WEKI)17"/>
      <sheetName val="Eq__Mobilization17"/>
      <sheetName val="[SANDAN_XLS??17"/>
      <sheetName val="breakdown_of_wage_rate17"/>
      <sheetName val="Indirect_Cost17"/>
      <sheetName val="Piping_BQ_for_one_turbine17"/>
      <sheetName val="Resource_table17"/>
      <sheetName val="Utility_and_Fire_flange17"/>
      <sheetName val="Equipment_List17"/>
      <sheetName val="Form1_SQP17"/>
      <sheetName val="공정계획(내부계획25%,내부w_f)17"/>
      <sheetName val="Heavy_Equipments17"/>
      <sheetName val="AG_Pipe_Qty_Analysis17"/>
      <sheetName val="4-3LEVEL-5_epic_416"/>
      <sheetName val="단가_(2)16"/>
      <sheetName val="w't_table17"/>
      <sheetName val="SCHEDD_TAMBAHAN17"/>
      <sheetName val="_SANDAN_XLS__17"/>
      <sheetName val="SFN_ORIG17"/>
      <sheetName val="Fire_Protection17"/>
      <sheetName val="입찰내역_발주처_양식17"/>
      <sheetName val="BOQ-B_DOWN16"/>
      <sheetName val="Dir_Manpower_Other_Exp_17"/>
      <sheetName val="내역서_(∮ἀ嘆ɶ16"/>
      <sheetName val="ITB_COST17"/>
      <sheetName val="MODULE_CONFIRM16"/>
      <sheetName val="Cash_In-Cash_Out_Actual16"/>
      <sheetName val="실행예산_MM16"/>
      <sheetName val="FWBS_153016"/>
      <sheetName val="plan&amp;section_of_foundation13"/>
      <sheetName val="working_load_at_the_btm_ft_13"/>
      <sheetName val="stability_check13"/>
      <sheetName val="design_criteria8"/>
      <sheetName val="design_load13"/>
      <sheetName val="PROTECTION_16"/>
      <sheetName val="TDC_COA_Sumry12"/>
      <sheetName val="TDC_Item_Dets12"/>
      <sheetName val="TDC_Item_Sumry12"/>
      <sheetName val="TDC_Key_Qty_Sumry12"/>
      <sheetName val="List_-_Components12"/>
      <sheetName val="List_-_Equipment12"/>
      <sheetName val="COA_Sumry_-_Std_Imp12"/>
      <sheetName val="Contr_TDC_-_Std_Imp12"/>
      <sheetName val="Item_Sumry_-_Std_Imp12"/>
      <sheetName val="Unit_Costs_-_Std_Imp12"/>
      <sheetName val="Unit_MH_-_Std_Imp12"/>
      <sheetName val="Proj_TIC_-_Std_Imp12"/>
      <sheetName val="Currency_Rate12"/>
      <sheetName val="Unit_Price_12"/>
      <sheetName val="4-Basic_Price12"/>
      <sheetName val="Evaluasi_Penw12"/>
      <sheetName val="Man_Power_&amp;_Comp12"/>
      <sheetName val="Data_List12"/>
      <sheetName val="PROJECT_BRIEF12"/>
      <sheetName val="내역서1999_8최종12"/>
      <sheetName val="Sum_(Case-3)12"/>
      <sheetName val="할증_12"/>
      <sheetName val="RAB_AR&amp;STR12"/>
      <sheetName val="UP_MINOR12"/>
      <sheetName val="Updating_Form-Oct_201112"/>
      <sheetName val="Weld_Consumable12"/>
      <sheetName val="NDE_Cost-Summary12"/>
      <sheetName val="9July_Above_Ground_Pipe12"/>
      <sheetName val="M_1112"/>
      <sheetName val="Process_Data_112"/>
      <sheetName val="1100-1200-1300-1910-2140-LEV_12"/>
      <sheetName val="Material_Price18"/>
      <sheetName val="CUADRO_DE_PRECIOS16"/>
      <sheetName val="Tools_&amp;_Settings12"/>
      <sheetName val="Data_Summary12"/>
      <sheetName val="Crew_Costs12"/>
      <sheetName val="Spread_Costs12"/>
      <sheetName val="Unique_List_Misc12"/>
      <sheetName val="Closeout_Control12"/>
      <sheetName val="내역서_耰&quot;_x005f_x005f_x005f_x0000_12"/>
      <sheetName val="내역서_耰&quot;_x005f_x005f_x005f_x005f_12"/>
      <sheetName val="내역서_耰&quot;_x005f_x0000__x000013"/>
      <sheetName val="Site_Findings_Status_Sheet12"/>
      <sheetName val="Equip_Rental_Summary_by_Contr12"/>
      <sheetName val="Project_Equip_Rental_Summary12"/>
      <sheetName val="Contractor_Indirect_Sumry12"/>
      <sheetName val="Project_Indirect_Sumry12"/>
      <sheetName val="COA_Sumry_by_Area12"/>
      <sheetName val="COA_Sumry_by_Contr12"/>
      <sheetName val="COA_Sumry_by_RG12"/>
      <sheetName val="TDC_COA_Grp_Sumry12"/>
      <sheetName val="TDC_COA_Grp_Sumry_by_Area12"/>
      <sheetName val="TDC_COA_Grp_Sumry_by_RG12"/>
      <sheetName val="Equipment_Sumry12"/>
      <sheetName val="TDC_Item_Dets-Full12"/>
      <sheetName val="TDC_Item_Dets-IPM-Full12"/>
      <sheetName val="TDC_Item_Sumry_by_Area12"/>
      <sheetName val="TDC_Item_Sumry_by_RG12"/>
      <sheetName val="TDC_Key_Qty_Sumry_by_RG12"/>
      <sheetName val="List_-_Equipment_by_Area12"/>
      <sheetName val="List_-_Equipment_by_Contr12"/>
      <sheetName val="Equipment_-_Unit_Costs_by_Mat12"/>
      <sheetName val="List_-_Equipment_by_Rep_Grp12"/>
      <sheetName val="Craft_Summary_by_Contr12"/>
      <sheetName val="Project_Craft_Summary12"/>
      <sheetName val="Project_Metrics12"/>
      <sheetName val="99__FWBS(Ref)12"/>
      <sheetName val="99__Change_Rate12"/>
      <sheetName val="5_)_Time_Delays12"/>
      <sheetName val="Item_code12"/>
      <sheetName val="In-House_Summary12"/>
      <sheetName val="Unt_rate12"/>
      <sheetName val="SUMMARY_(0A)12"/>
      <sheetName val="SUMMARY_(1A)12"/>
      <sheetName val="SUMMARY_(1B)12"/>
      <sheetName val="SUMMARY_(03)12"/>
      <sheetName val="F1(Cable_Rack)12"/>
      <sheetName val="F2(Cable_Rack)12"/>
      <sheetName val="F3(Cable_Rack)12"/>
      <sheetName val="F1_(POLYMER)12"/>
      <sheetName val="F2_(POLYMER)12"/>
      <sheetName val="F3_(POLYMER)12"/>
      <sheetName val="F4_(POLYMER)12"/>
      <sheetName val="F5(_Polymerization_)12"/>
      <sheetName val="F6_(_Polymerization_)12"/>
      <sheetName val="B1_(Grid_A-7,_-6)12"/>
      <sheetName val="B1_(Grid_A,_B)12"/>
      <sheetName val="B1_(Grid_C-7,_-6)12"/>
      <sheetName val="B2_(Grid_-7_B,_C)_(1)12"/>
      <sheetName val="B2_(Grid_-7_B,_C)_(2)12"/>
      <sheetName val="B2_(Grid_-6_B,_C)_(1)12"/>
      <sheetName val="B2_(Grid_-6_B,_C)_(2)12"/>
      <sheetName val="F1_(MONOMER)12"/>
      <sheetName val="F2_(MONOMER)12"/>
      <sheetName val="F3_(MONOMER)12"/>
      <sheetName val="90K060C_(MONOMER)12"/>
      <sheetName val="F1_(EXTRUSION)12"/>
      <sheetName val="F2_(EXTRUSION)12"/>
      <sheetName val="F3_(EXTRUSION)12"/>
      <sheetName val="F4_(EXTRUSION)12"/>
      <sheetName val="F5_(EXTRUSION)12"/>
      <sheetName val="F6A_(EXTRUSION)12"/>
      <sheetName val="F6D_(EXTRUSION)12"/>
      <sheetName val="F7_(EXTRUSION)12"/>
      <sheetName val="F8_(EXTRUSION)12"/>
      <sheetName val="F9_(EXTRUSION)12"/>
      <sheetName val="F10_(EXTRUSION)12"/>
      <sheetName val="F11_(EXTRUSION)12"/>
      <sheetName val="B1_(Grid_F-5`,_4`)12"/>
      <sheetName val="B2_(Grid_F,E-4`)12"/>
      <sheetName val="B2_(Grid_F,E-5`)12"/>
      <sheetName val="B3_(Grid_C,B-4`)12"/>
      <sheetName val="B4_(Grid_B,A-4`)12"/>
      <sheetName val="B5_(Grid_E-5`)_&amp;_(Grid_D-5`)12"/>
      <sheetName val="B6_(Grid_E,D-5')12"/>
      <sheetName val="B7_(Grid_E,D-5')12"/>
      <sheetName val="95D040,_A50612"/>
      <sheetName val="95P040AB,_A50712"/>
      <sheetName val="95X020-U08,_A60212"/>
      <sheetName val="95X020-U07,_A60612"/>
      <sheetName val="95E040,_A50912"/>
      <sheetName val="95D024;025,_A61512"/>
      <sheetName val="95X020-U05,_A60112"/>
      <sheetName val="95X020-U02,_A20412"/>
      <sheetName val="Extruder_FDN12"/>
      <sheetName val="BOG_COMP__FDN12"/>
      <sheetName val="SOG_COMP__FDN12"/>
      <sheetName val="1G1_(Ground_Beam)12"/>
      <sheetName val="1G2-1(Ground_Beam)12"/>
      <sheetName val="1G2-2(Ground_Beam)12"/>
      <sheetName val="P15,_1612"/>
      <sheetName val="LO_CONSOLE_FDN12"/>
      <sheetName val="OIL_COOLER_FDN12"/>
      <sheetName val="CW_CONSOLE_FDN_(SOG)12"/>
      <sheetName val="PD3_(SOG)12"/>
      <sheetName val="SF1_(SOG)12"/>
      <sheetName val="SF2_(SOG)12"/>
      <sheetName val="SLAB_(1S1-1)12"/>
      <sheetName val="SLAB_(1S1-2)12"/>
      <sheetName val="SLAB_(1S1-3)12"/>
      <sheetName val="COLUMN_(+5500)12"/>
      <sheetName val="COLUMN_(+12500)12"/>
      <sheetName val="COLUMN_(+15500)12"/>
      <sheetName val="ETC_12"/>
      <sheetName val="Direct_PMS12"/>
      <sheetName val="Codes_Pers12"/>
      <sheetName val="Ocean_Transporation_Charge12"/>
      <sheetName val="Raw_data11"/>
      <sheetName val="2__현장_자금투입_집계표12"/>
      <sheetName val="_도면_및_도서_제출목록_및_일정_170202_xls12"/>
      <sheetName val="Aux_12"/>
      <sheetName val="Rates_&amp;_Legend12"/>
      <sheetName val="General_Notes12"/>
      <sheetName val="BO䁑-B_䁄OWN12"/>
      <sheetName val="Discounted_Cash_Flow12"/>
      <sheetName val="Cash_Flow_bulanan12"/>
      <sheetName val="H_Satuan12"/>
      <sheetName val="Pengesahan_12"/>
      <sheetName val="OCT_FDN12"/>
      <sheetName val="Bill_rekap12"/>
      <sheetName val="Exchange_Rate12"/>
      <sheetName val="Process_Data_(2)12"/>
      <sheetName val="__12"/>
      <sheetName val="_12"/>
      <sheetName val="breakdown_of_wage_ra`f11"/>
      <sheetName val="breakdown_of_wage_ra11"/>
      <sheetName val="breakdown_of_wage_rað-11"/>
      <sheetName val="00-Summary_Information-ABB11"/>
      <sheetName val="내역서_耰&quot;_x005f_x0000_12"/>
      <sheetName val="내역서_耰&quot;_x005f_x005f_12"/>
      <sheetName val="2_Overall_Summary_11"/>
      <sheetName val="breakdown_of_wage_rap11"/>
      <sheetName val="breakdown_of_wage_ra11"/>
      <sheetName val="0__Resource　Code11"/>
      <sheetName val="DROP_DOWN11"/>
      <sheetName val="Action_Item11"/>
      <sheetName val="ID_CD11"/>
      <sheetName val="개시대사_(2)11"/>
      <sheetName val="Material_code11"/>
      <sheetName val="PABS,Site_info11"/>
      <sheetName val="Harga_Satuan12"/>
      <sheetName val="F_ALARM12"/>
      <sheetName val="Equipment_Spec_List11"/>
      <sheetName val="차트_(2)12"/>
      <sheetName val="SPEC_LIST(EQUP,_SYS)11"/>
      <sheetName val="Distribution_Table11"/>
      <sheetName val="Air_Cooler-E11"/>
      <sheetName val="DATA_MENTAH11"/>
      <sheetName val="HO_Site_Rates-201111"/>
      <sheetName val="Al_Taweelah11"/>
      <sheetName val="Particular_Sch11"/>
      <sheetName val="SUM_10"/>
      <sheetName val="내역서_(N____x000a_12"/>
      <sheetName val="내역서_耰&quot;_11"/>
      <sheetName val="Linelist_LNGC_Process11"/>
      <sheetName val="TQ_Format10"/>
      <sheetName val="breakdown_of_wage_raÐ¾10"/>
      <sheetName val="Additional_data10"/>
      <sheetName val="33628-Rev__A9"/>
      <sheetName val="11_자재단가9"/>
      <sheetName val="Cashflow_Analysis9"/>
      <sheetName val="Finansal_tamamlanma_Eğrisi9"/>
      <sheetName val="INPUT_DATA_OF_SCHEDULE9"/>
      <sheetName val="LIFE_&amp;_REP_PROVN9"/>
      <sheetName val="O&amp;M_CREW9"/>
      <sheetName val="Tender_data9"/>
      <sheetName val="Attach_4-189"/>
      <sheetName val="내역서_(∮ἀ嘆ɶ?᠀㬁?9"/>
      <sheetName val="Scheme_Area_Details_Block___C29"/>
      <sheetName val="14-Eng_rate9"/>
      <sheetName val="리스크_분류체계9"/>
      <sheetName val="광통신_견적내역서19"/>
      <sheetName val="Cash_Flow9"/>
      <sheetName val="5__월별투입내역서9"/>
      <sheetName val="Cost_Code9"/>
      <sheetName val="Data_Ref9"/>
      <sheetName val="Interdept_Rate9"/>
      <sheetName val="Itembalance_Report_(18-sep-18)9"/>
      <sheetName val="BUDGET_SUMMARY_9"/>
      <sheetName val="OIL_SEPARATOR9"/>
      <sheetName val="CATCH_BASIN9"/>
      <sheetName val="FW_Post_Indicator_Valve_24&quot;9"/>
      <sheetName val="FW_Post_Indicator_Valve_20&quot;9"/>
      <sheetName val="FW_Post_Indicator_Valve_6&quot;9"/>
      <sheetName val="Fire_Monitor_or_Hydrant_6&quot;_FDN9"/>
      <sheetName val="SUMP_VB9"/>
      <sheetName val="CLEANOUT_4&quot;9"/>
      <sheetName val="Not_reqd9"/>
      <sheetName val="호환성_보고서9"/>
      <sheetName val="GM_0009"/>
      <sheetName val="Admin_Manu_2-Equipment_Type_ID9"/>
      <sheetName val="1_설계기준9"/>
      <sheetName val="일위대가_9"/>
      <sheetName val="Master_List9"/>
      <sheetName val="설산1_나9"/>
      <sheetName val="REF_for_VV9"/>
      <sheetName val="BM_#19"/>
      <sheetName val="Activity_Form9"/>
      <sheetName val="EQUIPOS_DE_SEGURIDAD9"/>
      <sheetName val="MATERIALES_CONSUMIBLES9"/>
      <sheetName val="PERSONAL_INDIRECTO_9"/>
      <sheetName val="Weekl_10"/>
      <sheetName val="내역서_(N____30"/>
      <sheetName val="__x09"/>
      <sheetName val="OPT_10"/>
      <sheetName val="SECL_리스크_분류체계_(2)9"/>
      <sheetName val="Land_Dev't__Ph-121"/>
      <sheetName val="4300_UTILITY_BLDG_(2)9"/>
      <sheetName val="P-Ins_&amp;_Bonds9"/>
      <sheetName val="INSTLIST_19"/>
      <sheetName val="Fig_4-149"/>
      <sheetName val="Analisa_Fave9"/>
      <sheetName val="Harsat_Bahan9"/>
      <sheetName val="Harsat_Subkon9"/>
      <sheetName val="Harsat_Upah9"/>
      <sheetName val="Master_1_09"/>
      <sheetName val="Agregat_Halus_&amp;_Kasar9"/>
      <sheetName val="HARGA_MATERIAL9"/>
      <sheetName val="Harga_Sat_APP9"/>
      <sheetName val="Tgh_JGC-Inv_I_clp9"/>
      <sheetName val="PCS_9"/>
      <sheetName val="Progress_Statement-SI9"/>
      <sheetName val="Progress_Payment-31109"/>
      <sheetName val="Direct_Histogram_Rev__A_(f)9"/>
      <sheetName val="Tables_3_1_to_3_5_EXH_G9"/>
      <sheetName val="Schedule_9"/>
      <sheetName val="Loading_Struc9"/>
      <sheetName val="Loading_Pip9"/>
      <sheetName val="Loading_Overall_(BASE_Proposal9"/>
      <sheetName val="Steel_Structure9"/>
      <sheetName val="PIPING_AG-UG_NEW_UNITS9"/>
      <sheetName val="MEC_PIPING_PREFABR9"/>
      <sheetName val="Working_File-Pip9"/>
      <sheetName val="Equip_ISBL_&amp;_OSBL_9"/>
      <sheetName val="List_register9"/>
      <sheetName val="5__Work_load(현재원기준)9"/>
      <sheetName val="Perm__Test9"/>
      <sheetName val="Galian_19"/>
      <sheetName val="Analisa_Lump_sum9"/>
      <sheetName val="Sec_I_ML9"/>
      <sheetName val="Att-1_CTCI_MH_rate9"/>
      <sheetName val="64_49"/>
      <sheetName val="64_59"/>
      <sheetName val="36_29"/>
      <sheetName val="36_19"/>
      <sheetName val="dongia_(2)9"/>
      <sheetName val="SPEC(CABLE_&amp;_WIRE)7"/>
      <sheetName val="_토목_처리장도급내역서_7"/>
      <sheetName val="내역서_(N__x009"/>
      <sheetName val="05__Curva_S8"/>
      <sheetName val="TR_Rev_vs_Commit7"/>
      <sheetName val="TR_+MMHE_PL_report7"/>
      <sheetName val="P23P2724___Commitment_7"/>
      <sheetName val="สรุปยอดเหล็กตาม_Cost_Record_VY7"/>
      <sheetName val="แนบ_PR7"/>
      <sheetName val="OR21_Final_Forecast_Rev_27"/>
      <sheetName val="Summary_Forecast_Budget_1&amp;27"/>
      <sheetName val="Summary_Forecast_Budget_Rev_27"/>
      <sheetName val="Backup_OR21_7"/>
      <sheetName val="Budget_for_ENT7"/>
      <sheetName val="ADJ__D-Wall&amp;BR_Ent__Rev_2_17"/>
      <sheetName val="Rebar+Conพื้น_Waste10%7"/>
      <sheetName val="Backup_D-Wall_Ent__13_07_197"/>
      <sheetName val="Backup_BR_ENT__13_07_197"/>
      <sheetName val="Final_Forecast_721117"/>
      <sheetName val="IMP_OR21_2019_07_117"/>
      <sheetName val="Concrete_721127"/>
      <sheetName val="หินเกล็ด_7"/>
      <sheetName val="เปรียบเทียบBudget_BR_7"/>
      <sheetName val="ADJ__BR_Ent__Rev_2_1_(2)7"/>
      <sheetName val="แผนงานBarrette_Pile7"/>
      <sheetName val="BOQ__VI_03_09_19_7"/>
      <sheetName val="Backup_BR_BMA7"/>
      <sheetName val="Sum_Budget&amp;Rev_17"/>
      <sheetName val="Sum_Budget_Rev_17"/>
      <sheetName val="Sum_Budget&amp;Rev_1_Rebar7"/>
      <sheetName val="Sum_Budget_Rev_2_Rebar7"/>
      <sheetName val="Rebar+Conพื้น_Waste10%_Rev_007"/>
      <sheetName val="Rebar+Conพื้น_Waste10%_Rev_01_7"/>
      <sheetName val="Equip_Rev_00_Budget7"/>
      <sheetName val="Budget_Waterpoofing7"/>
      <sheetName val="Bill_4_7_Predestain_Bridge_7"/>
      <sheetName val="Bill_4_7_Predestain7"/>
      <sheetName val="1_1_FT_type_17"/>
      <sheetName val="1_2_FT_type_1A7"/>
      <sheetName val="1_3_FT_type_27"/>
      <sheetName val="1_4_FT_type_37"/>
      <sheetName val="1_5_FT_type_47"/>
      <sheetName val="2_1_CL_Outside7"/>
      <sheetName val="2_2_CL_Inside7"/>
      <sheetName val="2_3_CL_Ramp7"/>
      <sheetName val="3_1_CB_Outside7"/>
      <sheetName val="3_2_CB_Inside7"/>
      <sheetName val="4_Stair7"/>
      <sheetName val="5_Ramp7"/>
      <sheetName val="6_Handrail7"/>
      <sheetName val="Invoice_(Interim_No_28)7"/>
      <sheetName val="Cost_Summary7"/>
      <sheetName val="Direct_Cost7"/>
      <sheetName val="Direct_Cost_(2)7"/>
      <sheetName val="Summary_(3)7"/>
      <sheetName val="Indirect_Cost_Summary7"/>
      <sheetName val="RESUMEN_CD7"/>
      <sheetName val="BOQ_REV67"/>
      <sheetName val="Maliyet_Ozet7"/>
      <sheetName val="1_1-1_27"/>
      <sheetName val="1_3-_1_47"/>
      <sheetName val="3_17"/>
      <sheetName val="3_27"/>
      <sheetName val="4_1(a)7"/>
      <sheetName val="4_1(b)7"/>
      <sheetName val="4_1_(c)7"/>
      <sheetName val="5_17"/>
      <sheetName val="내역서_(N____112"/>
      <sheetName val="6_공정표7"/>
      <sheetName val="4-Lane_bridge21"/>
      <sheetName val="1_11_b7"/>
      <sheetName val="3_부제O호표7"/>
      <sheetName val="5_소모재료비7"/>
      <sheetName val="8_시멘트제원표7"/>
      <sheetName val="2_품제O호표7"/>
      <sheetName val="본부_SHOP7"/>
      <sheetName val="#6_MDU_일반7"/>
      <sheetName val="#6_MDU엄반장7"/>
      <sheetName val="#6MDU_기계7"/>
      <sheetName val="HOU_COMP`7"/>
      <sheetName val="FCC_OBL-SHOP7"/>
      <sheetName val="NEW_FCC_OBL7"/>
      <sheetName val="#4_MDU7"/>
      <sheetName val="#6_SHOP7"/>
      <sheetName val="NRC_OBL-조연식7"/>
      <sheetName val="광양-조연식_반장7"/>
      <sheetName val="#5MDU_REV7"/>
      <sheetName val="LBO_PROJECT7"/>
      <sheetName val="VENDOR_LIST7"/>
      <sheetName val="BOP_LINE_LIST7"/>
      <sheetName val="A__ENGINEERING7"/>
      <sheetName val="B-1__배관자재7"/>
      <sheetName val="B-2__전기자재7"/>
      <sheetName val="B-3__계장자재7"/>
      <sheetName val="B-4__기계자재7"/>
      <sheetName val="C-1__공통가설7"/>
      <sheetName val="C-2__토목7"/>
      <sheetName val="C-4__철골7"/>
      <sheetName val="C-5__기계7"/>
      <sheetName val="C-6__배관7"/>
      <sheetName val="C-7__전기7"/>
      <sheetName val="C-8__계장7"/>
      <sheetName val="C-9__중장비7"/>
      <sheetName val="C-10__소방설비7"/>
      <sheetName val="C-11__보온7"/>
      <sheetName val="C-12__CMS7"/>
      <sheetName val="Equipt_Rental7"/>
      <sheetName val="EQ_USED_(CORRECTED)7"/>
      <sheetName val="Rebar_Constant7"/>
      <sheetName val="CONCRETE_TYPE7"/>
      <sheetName val="ABB_Summary7"/>
      <sheetName val="Man_power_rate7"/>
      <sheetName val="Const_equip_rate7"/>
      <sheetName val="01-Gang_Rate_&amp;_Info7"/>
      <sheetName val="05-Sum_Cost7"/>
      <sheetName val="06-Indirect_Loading7"/>
      <sheetName val="07-Heavy_Equipment7"/>
      <sheetName val="08-RR_Check_List7"/>
      <sheetName val="1)_Risk_and_Opportunities7"/>
      <sheetName val="2)_Full_Cost_Calculation7"/>
      <sheetName val="Statprod_gab8"/>
      <sheetName val="L_18"/>
      <sheetName val="External_Issues7"/>
      <sheetName val="Equip_Mstr_FOR_3A17"/>
      <sheetName val="G_R300경비7"/>
      <sheetName val="AS포장복구_7"/>
      <sheetName val="중기조종사_단위단가7"/>
      <sheetName val="설_계7"/>
      <sheetName val="5_Cennik8"/>
      <sheetName val="tblg_denda8"/>
      <sheetName val="Vehicle_Log7"/>
      <sheetName val="P2-Project_Data6"/>
      <sheetName val="MFG_&amp;_DEL6"/>
      <sheetName val="P_Staff_fac6"/>
      <sheetName val="beam-reinft-IIInd_floor6"/>
      <sheetName val="P-Site_fac6"/>
      <sheetName val="P-Clients_fac6"/>
      <sheetName val="F1_47"/>
      <sheetName val="GRAND_REKAP6"/>
      <sheetName val="analisa_(2)6"/>
      <sheetName val="Analisa_26"/>
      <sheetName val="Up_&amp;_bhn6"/>
      <sheetName val="HRG_BHN6"/>
      <sheetName val="a_h_ars_sum6"/>
      <sheetName val="a_h_ars6"/>
      <sheetName val="DAF_HRG6"/>
      <sheetName val="Urai__Resap_pengikat6"/>
      <sheetName val="Analisa_(ok_punya)6"/>
      <sheetName val="LRK_7"/>
      <sheetName val="Kolom_UT6"/>
      <sheetName val="HB_6"/>
      <sheetName val="7_공정표6"/>
      <sheetName val="Manpower_Categories7"/>
      <sheetName val="동상부_Tact_기준_반입일정_및_수량_02177"/>
      <sheetName val="Garph_Work-Cost7"/>
      <sheetName val="Alat_(2)6"/>
      <sheetName val="InsertListDrawing_1_6"/>
      <sheetName val="InD_Mpower7"/>
      <sheetName val="내역서_(∮ἀ嘆ɶ_᠀㬁_8"/>
      <sheetName val="M&amp;E_Summary7"/>
      <sheetName val="rev_summary7"/>
      <sheetName val="M&amp;E_Prelims7"/>
      <sheetName val="B-FP_(2)7"/>
      <sheetName val="Sch_17"/>
      <sheetName val="Rekap_Biaya6"/>
      <sheetName val="Kuantitas_&amp;_Harga6"/>
      <sheetName val="Nopember_(2)6"/>
      <sheetName val="Chap_2-_Page_4_5"/>
      <sheetName val="Eng_Hrs_(HO)6"/>
      <sheetName val="VAT_TU_DIEN5"/>
      <sheetName val="bldg_list5"/>
      <sheetName val="Week_ending3"/>
      <sheetName val="Planners_Workload3"/>
      <sheetName val="Scaffolding_Volume4"/>
      <sheetName val="Ramp_data6"/>
      <sheetName val="Lower_Ground6"/>
      <sheetName val="Cap_Cost6"/>
      <sheetName val="RLV_Calc6"/>
      <sheetName val="Costs_(dev)6"/>
      <sheetName val="Bluewater_NPV_-_sell_January6"/>
      <sheetName val="Upper_Ground6"/>
      <sheetName val="PARK_NE6"/>
      <sheetName val="Financial_Summary6"/>
      <sheetName val="D&amp;C_Calcs6"/>
      <sheetName val="CA_Upside_Downside_Old6"/>
      <sheetName val="EASEL_CA_Example6"/>
      <sheetName val="Memb_Schd6"/>
      <sheetName val="Coef_et_données6"/>
      <sheetName val="원가조정_내역6"/>
      <sheetName val="Insulation_1501087"/>
      <sheetName val="MASTER_RATE_ANALYSIS7"/>
      <sheetName val="MN_T_B_7"/>
      <sheetName val="INDIGINEOUS_ITEMS_7"/>
      <sheetName val="Core_Data7"/>
      <sheetName val="final_abstract7"/>
      <sheetName val="MSP-Operator_Building-Area_C4"/>
      <sheetName val="Ana__PU4"/>
      <sheetName val="Perhit_Alat4"/>
      <sheetName val="SWALE_(구산)5"/>
      <sheetName val="내역서_(N____32"/>
      <sheetName val="Dsr_Hitung4"/>
      <sheetName val="Mat_Tower4"/>
      <sheetName val="RT13526_CPI4"/>
      <sheetName val="Inputs_-_Results4"/>
      <sheetName val="GENERAL_4"/>
      <sheetName val="Tank_Loading4"/>
      <sheetName val="Fdn_Calc4"/>
      <sheetName val="LATERAL_OCDI_BH-024"/>
      <sheetName val="Lateral_Broms4"/>
      <sheetName val="N-SPT_corr4"/>
      <sheetName val="Curve_N-SPT4"/>
      <sheetName val="COST_BD4"/>
      <sheetName val="Monthly_S_Curve_SPK4"/>
      <sheetName val="ENE-CAL_15"/>
      <sheetName val="ANAL_BOW4"/>
      <sheetName val="Isolasi_Luar_Dalam4"/>
      <sheetName val="Isolasi_Luar4"/>
      <sheetName val="график_финансирования4"/>
      <sheetName val="내역서_(N____211"/>
      <sheetName val="UPAH_&amp;_BHN_ARS4"/>
      <sheetName val="AHS_ARS4"/>
      <sheetName val="Analisa_HSP4"/>
      <sheetName val="입찰내역_발주처_양卤4"/>
      <sheetName val="Analisa_Neraca4"/>
      <sheetName val="Raw_Ref3"/>
      <sheetName val="Cost_Codes3"/>
      <sheetName val="Addendum_No_1_BILL_24"/>
      <sheetName val="-0_5_TABLA_PRESUPUESTOS5"/>
      <sheetName val="ﾄﾞﾊﾞｲFUEL_GAS追見5"/>
      <sheetName val="Data_Ref_5"/>
      <sheetName val="KKS_System_Codes5"/>
      <sheetName val="Price_Schedule_Code5"/>
      <sheetName val="REF_ONLY5"/>
      <sheetName val="7_6_3_J_Inline_Instrument3"/>
      <sheetName val="Appendix_A3"/>
      <sheetName val="OE_(KSB)4"/>
      <sheetName val="galian_saluran4"/>
      <sheetName val="05_Analisa_Teknik4"/>
      <sheetName val="내역서_耰&quot;_x005f11"/>
      <sheetName val="Analisa_SNI_STANDART_4"/>
      <sheetName val="1_B4"/>
      <sheetName val="PLSt_03__3"/>
      <sheetName val="П_7_курс_аванса3"/>
      <sheetName val="IncStat_03-043"/>
      <sheetName val="IncStat_03__3"/>
      <sheetName val="Авансы_по_СНГ3"/>
      <sheetName val="Bang_KL3"/>
      <sheetName val="combined_9-3029"/>
      <sheetName val="worksheet_inchican29"/>
      <sheetName val="combined_9_3029"/>
      <sheetName val="bar_chart-rev29"/>
      <sheetName val="MATERIAL'S_PRICE27"/>
      <sheetName val="Schedule_S-Curve_Revision#325"/>
      <sheetName val="PC_&amp;_PVS23"/>
      <sheetName val="2_223M_due_to_adj_profit18"/>
      <sheetName val="Inchican_Road_Accomplishment21"/>
      <sheetName val="Shut_down18"/>
      <sheetName val="bill_218"/>
      <sheetName val="sorksheet_inchican18"/>
      <sheetName val="sombined_9-3018"/>
      <sheetName val="PH_518"/>
      <sheetName val="remaining_billing18"/>
      <sheetName val="Hac_Lots18"/>
      <sheetName val="Res_Lots18"/>
      <sheetName val="Spine_Road18"/>
      <sheetName val="INPUT_DATA_HERE17"/>
      <sheetName val="option_Y117"/>
      <sheetName val="Summary_(overall)4"/>
      <sheetName val="Adimi_bldg4"/>
      <sheetName val="Pump_House4"/>
      <sheetName val="Fuel_Regu_Station4"/>
      <sheetName val="Footing_Tie_Beam4"/>
      <sheetName val="FINAL_NEGO4"/>
      <sheetName val="RFP_Codes4"/>
      <sheetName val="Bill_summary_of_cost4"/>
      <sheetName val="unit_price4"/>
      <sheetName val="Schedule_S-Curve_(new_scheme)4"/>
      <sheetName val="Fire_Suppression4"/>
      <sheetName val="tabulation_(comparison)4"/>
      <sheetName val="area_comp_2011_01_184"/>
      <sheetName val="Tabulation_3"/>
      <sheetName val="Code_073"/>
      <sheetName val="MAY_00-Bobbins3"/>
      <sheetName val="2_2_띠장의_설계3"/>
      <sheetName val="(10)_Other_Costs53"/>
      <sheetName val="breakdown_of_FA1134"/>
      <sheetName val="Sheet_144"/>
      <sheetName val="3_-RESOURCE_LIST3"/>
      <sheetName val="0_-SUMMARY3"/>
      <sheetName val="3_2_AUX3"/>
      <sheetName val="3_3_AUX-23"/>
      <sheetName val="GRAND_SUM3"/>
      <sheetName val="VCC_11110-4613"/>
      <sheetName val="6_2_Floor_Finishes5"/>
      <sheetName val="C1_(calcolo)3"/>
      <sheetName val="5_5FWBS_CODE3"/>
      <sheetName val="JGSummit_Package_2_(CTCI)4"/>
      <sheetName val="Project_D4"/>
      <sheetName val="Tender_Summary4"/>
      <sheetName val="Harga_Mat_4"/>
      <sheetName val="SANDAN_XLS13"/>
      <sheetName val="Main_Control3"/>
      <sheetName val="_hrg_bhn4"/>
      <sheetName val="1195_B14"/>
      <sheetName val="Capel_KI4"/>
      <sheetName val="Capel_PK4"/>
      <sheetName val="page_64"/>
      <sheetName val="Raw_Data-Combined4"/>
      <sheetName val="Summary_HS_Pipa_CS4"/>
      <sheetName val="lkalibrasi_BENENAIN4"/>
      <sheetName val="Rekap_Addendum4"/>
      <sheetName val="AT_24"/>
      <sheetName val="Section_14"/>
      <sheetName val="Dinh_muc_CP_KTCB_khac3"/>
      <sheetName val="TH_May_TC3"/>
      <sheetName val="KLDT_DIEN3"/>
      <sheetName val="PTVT_DIEN3"/>
      <sheetName val="TH_kinh_phi3"/>
      <sheetName val="Thong_ke_thiet_bi3"/>
      <sheetName val="TH_vat_tu3"/>
      <sheetName val="A_SIS3"/>
      <sheetName val="gia_vt3"/>
      <sheetName val="1_BILL_MOI_THAU_CAN_THUONG3"/>
      <sheetName val="PHAN_NGAM3"/>
      <sheetName val="Integrated-S_Curve3"/>
      <sheetName val="Instrument_Proc3"/>
      <sheetName val="MTO_Civil_Work3"/>
      <sheetName val="Sched_3_(Construction)3"/>
      <sheetName val="Sched_1_(Engineering)3"/>
      <sheetName val="Sched_2_(Procurement_3"/>
      <sheetName val="JOB_Code3"/>
      <sheetName val="COVER_RECAP_INSTALL_(2)3"/>
      <sheetName val="Rekap_Summary3"/>
      <sheetName val="Rekap_Breakdown3"/>
      <sheetName val="Detail_Eng3"/>
      <sheetName val="Equiv_Length3"/>
      <sheetName val="Ra__stair4"/>
      <sheetName val="Man_Power3"/>
      <sheetName val="pro_ra_op3"/>
      <sheetName val="analis_standar(8m)3"/>
      <sheetName val="ShareCapital_3"/>
      <sheetName val="내역서_(∮ἀ嘆ɶ_x005f_x0000_᠀㬁_x005f_x0000_3"/>
      <sheetName val="__x005f_x0000__x005f_x001b__x005f_x0000__x005f_x0006__4"/>
      <sheetName val="내역서_耰&quot;_x005f_x005f_x005f_x0000__x00007"/>
      <sheetName val="내역서_(N__x005f_x000e__x005f_x000e__x005f_x000e___3"/>
      <sheetName val="내역서_(N____x005f_x000a_6"/>
      <sheetName val="Bangunan_Utama3"/>
      <sheetName val="Hrg_Sat3"/>
      <sheetName val="uraian_analisa3"/>
      <sheetName val="8LT_123"/>
      <sheetName val="Basic_Price3"/>
      <sheetName val="Rekap_Analisa3"/>
      <sheetName val="ANALISA_PEK_UMUM3"/>
      <sheetName val="IN_OUT3"/>
      <sheetName val="내역서_ᢐ_x005f_x001f_3"/>
      <sheetName val="내역서_ᢐ_x005f_x001f__x005f_x0000__x005f_x0000_3"/>
      <sheetName val="Sat_Bah___Up3"/>
      <sheetName val="DATA_PROYEK3"/>
      <sheetName val="rab_me_(by_owner)_3"/>
      <sheetName val="BQ_(by_owner)3"/>
      <sheetName val="rab_me_(fisik)3"/>
      <sheetName val="LIST_ANHARSAT3"/>
      <sheetName val="Project_Grading2"/>
      <sheetName val="내역서_耰&quot;_x005f_x0000__x005f_x005f_x00003"/>
      <sheetName val="renc_mgn3"/>
      <sheetName val="Bilanz_Bus_plan_20022"/>
      <sheetName val="Mei_LD2"/>
      <sheetName val="Data_Input2"/>
      <sheetName val="Project_budget_BTS2"/>
      <sheetName val="Well_Plan_12"/>
      <sheetName val="P__control3"/>
      <sheetName val="Costing_Detailed3"/>
      <sheetName val="Basic_Data_Inputs3"/>
      <sheetName val="Daily_Forwards3"/>
      <sheetName val="Home_Office3"/>
      <sheetName val="VS_P-Q3"/>
      <sheetName val="TH_VL,_NC,_DDHT_Thanhphuoc2"/>
      <sheetName val="LV_induction_3"/>
      <sheetName val="Z-_GENERAL_PRIC橿⿂2"/>
      <sheetName val="Z-_GENERAL_PRIC鋘@俀~橿⿂2"/>
      <sheetName val="Z-_GENERAL_PRIC2"/>
      <sheetName val="建筑定额_(2002)3"/>
      <sheetName val="ADI_Edison_Termoelettrica3"/>
      <sheetName val="Harga_material_13"/>
      <sheetName val="Peralatan_(2)3"/>
      <sheetName val="집계표(2_안)3"/>
      <sheetName val="BILL_13"/>
      <sheetName val="Step2_-&gt;_Mat__Cost3"/>
      <sheetName val="Team_3_S-Curve3"/>
      <sheetName val="MH_and_Unit_Cost3"/>
      <sheetName val="Material_Cost(as_per_Nation)3"/>
      <sheetName val="PAD_TR보호대기초2"/>
      <sheetName val="TEMP_PROFILE3"/>
      <sheetName val="_선택_속성(잠금)3"/>
      <sheetName val="Drop-down_lists3"/>
      <sheetName val="RINC_hotel2"/>
      <sheetName val="RINC_FIN_T4_2"/>
      <sheetName val="RINC_FIN_T4___3_2"/>
      <sheetName val="RINC_FIN_T4___2_2"/>
      <sheetName val="BQ_Summary3"/>
      <sheetName val="cespiti_cet2_piombino_(2)2"/>
      <sheetName val="建筑工程统计表06月份_2"/>
      <sheetName val="Daily_Photo3"/>
      <sheetName val="Manpower_Status3"/>
      <sheetName val="Process_Piping3"/>
      <sheetName val="Fire_Fighting2"/>
      <sheetName val="HARGA_DASAR2"/>
      <sheetName val="HM_MEK_2"/>
      <sheetName val="BQ_Working3"/>
      <sheetName val="9011_EXPAT_MANP3"/>
      <sheetName val="App_A_Basis_of_Design3"/>
      <sheetName val="1_0_Criteria_New2"/>
      <sheetName val="İnsan_Gücü2"/>
      <sheetName val="LV_induction_mot3"/>
      <sheetName val="KR2&amp;KVCM(MAR_1-6'99)2"/>
      <sheetName val="Rev_2"/>
      <sheetName val="tabel_berat3"/>
      <sheetName val="报价说明_(3)2"/>
      <sheetName val="报价说明_(4)2"/>
      <sheetName val="2_履约阶段供应链管理计划2"/>
      <sheetName val="sis_xlm2"/>
      <sheetName val="spot_prices2"/>
      <sheetName val="Forma_E-172"/>
      <sheetName val="1999_BUDGET2"/>
      <sheetName val="Materials_2"/>
      <sheetName val="M_MM2"/>
      <sheetName val="ANALISA_KONST_BTN2"/>
      <sheetName val="cost_curve_calc3"/>
      <sheetName val="Page_23"/>
      <sheetName val="ANL_TEK_62"/>
      <sheetName val="Vind_-鴃宼蠀2"/>
      <sheetName val="Bill_of_Qty2"/>
      <sheetName val="DIV_92"/>
      <sheetName val="LOKASI_RIG_Litbang2"/>
      <sheetName val="struktur_tdk_dipakai2"/>
      <sheetName val="sch_1_22"/>
      <sheetName val="B_10_(4)2"/>
      <sheetName val="Country_(kVA-Hz_)2"/>
      <sheetName val="INPUT_DATAS2"/>
      <sheetName val="ALAT2_(TDK_DIPAKAI)2"/>
      <sheetName val="Fill_this_out_first___2"/>
      <sheetName val="5_세운W-A2"/>
      <sheetName val="ABK_04_AWALR+CO+TAB_RUPS2"/>
      <sheetName val="9_58&quot;_single2"/>
      <sheetName val="A-11_Steel_Str2"/>
      <sheetName val="A-03_Pile2"/>
      <sheetName val="CONS_2"/>
      <sheetName val="SA516-60,70_(정리)2"/>
      <sheetName val="MR_EUR3"/>
      <sheetName val="Ind__Budget3"/>
      <sheetName val="Star_Rate3"/>
      <sheetName val="HaulingLine_hardware2"/>
      <sheetName val="S_Curve2"/>
      <sheetName val="Branch_Power2"/>
      <sheetName val="C__letter_3rd_QT2"/>
      <sheetName val="Sheet1_(4)2"/>
      <sheetName val="SEK_Vertrieb3"/>
      <sheetName val="SEK_Montage3"/>
      <sheetName val="SEK_IBN3"/>
      <sheetName val="КС2_24_1-8_(4_1_8_11_200)corr3"/>
      <sheetName val="Perhitungan_RAB2"/>
      <sheetName val="Gas_Specific_Gravities_and_GHV2"/>
      <sheetName val="1_집계표(일반전기)2"/>
      <sheetName val="2_집계표(선행공사)2"/>
      <sheetName val="3_집계표(소방공사)2"/>
      <sheetName val="CABLE_TRAY2"/>
      <sheetName val="design_criteria7"/>
      <sheetName val="5_세운W-A1"/>
      <sheetName val="SA516-60,70_(정리)1"/>
      <sheetName val="Gas_Specific_Gravities_and_GHV1"/>
      <sheetName val="_x0004_?_x000d_?_x0003_?_x0004_"/>
      <sheetName val="_x000a_?_x001b_?_x0006_?_x0006_"/>
      <sheetName val=" ?_x001b_?_x0006_?_x0006_?_x000"/>
      <sheetName val="Z- GENERAL PRIC鋘@俀~橿⿂_x0"/>
      <sheetName val="Z- GENERAL PRIC_x"/>
      <sheetName val="_______x005f_x005f_x005f_x0000_"/>
      <sheetName val="_____x005f_x005f_x005f_x005f_x0"/>
      <sheetName val="_______x005f_x005f_x005f_x005f_"/>
      <sheetName val="LV induction _x00"/>
      <sheetName val="_x005f_x0002__x005f_x0000_뻘N_x0"/>
      <sheetName val="내역서 (∮ἀ嘆ɶ_x005f_x0000_᠀㬁_x005f"/>
      <sheetName val="_x005f_x0002__뻘N___x005f_x0001_"/>
      <sheetName val="_x005f_x0004__x005f_x0000__x005"/>
      <sheetName val="_x005f_x000a__x005f_x0000__x005"/>
      <sheetName val=" _x005f_x0000__x005f_x001b__x00"/>
      <sheetName val="Weekl_x005f_x0004__x005f_x0000_"/>
      <sheetName val="_x005f_x0000__x005f_x000e__x005"/>
      <sheetName val="내역서_(N_x005f_x0009__x000e"/>
      <sheetName val="내역서_(N _x005f_x000e__x000"/>
      <sheetName val="7422CW_x005f_x0013__x0000"/>
      <sheetName val="OPT_x005f_x0012__x005f_x0000__x"/>
      <sheetName val="_x005f_x0000__x005f_x0013__x005"/>
      <sheetName val="내역서 耰&quot;_x005f_x0000__x005f"/>
      <sheetName val="내역서 ᢐ_x005f_x001f__x005f_x0000_"/>
      <sheetName val="__x005f_x0000__x005f_x001b__x00"/>
      <sheetName val="Sheet_x0005__x000"/>
      <sheetName val="LV induction mot_"/>
      <sheetName val="내역서_(∮ἀ嘆ɶ_x005f_x0000_᠀㬁_x005f"/>
      <sheetName val="내역서_(N__x005f_x000e__x000"/>
      <sheetName val="내역서_ᢐ_x005f_x001f__x005f_x0000_"/>
      <sheetName val="내역서_耰&quot;_x005f_x0000__x005f"/>
      <sheetName val="2_x0010__x000a__x"/>
      <sheetName val="_______x005f_x0000__x005f"/>
      <sheetName val="_x0004___x000d___x0003___x0004_"/>
      <sheetName val="___x001b___x0006___x0006___x000"/>
      <sheetName val=" __x001b___x0006___x0006___x000"/>
      <sheetName val="_x0004_? ?_x0003_?_x0004_?_x001"/>
      <sheetName val="_x0004__ __x0003___x0004___x001"/>
      <sheetName val="2_x0010___x0003__x000d__x0008__"/>
      <sheetName val="2_x0010_ _x0003__"/>
      <sheetName val="해평견적"/>
      <sheetName val="11.별도장부가"/>
      <sheetName val="PBC)주식기준보상부여"/>
      <sheetName val="PT_DPT_Manifold (TR)"/>
      <sheetName val="PT_DPT_Seal (TR)"/>
      <sheetName val="Item Details"/>
      <sheetName val="eqp-rek"/>
      <sheetName val="Harga "/>
      <sheetName val="day"/>
      <sheetName val="AGG A"/>
      <sheetName val="AGG B"/>
      <sheetName val="DAFTAR BAHAN"/>
      <sheetName val="DAFTAR ALAT"/>
      <sheetName val="DAFTAR UPAH"/>
      <sheetName val="PAS. BATU"/>
      <sheetName val="URUKAN"/>
      <sheetName val="MARKA"/>
      <sheetName val="PRIME COAT"/>
      <sheetName val="TACK COAT"/>
      <sheetName val="급여관련자료"/>
      <sheetName val="JUL"/>
      <sheetName val="DAF.INVEN U.O"/>
      <sheetName val="CGS"/>
      <sheetName val="Biaya2"/>
      <sheetName val="COGM"/>
      <sheetName val="Buildg-200"/>
      <sheetName val="Price Summary (1)"/>
      <sheetName val="Price Summary (2)"/>
      <sheetName val="Base BM-rebar"/>
      <sheetName val="Bang chi tiet-Direct work"/>
      <sheetName val="DД"/>
      <sheetName val="Номенклатура BOE"/>
      <sheetName val="Типы оборудования"/>
      <sheetName val="Basic-Engineering"/>
      <sheetName val="Startphase"/>
      <sheetName val="Katsayilar"/>
      <sheetName val="Номенклатура BOM"/>
      <sheetName val="系数516"/>
      <sheetName val="내역서_(∮ἀ嘆ɶ᠀㬁5"/>
      <sheetName val="_x0004_ _x0003__x0004__x0016_ _x0004_"/>
      <sheetName val="Weekl_x0004__x0016_ "/>
      <sheetName val="_x0004_ _x0"/>
      <sheetName val="내역서_耰&quot;16"/>
      <sheetName val="SANDAN_XLS14"/>
      <sheetName val="내역서_(∮ἀ嘆ɶ᠀㬁6"/>
      <sheetName val="4.6二构装修工程"/>
      <sheetName val="4.5钢结构工程"/>
      <sheetName val="1成本汇总表 "/>
      <sheetName val="取费表"/>
      <sheetName val="武汉丁二烯静止设备"/>
      <sheetName val="中石油安装石油化工装置"/>
      <sheetName val="土建全民一级不含构件取费"/>
      <sheetName val="单位"/>
      <sheetName val="SpecITEM"/>
      <sheetName val="LINE_Sc"/>
      <sheetName val="MOTOR"/>
      <sheetName val="价差测算"/>
      <sheetName val="参数表"/>
      <sheetName val="Bond &amp; Stamp"/>
      <sheetName val="작성기준"/>
      <sheetName val="CutOffDates"/>
      <sheetName val="Prec.OTS"/>
      <sheetName val="2__"/>
      <sheetName val="내역서 耰&quot;__x0000"/>
      <sheetName val="내역서_耰&quot;__x0000"/>
      <sheetName val="내역ࠜĀ_M4"/>
      <sheetName val="내역서_耰&quot;__x0001"/>
      <sheetName val="내역서_耰&quot;__x0002"/>
      <sheetName val="___x001b___x0006__x"/>
      <sheetName val="바닥판_⽷_"/>
      <sheetName val="EQUIPMENT_-_"/>
      <sheetName val="내역서 ᢐ_x001f___"/>
      <sheetName val=" __x001b___x0006__x"/>
      <sheetName val="Weekl_x0004___x0016__x000"/>
      <sheetName val="Precios Unitariԯ_"/>
      <sheetName val="내역서_耰&quot;__x0004"/>
      <sheetName val="내역서_耰&quot;__x0003"/>
      <sheetName val="내역서_耰&quot;__x0005"/>
      <sheetName val=" __x001b___x0"/>
      <sheetName val="OPT_x0012___x0010__ _"/>
      <sheetName val="OPT_x0012___x0010__"/>
      <sheetName val="내역서_耰&quot;__x00001"/>
      <sheetName val="내역서_耰&quot;__x0006"/>
      <sheetName val="__x0004_"/>
      <sheetName val="Site__"/>
      <sheetName val="내역서_耰&quot;__x00002"/>
      <sheetName val="내역서_耰&quot;__x00003"/>
      <sheetName val="Z-_GENERAL_PRIC橿⿂⒘ࡈ1"/>
      <sheetName val="Z-_GENERAL_PRIC鋘@俀~橿⿂⍈1"/>
      <sheetName val="Bahan "/>
      <sheetName val="UNIT 3"/>
      <sheetName val="BOM_TOTAL"/>
      <sheetName val="Pen Macadam"/>
      <sheetName val="BEFORE ALLOCATION"/>
      <sheetName val="COA-17"/>
      <sheetName val="C-18"/>
      <sheetName val="B2-UNIT 207"/>
      <sheetName val="BS-Notes"/>
      <sheetName val="BQ INSUL"/>
      <sheetName val="BQ PIPE"/>
      <sheetName val="SHOP FIELD INSTALL %"/>
      <sheetName val="LINE TESTS"/>
      <sheetName val="H"/>
      <sheetName val="D"/>
      <sheetName val="J"/>
      <sheetName val="Working"/>
      <sheetName val="공정표"/>
      <sheetName val="Unconfined-Reading"/>
      <sheetName val="Daf-Harga"/>
      <sheetName val="U-3.1.1 telephone"/>
      <sheetName val="AA.1.1 BNI"/>
      <sheetName val="Adf par resp"/>
      <sheetName val="rms sipil"/>
      <sheetName val="20-11-03"/>
      <sheetName val="AOP-SK"/>
      <sheetName val="assets"/>
      <sheetName val="Module2"/>
      <sheetName val="RumusTB 1 bln"/>
      <sheetName val="Ex-Rate"/>
      <sheetName val="Invoice"/>
      <sheetName val="GeneralInfo"/>
      <sheetName val="PLL"/>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IGCC査定"/>
      <sheetName val="Ulasan"/>
      <sheetName val="28"/>
      <sheetName val="DAT_1"/>
      <sheetName val="eakTG"/>
      <sheetName val="LOKASI"/>
      <sheetName val="Prog Pay Events_Prog Pay Events"/>
      <sheetName val="Critical - Key Drawings"/>
      <sheetName val="Mat Deliv Vs ZMM071"/>
      <sheetName val="girder"/>
      <sheetName val="GWC"/>
      <sheetName val="NWC"/>
      <sheetName val="Sheet284"/>
      <sheetName val="주식"/>
      <sheetName val="마감물량"/>
      <sheetName val="Assump (Static)"/>
      <sheetName val="A CONDITIONS"/>
      <sheetName val="C.Earthwork"/>
      <sheetName val="struc derive"/>
      <sheetName val="Bill No. 2 July 6"/>
      <sheetName val="(COV)"/>
      <sheetName val="FINISH"/>
      <sheetName val="guard(mac)"/>
      <sheetName val="GESTION FICHE"/>
      <sheetName val="TRADUCTION LISTES"/>
      <sheetName val="MANPOWER WITH NCII"/>
      <sheetName val="Equpt"/>
      <sheetName val="Main Bldg."/>
      <sheetName val="Coalmine"/>
      <sheetName val="fixwater"/>
      <sheetName val="TYPE-A"/>
      <sheetName val="L(1)"/>
      <sheetName val="L(2)"/>
      <sheetName val="L(3)"/>
      <sheetName val="L(4)"/>
      <sheetName val="CP"/>
      <sheetName val="평균환율-USD"/>
      <sheetName val="EqptRate (2)"/>
      <sheetName val="BOQ-P"/>
      <sheetName val="Worksheet"/>
      <sheetName val="Electrical Pricelist"/>
      <sheetName val="CONPRIS"/>
      <sheetName val="Codes,..."/>
      <sheetName val="Stl-B"/>
      <sheetName val="INNER TANK"/>
      <sheetName val="IPE"/>
      <sheetName val="C_E"/>
      <sheetName val="RATES G-5"/>
      <sheetName val="RSB_RATIO"/>
      <sheetName val="TLLine"/>
      <sheetName val="Comparative Cluster Inner"/>
      <sheetName val="SDH"/>
      <sheetName val="600(3)a"/>
      <sheetName val="Final Certificate"/>
      <sheetName val="SUMMARY QUANTITIES"/>
      <sheetName val="SC Cost FEB 03"/>
      <sheetName val="MTL"/>
      <sheetName val="EQR"/>
      <sheetName val="LBR"/>
      <sheetName val="EQT"/>
      <sheetName val="Résultats"/>
      <sheetName val="Item#9.3"/>
      <sheetName val="Item#1.9"/>
      <sheetName val="Item#6.7"/>
      <sheetName val="Item#2.6"/>
      <sheetName val="Item#4.10"/>
      <sheetName val="Item#5.8"/>
      <sheetName val="Item#7.21"/>
      <sheetName val="Item#3.8"/>
      <sheetName val="Item#8.7"/>
      <sheetName val="DPA3A-1"/>
      <sheetName val="DPA Form"/>
      <sheetName val="U_A Input"/>
      <sheetName val="LabCost"/>
      <sheetName val="Ref."/>
      <sheetName val="RCPC.RCBC QUANTITY"/>
      <sheetName val="REFERENCE"/>
      <sheetName val="tabulation of deductions"/>
      <sheetName val="Report"/>
      <sheetName val="insulation"/>
      <sheetName val="Prelims"/>
      <sheetName val="GenReq"/>
      <sheetName val="CWDerivation"/>
      <sheetName val="THISWORKSHEET"/>
      <sheetName val="MTO REV.0"/>
      <sheetName val="Candy ee"/>
      <sheetName val="TYPE-B 평균H"/>
      <sheetName val="예총"/>
      <sheetName val="N-CRAM"/>
      <sheetName val="3BPA00132-5-3 W plan HVPNL"/>
      <sheetName val="CABLE DATA"/>
      <sheetName val="prod-rates2"/>
      <sheetName val="특수선일위대가"/>
      <sheetName val="方案1表二"/>
      <sheetName val="2002상반기노임기준"/>
      <sheetName val="인원加."/>
      <sheetName val="인원叐_x001b_"/>
      <sheetName val="REP"/>
      <sheetName val="MING"/>
      <sheetName val="MOBDEMOB"/>
      <sheetName val="ANALIS 2"/>
      <sheetName val="analpp"/>
      <sheetName val="bhnpp"/>
      <sheetName val="VA.1.2"/>
      <sheetName val="mutasi"/>
      <sheetName val="JURNAL"/>
      <sheetName val="campuran"/>
      <sheetName val="Cjs "/>
      <sheetName val="coates"/>
      <sheetName val="COM"/>
      <sheetName val="fsw"/>
      <sheetName val="dasecta"/>
      <sheetName val="dck"/>
      <sheetName val="handaya"/>
      <sheetName val="hitech"/>
      <sheetName val="intimas"/>
      <sheetName val="lkm"/>
      <sheetName val="makmur box"/>
      <sheetName val="SUMMARY NEW"/>
      <sheetName val="jet"/>
      <sheetName val="nasindo se"/>
      <sheetName val="sumber tapioka"/>
      <sheetName val="putra"/>
      <sheetName val="Wangi Harapan"/>
      <sheetName val="L2"/>
      <sheetName val="Exc. Rate"/>
      <sheetName val="Marshal"/>
      <sheetName val="diana"/>
      <sheetName val="hana sp"/>
      <sheetName val="taiyo"/>
      <sheetName val="HARAPAN JAYA"/>
      <sheetName val="bakti"/>
      <sheetName val="sinar indah"/>
      <sheetName val="zug"/>
      <sheetName val="tunggal"/>
      <sheetName val="mandiri pranala"/>
      <sheetName val="tunai SP"/>
      <sheetName val="PANCA MANUNGGAL"/>
      <sheetName val="thema"/>
      <sheetName val="Himalaya-T"/>
      <sheetName val="Himalaya_T"/>
      <sheetName val="cemerlang"/>
      <sheetName val="BRJ"/>
      <sheetName val="bintoro"/>
      <sheetName val="himalaya"/>
      <sheetName val="arindo"/>
      <sheetName val="kibaroto"/>
      <sheetName val="yusuf"/>
      <sheetName val="signode"/>
      <sheetName val="karya prima"/>
      <sheetName val="alba"/>
      <sheetName val="HERMON"/>
      <sheetName val="guna jaya"/>
      <sheetName val="saudara makmur"/>
      <sheetName val="jee feeng"/>
      <sheetName val="emk"/>
      <sheetName val="colindo"/>
      <sheetName val="sigindo"/>
      <sheetName val="grapic"/>
      <sheetName val="artha"/>
      <sheetName val="pdam"/>
      <sheetName val="laksana"/>
      <sheetName val="sinar budi"/>
      <sheetName val="gp"/>
      <sheetName val="KM"/>
      <sheetName val="DINAR JAYA"/>
      <sheetName val="tunai ST"/>
      <sheetName val="ustegra"/>
      <sheetName val="daya listrik"/>
      <sheetName val="tufiadi"/>
      <sheetName val="DPIC"/>
      <sheetName val="rengo"/>
      <sheetName val="podo"/>
      <sheetName val="tunai BP"/>
      <sheetName val="noree"/>
      <sheetName val="ekamas"/>
      <sheetName val="sarana"/>
      <sheetName val="flexograf"/>
      <sheetName val="kawat"/>
      <sheetName val="talenta"/>
      <sheetName val="skp pm"/>
      <sheetName val="pertamina"/>
      <sheetName val="TOYO"/>
      <sheetName val="usaha maju"/>
      <sheetName val="MOSCA"/>
      <sheetName val="sinerga"/>
      <sheetName val="gemilang"/>
      <sheetName val="darisa"/>
      <sheetName val="karunia inti"/>
      <sheetName val="kurnia jaya"/>
      <sheetName val="teguh jaya"/>
      <sheetName val="DWI JAYA "/>
      <sheetName val="dita wire"/>
      <sheetName val="MULTI KARYA"/>
      <sheetName val="jaya"/>
      <sheetName val="TANJUNG MAS"/>
      <sheetName val="smg mkmr"/>
      <sheetName val="pura"/>
      <sheetName val="klb"/>
      <sheetName val="src TGR"/>
      <sheetName val="interpak"/>
      <sheetName val="beltros"/>
      <sheetName val="sekar jagat"/>
      <sheetName val="shirou"/>
      <sheetName val="shanghai"/>
      <sheetName val="MULIA FORM"/>
      <sheetName val="apex"/>
      <sheetName val="ANUGERAH"/>
      <sheetName val="isowa"/>
      <sheetName val="pizoku"/>
      <sheetName val="sinar pagi st"/>
      <sheetName val="kharisma cemerl"/>
      <sheetName val="mekar jaya"/>
      <sheetName val="splastindo pm"/>
      <sheetName val="heru"/>
      <sheetName val="dinary"/>
      <sheetName val="src sby"/>
      <sheetName val="SINGO"/>
      <sheetName val="tlogo"/>
      <sheetName val="setia"/>
      <sheetName val="src pm"/>
      <sheetName val="indoteras"/>
      <sheetName val="bintang mulia"/>
      <sheetName val="gunung sumber "/>
      <sheetName val="servitek"/>
      <sheetName val="NASINDO"/>
      <sheetName val="pembelian"/>
      <sheetName val="JAYA TEJA PM"/>
      <sheetName val="GM"/>
      <sheetName val="pusaka"/>
      <sheetName val="sinar jasa sp"/>
      <sheetName val="indokomsp"/>
      <sheetName val="kawan"/>
      <sheetName val="mnara "/>
      <sheetName val="suryantara"/>
      <sheetName val="jomblang"/>
      <sheetName val="FESTO"/>
      <sheetName val="satya"/>
      <sheetName val="SUTRASA"/>
      <sheetName val="komala"/>
      <sheetName val="pakerin"/>
      <sheetName val="metalisha"/>
      <sheetName val="dharma"/>
      <sheetName val="margo mulyo"/>
      <sheetName val="bina mandiri"/>
      <sheetName val="kitagawa"/>
      <sheetName val="swono pm"/>
      <sheetName val="ADIL JAYA"/>
      <sheetName val="sukma"/>
      <sheetName val="sumber"/>
      <sheetName val="mitra"/>
      <sheetName val="lestari jaya"/>
      <sheetName val="surya bp"/>
      <sheetName val="sumber murni"/>
      <sheetName val="wijaya"/>
      <sheetName val="purinusa"/>
      <sheetName val="wira"/>
      <sheetName val="LAUTAN"/>
      <sheetName val="seroja"/>
      <sheetName val="sun"/>
      <sheetName val="HUTAN"/>
      <sheetName val="sinar pagi pm"/>
      <sheetName val="arianto"/>
      <sheetName val="tondi"/>
      <sheetName val="nuraria"/>
      <sheetName val="armansa"/>
      <sheetName val="andika"/>
      <sheetName val="bahana"/>
      <sheetName val="istana"/>
      <sheetName val="LUHUR"/>
      <sheetName val="kencana"/>
      <sheetName val="ALTRAK"/>
      <sheetName val="metro data"/>
      <sheetName val="PUSAT"/>
      <sheetName val="NUSA PILLAR SP"/>
      <sheetName val="HAMADA"/>
      <sheetName val="cakramerlindo"/>
      <sheetName val="stafina"/>
      <sheetName val="WISMA BELT"/>
      <sheetName val="marquip"/>
      <sheetName val="VG"/>
      <sheetName val="menara"/>
      <sheetName val="multi jaya"/>
      <sheetName val="karunia sp"/>
      <sheetName val="MAS"/>
      <sheetName val="magnyar"/>
      <sheetName val="GRAHA U NITEK"/>
      <sheetName val="handik"/>
      <sheetName val="hormat motor"/>
      <sheetName val="akur"/>
      <sheetName val="sumitomo"/>
      <sheetName val="petrolog"/>
      <sheetName val="parlin"/>
      <sheetName val="grand indo"/>
      <sheetName val="sungai budi"/>
      <sheetName val="lkh"/>
      <sheetName val="albany"/>
      <sheetName val="rekindo"/>
      <sheetName val="dai papers"/>
      <sheetName val="tunai PM"/>
      <sheetName val="sendang indahh "/>
      <sheetName val="bina usaha"/>
      <sheetName val="batavia"/>
      <sheetName val="kencana1"/>
      <sheetName val="smg sbr sjht"/>
      <sheetName val="SUMBER MAKMUR"/>
      <sheetName val="SUBUR"/>
      <sheetName val="Stewardship"/>
      <sheetName val="TB98,oct99&amp;sap99-WPL"/>
      <sheetName val="2. BQ"/>
      <sheetName val="TABLE NEC"/>
      <sheetName val="GC-2"/>
      <sheetName val="NEW REKAP "/>
      <sheetName val="BONUS"/>
      <sheetName val="Arsitektur"/>
      <sheetName val="Annual-Plan-1998-A-US$-Rupiah-F"/>
      <sheetName val="RBP- 2"/>
      <sheetName val="AKP-1"/>
      <sheetName val="LV induction _x0005_ˠ"/>
      <sheetName val="시산표"/>
      <sheetName val="sum1 (2)"/>
      <sheetName val="단면치수"/>
      <sheetName val="CFS3"/>
      <sheetName val="bi-mnthly rep Villa"/>
      <sheetName val="TPK(I) Budget"/>
      <sheetName val="Annex2"/>
      <sheetName val="BOQ1"/>
      <sheetName val="office"/>
      <sheetName val="BC - Final Templates"/>
      <sheetName val="RCBC Reinforcement"/>
      <sheetName val="KSP_Baseline4_RecourceTable_121"/>
      <sheetName val="CCNs"/>
      <sheetName val="upa of boq"/>
      <sheetName val="inWords"/>
      <sheetName val="Summary Foreign Comp"/>
      <sheetName val="grand summary"/>
      <sheetName val="wordsdata"/>
      <sheetName val="CREW  RATE"/>
      <sheetName val="BASIS 1"/>
      <sheetName val="Basis"/>
      <sheetName val="New Bld"/>
      <sheetName val="Sched-Structure IFB"/>
      <sheetName val="Channel - final template"/>
      <sheetName val="SewerPipe"/>
      <sheetName val="取费"/>
      <sheetName val="3__PE_Unit_1"/>
      <sheetName val="Man__Sum_1"/>
      <sheetName val="unit_mh_study1"/>
      <sheetName val="Offer_Sum_1"/>
      <sheetName val="Indirect_Pers_1"/>
      <sheetName val="endirek_ad-sa1"/>
      <sheetName val="Support_Pers_1"/>
      <sheetName val="Indirect_Pers__Assumptions1"/>
      <sheetName val="ind__cost_of_direct1"/>
      <sheetName val="Net_Salary_of_a_Direct1"/>
      <sheetName val="Direct_Cost_Sum_1"/>
      <sheetName val="Water_Cons_1"/>
      <sheetName val="Ind_Sale1"/>
      <sheetName val="GWP3_Outfitting_Works_Indirect1"/>
      <sheetName val="Batam_Forecast4"/>
      <sheetName val="Batam_Forecast_jun4"/>
      <sheetName val="Fabrication_Summary4"/>
      <sheetName val="D6978_Mar_21_-_FProj074"/>
      <sheetName val="GEAC_-_Dec194"/>
      <sheetName val="내역서_(N____42"/>
      <sheetName val="내역서_(N____52"/>
      <sheetName val="내역서_(N____62"/>
      <sheetName val="내역서_(N____72"/>
      <sheetName val="내역서_(N____82"/>
      <sheetName val="Control_Panel1"/>
      <sheetName val="using_rjs409_progress_data1"/>
      <sheetName val="Summary_F-217_R61"/>
      <sheetName val="BEU_btm_nozz_@_tsht1"/>
      <sheetName val="Cover_Sheet1"/>
      <sheetName val="DO_NOT_DELETE1"/>
      <sheetName val="Sheet256"/>
      <sheetName val="TB"/>
      <sheetName val="AOR"/>
      <sheetName val="SCHEDULE-3B"/>
      <sheetName val="3.1.1"/>
      <sheetName val="3.1.4"/>
      <sheetName val="2.5.1"/>
      <sheetName val="4.1.1"/>
      <sheetName val="4.3.2"/>
      <sheetName val="2.3.3"/>
      <sheetName val="5.3.1"/>
      <sheetName val="2.4.3"/>
      <sheetName val="สรุป"/>
      <sheetName val="BASEMENT 06-L05"/>
      <sheetName val="OPTIONS"/>
      <sheetName val="BCB 0"/>
      <sheetName val="Repair Pivot"/>
      <sheetName val="Sheet10"/>
      <sheetName val="JOINT_DETAILS_ALL"/>
      <sheetName val="Data Base"/>
      <sheetName val="Nation"/>
      <sheetName val="Gráficos A"/>
      <sheetName val="Progress_%"/>
      <sheetName val="REC__SALV_"/>
      <sheetName val="WORK_INDEX"/>
      <sheetName val="Price_Summary_(1)"/>
      <sheetName val="Price_Summary_(2)"/>
      <sheetName val="Gráficos_A"/>
      <sheetName val="ST-Control Bldg."/>
      <sheetName val="TABLE1"/>
      <sheetName val="[SANDA6,31%5-3_외상집계4"/>
      <sheetName val="31%DAN.XLS]P_Clients_fac3____3"/>
      <sheetName val="31%DAN.XLS]P_Clients_fac3____2"/>
      <sheetName val="HARGA SATUAN UPAH PEKERJA"/>
      <sheetName val="MARKET SEGMENT - HOTEL"/>
      <sheetName val="Montok"/>
      <sheetName val="indeks"/>
      <sheetName val="Breakdown-CommSvc"/>
      <sheetName val="Breakdown-ConstrSvc"/>
      <sheetName val="Breakdown-EngSvc"/>
      <sheetName val="Breakdown-ProjMgtServ"/>
      <sheetName val="HSE"/>
      <sheetName val="Breakdown-ProcSvc"/>
      <sheetName val="DFTR GARDIST"/>
      <sheetName val="NAME1"/>
      <sheetName val="CODE2"/>
      <sheetName val="Inert Balls"/>
      <sheetName val="PLANT LIST"/>
      <sheetName val="Progress_Tables"/>
      <sheetName val="Analisa_ME"/>
      <sheetName val="Common (LOV)"/>
      <sheetName val="Shaft Seal Type (LOV)"/>
      <sheetName val="Item Type II (LOV)"/>
      <sheetName val="Design Code (LOV)"/>
      <sheetName val="2-1"/>
      <sheetName val="投资汇总"/>
      <sheetName val="MappingTable"/>
      <sheetName val="_______x00_2"/>
      <sheetName val="__x001b__x0006__1"/>
      <sheetName val="tj定额"/>
      <sheetName val="기초단가"/>
      <sheetName val="영흥TL(UP,DOWN) "/>
      <sheetName val="bill02"/>
      <sheetName val="B14-FINISHES"/>
      <sheetName val="Staff Acco."/>
      <sheetName val="Bill 04 - water supply tb "/>
      <sheetName val="Weather"/>
      <sheetName val="成本多栏明细账"/>
      <sheetName val="Calculation"/>
      <sheetName val="PAD-F"/>
      <sheetName val="LTG-STG"/>
      <sheetName val="FORM5"/>
      <sheetName val="Material Prices"/>
      <sheetName val="13-septic"/>
      <sheetName val="7-ug"/>
      <sheetName val="2-utility"/>
      <sheetName val="11-hsd"/>
      <sheetName val="18-misc"/>
      <sheetName val="5-pipe"/>
      <sheetName val="วัดใต้"/>
      <sheetName val="CCTV_EST1"/>
      <sheetName val="B-3"/>
      <sheetName val="B-2"/>
      <sheetName val="banilad"/>
      <sheetName val="Mactan"/>
      <sheetName val="Mandaue"/>
      <sheetName val="OLD PRICES"/>
      <sheetName val="3.Labour"/>
      <sheetName val="1.Material"/>
      <sheetName val="MMI"/>
      <sheetName val="2.Machinery"/>
      <sheetName val="QTY Pipe Laying"/>
      <sheetName val="지원시설 내역서(154kV)"/>
      <sheetName val="Form 㮸"/>
      <sheetName val="Form 푨"/>
      <sheetName val="Names&amp;Cases"/>
      <sheetName val="S &amp; A"/>
      <sheetName val="Bed Class"/>
      <sheetName val="Cd"/>
      <sheetName val="Civil Works"/>
      <sheetName val="Form 6"/>
      <sheetName val="Calca"/>
      <sheetName val="내역서_耰&quot;_x000011"/>
      <sheetName val="__x001b__x0006__2"/>
      <sheetName val="내역서_(N__x000e__x000e__x000e___1"/>
      <sheetName val="내역서_ᢐ_x001f_1"/>
      <sheetName val="쬏+쫶&amp;쫹AN.XLS]______x001f__x000_4"/>
      <sheetName val="쬏+쫶&amp;쫹AN.XLS]______x001f__x000_2"/>
      <sheetName val="쬏+쫶&amp;쫹AN.XLS]______x001f__x000_3"/>
      <sheetName val="내역서_耰&quot;17"/>
      <sheetName val="내역서_耰&quot;_x000012"/>
      <sheetName val="__x001b__x0006__3"/>
      <sheetName val="내역서_(N__x000e__x000e__x000e___2"/>
      <sheetName val="내역서_ᢐ_x001f_2"/>
      <sheetName val="내역서_耰&quot;_x005f_x0000__x0015"/>
      <sheetName val="내역서_耰&quot;_x005f_x005f_x00015"/>
      <sheetName val="내역서_耰&quot;_x005f_x005f_x00515"/>
      <sheetName val="내역서_耰&quot;_x005f_x0000__x0016"/>
      <sheetName val="내역서_耰&quot;_x005f_x005f_x00016"/>
      <sheetName val="내역서_耰&quot;_x005f_x005f_x00516"/>
      <sheetName val="R"/>
      <sheetName val="EL"/>
      <sheetName val="LE_Total(G_Summ Proj)"/>
      <sheetName val="COVERUSRP"/>
      <sheetName val="Sheet261"/>
      <sheetName val="Sheet269"/>
      <sheetName val="dftr harga"/>
      <sheetName val="hrg. sat pek"/>
      <sheetName val="prhit tulangan"/>
      <sheetName val="vol pek"/>
      <sheetName val="MHR-ANLIS"/>
      <sheetName val="SENSITIVITAS"/>
      <sheetName val="LAPORAN"/>
      <sheetName val="PipeTable"/>
      <sheetName val="Rekap per-JB"/>
      <sheetName val="div 6a"/>
      <sheetName val="Rekap(Usul)"/>
      <sheetName val="TBLSKILL"/>
      <sheetName val="DATA INDUK"/>
      <sheetName val="Rinc Sewa A2B versi kenaikan"/>
      <sheetName val=" DKM"/>
      <sheetName val="COP"/>
      <sheetName val="Abstract"/>
      <sheetName val="BCDPL Certified"/>
      <sheetName val="BT3-Package 05"/>
      <sheetName val="BOQ-Civil"/>
      <sheetName val="BCDPL_Certified"/>
      <sheetName val="Old_Bars"/>
      <sheetName val="NPV"/>
      <sheetName val="DropList"/>
      <sheetName val="SPIR2"/>
      <sheetName val="건축내역서"/>
      <sheetName val="설비내역서"/>
      <sheetName val="전기내역서"/>
      <sheetName val="5사남"/>
      <sheetName val="dg-VTu"/>
      <sheetName val="내역서_(N____33"/>
      <sheetName val="PROG_1"/>
      <sheetName val="DIV_33"/>
      <sheetName val="내역서_(N____34"/>
      <sheetName val="1)_COMMON_FACILITIES2"/>
      <sheetName val="Dia_Inch1"/>
      <sheetName val="3_6M_RETAINING_WALL1"/>
      <sheetName val="Material_Groups1"/>
      <sheetName val="Material_Kind1"/>
      <sheetName val="Committed_Cost1"/>
      <sheetName val="첨부_#8_기자재_Cost_Summary1"/>
      <sheetName val="Div26_-_Elect1"/>
      <sheetName val="Bored_Pile1"/>
      <sheetName val="03-13_Anticipated1"/>
      <sheetName val="03-13_Approved1"/>
      <sheetName val="간접비_총괄표1"/>
      <sheetName val="04_09_19_Mufqi(2)1"/>
      <sheetName val="04_09_19_Winda(2)1"/>
      <sheetName val="Mufqi_29_08_191"/>
      <sheetName val="Ade_30_08_191"/>
      <sheetName val="Pramudibyo_30_08_191"/>
      <sheetName val="Aji_02_09_191"/>
      <sheetName val="Diah_02_09_191"/>
      <sheetName val="_09_191"/>
      <sheetName val="Breakdown_Instrument1"/>
      <sheetName val="Hujan_BUlanan1"/>
      <sheetName val="Issue_Log_1"/>
      <sheetName val="JP-I_5001551"/>
      <sheetName val="2__Steel_Structural1"/>
      <sheetName val="Unit_of_Measurement_1"/>
      <sheetName val="Risk_Variables1"/>
      <sheetName val="BOQ_LIST1"/>
      <sheetName val="Basic_Rate2"/>
      <sheetName val="앉음벽_(2)1"/>
      <sheetName val="5_새들부해석_및_철근배근1"/>
      <sheetName val="Executive_Summary_(Aug_25)1"/>
      <sheetName val="Named_Range1"/>
      <sheetName val="Floor_Level1"/>
      <sheetName val="19__drill_CD61"/>
      <sheetName val="MASTER_AR1"/>
      <sheetName val="P_M_별1"/>
      <sheetName val="01A__RAB1"/>
      <sheetName val="53_1"/>
      <sheetName val="MH_CIVIL1"/>
      <sheetName val="DIV_22"/>
      <sheetName val="DIV_71"/>
      <sheetName val="DIV_82"/>
      <sheetName val="DIV_34"/>
      <sheetName val="Rek_An1"/>
      <sheetName val="Rencana_Anggaran_Biaya1"/>
      <sheetName val="8&gt;한국인수당_(Master_file)1"/>
      <sheetName val="Calc_Sheet1"/>
      <sheetName val="Subcon_Rate1"/>
      <sheetName val="Sewa_Alat1"/>
      <sheetName val="BQ_ARS1"/>
      <sheetName val="DAFTAR_ISI1"/>
      <sheetName val="DAFTAR_TBL___FORM1"/>
      <sheetName val="Harga_ME_1"/>
      <sheetName val="Form_4___4_A1"/>
      <sheetName val="T-3_2_UP_Material1"/>
      <sheetName val="Analisa_STR1"/>
      <sheetName val="anal_alat1"/>
      <sheetName val="Cycle_Time1"/>
      <sheetName val="Daf_11"/>
      <sheetName val="RAB_J18_1"/>
      <sheetName val="HARGA_J181"/>
      <sheetName val="analisa_J181"/>
      <sheetName val="Cash_Out_Table1"/>
      <sheetName val="Net_Cash_Table1"/>
      <sheetName val="Data_SRL1"/>
      <sheetName val="Data_Prod_Graf1"/>
      <sheetName val="Unit_Rate1"/>
      <sheetName val="D-3_(M)1"/>
      <sheetName val="D-7_(M)1"/>
      <sheetName val="01A-_RAB1"/>
      <sheetName val="AP_'S_ANALYSIS1"/>
      <sheetName val="H__Dasar1"/>
      <sheetName val="HRG_BH1"/>
      <sheetName val="CHITIET_VL-NC-TT_-1p1"/>
      <sheetName val="TONG_HOP_VL-NC1"/>
      <sheetName val="TONGKE3p_1"/>
      <sheetName val="DON_GIA1"/>
      <sheetName val="t-h_HA_THE1"/>
      <sheetName val="THPDMoi__(2)1"/>
      <sheetName val="TONG_HOP_VL-NC_TT1"/>
      <sheetName val="TH_XL1"/>
      <sheetName val="CHITIET_VL-NC1"/>
      <sheetName val="HARGA_SAT1"/>
      <sheetName val="23_FILTH_1"/>
      <sheetName val="02_01E_coli1"/>
      <sheetName val="Deliverable_list1"/>
      <sheetName val="member_design1"/>
      <sheetName val="Data_basic_price_jgan_diprint1"/>
      <sheetName val="anal_rab1"/>
      <sheetName val="Pivot_Table1"/>
      <sheetName val="PBAC_budget1"/>
      <sheetName val="환경기계공정표_(3)1"/>
      <sheetName val="Issue_Detail_(2nd_Stage)1"/>
      <sheetName val="rekap_harga_satuan_pek1"/>
      <sheetName val="rab_j171"/>
      <sheetName val="_anal_hrg_sat1"/>
      <sheetName val="RAB_KapukII1"/>
      <sheetName val="Ca_máy1"/>
      <sheetName val="Cước_VC_+_ĐM_CP_Tư_vấn1"/>
      <sheetName val="Dự_toán1"/>
      <sheetName val="Đơn_Giá_TH1"/>
      <sheetName val="Nhân_công1"/>
      <sheetName val="Phân_tích1"/>
      <sheetName val="Hệ_số1"/>
      <sheetName val="C_P_Thiết_bị1"/>
      <sheetName val="T_H_Kinh_phí1"/>
      <sheetName val="Vật_tư1"/>
      <sheetName val="Trang_bìa1"/>
      <sheetName val="Riesgos_y_Oportunidades1"/>
      <sheetName val="첨부2__물량소화계획_상세1"/>
      <sheetName val="Project_Information_In-Out1"/>
      <sheetName val="TOWER_12TON1"/>
      <sheetName val="TOWER_10TON1"/>
      <sheetName val="Cover_(sh_1)1"/>
      <sheetName val="A2-1-S-Curve and MP histogram"/>
      <sheetName val="A6-Registre Gest des risques"/>
      <sheetName val="4. S_Overall Precom &amp; Comm"/>
      <sheetName val="ENQ222394AL_NASR_Steel_Report2"/>
      <sheetName val="Dynamic_Query2"/>
      <sheetName val="FPF-Unit_Rates1"/>
      <sheetName val="PNT-Unit_Rates1"/>
      <sheetName val="AK-2004 (2)"/>
      <sheetName val="Est"/>
      <sheetName val="수량이동"/>
      <sheetName val="CEO혁신회의_r2"/>
      <sheetName val="KABULLER.XLS"/>
      <sheetName val="CCS"/>
      <sheetName val="Environment"/>
      <sheetName val="TIPO 1"/>
      <sheetName val="DPres Calc"/>
      <sheetName val="DTmpData"/>
      <sheetName val="Datas"/>
      <sheetName val="Tab_mot"/>
      <sheetName val="Power balance"/>
      <sheetName val="EAIGESEN"/>
      <sheetName val="2  "/>
      <sheetName val="내역서_(N___ 10"/>
      <sheetName val="_ ____ _"/>
      <sheetName val="Weekl__ _"/>
      <sheetName val="_ __x0"/>
      <sheetName val="선택 속성(잠금)"/>
      <sheetName val="Условия"/>
      <sheetName val="磨煤加压"/>
      <sheetName val="[SAND_x000f__x000f_»¿ª¼­ (CIVIL-7)"/>
      <sheetName val="_____x005f_x005f_x005f_x005f_x005f_x005f_x005f_x005f__2"/>
      <sheetName val="_______x005f_x005f_x005f_x005f_x005f_x005f_x005_2"/>
      <sheetName val="_x005f_x005f_x005f_x005f_x005f_x005f_x005f_x005f_x005_2"/>
      <sheetName val="PL_USD_Aver.Eligible Vendor"/>
      <sheetName val="Table-3"/>
      <sheetName val="PLANILLA FINAL"/>
      <sheetName val="表J7工程量计算表(总图)"/>
      <sheetName val="Status_Sub_System"/>
      <sheetName val="List__Flange"/>
      <sheetName val="เขตการค้าย่อย"/>
      <sheetName val="[SANDA6,31%"/>
      <sheetName val="31%"/>
      <sheetName val="[SAND"/>
      <sheetName val="주관사업"/>
      <sheetName val="Control Network Install"/>
      <sheetName val="Control Network Supply"/>
      <sheetName val="Elec Install"/>
      <sheetName val="Inst Install"/>
      <sheetName val="내역ࠜĀ_x0000_M4)"/>
      <sheetName val="내역서 耰&quot;_x0000__x0000_"/>
      <sheetName val="_x0004__x0000__x000d__x0000__x0003__x0000__x0004__x0000__x0016__x0000__x000d__x0000__x0004_"/>
      <sheetName val="_x000a__x0000__x001b__x0000__x0006__x0000__x0006__x0000__x0008__x0000__x000a__x0000__x0000_"/>
      <sheetName val="Weekl_x0004__x0000__x0016__x0000__x000d__x0000_"/>
      <sheetName val="_x0000__x000e__x0000__x0005_"/>
      <sheetName val="내역서_(N_x0009__x000e__x000e__x000e__x0009__x0009__x0012__x0010__x000a_"/>
      <sheetName val=" _x0000__x001b__x0000__x0006__x0000__x0006__x0000__x0008__x0000_ _x0000__x0000_"/>
      <sheetName val="7422CW_x0013__x0000_"/>
      <sheetName val="_x0004__x0000__x000d__x0000__x0"/>
      <sheetName val="_x000a__x0000__x001b__x0000__x0"/>
      <sheetName val="OPT_x0012__x0000__x0010__x0000__x000a__x0000_"/>
      <sheetName val="_x0000__x0013__x0000__x0014_"/>
      <sheetName val="내역서 耰&quot;_x0000__x0000"/>
      <sheetName val="내역서_耰&quot;_x0000__x0000"/>
      <sheetName val="내역서_耰&quot;_x0000__x0000_6"/>
      <sheetName val="내역ࠜĀ_x0000_M4"/>
      <sheetName val="내역서_耰&quot;_x0000__x0001"/>
      <sheetName val="내역서_耰&quot;_x0000__x0002"/>
      <sheetName val="__x0000__x001b__x0000__x0006__x"/>
      <sheetName val="EQUIPMENT_-_x0000_"/>
      <sheetName val="내역서_耰&quot;_x0000__x0000_"/>
      <sheetName val="내역서_耰&quot;_x0000__x0000_1"/>
      <sheetName val="내역서 ᢐ_x001f__x0000__x0000_"/>
      <sheetName val=" _x0000__x001b__x0000__x0006__x"/>
      <sheetName val="Weekl_x0004__x0000__x0016__x000"/>
      <sheetName val="내역서_(N_x0009__x000e__x000e__x00"/>
      <sheetName val="Precios Unitariԯ_x0000_"/>
      <sheetName val="내역서_耰&quot;_x0000__x0004"/>
      <sheetName val="내역서_耰&quot;_x0000__x0003"/>
      <sheetName val="내역서_耰&quot;_x0000__x0005"/>
      <sheetName val="내역서_耰&quot;_x0000__x0000_7"/>
      <sheetName val="내역서_耰&quot;_x0000__x0000_2"/>
      <sheetName val="내역서_耰&quot;_x0000__x0000_3"/>
      <sheetName val="내역서_耰&quot;_x0000__x0000_4"/>
      <sheetName val="내역서_耰&quot;_x0000__x0000_5"/>
      <sheetName val="내역서 耰&quot;_x0000_"/>
      <sheetName val="내역서_耰&quot;_x0000_"/>
      <sheetName val=" _x0000__x001b__x0000__x0"/>
      <sheetName val="OPT_x0012__x0000__x0010__x0000_ _x0000_"/>
      <sheetName val="_x0000__x0004_"/>
      <sheetName val="내역서_耰&quot;_x0000__x00001"/>
      <sheetName val="OPT_x0012__x0000__x0010__x0000_"/>
      <sheetName val="내역서_耰&quot;_x0000__x0006"/>
      <sheetName val="내역서_耰&quot;_x0000__x0000_8"/>
      <sheetName val="내역서_耰&quot;_x0000__x00002"/>
      <sheetName val="내역서_耰&quot;_x0000_1"/>
      <sheetName val="내역서_耰&quot;_x0000__x00003"/>
      <sheetName val="내역서_耰&quot;_x0000_2"/>
      <sheetName val="Site_x0000__x0000_"/>
      <sheetName val="LV induction _x0000__x0000__x0005__x0000_묠"/>
      <sheetName val="내역서_耰&quot;_x0000__x0007"/>
      <sheetName val="배관_x0000__x0000_"/>
      <sheetName val="2_x0010__x0000__x000a__x0000__x0003__x0000__x000d__x0000__x0008__x0000__x0010__x0000__x0004__x0000__x0004__x0000__x0004_"/>
      <sheetName val="Z- GENERAL PRIC_x0000__x0000__x0005__x0000_ẹ_x0000__x0000__x0000_"/>
      <sheetName val="LV induction mot_x0000__x0000__x0005_"/>
      <sheetName val="Sheet_x0000__x0000__x0005__x0000_ư"/>
      <sheetName val="Sheet_x0000__x0000__x0005__x0000_፠"/>
      <sheetName val="Sheet_x0000__x0000__x0005__x0000__xded0_"/>
      <sheetName val="Sheet_x0000__x0000__x0005__x0000_팠"/>
      <sheetName val="Sheet_x0000__x0000__x0005__x0000_⡰"/>
      <sheetName val="Sheet_x0000__x0000__x0005__x0000_㜰"/>
      <sheetName val="Sheet_x0000__x0000__x0005__x0000_븰"/>
      <sheetName val="내역서_耰&quot;_x0000__x0008"/>
      <sheetName val="내역서_耰&quot;_x0000__x0000_9"/>
      <sheetName val="내역서_耰&quot;_x0000_3"/>
      <sheetName val="내역서_耰&quot;_x0000__x00004"/>
      <sheetName val="내역서_耰&quot;_x0000__x0000_10"/>
      <sheetName val="내역서_耰&quot;_x0000__x00005"/>
      <sheetName val="내역서_耰&quot;_x0000_4"/>
      <sheetName val="내역서_耰&quot;_x0000__x0000_11"/>
      <sheetName val="내역서_耰&quot;_x0000__x00006"/>
      <sheetName val="내역서_耰&quot;_x0000_5"/>
      <sheetName val="Sheet_x0000__x0000__x0005__x0000_"/>
      <sheetName val="내역서_耰&quot;_x0000__x0009"/>
      <sheetName val="내역서_耰&quot;_x0000__x0010"/>
      <sheetName val="인원_x0000__x0000_"/>
      <sheetName val="Sheet_x0000__x0000__x0005__x0000_�"/>
      <sheetName val="2_x0010__x0000_ _x0000__x0003__x0000__x000d__x0000__x0008__x0000__x0010__x0000__x0004__x0000__x0004__x0000__x0004_"/>
      <sheetName val="인원_x0008__x0000_"/>
      <sheetName val="Z- GENERAL PRIC鋘@俀~橿⿂_x0000__x0"/>
      <sheetName val="Z- GENERAL PRIC_x0000__x0000__x"/>
      <sheetName val="LV induction _x0000__x0000__x00"/>
      <sheetName val="Sheet_x0000__x0000__x0005__x000"/>
      <sheetName val="LV induction mot_x0000__x0000__"/>
      <sheetName val="2_x0010__x0000__x000a__x0000__x"/>
      <sheetName val="2_x0010__x0000_ _x0000__x0003__"/>
      <sheetName val="LV induction _x0000__x0000__x0005__x0000_ˠ"/>
      <sheetName val="[SANDA6,31%_x0000_5-3_외상집계4"/>
      <sheetName val="31%_x0000_DAN.XLS]P_Clients_fac3____3"/>
      <sheetName val="31%_x0000_DAN.XLS]P_Clients_fac3____2"/>
      <sheetName val="내역서_耰&quot;_x0000__x000011"/>
      <sheetName val="__x0000__x001b__x0000__x0006__2"/>
      <sheetName val="내역서_耰&quot;_x0000__x0000_17"/>
      <sheetName val="내역서_耰&quot;_x0000__x000012"/>
      <sheetName val="__x0000__x001b__x0000__x0006__3"/>
      <sheetName val="[SAND_x0000__x0000__x0000__x000f__x0000__x0000__x0000__x000f_»¿ª¼­ (CIVIL-7)"/>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ow r="4">
          <cell r="I4">
            <v>0</v>
          </cell>
        </row>
      </sheetData>
      <sheetData sheetId="45"/>
      <sheetData sheetId="46">
        <row r="4">
          <cell r="I4">
            <v>0</v>
          </cell>
        </row>
      </sheetData>
      <sheetData sheetId="47">
        <row r="4">
          <cell r="I4">
            <v>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refreshError="1"/>
      <sheetData sheetId="127" refreshError="1"/>
      <sheetData sheetId="128" refreshError="1"/>
      <sheetData sheetId="129" refreshError="1"/>
      <sheetData sheetId="130" refreshError="1"/>
      <sheetData sheetId="131" refreshError="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sheetData sheetId="314"/>
      <sheetData sheetId="315"/>
      <sheetData sheetId="316"/>
      <sheetData sheetId="317" refreshError="1"/>
      <sheetData sheetId="318" refreshError="1"/>
      <sheetData sheetId="319" refreshError="1"/>
      <sheetData sheetId="320" refreshError="1"/>
      <sheetData sheetId="321" refreshError="1"/>
      <sheetData sheetId="322" refreshError="1"/>
      <sheetData sheetId="323" refreshError="1"/>
      <sheetData sheetId="324"/>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sheetData sheetId="645" refreshError="1"/>
      <sheetData sheetId="646"/>
      <sheetData sheetId="647" refreshError="1"/>
      <sheetData sheetId="648" refreshError="1"/>
      <sheetData sheetId="649" refreshError="1"/>
      <sheetData sheetId="650"/>
      <sheetData sheetId="651" refreshError="1"/>
      <sheetData sheetId="652"/>
      <sheetData sheetId="653"/>
      <sheetData sheetId="654" refreshError="1"/>
      <sheetData sheetId="655" refreshError="1"/>
      <sheetData sheetId="656"/>
      <sheetData sheetId="657"/>
      <sheetData sheetId="658"/>
      <sheetData sheetId="659" refreshError="1"/>
      <sheetData sheetId="660"/>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ow r="4">
          <cell r="I4">
            <v>0</v>
          </cell>
        </row>
      </sheetData>
      <sheetData sheetId="684">
        <row r="4">
          <cell r="I4">
            <v>0</v>
          </cell>
        </row>
      </sheetData>
      <sheetData sheetId="685" refreshError="1"/>
      <sheetData sheetId="686" refreshError="1"/>
      <sheetData sheetId="687" refreshError="1"/>
      <sheetData sheetId="688" refreshError="1"/>
      <sheetData sheetId="689" refreshError="1"/>
      <sheetData sheetId="690"/>
      <sheetData sheetId="691"/>
      <sheetData sheetId="692"/>
      <sheetData sheetId="693"/>
      <sheetData sheetId="694"/>
      <sheetData sheetId="695"/>
      <sheetData sheetId="696"/>
      <sheetData sheetId="697"/>
      <sheetData sheetId="698">
        <row r="4">
          <cell r="I4">
            <v>0</v>
          </cell>
        </row>
      </sheetData>
      <sheetData sheetId="699">
        <row r="4">
          <cell r="I4">
            <v>0</v>
          </cell>
        </row>
      </sheetData>
      <sheetData sheetId="700"/>
      <sheetData sheetId="701"/>
      <sheetData sheetId="702"/>
      <sheetData sheetId="703"/>
      <sheetData sheetId="704"/>
      <sheetData sheetId="705"/>
      <sheetData sheetId="706"/>
      <sheetData sheetId="707">
        <row r="4">
          <cell r="I4">
            <v>0</v>
          </cell>
        </row>
      </sheetData>
      <sheetData sheetId="708">
        <row r="4">
          <cell r="I4">
            <v>0</v>
          </cell>
        </row>
      </sheetData>
      <sheetData sheetId="709">
        <row r="4">
          <cell r="I4">
            <v>0</v>
          </cell>
        </row>
      </sheetData>
      <sheetData sheetId="710">
        <row r="4">
          <cell r="I4">
            <v>0</v>
          </cell>
        </row>
      </sheetData>
      <sheetData sheetId="711">
        <row r="4">
          <cell r="I4">
            <v>0</v>
          </cell>
        </row>
      </sheetData>
      <sheetData sheetId="712">
        <row r="4">
          <cell r="I4">
            <v>0</v>
          </cell>
        </row>
      </sheetData>
      <sheetData sheetId="713">
        <row r="4">
          <cell r="I4">
            <v>0</v>
          </cell>
        </row>
      </sheetData>
      <sheetData sheetId="714">
        <row r="4">
          <cell r="I4">
            <v>0</v>
          </cell>
        </row>
      </sheetData>
      <sheetData sheetId="715">
        <row r="4">
          <cell r="I4">
            <v>0</v>
          </cell>
        </row>
      </sheetData>
      <sheetData sheetId="716">
        <row r="4">
          <cell r="I4">
            <v>0</v>
          </cell>
        </row>
      </sheetData>
      <sheetData sheetId="717">
        <row r="4">
          <cell r="I4">
            <v>0</v>
          </cell>
        </row>
      </sheetData>
      <sheetData sheetId="718">
        <row r="4">
          <cell r="I4">
            <v>0</v>
          </cell>
        </row>
      </sheetData>
      <sheetData sheetId="719">
        <row r="4">
          <cell r="I4">
            <v>0</v>
          </cell>
        </row>
      </sheetData>
      <sheetData sheetId="720">
        <row r="4">
          <cell r="I4">
            <v>0</v>
          </cell>
        </row>
      </sheetData>
      <sheetData sheetId="721">
        <row r="4">
          <cell r="I4">
            <v>0</v>
          </cell>
        </row>
      </sheetData>
      <sheetData sheetId="722">
        <row r="4">
          <cell r="I4">
            <v>0</v>
          </cell>
        </row>
      </sheetData>
      <sheetData sheetId="723">
        <row r="4">
          <cell r="I4">
            <v>0</v>
          </cell>
        </row>
      </sheetData>
      <sheetData sheetId="724">
        <row r="4">
          <cell r="I4">
            <v>0</v>
          </cell>
        </row>
      </sheetData>
      <sheetData sheetId="725">
        <row r="4">
          <cell r="I4">
            <v>0</v>
          </cell>
        </row>
      </sheetData>
      <sheetData sheetId="726">
        <row r="4">
          <cell r="I4">
            <v>0</v>
          </cell>
        </row>
      </sheetData>
      <sheetData sheetId="727">
        <row r="4">
          <cell r="I4">
            <v>0</v>
          </cell>
        </row>
      </sheetData>
      <sheetData sheetId="728">
        <row r="4">
          <cell r="I4">
            <v>0</v>
          </cell>
        </row>
      </sheetData>
      <sheetData sheetId="729">
        <row r="4">
          <cell r="I4">
            <v>0</v>
          </cell>
        </row>
      </sheetData>
      <sheetData sheetId="730">
        <row r="4">
          <cell r="I4">
            <v>0</v>
          </cell>
        </row>
      </sheetData>
      <sheetData sheetId="731">
        <row r="4">
          <cell r="I4">
            <v>0</v>
          </cell>
        </row>
      </sheetData>
      <sheetData sheetId="732">
        <row r="4">
          <cell r="I4">
            <v>0</v>
          </cell>
        </row>
      </sheetData>
      <sheetData sheetId="733">
        <row r="4">
          <cell r="I4">
            <v>0</v>
          </cell>
        </row>
      </sheetData>
      <sheetData sheetId="734">
        <row r="4">
          <cell r="I4">
            <v>0</v>
          </cell>
        </row>
      </sheetData>
      <sheetData sheetId="735">
        <row r="4">
          <cell r="I4">
            <v>0</v>
          </cell>
        </row>
      </sheetData>
      <sheetData sheetId="736">
        <row r="4">
          <cell r="I4">
            <v>0</v>
          </cell>
        </row>
      </sheetData>
      <sheetData sheetId="737">
        <row r="4">
          <cell r="I4">
            <v>0</v>
          </cell>
        </row>
      </sheetData>
      <sheetData sheetId="738">
        <row r="4">
          <cell r="I4">
            <v>0</v>
          </cell>
        </row>
      </sheetData>
      <sheetData sheetId="739">
        <row r="4">
          <cell r="I4">
            <v>0</v>
          </cell>
        </row>
      </sheetData>
      <sheetData sheetId="740">
        <row r="4">
          <cell r="I4">
            <v>0</v>
          </cell>
        </row>
      </sheetData>
      <sheetData sheetId="741">
        <row r="4">
          <cell r="I4">
            <v>0</v>
          </cell>
        </row>
      </sheetData>
      <sheetData sheetId="742">
        <row r="4">
          <cell r="I4">
            <v>0</v>
          </cell>
        </row>
      </sheetData>
      <sheetData sheetId="743">
        <row r="4">
          <cell r="I4">
            <v>0</v>
          </cell>
        </row>
      </sheetData>
      <sheetData sheetId="744">
        <row r="4">
          <cell r="I4">
            <v>0</v>
          </cell>
        </row>
      </sheetData>
      <sheetData sheetId="745">
        <row r="4">
          <cell r="I4">
            <v>0</v>
          </cell>
        </row>
      </sheetData>
      <sheetData sheetId="746">
        <row r="4">
          <cell r="I4">
            <v>0</v>
          </cell>
        </row>
      </sheetData>
      <sheetData sheetId="747">
        <row r="4">
          <cell r="I4">
            <v>0</v>
          </cell>
        </row>
      </sheetData>
      <sheetData sheetId="748">
        <row r="4">
          <cell r="I4">
            <v>0</v>
          </cell>
        </row>
      </sheetData>
      <sheetData sheetId="749">
        <row r="4">
          <cell r="I4">
            <v>0</v>
          </cell>
        </row>
      </sheetData>
      <sheetData sheetId="750">
        <row r="4">
          <cell r="I4">
            <v>0</v>
          </cell>
        </row>
      </sheetData>
      <sheetData sheetId="751">
        <row r="4">
          <cell r="I4">
            <v>0</v>
          </cell>
        </row>
      </sheetData>
      <sheetData sheetId="752">
        <row r="4">
          <cell r="I4">
            <v>0</v>
          </cell>
        </row>
      </sheetData>
      <sheetData sheetId="753">
        <row r="4">
          <cell r="I4">
            <v>0</v>
          </cell>
        </row>
      </sheetData>
      <sheetData sheetId="754"/>
      <sheetData sheetId="755"/>
      <sheetData sheetId="756"/>
      <sheetData sheetId="757">
        <row r="4">
          <cell r="I4">
            <v>0</v>
          </cell>
        </row>
      </sheetData>
      <sheetData sheetId="758">
        <row r="4">
          <cell r="I4">
            <v>0</v>
          </cell>
        </row>
      </sheetData>
      <sheetData sheetId="759">
        <row r="4">
          <cell r="I4">
            <v>0</v>
          </cell>
        </row>
      </sheetData>
      <sheetData sheetId="760">
        <row r="4">
          <cell r="I4">
            <v>0</v>
          </cell>
        </row>
      </sheetData>
      <sheetData sheetId="761">
        <row r="4">
          <cell r="I4">
            <v>0</v>
          </cell>
        </row>
      </sheetData>
      <sheetData sheetId="762">
        <row r="4">
          <cell r="I4">
            <v>0</v>
          </cell>
        </row>
      </sheetData>
      <sheetData sheetId="763">
        <row r="4">
          <cell r="I4">
            <v>0</v>
          </cell>
        </row>
      </sheetData>
      <sheetData sheetId="764">
        <row r="4">
          <cell r="I4">
            <v>0</v>
          </cell>
        </row>
      </sheetData>
      <sheetData sheetId="765">
        <row r="4">
          <cell r="I4">
            <v>0</v>
          </cell>
        </row>
      </sheetData>
      <sheetData sheetId="766">
        <row r="4">
          <cell r="I4">
            <v>0</v>
          </cell>
        </row>
      </sheetData>
      <sheetData sheetId="767">
        <row r="4">
          <cell r="I4">
            <v>0</v>
          </cell>
        </row>
      </sheetData>
      <sheetData sheetId="768">
        <row r="4">
          <cell r="I4">
            <v>0</v>
          </cell>
        </row>
      </sheetData>
      <sheetData sheetId="769">
        <row r="4">
          <cell r="I4">
            <v>0</v>
          </cell>
        </row>
      </sheetData>
      <sheetData sheetId="770">
        <row r="4">
          <cell r="I4">
            <v>0</v>
          </cell>
        </row>
      </sheetData>
      <sheetData sheetId="771">
        <row r="4">
          <cell r="I4">
            <v>0</v>
          </cell>
        </row>
      </sheetData>
      <sheetData sheetId="772">
        <row r="4">
          <cell r="I4">
            <v>0</v>
          </cell>
        </row>
      </sheetData>
      <sheetData sheetId="773">
        <row r="4">
          <cell r="I4">
            <v>0</v>
          </cell>
        </row>
      </sheetData>
      <sheetData sheetId="774">
        <row r="4">
          <cell r="I4">
            <v>0</v>
          </cell>
        </row>
      </sheetData>
      <sheetData sheetId="775">
        <row r="4">
          <cell r="I4">
            <v>0</v>
          </cell>
        </row>
      </sheetData>
      <sheetData sheetId="776">
        <row r="4">
          <cell r="I4">
            <v>0</v>
          </cell>
        </row>
      </sheetData>
      <sheetData sheetId="777">
        <row r="4">
          <cell r="I4">
            <v>0</v>
          </cell>
        </row>
      </sheetData>
      <sheetData sheetId="778">
        <row r="4">
          <cell r="I4">
            <v>0</v>
          </cell>
        </row>
      </sheetData>
      <sheetData sheetId="779">
        <row r="4">
          <cell r="I4">
            <v>0</v>
          </cell>
        </row>
      </sheetData>
      <sheetData sheetId="780">
        <row r="4">
          <cell r="I4">
            <v>0</v>
          </cell>
        </row>
      </sheetData>
      <sheetData sheetId="781">
        <row r="4">
          <cell r="I4">
            <v>0</v>
          </cell>
        </row>
      </sheetData>
      <sheetData sheetId="782">
        <row r="4">
          <cell r="I4">
            <v>0</v>
          </cell>
        </row>
      </sheetData>
      <sheetData sheetId="783">
        <row r="4">
          <cell r="I4">
            <v>0</v>
          </cell>
        </row>
      </sheetData>
      <sheetData sheetId="784">
        <row r="4">
          <cell r="I4">
            <v>0</v>
          </cell>
        </row>
      </sheetData>
      <sheetData sheetId="785">
        <row r="4">
          <cell r="I4">
            <v>0</v>
          </cell>
        </row>
      </sheetData>
      <sheetData sheetId="786">
        <row r="4">
          <cell r="I4">
            <v>0</v>
          </cell>
        </row>
      </sheetData>
      <sheetData sheetId="787"/>
      <sheetData sheetId="788">
        <row r="4">
          <cell r="I4">
            <v>0</v>
          </cell>
        </row>
      </sheetData>
      <sheetData sheetId="789">
        <row r="4">
          <cell r="I4">
            <v>0</v>
          </cell>
        </row>
      </sheetData>
      <sheetData sheetId="790">
        <row r="4">
          <cell r="I4">
            <v>0</v>
          </cell>
        </row>
      </sheetData>
      <sheetData sheetId="791"/>
      <sheetData sheetId="792">
        <row r="4">
          <cell r="I4">
            <v>0</v>
          </cell>
        </row>
      </sheetData>
      <sheetData sheetId="793">
        <row r="4">
          <cell r="I4">
            <v>0</v>
          </cell>
        </row>
      </sheetData>
      <sheetData sheetId="794"/>
      <sheetData sheetId="795">
        <row r="4">
          <cell r="I4">
            <v>0</v>
          </cell>
        </row>
      </sheetData>
      <sheetData sheetId="796"/>
      <sheetData sheetId="797">
        <row r="4">
          <cell r="I4">
            <v>0</v>
          </cell>
        </row>
      </sheetData>
      <sheetData sheetId="798" refreshError="1"/>
      <sheetData sheetId="799">
        <row r="4">
          <cell r="I4">
            <v>0</v>
          </cell>
        </row>
      </sheetData>
      <sheetData sheetId="800">
        <row r="4">
          <cell r="I4">
            <v>0</v>
          </cell>
        </row>
      </sheetData>
      <sheetData sheetId="801">
        <row r="4">
          <cell r="M4">
            <v>100</v>
          </cell>
        </row>
      </sheetData>
      <sheetData sheetId="802">
        <row r="4">
          <cell r="I4">
            <v>0</v>
          </cell>
        </row>
      </sheetData>
      <sheetData sheetId="803">
        <row r="4">
          <cell r="I4">
            <v>0</v>
          </cell>
        </row>
      </sheetData>
      <sheetData sheetId="804">
        <row r="4">
          <cell r="I4">
            <v>0</v>
          </cell>
        </row>
      </sheetData>
      <sheetData sheetId="805">
        <row r="4">
          <cell r="I4">
            <v>0</v>
          </cell>
        </row>
      </sheetData>
      <sheetData sheetId="806"/>
      <sheetData sheetId="807" refreshError="1"/>
      <sheetData sheetId="808" refreshError="1"/>
      <sheetData sheetId="809">
        <row r="4">
          <cell r="M4">
            <v>100</v>
          </cell>
        </row>
      </sheetData>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ow r="4">
          <cell r="I4">
            <v>0</v>
          </cell>
        </row>
      </sheetData>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ow r="4">
          <cell r="I4">
            <v>0</v>
          </cell>
        </row>
      </sheetData>
      <sheetData sheetId="844" refreshError="1"/>
      <sheetData sheetId="845" refreshError="1"/>
      <sheetData sheetId="846" refreshError="1"/>
      <sheetData sheetId="847"/>
      <sheetData sheetId="848" refreshError="1"/>
      <sheetData sheetId="849" refreshError="1"/>
      <sheetData sheetId="850" refreshError="1"/>
      <sheetData sheetId="851" refreshError="1"/>
      <sheetData sheetId="852" refreshError="1"/>
      <sheetData sheetId="853">
        <row r="4">
          <cell r="I4">
            <v>0</v>
          </cell>
        </row>
      </sheetData>
      <sheetData sheetId="854" refreshError="1"/>
      <sheetData sheetId="855" refreshError="1"/>
      <sheetData sheetId="856" refreshError="1"/>
      <sheetData sheetId="857">
        <row r="4">
          <cell r="I4">
            <v>0</v>
          </cell>
        </row>
      </sheetData>
      <sheetData sheetId="858">
        <row r="4">
          <cell r="I4">
            <v>0</v>
          </cell>
        </row>
      </sheetData>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sheetData sheetId="879" refreshError="1"/>
      <sheetData sheetId="880" refreshError="1"/>
      <sheetData sheetId="881"/>
      <sheetData sheetId="882"/>
      <sheetData sheetId="883"/>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ow r="4">
          <cell r="I4">
            <v>0</v>
          </cell>
        </row>
      </sheetData>
      <sheetData sheetId="1036">
        <row r="4">
          <cell r="I4">
            <v>0</v>
          </cell>
        </row>
      </sheetData>
      <sheetData sheetId="1037">
        <row r="4">
          <cell r="I4">
            <v>0</v>
          </cell>
        </row>
      </sheetData>
      <sheetData sheetId="1038">
        <row r="4">
          <cell r="I4">
            <v>0</v>
          </cell>
        </row>
      </sheetData>
      <sheetData sheetId="1039">
        <row r="4">
          <cell r="I4">
            <v>0</v>
          </cell>
        </row>
      </sheetData>
      <sheetData sheetId="1040">
        <row r="4">
          <cell r="I4">
            <v>0</v>
          </cell>
        </row>
      </sheetData>
      <sheetData sheetId="1041">
        <row r="4">
          <cell r="I4">
            <v>0</v>
          </cell>
        </row>
      </sheetData>
      <sheetData sheetId="1042">
        <row r="4">
          <cell r="I4">
            <v>0</v>
          </cell>
        </row>
      </sheetData>
      <sheetData sheetId="1043">
        <row r="4">
          <cell r="I4">
            <v>0</v>
          </cell>
        </row>
      </sheetData>
      <sheetData sheetId="1044">
        <row r="4">
          <cell r="I4">
            <v>0</v>
          </cell>
        </row>
      </sheetData>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ow r="4">
          <cell r="I4">
            <v>0</v>
          </cell>
        </row>
      </sheetData>
      <sheetData sheetId="1109">
        <row r="4">
          <cell r="I4">
            <v>0</v>
          </cell>
        </row>
      </sheetData>
      <sheetData sheetId="1110">
        <row r="4">
          <cell r="I4">
            <v>0</v>
          </cell>
        </row>
      </sheetData>
      <sheetData sheetId="1111">
        <row r="4">
          <cell r="I4">
            <v>0</v>
          </cell>
        </row>
      </sheetData>
      <sheetData sheetId="1112">
        <row r="4">
          <cell r="I4">
            <v>0</v>
          </cell>
        </row>
      </sheetData>
      <sheetData sheetId="1113">
        <row r="4">
          <cell r="I4">
            <v>0</v>
          </cell>
        </row>
      </sheetData>
      <sheetData sheetId="1114">
        <row r="4">
          <cell r="I4">
            <v>0</v>
          </cell>
        </row>
      </sheetData>
      <sheetData sheetId="1115">
        <row r="4">
          <cell r="I4">
            <v>0</v>
          </cell>
        </row>
      </sheetData>
      <sheetData sheetId="1116">
        <row r="4">
          <cell r="I4">
            <v>0</v>
          </cell>
        </row>
      </sheetData>
      <sheetData sheetId="1117">
        <row r="4">
          <cell r="I4">
            <v>0</v>
          </cell>
        </row>
      </sheetData>
      <sheetData sheetId="1118">
        <row r="4">
          <cell r="I4">
            <v>0</v>
          </cell>
        </row>
      </sheetData>
      <sheetData sheetId="1119" refreshError="1"/>
      <sheetData sheetId="1120">
        <row r="4">
          <cell r="I4">
            <v>0</v>
          </cell>
        </row>
      </sheetData>
      <sheetData sheetId="1121">
        <row r="4">
          <cell r="I4">
            <v>0</v>
          </cell>
        </row>
      </sheetData>
      <sheetData sheetId="1122">
        <row r="4">
          <cell r="I4">
            <v>0</v>
          </cell>
        </row>
      </sheetData>
      <sheetData sheetId="1123">
        <row r="4">
          <cell r="I4">
            <v>0</v>
          </cell>
        </row>
      </sheetData>
      <sheetData sheetId="1124">
        <row r="4">
          <cell r="I4">
            <v>0</v>
          </cell>
        </row>
      </sheetData>
      <sheetData sheetId="1125">
        <row r="4">
          <cell r="I4">
            <v>0</v>
          </cell>
        </row>
      </sheetData>
      <sheetData sheetId="1126">
        <row r="4">
          <cell r="I4">
            <v>0</v>
          </cell>
        </row>
      </sheetData>
      <sheetData sheetId="1127">
        <row r="4">
          <cell r="I4">
            <v>0</v>
          </cell>
        </row>
      </sheetData>
      <sheetData sheetId="1128">
        <row r="4">
          <cell r="I4">
            <v>0</v>
          </cell>
        </row>
      </sheetData>
      <sheetData sheetId="1129">
        <row r="4">
          <cell r="I4">
            <v>0</v>
          </cell>
        </row>
      </sheetData>
      <sheetData sheetId="1130">
        <row r="4">
          <cell r="I4">
            <v>0</v>
          </cell>
        </row>
      </sheetData>
      <sheetData sheetId="1131">
        <row r="4">
          <cell r="I4">
            <v>0</v>
          </cell>
        </row>
      </sheetData>
      <sheetData sheetId="1132">
        <row r="4">
          <cell r="I4">
            <v>0</v>
          </cell>
        </row>
      </sheetData>
      <sheetData sheetId="1133">
        <row r="4">
          <cell r="I4">
            <v>0</v>
          </cell>
        </row>
      </sheetData>
      <sheetData sheetId="1134">
        <row r="4">
          <cell r="I4">
            <v>0</v>
          </cell>
        </row>
      </sheetData>
      <sheetData sheetId="1135">
        <row r="4">
          <cell r="I4">
            <v>0</v>
          </cell>
        </row>
      </sheetData>
      <sheetData sheetId="1136">
        <row r="4">
          <cell r="I4">
            <v>0</v>
          </cell>
        </row>
      </sheetData>
      <sheetData sheetId="1137">
        <row r="4">
          <cell r="I4">
            <v>0</v>
          </cell>
        </row>
      </sheetData>
      <sheetData sheetId="1138">
        <row r="4">
          <cell r="I4">
            <v>0</v>
          </cell>
        </row>
      </sheetData>
      <sheetData sheetId="1139">
        <row r="4">
          <cell r="I4">
            <v>0</v>
          </cell>
        </row>
      </sheetData>
      <sheetData sheetId="1140">
        <row r="4">
          <cell r="I4">
            <v>0</v>
          </cell>
        </row>
      </sheetData>
      <sheetData sheetId="1141">
        <row r="4">
          <cell r="I4">
            <v>0</v>
          </cell>
        </row>
      </sheetData>
      <sheetData sheetId="1142">
        <row r="4">
          <cell r="I4">
            <v>0</v>
          </cell>
        </row>
      </sheetData>
      <sheetData sheetId="1143">
        <row r="4">
          <cell r="I4">
            <v>0</v>
          </cell>
        </row>
      </sheetData>
      <sheetData sheetId="1144">
        <row r="4">
          <cell r="I4">
            <v>0</v>
          </cell>
        </row>
      </sheetData>
      <sheetData sheetId="1145">
        <row r="4">
          <cell r="I4">
            <v>0</v>
          </cell>
        </row>
      </sheetData>
      <sheetData sheetId="1146">
        <row r="4">
          <cell r="I4">
            <v>0</v>
          </cell>
        </row>
      </sheetData>
      <sheetData sheetId="1147">
        <row r="4">
          <cell r="I4">
            <v>0</v>
          </cell>
        </row>
      </sheetData>
      <sheetData sheetId="1148">
        <row r="4">
          <cell r="I4">
            <v>0</v>
          </cell>
        </row>
      </sheetData>
      <sheetData sheetId="1149">
        <row r="4">
          <cell r="I4">
            <v>0</v>
          </cell>
        </row>
      </sheetData>
      <sheetData sheetId="1150">
        <row r="4">
          <cell r="I4">
            <v>0</v>
          </cell>
        </row>
      </sheetData>
      <sheetData sheetId="1151">
        <row r="4">
          <cell r="I4">
            <v>0</v>
          </cell>
        </row>
      </sheetData>
      <sheetData sheetId="1152">
        <row r="4">
          <cell r="I4">
            <v>0</v>
          </cell>
        </row>
      </sheetData>
      <sheetData sheetId="1153">
        <row r="4">
          <cell r="I4">
            <v>0</v>
          </cell>
        </row>
      </sheetData>
      <sheetData sheetId="1154">
        <row r="4">
          <cell r="I4">
            <v>0</v>
          </cell>
        </row>
      </sheetData>
      <sheetData sheetId="1155">
        <row r="4">
          <cell r="I4">
            <v>0</v>
          </cell>
        </row>
      </sheetData>
      <sheetData sheetId="1156">
        <row r="4">
          <cell r="I4">
            <v>0</v>
          </cell>
        </row>
      </sheetData>
      <sheetData sheetId="1157">
        <row r="4">
          <cell r="I4">
            <v>0</v>
          </cell>
        </row>
      </sheetData>
      <sheetData sheetId="1158">
        <row r="4">
          <cell r="I4">
            <v>0</v>
          </cell>
        </row>
      </sheetData>
      <sheetData sheetId="1159">
        <row r="4">
          <cell r="I4">
            <v>0</v>
          </cell>
        </row>
      </sheetData>
      <sheetData sheetId="1160">
        <row r="4">
          <cell r="I4">
            <v>0</v>
          </cell>
        </row>
      </sheetData>
      <sheetData sheetId="1161">
        <row r="4">
          <cell r="I4">
            <v>0</v>
          </cell>
        </row>
      </sheetData>
      <sheetData sheetId="1162">
        <row r="4">
          <cell r="I4">
            <v>0</v>
          </cell>
        </row>
      </sheetData>
      <sheetData sheetId="1163">
        <row r="4">
          <cell r="I4">
            <v>0</v>
          </cell>
        </row>
      </sheetData>
      <sheetData sheetId="1164">
        <row r="4">
          <cell r="I4">
            <v>0</v>
          </cell>
        </row>
      </sheetData>
      <sheetData sheetId="1165">
        <row r="4">
          <cell r="I4">
            <v>0</v>
          </cell>
        </row>
      </sheetData>
      <sheetData sheetId="1166">
        <row r="4">
          <cell r="I4">
            <v>0</v>
          </cell>
        </row>
      </sheetData>
      <sheetData sheetId="1167">
        <row r="4">
          <cell r="I4">
            <v>0</v>
          </cell>
        </row>
      </sheetData>
      <sheetData sheetId="1168">
        <row r="4">
          <cell r="I4">
            <v>0</v>
          </cell>
        </row>
      </sheetData>
      <sheetData sheetId="1169">
        <row r="4">
          <cell r="I4">
            <v>0</v>
          </cell>
        </row>
      </sheetData>
      <sheetData sheetId="1170">
        <row r="4">
          <cell r="I4">
            <v>0</v>
          </cell>
        </row>
      </sheetData>
      <sheetData sheetId="1171">
        <row r="4">
          <cell r="I4">
            <v>0</v>
          </cell>
        </row>
      </sheetData>
      <sheetData sheetId="1172">
        <row r="4">
          <cell r="I4">
            <v>0</v>
          </cell>
        </row>
      </sheetData>
      <sheetData sheetId="1173">
        <row r="4">
          <cell r="I4">
            <v>0</v>
          </cell>
        </row>
      </sheetData>
      <sheetData sheetId="1174">
        <row r="4">
          <cell r="I4">
            <v>0</v>
          </cell>
        </row>
      </sheetData>
      <sheetData sheetId="1175">
        <row r="4">
          <cell r="I4">
            <v>0</v>
          </cell>
        </row>
      </sheetData>
      <sheetData sheetId="1176">
        <row r="4">
          <cell r="I4">
            <v>0</v>
          </cell>
        </row>
      </sheetData>
      <sheetData sheetId="1177">
        <row r="4">
          <cell r="I4">
            <v>0</v>
          </cell>
        </row>
      </sheetData>
      <sheetData sheetId="1178">
        <row r="4">
          <cell r="I4">
            <v>0</v>
          </cell>
        </row>
      </sheetData>
      <sheetData sheetId="1179">
        <row r="4">
          <cell r="I4">
            <v>0</v>
          </cell>
        </row>
      </sheetData>
      <sheetData sheetId="1180">
        <row r="4">
          <cell r="I4">
            <v>0</v>
          </cell>
        </row>
      </sheetData>
      <sheetData sheetId="1181">
        <row r="4">
          <cell r="I4">
            <v>0</v>
          </cell>
        </row>
      </sheetData>
      <sheetData sheetId="1182">
        <row r="4">
          <cell r="I4">
            <v>0</v>
          </cell>
        </row>
      </sheetData>
      <sheetData sheetId="1183">
        <row r="4">
          <cell r="I4">
            <v>0</v>
          </cell>
        </row>
      </sheetData>
      <sheetData sheetId="1184">
        <row r="4">
          <cell r="I4">
            <v>0</v>
          </cell>
        </row>
      </sheetData>
      <sheetData sheetId="1185">
        <row r="4">
          <cell r="I4">
            <v>0</v>
          </cell>
        </row>
      </sheetData>
      <sheetData sheetId="1186">
        <row r="4">
          <cell r="I4">
            <v>0</v>
          </cell>
        </row>
      </sheetData>
      <sheetData sheetId="1187">
        <row r="4">
          <cell r="I4">
            <v>0</v>
          </cell>
        </row>
      </sheetData>
      <sheetData sheetId="1188">
        <row r="4">
          <cell r="I4">
            <v>0</v>
          </cell>
        </row>
      </sheetData>
      <sheetData sheetId="1189">
        <row r="4">
          <cell r="I4">
            <v>0</v>
          </cell>
        </row>
      </sheetData>
      <sheetData sheetId="1190">
        <row r="4">
          <cell r="I4">
            <v>0</v>
          </cell>
        </row>
      </sheetData>
      <sheetData sheetId="1191">
        <row r="4">
          <cell r="I4">
            <v>0</v>
          </cell>
        </row>
      </sheetData>
      <sheetData sheetId="1192">
        <row r="4">
          <cell r="I4">
            <v>0</v>
          </cell>
        </row>
      </sheetData>
      <sheetData sheetId="1193">
        <row r="4">
          <cell r="I4">
            <v>0</v>
          </cell>
        </row>
      </sheetData>
      <sheetData sheetId="1194">
        <row r="4">
          <cell r="I4">
            <v>0</v>
          </cell>
        </row>
      </sheetData>
      <sheetData sheetId="1195">
        <row r="4">
          <cell r="I4">
            <v>0</v>
          </cell>
        </row>
      </sheetData>
      <sheetData sheetId="1196">
        <row r="4">
          <cell r="I4">
            <v>0</v>
          </cell>
        </row>
      </sheetData>
      <sheetData sheetId="1197">
        <row r="4">
          <cell r="I4">
            <v>0</v>
          </cell>
        </row>
      </sheetData>
      <sheetData sheetId="1198">
        <row r="4">
          <cell r="I4">
            <v>0</v>
          </cell>
        </row>
      </sheetData>
      <sheetData sheetId="1199">
        <row r="4">
          <cell r="I4">
            <v>0</v>
          </cell>
        </row>
      </sheetData>
      <sheetData sheetId="1200">
        <row r="4">
          <cell r="I4">
            <v>0</v>
          </cell>
        </row>
      </sheetData>
      <sheetData sheetId="1201">
        <row r="4">
          <cell r="I4">
            <v>0</v>
          </cell>
        </row>
      </sheetData>
      <sheetData sheetId="1202">
        <row r="4">
          <cell r="I4">
            <v>0</v>
          </cell>
        </row>
      </sheetData>
      <sheetData sheetId="1203">
        <row r="4">
          <cell r="I4">
            <v>0</v>
          </cell>
        </row>
      </sheetData>
      <sheetData sheetId="1204">
        <row r="4">
          <cell r="I4">
            <v>0</v>
          </cell>
        </row>
      </sheetData>
      <sheetData sheetId="1205">
        <row r="4">
          <cell r="I4">
            <v>0</v>
          </cell>
        </row>
      </sheetData>
      <sheetData sheetId="1206">
        <row r="4">
          <cell r="I4">
            <v>0</v>
          </cell>
        </row>
      </sheetData>
      <sheetData sheetId="1207">
        <row r="4">
          <cell r="I4">
            <v>0</v>
          </cell>
        </row>
      </sheetData>
      <sheetData sheetId="1208">
        <row r="4">
          <cell r="I4">
            <v>0</v>
          </cell>
        </row>
      </sheetData>
      <sheetData sheetId="1209">
        <row r="4">
          <cell r="I4">
            <v>0</v>
          </cell>
        </row>
      </sheetData>
      <sheetData sheetId="1210">
        <row r="4">
          <cell r="I4">
            <v>0</v>
          </cell>
        </row>
      </sheetData>
      <sheetData sheetId="1211">
        <row r="4">
          <cell r="I4">
            <v>0</v>
          </cell>
        </row>
      </sheetData>
      <sheetData sheetId="1212">
        <row r="4">
          <cell r="I4">
            <v>0</v>
          </cell>
        </row>
      </sheetData>
      <sheetData sheetId="1213">
        <row r="4">
          <cell r="I4">
            <v>0</v>
          </cell>
        </row>
      </sheetData>
      <sheetData sheetId="1214">
        <row r="4">
          <cell r="I4">
            <v>0</v>
          </cell>
        </row>
      </sheetData>
      <sheetData sheetId="1215">
        <row r="4">
          <cell r="I4">
            <v>0</v>
          </cell>
        </row>
      </sheetData>
      <sheetData sheetId="1216">
        <row r="4">
          <cell r="I4">
            <v>0</v>
          </cell>
        </row>
      </sheetData>
      <sheetData sheetId="1217">
        <row r="4">
          <cell r="I4">
            <v>0</v>
          </cell>
        </row>
      </sheetData>
      <sheetData sheetId="1218">
        <row r="4">
          <cell r="I4">
            <v>0</v>
          </cell>
        </row>
      </sheetData>
      <sheetData sheetId="1219">
        <row r="4">
          <cell r="I4">
            <v>0</v>
          </cell>
        </row>
      </sheetData>
      <sheetData sheetId="1220">
        <row r="4">
          <cell r="I4">
            <v>0</v>
          </cell>
        </row>
      </sheetData>
      <sheetData sheetId="1221">
        <row r="4">
          <cell r="I4">
            <v>0</v>
          </cell>
        </row>
      </sheetData>
      <sheetData sheetId="1222">
        <row r="4">
          <cell r="I4">
            <v>0</v>
          </cell>
        </row>
      </sheetData>
      <sheetData sheetId="1223">
        <row r="4">
          <cell r="I4">
            <v>0</v>
          </cell>
        </row>
      </sheetData>
      <sheetData sheetId="1224">
        <row r="4">
          <cell r="I4">
            <v>0</v>
          </cell>
        </row>
      </sheetData>
      <sheetData sheetId="1225">
        <row r="4">
          <cell r="I4">
            <v>0</v>
          </cell>
        </row>
      </sheetData>
      <sheetData sheetId="1226">
        <row r="4">
          <cell r="I4">
            <v>0</v>
          </cell>
        </row>
      </sheetData>
      <sheetData sheetId="1227">
        <row r="4">
          <cell r="I4">
            <v>0</v>
          </cell>
        </row>
      </sheetData>
      <sheetData sheetId="1228">
        <row r="4">
          <cell r="I4">
            <v>0</v>
          </cell>
        </row>
      </sheetData>
      <sheetData sheetId="1229">
        <row r="4">
          <cell r="I4">
            <v>0</v>
          </cell>
        </row>
      </sheetData>
      <sheetData sheetId="1230">
        <row r="4">
          <cell r="I4">
            <v>0</v>
          </cell>
        </row>
      </sheetData>
      <sheetData sheetId="1231">
        <row r="4">
          <cell r="I4">
            <v>0</v>
          </cell>
        </row>
      </sheetData>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sheetData sheetId="1261" refreshError="1"/>
      <sheetData sheetId="1262" refreshError="1"/>
      <sheetData sheetId="1263" refreshError="1"/>
      <sheetData sheetId="1264">
        <row r="4">
          <cell r="I4">
            <v>0</v>
          </cell>
        </row>
      </sheetData>
      <sheetData sheetId="1265" refreshError="1"/>
      <sheetData sheetId="1266"/>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ow r="4">
          <cell r="I4">
            <v>0</v>
          </cell>
        </row>
      </sheetData>
      <sheetData sheetId="1358">
        <row r="4">
          <cell r="I4">
            <v>0</v>
          </cell>
        </row>
      </sheetData>
      <sheetData sheetId="1359">
        <row r="4">
          <cell r="I4">
            <v>0</v>
          </cell>
        </row>
      </sheetData>
      <sheetData sheetId="1360">
        <row r="4">
          <cell r="I4">
            <v>0</v>
          </cell>
        </row>
      </sheetData>
      <sheetData sheetId="1361">
        <row r="4">
          <cell r="I4">
            <v>0</v>
          </cell>
        </row>
      </sheetData>
      <sheetData sheetId="1362">
        <row r="4">
          <cell r="I4">
            <v>0</v>
          </cell>
        </row>
      </sheetData>
      <sheetData sheetId="1363">
        <row r="4">
          <cell r="I4">
            <v>0</v>
          </cell>
        </row>
      </sheetData>
      <sheetData sheetId="1364">
        <row r="4">
          <cell r="I4">
            <v>0</v>
          </cell>
        </row>
      </sheetData>
      <sheetData sheetId="1365">
        <row r="4">
          <cell r="I4">
            <v>0</v>
          </cell>
        </row>
      </sheetData>
      <sheetData sheetId="1366">
        <row r="4">
          <cell r="I4">
            <v>0</v>
          </cell>
        </row>
      </sheetData>
      <sheetData sheetId="1367">
        <row r="4">
          <cell r="I4">
            <v>0</v>
          </cell>
        </row>
      </sheetData>
      <sheetData sheetId="1368">
        <row r="4">
          <cell r="I4">
            <v>0</v>
          </cell>
        </row>
      </sheetData>
      <sheetData sheetId="1369">
        <row r="4">
          <cell r="I4">
            <v>0</v>
          </cell>
        </row>
      </sheetData>
      <sheetData sheetId="1370">
        <row r="4">
          <cell r="I4">
            <v>0</v>
          </cell>
        </row>
      </sheetData>
      <sheetData sheetId="1371">
        <row r="4">
          <cell r="I4">
            <v>0</v>
          </cell>
        </row>
      </sheetData>
      <sheetData sheetId="1372">
        <row r="4">
          <cell r="I4">
            <v>0</v>
          </cell>
        </row>
      </sheetData>
      <sheetData sheetId="1373">
        <row r="4">
          <cell r="I4">
            <v>0</v>
          </cell>
        </row>
      </sheetData>
      <sheetData sheetId="1374">
        <row r="4">
          <cell r="I4">
            <v>0</v>
          </cell>
        </row>
      </sheetData>
      <sheetData sheetId="1375">
        <row r="4">
          <cell r="I4">
            <v>0</v>
          </cell>
        </row>
      </sheetData>
      <sheetData sheetId="1376">
        <row r="4">
          <cell r="I4">
            <v>0</v>
          </cell>
        </row>
      </sheetData>
      <sheetData sheetId="1377">
        <row r="4">
          <cell r="I4">
            <v>0</v>
          </cell>
        </row>
      </sheetData>
      <sheetData sheetId="1378">
        <row r="4">
          <cell r="I4">
            <v>0</v>
          </cell>
        </row>
      </sheetData>
      <sheetData sheetId="1379">
        <row r="4">
          <cell r="I4">
            <v>0</v>
          </cell>
        </row>
      </sheetData>
      <sheetData sheetId="1380">
        <row r="4">
          <cell r="I4">
            <v>0</v>
          </cell>
        </row>
      </sheetData>
      <sheetData sheetId="1381">
        <row r="4">
          <cell r="I4">
            <v>0</v>
          </cell>
        </row>
      </sheetData>
      <sheetData sheetId="1382">
        <row r="4">
          <cell r="I4">
            <v>0</v>
          </cell>
        </row>
      </sheetData>
      <sheetData sheetId="1383">
        <row r="4">
          <cell r="I4">
            <v>0</v>
          </cell>
        </row>
      </sheetData>
      <sheetData sheetId="1384">
        <row r="4">
          <cell r="I4">
            <v>0</v>
          </cell>
        </row>
      </sheetData>
      <sheetData sheetId="1385">
        <row r="4">
          <cell r="I4">
            <v>0</v>
          </cell>
        </row>
      </sheetData>
      <sheetData sheetId="1386">
        <row r="4">
          <cell r="I4">
            <v>0</v>
          </cell>
        </row>
      </sheetData>
      <sheetData sheetId="1387">
        <row r="4">
          <cell r="I4">
            <v>0</v>
          </cell>
        </row>
      </sheetData>
      <sheetData sheetId="1388">
        <row r="4">
          <cell r="I4">
            <v>0</v>
          </cell>
        </row>
      </sheetData>
      <sheetData sheetId="1389">
        <row r="4">
          <cell r="I4">
            <v>0</v>
          </cell>
        </row>
      </sheetData>
      <sheetData sheetId="1390">
        <row r="4">
          <cell r="I4">
            <v>0</v>
          </cell>
        </row>
      </sheetData>
      <sheetData sheetId="1391">
        <row r="4">
          <cell r="I4">
            <v>0</v>
          </cell>
        </row>
      </sheetData>
      <sheetData sheetId="1392">
        <row r="4">
          <cell r="I4">
            <v>0</v>
          </cell>
        </row>
      </sheetData>
      <sheetData sheetId="1393">
        <row r="4">
          <cell r="I4">
            <v>0</v>
          </cell>
        </row>
      </sheetData>
      <sheetData sheetId="1394">
        <row r="4">
          <cell r="I4">
            <v>0</v>
          </cell>
        </row>
      </sheetData>
      <sheetData sheetId="1395">
        <row r="4">
          <cell r="I4">
            <v>0</v>
          </cell>
        </row>
      </sheetData>
      <sheetData sheetId="1396">
        <row r="4">
          <cell r="I4">
            <v>0</v>
          </cell>
        </row>
      </sheetData>
      <sheetData sheetId="1397">
        <row r="4">
          <cell r="I4">
            <v>0</v>
          </cell>
        </row>
      </sheetData>
      <sheetData sheetId="1398">
        <row r="4">
          <cell r="I4">
            <v>0</v>
          </cell>
        </row>
      </sheetData>
      <sheetData sheetId="1399">
        <row r="4">
          <cell r="I4">
            <v>0</v>
          </cell>
        </row>
      </sheetData>
      <sheetData sheetId="1400">
        <row r="4">
          <cell r="I4">
            <v>0</v>
          </cell>
        </row>
      </sheetData>
      <sheetData sheetId="1401">
        <row r="4">
          <cell r="I4">
            <v>0</v>
          </cell>
        </row>
      </sheetData>
      <sheetData sheetId="1402">
        <row r="4">
          <cell r="I4">
            <v>0</v>
          </cell>
        </row>
      </sheetData>
      <sheetData sheetId="1403">
        <row r="4">
          <cell r="I4">
            <v>0</v>
          </cell>
        </row>
      </sheetData>
      <sheetData sheetId="1404">
        <row r="4">
          <cell r="I4">
            <v>0</v>
          </cell>
        </row>
      </sheetData>
      <sheetData sheetId="1405">
        <row r="4">
          <cell r="I4">
            <v>0</v>
          </cell>
        </row>
      </sheetData>
      <sheetData sheetId="1406">
        <row r="4">
          <cell r="I4">
            <v>0</v>
          </cell>
        </row>
      </sheetData>
      <sheetData sheetId="1407">
        <row r="4">
          <cell r="I4">
            <v>0</v>
          </cell>
        </row>
      </sheetData>
      <sheetData sheetId="1408">
        <row r="4">
          <cell r="I4">
            <v>0</v>
          </cell>
        </row>
      </sheetData>
      <sheetData sheetId="1409">
        <row r="4">
          <cell r="I4">
            <v>0</v>
          </cell>
        </row>
      </sheetData>
      <sheetData sheetId="1410">
        <row r="4">
          <cell r="I4">
            <v>0</v>
          </cell>
        </row>
      </sheetData>
      <sheetData sheetId="1411">
        <row r="4">
          <cell r="I4">
            <v>0</v>
          </cell>
        </row>
      </sheetData>
      <sheetData sheetId="1412">
        <row r="4">
          <cell r="I4">
            <v>0</v>
          </cell>
        </row>
      </sheetData>
      <sheetData sheetId="1413">
        <row r="4">
          <cell r="I4">
            <v>0</v>
          </cell>
        </row>
      </sheetData>
      <sheetData sheetId="1414">
        <row r="4">
          <cell r="I4">
            <v>0</v>
          </cell>
        </row>
      </sheetData>
      <sheetData sheetId="1415">
        <row r="4">
          <cell r="I4">
            <v>0</v>
          </cell>
        </row>
      </sheetData>
      <sheetData sheetId="1416">
        <row r="4">
          <cell r="I4">
            <v>0</v>
          </cell>
        </row>
      </sheetData>
      <sheetData sheetId="1417">
        <row r="4">
          <cell r="I4">
            <v>0</v>
          </cell>
        </row>
      </sheetData>
      <sheetData sheetId="1418">
        <row r="4">
          <cell r="I4">
            <v>0</v>
          </cell>
        </row>
      </sheetData>
      <sheetData sheetId="1419">
        <row r="4">
          <cell r="I4">
            <v>0</v>
          </cell>
        </row>
      </sheetData>
      <sheetData sheetId="1420">
        <row r="4">
          <cell r="I4">
            <v>0</v>
          </cell>
        </row>
      </sheetData>
      <sheetData sheetId="1421">
        <row r="4">
          <cell r="I4">
            <v>0</v>
          </cell>
        </row>
      </sheetData>
      <sheetData sheetId="1422">
        <row r="4">
          <cell r="I4">
            <v>0</v>
          </cell>
        </row>
      </sheetData>
      <sheetData sheetId="1423">
        <row r="4">
          <cell r="I4">
            <v>0</v>
          </cell>
        </row>
      </sheetData>
      <sheetData sheetId="1424">
        <row r="4">
          <cell r="I4">
            <v>0</v>
          </cell>
        </row>
      </sheetData>
      <sheetData sheetId="1425">
        <row r="4">
          <cell r="I4">
            <v>0</v>
          </cell>
        </row>
      </sheetData>
      <sheetData sheetId="1426">
        <row r="4">
          <cell r="I4">
            <v>0</v>
          </cell>
        </row>
      </sheetData>
      <sheetData sheetId="1427">
        <row r="4">
          <cell r="I4">
            <v>0</v>
          </cell>
        </row>
      </sheetData>
      <sheetData sheetId="1428">
        <row r="4">
          <cell r="I4">
            <v>0</v>
          </cell>
        </row>
      </sheetData>
      <sheetData sheetId="1429">
        <row r="4">
          <cell r="I4">
            <v>0</v>
          </cell>
        </row>
      </sheetData>
      <sheetData sheetId="1430">
        <row r="4">
          <cell r="I4">
            <v>0</v>
          </cell>
        </row>
      </sheetData>
      <sheetData sheetId="1431">
        <row r="4">
          <cell r="I4">
            <v>0</v>
          </cell>
        </row>
      </sheetData>
      <sheetData sheetId="1432">
        <row r="4">
          <cell r="I4">
            <v>0</v>
          </cell>
        </row>
      </sheetData>
      <sheetData sheetId="1433">
        <row r="4">
          <cell r="I4">
            <v>0</v>
          </cell>
        </row>
      </sheetData>
      <sheetData sheetId="1434">
        <row r="4">
          <cell r="I4">
            <v>0</v>
          </cell>
        </row>
      </sheetData>
      <sheetData sheetId="1435">
        <row r="4">
          <cell r="I4">
            <v>0</v>
          </cell>
        </row>
      </sheetData>
      <sheetData sheetId="1436">
        <row r="4">
          <cell r="I4">
            <v>0</v>
          </cell>
        </row>
      </sheetData>
      <sheetData sheetId="1437">
        <row r="4">
          <cell r="I4">
            <v>0</v>
          </cell>
        </row>
      </sheetData>
      <sheetData sheetId="1438">
        <row r="4">
          <cell r="I4">
            <v>0</v>
          </cell>
        </row>
      </sheetData>
      <sheetData sheetId="1439">
        <row r="4">
          <cell r="I4">
            <v>0</v>
          </cell>
        </row>
      </sheetData>
      <sheetData sheetId="1440">
        <row r="4">
          <cell r="I4">
            <v>0</v>
          </cell>
        </row>
      </sheetData>
      <sheetData sheetId="1441">
        <row r="4">
          <cell r="I4">
            <v>0</v>
          </cell>
        </row>
      </sheetData>
      <sheetData sheetId="1442">
        <row r="4">
          <cell r="I4">
            <v>0</v>
          </cell>
        </row>
      </sheetData>
      <sheetData sheetId="1443">
        <row r="4">
          <cell r="I4">
            <v>0</v>
          </cell>
        </row>
      </sheetData>
      <sheetData sheetId="1444">
        <row r="4">
          <cell r="I4">
            <v>0</v>
          </cell>
        </row>
      </sheetData>
      <sheetData sheetId="1445">
        <row r="4">
          <cell r="I4">
            <v>0</v>
          </cell>
        </row>
      </sheetData>
      <sheetData sheetId="1446">
        <row r="4">
          <cell r="I4">
            <v>0</v>
          </cell>
        </row>
      </sheetData>
      <sheetData sheetId="1447">
        <row r="4">
          <cell r="I4">
            <v>0</v>
          </cell>
        </row>
      </sheetData>
      <sheetData sheetId="1448">
        <row r="4">
          <cell r="I4">
            <v>0</v>
          </cell>
        </row>
      </sheetData>
      <sheetData sheetId="1449">
        <row r="4">
          <cell r="I4">
            <v>0</v>
          </cell>
        </row>
      </sheetData>
      <sheetData sheetId="1450">
        <row r="4">
          <cell r="I4">
            <v>0</v>
          </cell>
        </row>
      </sheetData>
      <sheetData sheetId="1451">
        <row r="4">
          <cell r="I4">
            <v>0</v>
          </cell>
        </row>
      </sheetData>
      <sheetData sheetId="1452">
        <row r="4">
          <cell r="I4">
            <v>0</v>
          </cell>
        </row>
      </sheetData>
      <sheetData sheetId="1453">
        <row r="4">
          <cell r="I4">
            <v>0</v>
          </cell>
        </row>
      </sheetData>
      <sheetData sheetId="1454">
        <row r="4">
          <cell r="I4">
            <v>0</v>
          </cell>
        </row>
      </sheetData>
      <sheetData sheetId="1455">
        <row r="4">
          <cell r="I4">
            <v>0</v>
          </cell>
        </row>
      </sheetData>
      <sheetData sheetId="1456">
        <row r="4">
          <cell r="I4">
            <v>0</v>
          </cell>
        </row>
      </sheetData>
      <sheetData sheetId="1457">
        <row r="4">
          <cell r="I4">
            <v>0</v>
          </cell>
        </row>
      </sheetData>
      <sheetData sheetId="1458">
        <row r="4">
          <cell r="I4">
            <v>0</v>
          </cell>
        </row>
      </sheetData>
      <sheetData sheetId="1459">
        <row r="4">
          <cell r="I4">
            <v>0</v>
          </cell>
        </row>
      </sheetData>
      <sheetData sheetId="1460">
        <row r="4">
          <cell r="I4">
            <v>0</v>
          </cell>
        </row>
      </sheetData>
      <sheetData sheetId="1461">
        <row r="4">
          <cell r="I4">
            <v>0</v>
          </cell>
        </row>
      </sheetData>
      <sheetData sheetId="1462">
        <row r="4">
          <cell r="I4">
            <v>0</v>
          </cell>
        </row>
      </sheetData>
      <sheetData sheetId="1463">
        <row r="4">
          <cell r="I4">
            <v>0</v>
          </cell>
        </row>
      </sheetData>
      <sheetData sheetId="1464">
        <row r="4">
          <cell r="I4">
            <v>0</v>
          </cell>
        </row>
      </sheetData>
      <sheetData sheetId="1465">
        <row r="4">
          <cell r="I4">
            <v>0</v>
          </cell>
        </row>
      </sheetData>
      <sheetData sheetId="1466">
        <row r="4">
          <cell r="I4">
            <v>0</v>
          </cell>
        </row>
      </sheetData>
      <sheetData sheetId="1467">
        <row r="4">
          <cell r="I4">
            <v>0</v>
          </cell>
        </row>
      </sheetData>
      <sheetData sheetId="1468">
        <row r="4">
          <cell r="I4">
            <v>0</v>
          </cell>
        </row>
      </sheetData>
      <sheetData sheetId="1469">
        <row r="4">
          <cell r="I4">
            <v>0</v>
          </cell>
        </row>
      </sheetData>
      <sheetData sheetId="1470">
        <row r="4">
          <cell r="I4">
            <v>0</v>
          </cell>
        </row>
      </sheetData>
      <sheetData sheetId="1471">
        <row r="4">
          <cell r="I4">
            <v>0</v>
          </cell>
        </row>
      </sheetData>
      <sheetData sheetId="1472">
        <row r="4">
          <cell r="I4">
            <v>0</v>
          </cell>
        </row>
      </sheetData>
      <sheetData sheetId="1473">
        <row r="4">
          <cell r="I4">
            <v>0</v>
          </cell>
        </row>
      </sheetData>
      <sheetData sheetId="1474">
        <row r="4">
          <cell r="I4">
            <v>0</v>
          </cell>
        </row>
      </sheetData>
      <sheetData sheetId="1475">
        <row r="4">
          <cell r="I4">
            <v>0</v>
          </cell>
        </row>
      </sheetData>
      <sheetData sheetId="1476">
        <row r="4">
          <cell r="I4">
            <v>0</v>
          </cell>
        </row>
      </sheetData>
      <sheetData sheetId="1477">
        <row r="4">
          <cell r="I4">
            <v>0</v>
          </cell>
        </row>
      </sheetData>
      <sheetData sheetId="1478">
        <row r="4">
          <cell r="I4">
            <v>0</v>
          </cell>
        </row>
      </sheetData>
      <sheetData sheetId="1479">
        <row r="4">
          <cell r="I4">
            <v>0</v>
          </cell>
        </row>
      </sheetData>
      <sheetData sheetId="1480">
        <row r="4">
          <cell r="I4">
            <v>0</v>
          </cell>
        </row>
      </sheetData>
      <sheetData sheetId="1481" refreshError="1"/>
      <sheetData sheetId="1482">
        <row r="4">
          <cell r="I4">
            <v>0</v>
          </cell>
        </row>
      </sheetData>
      <sheetData sheetId="1483">
        <row r="4">
          <cell r="I4">
            <v>0</v>
          </cell>
        </row>
      </sheetData>
      <sheetData sheetId="1484">
        <row r="4">
          <cell r="I4">
            <v>0</v>
          </cell>
        </row>
      </sheetData>
      <sheetData sheetId="1485">
        <row r="4">
          <cell r="I4">
            <v>0</v>
          </cell>
        </row>
      </sheetData>
      <sheetData sheetId="1486" refreshError="1"/>
      <sheetData sheetId="1487">
        <row r="4">
          <cell r="I4">
            <v>0</v>
          </cell>
        </row>
      </sheetData>
      <sheetData sheetId="1488">
        <row r="4">
          <cell r="I4">
            <v>0</v>
          </cell>
        </row>
      </sheetData>
      <sheetData sheetId="1489" refreshError="1"/>
      <sheetData sheetId="1490" refreshError="1"/>
      <sheetData sheetId="1491" refreshError="1"/>
      <sheetData sheetId="1492">
        <row r="4">
          <cell r="I4">
            <v>0</v>
          </cell>
        </row>
      </sheetData>
      <sheetData sheetId="1493">
        <row r="4">
          <cell r="I4">
            <v>0</v>
          </cell>
        </row>
      </sheetData>
      <sheetData sheetId="1494">
        <row r="4">
          <cell r="I4">
            <v>0</v>
          </cell>
        </row>
      </sheetData>
      <sheetData sheetId="1495">
        <row r="4">
          <cell r="I4">
            <v>0</v>
          </cell>
        </row>
      </sheetData>
      <sheetData sheetId="1496">
        <row r="4">
          <cell r="I4">
            <v>0</v>
          </cell>
        </row>
      </sheetData>
      <sheetData sheetId="1497">
        <row r="4">
          <cell r="I4">
            <v>0</v>
          </cell>
        </row>
      </sheetData>
      <sheetData sheetId="1498">
        <row r="4">
          <cell r="I4">
            <v>0</v>
          </cell>
        </row>
      </sheetData>
      <sheetData sheetId="1499">
        <row r="4">
          <cell r="I4">
            <v>0</v>
          </cell>
        </row>
      </sheetData>
      <sheetData sheetId="1500">
        <row r="4">
          <cell r="I4">
            <v>0</v>
          </cell>
        </row>
      </sheetData>
      <sheetData sheetId="1501">
        <row r="4">
          <cell r="I4">
            <v>0</v>
          </cell>
        </row>
      </sheetData>
      <sheetData sheetId="1502">
        <row r="4">
          <cell r="I4">
            <v>0</v>
          </cell>
        </row>
      </sheetData>
      <sheetData sheetId="1503">
        <row r="4">
          <cell r="I4">
            <v>0</v>
          </cell>
        </row>
      </sheetData>
      <sheetData sheetId="1504">
        <row r="4">
          <cell r="I4">
            <v>0</v>
          </cell>
        </row>
      </sheetData>
      <sheetData sheetId="1505">
        <row r="4">
          <cell r="I4">
            <v>0</v>
          </cell>
        </row>
      </sheetData>
      <sheetData sheetId="1506">
        <row r="4">
          <cell r="I4">
            <v>0</v>
          </cell>
        </row>
      </sheetData>
      <sheetData sheetId="1507">
        <row r="4">
          <cell r="I4">
            <v>0</v>
          </cell>
        </row>
      </sheetData>
      <sheetData sheetId="1508">
        <row r="4">
          <cell r="I4">
            <v>0</v>
          </cell>
        </row>
      </sheetData>
      <sheetData sheetId="1509">
        <row r="4">
          <cell r="I4">
            <v>0</v>
          </cell>
        </row>
      </sheetData>
      <sheetData sheetId="1510">
        <row r="4">
          <cell r="I4">
            <v>0</v>
          </cell>
        </row>
      </sheetData>
      <sheetData sheetId="1511">
        <row r="4">
          <cell r="I4">
            <v>0</v>
          </cell>
        </row>
      </sheetData>
      <sheetData sheetId="1512">
        <row r="4">
          <cell r="I4">
            <v>0</v>
          </cell>
        </row>
      </sheetData>
      <sheetData sheetId="1513">
        <row r="4">
          <cell r="I4">
            <v>0</v>
          </cell>
        </row>
      </sheetData>
      <sheetData sheetId="1514">
        <row r="4">
          <cell r="I4">
            <v>0</v>
          </cell>
        </row>
      </sheetData>
      <sheetData sheetId="1515">
        <row r="4">
          <cell r="I4">
            <v>0</v>
          </cell>
        </row>
      </sheetData>
      <sheetData sheetId="1516">
        <row r="4">
          <cell r="I4">
            <v>0</v>
          </cell>
        </row>
      </sheetData>
      <sheetData sheetId="1517">
        <row r="4">
          <cell r="I4">
            <v>0</v>
          </cell>
        </row>
      </sheetData>
      <sheetData sheetId="1518">
        <row r="4">
          <cell r="I4">
            <v>0</v>
          </cell>
        </row>
      </sheetData>
      <sheetData sheetId="1519">
        <row r="4">
          <cell r="I4">
            <v>0</v>
          </cell>
        </row>
      </sheetData>
      <sheetData sheetId="1520">
        <row r="4">
          <cell r="I4">
            <v>0</v>
          </cell>
        </row>
      </sheetData>
      <sheetData sheetId="1521">
        <row r="4">
          <cell r="I4">
            <v>0</v>
          </cell>
        </row>
      </sheetData>
      <sheetData sheetId="1522">
        <row r="4">
          <cell r="I4">
            <v>0</v>
          </cell>
        </row>
      </sheetData>
      <sheetData sheetId="1523">
        <row r="4">
          <cell r="I4">
            <v>0</v>
          </cell>
        </row>
      </sheetData>
      <sheetData sheetId="1524">
        <row r="4">
          <cell r="I4">
            <v>0</v>
          </cell>
        </row>
      </sheetData>
      <sheetData sheetId="1525">
        <row r="4">
          <cell r="I4">
            <v>0</v>
          </cell>
        </row>
      </sheetData>
      <sheetData sheetId="1526">
        <row r="4">
          <cell r="I4">
            <v>0</v>
          </cell>
        </row>
      </sheetData>
      <sheetData sheetId="1527">
        <row r="4">
          <cell r="I4">
            <v>0</v>
          </cell>
        </row>
      </sheetData>
      <sheetData sheetId="1528">
        <row r="4">
          <cell r="I4">
            <v>0</v>
          </cell>
        </row>
      </sheetData>
      <sheetData sheetId="1529">
        <row r="4">
          <cell r="I4">
            <v>0</v>
          </cell>
        </row>
      </sheetData>
      <sheetData sheetId="1530">
        <row r="4">
          <cell r="I4">
            <v>0</v>
          </cell>
        </row>
      </sheetData>
      <sheetData sheetId="1531">
        <row r="4">
          <cell r="I4">
            <v>0</v>
          </cell>
        </row>
      </sheetData>
      <sheetData sheetId="1532">
        <row r="4">
          <cell r="I4">
            <v>0</v>
          </cell>
        </row>
      </sheetData>
      <sheetData sheetId="1533">
        <row r="4">
          <cell r="I4">
            <v>0</v>
          </cell>
        </row>
      </sheetData>
      <sheetData sheetId="1534">
        <row r="4">
          <cell r="I4">
            <v>0</v>
          </cell>
        </row>
      </sheetData>
      <sheetData sheetId="1535">
        <row r="4">
          <cell r="I4">
            <v>0</v>
          </cell>
        </row>
      </sheetData>
      <sheetData sheetId="1536">
        <row r="4">
          <cell r="I4">
            <v>0</v>
          </cell>
        </row>
      </sheetData>
      <sheetData sheetId="1537">
        <row r="4">
          <cell r="I4">
            <v>0</v>
          </cell>
        </row>
      </sheetData>
      <sheetData sheetId="1538">
        <row r="4">
          <cell r="I4">
            <v>0</v>
          </cell>
        </row>
      </sheetData>
      <sheetData sheetId="1539">
        <row r="4">
          <cell r="I4">
            <v>0</v>
          </cell>
        </row>
      </sheetData>
      <sheetData sheetId="1540">
        <row r="4">
          <cell r="I4">
            <v>0</v>
          </cell>
        </row>
      </sheetData>
      <sheetData sheetId="1541">
        <row r="4">
          <cell r="I4">
            <v>0</v>
          </cell>
        </row>
      </sheetData>
      <sheetData sheetId="1542">
        <row r="4">
          <cell r="I4">
            <v>0</v>
          </cell>
        </row>
      </sheetData>
      <sheetData sheetId="1543">
        <row r="4">
          <cell r="I4">
            <v>0</v>
          </cell>
        </row>
      </sheetData>
      <sheetData sheetId="1544">
        <row r="4">
          <cell r="I4">
            <v>0</v>
          </cell>
        </row>
      </sheetData>
      <sheetData sheetId="1545">
        <row r="4">
          <cell r="I4">
            <v>0</v>
          </cell>
        </row>
      </sheetData>
      <sheetData sheetId="1546">
        <row r="4">
          <cell r="I4">
            <v>0</v>
          </cell>
        </row>
      </sheetData>
      <sheetData sheetId="1547">
        <row r="4">
          <cell r="I4">
            <v>0</v>
          </cell>
        </row>
      </sheetData>
      <sheetData sheetId="1548">
        <row r="4">
          <cell r="I4">
            <v>0</v>
          </cell>
        </row>
      </sheetData>
      <sheetData sheetId="1549">
        <row r="4">
          <cell r="I4">
            <v>0</v>
          </cell>
        </row>
      </sheetData>
      <sheetData sheetId="1550">
        <row r="4">
          <cell r="I4">
            <v>0</v>
          </cell>
        </row>
      </sheetData>
      <sheetData sheetId="1551">
        <row r="4">
          <cell r="I4">
            <v>0</v>
          </cell>
        </row>
      </sheetData>
      <sheetData sheetId="1552">
        <row r="4">
          <cell r="I4">
            <v>0</v>
          </cell>
        </row>
      </sheetData>
      <sheetData sheetId="1553">
        <row r="4">
          <cell r="I4">
            <v>0</v>
          </cell>
        </row>
      </sheetData>
      <sheetData sheetId="1554">
        <row r="4">
          <cell r="I4">
            <v>0</v>
          </cell>
        </row>
      </sheetData>
      <sheetData sheetId="1555">
        <row r="4">
          <cell r="I4">
            <v>0</v>
          </cell>
        </row>
      </sheetData>
      <sheetData sheetId="1556">
        <row r="4">
          <cell r="I4">
            <v>0</v>
          </cell>
        </row>
      </sheetData>
      <sheetData sheetId="1557">
        <row r="4">
          <cell r="I4">
            <v>0</v>
          </cell>
        </row>
      </sheetData>
      <sheetData sheetId="1558">
        <row r="4">
          <cell r="I4">
            <v>0</v>
          </cell>
        </row>
      </sheetData>
      <sheetData sheetId="1559">
        <row r="4">
          <cell r="I4">
            <v>0</v>
          </cell>
        </row>
      </sheetData>
      <sheetData sheetId="1560">
        <row r="4">
          <cell r="I4">
            <v>0</v>
          </cell>
        </row>
      </sheetData>
      <sheetData sheetId="1561">
        <row r="4">
          <cell r="I4">
            <v>0</v>
          </cell>
        </row>
      </sheetData>
      <sheetData sheetId="1562">
        <row r="4">
          <cell r="I4">
            <v>0</v>
          </cell>
        </row>
      </sheetData>
      <sheetData sheetId="1563">
        <row r="4">
          <cell r="I4">
            <v>0</v>
          </cell>
        </row>
      </sheetData>
      <sheetData sheetId="1564">
        <row r="4">
          <cell r="I4">
            <v>0</v>
          </cell>
        </row>
      </sheetData>
      <sheetData sheetId="1565">
        <row r="4">
          <cell r="I4">
            <v>0</v>
          </cell>
        </row>
      </sheetData>
      <sheetData sheetId="1566">
        <row r="4">
          <cell r="I4">
            <v>0</v>
          </cell>
        </row>
      </sheetData>
      <sheetData sheetId="1567">
        <row r="4">
          <cell r="I4">
            <v>0</v>
          </cell>
        </row>
      </sheetData>
      <sheetData sheetId="1568">
        <row r="4">
          <cell r="I4">
            <v>0</v>
          </cell>
        </row>
      </sheetData>
      <sheetData sheetId="1569">
        <row r="4">
          <cell r="I4">
            <v>0</v>
          </cell>
        </row>
      </sheetData>
      <sheetData sheetId="1570">
        <row r="4">
          <cell r="I4">
            <v>0</v>
          </cell>
        </row>
      </sheetData>
      <sheetData sheetId="1571">
        <row r="4">
          <cell r="I4">
            <v>0</v>
          </cell>
        </row>
      </sheetData>
      <sheetData sheetId="1572">
        <row r="4">
          <cell r="I4">
            <v>0</v>
          </cell>
        </row>
      </sheetData>
      <sheetData sheetId="1573">
        <row r="4">
          <cell r="I4">
            <v>0</v>
          </cell>
        </row>
      </sheetData>
      <sheetData sheetId="1574">
        <row r="4">
          <cell r="I4">
            <v>0</v>
          </cell>
        </row>
      </sheetData>
      <sheetData sheetId="1575">
        <row r="4">
          <cell r="I4">
            <v>0</v>
          </cell>
        </row>
      </sheetData>
      <sheetData sheetId="1576">
        <row r="4">
          <cell r="I4">
            <v>0</v>
          </cell>
        </row>
      </sheetData>
      <sheetData sheetId="1577">
        <row r="4">
          <cell r="I4">
            <v>0</v>
          </cell>
        </row>
      </sheetData>
      <sheetData sheetId="1578">
        <row r="4">
          <cell r="I4">
            <v>0</v>
          </cell>
        </row>
      </sheetData>
      <sheetData sheetId="1579">
        <row r="4">
          <cell r="I4">
            <v>0</v>
          </cell>
        </row>
      </sheetData>
      <sheetData sheetId="1580">
        <row r="4">
          <cell r="I4">
            <v>0</v>
          </cell>
        </row>
      </sheetData>
      <sheetData sheetId="1581">
        <row r="4">
          <cell r="I4">
            <v>0</v>
          </cell>
        </row>
      </sheetData>
      <sheetData sheetId="1582">
        <row r="4">
          <cell r="I4">
            <v>0</v>
          </cell>
        </row>
      </sheetData>
      <sheetData sheetId="1583">
        <row r="4">
          <cell r="I4">
            <v>0</v>
          </cell>
        </row>
      </sheetData>
      <sheetData sheetId="1584">
        <row r="4">
          <cell r="I4">
            <v>0</v>
          </cell>
        </row>
      </sheetData>
      <sheetData sheetId="1585">
        <row r="4">
          <cell r="I4">
            <v>0</v>
          </cell>
        </row>
      </sheetData>
      <sheetData sheetId="1586">
        <row r="4">
          <cell r="I4">
            <v>0</v>
          </cell>
        </row>
      </sheetData>
      <sheetData sheetId="1587">
        <row r="4">
          <cell r="I4">
            <v>0</v>
          </cell>
        </row>
      </sheetData>
      <sheetData sheetId="1588">
        <row r="4">
          <cell r="I4">
            <v>0</v>
          </cell>
        </row>
      </sheetData>
      <sheetData sheetId="1589">
        <row r="4">
          <cell r="I4">
            <v>0</v>
          </cell>
        </row>
      </sheetData>
      <sheetData sheetId="1590">
        <row r="4">
          <cell r="I4">
            <v>0</v>
          </cell>
        </row>
      </sheetData>
      <sheetData sheetId="1591">
        <row r="4">
          <cell r="I4">
            <v>0</v>
          </cell>
        </row>
      </sheetData>
      <sheetData sheetId="1592">
        <row r="4">
          <cell r="I4">
            <v>0</v>
          </cell>
        </row>
      </sheetData>
      <sheetData sheetId="1593">
        <row r="4">
          <cell r="I4">
            <v>0</v>
          </cell>
        </row>
      </sheetData>
      <sheetData sheetId="1594">
        <row r="4">
          <cell r="I4">
            <v>0</v>
          </cell>
        </row>
      </sheetData>
      <sheetData sheetId="1595">
        <row r="4">
          <cell r="I4">
            <v>0</v>
          </cell>
        </row>
      </sheetData>
      <sheetData sheetId="1596">
        <row r="4">
          <cell r="I4">
            <v>0</v>
          </cell>
        </row>
      </sheetData>
      <sheetData sheetId="1597">
        <row r="4">
          <cell r="I4">
            <v>0</v>
          </cell>
        </row>
      </sheetData>
      <sheetData sheetId="1598">
        <row r="4">
          <cell r="I4">
            <v>0</v>
          </cell>
        </row>
      </sheetData>
      <sheetData sheetId="1599">
        <row r="4">
          <cell r="I4">
            <v>0</v>
          </cell>
        </row>
      </sheetData>
      <sheetData sheetId="1600">
        <row r="4">
          <cell r="I4">
            <v>0</v>
          </cell>
        </row>
      </sheetData>
      <sheetData sheetId="1601">
        <row r="4">
          <cell r="I4">
            <v>0</v>
          </cell>
        </row>
      </sheetData>
      <sheetData sheetId="1602">
        <row r="4">
          <cell r="I4">
            <v>0</v>
          </cell>
        </row>
      </sheetData>
      <sheetData sheetId="1603">
        <row r="4">
          <cell r="I4">
            <v>0</v>
          </cell>
        </row>
      </sheetData>
      <sheetData sheetId="1604">
        <row r="4">
          <cell r="I4">
            <v>0</v>
          </cell>
        </row>
      </sheetData>
      <sheetData sheetId="1605">
        <row r="4">
          <cell r="I4">
            <v>0</v>
          </cell>
        </row>
      </sheetData>
      <sheetData sheetId="1606">
        <row r="4">
          <cell r="I4">
            <v>0</v>
          </cell>
        </row>
      </sheetData>
      <sheetData sheetId="1607">
        <row r="4">
          <cell r="I4">
            <v>0</v>
          </cell>
        </row>
      </sheetData>
      <sheetData sheetId="1608">
        <row r="4">
          <cell r="I4">
            <v>0</v>
          </cell>
        </row>
      </sheetData>
      <sheetData sheetId="1609">
        <row r="4">
          <cell r="I4">
            <v>0</v>
          </cell>
        </row>
      </sheetData>
      <sheetData sheetId="1610">
        <row r="4">
          <cell r="I4">
            <v>0</v>
          </cell>
        </row>
      </sheetData>
      <sheetData sheetId="1611">
        <row r="4">
          <cell r="I4">
            <v>0</v>
          </cell>
        </row>
      </sheetData>
      <sheetData sheetId="1612">
        <row r="4">
          <cell r="I4">
            <v>0</v>
          </cell>
        </row>
      </sheetData>
      <sheetData sheetId="1613">
        <row r="4">
          <cell r="I4">
            <v>0</v>
          </cell>
        </row>
      </sheetData>
      <sheetData sheetId="1614">
        <row r="4">
          <cell r="I4">
            <v>0</v>
          </cell>
        </row>
      </sheetData>
      <sheetData sheetId="1615">
        <row r="4">
          <cell r="I4">
            <v>0</v>
          </cell>
        </row>
      </sheetData>
      <sheetData sheetId="1616">
        <row r="4">
          <cell r="I4">
            <v>0</v>
          </cell>
        </row>
      </sheetData>
      <sheetData sheetId="1617">
        <row r="4">
          <cell r="I4">
            <v>0</v>
          </cell>
        </row>
      </sheetData>
      <sheetData sheetId="1618">
        <row r="4">
          <cell r="I4">
            <v>0</v>
          </cell>
        </row>
      </sheetData>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ow r="4">
          <cell r="I4">
            <v>0</v>
          </cell>
        </row>
      </sheetData>
      <sheetData sheetId="1629" refreshError="1"/>
      <sheetData sheetId="1630">
        <row r="4">
          <cell r="I4">
            <v>0</v>
          </cell>
        </row>
      </sheetData>
      <sheetData sheetId="1631">
        <row r="4">
          <cell r="I4">
            <v>0</v>
          </cell>
        </row>
      </sheetData>
      <sheetData sheetId="1632">
        <row r="4">
          <cell r="I4">
            <v>0</v>
          </cell>
        </row>
      </sheetData>
      <sheetData sheetId="1633">
        <row r="4">
          <cell r="I4">
            <v>0</v>
          </cell>
        </row>
      </sheetData>
      <sheetData sheetId="1634">
        <row r="4">
          <cell r="I4">
            <v>0</v>
          </cell>
        </row>
      </sheetData>
      <sheetData sheetId="1635">
        <row r="4">
          <cell r="I4">
            <v>0</v>
          </cell>
        </row>
      </sheetData>
      <sheetData sheetId="1636">
        <row r="4">
          <cell r="I4">
            <v>0</v>
          </cell>
        </row>
      </sheetData>
      <sheetData sheetId="1637">
        <row r="4">
          <cell r="I4">
            <v>0</v>
          </cell>
        </row>
      </sheetData>
      <sheetData sheetId="1638">
        <row r="4">
          <cell r="I4">
            <v>0</v>
          </cell>
        </row>
      </sheetData>
      <sheetData sheetId="1639">
        <row r="4">
          <cell r="I4">
            <v>0</v>
          </cell>
        </row>
      </sheetData>
      <sheetData sheetId="1640">
        <row r="4">
          <cell r="I4">
            <v>0</v>
          </cell>
        </row>
      </sheetData>
      <sheetData sheetId="1641">
        <row r="4">
          <cell r="I4">
            <v>0</v>
          </cell>
        </row>
      </sheetData>
      <sheetData sheetId="1642">
        <row r="4">
          <cell r="I4">
            <v>0</v>
          </cell>
        </row>
      </sheetData>
      <sheetData sheetId="1643">
        <row r="4">
          <cell r="I4">
            <v>0</v>
          </cell>
        </row>
      </sheetData>
      <sheetData sheetId="1644">
        <row r="4">
          <cell r="I4">
            <v>0</v>
          </cell>
        </row>
      </sheetData>
      <sheetData sheetId="1645">
        <row r="4">
          <cell r="I4">
            <v>0</v>
          </cell>
        </row>
      </sheetData>
      <sheetData sheetId="1646">
        <row r="4">
          <cell r="I4">
            <v>0</v>
          </cell>
        </row>
      </sheetData>
      <sheetData sheetId="1647">
        <row r="4">
          <cell r="I4">
            <v>0</v>
          </cell>
        </row>
      </sheetData>
      <sheetData sheetId="1648">
        <row r="4">
          <cell r="I4">
            <v>0</v>
          </cell>
        </row>
      </sheetData>
      <sheetData sheetId="1649">
        <row r="4">
          <cell r="I4">
            <v>0</v>
          </cell>
        </row>
      </sheetData>
      <sheetData sheetId="1650">
        <row r="4">
          <cell r="I4">
            <v>0</v>
          </cell>
        </row>
      </sheetData>
      <sheetData sheetId="1651">
        <row r="4">
          <cell r="I4">
            <v>0</v>
          </cell>
        </row>
      </sheetData>
      <sheetData sheetId="1652">
        <row r="4">
          <cell r="I4">
            <v>0</v>
          </cell>
        </row>
      </sheetData>
      <sheetData sheetId="1653">
        <row r="4">
          <cell r="I4">
            <v>0</v>
          </cell>
        </row>
      </sheetData>
      <sheetData sheetId="1654">
        <row r="4">
          <cell r="I4">
            <v>0</v>
          </cell>
        </row>
      </sheetData>
      <sheetData sheetId="1655">
        <row r="4">
          <cell r="I4">
            <v>0</v>
          </cell>
        </row>
      </sheetData>
      <sheetData sheetId="1656">
        <row r="4">
          <cell r="I4">
            <v>0</v>
          </cell>
        </row>
      </sheetData>
      <sheetData sheetId="1657">
        <row r="4">
          <cell r="I4">
            <v>0</v>
          </cell>
        </row>
      </sheetData>
      <sheetData sheetId="1658">
        <row r="4">
          <cell r="I4">
            <v>0</v>
          </cell>
        </row>
      </sheetData>
      <sheetData sheetId="1659">
        <row r="4">
          <cell r="I4">
            <v>0</v>
          </cell>
        </row>
      </sheetData>
      <sheetData sheetId="1660">
        <row r="4">
          <cell r="I4">
            <v>0</v>
          </cell>
        </row>
      </sheetData>
      <sheetData sheetId="1661">
        <row r="4">
          <cell r="I4">
            <v>0</v>
          </cell>
        </row>
      </sheetData>
      <sheetData sheetId="1662">
        <row r="4">
          <cell r="I4">
            <v>0</v>
          </cell>
        </row>
      </sheetData>
      <sheetData sheetId="1663">
        <row r="4">
          <cell r="I4">
            <v>0</v>
          </cell>
        </row>
      </sheetData>
      <sheetData sheetId="1664">
        <row r="4">
          <cell r="I4">
            <v>0</v>
          </cell>
        </row>
      </sheetData>
      <sheetData sheetId="1665">
        <row r="4">
          <cell r="I4">
            <v>0</v>
          </cell>
        </row>
      </sheetData>
      <sheetData sheetId="1666">
        <row r="4">
          <cell r="I4">
            <v>0</v>
          </cell>
        </row>
      </sheetData>
      <sheetData sheetId="1667">
        <row r="4">
          <cell r="I4">
            <v>0</v>
          </cell>
        </row>
      </sheetData>
      <sheetData sheetId="1668">
        <row r="4">
          <cell r="I4">
            <v>0</v>
          </cell>
        </row>
      </sheetData>
      <sheetData sheetId="1669">
        <row r="4">
          <cell r="I4">
            <v>0</v>
          </cell>
        </row>
      </sheetData>
      <sheetData sheetId="1670">
        <row r="4">
          <cell r="I4">
            <v>0</v>
          </cell>
        </row>
      </sheetData>
      <sheetData sheetId="1671">
        <row r="4">
          <cell r="I4">
            <v>0</v>
          </cell>
        </row>
      </sheetData>
      <sheetData sheetId="1672">
        <row r="4">
          <cell r="I4">
            <v>0</v>
          </cell>
        </row>
      </sheetData>
      <sheetData sheetId="1673">
        <row r="4">
          <cell r="I4">
            <v>0</v>
          </cell>
        </row>
      </sheetData>
      <sheetData sheetId="1674">
        <row r="4">
          <cell r="I4">
            <v>0</v>
          </cell>
        </row>
      </sheetData>
      <sheetData sheetId="1675">
        <row r="4">
          <cell r="I4">
            <v>0</v>
          </cell>
        </row>
      </sheetData>
      <sheetData sheetId="1676">
        <row r="4">
          <cell r="I4">
            <v>0</v>
          </cell>
        </row>
      </sheetData>
      <sheetData sheetId="1677">
        <row r="4">
          <cell r="I4">
            <v>0</v>
          </cell>
        </row>
      </sheetData>
      <sheetData sheetId="1678">
        <row r="4">
          <cell r="I4">
            <v>0</v>
          </cell>
        </row>
      </sheetData>
      <sheetData sheetId="1679">
        <row r="4">
          <cell r="I4">
            <v>0</v>
          </cell>
        </row>
      </sheetData>
      <sheetData sheetId="1680">
        <row r="4">
          <cell r="I4">
            <v>0</v>
          </cell>
        </row>
      </sheetData>
      <sheetData sheetId="1681">
        <row r="4">
          <cell r="I4">
            <v>0</v>
          </cell>
        </row>
      </sheetData>
      <sheetData sheetId="1682">
        <row r="4">
          <cell r="I4">
            <v>0</v>
          </cell>
        </row>
      </sheetData>
      <sheetData sheetId="1683">
        <row r="4">
          <cell r="I4">
            <v>0</v>
          </cell>
        </row>
      </sheetData>
      <sheetData sheetId="1684">
        <row r="4">
          <cell r="I4">
            <v>0</v>
          </cell>
        </row>
      </sheetData>
      <sheetData sheetId="1685">
        <row r="4">
          <cell r="I4">
            <v>0</v>
          </cell>
        </row>
      </sheetData>
      <sheetData sheetId="1686">
        <row r="4">
          <cell r="I4">
            <v>0</v>
          </cell>
        </row>
      </sheetData>
      <sheetData sheetId="1687">
        <row r="4">
          <cell r="I4">
            <v>0</v>
          </cell>
        </row>
      </sheetData>
      <sheetData sheetId="1688">
        <row r="4">
          <cell r="I4">
            <v>0</v>
          </cell>
        </row>
      </sheetData>
      <sheetData sheetId="1689">
        <row r="4">
          <cell r="I4">
            <v>0</v>
          </cell>
        </row>
      </sheetData>
      <sheetData sheetId="1690">
        <row r="4">
          <cell r="I4">
            <v>0</v>
          </cell>
        </row>
      </sheetData>
      <sheetData sheetId="1691">
        <row r="4">
          <cell r="I4">
            <v>0</v>
          </cell>
        </row>
      </sheetData>
      <sheetData sheetId="1692">
        <row r="4">
          <cell r="I4">
            <v>0</v>
          </cell>
        </row>
      </sheetData>
      <sheetData sheetId="1693">
        <row r="4">
          <cell r="I4">
            <v>0</v>
          </cell>
        </row>
      </sheetData>
      <sheetData sheetId="1694">
        <row r="4">
          <cell r="I4">
            <v>0</v>
          </cell>
        </row>
      </sheetData>
      <sheetData sheetId="1695">
        <row r="4">
          <cell r="I4">
            <v>0</v>
          </cell>
        </row>
      </sheetData>
      <sheetData sheetId="1696">
        <row r="4">
          <cell r="I4">
            <v>0</v>
          </cell>
        </row>
      </sheetData>
      <sheetData sheetId="1697">
        <row r="4">
          <cell r="I4">
            <v>0</v>
          </cell>
        </row>
      </sheetData>
      <sheetData sheetId="1698">
        <row r="4">
          <cell r="I4">
            <v>0</v>
          </cell>
        </row>
      </sheetData>
      <sheetData sheetId="1699">
        <row r="4">
          <cell r="I4">
            <v>0</v>
          </cell>
        </row>
      </sheetData>
      <sheetData sheetId="1700">
        <row r="4">
          <cell r="I4">
            <v>0</v>
          </cell>
        </row>
      </sheetData>
      <sheetData sheetId="1701">
        <row r="4">
          <cell r="I4">
            <v>0</v>
          </cell>
        </row>
      </sheetData>
      <sheetData sheetId="1702">
        <row r="4">
          <cell r="I4">
            <v>0</v>
          </cell>
        </row>
      </sheetData>
      <sheetData sheetId="1703">
        <row r="4">
          <cell r="I4">
            <v>0</v>
          </cell>
        </row>
      </sheetData>
      <sheetData sheetId="1704">
        <row r="4">
          <cell r="I4">
            <v>0</v>
          </cell>
        </row>
      </sheetData>
      <sheetData sheetId="1705">
        <row r="4">
          <cell r="I4">
            <v>0</v>
          </cell>
        </row>
      </sheetData>
      <sheetData sheetId="1706">
        <row r="4">
          <cell r="I4">
            <v>0</v>
          </cell>
        </row>
      </sheetData>
      <sheetData sheetId="1707">
        <row r="4">
          <cell r="I4">
            <v>0</v>
          </cell>
        </row>
      </sheetData>
      <sheetData sheetId="1708">
        <row r="4">
          <cell r="I4">
            <v>0</v>
          </cell>
        </row>
      </sheetData>
      <sheetData sheetId="1709">
        <row r="4">
          <cell r="I4">
            <v>0</v>
          </cell>
        </row>
      </sheetData>
      <sheetData sheetId="1710">
        <row r="4">
          <cell r="I4">
            <v>0</v>
          </cell>
        </row>
      </sheetData>
      <sheetData sheetId="1711">
        <row r="4">
          <cell r="I4">
            <v>0</v>
          </cell>
        </row>
      </sheetData>
      <sheetData sheetId="1712">
        <row r="4">
          <cell r="I4">
            <v>0</v>
          </cell>
        </row>
      </sheetData>
      <sheetData sheetId="1713">
        <row r="4">
          <cell r="I4">
            <v>0</v>
          </cell>
        </row>
      </sheetData>
      <sheetData sheetId="1714">
        <row r="4">
          <cell r="I4">
            <v>0</v>
          </cell>
        </row>
      </sheetData>
      <sheetData sheetId="1715">
        <row r="4">
          <cell r="I4">
            <v>0</v>
          </cell>
        </row>
      </sheetData>
      <sheetData sheetId="1716">
        <row r="4">
          <cell r="I4">
            <v>0</v>
          </cell>
        </row>
      </sheetData>
      <sheetData sheetId="1717">
        <row r="4">
          <cell r="I4">
            <v>0</v>
          </cell>
        </row>
      </sheetData>
      <sheetData sheetId="1718">
        <row r="4">
          <cell r="I4">
            <v>0</v>
          </cell>
        </row>
      </sheetData>
      <sheetData sheetId="1719">
        <row r="4">
          <cell r="I4">
            <v>0</v>
          </cell>
        </row>
      </sheetData>
      <sheetData sheetId="1720">
        <row r="4">
          <cell r="I4">
            <v>0</v>
          </cell>
        </row>
      </sheetData>
      <sheetData sheetId="1721">
        <row r="4">
          <cell r="I4">
            <v>0</v>
          </cell>
        </row>
      </sheetData>
      <sheetData sheetId="1722">
        <row r="4">
          <cell r="I4">
            <v>0</v>
          </cell>
        </row>
      </sheetData>
      <sheetData sheetId="1723">
        <row r="4">
          <cell r="I4">
            <v>0</v>
          </cell>
        </row>
      </sheetData>
      <sheetData sheetId="1724">
        <row r="4">
          <cell r="I4">
            <v>0</v>
          </cell>
        </row>
      </sheetData>
      <sheetData sheetId="1725">
        <row r="4">
          <cell r="I4">
            <v>0</v>
          </cell>
        </row>
      </sheetData>
      <sheetData sheetId="1726">
        <row r="4">
          <cell r="I4">
            <v>0</v>
          </cell>
        </row>
      </sheetData>
      <sheetData sheetId="1727">
        <row r="4">
          <cell r="I4">
            <v>0</v>
          </cell>
        </row>
      </sheetData>
      <sheetData sheetId="1728">
        <row r="4">
          <cell r="I4">
            <v>0</v>
          </cell>
        </row>
      </sheetData>
      <sheetData sheetId="1729">
        <row r="4">
          <cell r="I4">
            <v>0</v>
          </cell>
        </row>
      </sheetData>
      <sheetData sheetId="1730">
        <row r="4">
          <cell r="I4">
            <v>0</v>
          </cell>
        </row>
      </sheetData>
      <sheetData sheetId="1731">
        <row r="4">
          <cell r="I4">
            <v>0</v>
          </cell>
        </row>
      </sheetData>
      <sheetData sheetId="1732">
        <row r="4">
          <cell r="I4">
            <v>0</v>
          </cell>
        </row>
      </sheetData>
      <sheetData sheetId="1733">
        <row r="4">
          <cell r="I4">
            <v>0</v>
          </cell>
        </row>
      </sheetData>
      <sheetData sheetId="1734">
        <row r="4">
          <cell r="I4">
            <v>0</v>
          </cell>
        </row>
      </sheetData>
      <sheetData sheetId="1735">
        <row r="4">
          <cell r="I4">
            <v>0</v>
          </cell>
        </row>
      </sheetData>
      <sheetData sheetId="1736">
        <row r="4">
          <cell r="I4">
            <v>0</v>
          </cell>
        </row>
      </sheetData>
      <sheetData sheetId="1737">
        <row r="4">
          <cell r="I4">
            <v>0</v>
          </cell>
        </row>
      </sheetData>
      <sheetData sheetId="1738">
        <row r="4">
          <cell r="I4">
            <v>0</v>
          </cell>
        </row>
      </sheetData>
      <sheetData sheetId="1739">
        <row r="4">
          <cell r="I4">
            <v>0</v>
          </cell>
        </row>
      </sheetData>
      <sheetData sheetId="1740">
        <row r="4">
          <cell r="I4">
            <v>0</v>
          </cell>
        </row>
      </sheetData>
      <sheetData sheetId="1741">
        <row r="4">
          <cell r="I4">
            <v>0</v>
          </cell>
        </row>
      </sheetData>
      <sheetData sheetId="1742">
        <row r="4">
          <cell r="I4">
            <v>0</v>
          </cell>
        </row>
      </sheetData>
      <sheetData sheetId="1743">
        <row r="4">
          <cell r="I4">
            <v>0</v>
          </cell>
        </row>
      </sheetData>
      <sheetData sheetId="1744">
        <row r="4">
          <cell r="I4">
            <v>0</v>
          </cell>
        </row>
      </sheetData>
      <sheetData sheetId="1745">
        <row r="4">
          <cell r="I4">
            <v>0</v>
          </cell>
        </row>
      </sheetData>
      <sheetData sheetId="1746">
        <row r="4">
          <cell r="I4">
            <v>0</v>
          </cell>
        </row>
      </sheetData>
      <sheetData sheetId="1747">
        <row r="4">
          <cell r="I4">
            <v>0</v>
          </cell>
        </row>
      </sheetData>
      <sheetData sheetId="1748">
        <row r="4">
          <cell r="I4">
            <v>0</v>
          </cell>
        </row>
      </sheetData>
      <sheetData sheetId="1749">
        <row r="4">
          <cell r="I4">
            <v>0</v>
          </cell>
        </row>
      </sheetData>
      <sheetData sheetId="1750">
        <row r="4">
          <cell r="I4">
            <v>0</v>
          </cell>
        </row>
      </sheetData>
      <sheetData sheetId="1751">
        <row r="4">
          <cell r="I4">
            <v>0</v>
          </cell>
        </row>
      </sheetData>
      <sheetData sheetId="1752">
        <row r="4">
          <cell r="I4">
            <v>0</v>
          </cell>
        </row>
      </sheetData>
      <sheetData sheetId="1753">
        <row r="4">
          <cell r="I4">
            <v>0</v>
          </cell>
        </row>
      </sheetData>
      <sheetData sheetId="1754">
        <row r="4">
          <cell r="I4">
            <v>0</v>
          </cell>
        </row>
      </sheetData>
      <sheetData sheetId="1755">
        <row r="4">
          <cell r="I4">
            <v>0</v>
          </cell>
        </row>
      </sheetData>
      <sheetData sheetId="1756">
        <row r="4">
          <cell r="I4">
            <v>0</v>
          </cell>
        </row>
      </sheetData>
      <sheetData sheetId="1757">
        <row r="4">
          <cell r="I4">
            <v>0</v>
          </cell>
        </row>
      </sheetData>
      <sheetData sheetId="1758">
        <row r="4">
          <cell r="I4">
            <v>0</v>
          </cell>
        </row>
      </sheetData>
      <sheetData sheetId="1759">
        <row r="4">
          <cell r="I4">
            <v>0</v>
          </cell>
        </row>
      </sheetData>
      <sheetData sheetId="1760">
        <row r="4">
          <cell r="I4">
            <v>0</v>
          </cell>
        </row>
      </sheetData>
      <sheetData sheetId="1761">
        <row r="4">
          <cell r="I4">
            <v>0</v>
          </cell>
        </row>
      </sheetData>
      <sheetData sheetId="1762">
        <row r="4">
          <cell r="I4">
            <v>0</v>
          </cell>
        </row>
      </sheetData>
      <sheetData sheetId="1763">
        <row r="4">
          <cell r="I4">
            <v>0</v>
          </cell>
        </row>
      </sheetData>
      <sheetData sheetId="1764">
        <row r="4">
          <cell r="I4">
            <v>0</v>
          </cell>
        </row>
      </sheetData>
      <sheetData sheetId="1765">
        <row r="4">
          <cell r="I4">
            <v>0</v>
          </cell>
        </row>
      </sheetData>
      <sheetData sheetId="1766">
        <row r="4">
          <cell r="I4">
            <v>0</v>
          </cell>
        </row>
      </sheetData>
      <sheetData sheetId="1767">
        <row r="4">
          <cell r="I4">
            <v>0</v>
          </cell>
        </row>
      </sheetData>
      <sheetData sheetId="1768">
        <row r="4">
          <cell r="I4">
            <v>0</v>
          </cell>
        </row>
      </sheetData>
      <sheetData sheetId="1769">
        <row r="4">
          <cell r="I4">
            <v>0</v>
          </cell>
        </row>
      </sheetData>
      <sheetData sheetId="1770">
        <row r="4">
          <cell r="I4">
            <v>0</v>
          </cell>
        </row>
      </sheetData>
      <sheetData sheetId="1771">
        <row r="4">
          <cell r="I4">
            <v>0</v>
          </cell>
        </row>
      </sheetData>
      <sheetData sheetId="1772">
        <row r="4">
          <cell r="I4">
            <v>0</v>
          </cell>
        </row>
      </sheetData>
      <sheetData sheetId="1773">
        <row r="4">
          <cell r="I4">
            <v>0</v>
          </cell>
        </row>
      </sheetData>
      <sheetData sheetId="1774">
        <row r="4">
          <cell r="I4">
            <v>0</v>
          </cell>
        </row>
      </sheetData>
      <sheetData sheetId="1775">
        <row r="4">
          <cell r="I4">
            <v>0</v>
          </cell>
        </row>
      </sheetData>
      <sheetData sheetId="1776">
        <row r="4">
          <cell r="I4">
            <v>0</v>
          </cell>
        </row>
      </sheetData>
      <sheetData sheetId="1777">
        <row r="4">
          <cell r="I4">
            <v>0</v>
          </cell>
        </row>
      </sheetData>
      <sheetData sheetId="1778">
        <row r="4">
          <cell r="I4">
            <v>0</v>
          </cell>
        </row>
      </sheetData>
      <sheetData sheetId="1779">
        <row r="4">
          <cell r="I4">
            <v>0</v>
          </cell>
        </row>
      </sheetData>
      <sheetData sheetId="1780">
        <row r="4">
          <cell r="I4">
            <v>0</v>
          </cell>
        </row>
      </sheetData>
      <sheetData sheetId="1781">
        <row r="4">
          <cell r="I4">
            <v>0</v>
          </cell>
        </row>
      </sheetData>
      <sheetData sheetId="1782">
        <row r="4">
          <cell r="I4">
            <v>0</v>
          </cell>
        </row>
      </sheetData>
      <sheetData sheetId="1783">
        <row r="4">
          <cell r="I4">
            <v>0</v>
          </cell>
        </row>
      </sheetData>
      <sheetData sheetId="1784">
        <row r="4">
          <cell r="I4">
            <v>0</v>
          </cell>
        </row>
      </sheetData>
      <sheetData sheetId="1785">
        <row r="4">
          <cell r="I4">
            <v>0</v>
          </cell>
        </row>
      </sheetData>
      <sheetData sheetId="1786">
        <row r="4">
          <cell r="I4">
            <v>0</v>
          </cell>
        </row>
      </sheetData>
      <sheetData sheetId="1787">
        <row r="4">
          <cell r="I4">
            <v>0</v>
          </cell>
        </row>
      </sheetData>
      <sheetData sheetId="1788">
        <row r="4">
          <cell r="I4">
            <v>0</v>
          </cell>
        </row>
      </sheetData>
      <sheetData sheetId="1789">
        <row r="4">
          <cell r="I4">
            <v>0</v>
          </cell>
        </row>
      </sheetData>
      <sheetData sheetId="1790">
        <row r="4">
          <cell r="I4">
            <v>0</v>
          </cell>
        </row>
      </sheetData>
      <sheetData sheetId="1791">
        <row r="4">
          <cell r="I4">
            <v>0</v>
          </cell>
        </row>
      </sheetData>
      <sheetData sheetId="1792">
        <row r="4">
          <cell r="I4">
            <v>0</v>
          </cell>
        </row>
      </sheetData>
      <sheetData sheetId="1793">
        <row r="4">
          <cell r="I4">
            <v>0</v>
          </cell>
        </row>
      </sheetData>
      <sheetData sheetId="1794">
        <row r="4">
          <cell r="I4">
            <v>0</v>
          </cell>
        </row>
      </sheetData>
      <sheetData sheetId="1795">
        <row r="4">
          <cell r="I4">
            <v>0</v>
          </cell>
        </row>
      </sheetData>
      <sheetData sheetId="1796">
        <row r="4">
          <cell r="I4">
            <v>0</v>
          </cell>
        </row>
      </sheetData>
      <sheetData sheetId="1797">
        <row r="4">
          <cell r="I4">
            <v>0</v>
          </cell>
        </row>
      </sheetData>
      <sheetData sheetId="1798">
        <row r="4">
          <cell r="I4">
            <v>0</v>
          </cell>
        </row>
      </sheetData>
      <sheetData sheetId="1799">
        <row r="4">
          <cell r="I4">
            <v>0</v>
          </cell>
        </row>
      </sheetData>
      <sheetData sheetId="1800">
        <row r="4">
          <cell r="I4">
            <v>0</v>
          </cell>
        </row>
      </sheetData>
      <sheetData sheetId="1801">
        <row r="4">
          <cell r="I4">
            <v>0</v>
          </cell>
        </row>
      </sheetData>
      <sheetData sheetId="1802">
        <row r="4">
          <cell r="I4">
            <v>0</v>
          </cell>
        </row>
      </sheetData>
      <sheetData sheetId="1803">
        <row r="4">
          <cell r="I4">
            <v>0</v>
          </cell>
        </row>
      </sheetData>
      <sheetData sheetId="1804">
        <row r="4">
          <cell r="I4">
            <v>0</v>
          </cell>
        </row>
      </sheetData>
      <sheetData sheetId="1805">
        <row r="4">
          <cell r="I4">
            <v>0</v>
          </cell>
        </row>
      </sheetData>
      <sheetData sheetId="1806">
        <row r="4">
          <cell r="I4">
            <v>0</v>
          </cell>
        </row>
      </sheetData>
      <sheetData sheetId="1807">
        <row r="4">
          <cell r="I4">
            <v>0</v>
          </cell>
        </row>
      </sheetData>
      <sheetData sheetId="1808">
        <row r="4">
          <cell r="I4">
            <v>0</v>
          </cell>
        </row>
      </sheetData>
      <sheetData sheetId="1809">
        <row r="4">
          <cell r="I4">
            <v>0</v>
          </cell>
        </row>
      </sheetData>
      <sheetData sheetId="1810">
        <row r="4">
          <cell r="I4">
            <v>0</v>
          </cell>
        </row>
      </sheetData>
      <sheetData sheetId="1811">
        <row r="4">
          <cell r="I4">
            <v>0</v>
          </cell>
        </row>
      </sheetData>
      <sheetData sheetId="1812">
        <row r="4">
          <cell r="I4">
            <v>0</v>
          </cell>
        </row>
      </sheetData>
      <sheetData sheetId="1813">
        <row r="4">
          <cell r="I4">
            <v>0</v>
          </cell>
        </row>
      </sheetData>
      <sheetData sheetId="1814">
        <row r="4">
          <cell r="I4">
            <v>0</v>
          </cell>
        </row>
      </sheetData>
      <sheetData sheetId="1815">
        <row r="4">
          <cell r="I4">
            <v>0</v>
          </cell>
        </row>
      </sheetData>
      <sheetData sheetId="1816">
        <row r="4">
          <cell r="I4">
            <v>0</v>
          </cell>
        </row>
      </sheetData>
      <sheetData sheetId="1817">
        <row r="4">
          <cell r="I4">
            <v>0</v>
          </cell>
        </row>
      </sheetData>
      <sheetData sheetId="1818">
        <row r="4">
          <cell r="I4">
            <v>0</v>
          </cell>
        </row>
      </sheetData>
      <sheetData sheetId="1819">
        <row r="4">
          <cell r="I4">
            <v>0</v>
          </cell>
        </row>
      </sheetData>
      <sheetData sheetId="1820">
        <row r="4">
          <cell r="I4">
            <v>0</v>
          </cell>
        </row>
      </sheetData>
      <sheetData sheetId="1821" refreshError="1"/>
      <sheetData sheetId="1822" refreshError="1"/>
      <sheetData sheetId="1823" refreshError="1"/>
      <sheetData sheetId="1824" refreshError="1"/>
      <sheetData sheetId="1825" refreshError="1"/>
      <sheetData sheetId="1826">
        <row r="4">
          <cell r="I4">
            <v>0</v>
          </cell>
        </row>
      </sheetData>
      <sheetData sheetId="1827">
        <row r="4">
          <cell r="I4">
            <v>0</v>
          </cell>
        </row>
      </sheetData>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ow r="4">
          <cell r="I4">
            <v>0</v>
          </cell>
        </row>
      </sheetData>
      <sheetData sheetId="1888">
        <row r="4">
          <cell r="I4">
            <v>0</v>
          </cell>
        </row>
      </sheetData>
      <sheetData sheetId="1889">
        <row r="4">
          <cell r="I4">
            <v>0</v>
          </cell>
        </row>
      </sheetData>
      <sheetData sheetId="1890">
        <row r="4">
          <cell r="I4">
            <v>0</v>
          </cell>
        </row>
      </sheetData>
      <sheetData sheetId="1891">
        <row r="4">
          <cell r="I4">
            <v>0</v>
          </cell>
        </row>
      </sheetData>
      <sheetData sheetId="1892">
        <row r="4">
          <cell r="I4">
            <v>0</v>
          </cell>
        </row>
      </sheetData>
      <sheetData sheetId="1893">
        <row r="4">
          <cell r="I4">
            <v>0</v>
          </cell>
        </row>
      </sheetData>
      <sheetData sheetId="1894">
        <row r="4">
          <cell r="I4">
            <v>0</v>
          </cell>
        </row>
      </sheetData>
      <sheetData sheetId="1895">
        <row r="4">
          <cell r="I4">
            <v>0</v>
          </cell>
        </row>
      </sheetData>
      <sheetData sheetId="1896">
        <row r="4">
          <cell r="I4">
            <v>0</v>
          </cell>
        </row>
      </sheetData>
      <sheetData sheetId="1897">
        <row r="4">
          <cell r="I4">
            <v>0</v>
          </cell>
        </row>
      </sheetData>
      <sheetData sheetId="1898">
        <row r="4">
          <cell r="I4">
            <v>0</v>
          </cell>
        </row>
      </sheetData>
      <sheetData sheetId="1899">
        <row r="4">
          <cell r="I4">
            <v>0</v>
          </cell>
        </row>
      </sheetData>
      <sheetData sheetId="1900">
        <row r="4">
          <cell r="I4">
            <v>0</v>
          </cell>
        </row>
      </sheetData>
      <sheetData sheetId="1901">
        <row r="4">
          <cell r="I4">
            <v>0</v>
          </cell>
        </row>
      </sheetData>
      <sheetData sheetId="1902">
        <row r="4">
          <cell r="I4">
            <v>0</v>
          </cell>
        </row>
      </sheetData>
      <sheetData sheetId="1903">
        <row r="4">
          <cell r="I4">
            <v>0</v>
          </cell>
        </row>
      </sheetData>
      <sheetData sheetId="1904">
        <row r="4">
          <cell r="I4">
            <v>0</v>
          </cell>
        </row>
      </sheetData>
      <sheetData sheetId="1905">
        <row r="4">
          <cell r="I4">
            <v>0</v>
          </cell>
        </row>
      </sheetData>
      <sheetData sheetId="1906">
        <row r="4">
          <cell r="I4">
            <v>0</v>
          </cell>
        </row>
      </sheetData>
      <sheetData sheetId="1907">
        <row r="4">
          <cell r="I4">
            <v>0</v>
          </cell>
        </row>
      </sheetData>
      <sheetData sheetId="1908">
        <row r="4">
          <cell r="I4">
            <v>0</v>
          </cell>
        </row>
      </sheetData>
      <sheetData sheetId="1909">
        <row r="4">
          <cell r="I4">
            <v>0</v>
          </cell>
        </row>
      </sheetData>
      <sheetData sheetId="1910">
        <row r="4">
          <cell r="I4">
            <v>0</v>
          </cell>
        </row>
      </sheetData>
      <sheetData sheetId="1911"/>
      <sheetData sheetId="1912"/>
      <sheetData sheetId="1913">
        <row r="4">
          <cell r="I4">
            <v>0</v>
          </cell>
        </row>
      </sheetData>
      <sheetData sheetId="1914">
        <row r="4">
          <cell r="I4">
            <v>0</v>
          </cell>
        </row>
      </sheetData>
      <sheetData sheetId="1915">
        <row r="4">
          <cell r="I4">
            <v>0</v>
          </cell>
        </row>
      </sheetData>
      <sheetData sheetId="1916">
        <row r="4">
          <cell r="I4">
            <v>0</v>
          </cell>
        </row>
      </sheetData>
      <sheetData sheetId="1917">
        <row r="4">
          <cell r="I4">
            <v>0</v>
          </cell>
        </row>
      </sheetData>
      <sheetData sheetId="1918">
        <row r="4">
          <cell r="I4">
            <v>0</v>
          </cell>
        </row>
      </sheetData>
      <sheetData sheetId="1919">
        <row r="4">
          <cell r="I4">
            <v>0</v>
          </cell>
        </row>
      </sheetData>
      <sheetData sheetId="1920">
        <row r="4">
          <cell r="I4">
            <v>0</v>
          </cell>
        </row>
      </sheetData>
      <sheetData sheetId="1921">
        <row r="4">
          <cell r="I4">
            <v>0</v>
          </cell>
        </row>
      </sheetData>
      <sheetData sheetId="1922">
        <row r="4">
          <cell r="I4">
            <v>0</v>
          </cell>
        </row>
      </sheetData>
      <sheetData sheetId="1923">
        <row r="4">
          <cell r="I4">
            <v>0</v>
          </cell>
        </row>
      </sheetData>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ow r="4">
          <cell r="I4">
            <v>0</v>
          </cell>
        </row>
      </sheetData>
      <sheetData sheetId="1934">
        <row r="4">
          <cell r="I4">
            <v>0</v>
          </cell>
        </row>
      </sheetData>
      <sheetData sheetId="1935">
        <row r="4">
          <cell r="I4">
            <v>0</v>
          </cell>
        </row>
      </sheetData>
      <sheetData sheetId="1936">
        <row r="4">
          <cell r="I4">
            <v>0</v>
          </cell>
        </row>
      </sheetData>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ow r="4">
          <cell r="I4">
            <v>0</v>
          </cell>
        </row>
      </sheetData>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ow r="4">
          <cell r="I4">
            <v>0</v>
          </cell>
        </row>
      </sheetData>
      <sheetData sheetId="1974">
        <row r="4">
          <cell r="I4">
            <v>0</v>
          </cell>
        </row>
      </sheetData>
      <sheetData sheetId="1975">
        <row r="4">
          <cell r="I4">
            <v>0</v>
          </cell>
        </row>
      </sheetData>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ow r="4">
          <cell r="I4">
            <v>0</v>
          </cell>
        </row>
      </sheetData>
      <sheetData sheetId="2009">
        <row r="4">
          <cell r="I4">
            <v>0</v>
          </cell>
        </row>
      </sheetData>
      <sheetData sheetId="2010">
        <row r="4">
          <cell r="I4">
            <v>0</v>
          </cell>
        </row>
      </sheetData>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ow r="4">
          <cell r="I4">
            <v>0</v>
          </cell>
        </row>
      </sheetData>
      <sheetData sheetId="2026">
        <row r="4">
          <cell r="I4">
            <v>0</v>
          </cell>
        </row>
      </sheetData>
      <sheetData sheetId="2027">
        <row r="4">
          <cell r="I4">
            <v>0</v>
          </cell>
        </row>
      </sheetData>
      <sheetData sheetId="2028">
        <row r="4">
          <cell r="I4">
            <v>0</v>
          </cell>
        </row>
      </sheetData>
      <sheetData sheetId="2029">
        <row r="4">
          <cell r="I4">
            <v>0</v>
          </cell>
        </row>
      </sheetData>
      <sheetData sheetId="2030">
        <row r="4">
          <cell r="I4">
            <v>0</v>
          </cell>
        </row>
      </sheetData>
      <sheetData sheetId="2031">
        <row r="4">
          <cell r="I4">
            <v>0</v>
          </cell>
        </row>
      </sheetData>
      <sheetData sheetId="2032">
        <row r="4">
          <cell r="I4">
            <v>0</v>
          </cell>
        </row>
      </sheetData>
      <sheetData sheetId="2033">
        <row r="4">
          <cell r="I4">
            <v>0</v>
          </cell>
        </row>
      </sheetData>
      <sheetData sheetId="2034">
        <row r="4">
          <cell r="I4">
            <v>0</v>
          </cell>
        </row>
      </sheetData>
      <sheetData sheetId="2035">
        <row r="4">
          <cell r="I4">
            <v>0</v>
          </cell>
        </row>
      </sheetData>
      <sheetData sheetId="2036">
        <row r="4">
          <cell r="I4">
            <v>0</v>
          </cell>
        </row>
      </sheetData>
      <sheetData sheetId="2037">
        <row r="4">
          <cell r="I4">
            <v>0</v>
          </cell>
        </row>
      </sheetData>
      <sheetData sheetId="2038">
        <row r="4">
          <cell r="I4">
            <v>0</v>
          </cell>
        </row>
      </sheetData>
      <sheetData sheetId="2039">
        <row r="4">
          <cell r="I4">
            <v>0</v>
          </cell>
        </row>
      </sheetData>
      <sheetData sheetId="2040">
        <row r="4">
          <cell r="I4">
            <v>0</v>
          </cell>
        </row>
      </sheetData>
      <sheetData sheetId="2041">
        <row r="4">
          <cell r="I4">
            <v>0</v>
          </cell>
        </row>
      </sheetData>
      <sheetData sheetId="2042">
        <row r="4">
          <cell r="I4">
            <v>0</v>
          </cell>
        </row>
      </sheetData>
      <sheetData sheetId="2043">
        <row r="4">
          <cell r="I4">
            <v>0</v>
          </cell>
        </row>
      </sheetData>
      <sheetData sheetId="2044">
        <row r="4">
          <cell r="I4">
            <v>0</v>
          </cell>
        </row>
      </sheetData>
      <sheetData sheetId="2045">
        <row r="4">
          <cell r="I4">
            <v>0</v>
          </cell>
        </row>
      </sheetData>
      <sheetData sheetId="2046">
        <row r="4">
          <cell r="I4">
            <v>0</v>
          </cell>
        </row>
      </sheetData>
      <sheetData sheetId="2047">
        <row r="4">
          <cell r="I4">
            <v>0</v>
          </cell>
        </row>
      </sheetData>
      <sheetData sheetId="2048">
        <row r="4">
          <cell r="I4">
            <v>0</v>
          </cell>
        </row>
      </sheetData>
      <sheetData sheetId="2049">
        <row r="4">
          <cell r="I4">
            <v>0</v>
          </cell>
        </row>
      </sheetData>
      <sheetData sheetId="2050">
        <row r="4">
          <cell r="I4">
            <v>0</v>
          </cell>
        </row>
      </sheetData>
      <sheetData sheetId="2051">
        <row r="4">
          <cell r="I4">
            <v>0</v>
          </cell>
        </row>
      </sheetData>
      <sheetData sheetId="2052">
        <row r="4">
          <cell r="I4">
            <v>0</v>
          </cell>
        </row>
      </sheetData>
      <sheetData sheetId="2053">
        <row r="4">
          <cell r="I4">
            <v>0</v>
          </cell>
        </row>
      </sheetData>
      <sheetData sheetId="2054">
        <row r="4">
          <cell r="I4">
            <v>0</v>
          </cell>
        </row>
      </sheetData>
      <sheetData sheetId="2055">
        <row r="4">
          <cell r="I4">
            <v>0</v>
          </cell>
        </row>
      </sheetData>
      <sheetData sheetId="2056">
        <row r="4">
          <cell r="I4">
            <v>0</v>
          </cell>
        </row>
      </sheetData>
      <sheetData sheetId="2057">
        <row r="4">
          <cell r="I4">
            <v>0</v>
          </cell>
        </row>
      </sheetData>
      <sheetData sheetId="2058">
        <row r="4">
          <cell r="I4">
            <v>0</v>
          </cell>
        </row>
      </sheetData>
      <sheetData sheetId="2059">
        <row r="4">
          <cell r="I4">
            <v>0</v>
          </cell>
        </row>
      </sheetData>
      <sheetData sheetId="2060">
        <row r="4">
          <cell r="I4">
            <v>0</v>
          </cell>
        </row>
      </sheetData>
      <sheetData sheetId="2061">
        <row r="4">
          <cell r="I4">
            <v>0</v>
          </cell>
        </row>
      </sheetData>
      <sheetData sheetId="2062">
        <row r="4">
          <cell r="I4">
            <v>0</v>
          </cell>
        </row>
      </sheetData>
      <sheetData sheetId="2063">
        <row r="4">
          <cell r="I4">
            <v>0</v>
          </cell>
        </row>
      </sheetData>
      <sheetData sheetId="2064">
        <row r="4">
          <cell r="I4">
            <v>0</v>
          </cell>
        </row>
      </sheetData>
      <sheetData sheetId="2065">
        <row r="4">
          <cell r="I4">
            <v>0</v>
          </cell>
        </row>
      </sheetData>
      <sheetData sheetId="2066">
        <row r="4">
          <cell r="I4">
            <v>0</v>
          </cell>
        </row>
      </sheetData>
      <sheetData sheetId="2067">
        <row r="4">
          <cell r="I4">
            <v>0</v>
          </cell>
        </row>
      </sheetData>
      <sheetData sheetId="2068">
        <row r="4">
          <cell r="I4">
            <v>0</v>
          </cell>
        </row>
      </sheetData>
      <sheetData sheetId="2069">
        <row r="4">
          <cell r="I4">
            <v>0</v>
          </cell>
        </row>
      </sheetData>
      <sheetData sheetId="2070">
        <row r="4">
          <cell r="I4">
            <v>0</v>
          </cell>
        </row>
      </sheetData>
      <sheetData sheetId="2071">
        <row r="4">
          <cell r="I4">
            <v>0</v>
          </cell>
        </row>
      </sheetData>
      <sheetData sheetId="2072">
        <row r="4">
          <cell r="I4">
            <v>0</v>
          </cell>
        </row>
      </sheetData>
      <sheetData sheetId="2073">
        <row r="4">
          <cell r="I4">
            <v>0</v>
          </cell>
        </row>
      </sheetData>
      <sheetData sheetId="2074">
        <row r="4">
          <cell r="I4">
            <v>0</v>
          </cell>
        </row>
      </sheetData>
      <sheetData sheetId="2075">
        <row r="4">
          <cell r="I4">
            <v>0</v>
          </cell>
        </row>
      </sheetData>
      <sheetData sheetId="2076">
        <row r="4">
          <cell r="I4">
            <v>0</v>
          </cell>
        </row>
      </sheetData>
      <sheetData sheetId="2077">
        <row r="4">
          <cell r="I4">
            <v>0</v>
          </cell>
        </row>
      </sheetData>
      <sheetData sheetId="2078">
        <row r="4">
          <cell r="I4">
            <v>0</v>
          </cell>
        </row>
      </sheetData>
      <sheetData sheetId="2079">
        <row r="4">
          <cell r="I4">
            <v>0</v>
          </cell>
        </row>
      </sheetData>
      <sheetData sheetId="2080">
        <row r="4">
          <cell r="I4">
            <v>0</v>
          </cell>
        </row>
      </sheetData>
      <sheetData sheetId="2081">
        <row r="4">
          <cell r="I4">
            <v>0</v>
          </cell>
        </row>
      </sheetData>
      <sheetData sheetId="2082">
        <row r="4">
          <cell r="I4">
            <v>0</v>
          </cell>
        </row>
      </sheetData>
      <sheetData sheetId="2083">
        <row r="4">
          <cell r="I4">
            <v>0</v>
          </cell>
        </row>
      </sheetData>
      <sheetData sheetId="2084">
        <row r="4">
          <cell r="I4">
            <v>0</v>
          </cell>
        </row>
      </sheetData>
      <sheetData sheetId="2085">
        <row r="4">
          <cell r="I4">
            <v>0</v>
          </cell>
        </row>
      </sheetData>
      <sheetData sheetId="2086">
        <row r="4">
          <cell r="I4">
            <v>0</v>
          </cell>
        </row>
      </sheetData>
      <sheetData sheetId="2087">
        <row r="4">
          <cell r="I4">
            <v>0</v>
          </cell>
        </row>
      </sheetData>
      <sheetData sheetId="2088">
        <row r="4">
          <cell r="I4">
            <v>0</v>
          </cell>
        </row>
      </sheetData>
      <sheetData sheetId="2089">
        <row r="4">
          <cell r="I4">
            <v>0</v>
          </cell>
        </row>
      </sheetData>
      <sheetData sheetId="2090">
        <row r="4">
          <cell r="I4">
            <v>0</v>
          </cell>
        </row>
      </sheetData>
      <sheetData sheetId="2091">
        <row r="4">
          <cell r="I4">
            <v>0</v>
          </cell>
        </row>
      </sheetData>
      <sheetData sheetId="2092">
        <row r="4">
          <cell r="I4">
            <v>0</v>
          </cell>
        </row>
      </sheetData>
      <sheetData sheetId="2093">
        <row r="4">
          <cell r="I4">
            <v>0</v>
          </cell>
        </row>
      </sheetData>
      <sheetData sheetId="2094">
        <row r="4">
          <cell r="I4">
            <v>0</v>
          </cell>
        </row>
      </sheetData>
      <sheetData sheetId="2095">
        <row r="4">
          <cell r="I4">
            <v>0</v>
          </cell>
        </row>
      </sheetData>
      <sheetData sheetId="2096">
        <row r="4">
          <cell r="I4">
            <v>0</v>
          </cell>
        </row>
      </sheetData>
      <sheetData sheetId="2097">
        <row r="4">
          <cell r="I4">
            <v>0</v>
          </cell>
        </row>
      </sheetData>
      <sheetData sheetId="2098">
        <row r="4">
          <cell r="I4">
            <v>0</v>
          </cell>
        </row>
      </sheetData>
      <sheetData sheetId="2099">
        <row r="4">
          <cell r="I4">
            <v>0</v>
          </cell>
        </row>
      </sheetData>
      <sheetData sheetId="2100">
        <row r="4">
          <cell r="I4">
            <v>0</v>
          </cell>
        </row>
      </sheetData>
      <sheetData sheetId="2101">
        <row r="4">
          <cell r="I4">
            <v>0</v>
          </cell>
        </row>
      </sheetData>
      <sheetData sheetId="2102">
        <row r="4">
          <cell r="I4">
            <v>0</v>
          </cell>
        </row>
      </sheetData>
      <sheetData sheetId="2103">
        <row r="4">
          <cell r="I4">
            <v>0</v>
          </cell>
        </row>
      </sheetData>
      <sheetData sheetId="2104">
        <row r="4">
          <cell r="I4">
            <v>0</v>
          </cell>
        </row>
      </sheetData>
      <sheetData sheetId="2105">
        <row r="4">
          <cell r="I4">
            <v>0</v>
          </cell>
        </row>
      </sheetData>
      <sheetData sheetId="2106">
        <row r="4">
          <cell r="I4">
            <v>0</v>
          </cell>
        </row>
      </sheetData>
      <sheetData sheetId="2107">
        <row r="4">
          <cell r="I4">
            <v>0</v>
          </cell>
        </row>
      </sheetData>
      <sheetData sheetId="2108">
        <row r="4">
          <cell r="I4">
            <v>0</v>
          </cell>
        </row>
      </sheetData>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ow r="4">
          <cell r="I4">
            <v>0</v>
          </cell>
        </row>
      </sheetData>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sheetData sheetId="2144">
        <row r="4">
          <cell r="I4">
            <v>0</v>
          </cell>
        </row>
      </sheetData>
      <sheetData sheetId="2145" refreshError="1"/>
      <sheetData sheetId="2146"/>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sheetData sheetId="2162" refreshError="1"/>
      <sheetData sheetId="2163"/>
      <sheetData sheetId="2164" refreshError="1"/>
      <sheetData sheetId="2165"/>
      <sheetData sheetId="2166"/>
      <sheetData sheetId="2167"/>
      <sheetData sheetId="2168" refreshError="1"/>
      <sheetData sheetId="2169" refreshError="1"/>
      <sheetData sheetId="2170" refreshError="1"/>
      <sheetData sheetId="2171" refreshError="1"/>
      <sheetData sheetId="2172" refreshError="1"/>
      <sheetData sheetId="2173" refreshError="1"/>
      <sheetData sheetId="2174" refreshError="1"/>
      <sheetData sheetId="2175"/>
      <sheetData sheetId="2176"/>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sheetData sheetId="2187" refreshError="1"/>
      <sheetData sheetId="2188" refreshError="1"/>
      <sheetData sheetId="2189" refreshError="1"/>
      <sheetData sheetId="2190">
        <row r="4">
          <cell r="I4">
            <v>0</v>
          </cell>
        </row>
      </sheetData>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ow r="4">
          <cell r="I4">
            <v>0</v>
          </cell>
        </row>
      </sheetData>
      <sheetData sheetId="2228">
        <row r="4">
          <cell r="I4">
            <v>0</v>
          </cell>
        </row>
      </sheetData>
      <sheetData sheetId="2229">
        <row r="4">
          <cell r="I4">
            <v>0</v>
          </cell>
        </row>
      </sheetData>
      <sheetData sheetId="2230">
        <row r="4">
          <cell r="I4">
            <v>0</v>
          </cell>
        </row>
      </sheetData>
      <sheetData sheetId="2231">
        <row r="4">
          <cell r="I4">
            <v>0</v>
          </cell>
        </row>
      </sheetData>
      <sheetData sheetId="2232">
        <row r="4">
          <cell r="I4">
            <v>0</v>
          </cell>
        </row>
      </sheetData>
      <sheetData sheetId="2233">
        <row r="4">
          <cell r="I4">
            <v>0</v>
          </cell>
        </row>
      </sheetData>
      <sheetData sheetId="2234">
        <row r="4">
          <cell r="I4">
            <v>0</v>
          </cell>
        </row>
      </sheetData>
      <sheetData sheetId="2235">
        <row r="4">
          <cell r="I4">
            <v>0</v>
          </cell>
        </row>
      </sheetData>
      <sheetData sheetId="2236">
        <row r="4">
          <cell r="I4">
            <v>0</v>
          </cell>
        </row>
      </sheetData>
      <sheetData sheetId="2237">
        <row r="4">
          <cell r="I4">
            <v>0</v>
          </cell>
        </row>
      </sheetData>
      <sheetData sheetId="2238">
        <row r="4">
          <cell r="I4">
            <v>0</v>
          </cell>
        </row>
      </sheetData>
      <sheetData sheetId="2239">
        <row r="4">
          <cell r="I4">
            <v>0</v>
          </cell>
        </row>
      </sheetData>
      <sheetData sheetId="2240">
        <row r="4">
          <cell r="I4">
            <v>0</v>
          </cell>
        </row>
      </sheetData>
      <sheetData sheetId="2241">
        <row r="4">
          <cell r="I4">
            <v>0</v>
          </cell>
        </row>
      </sheetData>
      <sheetData sheetId="2242">
        <row r="4">
          <cell r="I4">
            <v>0</v>
          </cell>
        </row>
      </sheetData>
      <sheetData sheetId="2243">
        <row r="4">
          <cell r="I4">
            <v>0</v>
          </cell>
        </row>
      </sheetData>
      <sheetData sheetId="2244">
        <row r="4">
          <cell r="I4">
            <v>0</v>
          </cell>
        </row>
      </sheetData>
      <sheetData sheetId="2245">
        <row r="4">
          <cell r="I4">
            <v>0</v>
          </cell>
        </row>
      </sheetData>
      <sheetData sheetId="2246">
        <row r="4">
          <cell r="I4">
            <v>0</v>
          </cell>
        </row>
      </sheetData>
      <sheetData sheetId="2247">
        <row r="4">
          <cell r="I4">
            <v>0</v>
          </cell>
        </row>
      </sheetData>
      <sheetData sheetId="2248">
        <row r="4">
          <cell r="I4">
            <v>0</v>
          </cell>
        </row>
      </sheetData>
      <sheetData sheetId="2249">
        <row r="4">
          <cell r="I4">
            <v>0</v>
          </cell>
        </row>
      </sheetData>
      <sheetData sheetId="2250">
        <row r="4">
          <cell r="I4">
            <v>0</v>
          </cell>
        </row>
      </sheetData>
      <sheetData sheetId="2251">
        <row r="4">
          <cell r="I4">
            <v>0</v>
          </cell>
        </row>
      </sheetData>
      <sheetData sheetId="2252">
        <row r="4">
          <cell r="I4">
            <v>0</v>
          </cell>
        </row>
      </sheetData>
      <sheetData sheetId="2253">
        <row r="4">
          <cell r="I4">
            <v>0</v>
          </cell>
        </row>
      </sheetData>
      <sheetData sheetId="2254">
        <row r="4">
          <cell r="I4">
            <v>0</v>
          </cell>
        </row>
      </sheetData>
      <sheetData sheetId="2255">
        <row r="4">
          <cell r="I4">
            <v>0</v>
          </cell>
        </row>
      </sheetData>
      <sheetData sheetId="2256">
        <row r="4">
          <cell r="I4">
            <v>0</v>
          </cell>
        </row>
      </sheetData>
      <sheetData sheetId="2257">
        <row r="4">
          <cell r="I4">
            <v>0</v>
          </cell>
        </row>
      </sheetData>
      <sheetData sheetId="2258">
        <row r="4">
          <cell r="I4">
            <v>0</v>
          </cell>
        </row>
      </sheetData>
      <sheetData sheetId="2259">
        <row r="4">
          <cell r="I4">
            <v>0</v>
          </cell>
        </row>
      </sheetData>
      <sheetData sheetId="2260">
        <row r="4">
          <cell r="I4">
            <v>0</v>
          </cell>
        </row>
      </sheetData>
      <sheetData sheetId="2261">
        <row r="4">
          <cell r="I4">
            <v>0</v>
          </cell>
        </row>
      </sheetData>
      <sheetData sheetId="2262">
        <row r="4">
          <cell r="I4">
            <v>0</v>
          </cell>
        </row>
      </sheetData>
      <sheetData sheetId="2263">
        <row r="4">
          <cell r="I4">
            <v>0</v>
          </cell>
        </row>
      </sheetData>
      <sheetData sheetId="2264">
        <row r="4">
          <cell r="I4">
            <v>0</v>
          </cell>
        </row>
      </sheetData>
      <sheetData sheetId="2265">
        <row r="4">
          <cell r="I4">
            <v>0</v>
          </cell>
        </row>
      </sheetData>
      <sheetData sheetId="2266">
        <row r="4">
          <cell r="I4">
            <v>0</v>
          </cell>
        </row>
      </sheetData>
      <sheetData sheetId="2267">
        <row r="4">
          <cell r="I4">
            <v>0</v>
          </cell>
        </row>
      </sheetData>
      <sheetData sheetId="2268">
        <row r="4">
          <cell r="I4">
            <v>0</v>
          </cell>
        </row>
      </sheetData>
      <sheetData sheetId="2269">
        <row r="4">
          <cell r="I4">
            <v>0</v>
          </cell>
        </row>
      </sheetData>
      <sheetData sheetId="2270">
        <row r="4">
          <cell r="I4">
            <v>0</v>
          </cell>
        </row>
      </sheetData>
      <sheetData sheetId="2271">
        <row r="4">
          <cell r="I4">
            <v>0</v>
          </cell>
        </row>
      </sheetData>
      <sheetData sheetId="2272">
        <row r="4">
          <cell r="I4">
            <v>0</v>
          </cell>
        </row>
      </sheetData>
      <sheetData sheetId="2273">
        <row r="4">
          <cell r="I4">
            <v>0</v>
          </cell>
        </row>
      </sheetData>
      <sheetData sheetId="2274">
        <row r="4">
          <cell r="I4">
            <v>0</v>
          </cell>
        </row>
      </sheetData>
      <sheetData sheetId="2275">
        <row r="4">
          <cell r="I4">
            <v>0</v>
          </cell>
        </row>
      </sheetData>
      <sheetData sheetId="2276">
        <row r="4">
          <cell r="I4">
            <v>0</v>
          </cell>
        </row>
      </sheetData>
      <sheetData sheetId="2277">
        <row r="4">
          <cell r="I4">
            <v>0</v>
          </cell>
        </row>
      </sheetData>
      <sheetData sheetId="2278">
        <row r="4">
          <cell r="I4">
            <v>0</v>
          </cell>
        </row>
      </sheetData>
      <sheetData sheetId="2279">
        <row r="4">
          <cell r="I4">
            <v>0</v>
          </cell>
        </row>
      </sheetData>
      <sheetData sheetId="2280">
        <row r="4">
          <cell r="I4">
            <v>0</v>
          </cell>
        </row>
      </sheetData>
      <sheetData sheetId="2281">
        <row r="4">
          <cell r="I4">
            <v>0</v>
          </cell>
        </row>
      </sheetData>
      <sheetData sheetId="2282">
        <row r="4">
          <cell r="I4">
            <v>0</v>
          </cell>
        </row>
      </sheetData>
      <sheetData sheetId="2283">
        <row r="4">
          <cell r="I4">
            <v>0</v>
          </cell>
        </row>
      </sheetData>
      <sheetData sheetId="2284">
        <row r="4">
          <cell r="I4">
            <v>0</v>
          </cell>
        </row>
      </sheetData>
      <sheetData sheetId="2285">
        <row r="4">
          <cell r="I4">
            <v>0</v>
          </cell>
        </row>
      </sheetData>
      <sheetData sheetId="2286">
        <row r="4">
          <cell r="I4">
            <v>0</v>
          </cell>
        </row>
      </sheetData>
      <sheetData sheetId="2287">
        <row r="4">
          <cell r="I4">
            <v>0</v>
          </cell>
        </row>
      </sheetData>
      <sheetData sheetId="2288">
        <row r="4">
          <cell r="I4">
            <v>0</v>
          </cell>
        </row>
      </sheetData>
      <sheetData sheetId="2289">
        <row r="4">
          <cell r="I4">
            <v>0</v>
          </cell>
        </row>
      </sheetData>
      <sheetData sheetId="2290">
        <row r="4">
          <cell r="I4">
            <v>0</v>
          </cell>
        </row>
      </sheetData>
      <sheetData sheetId="2291">
        <row r="4">
          <cell r="I4">
            <v>0</v>
          </cell>
        </row>
      </sheetData>
      <sheetData sheetId="2292">
        <row r="4">
          <cell r="I4">
            <v>0</v>
          </cell>
        </row>
      </sheetData>
      <sheetData sheetId="2293">
        <row r="4">
          <cell r="I4">
            <v>0</v>
          </cell>
        </row>
      </sheetData>
      <sheetData sheetId="2294">
        <row r="4">
          <cell r="I4">
            <v>0</v>
          </cell>
        </row>
      </sheetData>
      <sheetData sheetId="2295">
        <row r="4">
          <cell r="I4">
            <v>0</v>
          </cell>
        </row>
      </sheetData>
      <sheetData sheetId="2296">
        <row r="4">
          <cell r="I4">
            <v>0</v>
          </cell>
        </row>
      </sheetData>
      <sheetData sheetId="2297">
        <row r="4">
          <cell r="I4">
            <v>0</v>
          </cell>
        </row>
      </sheetData>
      <sheetData sheetId="2298">
        <row r="4">
          <cell r="I4">
            <v>0</v>
          </cell>
        </row>
      </sheetData>
      <sheetData sheetId="2299">
        <row r="4">
          <cell r="I4">
            <v>0</v>
          </cell>
        </row>
      </sheetData>
      <sheetData sheetId="2300">
        <row r="4">
          <cell r="I4">
            <v>0</v>
          </cell>
        </row>
      </sheetData>
      <sheetData sheetId="2301">
        <row r="4">
          <cell r="I4">
            <v>0</v>
          </cell>
        </row>
      </sheetData>
      <sheetData sheetId="2302">
        <row r="4">
          <cell r="I4">
            <v>0</v>
          </cell>
        </row>
      </sheetData>
      <sheetData sheetId="2303">
        <row r="4">
          <cell r="I4">
            <v>0</v>
          </cell>
        </row>
      </sheetData>
      <sheetData sheetId="2304">
        <row r="4">
          <cell r="I4">
            <v>0</v>
          </cell>
        </row>
      </sheetData>
      <sheetData sheetId="2305">
        <row r="4">
          <cell r="I4">
            <v>0</v>
          </cell>
        </row>
      </sheetData>
      <sheetData sheetId="2306">
        <row r="4">
          <cell r="I4">
            <v>0</v>
          </cell>
        </row>
      </sheetData>
      <sheetData sheetId="2307">
        <row r="4">
          <cell r="I4">
            <v>0</v>
          </cell>
        </row>
      </sheetData>
      <sheetData sheetId="2308">
        <row r="4">
          <cell r="I4">
            <v>0</v>
          </cell>
        </row>
      </sheetData>
      <sheetData sheetId="2309">
        <row r="4">
          <cell r="I4">
            <v>0</v>
          </cell>
        </row>
      </sheetData>
      <sheetData sheetId="2310">
        <row r="4">
          <cell r="I4">
            <v>0</v>
          </cell>
        </row>
      </sheetData>
      <sheetData sheetId="2311">
        <row r="4">
          <cell r="I4">
            <v>0</v>
          </cell>
        </row>
      </sheetData>
      <sheetData sheetId="2312">
        <row r="4">
          <cell r="I4">
            <v>0</v>
          </cell>
        </row>
      </sheetData>
      <sheetData sheetId="2313">
        <row r="4">
          <cell r="I4">
            <v>0</v>
          </cell>
        </row>
      </sheetData>
      <sheetData sheetId="2314">
        <row r="4">
          <cell r="I4">
            <v>0</v>
          </cell>
        </row>
      </sheetData>
      <sheetData sheetId="2315">
        <row r="4">
          <cell r="I4">
            <v>0</v>
          </cell>
        </row>
      </sheetData>
      <sheetData sheetId="2316">
        <row r="4">
          <cell r="I4">
            <v>0</v>
          </cell>
        </row>
      </sheetData>
      <sheetData sheetId="2317">
        <row r="4">
          <cell r="I4">
            <v>0</v>
          </cell>
        </row>
      </sheetData>
      <sheetData sheetId="2318">
        <row r="4">
          <cell r="I4">
            <v>0</v>
          </cell>
        </row>
      </sheetData>
      <sheetData sheetId="2319">
        <row r="4">
          <cell r="I4">
            <v>0</v>
          </cell>
        </row>
      </sheetData>
      <sheetData sheetId="2320">
        <row r="4">
          <cell r="I4">
            <v>0</v>
          </cell>
        </row>
      </sheetData>
      <sheetData sheetId="2321">
        <row r="4">
          <cell r="I4">
            <v>0</v>
          </cell>
        </row>
      </sheetData>
      <sheetData sheetId="2322">
        <row r="4">
          <cell r="I4">
            <v>0</v>
          </cell>
        </row>
      </sheetData>
      <sheetData sheetId="2323">
        <row r="4">
          <cell r="I4">
            <v>0</v>
          </cell>
        </row>
      </sheetData>
      <sheetData sheetId="2324">
        <row r="4">
          <cell r="I4">
            <v>0</v>
          </cell>
        </row>
      </sheetData>
      <sheetData sheetId="2325">
        <row r="4">
          <cell r="I4">
            <v>0</v>
          </cell>
        </row>
      </sheetData>
      <sheetData sheetId="2326">
        <row r="4">
          <cell r="I4">
            <v>0</v>
          </cell>
        </row>
      </sheetData>
      <sheetData sheetId="2327">
        <row r="4">
          <cell r="I4">
            <v>0</v>
          </cell>
        </row>
      </sheetData>
      <sheetData sheetId="2328">
        <row r="4">
          <cell r="I4">
            <v>0</v>
          </cell>
        </row>
      </sheetData>
      <sheetData sheetId="2329">
        <row r="4">
          <cell r="I4">
            <v>0</v>
          </cell>
        </row>
      </sheetData>
      <sheetData sheetId="2330">
        <row r="4">
          <cell r="I4">
            <v>0</v>
          </cell>
        </row>
      </sheetData>
      <sheetData sheetId="2331">
        <row r="4">
          <cell r="I4">
            <v>0</v>
          </cell>
        </row>
      </sheetData>
      <sheetData sheetId="2332">
        <row r="4">
          <cell r="I4">
            <v>0</v>
          </cell>
        </row>
      </sheetData>
      <sheetData sheetId="2333">
        <row r="4">
          <cell r="I4">
            <v>0</v>
          </cell>
        </row>
      </sheetData>
      <sheetData sheetId="2334">
        <row r="4">
          <cell r="I4">
            <v>0</v>
          </cell>
        </row>
      </sheetData>
      <sheetData sheetId="2335">
        <row r="4">
          <cell r="I4">
            <v>0</v>
          </cell>
        </row>
      </sheetData>
      <sheetData sheetId="2336">
        <row r="4">
          <cell r="I4">
            <v>0</v>
          </cell>
        </row>
      </sheetData>
      <sheetData sheetId="2337">
        <row r="4">
          <cell r="I4">
            <v>0</v>
          </cell>
        </row>
      </sheetData>
      <sheetData sheetId="2338">
        <row r="4">
          <cell r="I4">
            <v>0</v>
          </cell>
        </row>
      </sheetData>
      <sheetData sheetId="2339">
        <row r="4">
          <cell r="I4">
            <v>0</v>
          </cell>
        </row>
      </sheetData>
      <sheetData sheetId="2340">
        <row r="4">
          <cell r="I4">
            <v>0</v>
          </cell>
        </row>
      </sheetData>
      <sheetData sheetId="2341">
        <row r="4">
          <cell r="I4">
            <v>0</v>
          </cell>
        </row>
      </sheetData>
      <sheetData sheetId="2342">
        <row r="4">
          <cell r="I4">
            <v>0</v>
          </cell>
        </row>
      </sheetData>
      <sheetData sheetId="2343">
        <row r="4">
          <cell r="I4">
            <v>0</v>
          </cell>
        </row>
      </sheetData>
      <sheetData sheetId="2344">
        <row r="4">
          <cell r="I4">
            <v>0</v>
          </cell>
        </row>
      </sheetData>
      <sheetData sheetId="2345" refreshError="1"/>
      <sheetData sheetId="2346">
        <row r="4">
          <cell r="I4">
            <v>0</v>
          </cell>
        </row>
      </sheetData>
      <sheetData sheetId="2347">
        <row r="4">
          <cell r="I4">
            <v>0</v>
          </cell>
        </row>
      </sheetData>
      <sheetData sheetId="2348">
        <row r="4">
          <cell r="I4">
            <v>0</v>
          </cell>
        </row>
      </sheetData>
      <sheetData sheetId="2349">
        <row r="4">
          <cell r="I4">
            <v>0</v>
          </cell>
        </row>
      </sheetData>
      <sheetData sheetId="2350">
        <row r="4">
          <cell r="I4">
            <v>0</v>
          </cell>
        </row>
      </sheetData>
      <sheetData sheetId="2351">
        <row r="4">
          <cell r="I4">
            <v>0</v>
          </cell>
        </row>
      </sheetData>
      <sheetData sheetId="2352">
        <row r="4">
          <cell r="I4">
            <v>0</v>
          </cell>
        </row>
      </sheetData>
      <sheetData sheetId="2353">
        <row r="4">
          <cell r="I4">
            <v>0</v>
          </cell>
        </row>
      </sheetData>
      <sheetData sheetId="2354">
        <row r="4">
          <cell r="I4">
            <v>0</v>
          </cell>
        </row>
      </sheetData>
      <sheetData sheetId="2355" refreshError="1"/>
      <sheetData sheetId="2356">
        <row r="4">
          <cell r="I4">
            <v>0</v>
          </cell>
        </row>
      </sheetData>
      <sheetData sheetId="2357" refreshError="1"/>
      <sheetData sheetId="2358" refreshError="1"/>
      <sheetData sheetId="2359">
        <row r="4">
          <cell r="I4">
            <v>0</v>
          </cell>
        </row>
      </sheetData>
      <sheetData sheetId="2360">
        <row r="4">
          <cell r="I4">
            <v>0</v>
          </cell>
        </row>
      </sheetData>
      <sheetData sheetId="2361" refreshError="1"/>
      <sheetData sheetId="2362">
        <row r="4">
          <cell r="I4">
            <v>0</v>
          </cell>
        </row>
      </sheetData>
      <sheetData sheetId="2363" refreshError="1"/>
      <sheetData sheetId="2364" refreshError="1"/>
      <sheetData sheetId="2365">
        <row r="4">
          <cell r="I4">
            <v>0</v>
          </cell>
        </row>
      </sheetData>
      <sheetData sheetId="2366" refreshError="1"/>
      <sheetData sheetId="2367" refreshError="1"/>
      <sheetData sheetId="2368">
        <row r="4">
          <cell r="I4">
            <v>0</v>
          </cell>
        </row>
      </sheetData>
      <sheetData sheetId="2369">
        <row r="4">
          <cell r="I4">
            <v>0</v>
          </cell>
        </row>
      </sheetData>
      <sheetData sheetId="2370">
        <row r="4">
          <cell r="I4">
            <v>0</v>
          </cell>
        </row>
      </sheetData>
      <sheetData sheetId="2371">
        <row r="4">
          <cell r="I4">
            <v>0</v>
          </cell>
        </row>
      </sheetData>
      <sheetData sheetId="2372">
        <row r="4">
          <cell r="I4">
            <v>0</v>
          </cell>
        </row>
      </sheetData>
      <sheetData sheetId="2373">
        <row r="4">
          <cell r="I4">
            <v>0</v>
          </cell>
        </row>
      </sheetData>
      <sheetData sheetId="2374">
        <row r="4">
          <cell r="I4">
            <v>0</v>
          </cell>
        </row>
      </sheetData>
      <sheetData sheetId="2375">
        <row r="4">
          <cell r="I4">
            <v>0</v>
          </cell>
        </row>
      </sheetData>
      <sheetData sheetId="2376">
        <row r="4">
          <cell r="I4">
            <v>0</v>
          </cell>
        </row>
      </sheetData>
      <sheetData sheetId="2377">
        <row r="4">
          <cell r="I4">
            <v>0</v>
          </cell>
        </row>
      </sheetData>
      <sheetData sheetId="2378">
        <row r="4">
          <cell r="I4">
            <v>0</v>
          </cell>
        </row>
      </sheetData>
      <sheetData sheetId="2379">
        <row r="4">
          <cell r="I4">
            <v>0</v>
          </cell>
        </row>
      </sheetData>
      <sheetData sheetId="2380">
        <row r="4">
          <cell r="I4">
            <v>0</v>
          </cell>
        </row>
      </sheetData>
      <sheetData sheetId="2381">
        <row r="4">
          <cell r="I4">
            <v>0</v>
          </cell>
        </row>
      </sheetData>
      <sheetData sheetId="2382">
        <row r="4">
          <cell r="I4">
            <v>0</v>
          </cell>
        </row>
      </sheetData>
      <sheetData sheetId="2383">
        <row r="4">
          <cell r="I4">
            <v>0</v>
          </cell>
        </row>
      </sheetData>
      <sheetData sheetId="2384">
        <row r="4">
          <cell r="I4">
            <v>0</v>
          </cell>
        </row>
      </sheetData>
      <sheetData sheetId="2385">
        <row r="4">
          <cell r="I4">
            <v>0</v>
          </cell>
        </row>
      </sheetData>
      <sheetData sheetId="2386">
        <row r="4">
          <cell r="I4">
            <v>0</v>
          </cell>
        </row>
      </sheetData>
      <sheetData sheetId="2387">
        <row r="4">
          <cell r="I4">
            <v>0</v>
          </cell>
        </row>
      </sheetData>
      <sheetData sheetId="2388">
        <row r="4">
          <cell r="I4">
            <v>0</v>
          </cell>
        </row>
      </sheetData>
      <sheetData sheetId="2389">
        <row r="4">
          <cell r="I4">
            <v>0</v>
          </cell>
        </row>
      </sheetData>
      <sheetData sheetId="2390">
        <row r="4">
          <cell r="I4">
            <v>0</v>
          </cell>
        </row>
      </sheetData>
      <sheetData sheetId="2391">
        <row r="4">
          <cell r="I4">
            <v>0</v>
          </cell>
        </row>
      </sheetData>
      <sheetData sheetId="2392">
        <row r="4">
          <cell r="I4">
            <v>0</v>
          </cell>
        </row>
      </sheetData>
      <sheetData sheetId="2393">
        <row r="4">
          <cell r="I4">
            <v>0</v>
          </cell>
        </row>
      </sheetData>
      <sheetData sheetId="2394">
        <row r="4">
          <cell r="I4">
            <v>0</v>
          </cell>
        </row>
      </sheetData>
      <sheetData sheetId="2395">
        <row r="4">
          <cell r="I4">
            <v>0</v>
          </cell>
        </row>
      </sheetData>
      <sheetData sheetId="2396">
        <row r="4">
          <cell r="I4">
            <v>0</v>
          </cell>
        </row>
      </sheetData>
      <sheetData sheetId="2397">
        <row r="4">
          <cell r="I4">
            <v>0</v>
          </cell>
        </row>
      </sheetData>
      <sheetData sheetId="2398">
        <row r="4">
          <cell r="I4">
            <v>0</v>
          </cell>
        </row>
      </sheetData>
      <sheetData sheetId="2399">
        <row r="4">
          <cell r="I4">
            <v>0</v>
          </cell>
        </row>
      </sheetData>
      <sheetData sheetId="2400">
        <row r="4">
          <cell r="I4">
            <v>0</v>
          </cell>
        </row>
      </sheetData>
      <sheetData sheetId="2401">
        <row r="4">
          <cell r="I4">
            <v>0</v>
          </cell>
        </row>
      </sheetData>
      <sheetData sheetId="2402">
        <row r="4">
          <cell r="I4">
            <v>0</v>
          </cell>
        </row>
      </sheetData>
      <sheetData sheetId="2403">
        <row r="4">
          <cell r="I4">
            <v>0</v>
          </cell>
        </row>
      </sheetData>
      <sheetData sheetId="2404">
        <row r="4">
          <cell r="I4">
            <v>0</v>
          </cell>
        </row>
      </sheetData>
      <sheetData sheetId="2405">
        <row r="4">
          <cell r="I4">
            <v>0</v>
          </cell>
        </row>
      </sheetData>
      <sheetData sheetId="2406">
        <row r="4">
          <cell r="I4">
            <v>0</v>
          </cell>
        </row>
      </sheetData>
      <sheetData sheetId="2407">
        <row r="4">
          <cell r="I4">
            <v>0</v>
          </cell>
        </row>
      </sheetData>
      <sheetData sheetId="2408" refreshError="1"/>
      <sheetData sheetId="2409">
        <row r="4">
          <cell r="I4">
            <v>0</v>
          </cell>
        </row>
      </sheetData>
      <sheetData sheetId="2410">
        <row r="4">
          <cell r="I4">
            <v>0</v>
          </cell>
        </row>
      </sheetData>
      <sheetData sheetId="2411">
        <row r="4">
          <cell r="I4">
            <v>0</v>
          </cell>
        </row>
      </sheetData>
      <sheetData sheetId="2412">
        <row r="4">
          <cell r="I4">
            <v>0</v>
          </cell>
        </row>
      </sheetData>
      <sheetData sheetId="2413">
        <row r="4">
          <cell r="I4">
            <v>0</v>
          </cell>
        </row>
      </sheetData>
      <sheetData sheetId="2414">
        <row r="4">
          <cell r="I4">
            <v>0</v>
          </cell>
        </row>
      </sheetData>
      <sheetData sheetId="2415">
        <row r="4">
          <cell r="I4">
            <v>0</v>
          </cell>
        </row>
      </sheetData>
      <sheetData sheetId="2416">
        <row r="4">
          <cell r="I4">
            <v>0</v>
          </cell>
        </row>
      </sheetData>
      <sheetData sheetId="2417">
        <row r="4">
          <cell r="I4">
            <v>0</v>
          </cell>
        </row>
      </sheetData>
      <sheetData sheetId="2418">
        <row r="4">
          <cell r="I4">
            <v>0</v>
          </cell>
        </row>
      </sheetData>
      <sheetData sheetId="2419">
        <row r="4">
          <cell r="I4">
            <v>0</v>
          </cell>
        </row>
      </sheetData>
      <sheetData sheetId="2420">
        <row r="4">
          <cell r="I4">
            <v>0</v>
          </cell>
        </row>
      </sheetData>
      <sheetData sheetId="2421">
        <row r="4">
          <cell r="I4">
            <v>0</v>
          </cell>
        </row>
      </sheetData>
      <sheetData sheetId="2422">
        <row r="4">
          <cell r="I4">
            <v>0</v>
          </cell>
        </row>
      </sheetData>
      <sheetData sheetId="2423">
        <row r="4">
          <cell r="I4">
            <v>0</v>
          </cell>
        </row>
      </sheetData>
      <sheetData sheetId="2424">
        <row r="4">
          <cell r="I4">
            <v>0</v>
          </cell>
        </row>
      </sheetData>
      <sheetData sheetId="2425">
        <row r="4">
          <cell r="I4">
            <v>0</v>
          </cell>
        </row>
      </sheetData>
      <sheetData sheetId="2426">
        <row r="4">
          <cell r="I4">
            <v>0</v>
          </cell>
        </row>
      </sheetData>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ow r="4">
          <cell r="I4">
            <v>0</v>
          </cell>
        </row>
      </sheetData>
      <sheetData sheetId="2454">
        <row r="4">
          <cell r="I4">
            <v>0</v>
          </cell>
        </row>
      </sheetData>
      <sheetData sheetId="2455">
        <row r="4">
          <cell r="I4">
            <v>0</v>
          </cell>
        </row>
      </sheetData>
      <sheetData sheetId="2456">
        <row r="4">
          <cell r="I4">
            <v>0</v>
          </cell>
        </row>
      </sheetData>
      <sheetData sheetId="2457">
        <row r="4">
          <cell r="I4">
            <v>0</v>
          </cell>
        </row>
      </sheetData>
      <sheetData sheetId="2458">
        <row r="4">
          <cell r="I4">
            <v>0</v>
          </cell>
        </row>
      </sheetData>
      <sheetData sheetId="2459">
        <row r="4">
          <cell r="I4">
            <v>0</v>
          </cell>
        </row>
      </sheetData>
      <sheetData sheetId="2460">
        <row r="4">
          <cell r="I4">
            <v>0</v>
          </cell>
        </row>
      </sheetData>
      <sheetData sheetId="2461">
        <row r="4">
          <cell r="I4">
            <v>0</v>
          </cell>
        </row>
      </sheetData>
      <sheetData sheetId="2462">
        <row r="4">
          <cell r="I4">
            <v>0</v>
          </cell>
        </row>
      </sheetData>
      <sheetData sheetId="2463">
        <row r="4">
          <cell r="I4">
            <v>0</v>
          </cell>
        </row>
      </sheetData>
      <sheetData sheetId="2464">
        <row r="4">
          <cell r="I4">
            <v>0</v>
          </cell>
        </row>
      </sheetData>
      <sheetData sheetId="2465">
        <row r="4">
          <cell r="I4">
            <v>0</v>
          </cell>
        </row>
      </sheetData>
      <sheetData sheetId="2466">
        <row r="4">
          <cell r="I4">
            <v>0</v>
          </cell>
        </row>
      </sheetData>
      <sheetData sheetId="2467">
        <row r="4">
          <cell r="I4">
            <v>0</v>
          </cell>
        </row>
      </sheetData>
      <sheetData sheetId="2468">
        <row r="4">
          <cell r="I4">
            <v>0</v>
          </cell>
        </row>
      </sheetData>
      <sheetData sheetId="2469">
        <row r="4">
          <cell r="I4">
            <v>0</v>
          </cell>
        </row>
      </sheetData>
      <sheetData sheetId="2470">
        <row r="4">
          <cell r="I4">
            <v>0</v>
          </cell>
        </row>
      </sheetData>
      <sheetData sheetId="2471">
        <row r="4">
          <cell r="I4">
            <v>0</v>
          </cell>
        </row>
      </sheetData>
      <sheetData sheetId="2472">
        <row r="4">
          <cell r="I4">
            <v>0</v>
          </cell>
        </row>
      </sheetData>
      <sheetData sheetId="2473">
        <row r="4">
          <cell r="I4">
            <v>0</v>
          </cell>
        </row>
      </sheetData>
      <sheetData sheetId="2474">
        <row r="4">
          <cell r="I4">
            <v>0</v>
          </cell>
        </row>
      </sheetData>
      <sheetData sheetId="2475">
        <row r="4">
          <cell r="I4">
            <v>0</v>
          </cell>
        </row>
      </sheetData>
      <sheetData sheetId="2476">
        <row r="4">
          <cell r="I4">
            <v>0</v>
          </cell>
        </row>
      </sheetData>
      <sheetData sheetId="2477">
        <row r="4">
          <cell r="I4">
            <v>0</v>
          </cell>
        </row>
      </sheetData>
      <sheetData sheetId="2478">
        <row r="4">
          <cell r="I4">
            <v>0</v>
          </cell>
        </row>
      </sheetData>
      <sheetData sheetId="2479">
        <row r="4">
          <cell r="I4">
            <v>0</v>
          </cell>
        </row>
      </sheetData>
      <sheetData sheetId="2480">
        <row r="4">
          <cell r="I4">
            <v>0</v>
          </cell>
        </row>
      </sheetData>
      <sheetData sheetId="2481">
        <row r="4">
          <cell r="I4">
            <v>0</v>
          </cell>
        </row>
      </sheetData>
      <sheetData sheetId="2482">
        <row r="4">
          <cell r="I4">
            <v>0</v>
          </cell>
        </row>
      </sheetData>
      <sheetData sheetId="2483">
        <row r="4">
          <cell r="I4">
            <v>0</v>
          </cell>
        </row>
      </sheetData>
      <sheetData sheetId="2484">
        <row r="4">
          <cell r="I4">
            <v>0</v>
          </cell>
        </row>
      </sheetData>
      <sheetData sheetId="2485">
        <row r="4">
          <cell r="I4">
            <v>0</v>
          </cell>
        </row>
      </sheetData>
      <sheetData sheetId="2486">
        <row r="4">
          <cell r="I4">
            <v>0</v>
          </cell>
        </row>
      </sheetData>
      <sheetData sheetId="2487">
        <row r="4">
          <cell r="I4">
            <v>0</v>
          </cell>
        </row>
      </sheetData>
      <sheetData sheetId="2488">
        <row r="4">
          <cell r="I4">
            <v>0</v>
          </cell>
        </row>
      </sheetData>
      <sheetData sheetId="2489">
        <row r="4">
          <cell r="I4">
            <v>0</v>
          </cell>
        </row>
      </sheetData>
      <sheetData sheetId="2490">
        <row r="4">
          <cell r="I4">
            <v>0</v>
          </cell>
        </row>
      </sheetData>
      <sheetData sheetId="2491">
        <row r="4">
          <cell r="I4">
            <v>0</v>
          </cell>
        </row>
      </sheetData>
      <sheetData sheetId="2492">
        <row r="4">
          <cell r="I4">
            <v>0</v>
          </cell>
        </row>
      </sheetData>
      <sheetData sheetId="2493">
        <row r="4">
          <cell r="I4">
            <v>0</v>
          </cell>
        </row>
      </sheetData>
      <sheetData sheetId="2494">
        <row r="4">
          <cell r="I4">
            <v>0</v>
          </cell>
        </row>
      </sheetData>
      <sheetData sheetId="2495">
        <row r="4">
          <cell r="I4">
            <v>0</v>
          </cell>
        </row>
      </sheetData>
      <sheetData sheetId="2496">
        <row r="4">
          <cell r="I4">
            <v>0</v>
          </cell>
        </row>
      </sheetData>
      <sheetData sheetId="2497">
        <row r="4">
          <cell r="I4">
            <v>0</v>
          </cell>
        </row>
      </sheetData>
      <sheetData sheetId="2498">
        <row r="4">
          <cell r="I4">
            <v>0</v>
          </cell>
        </row>
      </sheetData>
      <sheetData sheetId="2499">
        <row r="4">
          <cell r="I4">
            <v>0</v>
          </cell>
        </row>
      </sheetData>
      <sheetData sheetId="2500">
        <row r="4">
          <cell r="I4">
            <v>0</v>
          </cell>
        </row>
      </sheetData>
      <sheetData sheetId="2501">
        <row r="4">
          <cell r="I4">
            <v>0</v>
          </cell>
        </row>
      </sheetData>
      <sheetData sheetId="2502">
        <row r="4">
          <cell r="I4">
            <v>0</v>
          </cell>
        </row>
      </sheetData>
      <sheetData sheetId="2503">
        <row r="4">
          <cell r="I4">
            <v>0</v>
          </cell>
        </row>
      </sheetData>
      <sheetData sheetId="2504">
        <row r="4">
          <cell r="I4">
            <v>0</v>
          </cell>
        </row>
      </sheetData>
      <sheetData sheetId="2505">
        <row r="4">
          <cell r="I4">
            <v>0</v>
          </cell>
        </row>
      </sheetData>
      <sheetData sheetId="2506">
        <row r="4">
          <cell r="I4">
            <v>0</v>
          </cell>
        </row>
      </sheetData>
      <sheetData sheetId="2507">
        <row r="4">
          <cell r="I4">
            <v>0</v>
          </cell>
        </row>
      </sheetData>
      <sheetData sheetId="2508">
        <row r="4">
          <cell r="I4">
            <v>0</v>
          </cell>
        </row>
      </sheetData>
      <sheetData sheetId="2509">
        <row r="4">
          <cell r="I4">
            <v>0</v>
          </cell>
        </row>
      </sheetData>
      <sheetData sheetId="2510">
        <row r="4">
          <cell r="I4">
            <v>0</v>
          </cell>
        </row>
      </sheetData>
      <sheetData sheetId="2511">
        <row r="4">
          <cell r="I4">
            <v>0</v>
          </cell>
        </row>
      </sheetData>
      <sheetData sheetId="2512">
        <row r="4">
          <cell r="I4">
            <v>0</v>
          </cell>
        </row>
      </sheetData>
      <sheetData sheetId="2513">
        <row r="4">
          <cell r="I4">
            <v>0</v>
          </cell>
        </row>
      </sheetData>
      <sheetData sheetId="2514">
        <row r="4">
          <cell r="I4">
            <v>0</v>
          </cell>
        </row>
      </sheetData>
      <sheetData sheetId="2515">
        <row r="4">
          <cell r="I4">
            <v>0</v>
          </cell>
        </row>
      </sheetData>
      <sheetData sheetId="2516">
        <row r="4">
          <cell r="I4">
            <v>0</v>
          </cell>
        </row>
      </sheetData>
      <sheetData sheetId="2517">
        <row r="4">
          <cell r="I4">
            <v>0</v>
          </cell>
        </row>
      </sheetData>
      <sheetData sheetId="2518">
        <row r="4">
          <cell r="I4">
            <v>0</v>
          </cell>
        </row>
      </sheetData>
      <sheetData sheetId="2519">
        <row r="4">
          <cell r="I4">
            <v>0</v>
          </cell>
        </row>
      </sheetData>
      <sheetData sheetId="2520">
        <row r="4">
          <cell r="I4">
            <v>0</v>
          </cell>
        </row>
      </sheetData>
      <sheetData sheetId="2521">
        <row r="4">
          <cell r="I4">
            <v>0</v>
          </cell>
        </row>
      </sheetData>
      <sheetData sheetId="2522">
        <row r="4">
          <cell r="I4">
            <v>0</v>
          </cell>
        </row>
      </sheetData>
      <sheetData sheetId="2523">
        <row r="4">
          <cell r="I4">
            <v>0</v>
          </cell>
        </row>
      </sheetData>
      <sheetData sheetId="2524">
        <row r="4">
          <cell r="I4">
            <v>0</v>
          </cell>
        </row>
      </sheetData>
      <sheetData sheetId="2525">
        <row r="4">
          <cell r="I4">
            <v>0</v>
          </cell>
        </row>
      </sheetData>
      <sheetData sheetId="2526">
        <row r="4">
          <cell r="I4">
            <v>0</v>
          </cell>
        </row>
      </sheetData>
      <sheetData sheetId="2527">
        <row r="4">
          <cell r="I4">
            <v>0</v>
          </cell>
        </row>
      </sheetData>
      <sheetData sheetId="2528">
        <row r="4">
          <cell r="I4">
            <v>0</v>
          </cell>
        </row>
      </sheetData>
      <sheetData sheetId="2529">
        <row r="4">
          <cell r="I4">
            <v>0</v>
          </cell>
        </row>
      </sheetData>
      <sheetData sheetId="2530">
        <row r="4">
          <cell r="I4">
            <v>0</v>
          </cell>
        </row>
      </sheetData>
      <sheetData sheetId="2531">
        <row r="4">
          <cell r="I4">
            <v>0</v>
          </cell>
        </row>
      </sheetData>
      <sheetData sheetId="2532">
        <row r="4">
          <cell r="I4">
            <v>0</v>
          </cell>
        </row>
      </sheetData>
      <sheetData sheetId="2533">
        <row r="4">
          <cell r="I4">
            <v>0</v>
          </cell>
        </row>
      </sheetData>
      <sheetData sheetId="2534">
        <row r="4">
          <cell r="I4">
            <v>0</v>
          </cell>
        </row>
      </sheetData>
      <sheetData sheetId="2535">
        <row r="4">
          <cell r="I4">
            <v>0</v>
          </cell>
        </row>
      </sheetData>
      <sheetData sheetId="2536">
        <row r="4">
          <cell r="I4">
            <v>0</v>
          </cell>
        </row>
      </sheetData>
      <sheetData sheetId="2537">
        <row r="4">
          <cell r="I4">
            <v>0</v>
          </cell>
        </row>
      </sheetData>
      <sheetData sheetId="2538">
        <row r="4">
          <cell r="I4">
            <v>0</v>
          </cell>
        </row>
      </sheetData>
      <sheetData sheetId="2539">
        <row r="4">
          <cell r="I4">
            <v>0</v>
          </cell>
        </row>
      </sheetData>
      <sheetData sheetId="2540">
        <row r="4">
          <cell r="I4">
            <v>0</v>
          </cell>
        </row>
      </sheetData>
      <sheetData sheetId="2541">
        <row r="4">
          <cell r="I4">
            <v>0</v>
          </cell>
        </row>
      </sheetData>
      <sheetData sheetId="2542">
        <row r="4">
          <cell r="I4">
            <v>0</v>
          </cell>
        </row>
      </sheetData>
      <sheetData sheetId="2543">
        <row r="4">
          <cell r="I4">
            <v>0</v>
          </cell>
        </row>
      </sheetData>
      <sheetData sheetId="2544">
        <row r="4">
          <cell r="I4">
            <v>0</v>
          </cell>
        </row>
      </sheetData>
      <sheetData sheetId="2545">
        <row r="4">
          <cell r="I4">
            <v>0</v>
          </cell>
        </row>
      </sheetData>
      <sheetData sheetId="2546">
        <row r="4">
          <cell r="I4">
            <v>0</v>
          </cell>
        </row>
      </sheetData>
      <sheetData sheetId="2547">
        <row r="4">
          <cell r="I4">
            <v>0</v>
          </cell>
        </row>
      </sheetData>
      <sheetData sheetId="2548">
        <row r="4">
          <cell r="I4">
            <v>0</v>
          </cell>
        </row>
      </sheetData>
      <sheetData sheetId="2549">
        <row r="4">
          <cell r="I4">
            <v>0</v>
          </cell>
        </row>
      </sheetData>
      <sheetData sheetId="2550">
        <row r="4">
          <cell r="I4">
            <v>0</v>
          </cell>
        </row>
      </sheetData>
      <sheetData sheetId="2551">
        <row r="4">
          <cell r="I4">
            <v>0</v>
          </cell>
        </row>
      </sheetData>
      <sheetData sheetId="2552">
        <row r="4">
          <cell r="I4">
            <v>0</v>
          </cell>
        </row>
      </sheetData>
      <sheetData sheetId="2553">
        <row r="4">
          <cell r="I4">
            <v>0</v>
          </cell>
        </row>
      </sheetData>
      <sheetData sheetId="2554">
        <row r="4">
          <cell r="I4">
            <v>0</v>
          </cell>
        </row>
      </sheetData>
      <sheetData sheetId="2555">
        <row r="4">
          <cell r="I4">
            <v>0</v>
          </cell>
        </row>
      </sheetData>
      <sheetData sheetId="2556">
        <row r="4">
          <cell r="I4">
            <v>0</v>
          </cell>
        </row>
      </sheetData>
      <sheetData sheetId="2557">
        <row r="4">
          <cell r="I4">
            <v>0</v>
          </cell>
        </row>
      </sheetData>
      <sheetData sheetId="2558">
        <row r="4">
          <cell r="I4">
            <v>0</v>
          </cell>
        </row>
      </sheetData>
      <sheetData sheetId="2559">
        <row r="4">
          <cell r="I4">
            <v>0</v>
          </cell>
        </row>
      </sheetData>
      <sheetData sheetId="2560">
        <row r="4">
          <cell r="I4">
            <v>0</v>
          </cell>
        </row>
      </sheetData>
      <sheetData sheetId="2561">
        <row r="4">
          <cell r="I4">
            <v>0</v>
          </cell>
        </row>
      </sheetData>
      <sheetData sheetId="2562">
        <row r="4">
          <cell r="I4">
            <v>0</v>
          </cell>
        </row>
      </sheetData>
      <sheetData sheetId="2563">
        <row r="4">
          <cell r="I4">
            <v>0</v>
          </cell>
        </row>
      </sheetData>
      <sheetData sheetId="2564">
        <row r="4">
          <cell r="I4">
            <v>0</v>
          </cell>
        </row>
      </sheetData>
      <sheetData sheetId="2565">
        <row r="4">
          <cell r="I4">
            <v>0</v>
          </cell>
        </row>
      </sheetData>
      <sheetData sheetId="2566">
        <row r="4">
          <cell r="I4">
            <v>0</v>
          </cell>
        </row>
      </sheetData>
      <sheetData sheetId="2567">
        <row r="4">
          <cell r="I4">
            <v>0</v>
          </cell>
        </row>
      </sheetData>
      <sheetData sheetId="2568">
        <row r="4">
          <cell r="I4">
            <v>0</v>
          </cell>
        </row>
      </sheetData>
      <sheetData sheetId="2569">
        <row r="4">
          <cell r="I4">
            <v>0</v>
          </cell>
        </row>
      </sheetData>
      <sheetData sheetId="2570">
        <row r="4">
          <cell r="I4">
            <v>0</v>
          </cell>
        </row>
      </sheetData>
      <sheetData sheetId="2571">
        <row r="4">
          <cell r="I4">
            <v>0</v>
          </cell>
        </row>
      </sheetData>
      <sheetData sheetId="2572">
        <row r="4">
          <cell r="I4">
            <v>0</v>
          </cell>
        </row>
      </sheetData>
      <sheetData sheetId="2573">
        <row r="4">
          <cell r="I4">
            <v>0</v>
          </cell>
        </row>
      </sheetData>
      <sheetData sheetId="2574">
        <row r="4">
          <cell r="I4">
            <v>0</v>
          </cell>
        </row>
      </sheetData>
      <sheetData sheetId="2575">
        <row r="4">
          <cell r="I4">
            <v>0</v>
          </cell>
        </row>
      </sheetData>
      <sheetData sheetId="2576">
        <row r="4">
          <cell r="I4">
            <v>0</v>
          </cell>
        </row>
      </sheetData>
      <sheetData sheetId="2577">
        <row r="4">
          <cell r="I4">
            <v>0</v>
          </cell>
        </row>
      </sheetData>
      <sheetData sheetId="2578">
        <row r="4">
          <cell r="I4">
            <v>0</v>
          </cell>
        </row>
      </sheetData>
      <sheetData sheetId="2579">
        <row r="4">
          <cell r="I4">
            <v>0</v>
          </cell>
        </row>
      </sheetData>
      <sheetData sheetId="2580">
        <row r="4">
          <cell r="I4">
            <v>0</v>
          </cell>
        </row>
      </sheetData>
      <sheetData sheetId="2581">
        <row r="4">
          <cell r="I4">
            <v>0</v>
          </cell>
        </row>
      </sheetData>
      <sheetData sheetId="2582">
        <row r="4">
          <cell r="I4">
            <v>0</v>
          </cell>
        </row>
      </sheetData>
      <sheetData sheetId="2583">
        <row r="4">
          <cell r="I4">
            <v>0</v>
          </cell>
        </row>
      </sheetData>
      <sheetData sheetId="2584" refreshError="1"/>
      <sheetData sheetId="2585">
        <row r="4">
          <cell r="I4">
            <v>0</v>
          </cell>
        </row>
      </sheetData>
      <sheetData sheetId="2586">
        <row r="4">
          <cell r="I4">
            <v>0</v>
          </cell>
        </row>
      </sheetData>
      <sheetData sheetId="2587">
        <row r="4">
          <cell r="I4">
            <v>0</v>
          </cell>
        </row>
      </sheetData>
      <sheetData sheetId="2588">
        <row r="4">
          <cell r="I4">
            <v>0</v>
          </cell>
        </row>
      </sheetData>
      <sheetData sheetId="2589">
        <row r="4">
          <cell r="I4">
            <v>0</v>
          </cell>
        </row>
      </sheetData>
      <sheetData sheetId="2590">
        <row r="4">
          <cell r="I4">
            <v>0</v>
          </cell>
        </row>
      </sheetData>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ow r="4">
          <cell r="I4">
            <v>0</v>
          </cell>
        </row>
      </sheetData>
      <sheetData sheetId="2600" refreshError="1"/>
      <sheetData sheetId="2601" refreshError="1"/>
      <sheetData sheetId="2602" refreshError="1"/>
      <sheetData sheetId="2603">
        <row r="4">
          <cell r="I4">
            <v>0</v>
          </cell>
        </row>
      </sheetData>
      <sheetData sheetId="2604" refreshError="1"/>
      <sheetData sheetId="2605" refreshError="1"/>
      <sheetData sheetId="2606">
        <row r="4">
          <cell r="I4">
            <v>0</v>
          </cell>
        </row>
      </sheetData>
      <sheetData sheetId="2607"/>
      <sheetData sheetId="2608">
        <row r="4">
          <cell r="I4">
            <v>0</v>
          </cell>
        </row>
      </sheetData>
      <sheetData sheetId="2609">
        <row r="4">
          <cell r="I4">
            <v>0</v>
          </cell>
        </row>
      </sheetData>
      <sheetData sheetId="2610" refreshError="1"/>
      <sheetData sheetId="2611" refreshError="1"/>
      <sheetData sheetId="2612" refreshError="1"/>
      <sheetData sheetId="2613" refreshError="1"/>
      <sheetData sheetId="2614" refreshError="1"/>
      <sheetData sheetId="2615">
        <row r="4">
          <cell r="I4">
            <v>0</v>
          </cell>
        </row>
      </sheetData>
      <sheetData sheetId="2616">
        <row r="4">
          <cell r="I4">
            <v>0</v>
          </cell>
        </row>
      </sheetData>
      <sheetData sheetId="2617">
        <row r="4">
          <cell r="I4">
            <v>0</v>
          </cell>
        </row>
      </sheetData>
      <sheetData sheetId="2618">
        <row r="4">
          <cell r="I4">
            <v>0</v>
          </cell>
        </row>
      </sheetData>
      <sheetData sheetId="2619">
        <row r="4">
          <cell r="I4">
            <v>0</v>
          </cell>
        </row>
      </sheetData>
      <sheetData sheetId="2620">
        <row r="4">
          <cell r="I4">
            <v>0</v>
          </cell>
        </row>
      </sheetData>
      <sheetData sheetId="2621">
        <row r="4">
          <cell r="I4">
            <v>0</v>
          </cell>
        </row>
      </sheetData>
      <sheetData sheetId="2622">
        <row r="4">
          <cell r="I4">
            <v>0</v>
          </cell>
        </row>
      </sheetData>
      <sheetData sheetId="2623">
        <row r="4">
          <cell r="I4">
            <v>0</v>
          </cell>
        </row>
      </sheetData>
      <sheetData sheetId="2624">
        <row r="4">
          <cell r="I4">
            <v>0</v>
          </cell>
        </row>
      </sheetData>
      <sheetData sheetId="2625">
        <row r="4">
          <cell r="I4">
            <v>0</v>
          </cell>
        </row>
      </sheetData>
      <sheetData sheetId="2626">
        <row r="4">
          <cell r="I4">
            <v>0</v>
          </cell>
        </row>
      </sheetData>
      <sheetData sheetId="2627">
        <row r="4">
          <cell r="I4">
            <v>0</v>
          </cell>
        </row>
      </sheetData>
      <sheetData sheetId="2628">
        <row r="4">
          <cell r="I4">
            <v>0</v>
          </cell>
        </row>
      </sheetData>
      <sheetData sheetId="2629">
        <row r="4">
          <cell r="I4">
            <v>0</v>
          </cell>
        </row>
      </sheetData>
      <sheetData sheetId="2630">
        <row r="4">
          <cell r="I4">
            <v>0</v>
          </cell>
        </row>
      </sheetData>
      <sheetData sheetId="2631">
        <row r="4">
          <cell r="I4">
            <v>0</v>
          </cell>
        </row>
      </sheetData>
      <sheetData sheetId="2632">
        <row r="4">
          <cell r="I4">
            <v>0</v>
          </cell>
        </row>
      </sheetData>
      <sheetData sheetId="2633">
        <row r="4">
          <cell r="I4">
            <v>0</v>
          </cell>
        </row>
      </sheetData>
      <sheetData sheetId="2634">
        <row r="4">
          <cell r="I4">
            <v>0</v>
          </cell>
        </row>
      </sheetData>
      <sheetData sheetId="2635">
        <row r="4">
          <cell r="I4">
            <v>0</v>
          </cell>
        </row>
      </sheetData>
      <sheetData sheetId="2636">
        <row r="4">
          <cell r="I4">
            <v>0</v>
          </cell>
        </row>
      </sheetData>
      <sheetData sheetId="2637" refreshError="1"/>
      <sheetData sheetId="2638" refreshError="1"/>
      <sheetData sheetId="2639"/>
      <sheetData sheetId="2640" refreshError="1"/>
      <sheetData sheetId="2641" refreshError="1"/>
      <sheetData sheetId="2642" refreshError="1"/>
      <sheetData sheetId="2643">
        <row r="4">
          <cell r="I4">
            <v>0</v>
          </cell>
        </row>
      </sheetData>
      <sheetData sheetId="2644">
        <row r="4">
          <cell r="I4">
            <v>0</v>
          </cell>
        </row>
      </sheetData>
      <sheetData sheetId="2645">
        <row r="4">
          <cell r="I4">
            <v>0</v>
          </cell>
        </row>
      </sheetData>
      <sheetData sheetId="2646">
        <row r="4">
          <cell r="I4">
            <v>0</v>
          </cell>
        </row>
      </sheetData>
      <sheetData sheetId="2647">
        <row r="4">
          <cell r="I4">
            <v>0</v>
          </cell>
        </row>
      </sheetData>
      <sheetData sheetId="2648">
        <row r="4">
          <cell r="I4">
            <v>0</v>
          </cell>
        </row>
      </sheetData>
      <sheetData sheetId="2649" refreshError="1"/>
      <sheetData sheetId="2650"/>
      <sheetData sheetId="2651" refreshError="1"/>
      <sheetData sheetId="2652" refreshError="1"/>
      <sheetData sheetId="2653" refreshError="1"/>
      <sheetData sheetId="2654" refreshError="1"/>
      <sheetData sheetId="2655" refreshError="1"/>
      <sheetData sheetId="2656" refreshError="1"/>
      <sheetData sheetId="2657"/>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ow r="4">
          <cell r="I4">
            <v>0</v>
          </cell>
        </row>
      </sheetData>
      <sheetData sheetId="2676">
        <row r="4">
          <cell r="I4">
            <v>0</v>
          </cell>
        </row>
      </sheetData>
      <sheetData sheetId="2677">
        <row r="4">
          <cell r="I4">
            <v>0</v>
          </cell>
        </row>
      </sheetData>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ow r="4">
          <cell r="I4">
            <v>0</v>
          </cell>
        </row>
      </sheetData>
      <sheetData sheetId="2706" refreshError="1"/>
      <sheetData sheetId="2707">
        <row r="4">
          <cell r="I4">
            <v>0</v>
          </cell>
        </row>
      </sheetData>
      <sheetData sheetId="2708">
        <row r="4">
          <cell r="I4">
            <v>0</v>
          </cell>
        </row>
      </sheetData>
      <sheetData sheetId="2709">
        <row r="4">
          <cell r="I4">
            <v>0</v>
          </cell>
        </row>
      </sheetData>
      <sheetData sheetId="2710">
        <row r="4">
          <cell r="I4">
            <v>0</v>
          </cell>
        </row>
      </sheetData>
      <sheetData sheetId="2711" refreshError="1"/>
      <sheetData sheetId="2712" refreshError="1"/>
      <sheetData sheetId="2713">
        <row r="4">
          <cell r="I4">
            <v>0</v>
          </cell>
        </row>
      </sheetData>
      <sheetData sheetId="2714" refreshError="1"/>
      <sheetData sheetId="2715" refreshError="1"/>
      <sheetData sheetId="2716" refreshError="1"/>
      <sheetData sheetId="2717">
        <row r="4">
          <cell r="I4">
            <v>0</v>
          </cell>
        </row>
      </sheetData>
      <sheetData sheetId="2718">
        <row r="4">
          <cell r="I4">
            <v>0</v>
          </cell>
        </row>
      </sheetData>
      <sheetData sheetId="2719">
        <row r="4">
          <cell r="I4">
            <v>0</v>
          </cell>
        </row>
      </sheetData>
      <sheetData sheetId="2720">
        <row r="4">
          <cell r="I4">
            <v>0</v>
          </cell>
        </row>
      </sheetData>
      <sheetData sheetId="2721">
        <row r="4">
          <cell r="I4">
            <v>0</v>
          </cell>
        </row>
      </sheetData>
      <sheetData sheetId="2722">
        <row r="4">
          <cell r="I4">
            <v>0</v>
          </cell>
        </row>
      </sheetData>
      <sheetData sheetId="2723">
        <row r="4">
          <cell r="I4">
            <v>0</v>
          </cell>
        </row>
      </sheetData>
      <sheetData sheetId="2724">
        <row r="4">
          <cell r="I4">
            <v>0</v>
          </cell>
        </row>
      </sheetData>
      <sheetData sheetId="2725">
        <row r="4">
          <cell r="I4">
            <v>0</v>
          </cell>
        </row>
      </sheetData>
      <sheetData sheetId="2726">
        <row r="4">
          <cell r="I4">
            <v>0</v>
          </cell>
        </row>
      </sheetData>
      <sheetData sheetId="2727">
        <row r="4">
          <cell r="I4">
            <v>0</v>
          </cell>
        </row>
      </sheetData>
      <sheetData sheetId="2728">
        <row r="4">
          <cell r="I4">
            <v>0</v>
          </cell>
        </row>
      </sheetData>
      <sheetData sheetId="2729">
        <row r="4">
          <cell r="I4">
            <v>0</v>
          </cell>
        </row>
      </sheetData>
      <sheetData sheetId="2730">
        <row r="4">
          <cell r="I4">
            <v>0</v>
          </cell>
        </row>
      </sheetData>
      <sheetData sheetId="2731">
        <row r="4">
          <cell r="I4">
            <v>0</v>
          </cell>
        </row>
      </sheetData>
      <sheetData sheetId="2732">
        <row r="4">
          <cell r="I4">
            <v>0</v>
          </cell>
        </row>
      </sheetData>
      <sheetData sheetId="2733">
        <row r="4">
          <cell r="I4">
            <v>0</v>
          </cell>
        </row>
      </sheetData>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ow r="4">
          <cell r="I4">
            <v>0</v>
          </cell>
        </row>
      </sheetData>
      <sheetData sheetId="2762">
        <row r="4">
          <cell r="I4">
            <v>0</v>
          </cell>
        </row>
      </sheetData>
      <sheetData sheetId="2763">
        <row r="4">
          <cell r="I4">
            <v>0</v>
          </cell>
        </row>
      </sheetData>
      <sheetData sheetId="2764">
        <row r="4">
          <cell r="I4">
            <v>0</v>
          </cell>
        </row>
      </sheetData>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ow r="4">
          <cell r="I4">
            <v>0</v>
          </cell>
        </row>
      </sheetData>
      <sheetData sheetId="2788">
        <row r="4">
          <cell r="I4">
            <v>0</v>
          </cell>
        </row>
      </sheetData>
      <sheetData sheetId="2789">
        <row r="4">
          <cell r="I4">
            <v>0</v>
          </cell>
        </row>
      </sheetData>
      <sheetData sheetId="2790">
        <row r="4">
          <cell r="I4">
            <v>0</v>
          </cell>
        </row>
      </sheetData>
      <sheetData sheetId="2791">
        <row r="4">
          <cell r="I4">
            <v>0</v>
          </cell>
        </row>
      </sheetData>
      <sheetData sheetId="2792">
        <row r="4">
          <cell r="I4">
            <v>0</v>
          </cell>
        </row>
      </sheetData>
      <sheetData sheetId="2793">
        <row r="4">
          <cell r="I4">
            <v>0</v>
          </cell>
        </row>
      </sheetData>
      <sheetData sheetId="2794">
        <row r="4">
          <cell r="I4">
            <v>0</v>
          </cell>
        </row>
      </sheetData>
      <sheetData sheetId="2795">
        <row r="4">
          <cell r="I4">
            <v>0</v>
          </cell>
        </row>
      </sheetData>
      <sheetData sheetId="2796">
        <row r="4">
          <cell r="I4">
            <v>0</v>
          </cell>
        </row>
      </sheetData>
      <sheetData sheetId="2797">
        <row r="4">
          <cell r="I4">
            <v>0</v>
          </cell>
        </row>
      </sheetData>
      <sheetData sheetId="2798">
        <row r="4">
          <cell r="I4">
            <v>0</v>
          </cell>
        </row>
      </sheetData>
      <sheetData sheetId="2799">
        <row r="4">
          <cell r="I4">
            <v>0</v>
          </cell>
        </row>
      </sheetData>
      <sheetData sheetId="2800">
        <row r="4">
          <cell r="I4">
            <v>0</v>
          </cell>
        </row>
      </sheetData>
      <sheetData sheetId="2801">
        <row r="4">
          <cell r="I4">
            <v>0</v>
          </cell>
        </row>
      </sheetData>
      <sheetData sheetId="2802">
        <row r="4">
          <cell r="I4">
            <v>0</v>
          </cell>
        </row>
      </sheetData>
      <sheetData sheetId="2803">
        <row r="4">
          <cell r="I4">
            <v>0</v>
          </cell>
        </row>
      </sheetData>
      <sheetData sheetId="2804">
        <row r="4">
          <cell r="I4">
            <v>0</v>
          </cell>
        </row>
      </sheetData>
      <sheetData sheetId="2805">
        <row r="4">
          <cell r="I4">
            <v>0</v>
          </cell>
        </row>
      </sheetData>
      <sheetData sheetId="2806">
        <row r="4">
          <cell r="I4">
            <v>0</v>
          </cell>
        </row>
      </sheetData>
      <sheetData sheetId="2807">
        <row r="4">
          <cell r="I4">
            <v>0</v>
          </cell>
        </row>
      </sheetData>
      <sheetData sheetId="2808">
        <row r="4">
          <cell r="I4">
            <v>0</v>
          </cell>
        </row>
      </sheetData>
      <sheetData sheetId="2809">
        <row r="4">
          <cell r="I4">
            <v>0</v>
          </cell>
        </row>
      </sheetData>
      <sheetData sheetId="2810">
        <row r="4">
          <cell r="I4">
            <v>0</v>
          </cell>
        </row>
      </sheetData>
      <sheetData sheetId="2811">
        <row r="4">
          <cell r="I4">
            <v>0</v>
          </cell>
        </row>
      </sheetData>
      <sheetData sheetId="2812">
        <row r="4">
          <cell r="I4">
            <v>0</v>
          </cell>
        </row>
      </sheetData>
      <sheetData sheetId="2813">
        <row r="4">
          <cell r="I4">
            <v>0</v>
          </cell>
        </row>
      </sheetData>
      <sheetData sheetId="2814">
        <row r="4">
          <cell r="I4">
            <v>0</v>
          </cell>
        </row>
      </sheetData>
      <sheetData sheetId="2815">
        <row r="4">
          <cell r="I4">
            <v>0</v>
          </cell>
        </row>
      </sheetData>
      <sheetData sheetId="2816">
        <row r="4">
          <cell r="I4">
            <v>0</v>
          </cell>
        </row>
      </sheetData>
      <sheetData sheetId="2817">
        <row r="4">
          <cell r="I4">
            <v>0</v>
          </cell>
        </row>
      </sheetData>
      <sheetData sheetId="2818">
        <row r="4">
          <cell r="I4">
            <v>0</v>
          </cell>
        </row>
      </sheetData>
      <sheetData sheetId="2819">
        <row r="4">
          <cell r="I4">
            <v>0</v>
          </cell>
        </row>
      </sheetData>
      <sheetData sheetId="2820">
        <row r="4">
          <cell r="I4">
            <v>0</v>
          </cell>
        </row>
      </sheetData>
      <sheetData sheetId="2821">
        <row r="4">
          <cell r="I4">
            <v>0</v>
          </cell>
        </row>
      </sheetData>
      <sheetData sheetId="2822">
        <row r="4">
          <cell r="I4">
            <v>0</v>
          </cell>
        </row>
      </sheetData>
      <sheetData sheetId="2823">
        <row r="4">
          <cell r="I4">
            <v>0</v>
          </cell>
        </row>
      </sheetData>
      <sheetData sheetId="2824">
        <row r="4">
          <cell r="I4">
            <v>0</v>
          </cell>
        </row>
      </sheetData>
      <sheetData sheetId="2825">
        <row r="4">
          <cell r="I4">
            <v>0</v>
          </cell>
        </row>
      </sheetData>
      <sheetData sheetId="2826">
        <row r="4">
          <cell r="I4">
            <v>0</v>
          </cell>
        </row>
      </sheetData>
      <sheetData sheetId="2827">
        <row r="4">
          <cell r="I4">
            <v>0</v>
          </cell>
        </row>
      </sheetData>
      <sheetData sheetId="2828">
        <row r="4">
          <cell r="I4">
            <v>0</v>
          </cell>
        </row>
      </sheetData>
      <sheetData sheetId="2829">
        <row r="4">
          <cell r="I4">
            <v>0</v>
          </cell>
        </row>
      </sheetData>
      <sheetData sheetId="2830">
        <row r="4">
          <cell r="I4">
            <v>0</v>
          </cell>
        </row>
      </sheetData>
      <sheetData sheetId="2831">
        <row r="4">
          <cell r="I4">
            <v>0</v>
          </cell>
        </row>
      </sheetData>
      <sheetData sheetId="2832">
        <row r="4">
          <cell r="I4">
            <v>0</v>
          </cell>
        </row>
      </sheetData>
      <sheetData sheetId="2833">
        <row r="4">
          <cell r="I4">
            <v>0</v>
          </cell>
        </row>
      </sheetData>
      <sheetData sheetId="2834">
        <row r="4">
          <cell r="I4">
            <v>0</v>
          </cell>
        </row>
      </sheetData>
      <sheetData sheetId="2835">
        <row r="4">
          <cell r="I4">
            <v>0</v>
          </cell>
        </row>
      </sheetData>
      <sheetData sheetId="2836">
        <row r="4">
          <cell r="I4">
            <v>0</v>
          </cell>
        </row>
      </sheetData>
      <sheetData sheetId="2837">
        <row r="4">
          <cell r="I4">
            <v>0</v>
          </cell>
        </row>
      </sheetData>
      <sheetData sheetId="2838">
        <row r="4">
          <cell r="I4">
            <v>0</v>
          </cell>
        </row>
      </sheetData>
      <sheetData sheetId="2839">
        <row r="4">
          <cell r="I4">
            <v>0</v>
          </cell>
        </row>
      </sheetData>
      <sheetData sheetId="2840">
        <row r="4">
          <cell r="I4">
            <v>0</v>
          </cell>
        </row>
      </sheetData>
      <sheetData sheetId="2841">
        <row r="4">
          <cell r="I4">
            <v>0</v>
          </cell>
        </row>
      </sheetData>
      <sheetData sheetId="2842">
        <row r="4">
          <cell r="I4">
            <v>0</v>
          </cell>
        </row>
      </sheetData>
      <sheetData sheetId="2843">
        <row r="4">
          <cell r="I4">
            <v>0</v>
          </cell>
        </row>
      </sheetData>
      <sheetData sheetId="2844">
        <row r="4">
          <cell r="I4">
            <v>0</v>
          </cell>
        </row>
      </sheetData>
      <sheetData sheetId="2845">
        <row r="4">
          <cell r="I4">
            <v>0</v>
          </cell>
        </row>
      </sheetData>
      <sheetData sheetId="2846">
        <row r="4">
          <cell r="I4">
            <v>0</v>
          </cell>
        </row>
      </sheetData>
      <sheetData sheetId="2847">
        <row r="4">
          <cell r="I4">
            <v>0</v>
          </cell>
        </row>
      </sheetData>
      <sheetData sheetId="2848">
        <row r="4">
          <cell r="I4">
            <v>0</v>
          </cell>
        </row>
      </sheetData>
      <sheetData sheetId="2849">
        <row r="4">
          <cell r="I4">
            <v>0</v>
          </cell>
        </row>
      </sheetData>
      <sheetData sheetId="2850">
        <row r="4">
          <cell r="I4">
            <v>0</v>
          </cell>
        </row>
      </sheetData>
      <sheetData sheetId="2851">
        <row r="4">
          <cell r="I4">
            <v>0</v>
          </cell>
        </row>
      </sheetData>
      <sheetData sheetId="2852">
        <row r="4">
          <cell r="I4">
            <v>0</v>
          </cell>
        </row>
      </sheetData>
      <sheetData sheetId="2853">
        <row r="4">
          <cell r="I4">
            <v>0</v>
          </cell>
        </row>
      </sheetData>
      <sheetData sheetId="2854">
        <row r="4">
          <cell r="I4">
            <v>0</v>
          </cell>
        </row>
      </sheetData>
      <sheetData sheetId="2855">
        <row r="4">
          <cell r="I4">
            <v>0</v>
          </cell>
        </row>
      </sheetData>
      <sheetData sheetId="2856">
        <row r="4">
          <cell r="I4">
            <v>0</v>
          </cell>
        </row>
      </sheetData>
      <sheetData sheetId="2857">
        <row r="4">
          <cell r="I4">
            <v>0</v>
          </cell>
        </row>
      </sheetData>
      <sheetData sheetId="2858">
        <row r="4">
          <cell r="I4">
            <v>0</v>
          </cell>
        </row>
      </sheetData>
      <sheetData sheetId="2859">
        <row r="4">
          <cell r="I4">
            <v>0</v>
          </cell>
        </row>
      </sheetData>
      <sheetData sheetId="2860">
        <row r="4">
          <cell r="I4">
            <v>0</v>
          </cell>
        </row>
      </sheetData>
      <sheetData sheetId="2861">
        <row r="4">
          <cell r="I4">
            <v>0</v>
          </cell>
        </row>
      </sheetData>
      <sheetData sheetId="2862">
        <row r="4">
          <cell r="I4">
            <v>0</v>
          </cell>
        </row>
      </sheetData>
      <sheetData sheetId="2863">
        <row r="4">
          <cell r="I4">
            <v>0</v>
          </cell>
        </row>
      </sheetData>
      <sheetData sheetId="2864">
        <row r="4">
          <cell r="I4">
            <v>0</v>
          </cell>
        </row>
      </sheetData>
      <sheetData sheetId="2865">
        <row r="4">
          <cell r="I4">
            <v>0</v>
          </cell>
        </row>
      </sheetData>
      <sheetData sheetId="2866">
        <row r="4">
          <cell r="I4">
            <v>0</v>
          </cell>
        </row>
      </sheetData>
      <sheetData sheetId="2867">
        <row r="4">
          <cell r="I4">
            <v>0</v>
          </cell>
        </row>
      </sheetData>
      <sheetData sheetId="2868">
        <row r="4">
          <cell r="I4">
            <v>0</v>
          </cell>
        </row>
      </sheetData>
      <sheetData sheetId="2869">
        <row r="4">
          <cell r="I4">
            <v>0</v>
          </cell>
        </row>
      </sheetData>
      <sheetData sheetId="2870">
        <row r="4">
          <cell r="I4">
            <v>0</v>
          </cell>
        </row>
      </sheetData>
      <sheetData sheetId="2871">
        <row r="4">
          <cell r="I4">
            <v>0</v>
          </cell>
        </row>
      </sheetData>
      <sheetData sheetId="2872">
        <row r="4">
          <cell r="I4">
            <v>0</v>
          </cell>
        </row>
      </sheetData>
      <sheetData sheetId="2873">
        <row r="4">
          <cell r="I4">
            <v>0</v>
          </cell>
        </row>
      </sheetData>
      <sheetData sheetId="2874">
        <row r="4">
          <cell r="I4">
            <v>0</v>
          </cell>
        </row>
      </sheetData>
      <sheetData sheetId="2875">
        <row r="4">
          <cell r="I4">
            <v>0</v>
          </cell>
        </row>
      </sheetData>
      <sheetData sheetId="2876">
        <row r="4">
          <cell r="I4">
            <v>0</v>
          </cell>
        </row>
      </sheetData>
      <sheetData sheetId="2877">
        <row r="4">
          <cell r="I4">
            <v>0</v>
          </cell>
        </row>
      </sheetData>
      <sheetData sheetId="2878">
        <row r="4">
          <cell r="I4">
            <v>0</v>
          </cell>
        </row>
      </sheetData>
      <sheetData sheetId="2879">
        <row r="4">
          <cell r="I4">
            <v>0</v>
          </cell>
        </row>
      </sheetData>
      <sheetData sheetId="2880">
        <row r="4">
          <cell r="I4">
            <v>0</v>
          </cell>
        </row>
      </sheetData>
      <sheetData sheetId="2881">
        <row r="4">
          <cell r="I4">
            <v>0</v>
          </cell>
        </row>
      </sheetData>
      <sheetData sheetId="2882">
        <row r="4">
          <cell r="I4">
            <v>0</v>
          </cell>
        </row>
      </sheetData>
      <sheetData sheetId="2883">
        <row r="4">
          <cell r="I4">
            <v>0</v>
          </cell>
        </row>
      </sheetData>
      <sheetData sheetId="2884">
        <row r="4">
          <cell r="I4">
            <v>0</v>
          </cell>
        </row>
      </sheetData>
      <sheetData sheetId="2885">
        <row r="4">
          <cell r="I4">
            <v>0</v>
          </cell>
        </row>
      </sheetData>
      <sheetData sheetId="2886">
        <row r="4">
          <cell r="I4">
            <v>0</v>
          </cell>
        </row>
      </sheetData>
      <sheetData sheetId="2887">
        <row r="4">
          <cell r="I4">
            <v>0</v>
          </cell>
        </row>
      </sheetData>
      <sheetData sheetId="2888">
        <row r="4">
          <cell r="I4">
            <v>0</v>
          </cell>
        </row>
      </sheetData>
      <sheetData sheetId="2889">
        <row r="4">
          <cell r="I4">
            <v>0</v>
          </cell>
        </row>
      </sheetData>
      <sheetData sheetId="2890">
        <row r="4">
          <cell r="I4">
            <v>0</v>
          </cell>
        </row>
      </sheetData>
      <sheetData sheetId="2891">
        <row r="4">
          <cell r="I4">
            <v>0</v>
          </cell>
        </row>
      </sheetData>
      <sheetData sheetId="2892">
        <row r="4">
          <cell r="I4">
            <v>0</v>
          </cell>
        </row>
      </sheetData>
      <sheetData sheetId="2893">
        <row r="4">
          <cell r="I4">
            <v>0</v>
          </cell>
        </row>
      </sheetData>
      <sheetData sheetId="2894">
        <row r="4">
          <cell r="I4">
            <v>0</v>
          </cell>
        </row>
      </sheetData>
      <sheetData sheetId="2895">
        <row r="4">
          <cell r="I4">
            <v>0</v>
          </cell>
        </row>
      </sheetData>
      <sheetData sheetId="2896">
        <row r="4">
          <cell r="I4">
            <v>0</v>
          </cell>
        </row>
      </sheetData>
      <sheetData sheetId="2897">
        <row r="4">
          <cell r="I4">
            <v>0</v>
          </cell>
        </row>
      </sheetData>
      <sheetData sheetId="2898">
        <row r="4">
          <cell r="I4">
            <v>0</v>
          </cell>
        </row>
      </sheetData>
      <sheetData sheetId="2899">
        <row r="4">
          <cell r="I4">
            <v>0</v>
          </cell>
        </row>
      </sheetData>
      <sheetData sheetId="2900">
        <row r="4">
          <cell r="I4">
            <v>0</v>
          </cell>
        </row>
      </sheetData>
      <sheetData sheetId="2901">
        <row r="4">
          <cell r="I4">
            <v>0</v>
          </cell>
        </row>
      </sheetData>
      <sheetData sheetId="2902">
        <row r="4">
          <cell r="I4">
            <v>0</v>
          </cell>
        </row>
      </sheetData>
      <sheetData sheetId="2903">
        <row r="4">
          <cell r="I4">
            <v>0</v>
          </cell>
        </row>
      </sheetData>
      <sheetData sheetId="2904">
        <row r="4">
          <cell r="I4">
            <v>0</v>
          </cell>
        </row>
      </sheetData>
      <sheetData sheetId="2905">
        <row r="4">
          <cell r="I4">
            <v>0</v>
          </cell>
        </row>
      </sheetData>
      <sheetData sheetId="2906">
        <row r="4">
          <cell r="I4">
            <v>0</v>
          </cell>
        </row>
      </sheetData>
      <sheetData sheetId="2907">
        <row r="4">
          <cell r="I4">
            <v>0</v>
          </cell>
        </row>
      </sheetData>
      <sheetData sheetId="2908">
        <row r="4">
          <cell r="I4">
            <v>0</v>
          </cell>
        </row>
      </sheetData>
      <sheetData sheetId="2909">
        <row r="4">
          <cell r="I4">
            <v>0</v>
          </cell>
        </row>
      </sheetData>
      <sheetData sheetId="2910">
        <row r="4">
          <cell r="I4">
            <v>0</v>
          </cell>
        </row>
      </sheetData>
      <sheetData sheetId="2911">
        <row r="4">
          <cell r="I4">
            <v>0</v>
          </cell>
        </row>
      </sheetData>
      <sheetData sheetId="2912">
        <row r="4">
          <cell r="I4">
            <v>0</v>
          </cell>
        </row>
      </sheetData>
      <sheetData sheetId="2913">
        <row r="4">
          <cell r="I4">
            <v>0</v>
          </cell>
        </row>
      </sheetData>
      <sheetData sheetId="2914">
        <row r="4">
          <cell r="I4">
            <v>0</v>
          </cell>
        </row>
      </sheetData>
      <sheetData sheetId="2915">
        <row r="4">
          <cell r="I4">
            <v>0</v>
          </cell>
        </row>
      </sheetData>
      <sheetData sheetId="2916">
        <row r="4">
          <cell r="I4">
            <v>0</v>
          </cell>
        </row>
      </sheetData>
      <sheetData sheetId="2917">
        <row r="4">
          <cell r="I4">
            <v>0</v>
          </cell>
        </row>
      </sheetData>
      <sheetData sheetId="2918">
        <row r="4">
          <cell r="I4">
            <v>0</v>
          </cell>
        </row>
      </sheetData>
      <sheetData sheetId="2919">
        <row r="4">
          <cell r="I4">
            <v>0</v>
          </cell>
        </row>
      </sheetData>
      <sheetData sheetId="2920">
        <row r="4">
          <cell r="I4">
            <v>0</v>
          </cell>
        </row>
      </sheetData>
      <sheetData sheetId="2921">
        <row r="4">
          <cell r="I4">
            <v>0</v>
          </cell>
        </row>
      </sheetData>
      <sheetData sheetId="2922">
        <row r="4">
          <cell r="I4">
            <v>0</v>
          </cell>
        </row>
      </sheetData>
      <sheetData sheetId="2923">
        <row r="4">
          <cell r="I4">
            <v>0</v>
          </cell>
        </row>
      </sheetData>
      <sheetData sheetId="2924">
        <row r="4">
          <cell r="I4">
            <v>0</v>
          </cell>
        </row>
      </sheetData>
      <sheetData sheetId="2925">
        <row r="4">
          <cell r="I4">
            <v>0</v>
          </cell>
        </row>
      </sheetData>
      <sheetData sheetId="2926">
        <row r="4">
          <cell r="I4">
            <v>0</v>
          </cell>
        </row>
      </sheetData>
      <sheetData sheetId="2927">
        <row r="4">
          <cell r="I4">
            <v>0</v>
          </cell>
        </row>
      </sheetData>
      <sheetData sheetId="2928">
        <row r="4">
          <cell r="I4">
            <v>0</v>
          </cell>
        </row>
      </sheetData>
      <sheetData sheetId="2929">
        <row r="4">
          <cell r="I4">
            <v>0</v>
          </cell>
        </row>
      </sheetData>
      <sheetData sheetId="2930">
        <row r="4">
          <cell r="I4">
            <v>0</v>
          </cell>
        </row>
      </sheetData>
      <sheetData sheetId="2931">
        <row r="4">
          <cell r="I4">
            <v>0</v>
          </cell>
        </row>
      </sheetData>
      <sheetData sheetId="2932">
        <row r="4">
          <cell r="I4">
            <v>0</v>
          </cell>
        </row>
      </sheetData>
      <sheetData sheetId="2933">
        <row r="4">
          <cell r="I4">
            <v>0</v>
          </cell>
        </row>
      </sheetData>
      <sheetData sheetId="2934">
        <row r="4">
          <cell r="I4">
            <v>0</v>
          </cell>
        </row>
      </sheetData>
      <sheetData sheetId="2935">
        <row r="4">
          <cell r="I4">
            <v>0</v>
          </cell>
        </row>
      </sheetData>
      <sheetData sheetId="2936">
        <row r="4">
          <cell r="I4">
            <v>0</v>
          </cell>
        </row>
      </sheetData>
      <sheetData sheetId="2937">
        <row r="4">
          <cell r="I4">
            <v>0</v>
          </cell>
        </row>
      </sheetData>
      <sheetData sheetId="2938">
        <row r="4">
          <cell r="I4">
            <v>0</v>
          </cell>
        </row>
      </sheetData>
      <sheetData sheetId="2939">
        <row r="4">
          <cell r="I4">
            <v>0</v>
          </cell>
        </row>
      </sheetData>
      <sheetData sheetId="2940">
        <row r="4">
          <cell r="I4">
            <v>0</v>
          </cell>
        </row>
      </sheetData>
      <sheetData sheetId="2941">
        <row r="4">
          <cell r="I4">
            <v>0</v>
          </cell>
        </row>
      </sheetData>
      <sheetData sheetId="2942">
        <row r="4">
          <cell r="I4">
            <v>0</v>
          </cell>
        </row>
      </sheetData>
      <sheetData sheetId="2943">
        <row r="4">
          <cell r="I4">
            <v>0</v>
          </cell>
        </row>
      </sheetData>
      <sheetData sheetId="2944">
        <row r="4">
          <cell r="I4">
            <v>0</v>
          </cell>
        </row>
      </sheetData>
      <sheetData sheetId="2945">
        <row r="4">
          <cell r="I4">
            <v>0</v>
          </cell>
        </row>
      </sheetData>
      <sheetData sheetId="2946">
        <row r="4">
          <cell r="I4">
            <v>0</v>
          </cell>
        </row>
      </sheetData>
      <sheetData sheetId="2947">
        <row r="4">
          <cell r="I4">
            <v>0</v>
          </cell>
        </row>
      </sheetData>
      <sheetData sheetId="2948">
        <row r="4">
          <cell r="I4">
            <v>0</v>
          </cell>
        </row>
      </sheetData>
      <sheetData sheetId="2949">
        <row r="4">
          <cell r="I4">
            <v>0</v>
          </cell>
        </row>
      </sheetData>
      <sheetData sheetId="2950">
        <row r="4">
          <cell r="I4">
            <v>0</v>
          </cell>
        </row>
      </sheetData>
      <sheetData sheetId="2951">
        <row r="4">
          <cell r="I4">
            <v>0</v>
          </cell>
        </row>
      </sheetData>
      <sheetData sheetId="2952">
        <row r="4">
          <cell r="I4">
            <v>0</v>
          </cell>
        </row>
      </sheetData>
      <sheetData sheetId="2953">
        <row r="4">
          <cell r="I4">
            <v>0</v>
          </cell>
        </row>
      </sheetData>
      <sheetData sheetId="2954">
        <row r="4">
          <cell r="I4">
            <v>0</v>
          </cell>
        </row>
      </sheetData>
      <sheetData sheetId="2955">
        <row r="4">
          <cell r="I4">
            <v>0</v>
          </cell>
        </row>
      </sheetData>
      <sheetData sheetId="2956">
        <row r="4">
          <cell r="I4">
            <v>0</v>
          </cell>
        </row>
      </sheetData>
      <sheetData sheetId="2957">
        <row r="4">
          <cell r="I4">
            <v>0</v>
          </cell>
        </row>
      </sheetData>
      <sheetData sheetId="2958">
        <row r="4">
          <cell r="I4">
            <v>0</v>
          </cell>
        </row>
      </sheetData>
      <sheetData sheetId="2959">
        <row r="4">
          <cell r="I4">
            <v>0</v>
          </cell>
        </row>
      </sheetData>
      <sheetData sheetId="2960">
        <row r="4">
          <cell r="I4">
            <v>0</v>
          </cell>
        </row>
      </sheetData>
      <sheetData sheetId="2961">
        <row r="4">
          <cell r="I4">
            <v>0</v>
          </cell>
        </row>
      </sheetData>
      <sheetData sheetId="2962">
        <row r="4">
          <cell r="I4">
            <v>0</v>
          </cell>
        </row>
      </sheetData>
      <sheetData sheetId="2963">
        <row r="4">
          <cell r="I4">
            <v>0</v>
          </cell>
        </row>
      </sheetData>
      <sheetData sheetId="2964">
        <row r="4">
          <cell r="I4">
            <v>0</v>
          </cell>
        </row>
      </sheetData>
      <sheetData sheetId="2965">
        <row r="4">
          <cell r="I4">
            <v>0</v>
          </cell>
        </row>
      </sheetData>
      <sheetData sheetId="2966">
        <row r="4">
          <cell r="I4">
            <v>0</v>
          </cell>
        </row>
      </sheetData>
      <sheetData sheetId="2967">
        <row r="4">
          <cell r="I4">
            <v>0</v>
          </cell>
        </row>
      </sheetData>
      <sheetData sheetId="2968">
        <row r="4">
          <cell r="I4">
            <v>0</v>
          </cell>
        </row>
      </sheetData>
      <sheetData sheetId="2969">
        <row r="4">
          <cell r="I4">
            <v>0</v>
          </cell>
        </row>
      </sheetData>
      <sheetData sheetId="2970">
        <row r="4">
          <cell r="I4">
            <v>0</v>
          </cell>
        </row>
      </sheetData>
      <sheetData sheetId="2971">
        <row r="4">
          <cell r="I4">
            <v>0</v>
          </cell>
        </row>
      </sheetData>
      <sheetData sheetId="2972">
        <row r="4">
          <cell r="I4">
            <v>0</v>
          </cell>
        </row>
      </sheetData>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ow r="4">
          <cell r="I4">
            <v>0</v>
          </cell>
        </row>
      </sheetData>
      <sheetData sheetId="3002">
        <row r="4">
          <cell r="I4">
            <v>0</v>
          </cell>
        </row>
      </sheetData>
      <sheetData sheetId="3003" refreshError="1"/>
      <sheetData sheetId="3004" refreshError="1"/>
      <sheetData sheetId="3005">
        <row r="4">
          <cell r="I4">
            <v>0</v>
          </cell>
        </row>
      </sheetData>
      <sheetData sheetId="3006" refreshError="1"/>
      <sheetData sheetId="3007" refreshError="1"/>
      <sheetData sheetId="3008">
        <row r="4">
          <cell r="I4">
            <v>0</v>
          </cell>
        </row>
      </sheetData>
      <sheetData sheetId="3009">
        <row r="4">
          <cell r="I4">
            <v>0</v>
          </cell>
        </row>
      </sheetData>
      <sheetData sheetId="3010">
        <row r="4">
          <cell r="I4">
            <v>0</v>
          </cell>
        </row>
      </sheetData>
      <sheetData sheetId="3011">
        <row r="4">
          <cell r="I4">
            <v>0</v>
          </cell>
        </row>
      </sheetData>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ow r="4">
          <cell r="I4">
            <v>0</v>
          </cell>
        </row>
      </sheetData>
      <sheetData sheetId="3085">
        <row r="4">
          <cell r="I4">
            <v>0</v>
          </cell>
        </row>
      </sheetData>
      <sheetData sheetId="3086">
        <row r="4">
          <cell r="I4">
            <v>0</v>
          </cell>
        </row>
      </sheetData>
      <sheetData sheetId="3087">
        <row r="4">
          <cell r="I4">
            <v>0</v>
          </cell>
        </row>
      </sheetData>
      <sheetData sheetId="3088">
        <row r="4">
          <cell r="I4">
            <v>0</v>
          </cell>
        </row>
      </sheetData>
      <sheetData sheetId="3089" refreshError="1"/>
      <sheetData sheetId="3090" refreshError="1"/>
      <sheetData sheetId="3091" refreshError="1"/>
      <sheetData sheetId="3092" refreshError="1"/>
      <sheetData sheetId="3093">
        <row r="4">
          <cell r="I4">
            <v>0</v>
          </cell>
        </row>
      </sheetData>
      <sheetData sheetId="3094" refreshError="1"/>
      <sheetData sheetId="3095">
        <row r="4">
          <cell r="I4">
            <v>0</v>
          </cell>
        </row>
      </sheetData>
      <sheetData sheetId="3096">
        <row r="4">
          <cell r="I4">
            <v>0</v>
          </cell>
        </row>
      </sheetData>
      <sheetData sheetId="3097">
        <row r="4">
          <cell r="I4">
            <v>0</v>
          </cell>
        </row>
      </sheetData>
      <sheetData sheetId="3098" refreshError="1"/>
      <sheetData sheetId="3099" refreshError="1"/>
      <sheetData sheetId="3100" refreshError="1"/>
      <sheetData sheetId="3101" refreshError="1"/>
      <sheetData sheetId="3102">
        <row r="4">
          <cell r="I4">
            <v>0</v>
          </cell>
        </row>
      </sheetData>
      <sheetData sheetId="3103" refreshError="1"/>
      <sheetData sheetId="3104" refreshError="1"/>
      <sheetData sheetId="3105" refreshError="1"/>
      <sheetData sheetId="3106" refreshError="1"/>
      <sheetData sheetId="3107">
        <row r="4">
          <cell r="I4">
            <v>0</v>
          </cell>
        </row>
      </sheetData>
      <sheetData sheetId="3108" refreshError="1"/>
      <sheetData sheetId="3109" refreshError="1"/>
      <sheetData sheetId="3110" refreshError="1"/>
      <sheetData sheetId="3111">
        <row r="4">
          <cell r="I4">
            <v>0</v>
          </cell>
        </row>
      </sheetData>
      <sheetData sheetId="3112">
        <row r="4">
          <cell r="I4">
            <v>0</v>
          </cell>
        </row>
      </sheetData>
      <sheetData sheetId="3113">
        <row r="4">
          <cell r="I4">
            <v>0</v>
          </cell>
        </row>
      </sheetData>
      <sheetData sheetId="3114">
        <row r="4">
          <cell r="I4">
            <v>0</v>
          </cell>
        </row>
      </sheetData>
      <sheetData sheetId="3115" refreshError="1"/>
      <sheetData sheetId="3116" refreshError="1"/>
      <sheetData sheetId="3117" refreshError="1"/>
      <sheetData sheetId="3118">
        <row r="4">
          <cell r="I4">
            <v>0</v>
          </cell>
        </row>
      </sheetData>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ow r="4">
          <cell r="I4">
            <v>0</v>
          </cell>
        </row>
      </sheetData>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ow r="4">
          <cell r="I4">
            <v>0</v>
          </cell>
        </row>
      </sheetData>
      <sheetData sheetId="3153">
        <row r="4">
          <cell r="I4">
            <v>0</v>
          </cell>
        </row>
      </sheetData>
      <sheetData sheetId="3154">
        <row r="4">
          <cell r="I4">
            <v>0</v>
          </cell>
        </row>
      </sheetData>
      <sheetData sheetId="3155">
        <row r="4">
          <cell r="I4">
            <v>0</v>
          </cell>
        </row>
      </sheetData>
      <sheetData sheetId="3156">
        <row r="4">
          <cell r="I4">
            <v>0</v>
          </cell>
        </row>
      </sheetData>
      <sheetData sheetId="3157">
        <row r="4">
          <cell r="I4">
            <v>0</v>
          </cell>
        </row>
      </sheetData>
      <sheetData sheetId="3158">
        <row r="4">
          <cell r="I4">
            <v>0</v>
          </cell>
        </row>
      </sheetData>
      <sheetData sheetId="3159">
        <row r="4">
          <cell r="I4">
            <v>0</v>
          </cell>
        </row>
      </sheetData>
      <sheetData sheetId="3160">
        <row r="4">
          <cell r="I4">
            <v>0</v>
          </cell>
        </row>
      </sheetData>
      <sheetData sheetId="3161">
        <row r="4">
          <cell r="I4">
            <v>0</v>
          </cell>
        </row>
      </sheetData>
      <sheetData sheetId="3162">
        <row r="4">
          <cell r="I4">
            <v>0</v>
          </cell>
        </row>
      </sheetData>
      <sheetData sheetId="3163">
        <row r="4">
          <cell r="I4">
            <v>0</v>
          </cell>
        </row>
      </sheetData>
      <sheetData sheetId="3164">
        <row r="4">
          <cell r="I4">
            <v>0</v>
          </cell>
        </row>
      </sheetData>
      <sheetData sheetId="3165">
        <row r="4">
          <cell r="I4">
            <v>0</v>
          </cell>
        </row>
      </sheetData>
      <sheetData sheetId="3166">
        <row r="4">
          <cell r="I4">
            <v>0</v>
          </cell>
        </row>
      </sheetData>
      <sheetData sheetId="3167">
        <row r="4">
          <cell r="I4">
            <v>0</v>
          </cell>
        </row>
      </sheetData>
      <sheetData sheetId="3168">
        <row r="4">
          <cell r="I4">
            <v>0</v>
          </cell>
        </row>
      </sheetData>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ow r="4">
          <cell r="I4">
            <v>0</v>
          </cell>
        </row>
      </sheetData>
      <sheetData sheetId="3210">
        <row r="4">
          <cell r="I4">
            <v>0</v>
          </cell>
        </row>
      </sheetData>
      <sheetData sheetId="3211">
        <row r="4">
          <cell r="I4">
            <v>0</v>
          </cell>
        </row>
      </sheetData>
      <sheetData sheetId="3212">
        <row r="4">
          <cell r="I4">
            <v>0</v>
          </cell>
        </row>
      </sheetData>
      <sheetData sheetId="3213">
        <row r="4">
          <cell r="I4">
            <v>0</v>
          </cell>
        </row>
      </sheetData>
      <sheetData sheetId="3214">
        <row r="4">
          <cell r="I4">
            <v>0</v>
          </cell>
        </row>
      </sheetData>
      <sheetData sheetId="3215">
        <row r="4">
          <cell r="I4">
            <v>0</v>
          </cell>
        </row>
      </sheetData>
      <sheetData sheetId="3216">
        <row r="4">
          <cell r="I4">
            <v>0</v>
          </cell>
        </row>
      </sheetData>
      <sheetData sheetId="3217">
        <row r="4">
          <cell r="I4">
            <v>0</v>
          </cell>
        </row>
      </sheetData>
      <sheetData sheetId="3218">
        <row r="4">
          <cell r="I4">
            <v>0</v>
          </cell>
        </row>
      </sheetData>
      <sheetData sheetId="3219">
        <row r="4">
          <cell r="I4">
            <v>0</v>
          </cell>
        </row>
      </sheetData>
      <sheetData sheetId="3220">
        <row r="4">
          <cell r="I4">
            <v>0</v>
          </cell>
        </row>
      </sheetData>
      <sheetData sheetId="3221">
        <row r="4">
          <cell r="I4">
            <v>0</v>
          </cell>
        </row>
      </sheetData>
      <sheetData sheetId="3222">
        <row r="4">
          <cell r="I4">
            <v>0</v>
          </cell>
        </row>
      </sheetData>
      <sheetData sheetId="3223">
        <row r="4">
          <cell r="I4">
            <v>0</v>
          </cell>
        </row>
      </sheetData>
      <sheetData sheetId="3224">
        <row r="4">
          <cell r="I4">
            <v>0</v>
          </cell>
        </row>
      </sheetData>
      <sheetData sheetId="3225">
        <row r="4">
          <cell r="I4">
            <v>0</v>
          </cell>
        </row>
      </sheetData>
      <sheetData sheetId="3226">
        <row r="4">
          <cell r="I4">
            <v>0</v>
          </cell>
        </row>
      </sheetData>
      <sheetData sheetId="3227">
        <row r="4">
          <cell r="I4">
            <v>0</v>
          </cell>
        </row>
      </sheetData>
      <sheetData sheetId="3228">
        <row r="4">
          <cell r="I4">
            <v>0</v>
          </cell>
        </row>
      </sheetData>
      <sheetData sheetId="3229">
        <row r="4">
          <cell r="I4">
            <v>0</v>
          </cell>
        </row>
      </sheetData>
      <sheetData sheetId="3230">
        <row r="4">
          <cell r="I4">
            <v>0</v>
          </cell>
        </row>
      </sheetData>
      <sheetData sheetId="3231">
        <row r="4">
          <cell r="I4">
            <v>0</v>
          </cell>
        </row>
      </sheetData>
      <sheetData sheetId="3232">
        <row r="4">
          <cell r="I4">
            <v>0</v>
          </cell>
        </row>
      </sheetData>
      <sheetData sheetId="3233">
        <row r="4">
          <cell r="I4">
            <v>0</v>
          </cell>
        </row>
      </sheetData>
      <sheetData sheetId="3234">
        <row r="4">
          <cell r="I4">
            <v>0</v>
          </cell>
        </row>
      </sheetData>
      <sheetData sheetId="3235">
        <row r="4">
          <cell r="I4">
            <v>0</v>
          </cell>
        </row>
      </sheetData>
      <sheetData sheetId="3236">
        <row r="4">
          <cell r="I4">
            <v>0</v>
          </cell>
        </row>
      </sheetData>
      <sheetData sheetId="3237">
        <row r="4">
          <cell r="I4">
            <v>0</v>
          </cell>
        </row>
      </sheetData>
      <sheetData sheetId="3238">
        <row r="4">
          <cell r="I4">
            <v>0</v>
          </cell>
        </row>
      </sheetData>
      <sheetData sheetId="3239">
        <row r="4">
          <cell r="I4">
            <v>0</v>
          </cell>
        </row>
      </sheetData>
      <sheetData sheetId="3240">
        <row r="4">
          <cell r="I4">
            <v>0</v>
          </cell>
        </row>
      </sheetData>
      <sheetData sheetId="3241">
        <row r="4">
          <cell r="I4">
            <v>0</v>
          </cell>
        </row>
      </sheetData>
      <sheetData sheetId="3242">
        <row r="4">
          <cell r="I4">
            <v>0</v>
          </cell>
        </row>
      </sheetData>
      <sheetData sheetId="3243">
        <row r="4">
          <cell r="I4">
            <v>0</v>
          </cell>
        </row>
      </sheetData>
      <sheetData sheetId="3244">
        <row r="4">
          <cell r="I4">
            <v>0</v>
          </cell>
        </row>
      </sheetData>
      <sheetData sheetId="3245">
        <row r="4">
          <cell r="I4">
            <v>0</v>
          </cell>
        </row>
      </sheetData>
      <sheetData sheetId="3246">
        <row r="4">
          <cell r="I4">
            <v>0</v>
          </cell>
        </row>
      </sheetData>
      <sheetData sheetId="3247">
        <row r="4">
          <cell r="I4">
            <v>0</v>
          </cell>
        </row>
      </sheetData>
      <sheetData sheetId="3248">
        <row r="4">
          <cell r="I4">
            <v>0</v>
          </cell>
        </row>
      </sheetData>
      <sheetData sheetId="3249">
        <row r="4">
          <cell r="I4">
            <v>0</v>
          </cell>
        </row>
      </sheetData>
      <sheetData sheetId="3250">
        <row r="4">
          <cell r="I4">
            <v>0</v>
          </cell>
        </row>
      </sheetData>
      <sheetData sheetId="3251">
        <row r="4">
          <cell r="I4">
            <v>0</v>
          </cell>
        </row>
      </sheetData>
      <sheetData sheetId="3252">
        <row r="4">
          <cell r="I4">
            <v>0</v>
          </cell>
        </row>
      </sheetData>
      <sheetData sheetId="3253" refreshError="1"/>
      <sheetData sheetId="3254" refreshError="1"/>
      <sheetData sheetId="3255" refreshError="1"/>
      <sheetData sheetId="3256" refreshError="1"/>
      <sheetData sheetId="3257" refreshError="1"/>
      <sheetData sheetId="3258">
        <row r="4">
          <cell r="I4">
            <v>0</v>
          </cell>
        </row>
      </sheetData>
      <sheetData sheetId="3259">
        <row r="4">
          <cell r="I4">
            <v>0</v>
          </cell>
        </row>
      </sheetData>
      <sheetData sheetId="3260">
        <row r="4">
          <cell r="I4">
            <v>0</v>
          </cell>
        </row>
      </sheetData>
      <sheetData sheetId="3261">
        <row r="4">
          <cell r="I4">
            <v>0</v>
          </cell>
        </row>
      </sheetData>
      <sheetData sheetId="3262">
        <row r="4">
          <cell r="I4">
            <v>0</v>
          </cell>
        </row>
      </sheetData>
      <sheetData sheetId="3263">
        <row r="4">
          <cell r="I4">
            <v>0</v>
          </cell>
        </row>
      </sheetData>
      <sheetData sheetId="3264">
        <row r="4">
          <cell r="I4">
            <v>0</v>
          </cell>
        </row>
      </sheetData>
      <sheetData sheetId="3265">
        <row r="4">
          <cell r="I4">
            <v>0</v>
          </cell>
        </row>
      </sheetData>
      <sheetData sheetId="3266">
        <row r="4">
          <cell r="I4">
            <v>0</v>
          </cell>
        </row>
      </sheetData>
      <sheetData sheetId="3267">
        <row r="4">
          <cell r="I4">
            <v>0</v>
          </cell>
        </row>
      </sheetData>
      <sheetData sheetId="3268">
        <row r="4">
          <cell r="I4">
            <v>0</v>
          </cell>
        </row>
      </sheetData>
      <sheetData sheetId="3269">
        <row r="4">
          <cell r="I4">
            <v>0</v>
          </cell>
        </row>
      </sheetData>
      <sheetData sheetId="3270">
        <row r="4">
          <cell r="I4">
            <v>0</v>
          </cell>
        </row>
      </sheetData>
      <sheetData sheetId="3271" refreshError="1"/>
      <sheetData sheetId="3272">
        <row r="4">
          <cell r="I4">
            <v>0</v>
          </cell>
        </row>
      </sheetData>
      <sheetData sheetId="3273" refreshError="1"/>
      <sheetData sheetId="3274" refreshError="1"/>
      <sheetData sheetId="3275">
        <row r="4">
          <cell r="I4">
            <v>0</v>
          </cell>
        </row>
      </sheetData>
      <sheetData sheetId="3276">
        <row r="4">
          <cell r="I4">
            <v>0</v>
          </cell>
        </row>
      </sheetData>
      <sheetData sheetId="3277">
        <row r="4">
          <cell r="I4">
            <v>0</v>
          </cell>
        </row>
      </sheetData>
      <sheetData sheetId="3278">
        <row r="4">
          <cell r="I4">
            <v>0</v>
          </cell>
        </row>
      </sheetData>
      <sheetData sheetId="3279" refreshError="1"/>
      <sheetData sheetId="3280" refreshError="1"/>
      <sheetData sheetId="3281" refreshError="1"/>
      <sheetData sheetId="3282">
        <row r="4">
          <cell r="I4">
            <v>0</v>
          </cell>
        </row>
      </sheetData>
      <sheetData sheetId="3283">
        <row r="4">
          <cell r="I4">
            <v>0</v>
          </cell>
        </row>
      </sheetData>
      <sheetData sheetId="3284">
        <row r="4">
          <cell r="I4">
            <v>0</v>
          </cell>
        </row>
      </sheetData>
      <sheetData sheetId="3285">
        <row r="4">
          <cell r="I4">
            <v>0</v>
          </cell>
        </row>
      </sheetData>
      <sheetData sheetId="3286">
        <row r="4">
          <cell r="I4">
            <v>0</v>
          </cell>
        </row>
      </sheetData>
      <sheetData sheetId="3287">
        <row r="4">
          <cell r="I4">
            <v>0</v>
          </cell>
        </row>
      </sheetData>
      <sheetData sheetId="3288">
        <row r="4">
          <cell r="I4">
            <v>0</v>
          </cell>
        </row>
      </sheetData>
      <sheetData sheetId="3289">
        <row r="4">
          <cell r="I4">
            <v>0</v>
          </cell>
        </row>
      </sheetData>
      <sheetData sheetId="3290">
        <row r="4">
          <cell r="I4">
            <v>0</v>
          </cell>
        </row>
      </sheetData>
      <sheetData sheetId="3291" refreshError="1"/>
      <sheetData sheetId="3292">
        <row r="4">
          <cell r="I4">
            <v>0</v>
          </cell>
        </row>
      </sheetData>
      <sheetData sheetId="3293" refreshError="1"/>
      <sheetData sheetId="3294" refreshError="1"/>
      <sheetData sheetId="3295" refreshError="1"/>
      <sheetData sheetId="3296" refreshError="1"/>
      <sheetData sheetId="3297" refreshError="1"/>
      <sheetData sheetId="3298">
        <row r="4">
          <cell r="I4">
            <v>0</v>
          </cell>
        </row>
      </sheetData>
      <sheetData sheetId="3299">
        <row r="4">
          <cell r="I4">
            <v>0</v>
          </cell>
        </row>
      </sheetData>
      <sheetData sheetId="3300">
        <row r="4">
          <cell r="I4">
            <v>0</v>
          </cell>
        </row>
      </sheetData>
      <sheetData sheetId="3301">
        <row r="4">
          <cell r="I4">
            <v>0</v>
          </cell>
        </row>
      </sheetData>
      <sheetData sheetId="3302">
        <row r="4">
          <cell r="I4">
            <v>0</v>
          </cell>
        </row>
      </sheetData>
      <sheetData sheetId="3303">
        <row r="4">
          <cell r="I4">
            <v>0</v>
          </cell>
        </row>
      </sheetData>
      <sheetData sheetId="3304">
        <row r="4">
          <cell r="I4">
            <v>0</v>
          </cell>
        </row>
      </sheetData>
      <sheetData sheetId="3305">
        <row r="4">
          <cell r="I4">
            <v>0</v>
          </cell>
        </row>
      </sheetData>
      <sheetData sheetId="3306">
        <row r="4">
          <cell r="I4">
            <v>0</v>
          </cell>
        </row>
      </sheetData>
      <sheetData sheetId="3307" refreshError="1"/>
      <sheetData sheetId="3308">
        <row r="4">
          <cell r="I4">
            <v>0</v>
          </cell>
        </row>
      </sheetData>
      <sheetData sheetId="3309">
        <row r="4">
          <cell r="I4">
            <v>0</v>
          </cell>
        </row>
      </sheetData>
      <sheetData sheetId="3310">
        <row r="4">
          <cell r="I4">
            <v>0</v>
          </cell>
        </row>
      </sheetData>
      <sheetData sheetId="3311">
        <row r="4">
          <cell r="I4">
            <v>0</v>
          </cell>
        </row>
      </sheetData>
      <sheetData sheetId="3312">
        <row r="4">
          <cell r="I4">
            <v>0</v>
          </cell>
        </row>
      </sheetData>
      <sheetData sheetId="3313">
        <row r="4">
          <cell r="I4">
            <v>0</v>
          </cell>
        </row>
      </sheetData>
      <sheetData sheetId="3314">
        <row r="4">
          <cell r="I4">
            <v>0</v>
          </cell>
        </row>
      </sheetData>
      <sheetData sheetId="3315">
        <row r="4">
          <cell r="I4">
            <v>0</v>
          </cell>
        </row>
      </sheetData>
      <sheetData sheetId="3316">
        <row r="4">
          <cell r="I4">
            <v>0</v>
          </cell>
        </row>
      </sheetData>
      <sheetData sheetId="3317">
        <row r="4">
          <cell r="I4">
            <v>0</v>
          </cell>
        </row>
      </sheetData>
      <sheetData sheetId="3318">
        <row r="4">
          <cell r="I4">
            <v>0</v>
          </cell>
        </row>
      </sheetData>
      <sheetData sheetId="3319">
        <row r="4">
          <cell r="I4">
            <v>0</v>
          </cell>
        </row>
      </sheetData>
      <sheetData sheetId="3320">
        <row r="4">
          <cell r="I4">
            <v>0</v>
          </cell>
        </row>
      </sheetData>
      <sheetData sheetId="3321">
        <row r="4">
          <cell r="I4">
            <v>0</v>
          </cell>
        </row>
      </sheetData>
      <sheetData sheetId="3322">
        <row r="4">
          <cell r="I4">
            <v>0</v>
          </cell>
        </row>
      </sheetData>
      <sheetData sheetId="3323">
        <row r="4">
          <cell r="I4">
            <v>0</v>
          </cell>
        </row>
      </sheetData>
      <sheetData sheetId="3324">
        <row r="4">
          <cell r="I4">
            <v>0</v>
          </cell>
        </row>
      </sheetData>
      <sheetData sheetId="3325">
        <row r="4">
          <cell r="I4">
            <v>0</v>
          </cell>
        </row>
      </sheetData>
      <sheetData sheetId="3326">
        <row r="4">
          <cell r="I4">
            <v>0</v>
          </cell>
        </row>
      </sheetData>
      <sheetData sheetId="3327">
        <row r="4">
          <cell r="I4">
            <v>0</v>
          </cell>
        </row>
      </sheetData>
      <sheetData sheetId="3328">
        <row r="4">
          <cell r="I4">
            <v>0</v>
          </cell>
        </row>
      </sheetData>
      <sheetData sheetId="3329">
        <row r="4">
          <cell r="I4">
            <v>0</v>
          </cell>
        </row>
      </sheetData>
      <sheetData sheetId="3330" refreshError="1"/>
      <sheetData sheetId="3331">
        <row r="4">
          <cell r="I4">
            <v>0</v>
          </cell>
        </row>
      </sheetData>
      <sheetData sheetId="3332">
        <row r="4">
          <cell r="I4">
            <v>0</v>
          </cell>
        </row>
      </sheetData>
      <sheetData sheetId="3333">
        <row r="4">
          <cell r="I4">
            <v>0</v>
          </cell>
        </row>
      </sheetData>
      <sheetData sheetId="3334">
        <row r="4">
          <cell r="I4">
            <v>0</v>
          </cell>
        </row>
      </sheetData>
      <sheetData sheetId="3335">
        <row r="4">
          <cell r="I4">
            <v>0</v>
          </cell>
        </row>
      </sheetData>
      <sheetData sheetId="3336">
        <row r="4">
          <cell r="I4">
            <v>0</v>
          </cell>
        </row>
      </sheetData>
      <sheetData sheetId="3337">
        <row r="4">
          <cell r="I4">
            <v>0</v>
          </cell>
        </row>
      </sheetData>
      <sheetData sheetId="3338">
        <row r="4">
          <cell r="I4">
            <v>0</v>
          </cell>
        </row>
      </sheetData>
      <sheetData sheetId="3339">
        <row r="4">
          <cell r="I4">
            <v>0</v>
          </cell>
        </row>
      </sheetData>
      <sheetData sheetId="3340">
        <row r="4">
          <cell r="I4">
            <v>0</v>
          </cell>
        </row>
      </sheetData>
      <sheetData sheetId="3341">
        <row r="4">
          <cell r="I4">
            <v>0</v>
          </cell>
        </row>
      </sheetData>
      <sheetData sheetId="3342">
        <row r="4">
          <cell r="I4">
            <v>0</v>
          </cell>
        </row>
      </sheetData>
      <sheetData sheetId="3343">
        <row r="4">
          <cell r="I4">
            <v>0</v>
          </cell>
        </row>
      </sheetData>
      <sheetData sheetId="3344">
        <row r="4">
          <cell r="I4">
            <v>0</v>
          </cell>
        </row>
      </sheetData>
      <sheetData sheetId="3345">
        <row r="4">
          <cell r="I4">
            <v>0</v>
          </cell>
        </row>
      </sheetData>
      <sheetData sheetId="3346">
        <row r="4">
          <cell r="I4">
            <v>0</v>
          </cell>
        </row>
      </sheetData>
      <sheetData sheetId="3347">
        <row r="4">
          <cell r="I4">
            <v>0</v>
          </cell>
        </row>
      </sheetData>
      <sheetData sheetId="3348">
        <row r="4">
          <cell r="I4">
            <v>0</v>
          </cell>
        </row>
      </sheetData>
      <sheetData sheetId="3349">
        <row r="4">
          <cell r="I4">
            <v>0</v>
          </cell>
        </row>
      </sheetData>
      <sheetData sheetId="3350">
        <row r="4">
          <cell r="I4">
            <v>0</v>
          </cell>
        </row>
      </sheetData>
      <sheetData sheetId="3351">
        <row r="4">
          <cell r="I4">
            <v>0</v>
          </cell>
        </row>
      </sheetData>
      <sheetData sheetId="3352">
        <row r="4">
          <cell r="I4">
            <v>0</v>
          </cell>
        </row>
      </sheetData>
      <sheetData sheetId="3353">
        <row r="4">
          <cell r="I4">
            <v>0</v>
          </cell>
        </row>
      </sheetData>
      <sheetData sheetId="3354">
        <row r="4">
          <cell r="I4">
            <v>0</v>
          </cell>
        </row>
      </sheetData>
      <sheetData sheetId="3355" refreshError="1"/>
      <sheetData sheetId="3356" refreshError="1"/>
      <sheetData sheetId="3357">
        <row r="4">
          <cell r="I4">
            <v>0</v>
          </cell>
        </row>
      </sheetData>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sheetData sheetId="3367"/>
      <sheetData sheetId="3368" refreshError="1"/>
      <sheetData sheetId="3369" refreshError="1"/>
      <sheetData sheetId="3370" refreshError="1"/>
      <sheetData sheetId="3371" refreshError="1"/>
      <sheetData sheetId="3372" refreshError="1"/>
      <sheetData sheetId="3373">
        <row r="4">
          <cell r="I4">
            <v>0</v>
          </cell>
        </row>
      </sheetData>
      <sheetData sheetId="3374">
        <row r="4">
          <cell r="I4">
            <v>0</v>
          </cell>
        </row>
      </sheetData>
      <sheetData sheetId="3375">
        <row r="4">
          <cell r="I4">
            <v>0</v>
          </cell>
        </row>
      </sheetData>
      <sheetData sheetId="3376"/>
      <sheetData sheetId="3377" refreshError="1"/>
      <sheetData sheetId="3378" refreshError="1"/>
      <sheetData sheetId="3379" refreshError="1"/>
      <sheetData sheetId="3380">
        <row r="4">
          <cell r="I4">
            <v>0</v>
          </cell>
        </row>
      </sheetData>
      <sheetData sheetId="3381" refreshError="1"/>
      <sheetData sheetId="3382" refreshError="1"/>
      <sheetData sheetId="3383" refreshError="1"/>
      <sheetData sheetId="3384">
        <row r="4">
          <cell r="I4">
            <v>0</v>
          </cell>
        </row>
      </sheetData>
      <sheetData sheetId="3385">
        <row r="4">
          <cell r="I4">
            <v>0</v>
          </cell>
        </row>
      </sheetData>
      <sheetData sheetId="3386">
        <row r="4">
          <cell r="I4">
            <v>0</v>
          </cell>
        </row>
      </sheetData>
      <sheetData sheetId="3387">
        <row r="4">
          <cell r="I4">
            <v>0</v>
          </cell>
        </row>
      </sheetData>
      <sheetData sheetId="3388">
        <row r="4">
          <cell r="I4">
            <v>0</v>
          </cell>
        </row>
      </sheetData>
      <sheetData sheetId="3389">
        <row r="4">
          <cell r="I4">
            <v>0</v>
          </cell>
        </row>
      </sheetData>
      <sheetData sheetId="3390">
        <row r="4">
          <cell r="I4">
            <v>0</v>
          </cell>
        </row>
      </sheetData>
      <sheetData sheetId="3391" refreshError="1"/>
      <sheetData sheetId="3392" refreshError="1"/>
      <sheetData sheetId="3393" refreshError="1"/>
      <sheetData sheetId="3394">
        <row r="4">
          <cell r="I4">
            <v>0</v>
          </cell>
        </row>
      </sheetData>
      <sheetData sheetId="3395">
        <row r="4">
          <cell r="I4">
            <v>0</v>
          </cell>
        </row>
      </sheetData>
      <sheetData sheetId="3396"/>
      <sheetData sheetId="3397"/>
      <sheetData sheetId="3398"/>
      <sheetData sheetId="3399">
        <row r="4">
          <cell r="I4">
            <v>0</v>
          </cell>
        </row>
      </sheetData>
      <sheetData sheetId="3400" refreshError="1"/>
      <sheetData sheetId="3401">
        <row r="4">
          <cell r="I4">
            <v>0</v>
          </cell>
        </row>
      </sheetData>
      <sheetData sheetId="3402">
        <row r="4">
          <cell r="I4">
            <v>0</v>
          </cell>
        </row>
      </sheetData>
      <sheetData sheetId="3403">
        <row r="4">
          <cell r="I4">
            <v>0</v>
          </cell>
        </row>
      </sheetData>
      <sheetData sheetId="3404">
        <row r="4">
          <cell r="I4">
            <v>0</v>
          </cell>
        </row>
      </sheetData>
      <sheetData sheetId="3405">
        <row r="4">
          <cell r="I4">
            <v>0</v>
          </cell>
        </row>
      </sheetData>
      <sheetData sheetId="3406">
        <row r="4">
          <cell r="I4">
            <v>0</v>
          </cell>
        </row>
      </sheetData>
      <sheetData sheetId="3407">
        <row r="4">
          <cell r="I4">
            <v>0</v>
          </cell>
        </row>
      </sheetData>
      <sheetData sheetId="3408">
        <row r="4">
          <cell r="I4">
            <v>0</v>
          </cell>
        </row>
      </sheetData>
      <sheetData sheetId="3409">
        <row r="4">
          <cell r="I4">
            <v>0</v>
          </cell>
        </row>
      </sheetData>
      <sheetData sheetId="3410">
        <row r="4">
          <cell r="I4">
            <v>0</v>
          </cell>
        </row>
      </sheetData>
      <sheetData sheetId="3411">
        <row r="4">
          <cell r="I4">
            <v>0</v>
          </cell>
        </row>
      </sheetData>
      <sheetData sheetId="3412">
        <row r="4">
          <cell r="I4">
            <v>0</v>
          </cell>
        </row>
      </sheetData>
      <sheetData sheetId="3413">
        <row r="4">
          <cell r="I4">
            <v>0</v>
          </cell>
        </row>
      </sheetData>
      <sheetData sheetId="3414">
        <row r="4">
          <cell r="I4">
            <v>0</v>
          </cell>
        </row>
      </sheetData>
      <sheetData sheetId="3415">
        <row r="4">
          <cell r="I4">
            <v>0</v>
          </cell>
        </row>
      </sheetData>
      <sheetData sheetId="3416">
        <row r="4">
          <cell r="I4">
            <v>0</v>
          </cell>
        </row>
      </sheetData>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ow r="4">
          <cell r="I4">
            <v>0</v>
          </cell>
        </row>
      </sheetData>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sheetData sheetId="347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ow r="4">
          <cell r="I4">
            <v>0</v>
          </cell>
        </row>
      </sheetData>
      <sheetData sheetId="3498">
        <row r="4">
          <cell r="I4">
            <v>0</v>
          </cell>
        </row>
      </sheetData>
      <sheetData sheetId="3499">
        <row r="4">
          <cell r="I4">
            <v>0</v>
          </cell>
        </row>
      </sheetData>
      <sheetData sheetId="3500">
        <row r="4">
          <cell r="I4">
            <v>0</v>
          </cell>
        </row>
      </sheetData>
      <sheetData sheetId="3501"/>
      <sheetData sheetId="3502"/>
      <sheetData sheetId="3503"/>
      <sheetData sheetId="3504"/>
      <sheetData sheetId="3505"/>
      <sheetData sheetId="3506"/>
      <sheetData sheetId="3507"/>
      <sheetData sheetId="3508"/>
      <sheetData sheetId="3509"/>
      <sheetData sheetId="3510" refreshError="1"/>
      <sheetData sheetId="3511">
        <row r="4">
          <cell r="I4">
            <v>0</v>
          </cell>
        </row>
      </sheetData>
      <sheetData sheetId="3512">
        <row r="4">
          <cell r="I4">
            <v>0</v>
          </cell>
        </row>
      </sheetData>
      <sheetData sheetId="3513">
        <row r="4">
          <cell r="I4">
            <v>0</v>
          </cell>
        </row>
      </sheetData>
      <sheetData sheetId="3514">
        <row r="4">
          <cell r="I4">
            <v>0</v>
          </cell>
        </row>
      </sheetData>
      <sheetData sheetId="3515">
        <row r="4">
          <cell r="I4">
            <v>0</v>
          </cell>
        </row>
      </sheetData>
      <sheetData sheetId="3516">
        <row r="4">
          <cell r="I4">
            <v>0</v>
          </cell>
        </row>
      </sheetData>
      <sheetData sheetId="3517">
        <row r="4">
          <cell r="I4">
            <v>0</v>
          </cell>
        </row>
      </sheetData>
      <sheetData sheetId="3518">
        <row r="4">
          <cell r="I4">
            <v>0</v>
          </cell>
        </row>
      </sheetData>
      <sheetData sheetId="3519">
        <row r="4">
          <cell r="I4">
            <v>0</v>
          </cell>
        </row>
      </sheetData>
      <sheetData sheetId="3520">
        <row r="4">
          <cell r="I4">
            <v>0</v>
          </cell>
        </row>
      </sheetData>
      <sheetData sheetId="3521">
        <row r="4">
          <cell r="I4">
            <v>0</v>
          </cell>
        </row>
      </sheetData>
      <sheetData sheetId="3522">
        <row r="4">
          <cell r="I4">
            <v>0</v>
          </cell>
        </row>
      </sheetData>
      <sheetData sheetId="3523">
        <row r="4">
          <cell r="I4">
            <v>0</v>
          </cell>
        </row>
      </sheetData>
      <sheetData sheetId="3524">
        <row r="4">
          <cell r="I4">
            <v>0</v>
          </cell>
        </row>
      </sheetData>
      <sheetData sheetId="3525">
        <row r="4">
          <cell r="I4">
            <v>0</v>
          </cell>
        </row>
      </sheetData>
      <sheetData sheetId="3526">
        <row r="4">
          <cell r="I4">
            <v>0</v>
          </cell>
        </row>
      </sheetData>
      <sheetData sheetId="3527">
        <row r="4">
          <cell r="I4">
            <v>0</v>
          </cell>
        </row>
      </sheetData>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ow r="4">
          <cell r="I4">
            <v>0</v>
          </cell>
        </row>
      </sheetData>
      <sheetData sheetId="3561">
        <row r="4">
          <cell r="I4">
            <v>0</v>
          </cell>
        </row>
      </sheetData>
      <sheetData sheetId="3562">
        <row r="4">
          <cell r="I4">
            <v>0</v>
          </cell>
        </row>
      </sheetData>
      <sheetData sheetId="3563">
        <row r="4">
          <cell r="I4">
            <v>0</v>
          </cell>
        </row>
      </sheetData>
      <sheetData sheetId="3564">
        <row r="4">
          <cell r="I4">
            <v>0</v>
          </cell>
        </row>
      </sheetData>
      <sheetData sheetId="3565">
        <row r="4">
          <cell r="I4">
            <v>0</v>
          </cell>
        </row>
      </sheetData>
      <sheetData sheetId="3566">
        <row r="4">
          <cell r="I4">
            <v>0</v>
          </cell>
        </row>
      </sheetData>
      <sheetData sheetId="3567">
        <row r="4">
          <cell r="I4">
            <v>0</v>
          </cell>
        </row>
      </sheetData>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ow r="4">
          <cell r="I4">
            <v>0</v>
          </cell>
        </row>
      </sheetData>
      <sheetData sheetId="3654" refreshError="1"/>
      <sheetData sheetId="3655" refreshError="1"/>
      <sheetData sheetId="3656" refreshError="1"/>
      <sheetData sheetId="3657" refreshError="1"/>
      <sheetData sheetId="3658" refreshError="1"/>
      <sheetData sheetId="3659">
        <row r="4">
          <cell r="I4">
            <v>0</v>
          </cell>
        </row>
      </sheetData>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ow r="4">
          <cell r="I4">
            <v>0</v>
          </cell>
        </row>
      </sheetData>
      <sheetData sheetId="3678">
        <row r="4">
          <cell r="I4">
            <v>0</v>
          </cell>
        </row>
      </sheetData>
      <sheetData sheetId="3679">
        <row r="4">
          <cell r="I4">
            <v>0</v>
          </cell>
        </row>
      </sheetData>
      <sheetData sheetId="3680">
        <row r="4">
          <cell r="I4">
            <v>0</v>
          </cell>
        </row>
      </sheetData>
      <sheetData sheetId="3681">
        <row r="4">
          <cell r="I4">
            <v>0</v>
          </cell>
        </row>
      </sheetData>
      <sheetData sheetId="3682">
        <row r="4">
          <cell r="I4">
            <v>0</v>
          </cell>
        </row>
      </sheetData>
      <sheetData sheetId="3683">
        <row r="4">
          <cell r="I4">
            <v>0</v>
          </cell>
        </row>
      </sheetData>
      <sheetData sheetId="3684" refreshError="1"/>
      <sheetData sheetId="3685" refreshError="1"/>
      <sheetData sheetId="3686" refreshError="1"/>
      <sheetData sheetId="3687" refreshError="1"/>
      <sheetData sheetId="3688" refreshError="1"/>
      <sheetData sheetId="3689">
        <row r="4">
          <cell r="I4">
            <v>0</v>
          </cell>
        </row>
      </sheetData>
      <sheetData sheetId="3690">
        <row r="4">
          <cell r="I4">
            <v>0</v>
          </cell>
        </row>
      </sheetData>
      <sheetData sheetId="3691">
        <row r="4">
          <cell r="I4">
            <v>0</v>
          </cell>
        </row>
      </sheetData>
      <sheetData sheetId="3692">
        <row r="4">
          <cell r="I4">
            <v>0</v>
          </cell>
        </row>
      </sheetData>
      <sheetData sheetId="3693">
        <row r="4">
          <cell r="I4">
            <v>0</v>
          </cell>
        </row>
      </sheetData>
      <sheetData sheetId="3694">
        <row r="4">
          <cell r="I4">
            <v>0</v>
          </cell>
        </row>
      </sheetData>
      <sheetData sheetId="3695">
        <row r="4">
          <cell r="I4">
            <v>0</v>
          </cell>
        </row>
      </sheetData>
      <sheetData sheetId="3696">
        <row r="4">
          <cell r="I4">
            <v>0</v>
          </cell>
        </row>
      </sheetData>
      <sheetData sheetId="3697">
        <row r="4">
          <cell r="I4">
            <v>0</v>
          </cell>
        </row>
      </sheetData>
      <sheetData sheetId="3698">
        <row r="4">
          <cell r="I4">
            <v>0</v>
          </cell>
        </row>
      </sheetData>
      <sheetData sheetId="3699">
        <row r="4">
          <cell r="I4">
            <v>0</v>
          </cell>
        </row>
      </sheetData>
      <sheetData sheetId="3700">
        <row r="4">
          <cell r="I4">
            <v>0</v>
          </cell>
        </row>
      </sheetData>
      <sheetData sheetId="3701">
        <row r="4">
          <cell r="I4">
            <v>0</v>
          </cell>
        </row>
      </sheetData>
      <sheetData sheetId="3702">
        <row r="4">
          <cell r="I4">
            <v>0</v>
          </cell>
        </row>
      </sheetData>
      <sheetData sheetId="3703">
        <row r="4">
          <cell r="I4">
            <v>0</v>
          </cell>
        </row>
      </sheetData>
      <sheetData sheetId="3704">
        <row r="4">
          <cell r="I4">
            <v>0</v>
          </cell>
        </row>
      </sheetData>
      <sheetData sheetId="3705">
        <row r="4">
          <cell r="I4">
            <v>0</v>
          </cell>
        </row>
      </sheetData>
      <sheetData sheetId="3706">
        <row r="4">
          <cell r="I4">
            <v>0</v>
          </cell>
        </row>
      </sheetData>
      <sheetData sheetId="3707">
        <row r="4">
          <cell r="I4">
            <v>0</v>
          </cell>
        </row>
      </sheetData>
      <sheetData sheetId="3708">
        <row r="4">
          <cell r="I4">
            <v>0</v>
          </cell>
        </row>
      </sheetData>
      <sheetData sheetId="3709">
        <row r="4">
          <cell r="I4">
            <v>0</v>
          </cell>
        </row>
      </sheetData>
      <sheetData sheetId="3710">
        <row r="4">
          <cell r="I4">
            <v>0</v>
          </cell>
        </row>
      </sheetData>
      <sheetData sheetId="3711">
        <row r="4">
          <cell r="I4">
            <v>0</v>
          </cell>
        </row>
      </sheetData>
      <sheetData sheetId="3712">
        <row r="4">
          <cell r="I4">
            <v>0</v>
          </cell>
        </row>
      </sheetData>
      <sheetData sheetId="3713">
        <row r="4">
          <cell r="I4">
            <v>0</v>
          </cell>
        </row>
      </sheetData>
      <sheetData sheetId="3714">
        <row r="4">
          <cell r="I4">
            <v>0</v>
          </cell>
        </row>
      </sheetData>
      <sheetData sheetId="3715">
        <row r="4">
          <cell r="I4">
            <v>0</v>
          </cell>
        </row>
      </sheetData>
      <sheetData sheetId="3716">
        <row r="4">
          <cell r="I4">
            <v>0</v>
          </cell>
        </row>
      </sheetData>
      <sheetData sheetId="3717">
        <row r="4">
          <cell r="I4">
            <v>0</v>
          </cell>
        </row>
      </sheetData>
      <sheetData sheetId="3718">
        <row r="4">
          <cell r="I4">
            <v>0</v>
          </cell>
        </row>
      </sheetData>
      <sheetData sheetId="3719">
        <row r="4">
          <cell r="I4">
            <v>0</v>
          </cell>
        </row>
      </sheetData>
      <sheetData sheetId="3720">
        <row r="4">
          <cell r="I4">
            <v>0</v>
          </cell>
        </row>
      </sheetData>
      <sheetData sheetId="3721">
        <row r="4">
          <cell r="I4">
            <v>0</v>
          </cell>
        </row>
      </sheetData>
      <sheetData sheetId="3722">
        <row r="4">
          <cell r="I4">
            <v>0</v>
          </cell>
        </row>
      </sheetData>
      <sheetData sheetId="3723">
        <row r="4">
          <cell r="I4">
            <v>0</v>
          </cell>
        </row>
      </sheetData>
      <sheetData sheetId="3724">
        <row r="4">
          <cell r="I4">
            <v>0</v>
          </cell>
        </row>
      </sheetData>
      <sheetData sheetId="3725">
        <row r="4">
          <cell r="I4">
            <v>0</v>
          </cell>
        </row>
      </sheetData>
      <sheetData sheetId="3726">
        <row r="4">
          <cell r="I4">
            <v>0</v>
          </cell>
        </row>
      </sheetData>
      <sheetData sheetId="3727">
        <row r="4">
          <cell r="I4">
            <v>0</v>
          </cell>
        </row>
      </sheetData>
      <sheetData sheetId="3728">
        <row r="4">
          <cell r="I4">
            <v>0</v>
          </cell>
        </row>
      </sheetData>
      <sheetData sheetId="3729">
        <row r="4">
          <cell r="I4">
            <v>0</v>
          </cell>
        </row>
      </sheetData>
      <sheetData sheetId="3730">
        <row r="4">
          <cell r="I4">
            <v>0</v>
          </cell>
        </row>
      </sheetData>
      <sheetData sheetId="3731">
        <row r="4">
          <cell r="I4">
            <v>0</v>
          </cell>
        </row>
      </sheetData>
      <sheetData sheetId="3732">
        <row r="4">
          <cell r="I4">
            <v>0</v>
          </cell>
        </row>
      </sheetData>
      <sheetData sheetId="3733">
        <row r="4">
          <cell r="I4">
            <v>0</v>
          </cell>
        </row>
      </sheetData>
      <sheetData sheetId="3734">
        <row r="4">
          <cell r="I4">
            <v>0</v>
          </cell>
        </row>
      </sheetData>
      <sheetData sheetId="3735">
        <row r="4">
          <cell r="I4">
            <v>0</v>
          </cell>
        </row>
      </sheetData>
      <sheetData sheetId="3736">
        <row r="4">
          <cell r="I4">
            <v>0</v>
          </cell>
        </row>
      </sheetData>
      <sheetData sheetId="3737">
        <row r="4">
          <cell r="I4">
            <v>0</v>
          </cell>
        </row>
      </sheetData>
      <sheetData sheetId="3738">
        <row r="4">
          <cell r="I4">
            <v>0</v>
          </cell>
        </row>
      </sheetData>
      <sheetData sheetId="3739">
        <row r="4">
          <cell r="I4">
            <v>0</v>
          </cell>
        </row>
      </sheetData>
      <sheetData sheetId="3740">
        <row r="4">
          <cell r="I4">
            <v>0</v>
          </cell>
        </row>
      </sheetData>
      <sheetData sheetId="3741">
        <row r="4">
          <cell r="I4">
            <v>0</v>
          </cell>
        </row>
      </sheetData>
      <sheetData sheetId="3742">
        <row r="4">
          <cell r="I4">
            <v>0</v>
          </cell>
        </row>
      </sheetData>
      <sheetData sheetId="3743">
        <row r="4">
          <cell r="I4">
            <v>0</v>
          </cell>
        </row>
      </sheetData>
      <sheetData sheetId="3744">
        <row r="4">
          <cell r="I4">
            <v>0</v>
          </cell>
        </row>
      </sheetData>
      <sheetData sheetId="3745">
        <row r="4">
          <cell r="I4">
            <v>0</v>
          </cell>
        </row>
      </sheetData>
      <sheetData sheetId="3746">
        <row r="4">
          <cell r="I4">
            <v>0</v>
          </cell>
        </row>
      </sheetData>
      <sheetData sheetId="3747">
        <row r="4">
          <cell r="I4">
            <v>0</v>
          </cell>
        </row>
      </sheetData>
      <sheetData sheetId="3748">
        <row r="4">
          <cell r="I4">
            <v>0</v>
          </cell>
        </row>
      </sheetData>
      <sheetData sheetId="3749">
        <row r="4">
          <cell r="I4">
            <v>0</v>
          </cell>
        </row>
      </sheetData>
      <sheetData sheetId="3750">
        <row r="4">
          <cell r="I4">
            <v>0</v>
          </cell>
        </row>
      </sheetData>
      <sheetData sheetId="3751">
        <row r="4">
          <cell r="I4">
            <v>0</v>
          </cell>
        </row>
      </sheetData>
      <sheetData sheetId="3752">
        <row r="4">
          <cell r="I4">
            <v>0</v>
          </cell>
        </row>
      </sheetData>
      <sheetData sheetId="3753">
        <row r="4">
          <cell r="I4">
            <v>0</v>
          </cell>
        </row>
      </sheetData>
      <sheetData sheetId="3754">
        <row r="4">
          <cell r="I4">
            <v>0</v>
          </cell>
        </row>
      </sheetData>
      <sheetData sheetId="3755">
        <row r="4">
          <cell r="I4">
            <v>0</v>
          </cell>
        </row>
      </sheetData>
      <sheetData sheetId="3756">
        <row r="4">
          <cell r="I4">
            <v>0</v>
          </cell>
        </row>
      </sheetData>
      <sheetData sheetId="3757">
        <row r="4">
          <cell r="I4">
            <v>0</v>
          </cell>
        </row>
      </sheetData>
      <sheetData sheetId="3758">
        <row r="4">
          <cell r="I4">
            <v>0</v>
          </cell>
        </row>
      </sheetData>
      <sheetData sheetId="3759">
        <row r="4">
          <cell r="I4">
            <v>0</v>
          </cell>
        </row>
      </sheetData>
      <sheetData sheetId="3760">
        <row r="4">
          <cell r="I4">
            <v>0</v>
          </cell>
        </row>
      </sheetData>
      <sheetData sheetId="3761">
        <row r="4">
          <cell r="I4">
            <v>0</v>
          </cell>
        </row>
      </sheetData>
      <sheetData sheetId="3762">
        <row r="4">
          <cell r="I4">
            <v>0</v>
          </cell>
        </row>
      </sheetData>
      <sheetData sheetId="3763">
        <row r="4">
          <cell r="I4">
            <v>0</v>
          </cell>
        </row>
      </sheetData>
      <sheetData sheetId="3764">
        <row r="4">
          <cell r="I4">
            <v>0</v>
          </cell>
        </row>
      </sheetData>
      <sheetData sheetId="3765">
        <row r="4">
          <cell r="I4">
            <v>0</v>
          </cell>
        </row>
      </sheetData>
      <sheetData sheetId="3766">
        <row r="4">
          <cell r="I4">
            <v>0</v>
          </cell>
        </row>
      </sheetData>
      <sheetData sheetId="3767">
        <row r="4">
          <cell r="I4">
            <v>0</v>
          </cell>
        </row>
      </sheetData>
      <sheetData sheetId="3768">
        <row r="4">
          <cell r="I4">
            <v>0</v>
          </cell>
        </row>
      </sheetData>
      <sheetData sheetId="3769">
        <row r="4">
          <cell r="I4">
            <v>0</v>
          </cell>
        </row>
      </sheetData>
      <sheetData sheetId="3770">
        <row r="4">
          <cell r="I4">
            <v>0</v>
          </cell>
        </row>
      </sheetData>
      <sheetData sheetId="3771">
        <row r="4">
          <cell r="I4">
            <v>0</v>
          </cell>
        </row>
      </sheetData>
      <sheetData sheetId="3772">
        <row r="4">
          <cell r="I4">
            <v>0</v>
          </cell>
        </row>
      </sheetData>
      <sheetData sheetId="3773">
        <row r="4">
          <cell r="I4">
            <v>0</v>
          </cell>
        </row>
      </sheetData>
      <sheetData sheetId="3774">
        <row r="4">
          <cell r="I4">
            <v>0</v>
          </cell>
        </row>
      </sheetData>
      <sheetData sheetId="3775">
        <row r="4">
          <cell r="I4">
            <v>0</v>
          </cell>
        </row>
      </sheetData>
      <sheetData sheetId="3776">
        <row r="4">
          <cell r="I4">
            <v>0</v>
          </cell>
        </row>
      </sheetData>
      <sheetData sheetId="3777">
        <row r="4">
          <cell r="I4">
            <v>0</v>
          </cell>
        </row>
      </sheetData>
      <sheetData sheetId="3778">
        <row r="4">
          <cell r="I4">
            <v>0</v>
          </cell>
        </row>
      </sheetData>
      <sheetData sheetId="3779">
        <row r="4">
          <cell r="I4">
            <v>0</v>
          </cell>
        </row>
      </sheetData>
      <sheetData sheetId="3780">
        <row r="4">
          <cell r="I4">
            <v>0</v>
          </cell>
        </row>
      </sheetData>
      <sheetData sheetId="3781">
        <row r="4">
          <cell r="I4">
            <v>0</v>
          </cell>
        </row>
      </sheetData>
      <sheetData sheetId="3782">
        <row r="4">
          <cell r="I4">
            <v>0</v>
          </cell>
        </row>
      </sheetData>
      <sheetData sheetId="3783">
        <row r="4">
          <cell r="I4">
            <v>0</v>
          </cell>
        </row>
      </sheetData>
      <sheetData sheetId="3784">
        <row r="4">
          <cell r="I4">
            <v>0</v>
          </cell>
        </row>
      </sheetData>
      <sheetData sheetId="3785">
        <row r="4">
          <cell r="I4">
            <v>0</v>
          </cell>
        </row>
      </sheetData>
      <sheetData sheetId="3786">
        <row r="4">
          <cell r="I4">
            <v>0</v>
          </cell>
        </row>
      </sheetData>
      <sheetData sheetId="3787">
        <row r="4">
          <cell r="I4">
            <v>0</v>
          </cell>
        </row>
      </sheetData>
      <sheetData sheetId="3788">
        <row r="4">
          <cell r="I4">
            <v>0</v>
          </cell>
        </row>
      </sheetData>
      <sheetData sheetId="3789">
        <row r="4">
          <cell r="I4">
            <v>0</v>
          </cell>
        </row>
      </sheetData>
      <sheetData sheetId="3790">
        <row r="4">
          <cell r="I4">
            <v>0</v>
          </cell>
        </row>
      </sheetData>
      <sheetData sheetId="3791">
        <row r="4">
          <cell r="I4">
            <v>0</v>
          </cell>
        </row>
      </sheetData>
      <sheetData sheetId="3792">
        <row r="4">
          <cell r="I4">
            <v>0</v>
          </cell>
        </row>
      </sheetData>
      <sheetData sheetId="3793">
        <row r="4">
          <cell r="I4">
            <v>0</v>
          </cell>
        </row>
      </sheetData>
      <sheetData sheetId="3794">
        <row r="4">
          <cell r="I4">
            <v>0</v>
          </cell>
        </row>
      </sheetData>
      <sheetData sheetId="3795">
        <row r="4">
          <cell r="I4">
            <v>0</v>
          </cell>
        </row>
      </sheetData>
      <sheetData sheetId="3796">
        <row r="4">
          <cell r="I4">
            <v>0</v>
          </cell>
        </row>
      </sheetData>
      <sheetData sheetId="3797">
        <row r="4">
          <cell r="I4">
            <v>0</v>
          </cell>
        </row>
      </sheetData>
      <sheetData sheetId="3798">
        <row r="4">
          <cell r="I4">
            <v>0</v>
          </cell>
        </row>
      </sheetData>
      <sheetData sheetId="3799">
        <row r="4">
          <cell r="I4">
            <v>0</v>
          </cell>
        </row>
      </sheetData>
      <sheetData sheetId="3800">
        <row r="4">
          <cell r="I4">
            <v>0</v>
          </cell>
        </row>
      </sheetData>
      <sheetData sheetId="3801">
        <row r="4">
          <cell r="I4">
            <v>0</v>
          </cell>
        </row>
      </sheetData>
      <sheetData sheetId="3802">
        <row r="4">
          <cell r="I4">
            <v>0</v>
          </cell>
        </row>
      </sheetData>
      <sheetData sheetId="3803">
        <row r="4">
          <cell r="I4">
            <v>0</v>
          </cell>
        </row>
      </sheetData>
      <sheetData sheetId="3804">
        <row r="4">
          <cell r="I4">
            <v>0</v>
          </cell>
        </row>
      </sheetData>
      <sheetData sheetId="3805">
        <row r="4">
          <cell r="I4">
            <v>0</v>
          </cell>
        </row>
      </sheetData>
      <sheetData sheetId="3806">
        <row r="4">
          <cell r="I4">
            <v>0</v>
          </cell>
        </row>
      </sheetData>
      <sheetData sheetId="3807">
        <row r="4">
          <cell r="I4">
            <v>0</v>
          </cell>
        </row>
      </sheetData>
      <sheetData sheetId="3808">
        <row r="4">
          <cell r="I4">
            <v>0</v>
          </cell>
        </row>
      </sheetData>
      <sheetData sheetId="3809">
        <row r="4">
          <cell r="I4">
            <v>0</v>
          </cell>
        </row>
      </sheetData>
      <sheetData sheetId="3810">
        <row r="4">
          <cell r="I4">
            <v>0</v>
          </cell>
        </row>
      </sheetData>
      <sheetData sheetId="3811">
        <row r="4">
          <cell r="I4">
            <v>0</v>
          </cell>
        </row>
      </sheetData>
      <sheetData sheetId="3812">
        <row r="4">
          <cell r="I4">
            <v>0</v>
          </cell>
        </row>
      </sheetData>
      <sheetData sheetId="3813">
        <row r="4">
          <cell r="I4">
            <v>0</v>
          </cell>
        </row>
      </sheetData>
      <sheetData sheetId="3814">
        <row r="4">
          <cell r="I4">
            <v>0</v>
          </cell>
        </row>
      </sheetData>
      <sheetData sheetId="3815">
        <row r="4">
          <cell r="I4">
            <v>0</v>
          </cell>
        </row>
      </sheetData>
      <sheetData sheetId="3816">
        <row r="4">
          <cell r="I4">
            <v>0</v>
          </cell>
        </row>
      </sheetData>
      <sheetData sheetId="3817">
        <row r="4">
          <cell r="I4">
            <v>0</v>
          </cell>
        </row>
      </sheetData>
      <sheetData sheetId="3818">
        <row r="4">
          <cell r="I4">
            <v>0</v>
          </cell>
        </row>
      </sheetData>
      <sheetData sheetId="3819">
        <row r="4">
          <cell r="I4">
            <v>0</v>
          </cell>
        </row>
      </sheetData>
      <sheetData sheetId="3820">
        <row r="4">
          <cell r="I4">
            <v>0</v>
          </cell>
        </row>
      </sheetData>
      <sheetData sheetId="3821">
        <row r="4">
          <cell r="I4">
            <v>0</v>
          </cell>
        </row>
      </sheetData>
      <sheetData sheetId="3822">
        <row r="4">
          <cell r="I4">
            <v>0</v>
          </cell>
        </row>
      </sheetData>
      <sheetData sheetId="3823">
        <row r="4">
          <cell r="I4">
            <v>0</v>
          </cell>
        </row>
      </sheetData>
      <sheetData sheetId="3824">
        <row r="4">
          <cell r="I4">
            <v>0</v>
          </cell>
        </row>
      </sheetData>
      <sheetData sheetId="3825">
        <row r="4">
          <cell r="I4">
            <v>0</v>
          </cell>
        </row>
      </sheetData>
      <sheetData sheetId="3826">
        <row r="4">
          <cell r="I4">
            <v>0</v>
          </cell>
        </row>
      </sheetData>
      <sheetData sheetId="3827">
        <row r="4">
          <cell r="I4">
            <v>0</v>
          </cell>
        </row>
      </sheetData>
      <sheetData sheetId="3828">
        <row r="4">
          <cell r="I4">
            <v>0</v>
          </cell>
        </row>
      </sheetData>
      <sheetData sheetId="3829">
        <row r="4">
          <cell r="I4">
            <v>0</v>
          </cell>
        </row>
      </sheetData>
      <sheetData sheetId="3830">
        <row r="4">
          <cell r="I4">
            <v>0</v>
          </cell>
        </row>
      </sheetData>
      <sheetData sheetId="3831">
        <row r="4">
          <cell r="I4">
            <v>0</v>
          </cell>
        </row>
      </sheetData>
      <sheetData sheetId="3832">
        <row r="4">
          <cell r="I4">
            <v>0</v>
          </cell>
        </row>
      </sheetData>
      <sheetData sheetId="3833">
        <row r="4">
          <cell r="I4">
            <v>0</v>
          </cell>
        </row>
      </sheetData>
      <sheetData sheetId="3834">
        <row r="4">
          <cell r="I4">
            <v>0</v>
          </cell>
        </row>
      </sheetData>
      <sheetData sheetId="3835">
        <row r="4">
          <cell r="I4">
            <v>0</v>
          </cell>
        </row>
      </sheetData>
      <sheetData sheetId="3836">
        <row r="4">
          <cell r="I4">
            <v>0</v>
          </cell>
        </row>
      </sheetData>
      <sheetData sheetId="3837">
        <row r="4">
          <cell r="I4">
            <v>0</v>
          </cell>
        </row>
      </sheetData>
      <sheetData sheetId="3838">
        <row r="4">
          <cell r="I4">
            <v>0</v>
          </cell>
        </row>
      </sheetData>
      <sheetData sheetId="3839">
        <row r="4">
          <cell r="I4">
            <v>0</v>
          </cell>
        </row>
      </sheetData>
      <sheetData sheetId="3840">
        <row r="4">
          <cell r="I4">
            <v>0</v>
          </cell>
        </row>
      </sheetData>
      <sheetData sheetId="3841">
        <row r="4">
          <cell r="I4">
            <v>0</v>
          </cell>
        </row>
      </sheetData>
      <sheetData sheetId="3842">
        <row r="4">
          <cell r="I4">
            <v>0</v>
          </cell>
        </row>
      </sheetData>
      <sheetData sheetId="3843">
        <row r="4">
          <cell r="I4">
            <v>0</v>
          </cell>
        </row>
      </sheetData>
      <sheetData sheetId="3844">
        <row r="4">
          <cell r="I4">
            <v>0</v>
          </cell>
        </row>
      </sheetData>
      <sheetData sheetId="3845">
        <row r="4">
          <cell r="I4">
            <v>0</v>
          </cell>
        </row>
      </sheetData>
      <sheetData sheetId="3846">
        <row r="4">
          <cell r="I4">
            <v>0</v>
          </cell>
        </row>
      </sheetData>
      <sheetData sheetId="3847">
        <row r="4">
          <cell r="I4">
            <v>0</v>
          </cell>
        </row>
      </sheetData>
      <sheetData sheetId="3848">
        <row r="4">
          <cell r="I4">
            <v>0</v>
          </cell>
        </row>
      </sheetData>
      <sheetData sheetId="3849">
        <row r="4">
          <cell r="I4">
            <v>0</v>
          </cell>
        </row>
      </sheetData>
      <sheetData sheetId="3850">
        <row r="4">
          <cell r="I4">
            <v>0</v>
          </cell>
        </row>
      </sheetData>
      <sheetData sheetId="3851">
        <row r="4">
          <cell r="I4">
            <v>0</v>
          </cell>
        </row>
      </sheetData>
      <sheetData sheetId="3852">
        <row r="4">
          <cell r="I4">
            <v>0</v>
          </cell>
        </row>
      </sheetData>
      <sheetData sheetId="3853">
        <row r="4">
          <cell r="I4">
            <v>0</v>
          </cell>
        </row>
      </sheetData>
      <sheetData sheetId="3854">
        <row r="4">
          <cell r="I4">
            <v>0</v>
          </cell>
        </row>
      </sheetData>
      <sheetData sheetId="3855">
        <row r="4">
          <cell r="I4">
            <v>0</v>
          </cell>
        </row>
      </sheetData>
      <sheetData sheetId="3856">
        <row r="4">
          <cell r="I4">
            <v>0</v>
          </cell>
        </row>
      </sheetData>
      <sheetData sheetId="3857">
        <row r="4">
          <cell r="I4">
            <v>0</v>
          </cell>
        </row>
      </sheetData>
      <sheetData sheetId="3858">
        <row r="4">
          <cell r="I4">
            <v>0</v>
          </cell>
        </row>
      </sheetData>
      <sheetData sheetId="3859">
        <row r="4">
          <cell r="I4">
            <v>0</v>
          </cell>
        </row>
      </sheetData>
      <sheetData sheetId="3860">
        <row r="4">
          <cell r="I4">
            <v>0</v>
          </cell>
        </row>
      </sheetData>
      <sheetData sheetId="3861">
        <row r="4">
          <cell r="I4">
            <v>0</v>
          </cell>
        </row>
      </sheetData>
      <sheetData sheetId="3862">
        <row r="4">
          <cell r="I4">
            <v>0</v>
          </cell>
        </row>
      </sheetData>
      <sheetData sheetId="3863">
        <row r="4">
          <cell r="I4">
            <v>0</v>
          </cell>
        </row>
      </sheetData>
      <sheetData sheetId="3864">
        <row r="4">
          <cell r="I4">
            <v>0</v>
          </cell>
        </row>
      </sheetData>
      <sheetData sheetId="3865">
        <row r="4">
          <cell r="I4">
            <v>0</v>
          </cell>
        </row>
      </sheetData>
      <sheetData sheetId="3866">
        <row r="4">
          <cell r="I4">
            <v>0</v>
          </cell>
        </row>
      </sheetData>
      <sheetData sheetId="3867">
        <row r="4">
          <cell r="I4">
            <v>0</v>
          </cell>
        </row>
      </sheetData>
      <sheetData sheetId="3868">
        <row r="4">
          <cell r="I4">
            <v>0</v>
          </cell>
        </row>
      </sheetData>
      <sheetData sheetId="3869">
        <row r="4">
          <cell r="I4">
            <v>0</v>
          </cell>
        </row>
      </sheetData>
      <sheetData sheetId="3870">
        <row r="4">
          <cell r="I4">
            <v>0</v>
          </cell>
        </row>
      </sheetData>
      <sheetData sheetId="3871">
        <row r="4">
          <cell r="I4">
            <v>0</v>
          </cell>
        </row>
      </sheetData>
      <sheetData sheetId="3872">
        <row r="4">
          <cell r="I4">
            <v>0</v>
          </cell>
        </row>
      </sheetData>
      <sheetData sheetId="3873">
        <row r="4">
          <cell r="I4">
            <v>0</v>
          </cell>
        </row>
      </sheetData>
      <sheetData sheetId="3874">
        <row r="4">
          <cell r="I4">
            <v>0</v>
          </cell>
        </row>
      </sheetData>
      <sheetData sheetId="3875">
        <row r="4">
          <cell r="I4">
            <v>0</v>
          </cell>
        </row>
      </sheetData>
      <sheetData sheetId="3876">
        <row r="4">
          <cell r="I4">
            <v>0</v>
          </cell>
        </row>
      </sheetData>
      <sheetData sheetId="3877">
        <row r="4">
          <cell r="I4">
            <v>0</v>
          </cell>
        </row>
      </sheetData>
      <sheetData sheetId="3878">
        <row r="4">
          <cell r="I4">
            <v>0</v>
          </cell>
        </row>
      </sheetData>
      <sheetData sheetId="3879">
        <row r="4">
          <cell r="I4">
            <v>0</v>
          </cell>
        </row>
      </sheetData>
      <sheetData sheetId="3880">
        <row r="4">
          <cell r="I4">
            <v>0</v>
          </cell>
        </row>
      </sheetData>
      <sheetData sheetId="3881">
        <row r="4">
          <cell r="I4">
            <v>0</v>
          </cell>
        </row>
      </sheetData>
      <sheetData sheetId="3882">
        <row r="4">
          <cell r="I4">
            <v>0</v>
          </cell>
        </row>
      </sheetData>
      <sheetData sheetId="3883">
        <row r="4">
          <cell r="I4">
            <v>0</v>
          </cell>
        </row>
      </sheetData>
      <sheetData sheetId="3884">
        <row r="4">
          <cell r="I4">
            <v>0</v>
          </cell>
        </row>
      </sheetData>
      <sheetData sheetId="3885">
        <row r="4">
          <cell r="I4">
            <v>0</v>
          </cell>
        </row>
      </sheetData>
      <sheetData sheetId="3886">
        <row r="4">
          <cell r="I4">
            <v>0</v>
          </cell>
        </row>
      </sheetData>
      <sheetData sheetId="3887">
        <row r="4">
          <cell r="I4">
            <v>0</v>
          </cell>
        </row>
      </sheetData>
      <sheetData sheetId="3888">
        <row r="4">
          <cell r="I4">
            <v>0</v>
          </cell>
        </row>
      </sheetData>
      <sheetData sheetId="3889">
        <row r="4">
          <cell r="I4">
            <v>0</v>
          </cell>
        </row>
      </sheetData>
      <sheetData sheetId="3890">
        <row r="4">
          <cell r="I4">
            <v>0</v>
          </cell>
        </row>
      </sheetData>
      <sheetData sheetId="3891">
        <row r="4">
          <cell r="I4">
            <v>0</v>
          </cell>
        </row>
      </sheetData>
      <sheetData sheetId="3892">
        <row r="4">
          <cell r="I4">
            <v>0</v>
          </cell>
        </row>
      </sheetData>
      <sheetData sheetId="3893">
        <row r="4">
          <cell r="I4">
            <v>0</v>
          </cell>
        </row>
      </sheetData>
      <sheetData sheetId="3894">
        <row r="4">
          <cell r="I4">
            <v>0</v>
          </cell>
        </row>
      </sheetData>
      <sheetData sheetId="3895">
        <row r="4">
          <cell r="I4">
            <v>0</v>
          </cell>
        </row>
      </sheetData>
      <sheetData sheetId="3896">
        <row r="4">
          <cell r="I4">
            <v>0</v>
          </cell>
        </row>
      </sheetData>
      <sheetData sheetId="3897">
        <row r="4">
          <cell r="I4">
            <v>0</v>
          </cell>
        </row>
      </sheetData>
      <sheetData sheetId="3898">
        <row r="4">
          <cell r="I4">
            <v>0</v>
          </cell>
        </row>
      </sheetData>
      <sheetData sheetId="3899">
        <row r="4">
          <cell r="I4">
            <v>0</v>
          </cell>
        </row>
      </sheetData>
      <sheetData sheetId="3900">
        <row r="4">
          <cell r="I4">
            <v>0</v>
          </cell>
        </row>
      </sheetData>
      <sheetData sheetId="3901">
        <row r="4">
          <cell r="I4">
            <v>0</v>
          </cell>
        </row>
      </sheetData>
      <sheetData sheetId="3902">
        <row r="4">
          <cell r="I4">
            <v>0</v>
          </cell>
        </row>
      </sheetData>
      <sheetData sheetId="3903">
        <row r="4">
          <cell r="I4">
            <v>0</v>
          </cell>
        </row>
      </sheetData>
      <sheetData sheetId="3904">
        <row r="4">
          <cell r="I4">
            <v>0</v>
          </cell>
        </row>
      </sheetData>
      <sheetData sheetId="3905">
        <row r="4">
          <cell r="I4">
            <v>0</v>
          </cell>
        </row>
      </sheetData>
      <sheetData sheetId="3906">
        <row r="4">
          <cell r="I4">
            <v>0</v>
          </cell>
        </row>
      </sheetData>
      <sheetData sheetId="3907">
        <row r="4">
          <cell r="I4">
            <v>0</v>
          </cell>
        </row>
      </sheetData>
      <sheetData sheetId="3908">
        <row r="4">
          <cell r="I4">
            <v>0</v>
          </cell>
        </row>
      </sheetData>
      <sheetData sheetId="3909">
        <row r="4">
          <cell r="I4">
            <v>0</v>
          </cell>
        </row>
      </sheetData>
      <sheetData sheetId="3910">
        <row r="4">
          <cell r="I4">
            <v>0</v>
          </cell>
        </row>
      </sheetData>
      <sheetData sheetId="3911">
        <row r="4">
          <cell r="I4">
            <v>0</v>
          </cell>
        </row>
      </sheetData>
      <sheetData sheetId="3912">
        <row r="4">
          <cell r="I4">
            <v>0</v>
          </cell>
        </row>
      </sheetData>
      <sheetData sheetId="3913">
        <row r="4">
          <cell r="I4">
            <v>0</v>
          </cell>
        </row>
      </sheetData>
      <sheetData sheetId="3914">
        <row r="4">
          <cell r="I4">
            <v>0</v>
          </cell>
        </row>
      </sheetData>
      <sheetData sheetId="3915">
        <row r="4">
          <cell r="I4">
            <v>0</v>
          </cell>
        </row>
      </sheetData>
      <sheetData sheetId="3916">
        <row r="4">
          <cell r="I4">
            <v>0</v>
          </cell>
        </row>
      </sheetData>
      <sheetData sheetId="3917">
        <row r="4">
          <cell r="I4">
            <v>0</v>
          </cell>
        </row>
      </sheetData>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ow r="4">
          <cell r="I4">
            <v>0</v>
          </cell>
        </row>
      </sheetData>
      <sheetData sheetId="4040">
        <row r="4">
          <cell r="I4">
            <v>0</v>
          </cell>
        </row>
      </sheetData>
      <sheetData sheetId="4041" refreshError="1"/>
      <sheetData sheetId="4042" refreshError="1"/>
      <sheetData sheetId="4043" refreshError="1"/>
      <sheetData sheetId="4044" refreshError="1"/>
      <sheetData sheetId="4045" refreshError="1"/>
      <sheetData sheetId="4046" refreshError="1"/>
      <sheetData sheetId="4047">
        <row r="4">
          <cell r="I4">
            <v>0</v>
          </cell>
        </row>
      </sheetData>
      <sheetData sheetId="4048">
        <row r="4">
          <cell r="I4">
            <v>0</v>
          </cell>
        </row>
      </sheetData>
      <sheetData sheetId="4049">
        <row r="4">
          <cell r="I4">
            <v>0</v>
          </cell>
        </row>
      </sheetData>
      <sheetData sheetId="4050">
        <row r="4">
          <cell r="I4">
            <v>0</v>
          </cell>
        </row>
      </sheetData>
      <sheetData sheetId="4051">
        <row r="4">
          <cell r="I4">
            <v>0</v>
          </cell>
        </row>
      </sheetData>
      <sheetData sheetId="4052" refreshError="1"/>
      <sheetData sheetId="4053">
        <row r="4">
          <cell r="I4">
            <v>0</v>
          </cell>
        </row>
      </sheetData>
      <sheetData sheetId="4054">
        <row r="4">
          <cell r="I4">
            <v>0</v>
          </cell>
        </row>
      </sheetData>
      <sheetData sheetId="4055">
        <row r="4">
          <cell r="I4">
            <v>0</v>
          </cell>
        </row>
      </sheetData>
      <sheetData sheetId="4056">
        <row r="4">
          <cell r="I4">
            <v>0</v>
          </cell>
        </row>
      </sheetData>
      <sheetData sheetId="4057">
        <row r="4">
          <cell r="I4">
            <v>0</v>
          </cell>
        </row>
      </sheetData>
      <sheetData sheetId="4058">
        <row r="4">
          <cell r="I4">
            <v>0</v>
          </cell>
        </row>
      </sheetData>
      <sheetData sheetId="4059">
        <row r="4">
          <cell r="I4">
            <v>0</v>
          </cell>
        </row>
      </sheetData>
      <sheetData sheetId="4060">
        <row r="4">
          <cell r="I4">
            <v>0</v>
          </cell>
        </row>
      </sheetData>
      <sheetData sheetId="4061">
        <row r="4">
          <cell r="I4">
            <v>0</v>
          </cell>
        </row>
      </sheetData>
      <sheetData sheetId="4062">
        <row r="4">
          <cell r="I4">
            <v>0</v>
          </cell>
        </row>
      </sheetData>
      <sheetData sheetId="4063">
        <row r="4">
          <cell r="I4">
            <v>0</v>
          </cell>
        </row>
      </sheetData>
      <sheetData sheetId="4064">
        <row r="4">
          <cell r="I4">
            <v>0</v>
          </cell>
        </row>
      </sheetData>
      <sheetData sheetId="4065">
        <row r="4">
          <cell r="I4">
            <v>0</v>
          </cell>
        </row>
      </sheetData>
      <sheetData sheetId="4066">
        <row r="4">
          <cell r="I4">
            <v>0</v>
          </cell>
        </row>
      </sheetData>
      <sheetData sheetId="4067">
        <row r="4">
          <cell r="I4">
            <v>0</v>
          </cell>
        </row>
      </sheetData>
      <sheetData sheetId="4068" refreshError="1"/>
      <sheetData sheetId="4069">
        <row r="4">
          <cell r="I4">
            <v>0</v>
          </cell>
        </row>
      </sheetData>
      <sheetData sheetId="4070">
        <row r="4">
          <cell r="I4">
            <v>0</v>
          </cell>
        </row>
      </sheetData>
      <sheetData sheetId="4071">
        <row r="4">
          <cell r="I4">
            <v>0</v>
          </cell>
        </row>
      </sheetData>
      <sheetData sheetId="4072">
        <row r="4">
          <cell r="I4">
            <v>0</v>
          </cell>
        </row>
      </sheetData>
      <sheetData sheetId="4073">
        <row r="4">
          <cell r="I4">
            <v>0</v>
          </cell>
        </row>
      </sheetData>
      <sheetData sheetId="4074">
        <row r="4">
          <cell r="I4">
            <v>0</v>
          </cell>
        </row>
      </sheetData>
      <sheetData sheetId="4075">
        <row r="4">
          <cell r="I4">
            <v>0</v>
          </cell>
        </row>
      </sheetData>
      <sheetData sheetId="4076">
        <row r="4">
          <cell r="I4">
            <v>0</v>
          </cell>
        </row>
      </sheetData>
      <sheetData sheetId="4077">
        <row r="4">
          <cell r="I4">
            <v>0</v>
          </cell>
        </row>
      </sheetData>
      <sheetData sheetId="4078">
        <row r="4">
          <cell r="I4">
            <v>0</v>
          </cell>
        </row>
      </sheetData>
      <sheetData sheetId="4079">
        <row r="4">
          <cell r="I4">
            <v>0</v>
          </cell>
        </row>
      </sheetData>
      <sheetData sheetId="4080">
        <row r="4">
          <cell r="I4">
            <v>0</v>
          </cell>
        </row>
      </sheetData>
      <sheetData sheetId="4081">
        <row r="4">
          <cell r="I4">
            <v>0</v>
          </cell>
        </row>
      </sheetData>
      <sheetData sheetId="4082">
        <row r="4">
          <cell r="I4">
            <v>0</v>
          </cell>
        </row>
      </sheetData>
      <sheetData sheetId="4083">
        <row r="4">
          <cell r="I4">
            <v>0</v>
          </cell>
        </row>
      </sheetData>
      <sheetData sheetId="4084">
        <row r="4">
          <cell r="I4">
            <v>0</v>
          </cell>
        </row>
      </sheetData>
      <sheetData sheetId="4085">
        <row r="4">
          <cell r="I4">
            <v>0</v>
          </cell>
        </row>
      </sheetData>
      <sheetData sheetId="4086">
        <row r="4">
          <cell r="I4">
            <v>0</v>
          </cell>
        </row>
      </sheetData>
      <sheetData sheetId="4087">
        <row r="4">
          <cell r="I4">
            <v>0</v>
          </cell>
        </row>
      </sheetData>
      <sheetData sheetId="4088">
        <row r="4">
          <cell r="I4">
            <v>0</v>
          </cell>
        </row>
      </sheetData>
      <sheetData sheetId="4089">
        <row r="4">
          <cell r="I4">
            <v>0</v>
          </cell>
        </row>
      </sheetData>
      <sheetData sheetId="4090">
        <row r="4">
          <cell r="I4">
            <v>0</v>
          </cell>
        </row>
      </sheetData>
      <sheetData sheetId="4091">
        <row r="4">
          <cell r="I4">
            <v>0</v>
          </cell>
        </row>
      </sheetData>
      <sheetData sheetId="4092">
        <row r="4">
          <cell r="I4">
            <v>0</v>
          </cell>
        </row>
      </sheetData>
      <sheetData sheetId="4093">
        <row r="4">
          <cell r="I4">
            <v>0</v>
          </cell>
        </row>
      </sheetData>
      <sheetData sheetId="4094" refreshError="1"/>
      <sheetData sheetId="4095">
        <row r="4">
          <cell r="I4">
            <v>0</v>
          </cell>
        </row>
      </sheetData>
      <sheetData sheetId="4096">
        <row r="4">
          <cell r="I4">
            <v>0</v>
          </cell>
        </row>
      </sheetData>
      <sheetData sheetId="4097">
        <row r="4">
          <cell r="I4">
            <v>0</v>
          </cell>
        </row>
      </sheetData>
      <sheetData sheetId="4098">
        <row r="4">
          <cell r="I4">
            <v>0</v>
          </cell>
        </row>
      </sheetData>
      <sheetData sheetId="4099">
        <row r="4">
          <cell r="I4">
            <v>0</v>
          </cell>
        </row>
      </sheetData>
      <sheetData sheetId="4100">
        <row r="4">
          <cell r="I4">
            <v>0</v>
          </cell>
        </row>
      </sheetData>
      <sheetData sheetId="4101">
        <row r="4">
          <cell r="I4">
            <v>0</v>
          </cell>
        </row>
      </sheetData>
      <sheetData sheetId="4102">
        <row r="4">
          <cell r="I4">
            <v>0</v>
          </cell>
        </row>
      </sheetData>
      <sheetData sheetId="4103">
        <row r="4">
          <cell r="I4">
            <v>0</v>
          </cell>
        </row>
      </sheetData>
      <sheetData sheetId="4104">
        <row r="4">
          <cell r="I4">
            <v>0</v>
          </cell>
        </row>
      </sheetData>
      <sheetData sheetId="4105">
        <row r="4">
          <cell r="I4">
            <v>0</v>
          </cell>
        </row>
      </sheetData>
      <sheetData sheetId="4106">
        <row r="4">
          <cell r="I4">
            <v>0</v>
          </cell>
        </row>
      </sheetData>
      <sheetData sheetId="4107">
        <row r="4">
          <cell r="I4">
            <v>0</v>
          </cell>
        </row>
      </sheetData>
      <sheetData sheetId="4108">
        <row r="4">
          <cell r="I4">
            <v>0</v>
          </cell>
        </row>
      </sheetData>
      <sheetData sheetId="4109">
        <row r="4">
          <cell r="I4">
            <v>0</v>
          </cell>
        </row>
      </sheetData>
      <sheetData sheetId="4110">
        <row r="4">
          <cell r="I4">
            <v>0</v>
          </cell>
        </row>
      </sheetData>
      <sheetData sheetId="4111">
        <row r="4">
          <cell r="I4">
            <v>0</v>
          </cell>
        </row>
      </sheetData>
      <sheetData sheetId="4112">
        <row r="4">
          <cell r="I4">
            <v>0</v>
          </cell>
        </row>
      </sheetData>
      <sheetData sheetId="4113">
        <row r="4">
          <cell r="I4">
            <v>0</v>
          </cell>
        </row>
      </sheetData>
      <sheetData sheetId="4114">
        <row r="4">
          <cell r="I4">
            <v>0</v>
          </cell>
        </row>
      </sheetData>
      <sheetData sheetId="4115">
        <row r="4">
          <cell r="I4">
            <v>0</v>
          </cell>
        </row>
      </sheetData>
      <sheetData sheetId="4116">
        <row r="4">
          <cell r="I4">
            <v>0</v>
          </cell>
        </row>
      </sheetData>
      <sheetData sheetId="4117">
        <row r="4">
          <cell r="I4">
            <v>0</v>
          </cell>
        </row>
      </sheetData>
      <sheetData sheetId="4118">
        <row r="4">
          <cell r="I4">
            <v>0</v>
          </cell>
        </row>
      </sheetData>
      <sheetData sheetId="4119">
        <row r="4">
          <cell r="I4">
            <v>0</v>
          </cell>
        </row>
      </sheetData>
      <sheetData sheetId="4120">
        <row r="4">
          <cell r="I4">
            <v>0</v>
          </cell>
        </row>
      </sheetData>
      <sheetData sheetId="4121">
        <row r="4">
          <cell r="I4">
            <v>0</v>
          </cell>
        </row>
      </sheetData>
      <sheetData sheetId="4122">
        <row r="4">
          <cell r="I4">
            <v>0</v>
          </cell>
        </row>
      </sheetData>
      <sheetData sheetId="4123">
        <row r="4">
          <cell r="I4">
            <v>0</v>
          </cell>
        </row>
      </sheetData>
      <sheetData sheetId="4124">
        <row r="4">
          <cell r="I4">
            <v>0</v>
          </cell>
        </row>
      </sheetData>
      <sheetData sheetId="4125">
        <row r="4">
          <cell r="I4">
            <v>0</v>
          </cell>
        </row>
      </sheetData>
      <sheetData sheetId="4126">
        <row r="4">
          <cell r="I4">
            <v>0</v>
          </cell>
        </row>
      </sheetData>
      <sheetData sheetId="4127">
        <row r="4">
          <cell r="I4">
            <v>0</v>
          </cell>
        </row>
      </sheetData>
      <sheetData sheetId="4128">
        <row r="4">
          <cell r="I4">
            <v>0</v>
          </cell>
        </row>
      </sheetData>
      <sheetData sheetId="4129">
        <row r="4">
          <cell r="I4">
            <v>0</v>
          </cell>
        </row>
      </sheetData>
      <sheetData sheetId="4130">
        <row r="4">
          <cell r="I4">
            <v>0</v>
          </cell>
        </row>
      </sheetData>
      <sheetData sheetId="4131">
        <row r="4">
          <cell r="I4">
            <v>0</v>
          </cell>
        </row>
      </sheetData>
      <sheetData sheetId="4132">
        <row r="4">
          <cell r="I4">
            <v>0</v>
          </cell>
        </row>
      </sheetData>
      <sheetData sheetId="4133">
        <row r="4">
          <cell r="I4">
            <v>0</v>
          </cell>
        </row>
      </sheetData>
      <sheetData sheetId="4134">
        <row r="4">
          <cell r="I4">
            <v>0</v>
          </cell>
        </row>
      </sheetData>
      <sheetData sheetId="4135">
        <row r="4">
          <cell r="I4">
            <v>0</v>
          </cell>
        </row>
      </sheetData>
      <sheetData sheetId="4136">
        <row r="4">
          <cell r="I4">
            <v>0</v>
          </cell>
        </row>
      </sheetData>
      <sheetData sheetId="4137">
        <row r="4">
          <cell r="I4">
            <v>0</v>
          </cell>
        </row>
      </sheetData>
      <sheetData sheetId="4138">
        <row r="4">
          <cell r="I4">
            <v>0</v>
          </cell>
        </row>
      </sheetData>
      <sheetData sheetId="4139">
        <row r="4">
          <cell r="I4">
            <v>0</v>
          </cell>
        </row>
      </sheetData>
      <sheetData sheetId="4140">
        <row r="4">
          <cell r="I4">
            <v>0</v>
          </cell>
        </row>
      </sheetData>
      <sheetData sheetId="4141">
        <row r="4">
          <cell r="I4">
            <v>0</v>
          </cell>
        </row>
      </sheetData>
      <sheetData sheetId="4142">
        <row r="4">
          <cell r="I4">
            <v>0</v>
          </cell>
        </row>
      </sheetData>
      <sheetData sheetId="4143">
        <row r="4">
          <cell r="I4">
            <v>0</v>
          </cell>
        </row>
      </sheetData>
      <sheetData sheetId="4144">
        <row r="4">
          <cell r="I4">
            <v>0</v>
          </cell>
        </row>
      </sheetData>
      <sheetData sheetId="4145">
        <row r="4">
          <cell r="I4">
            <v>0</v>
          </cell>
        </row>
      </sheetData>
      <sheetData sheetId="4146">
        <row r="4">
          <cell r="I4">
            <v>0</v>
          </cell>
        </row>
      </sheetData>
      <sheetData sheetId="4147">
        <row r="4">
          <cell r="I4">
            <v>0</v>
          </cell>
        </row>
      </sheetData>
      <sheetData sheetId="4148">
        <row r="4">
          <cell r="I4">
            <v>0</v>
          </cell>
        </row>
      </sheetData>
      <sheetData sheetId="4149">
        <row r="4">
          <cell r="I4">
            <v>0</v>
          </cell>
        </row>
      </sheetData>
      <sheetData sheetId="4150">
        <row r="4">
          <cell r="I4">
            <v>0</v>
          </cell>
        </row>
      </sheetData>
      <sheetData sheetId="4151">
        <row r="4">
          <cell r="I4">
            <v>0</v>
          </cell>
        </row>
      </sheetData>
      <sheetData sheetId="4152">
        <row r="4">
          <cell r="I4">
            <v>0</v>
          </cell>
        </row>
      </sheetData>
      <sheetData sheetId="4153">
        <row r="4">
          <cell r="I4">
            <v>0</v>
          </cell>
        </row>
      </sheetData>
      <sheetData sheetId="4154">
        <row r="4">
          <cell r="I4">
            <v>0</v>
          </cell>
        </row>
      </sheetData>
      <sheetData sheetId="4155">
        <row r="4">
          <cell r="I4">
            <v>0</v>
          </cell>
        </row>
      </sheetData>
      <sheetData sheetId="4156">
        <row r="4">
          <cell r="I4">
            <v>0</v>
          </cell>
        </row>
      </sheetData>
      <sheetData sheetId="4157">
        <row r="4">
          <cell r="I4">
            <v>0</v>
          </cell>
        </row>
      </sheetData>
      <sheetData sheetId="4158">
        <row r="4">
          <cell r="I4">
            <v>0</v>
          </cell>
        </row>
      </sheetData>
      <sheetData sheetId="4159">
        <row r="4">
          <cell r="I4">
            <v>0</v>
          </cell>
        </row>
      </sheetData>
      <sheetData sheetId="4160">
        <row r="4">
          <cell r="I4">
            <v>0</v>
          </cell>
        </row>
      </sheetData>
      <sheetData sheetId="4161">
        <row r="4">
          <cell r="I4">
            <v>0</v>
          </cell>
        </row>
      </sheetData>
      <sheetData sheetId="4162">
        <row r="4">
          <cell r="I4">
            <v>0</v>
          </cell>
        </row>
      </sheetData>
      <sheetData sheetId="4163">
        <row r="4">
          <cell r="I4">
            <v>0</v>
          </cell>
        </row>
      </sheetData>
      <sheetData sheetId="4164">
        <row r="4">
          <cell r="I4">
            <v>0</v>
          </cell>
        </row>
      </sheetData>
      <sheetData sheetId="4165">
        <row r="4">
          <cell r="I4">
            <v>0</v>
          </cell>
        </row>
      </sheetData>
      <sheetData sheetId="4166">
        <row r="4">
          <cell r="I4">
            <v>0</v>
          </cell>
        </row>
      </sheetData>
      <sheetData sheetId="4167">
        <row r="4">
          <cell r="I4">
            <v>0</v>
          </cell>
        </row>
      </sheetData>
      <sheetData sheetId="4168">
        <row r="4">
          <cell r="I4">
            <v>0</v>
          </cell>
        </row>
      </sheetData>
      <sheetData sheetId="4169">
        <row r="4">
          <cell r="I4">
            <v>0</v>
          </cell>
        </row>
      </sheetData>
      <sheetData sheetId="4170">
        <row r="4">
          <cell r="I4">
            <v>0</v>
          </cell>
        </row>
      </sheetData>
      <sheetData sheetId="4171">
        <row r="4">
          <cell r="I4">
            <v>0</v>
          </cell>
        </row>
      </sheetData>
      <sheetData sheetId="4172">
        <row r="4">
          <cell r="I4">
            <v>0</v>
          </cell>
        </row>
      </sheetData>
      <sheetData sheetId="4173">
        <row r="4">
          <cell r="I4">
            <v>0</v>
          </cell>
        </row>
      </sheetData>
      <sheetData sheetId="4174">
        <row r="4">
          <cell r="I4">
            <v>0</v>
          </cell>
        </row>
      </sheetData>
      <sheetData sheetId="4175">
        <row r="4">
          <cell r="I4">
            <v>0</v>
          </cell>
        </row>
      </sheetData>
      <sheetData sheetId="4176">
        <row r="4">
          <cell r="I4">
            <v>0</v>
          </cell>
        </row>
      </sheetData>
      <sheetData sheetId="4177">
        <row r="4">
          <cell r="I4">
            <v>0</v>
          </cell>
        </row>
      </sheetData>
      <sheetData sheetId="4178">
        <row r="4">
          <cell r="I4">
            <v>0</v>
          </cell>
        </row>
      </sheetData>
      <sheetData sheetId="4179">
        <row r="4">
          <cell r="I4">
            <v>0</v>
          </cell>
        </row>
      </sheetData>
      <sheetData sheetId="4180">
        <row r="4">
          <cell r="I4">
            <v>0</v>
          </cell>
        </row>
      </sheetData>
      <sheetData sheetId="4181">
        <row r="4">
          <cell r="I4">
            <v>0</v>
          </cell>
        </row>
      </sheetData>
      <sheetData sheetId="4182">
        <row r="4">
          <cell r="I4">
            <v>0</v>
          </cell>
        </row>
      </sheetData>
      <sheetData sheetId="4183">
        <row r="4">
          <cell r="I4">
            <v>0</v>
          </cell>
        </row>
      </sheetData>
      <sheetData sheetId="4184">
        <row r="4">
          <cell r="I4">
            <v>0</v>
          </cell>
        </row>
      </sheetData>
      <sheetData sheetId="4185">
        <row r="4">
          <cell r="I4">
            <v>0</v>
          </cell>
        </row>
      </sheetData>
      <sheetData sheetId="4186">
        <row r="4">
          <cell r="I4">
            <v>0</v>
          </cell>
        </row>
      </sheetData>
      <sheetData sheetId="4187">
        <row r="4">
          <cell r="I4">
            <v>0</v>
          </cell>
        </row>
      </sheetData>
      <sheetData sheetId="4188">
        <row r="4">
          <cell r="I4">
            <v>0</v>
          </cell>
        </row>
      </sheetData>
      <sheetData sheetId="4189">
        <row r="4">
          <cell r="I4">
            <v>0</v>
          </cell>
        </row>
      </sheetData>
      <sheetData sheetId="4190">
        <row r="4">
          <cell r="I4">
            <v>0</v>
          </cell>
        </row>
      </sheetData>
      <sheetData sheetId="4191">
        <row r="4">
          <cell r="I4">
            <v>0</v>
          </cell>
        </row>
      </sheetData>
      <sheetData sheetId="4192">
        <row r="4">
          <cell r="I4">
            <v>0</v>
          </cell>
        </row>
      </sheetData>
      <sheetData sheetId="4193">
        <row r="4">
          <cell r="I4">
            <v>0</v>
          </cell>
        </row>
      </sheetData>
      <sheetData sheetId="4194">
        <row r="4">
          <cell r="I4">
            <v>0</v>
          </cell>
        </row>
      </sheetData>
      <sheetData sheetId="4195">
        <row r="4">
          <cell r="I4">
            <v>0</v>
          </cell>
        </row>
      </sheetData>
      <sheetData sheetId="4196">
        <row r="4">
          <cell r="I4">
            <v>0</v>
          </cell>
        </row>
      </sheetData>
      <sheetData sheetId="4197">
        <row r="4">
          <cell r="I4">
            <v>0</v>
          </cell>
        </row>
      </sheetData>
      <sheetData sheetId="4198">
        <row r="4">
          <cell r="I4">
            <v>0</v>
          </cell>
        </row>
      </sheetData>
      <sheetData sheetId="4199">
        <row r="4">
          <cell r="I4">
            <v>0</v>
          </cell>
        </row>
      </sheetData>
      <sheetData sheetId="4200">
        <row r="4">
          <cell r="I4">
            <v>0</v>
          </cell>
        </row>
      </sheetData>
      <sheetData sheetId="4201">
        <row r="4">
          <cell r="I4">
            <v>0</v>
          </cell>
        </row>
      </sheetData>
      <sheetData sheetId="4202">
        <row r="4">
          <cell r="I4">
            <v>0</v>
          </cell>
        </row>
      </sheetData>
      <sheetData sheetId="4203">
        <row r="4">
          <cell r="I4">
            <v>0</v>
          </cell>
        </row>
      </sheetData>
      <sheetData sheetId="4204">
        <row r="4">
          <cell r="I4">
            <v>0</v>
          </cell>
        </row>
      </sheetData>
      <sheetData sheetId="4205">
        <row r="4">
          <cell r="I4">
            <v>0</v>
          </cell>
        </row>
      </sheetData>
      <sheetData sheetId="4206">
        <row r="4">
          <cell r="I4">
            <v>0</v>
          </cell>
        </row>
      </sheetData>
      <sheetData sheetId="4207">
        <row r="4">
          <cell r="I4">
            <v>0</v>
          </cell>
        </row>
      </sheetData>
      <sheetData sheetId="4208">
        <row r="4">
          <cell r="I4">
            <v>0</v>
          </cell>
        </row>
      </sheetData>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ow r="4">
          <cell r="I4">
            <v>0</v>
          </cell>
        </row>
      </sheetData>
      <sheetData sheetId="4261" refreshError="1"/>
      <sheetData sheetId="4262">
        <row r="4">
          <cell r="I4">
            <v>0</v>
          </cell>
        </row>
      </sheetData>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ow r="4">
          <cell r="I4">
            <v>0</v>
          </cell>
        </row>
      </sheetData>
      <sheetData sheetId="4278">
        <row r="4">
          <cell r="I4">
            <v>0</v>
          </cell>
        </row>
      </sheetData>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ow r="4">
          <cell r="I4">
            <v>0</v>
          </cell>
        </row>
      </sheetData>
      <sheetData sheetId="4303" refreshError="1"/>
      <sheetData sheetId="4304">
        <row r="4">
          <cell r="I4">
            <v>0</v>
          </cell>
        </row>
      </sheetData>
      <sheetData sheetId="4305">
        <row r="4">
          <cell r="I4">
            <v>0</v>
          </cell>
        </row>
      </sheetData>
      <sheetData sheetId="4306">
        <row r="4">
          <cell r="I4">
            <v>0</v>
          </cell>
        </row>
      </sheetData>
      <sheetData sheetId="4307">
        <row r="4">
          <cell r="I4">
            <v>0</v>
          </cell>
        </row>
      </sheetData>
      <sheetData sheetId="4308">
        <row r="4">
          <cell r="I4">
            <v>0</v>
          </cell>
        </row>
      </sheetData>
      <sheetData sheetId="4309">
        <row r="4">
          <cell r="I4">
            <v>0</v>
          </cell>
        </row>
      </sheetData>
      <sheetData sheetId="4310">
        <row r="4">
          <cell r="I4">
            <v>0</v>
          </cell>
        </row>
      </sheetData>
      <sheetData sheetId="4311">
        <row r="4">
          <cell r="I4">
            <v>0</v>
          </cell>
        </row>
      </sheetData>
      <sheetData sheetId="4312">
        <row r="4">
          <cell r="I4">
            <v>0</v>
          </cell>
        </row>
      </sheetData>
      <sheetData sheetId="4313">
        <row r="4">
          <cell r="I4">
            <v>0</v>
          </cell>
        </row>
      </sheetData>
      <sheetData sheetId="4314">
        <row r="4">
          <cell r="I4">
            <v>0</v>
          </cell>
        </row>
      </sheetData>
      <sheetData sheetId="4315">
        <row r="4">
          <cell r="I4">
            <v>0</v>
          </cell>
        </row>
      </sheetData>
      <sheetData sheetId="4316">
        <row r="4">
          <cell r="I4">
            <v>0</v>
          </cell>
        </row>
      </sheetData>
      <sheetData sheetId="4317">
        <row r="4">
          <cell r="I4">
            <v>0</v>
          </cell>
        </row>
      </sheetData>
      <sheetData sheetId="4318">
        <row r="4">
          <cell r="I4">
            <v>0</v>
          </cell>
        </row>
      </sheetData>
      <sheetData sheetId="4319">
        <row r="4">
          <cell r="I4">
            <v>0</v>
          </cell>
        </row>
      </sheetData>
      <sheetData sheetId="4320">
        <row r="4">
          <cell r="I4">
            <v>0</v>
          </cell>
        </row>
      </sheetData>
      <sheetData sheetId="4321">
        <row r="4">
          <cell r="I4">
            <v>0</v>
          </cell>
        </row>
      </sheetData>
      <sheetData sheetId="4322">
        <row r="4">
          <cell r="I4">
            <v>0</v>
          </cell>
        </row>
      </sheetData>
      <sheetData sheetId="4323">
        <row r="4">
          <cell r="I4">
            <v>0</v>
          </cell>
        </row>
      </sheetData>
      <sheetData sheetId="4324">
        <row r="4">
          <cell r="I4">
            <v>0</v>
          </cell>
        </row>
      </sheetData>
      <sheetData sheetId="4325">
        <row r="4">
          <cell r="I4">
            <v>0</v>
          </cell>
        </row>
      </sheetData>
      <sheetData sheetId="4326">
        <row r="4">
          <cell r="I4">
            <v>0</v>
          </cell>
        </row>
      </sheetData>
      <sheetData sheetId="4327">
        <row r="4">
          <cell r="I4">
            <v>0</v>
          </cell>
        </row>
      </sheetData>
      <sheetData sheetId="4328">
        <row r="4">
          <cell r="I4">
            <v>0</v>
          </cell>
        </row>
      </sheetData>
      <sheetData sheetId="4329">
        <row r="4">
          <cell r="I4">
            <v>0</v>
          </cell>
        </row>
      </sheetData>
      <sheetData sheetId="4330">
        <row r="4">
          <cell r="I4">
            <v>0</v>
          </cell>
        </row>
      </sheetData>
      <sheetData sheetId="4331">
        <row r="4">
          <cell r="I4">
            <v>0</v>
          </cell>
        </row>
      </sheetData>
      <sheetData sheetId="4332">
        <row r="4">
          <cell r="I4">
            <v>0</v>
          </cell>
        </row>
      </sheetData>
      <sheetData sheetId="4333">
        <row r="4">
          <cell r="I4">
            <v>0</v>
          </cell>
        </row>
      </sheetData>
      <sheetData sheetId="4334">
        <row r="4">
          <cell r="I4">
            <v>0</v>
          </cell>
        </row>
      </sheetData>
      <sheetData sheetId="4335">
        <row r="4">
          <cell r="I4">
            <v>0</v>
          </cell>
        </row>
      </sheetData>
      <sheetData sheetId="4336">
        <row r="4">
          <cell r="I4">
            <v>0</v>
          </cell>
        </row>
      </sheetData>
      <sheetData sheetId="4337">
        <row r="4">
          <cell r="I4">
            <v>0</v>
          </cell>
        </row>
      </sheetData>
      <sheetData sheetId="4338">
        <row r="4">
          <cell r="I4">
            <v>0</v>
          </cell>
        </row>
      </sheetData>
      <sheetData sheetId="4339">
        <row r="4">
          <cell r="I4">
            <v>0</v>
          </cell>
        </row>
      </sheetData>
      <sheetData sheetId="4340">
        <row r="4">
          <cell r="I4">
            <v>0</v>
          </cell>
        </row>
      </sheetData>
      <sheetData sheetId="4341">
        <row r="4">
          <cell r="I4">
            <v>0</v>
          </cell>
        </row>
      </sheetData>
      <sheetData sheetId="4342">
        <row r="4">
          <cell r="I4">
            <v>0</v>
          </cell>
        </row>
      </sheetData>
      <sheetData sheetId="4343">
        <row r="4">
          <cell r="I4">
            <v>0</v>
          </cell>
        </row>
      </sheetData>
      <sheetData sheetId="4344">
        <row r="4">
          <cell r="I4">
            <v>0</v>
          </cell>
        </row>
      </sheetData>
      <sheetData sheetId="4345">
        <row r="4">
          <cell r="I4">
            <v>0</v>
          </cell>
        </row>
      </sheetData>
      <sheetData sheetId="4346">
        <row r="4">
          <cell r="I4">
            <v>0</v>
          </cell>
        </row>
      </sheetData>
      <sheetData sheetId="4347">
        <row r="4">
          <cell r="I4">
            <v>0</v>
          </cell>
        </row>
      </sheetData>
      <sheetData sheetId="4348">
        <row r="4">
          <cell r="I4">
            <v>0</v>
          </cell>
        </row>
      </sheetData>
      <sheetData sheetId="4349">
        <row r="4">
          <cell r="I4">
            <v>0</v>
          </cell>
        </row>
      </sheetData>
      <sheetData sheetId="4350">
        <row r="4">
          <cell r="I4">
            <v>0</v>
          </cell>
        </row>
      </sheetData>
      <sheetData sheetId="4351">
        <row r="4">
          <cell r="I4">
            <v>0</v>
          </cell>
        </row>
      </sheetData>
      <sheetData sheetId="4352">
        <row r="4">
          <cell r="I4">
            <v>0</v>
          </cell>
        </row>
      </sheetData>
      <sheetData sheetId="4353">
        <row r="4">
          <cell r="I4">
            <v>0</v>
          </cell>
        </row>
      </sheetData>
      <sheetData sheetId="4354">
        <row r="4">
          <cell r="I4">
            <v>0</v>
          </cell>
        </row>
      </sheetData>
      <sheetData sheetId="4355">
        <row r="4">
          <cell r="I4">
            <v>0</v>
          </cell>
        </row>
      </sheetData>
      <sheetData sheetId="4356">
        <row r="4">
          <cell r="I4">
            <v>0</v>
          </cell>
        </row>
      </sheetData>
      <sheetData sheetId="4357">
        <row r="4">
          <cell r="I4">
            <v>0</v>
          </cell>
        </row>
      </sheetData>
      <sheetData sheetId="4358">
        <row r="4">
          <cell r="I4">
            <v>0</v>
          </cell>
        </row>
      </sheetData>
      <sheetData sheetId="4359">
        <row r="4">
          <cell r="I4">
            <v>0</v>
          </cell>
        </row>
      </sheetData>
      <sheetData sheetId="4360">
        <row r="4">
          <cell r="I4">
            <v>0</v>
          </cell>
        </row>
      </sheetData>
      <sheetData sheetId="4361">
        <row r="4">
          <cell r="I4">
            <v>0</v>
          </cell>
        </row>
      </sheetData>
      <sheetData sheetId="4362">
        <row r="4">
          <cell r="I4">
            <v>0</v>
          </cell>
        </row>
      </sheetData>
      <sheetData sheetId="4363">
        <row r="4">
          <cell r="I4">
            <v>0</v>
          </cell>
        </row>
      </sheetData>
      <sheetData sheetId="4364">
        <row r="4">
          <cell r="I4">
            <v>0</v>
          </cell>
        </row>
      </sheetData>
      <sheetData sheetId="4365">
        <row r="4">
          <cell r="I4">
            <v>0</v>
          </cell>
        </row>
      </sheetData>
      <sheetData sheetId="4366">
        <row r="4">
          <cell r="I4">
            <v>0</v>
          </cell>
        </row>
      </sheetData>
      <sheetData sheetId="4367">
        <row r="4">
          <cell r="I4">
            <v>0</v>
          </cell>
        </row>
      </sheetData>
      <sheetData sheetId="4368">
        <row r="4">
          <cell r="I4">
            <v>0</v>
          </cell>
        </row>
      </sheetData>
      <sheetData sheetId="4369">
        <row r="4">
          <cell r="I4">
            <v>0</v>
          </cell>
        </row>
      </sheetData>
      <sheetData sheetId="4370">
        <row r="4">
          <cell r="I4">
            <v>0</v>
          </cell>
        </row>
      </sheetData>
      <sheetData sheetId="4371">
        <row r="4">
          <cell r="I4">
            <v>0</v>
          </cell>
        </row>
      </sheetData>
      <sheetData sheetId="4372">
        <row r="4">
          <cell r="I4">
            <v>0</v>
          </cell>
        </row>
      </sheetData>
      <sheetData sheetId="4373">
        <row r="4">
          <cell r="I4">
            <v>0</v>
          </cell>
        </row>
      </sheetData>
      <sheetData sheetId="4374">
        <row r="4">
          <cell r="I4">
            <v>0</v>
          </cell>
        </row>
      </sheetData>
      <sheetData sheetId="4375">
        <row r="4">
          <cell r="I4">
            <v>0</v>
          </cell>
        </row>
      </sheetData>
      <sheetData sheetId="4376">
        <row r="4">
          <cell r="I4">
            <v>0</v>
          </cell>
        </row>
      </sheetData>
      <sheetData sheetId="4377">
        <row r="4">
          <cell r="I4">
            <v>0</v>
          </cell>
        </row>
      </sheetData>
      <sheetData sheetId="4378">
        <row r="4">
          <cell r="I4">
            <v>0</v>
          </cell>
        </row>
      </sheetData>
      <sheetData sheetId="4379">
        <row r="4">
          <cell r="I4">
            <v>0</v>
          </cell>
        </row>
      </sheetData>
      <sheetData sheetId="4380">
        <row r="4">
          <cell r="I4">
            <v>0</v>
          </cell>
        </row>
      </sheetData>
      <sheetData sheetId="4381">
        <row r="4">
          <cell r="I4">
            <v>0</v>
          </cell>
        </row>
      </sheetData>
      <sheetData sheetId="4382">
        <row r="4">
          <cell r="I4">
            <v>0</v>
          </cell>
        </row>
      </sheetData>
      <sheetData sheetId="4383">
        <row r="4">
          <cell r="I4">
            <v>0</v>
          </cell>
        </row>
      </sheetData>
      <sheetData sheetId="4384">
        <row r="4">
          <cell r="I4">
            <v>0</v>
          </cell>
        </row>
      </sheetData>
      <sheetData sheetId="4385">
        <row r="4">
          <cell r="I4">
            <v>0</v>
          </cell>
        </row>
      </sheetData>
      <sheetData sheetId="4386">
        <row r="4">
          <cell r="I4">
            <v>0</v>
          </cell>
        </row>
      </sheetData>
      <sheetData sheetId="4387">
        <row r="4">
          <cell r="I4">
            <v>0</v>
          </cell>
        </row>
      </sheetData>
      <sheetData sheetId="4388">
        <row r="4">
          <cell r="I4">
            <v>0</v>
          </cell>
        </row>
      </sheetData>
      <sheetData sheetId="4389">
        <row r="4">
          <cell r="I4">
            <v>0</v>
          </cell>
        </row>
      </sheetData>
      <sheetData sheetId="4390">
        <row r="4">
          <cell r="I4">
            <v>0</v>
          </cell>
        </row>
      </sheetData>
      <sheetData sheetId="4391">
        <row r="4">
          <cell r="I4">
            <v>0</v>
          </cell>
        </row>
      </sheetData>
      <sheetData sheetId="4392">
        <row r="4">
          <cell r="I4">
            <v>0</v>
          </cell>
        </row>
      </sheetData>
      <sheetData sheetId="4393">
        <row r="4">
          <cell r="I4">
            <v>0</v>
          </cell>
        </row>
      </sheetData>
      <sheetData sheetId="4394">
        <row r="4">
          <cell r="I4">
            <v>0</v>
          </cell>
        </row>
      </sheetData>
      <sheetData sheetId="4395">
        <row r="4">
          <cell r="I4">
            <v>0</v>
          </cell>
        </row>
      </sheetData>
      <sheetData sheetId="4396">
        <row r="4">
          <cell r="I4">
            <v>0</v>
          </cell>
        </row>
      </sheetData>
      <sheetData sheetId="4397">
        <row r="4">
          <cell r="I4">
            <v>0</v>
          </cell>
        </row>
      </sheetData>
      <sheetData sheetId="4398">
        <row r="4">
          <cell r="I4">
            <v>0</v>
          </cell>
        </row>
      </sheetData>
      <sheetData sheetId="4399">
        <row r="4">
          <cell r="I4">
            <v>0</v>
          </cell>
        </row>
      </sheetData>
      <sheetData sheetId="4400">
        <row r="4">
          <cell r="I4">
            <v>0</v>
          </cell>
        </row>
      </sheetData>
      <sheetData sheetId="4401">
        <row r="4">
          <cell r="I4">
            <v>0</v>
          </cell>
        </row>
      </sheetData>
      <sheetData sheetId="4402">
        <row r="4">
          <cell r="I4">
            <v>0</v>
          </cell>
        </row>
      </sheetData>
      <sheetData sheetId="4403">
        <row r="4">
          <cell r="I4">
            <v>0</v>
          </cell>
        </row>
      </sheetData>
      <sheetData sheetId="4404">
        <row r="4">
          <cell r="I4">
            <v>0</v>
          </cell>
        </row>
      </sheetData>
      <sheetData sheetId="4405">
        <row r="4">
          <cell r="I4">
            <v>0</v>
          </cell>
        </row>
      </sheetData>
      <sheetData sheetId="4406">
        <row r="4">
          <cell r="I4">
            <v>0</v>
          </cell>
        </row>
      </sheetData>
      <sheetData sheetId="4407">
        <row r="4">
          <cell r="I4">
            <v>0</v>
          </cell>
        </row>
      </sheetData>
      <sheetData sheetId="4408">
        <row r="4">
          <cell r="I4">
            <v>0</v>
          </cell>
        </row>
      </sheetData>
      <sheetData sheetId="4409">
        <row r="4">
          <cell r="I4">
            <v>0</v>
          </cell>
        </row>
      </sheetData>
      <sheetData sheetId="4410">
        <row r="4">
          <cell r="I4">
            <v>0</v>
          </cell>
        </row>
      </sheetData>
      <sheetData sheetId="4411">
        <row r="4">
          <cell r="I4">
            <v>0</v>
          </cell>
        </row>
      </sheetData>
      <sheetData sheetId="4412">
        <row r="4">
          <cell r="I4">
            <v>0</v>
          </cell>
        </row>
      </sheetData>
      <sheetData sheetId="4413">
        <row r="4">
          <cell r="I4">
            <v>0</v>
          </cell>
        </row>
      </sheetData>
      <sheetData sheetId="4414">
        <row r="4">
          <cell r="I4">
            <v>0</v>
          </cell>
        </row>
      </sheetData>
      <sheetData sheetId="4415">
        <row r="4">
          <cell r="I4">
            <v>0</v>
          </cell>
        </row>
      </sheetData>
      <sheetData sheetId="4416">
        <row r="4">
          <cell r="I4">
            <v>0</v>
          </cell>
        </row>
      </sheetData>
      <sheetData sheetId="4417">
        <row r="4">
          <cell r="I4">
            <v>0</v>
          </cell>
        </row>
      </sheetData>
      <sheetData sheetId="4418">
        <row r="4">
          <cell r="I4">
            <v>0</v>
          </cell>
        </row>
      </sheetData>
      <sheetData sheetId="4419">
        <row r="4">
          <cell r="I4">
            <v>0</v>
          </cell>
        </row>
      </sheetData>
      <sheetData sheetId="4420">
        <row r="4">
          <cell r="I4">
            <v>0</v>
          </cell>
        </row>
      </sheetData>
      <sheetData sheetId="4421">
        <row r="4">
          <cell r="I4">
            <v>0</v>
          </cell>
        </row>
      </sheetData>
      <sheetData sheetId="4422">
        <row r="4">
          <cell r="I4">
            <v>0</v>
          </cell>
        </row>
      </sheetData>
      <sheetData sheetId="4423">
        <row r="4">
          <cell r="I4">
            <v>0</v>
          </cell>
        </row>
      </sheetData>
      <sheetData sheetId="4424">
        <row r="4">
          <cell r="I4">
            <v>0</v>
          </cell>
        </row>
      </sheetData>
      <sheetData sheetId="4425">
        <row r="4">
          <cell r="I4">
            <v>0</v>
          </cell>
        </row>
      </sheetData>
      <sheetData sheetId="4426">
        <row r="4">
          <cell r="I4">
            <v>0</v>
          </cell>
        </row>
      </sheetData>
      <sheetData sheetId="4427">
        <row r="4">
          <cell r="I4">
            <v>0</v>
          </cell>
        </row>
      </sheetData>
      <sheetData sheetId="4428">
        <row r="4">
          <cell r="I4">
            <v>0</v>
          </cell>
        </row>
      </sheetData>
      <sheetData sheetId="4429">
        <row r="4">
          <cell r="I4">
            <v>0</v>
          </cell>
        </row>
      </sheetData>
      <sheetData sheetId="4430">
        <row r="4">
          <cell r="I4">
            <v>0</v>
          </cell>
        </row>
      </sheetData>
      <sheetData sheetId="4431">
        <row r="4">
          <cell r="I4">
            <v>0</v>
          </cell>
        </row>
      </sheetData>
      <sheetData sheetId="4432">
        <row r="4">
          <cell r="I4">
            <v>0</v>
          </cell>
        </row>
      </sheetData>
      <sheetData sheetId="4433">
        <row r="4">
          <cell r="I4">
            <v>0</v>
          </cell>
        </row>
      </sheetData>
      <sheetData sheetId="4434">
        <row r="4">
          <cell r="I4">
            <v>0</v>
          </cell>
        </row>
      </sheetData>
      <sheetData sheetId="4435">
        <row r="4">
          <cell r="I4">
            <v>0</v>
          </cell>
        </row>
      </sheetData>
      <sheetData sheetId="4436">
        <row r="4">
          <cell r="I4">
            <v>0</v>
          </cell>
        </row>
      </sheetData>
      <sheetData sheetId="4437">
        <row r="4">
          <cell r="I4">
            <v>0</v>
          </cell>
        </row>
      </sheetData>
      <sheetData sheetId="4438">
        <row r="4">
          <cell r="I4">
            <v>0</v>
          </cell>
        </row>
      </sheetData>
      <sheetData sheetId="4439">
        <row r="4">
          <cell r="I4">
            <v>0</v>
          </cell>
        </row>
      </sheetData>
      <sheetData sheetId="4440">
        <row r="4">
          <cell r="I4">
            <v>0</v>
          </cell>
        </row>
      </sheetData>
      <sheetData sheetId="4441">
        <row r="4">
          <cell r="I4">
            <v>0</v>
          </cell>
        </row>
      </sheetData>
      <sheetData sheetId="4442">
        <row r="4">
          <cell r="I4">
            <v>0</v>
          </cell>
        </row>
      </sheetData>
      <sheetData sheetId="4443">
        <row r="4">
          <cell r="I4">
            <v>0</v>
          </cell>
        </row>
      </sheetData>
      <sheetData sheetId="4444">
        <row r="4">
          <cell r="I4">
            <v>0</v>
          </cell>
        </row>
      </sheetData>
      <sheetData sheetId="4445">
        <row r="4">
          <cell r="I4">
            <v>0</v>
          </cell>
        </row>
      </sheetData>
      <sheetData sheetId="4446">
        <row r="4">
          <cell r="I4">
            <v>0</v>
          </cell>
        </row>
      </sheetData>
      <sheetData sheetId="4447">
        <row r="4">
          <cell r="I4">
            <v>0</v>
          </cell>
        </row>
      </sheetData>
      <sheetData sheetId="4448">
        <row r="4">
          <cell r="I4">
            <v>0</v>
          </cell>
        </row>
      </sheetData>
      <sheetData sheetId="4449">
        <row r="4">
          <cell r="I4">
            <v>0</v>
          </cell>
        </row>
      </sheetData>
      <sheetData sheetId="4450">
        <row r="4">
          <cell r="I4">
            <v>0</v>
          </cell>
        </row>
      </sheetData>
      <sheetData sheetId="4451">
        <row r="4">
          <cell r="I4">
            <v>0</v>
          </cell>
        </row>
      </sheetData>
      <sheetData sheetId="4452">
        <row r="4">
          <cell r="I4">
            <v>0</v>
          </cell>
        </row>
      </sheetData>
      <sheetData sheetId="4453">
        <row r="4">
          <cell r="I4">
            <v>0</v>
          </cell>
        </row>
      </sheetData>
      <sheetData sheetId="4454">
        <row r="4">
          <cell r="I4">
            <v>0</v>
          </cell>
        </row>
      </sheetData>
      <sheetData sheetId="4455">
        <row r="4">
          <cell r="I4">
            <v>0</v>
          </cell>
        </row>
      </sheetData>
      <sheetData sheetId="4456">
        <row r="4">
          <cell r="I4">
            <v>0</v>
          </cell>
        </row>
      </sheetData>
      <sheetData sheetId="4457">
        <row r="4">
          <cell r="I4">
            <v>0</v>
          </cell>
        </row>
      </sheetData>
      <sheetData sheetId="4458">
        <row r="4">
          <cell r="I4">
            <v>0</v>
          </cell>
        </row>
      </sheetData>
      <sheetData sheetId="4459">
        <row r="4">
          <cell r="I4">
            <v>0</v>
          </cell>
        </row>
      </sheetData>
      <sheetData sheetId="4460">
        <row r="4">
          <cell r="I4">
            <v>0</v>
          </cell>
        </row>
      </sheetData>
      <sheetData sheetId="4461">
        <row r="4">
          <cell r="I4">
            <v>0</v>
          </cell>
        </row>
      </sheetData>
      <sheetData sheetId="4462">
        <row r="4">
          <cell r="I4">
            <v>0</v>
          </cell>
        </row>
      </sheetData>
      <sheetData sheetId="4463">
        <row r="4">
          <cell r="I4">
            <v>0</v>
          </cell>
        </row>
      </sheetData>
      <sheetData sheetId="4464">
        <row r="4">
          <cell r="I4">
            <v>0</v>
          </cell>
        </row>
      </sheetData>
      <sheetData sheetId="4465">
        <row r="4">
          <cell r="I4">
            <v>0</v>
          </cell>
        </row>
      </sheetData>
      <sheetData sheetId="4466">
        <row r="4">
          <cell r="I4">
            <v>0</v>
          </cell>
        </row>
      </sheetData>
      <sheetData sheetId="4467">
        <row r="4">
          <cell r="I4">
            <v>0</v>
          </cell>
        </row>
      </sheetData>
      <sheetData sheetId="4468">
        <row r="4">
          <cell r="I4">
            <v>0</v>
          </cell>
        </row>
      </sheetData>
      <sheetData sheetId="4469">
        <row r="4">
          <cell r="I4">
            <v>0</v>
          </cell>
        </row>
      </sheetData>
      <sheetData sheetId="4470">
        <row r="4">
          <cell r="I4">
            <v>0</v>
          </cell>
        </row>
      </sheetData>
      <sheetData sheetId="4471">
        <row r="4">
          <cell r="I4">
            <v>0</v>
          </cell>
        </row>
      </sheetData>
      <sheetData sheetId="4472">
        <row r="4">
          <cell r="I4">
            <v>0</v>
          </cell>
        </row>
      </sheetData>
      <sheetData sheetId="4473">
        <row r="4">
          <cell r="I4">
            <v>0</v>
          </cell>
        </row>
      </sheetData>
      <sheetData sheetId="4474">
        <row r="4">
          <cell r="I4">
            <v>0</v>
          </cell>
        </row>
      </sheetData>
      <sheetData sheetId="4475">
        <row r="4">
          <cell r="I4">
            <v>0</v>
          </cell>
        </row>
      </sheetData>
      <sheetData sheetId="4476">
        <row r="4">
          <cell r="I4">
            <v>0</v>
          </cell>
        </row>
      </sheetData>
      <sheetData sheetId="4477">
        <row r="4">
          <cell r="I4">
            <v>0</v>
          </cell>
        </row>
      </sheetData>
      <sheetData sheetId="4478">
        <row r="4">
          <cell r="I4">
            <v>0</v>
          </cell>
        </row>
      </sheetData>
      <sheetData sheetId="4479">
        <row r="4">
          <cell r="I4">
            <v>0</v>
          </cell>
        </row>
      </sheetData>
      <sheetData sheetId="4480">
        <row r="4">
          <cell r="I4">
            <v>0</v>
          </cell>
        </row>
      </sheetData>
      <sheetData sheetId="4481">
        <row r="4">
          <cell r="I4">
            <v>0</v>
          </cell>
        </row>
      </sheetData>
      <sheetData sheetId="4482">
        <row r="4">
          <cell r="I4">
            <v>0</v>
          </cell>
        </row>
      </sheetData>
      <sheetData sheetId="4483">
        <row r="4">
          <cell r="I4">
            <v>0</v>
          </cell>
        </row>
      </sheetData>
      <sheetData sheetId="4484">
        <row r="4">
          <cell r="I4">
            <v>0</v>
          </cell>
        </row>
      </sheetData>
      <sheetData sheetId="4485">
        <row r="4">
          <cell r="I4">
            <v>0</v>
          </cell>
        </row>
      </sheetData>
      <sheetData sheetId="4486">
        <row r="4">
          <cell r="I4">
            <v>0</v>
          </cell>
        </row>
      </sheetData>
      <sheetData sheetId="4487">
        <row r="4">
          <cell r="I4">
            <v>0</v>
          </cell>
        </row>
      </sheetData>
      <sheetData sheetId="4488">
        <row r="4">
          <cell r="I4">
            <v>0</v>
          </cell>
        </row>
      </sheetData>
      <sheetData sheetId="4489">
        <row r="4">
          <cell r="I4">
            <v>0</v>
          </cell>
        </row>
      </sheetData>
      <sheetData sheetId="4490">
        <row r="4">
          <cell r="I4">
            <v>0</v>
          </cell>
        </row>
      </sheetData>
      <sheetData sheetId="4491">
        <row r="4">
          <cell r="I4">
            <v>0</v>
          </cell>
        </row>
      </sheetData>
      <sheetData sheetId="4492">
        <row r="4">
          <cell r="I4">
            <v>0</v>
          </cell>
        </row>
      </sheetData>
      <sheetData sheetId="4493">
        <row r="4">
          <cell r="I4">
            <v>0</v>
          </cell>
        </row>
      </sheetData>
      <sheetData sheetId="4494">
        <row r="4">
          <cell r="I4">
            <v>0</v>
          </cell>
        </row>
      </sheetData>
      <sheetData sheetId="4495">
        <row r="4">
          <cell r="I4">
            <v>0</v>
          </cell>
        </row>
      </sheetData>
      <sheetData sheetId="4496">
        <row r="4">
          <cell r="I4">
            <v>0</v>
          </cell>
        </row>
      </sheetData>
      <sheetData sheetId="4497">
        <row r="4">
          <cell r="I4">
            <v>0</v>
          </cell>
        </row>
      </sheetData>
      <sheetData sheetId="4498">
        <row r="4">
          <cell r="I4">
            <v>0</v>
          </cell>
        </row>
      </sheetData>
      <sheetData sheetId="4499">
        <row r="4">
          <cell r="I4">
            <v>0</v>
          </cell>
        </row>
      </sheetData>
      <sheetData sheetId="4500">
        <row r="4">
          <cell r="I4">
            <v>0</v>
          </cell>
        </row>
      </sheetData>
      <sheetData sheetId="4501">
        <row r="4">
          <cell r="I4">
            <v>0</v>
          </cell>
        </row>
      </sheetData>
      <sheetData sheetId="4502">
        <row r="4">
          <cell r="I4">
            <v>0</v>
          </cell>
        </row>
      </sheetData>
      <sheetData sheetId="4503">
        <row r="4">
          <cell r="I4">
            <v>0</v>
          </cell>
        </row>
      </sheetData>
      <sheetData sheetId="4504">
        <row r="4">
          <cell r="I4">
            <v>0</v>
          </cell>
        </row>
      </sheetData>
      <sheetData sheetId="4505">
        <row r="4">
          <cell r="I4">
            <v>0</v>
          </cell>
        </row>
      </sheetData>
      <sheetData sheetId="4506">
        <row r="4">
          <cell r="I4">
            <v>0</v>
          </cell>
        </row>
      </sheetData>
      <sheetData sheetId="4507">
        <row r="4">
          <cell r="I4">
            <v>0</v>
          </cell>
        </row>
      </sheetData>
      <sheetData sheetId="4508">
        <row r="4">
          <cell r="I4">
            <v>0</v>
          </cell>
        </row>
      </sheetData>
      <sheetData sheetId="4509">
        <row r="4">
          <cell r="I4">
            <v>0</v>
          </cell>
        </row>
      </sheetData>
      <sheetData sheetId="4510">
        <row r="4">
          <cell r="I4">
            <v>0</v>
          </cell>
        </row>
      </sheetData>
      <sheetData sheetId="4511">
        <row r="4">
          <cell r="I4">
            <v>0</v>
          </cell>
        </row>
      </sheetData>
      <sheetData sheetId="4512">
        <row r="4">
          <cell r="I4">
            <v>0</v>
          </cell>
        </row>
      </sheetData>
      <sheetData sheetId="4513">
        <row r="4">
          <cell r="I4">
            <v>0</v>
          </cell>
        </row>
      </sheetData>
      <sheetData sheetId="4514">
        <row r="4">
          <cell r="I4">
            <v>0</v>
          </cell>
        </row>
      </sheetData>
      <sheetData sheetId="4515">
        <row r="4">
          <cell r="I4">
            <v>0</v>
          </cell>
        </row>
      </sheetData>
      <sheetData sheetId="4516">
        <row r="4">
          <cell r="I4">
            <v>0</v>
          </cell>
        </row>
      </sheetData>
      <sheetData sheetId="4517">
        <row r="4">
          <cell r="I4">
            <v>0</v>
          </cell>
        </row>
      </sheetData>
      <sheetData sheetId="4518">
        <row r="4">
          <cell r="I4">
            <v>0</v>
          </cell>
        </row>
      </sheetData>
      <sheetData sheetId="4519">
        <row r="4">
          <cell r="I4">
            <v>0</v>
          </cell>
        </row>
      </sheetData>
      <sheetData sheetId="4520">
        <row r="4">
          <cell r="I4">
            <v>0</v>
          </cell>
        </row>
      </sheetData>
      <sheetData sheetId="4521">
        <row r="4">
          <cell r="I4">
            <v>0</v>
          </cell>
        </row>
      </sheetData>
      <sheetData sheetId="4522">
        <row r="4">
          <cell r="I4">
            <v>0</v>
          </cell>
        </row>
      </sheetData>
      <sheetData sheetId="4523">
        <row r="4">
          <cell r="I4">
            <v>0</v>
          </cell>
        </row>
      </sheetData>
      <sheetData sheetId="4524">
        <row r="4">
          <cell r="I4">
            <v>0</v>
          </cell>
        </row>
      </sheetData>
      <sheetData sheetId="4525">
        <row r="4">
          <cell r="I4">
            <v>0</v>
          </cell>
        </row>
      </sheetData>
      <sheetData sheetId="4526">
        <row r="4">
          <cell r="I4">
            <v>0</v>
          </cell>
        </row>
      </sheetData>
      <sheetData sheetId="4527">
        <row r="4">
          <cell r="I4">
            <v>0</v>
          </cell>
        </row>
      </sheetData>
      <sheetData sheetId="4528">
        <row r="4">
          <cell r="I4">
            <v>0</v>
          </cell>
        </row>
      </sheetData>
      <sheetData sheetId="4529">
        <row r="4">
          <cell r="I4">
            <v>0</v>
          </cell>
        </row>
      </sheetData>
      <sheetData sheetId="4530">
        <row r="4">
          <cell r="I4">
            <v>0</v>
          </cell>
        </row>
      </sheetData>
      <sheetData sheetId="4531">
        <row r="4">
          <cell r="I4">
            <v>0</v>
          </cell>
        </row>
      </sheetData>
      <sheetData sheetId="4532">
        <row r="4">
          <cell r="I4">
            <v>0</v>
          </cell>
        </row>
      </sheetData>
      <sheetData sheetId="4533" refreshError="1"/>
      <sheetData sheetId="4534">
        <row r="4">
          <cell r="I4">
            <v>0</v>
          </cell>
        </row>
      </sheetData>
      <sheetData sheetId="4535">
        <row r="4">
          <cell r="I4">
            <v>0</v>
          </cell>
        </row>
      </sheetData>
      <sheetData sheetId="4536">
        <row r="4">
          <cell r="I4">
            <v>0</v>
          </cell>
        </row>
      </sheetData>
      <sheetData sheetId="4537">
        <row r="4">
          <cell r="I4">
            <v>0</v>
          </cell>
        </row>
      </sheetData>
      <sheetData sheetId="4538">
        <row r="4">
          <cell r="I4">
            <v>0</v>
          </cell>
        </row>
      </sheetData>
      <sheetData sheetId="4539">
        <row r="4">
          <cell r="I4">
            <v>0</v>
          </cell>
        </row>
      </sheetData>
      <sheetData sheetId="4540">
        <row r="4">
          <cell r="I4">
            <v>0</v>
          </cell>
        </row>
      </sheetData>
      <sheetData sheetId="4541">
        <row r="4">
          <cell r="I4">
            <v>0</v>
          </cell>
        </row>
      </sheetData>
      <sheetData sheetId="4542">
        <row r="4">
          <cell r="I4">
            <v>0</v>
          </cell>
        </row>
      </sheetData>
      <sheetData sheetId="4543">
        <row r="4">
          <cell r="I4">
            <v>0</v>
          </cell>
        </row>
      </sheetData>
      <sheetData sheetId="4544">
        <row r="4">
          <cell r="I4">
            <v>0</v>
          </cell>
        </row>
      </sheetData>
      <sheetData sheetId="4545">
        <row r="4">
          <cell r="I4">
            <v>0</v>
          </cell>
        </row>
      </sheetData>
      <sheetData sheetId="4546">
        <row r="4">
          <cell r="I4">
            <v>0</v>
          </cell>
        </row>
      </sheetData>
      <sheetData sheetId="4547">
        <row r="4">
          <cell r="I4">
            <v>0</v>
          </cell>
        </row>
      </sheetData>
      <sheetData sheetId="4548">
        <row r="4">
          <cell r="I4">
            <v>0</v>
          </cell>
        </row>
      </sheetData>
      <sheetData sheetId="4549">
        <row r="4">
          <cell r="I4">
            <v>0</v>
          </cell>
        </row>
      </sheetData>
      <sheetData sheetId="4550">
        <row r="4">
          <cell r="I4">
            <v>0</v>
          </cell>
        </row>
      </sheetData>
      <sheetData sheetId="4551">
        <row r="4">
          <cell r="I4">
            <v>0</v>
          </cell>
        </row>
      </sheetData>
      <sheetData sheetId="4552">
        <row r="4">
          <cell r="I4">
            <v>0</v>
          </cell>
        </row>
      </sheetData>
      <sheetData sheetId="4553">
        <row r="4">
          <cell r="I4">
            <v>0</v>
          </cell>
        </row>
      </sheetData>
      <sheetData sheetId="4554">
        <row r="4">
          <cell r="I4">
            <v>0</v>
          </cell>
        </row>
      </sheetData>
      <sheetData sheetId="4555">
        <row r="4">
          <cell r="I4">
            <v>0</v>
          </cell>
        </row>
      </sheetData>
      <sheetData sheetId="4556">
        <row r="4">
          <cell r="I4">
            <v>0</v>
          </cell>
        </row>
      </sheetData>
      <sheetData sheetId="4557">
        <row r="4">
          <cell r="I4">
            <v>0</v>
          </cell>
        </row>
      </sheetData>
      <sheetData sheetId="4558">
        <row r="4">
          <cell r="I4">
            <v>0</v>
          </cell>
        </row>
      </sheetData>
      <sheetData sheetId="4559">
        <row r="4">
          <cell r="I4">
            <v>0</v>
          </cell>
        </row>
      </sheetData>
      <sheetData sheetId="4560">
        <row r="4">
          <cell r="I4">
            <v>0</v>
          </cell>
        </row>
      </sheetData>
      <sheetData sheetId="4561">
        <row r="4">
          <cell r="I4">
            <v>0</v>
          </cell>
        </row>
      </sheetData>
      <sheetData sheetId="4562">
        <row r="4">
          <cell r="I4">
            <v>0</v>
          </cell>
        </row>
      </sheetData>
      <sheetData sheetId="4563">
        <row r="4">
          <cell r="I4">
            <v>0</v>
          </cell>
        </row>
      </sheetData>
      <sheetData sheetId="4564">
        <row r="4">
          <cell r="I4">
            <v>0</v>
          </cell>
        </row>
      </sheetData>
      <sheetData sheetId="4565">
        <row r="4">
          <cell r="I4">
            <v>0</v>
          </cell>
        </row>
      </sheetData>
      <sheetData sheetId="4566">
        <row r="4">
          <cell r="I4">
            <v>0</v>
          </cell>
        </row>
      </sheetData>
      <sheetData sheetId="4567">
        <row r="4">
          <cell r="I4">
            <v>0</v>
          </cell>
        </row>
      </sheetData>
      <sheetData sheetId="4568">
        <row r="4">
          <cell r="I4">
            <v>0</v>
          </cell>
        </row>
      </sheetData>
      <sheetData sheetId="4569">
        <row r="4">
          <cell r="I4">
            <v>0</v>
          </cell>
        </row>
      </sheetData>
      <sheetData sheetId="4570">
        <row r="4">
          <cell r="I4">
            <v>0</v>
          </cell>
        </row>
      </sheetData>
      <sheetData sheetId="4571">
        <row r="4">
          <cell r="I4">
            <v>0</v>
          </cell>
        </row>
      </sheetData>
      <sheetData sheetId="4572">
        <row r="4">
          <cell r="I4">
            <v>0</v>
          </cell>
        </row>
      </sheetData>
      <sheetData sheetId="4573">
        <row r="4">
          <cell r="I4">
            <v>0</v>
          </cell>
        </row>
      </sheetData>
      <sheetData sheetId="4574">
        <row r="4">
          <cell r="I4">
            <v>0</v>
          </cell>
        </row>
      </sheetData>
      <sheetData sheetId="4575">
        <row r="4">
          <cell r="I4">
            <v>0</v>
          </cell>
        </row>
      </sheetData>
      <sheetData sheetId="4576">
        <row r="4">
          <cell r="I4">
            <v>0</v>
          </cell>
        </row>
      </sheetData>
      <sheetData sheetId="4577">
        <row r="4">
          <cell r="I4">
            <v>0</v>
          </cell>
        </row>
      </sheetData>
      <sheetData sheetId="4578">
        <row r="4">
          <cell r="I4">
            <v>0</v>
          </cell>
        </row>
      </sheetData>
      <sheetData sheetId="4579">
        <row r="4">
          <cell r="I4">
            <v>0</v>
          </cell>
        </row>
      </sheetData>
      <sheetData sheetId="4580">
        <row r="4">
          <cell r="I4">
            <v>0</v>
          </cell>
        </row>
      </sheetData>
      <sheetData sheetId="4581">
        <row r="4">
          <cell r="I4">
            <v>0</v>
          </cell>
        </row>
      </sheetData>
      <sheetData sheetId="4582">
        <row r="4">
          <cell r="I4">
            <v>0</v>
          </cell>
        </row>
      </sheetData>
      <sheetData sheetId="4583">
        <row r="4">
          <cell r="I4">
            <v>0</v>
          </cell>
        </row>
      </sheetData>
      <sheetData sheetId="4584">
        <row r="4">
          <cell r="I4">
            <v>0</v>
          </cell>
        </row>
      </sheetData>
      <sheetData sheetId="4585">
        <row r="4">
          <cell r="I4">
            <v>0</v>
          </cell>
        </row>
      </sheetData>
      <sheetData sheetId="4586">
        <row r="4">
          <cell r="I4">
            <v>0</v>
          </cell>
        </row>
      </sheetData>
      <sheetData sheetId="4587">
        <row r="4">
          <cell r="I4">
            <v>0</v>
          </cell>
        </row>
      </sheetData>
      <sheetData sheetId="4588">
        <row r="4">
          <cell r="I4">
            <v>0</v>
          </cell>
        </row>
      </sheetData>
      <sheetData sheetId="4589">
        <row r="4">
          <cell r="I4">
            <v>0</v>
          </cell>
        </row>
      </sheetData>
      <sheetData sheetId="4590">
        <row r="4">
          <cell r="I4">
            <v>0</v>
          </cell>
        </row>
      </sheetData>
      <sheetData sheetId="4591">
        <row r="4">
          <cell r="I4">
            <v>0</v>
          </cell>
        </row>
      </sheetData>
      <sheetData sheetId="4592">
        <row r="4">
          <cell r="I4">
            <v>0</v>
          </cell>
        </row>
      </sheetData>
      <sheetData sheetId="4593">
        <row r="4">
          <cell r="I4">
            <v>0</v>
          </cell>
        </row>
      </sheetData>
      <sheetData sheetId="4594">
        <row r="4">
          <cell r="I4">
            <v>0</v>
          </cell>
        </row>
      </sheetData>
      <sheetData sheetId="4595">
        <row r="4">
          <cell r="I4">
            <v>0</v>
          </cell>
        </row>
      </sheetData>
      <sheetData sheetId="4596">
        <row r="4">
          <cell r="I4">
            <v>0</v>
          </cell>
        </row>
      </sheetData>
      <sheetData sheetId="4597">
        <row r="4">
          <cell r="I4">
            <v>0</v>
          </cell>
        </row>
      </sheetData>
      <sheetData sheetId="4598">
        <row r="4">
          <cell r="I4">
            <v>0</v>
          </cell>
        </row>
      </sheetData>
      <sheetData sheetId="4599">
        <row r="4">
          <cell r="I4">
            <v>0</v>
          </cell>
        </row>
      </sheetData>
      <sheetData sheetId="4600">
        <row r="4">
          <cell r="I4">
            <v>0</v>
          </cell>
        </row>
      </sheetData>
      <sheetData sheetId="4601">
        <row r="4">
          <cell r="I4">
            <v>0</v>
          </cell>
        </row>
      </sheetData>
      <sheetData sheetId="4602">
        <row r="4">
          <cell r="I4">
            <v>0</v>
          </cell>
        </row>
      </sheetData>
      <sheetData sheetId="4603">
        <row r="4">
          <cell r="I4">
            <v>0</v>
          </cell>
        </row>
      </sheetData>
      <sheetData sheetId="4604">
        <row r="4">
          <cell r="I4">
            <v>0</v>
          </cell>
        </row>
      </sheetData>
      <sheetData sheetId="4605">
        <row r="4">
          <cell r="I4">
            <v>0</v>
          </cell>
        </row>
      </sheetData>
      <sheetData sheetId="4606">
        <row r="4">
          <cell r="I4">
            <v>0</v>
          </cell>
        </row>
      </sheetData>
      <sheetData sheetId="4607">
        <row r="4">
          <cell r="I4">
            <v>0</v>
          </cell>
        </row>
      </sheetData>
      <sheetData sheetId="4608">
        <row r="4">
          <cell r="I4">
            <v>0</v>
          </cell>
        </row>
      </sheetData>
      <sheetData sheetId="4609" refreshError="1"/>
      <sheetData sheetId="4610">
        <row r="4">
          <cell r="I4">
            <v>0</v>
          </cell>
        </row>
      </sheetData>
      <sheetData sheetId="4611" refreshError="1"/>
      <sheetData sheetId="4612" refreshError="1"/>
      <sheetData sheetId="4613" refreshError="1"/>
      <sheetData sheetId="4614" refreshError="1"/>
      <sheetData sheetId="4615">
        <row r="4">
          <cell r="I4">
            <v>0</v>
          </cell>
        </row>
      </sheetData>
      <sheetData sheetId="4616" refreshError="1"/>
      <sheetData sheetId="4617">
        <row r="4">
          <cell r="I4">
            <v>0</v>
          </cell>
        </row>
      </sheetData>
      <sheetData sheetId="4618">
        <row r="4">
          <cell r="I4">
            <v>0</v>
          </cell>
        </row>
      </sheetData>
      <sheetData sheetId="4619">
        <row r="4">
          <cell r="I4">
            <v>0</v>
          </cell>
        </row>
      </sheetData>
      <sheetData sheetId="4620">
        <row r="4">
          <cell r="I4">
            <v>0</v>
          </cell>
        </row>
      </sheetData>
      <sheetData sheetId="4621">
        <row r="4">
          <cell r="I4">
            <v>0</v>
          </cell>
        </row>
      </sheetData>
      <sheetData sheetId="4622">
        <row r="4">
          <cell r="I4">
            <v>0</v>
          </cell>
        </row>
      </sheetData>
      <sheetData sheetId="4623">
        <row r="4">
          <cell r="I4">
            <v>0</v>
          </cell>
        </row>
      </sheetData>
      <sheetData sheetId="4624">
        <row r="4">
          <cell r="I4">
            <v>0</v>
          </cell>
        </row>
      </sheetData>
      <sheetData sheetId="4625">
        <row r="4">
          <cell r="I4">
            <v>0</v>
          </cell>
        </row>
      </sheetData>
      <sheetData sheetId="4626">
        <row r="4">
          <cell r="I4">
            <v>0</v>
          </cell>
        </row>
      </sheetData>
      <sheetData sheetId="4627">
        <row r="4">
          <cell r="I4">
            <v>0</v>
          </cell>
        </row>
      </sheetData>
      <sheetData sheetId="4628">
        <row r="4">
          <cell r="I4">
            <v>0</v>
          </cell>
        </row>
      </sheetData>
      <sheetData sheetId="4629">
        <row r="4">
          <cell r="I4">
            <v>0</v>
          </cell>
        </row>
      </sheetData>
      <sheetData sheetId="4630">
        <row r="4">
          <cell r="I4">
            <v>0</v>
          </cell>
        </row>
      </sheetData>
      <sheetData sheetId="4631">
        <row r="4">
          <cell r="I4">
            <v>0</v>
          </cell>
        </row>
      </sheetData>
      <sheetData sheetId="4632">
        <row r="4">
          <cell r="I4">
            <v>0</v>
          </cell>
        </row>
      </sheetData>
      <sheetData sheetId="4633">
        <row r="4">
          <cell r="I4">
            <v>0</v>
          </cell>
        </row>
      </sheetData>
      <sheetData sheetId="4634">
        <row r="4">
          <cell r="I4">
            <v>0</v>
          </cell>
        </row>
      </sheetData>
      <sheetData sheetId="4635">
        <row r="4">
          <cell r="I4">
            <v>0</v>
          </cell>
        </row>
      </sheetData>
      <sheetData sheetId="4636">
        <row r="4">
          <cell r="I4">
            <v>0</v>
          </cell>
        </row>
      </sheetData>
      <sheetData sheetId="4637">
        <row r="4">
          <cell r="I4">
            <v>0</v>
          </cell>
        </row>
      </sheetData>
      <sheetData sheetId="4638">
        <row r="4">
          <cell r="I4">
            <v>0</v>
          </cell>
        </row>
      </sheetData>
      <sheetData sheetId="4639">
        <row r="4">
          <cell r="I4">
            <v>0</v>
          </cell>
        </row>
      </sheetData>
      <sheetData sheetId="4640">
        <row r="4">
          <cell r="I4">
            <v>0</v>
          </cell>
        </row>
      </sheetData>
      <sheetData sheetId="4641">
        <row r="4">
          <cell r="I4">
            <v>0</v>
          </cell>
        </row>
      </sheetData>
      <sheetData sheetId="4642">
        <row r="4">
          <cell r="I4">
            <v>0</v>
          </cell>
        </row>
      </sheetData>
      <sheetData sheetId="4643">
        <row r="4">
          <cell r="I4">
            <v>0</v>
          </cell>
        </row>
      </sheetData>
      <sheetData sheetId="4644">
        <row r="4">
          <cell r="I4">
            <v>0</v>
          </cell>
        </row>
      </sheetData>
      <sheetData sheetId="4645">
        <row r="4">
          <cell r="I4">
            <v>0</v>
          </cell>
        </row>
      </sheetData>
      <sheetData sheetId="4646">
        <row r="4">
          <cell r="I4">
            <v>0</v>
          </cell>
        </row>
      </sheetData>
      <sheetData sheetId="4647">
        <row r="4">
          <cell r="I4">
            <v>0</v>
          </cell>
        </row>
      </sheetData>
      <sheetData sheetId="4648">
        <row r="4">
          <cell r="I4">
            <v>0</v>
          </cell>
        </row>
      </sheetData>
      <sheetData sheetId="4649">
        <row r="4">
          <cell r="I4">
            <v>0</v>
          </cell>
        </row>
      </sheetData>
      <sheetData sheetId="4650">
        <row r="4">
          <cell r="I4">
            <v>0</v>
          </cell>
        </row>
      </sheetData>
      <sheetData sheetId="4651">
        <row r="4">
          <cell r="I4">
            <v>0</v>
          </cell>
        </row>
      </sheetData>
      <sheetData sheetId="4652">
        <row r="4">
          <cell r="I4">
            <v>0</v>
          </cell>
        </row>
      </sheetData>
      <sheetData sheetId="4653">
        <row r="4">
          <cell r="I4">
            <v>0</v>
          </cell>
        </row>
      </sheetData>
      <sheetData sheetId="4654">
        <row r="4">
          <cell r="I4">
            <v>0</v>
          </cell>
        </row>
      </sheetData>
      <sheetData sheetId="4655">
        <row r="4">
          <cell r="I4">
            <v>0</v>
          </cell>
        </row>
      </sheetData>
      <sheetData sheetId="4656">
        <row r="4">
          <cell r="I4">
            <v>0</v>
          </cell>
        </row>
      </sheetData>
      <sheetData sheetId="4657">
        <row r="4">
          <cell r="I4">
            <v>0</v>
          </cell>
        </row>
      </sheetData>
      <sheetData sheetId="4658">
        <row r="4">
          <cell r="I4">
            <v>0</v>
          </cell>
        </row>
      </sheetData>
      <sheetData sheetId="4659">
        <row r="4">
          <cell r="I4">
            <v>0</v>
          </cell>
        </row>
      </sheetData>
      <sheetData sheetId="4660">
        <row r="4">
          <cell r="I4">
            <v>0</v>
          </cell>
        </row>
      </sheetData>
      <sheetData sheetId="4661">
        <row r="4">
          <cell r="I4">
            <v>0</v>
          </cell>
        </row>
      </sheetData>
      <sheetData sheetId="4662">
        <row r="4">
          <cell r="I4">
            <v>0</v>
          </cell>
        </row>
      </sheetData>
      <sheetData sheetId="4663">
        <row r="4">
          <cell r="I4">
            <v>0</v>
          </cell>
        </row>
      </sheetData>
      <sheetData sheetId="4664">
        <row r="4">
          <cell r="I4">
            <v>0</v>
          </cell>
        </row>
      </sheetData>
      <sheetData sheetId="4665">
        <row r="4">
          <cell r="I4">
            <v>0</v>
          </cell>
        </row>
      </sheetData>
      <sheetData sheetId="4666">
        <row r="4">
          <cell r="I4">
            <v>0</v>
          </cell>
        </row>
      </sheetData>
      <sheetData sheetId="4667">
        <row r="4">
          <cell r="I4">
            <v>0</v>
          </cell>
        </row>
      </sheetData>
      <sheetData sheetId="4668">
        <row r="4">
          <cell r="I4">
            <v>0</v>
          </cell>
        </row>
      </sheetData>
      <sheetData sheetId="4669">
        <row r="4">
          <cell r="I4">
            <v>0</v>
          </cell>
        </row>
      </sheetData>
      <sheetData sheetId="4670">
        <row r="4">
          <cell r="I4">
            <v>0</v>
          </cell>
        </row>
      </sheetData>
      <sheetData sheetId="4671">
        <row r="4">
          <cell r="I4">
            <v>0</v>
          </cell>
        </row>
      </sheetData>
      <sheetData sheetId="4672">
        <row r="4">
          <cell r="I4">
            <v>0</v>
          </cell>
        </row>
      </sheetData>
      <sheetData sheetId="4673">
        <row r="4">
          <cell r="I4">
            <v>0</v>
          </cell>
        </row>
      </sheetData>
      <sheetData sheetId="4674">
        <row r="4">
          <cell r="I4">
            <v>0</v>
          </cell>
        </row>
      </sheetData>
      <sheetData sheetId="4675">
        <row r="4">
          <cell r="I4">
            <v>0</v>
          </cell>
        </row>
      </sheetData>
      <sheetData sheetId="4676">
        <row r="4">
          <cell r="I4">
            <v>0</v>
          </cell>
        </row>
      </sheetData>
      <sheetData sheetId="4677">
        <row r="4">
          <cell r="I4">
            <v>0</v>
          </cell>
        </row>
      </sheetData>
      <sheetData sheetId="4678">
        <row r="4">
          <cell r="I4">
            <v>0</v>
          </cell>
        </row>
      </sheetData>
      <sheetData sheetId="4679">
        <row r="4">
          <cell r="I4">
            <v>0</v>
          </cell>
        </row>
      </sheetData>
      <sheetData sheetId="4680">
        <row r="4">
          <cell r="I4">
            <v>0</v>
          </cell>
        </row>
      </sheetData>
      <sheetData sheetId="4681">
        <row r="4">
          <cell r="I4">
            <v>0</v>
          </cell>
        </row>
      </sheetData>
      <sheetData sheetId="4682">
        <row r="4">
          <cell r="I4">
            <v>0</v>
          </cell>
        </row>
      </sheetData>
      <sheetData sheetId="4683">
        <row r="4">
          <cell r="I4">
            <v>0</v>
          </cell>
        </row>
      </sheetData>
      <sheetData sheetId="4684">
        <row r="4">
          <cell r="I4">
            <v>0</v>
          </cell>
        </row>
      </sheetData>
      <sheetData sheetId="4685">
        <row r="4">
          <cell r="I4">
            <v>0</v>
          </cell>
        </row>
      </sheetData>
      <sheetData sheetId="4686">
        <row r="4">
          <cell r="I4">
            <v>0</v>
          </cell>
        </row>
      </sheetData>
      <sheetData sheetId="4687">
        <row r="4">
          <cell r="I4">
            <v>0</v>
          </cell>
        </row>
      </sheetData>
      <sheetData sheetId="4688">
        <row r="4">
          <cell r="I4">
            <v>0</v>
          </cell>
        </row>
      </sheetData>
      <sheetData sheetId="4689">
        <row r="4">
          <cell r="I4">
            <v>0</v>
          </cell>
        </row>
      </sheetData>
      <sheetData sheetId="4690">
        <row r="4">
          <cell r="I4">
            <v>0</v>
          </cell>
        </row>
      </sheetData>
      <sheetData sheetId="4691">
        <row r="4">
          <cell r="I4">
            <v>0</v>
          </cell>
        </row>
      </sheetData>
      <sheetData sheetId="4692">
        <row r="4">
          <cell r="I4">
            <v>0</v>
          </cell>
        </row>
      </sheetData>
      <sheetData sheetId="4693">
        <row r="4">
          <cell r="I4">
            <v>0</v>
          </cell>
        </row>
      </sheetData>
      <sheetData sheetId="4694">
        <row r="4">
          <cell r="I4">
            <v>0</v>
          </cell>
        </row>
      </sheetData>
      <sheetData sheetId="4695">
        <row r="4">
          <cell r="I4">
            <v>0</v>
          </cell>
        </row>
      </sheetData>
      <sheetData sheetId="4696">
        <row r="4">
          <cell r="I4">
            <v>0</v>
          </cell>
        </row>
      </sheetData>
      <sheetData sheetId="4697">
        <row r="4">
          <cell r="I4">
            <v>0</v>
          </cell>
        </row>
      </sheetData>
      <sheetData sheetId="4698">
        <row r="4">
          <cell r="I4">
            <v>0</v>
          </cell>
        </row>
      </sheetData>
      <sheetData sheetId="4699">
        <row r="4">
          <cell r="I4">
            <v>0</v>
          </cell>
        </row>
      </sheetData>
      <sheetData sheetId="4700">
        <row r="4">
          <cell r="I4">
            <v>0</v>
          </cell>
        </row>
      </sheetData>
      <sheetData sheetId="4701">
        <row r="4">
          <cell r="I4">
            <v>0</v>
          </cell>
        </row>
      </sheetData>
      <sheetData sheetId="4702">
        <row r="4">
          <cell r="I4">
            <v>0</v>
          </cell>
        </row>
      </sheetData>
      <sheetData sheetId="4703">
        <row r="4">
          <cell r="I4">
            <v>0</v>
          </cell>
        </row>
      </sheetData>
      <sheetData sheetId="4704">
        <row r="4">
          <cell r="I4">
            <v>0</v>
          </cell>
        </row>
      </sheetData>
      <sheetData sheetId="4705">
        <row r="4">
          <cell r="I4">
            <v>0</v>
          </cell>
        </row>
      </sheetData>
      <sheetData sheetId="4706">
        <row r="4">
          <cell r="I4">
            <v>0</v>
          </cell>
        </row>
      </sheetData>
      <sheetData sheetId="4707">
        <row r="4">
          <cell r="I4">
            <v>0</v>
          </cell>
        </row>
      </sheetData>
      <sheetData sheetId="4708">
        <row r="4">
          <cell r="I4">
            <v>0</v>
          </cell>
        </row>
      </sheetData>
      <sheetData sheetId="4709">
        <row r="4">
          <cell r="I4">
            <v>0</v>
          </cell>
        </row>
      </sheetData>
      <sheetData sheetId="4710">
        <row r="4">
          <cell r="I4">
            <v>0</v>
          </cell>
        </row>
      </sheetData>
      <sheetData sheetId="4711">
        <row r="4">
          <cell r="I4">
            <v>0</v>
          </cell>
        </row>
      </sheetData>
      <sheetData sheetId="4712">
        <row r="4">
          <cell r="I4">
            <v>0</v>
          </cell>
        </row>
      </sheetData>
      <sheetData sheetId="4713">
        <row r="4">
          <cell r="I4">
            <v>0</v>
          </cell>
        </row>
      </sheetData>
      <sheetData sheetId="4714">
        <row r="4">
          <cell r="I4">
            <v>0</v>
          </cell>
        </row>
      </sheetData>
      <sheetData sheetId="4715">
        <row r="4">
          <cell r="I4">
            <v>0</v>
          </cell>
        </row>
      </sheetData>
      <sheetData sheetId="4716">
        <row r="4">
          <cell r="I4">
            <v>0</v>
          </cell>
        </row>
      </sheetData>
      <sheetData sheetId="4717">
        <row r="4">
          <cell r="I4">
            <v>0</v>
          </cell>
        </row>
      </sheetData>
      <sheetData sheetId="4718">
        <row r="4">
          <cell r="I4">
            <v>0</v>
          </cell>
        </row>
      </sheetData>
      <sheetData sheetId="4719">
        <row r="4">
          <cell r="I4">
            <v>0</v>
          </cell>
        </row>
      </sheetData>
      <sheetData sheetId="4720">
        <row r="4">
          <cell r="I4">
            <v>0</v>
          </cell>
        </row>
      </sheetData>
      <sheetData sheetId="4721">
        <row r="4">
          <cell r="I4">
            <v>0</v>
          </cell>
        </row>
      </sheetData>
      <sheetData sheetId="4722">
        <row r="4">
          <cell r="I4">
            <v>0</v>
          </cell>
        </row>
      </sheetData>
      <sheetData sheetId="4723">
        <row r="4">
          <cell r="I4">
            <v>0</v>
          </cell>
        </row>
      </sheetData>
      <sheetData sheetId="4724">
        <row r="4">
          <cell r="I4">
            <v>0</v>
          </cell>
        </row>
      </sheetData>
      <sheetData sheetId="4725">
        <row r="4">
          <cell r="I4">
            <v>0</v>
          </cell>
        </row>
      </sheetData>
      <sheetData sheetId="4726">
        <row r="4">
          <cell r="I4">
            <v>0</v>
          </cell>
        </row>
      </sheetData>
      <sheetData sheetId="4727">
        <row r="4">
          <cell r="I4">
            <v>0</v>
          </cell>
        </row>
      </sheetData>
      <sheetData sheetId="4728">
        <row r="4">
          <cell r="I4">
            <v>0</v>
          </cell>
        </row>
      </sheetData>
      <sheetData sheetId="4729">
        <row r="4">
          <cell r="I4">
            <v>0</v>
          </cell>
        </row>
      </sheetData>
      <sheetData sheetId="4730">
        <row r="4">
          <cell r="I4">
            <v>0</v>
          </cell>
        </row>
      </sheetData>
      <sheetData sheetId="4731">
        <row r="4">
          <cell r="I4">
            <v>0</v>
          </cell>
        </row>
      </sheetData>
      <sheetData sheetId="4732">
        <row r="4">
          <cell r="I4">
            <v>0</v>
          </cell>
        </row>
      </sheetData>
      <sheetData sheetId="4733">
        <row r="4">
          <cell r="I4">
            <v>0</v>
          </cell>
        </row>
      </sheetData>
      <sheetData sheetId="4734">
        <row r="4">
          <cell r="I4">
            <v>0</v>
          </cell>
        </row>
      </sheetData>
      <sheetData sheetId="4735">
        <row r="4">
          <cell r="I4">
            <v>0</v>
          </cell>
        </row>
      </sheetData>
      <sheetData sheetId="4736">
        <row r="4">
          <cell r="I4">
            <v>0</v>
          </cell>
        </row>
      </sheetData>
      <sheetData sheetId="4737">
        <row r="4">
          <cell r="I4">
            <v>0</v>
          </cell>
        </row>
      </sheetData>
      <sheetData sheetId="4738">
        <row r="4">
          <cell r="I4">
            <v>0</v>
          </cell>
        </row>
      </sheetData>
      <sheetData sheetId="4739">
        <row r="4">
          <cell r="I4">
            <v>0</v>
          </cell>
        </row>
      </sheetData>
      <sheetData sheetId="4740">
        <row r="4">
          <cell r="I4">
            <v>0</v>
          </cell>
        </row>
      </sheetData>
      <sheetData sheetId="4741">
        <row r="4">
          <cell r="I4">
            <v>0</v>
          </cell>
        </row>
      </sheetData>
      <sheetData sheetId="4742">
        <row r="4">
          <cell r="I4">
            <v>0</v>
          </cell>
        </row>
      </sheetData>
      <sheetData sheetId="4743">
        <row r="4">
          <cell r="I4">
            <v>0</v>
          </cell>
        </row>
      </sheetData>
      <sheetData sheetId="4744">
        <row r="4">
          <cell r="I4">
            <v>0</v>
          </cell>
        </row>
      </sheetData>
      <sheetData sheetId="4745">
        <row r="4">
          <cell r="I4">
            <v>0</v>
          </cell>
        </row>
      </sheetData>
      <sheetData sheetId="4746">
        <row r="4">
          <cell r="I4">
            <v>0</v>
          </cell>
        </row>
      </sheetData>
      <sheetData sheetId="4747">
        <row r="4">
          <cell r="I4">
            <v>0</v>
          </cell>
        </row>
      </sheetData>
      <sheetData sheetId="4748">
        <row r="4">
          <cell r="I4">
            <v>0</v>
          </cell>
        </row>
      </sheetData>
      <sheetData sheetId="4749">
        <row r="4">
          <cell r="I4">
            <v>0</v>
          </cell>
        </row>
      </sheetData>
      <sheetData sheetId="4750">
        <row r="4">
          <cell r="I4">
            <v>0</v>
          </cell>
        </row>
      </sheetData>
      <sheetData sheetId="4751">
        <row r="4">
          <cell r="I4">
            <v>0</v>
          </cell>
        </row>
      </sheetData>
      <sheetData sheetId="4752">
        <row r="4">
          <cell r="I4">
            <v>0</v>
          </cell>
        </row>
      </sheetData>
      <sheetData sheetId="4753">
        <row r="4">
          <cell r="I4">
            <v>0</v>
          </cell>
        </row>
      </sheetData>
      <sheetData sheetId="4754">
        <row r="4">
          <cell r="I4">
            <v>0</v>
          </cell>
        </row>
      </sheetData>
      <sheetData sheetId="4755">
        <row r="4">
          <cell r="I4">
            <v>0</v>
          </cell>
        </row>
      </sheetData>
      <sheetData sheetId="4756">
        <row r="4">
          <cell r="I4">
            <v>0</v>
          </cell>
        </row>
      </sheetData>
      <sheetData sheetId="4757">
        <row r="4">
          <cell r="I4">
            <v>0</v>
          </cell>
        </row>
      </sheetData>
      <sheetData sheetId="4758">
        <row r="4">
          <cell r="I4">
            <v>0</v>
          </cell>
        </row>
      </sheetData>
      <sheetData sheetId="4759">
        <row r="4">
          <cell r="I4">
            <v>0</v>
          </cell>
        </row>
      </sheetData>
      <sheetData sheetId="4760">
        <row r="4">
          <cell r="I4">
            <v>0</v>
          </cell>
        </row>
      </sheetData>
      <sheetData sheetId="4761">
        <row r="4">
          <cell r="I4">
            <v>0</v>
          </cell>
        </row>
      </sheetData>
      <sheetData sheetId="4762">
        <row r="4">
          <cell r="I4">
            <v>0</v>
          </cell>
        </row>
      </sheetData>
      <sheetData sheetId="4763">
        <row r="4">
          <cell r="I4">
            <v>0</v>
          </cell>
        </row>
      </sheetData>
      <sheetData sheetId="4764">
        <row r="4">
          <cell r="I4">
            <v>0</v>
          </cell>
        </row>
      </sheetData>
      <sheetData sheetId="4765">
        <row r="4">
          <cell r="I4">
            <v>0</v>
          </cell>
        </row>
      </sheetData>
      <sheetData sheetId="4766">
        <row r="4">
          <cell r="I4">
            <v>0</v>
          </cell>
        </row>
      </sheetData>
      <sheetData sheetId="4767">
        <row r="4">
          <cell r="I4">
            <v>0</v>
          </cell>
        </row>
      </sheetData>
      <sheetData sheetId="4768">
        <row r="4">
          <cell r="I4">
            <v>0</v>
          </cell>
        </row>
      </sheetData>
      <sheetData sheetId="4769">
        <row r="4">
          <cell r="I4">
            <v>0</v>
          </cell>
        </row>
      </sheetData>
      <sheetData sheetId="4770">
        <row r="4">
          <cell r="I4">
            <v>0</v>
          </cell>
        </row>
      </sheetData>
      <sheetData sheetId="4771">
        <row r="4">
          <cell r="I4">
            <v>0</v>
          </cell>
        </row>
      </sheetData>
      <sheetData sheetId="4772">
        <row r="4">
          <cell r="I4">
            <v>0</v>
          </cell>
        </row>
      </sheetData>
      <sheetData sheetId="4773">
        <row r="4">
          <cell r="I4">
            <v>0</v>
          </cell>
        </row>
      </sheetData>
      <sheetData sheetId="4774">
        <row r="4">
          <cell r="I4">
            <v>0</v>
          </cell>
        </row>
      </sheetData>
      <sheetData sheetId="4775">
        <row r="4">
          <cell r="I4">
            <v>0</v>
          </cell>
        </row>
      </sheetData>
      <sheetData sheetId="4776">
        <row r="4">
          <cell r="I4">
            <v>0</v>
          </cell>
        </row>
      </sheetData>
      <sheetData sheetId="4777">
        <row r="4">
          <cell r="I4">
            <v>0</v>
          </cell>
        </row>
      </sheetData>
      <sheetData sheetId="4778">
        <row r="4">
          <cell r="I4">
            <v>0</v>
          </cell>
        </row>
      </sheetData>
      <sheetData sheetId="4779">
        <row r="4">
          <cell r="I4">
            <v>0</v>
          </cell>
        </row>
      </sheetData>
      <sheetData sheetId="4780">
        <row r="4">
          <cell r="I4">
            <v>0</v>
          </cell>
        </row>
      </sheetData>
      <sheetData sheetId="4781">
        <row r="4">
          <cell r="I4">
            <v>0</v>
          </cell>
        </row>
      </sheetData>
      <sheetData sheetId="4782">
        <row r="4">
          <cell r="I4">
            <v>0</v>
          </cell>
        </row>
      </sheetData>
      <sheetData sheetId="4783">
        <row r="4">
          <cell r="I4">
            <v>0</v>
          </cell>
        </row>
      </sheetData>
      <sheetData sheetId="4784">
        <row r="4">
          <cell r="I4">
            <v>0</v>
          </cell>
        </row>
      </sheetData>
      <sheetData sheetId="4785">
        <row r="4">
          <cell r="I4">
            <v>0</v>
          </cell>
        </row>
      </sheetData>
      <sheetData sheetId="4786">
        <row r="4">
          <cell r="I4">
            <v>0</v>
          </cell>
        </row>
      </sheetData>
      <sheetData sheetId="4787">
        <row r="4">
          <cell r="I4">
            <v>0</v>
          </cell>
        </row>
      </sheetData>
      <sheetData sheetId="4788">
        <row r="4">
          <cell r="I4">
            <v>0</v>
          </cell>
        </row>
      </sheetData>
      <sheetData sheetId="4789">
        <row r="4">
          <cell r="I4">
            <v>0</v>
          </cell>
        </row>
      </sheetData>
      <sheetData sheetId="4790">
        <row r="4">
          <cell r="I4">
            <v>0</v>
          </cell>
        </row>
      </sheetData>
      <sheetData sheetId="4791">
        <row r="4">
          <cell r="I4">
            <v>0</v>
          </cell>
        </row>
      </sheetData>
      <sheetData sheetId="4792">
        <row r="4">
          <cell r="I4">
            <v>0</v>
          </cell>
        </row>
      </sheetData>
      <sheetData sheetId="4793">
        <row r="4">
          <cell r="I4">
            <v>0</v>
          </cell>
        </row>
      </sheetData>
      <sheetData sheetId="4794">
        <row r="4">
          <cell r="I4">
            <v>0</v>
          </cell>
        </row>
      </sheetData>
      <sheetData sheetId="4795">
        <row r="4">
          <cell r="I4">
            <v>0</v>
          </cell>
        </row>
      </sheetData>
      <sheetData sheetId="4796">
        <row r="4">
          <cell r="I4">
            <v>0</v>
          </cell>
        </row>
      </sheetData>
      <sheetData sheetId="4797">
        <row r="4">
          <cell r="I4">
            <v>0</v>
          </cell>
        </row>
      </sheetData>
      <sheetData sheetId="4798">
        <row r="4">
          <cell r="I4">
            <v>0</v>
          </cell>
        </row>
      </sheetData>
      <sheetData sheetId="4799">
        <row r="4">
          <cell r="I4">
            <v>0</v>
          </cell>
        </row>
      </sheetData>
      <sheetData sheetId="4800">
        <row r="4">
          <cell r="I4">
            <v>0</v>
          </cell>
        </row>
      </sheetData>
      <sheetData sheetId="4801">
        <row r="4">
          <cell r="I4">
            <v>0</v>
          </cell>
        </row>
      </sheetData>
      <sheetData sheetId="4802">
        <row r="4">
          <cell r="I4">
            <v>0</v>
          </cell>
        </row>
      </sheetData>
      <sheetData sheetId="4803">
        <row r="4">
          <cell r="I4">
            <v>0</v>
          </cell>
        </row>
      </sheetData>
      <sheetData sheetId="4804">
        <row r="4">
          <cell r="I4">
            <v>0</v>
          </cell>
        </row>
      </sheetData>
      <sheetData sheetId="4805">
        <row r="4">
          <cell r="I4">
            <v>0</v>
          </cell>
        </row>
      </sheetData>
      <sheetData sheetId="4806">
        <row r="4">
          <cell r="I4">
            <v>0</v>
          </cell>
        </row>
      </sheetData>
      <sheetData sheetId="4807">
        <row r="4">
          <cell r="I4">
            <v>0</v>
          </cell>
        </row>
      </sheetData>
      <sheetData sheetId="4808">
        <row r="4">
          <cell r="I4">
            <v>0</v>
          </cell>
        </row>
      </sheetData>
      <sheetData sheetId="4809">
        <row r="4">
          <cell r="I4">
            <v>0</v>
          </cell>
        </row>
      </sheetData>
      <sheetData sheetId="4810">
        <row r="4">
          <cell r="I4">
            <v>0</v>
          </cell>
        </row>
      </sheetData>
      <sheetData sheetId="4811">
        <row r="4">
          <cell r="I4">
            <v>0</v>
          </cell>
        </row>
      </sheetData>
      <sheetData sheetId="4812">
        <row r="4">
          <cell r="I4">
            <v>0</v>
          </cell>
        </row>
      </sheetData>
      <sheetData sheetId="4813">
        <row r="4">
          <cell r="I4">
            <v>0</v>
          </cell>
        </row>
      </sheetData>
      <sheetData sheetId="4814">
        <row r="4">
          <cell r="I4">
            <v>0</v>
          </cell>
        </row>
      </sheetData>
      <sheetData sheetId="4815">
        <row r="4">
          <cell r="I4">
            <v>0</v>
          </cell>
        </row>
      </sheetData>
      <sheetData sheetId="4816">
        <row r="4">
          <cell r="I4">
            <v>0</v>
          </cell>
        </row>
      </sheetData>
      <sheetData sheetId="4817">
        <row r="4">
          <cell r="I4">
            <v>0</v>
          </cell>
        </row>
      </sheetData>
      <sheetData sheetId="4818">
        <row r="4">
          <cell r="I4">
            <v>0</v>
          </cell>
        </row>
      </sheetData>
      <sheetData sheetId="4819">
        <row r="4">
          <cell r="I4">
            <v>0</v>
          </cell>
        </row>
      </sheetData>
      <sheetData sheetId="4820">
        <row r="4">
          <cell r="I4">
            <v>0</v>
          </cell>
        </row>
      </sheetData>
      <sheetData sheetId="4821">
        <row r="4">
          <cell r="I4">
            <v>0</v>
          </cell>
        </row>
      </sheetData>
      <sheetData sheetId="4822">
        <row r="4">
          <cell r="I4">
            <v>0</v>
          </cell>
        </row>
      </sheetData>
      <sheetData sheetId="4823">
        <row r="4">
          <cell r="I4">
            <v>0</v>
          </cell>
        </row>
      </sheetData>
      <sheetData sheetId="4824">
        <row r="4">
          <cell r="I4">
            <v>0</v>
          </cell>
        </row>
      </sheetData>
      <sheetData sheetId="4825">
        <row r="4">
          <cell r="I4">
            <v>0</v>
          </cell>
        </row>
      </sheetData>
      <sheetData sheetId="4826">
        <row r="4">
          <cell r="I4">
            <v>0</v>
          </cell>
        </row>
      </sheetData>
      <sheetData sheetId="4827">
        <row r="4">
          <cell r="I4">
            <v>0</v>
          </cell>
        </row>
      </sheetData>
      <sheetData sheetId="4828">
        <row r="4">
          <cell r="I4">
            <v>0</v>
          </cell>
        </row>
      </sheetData>
      <sheetData sheetId="4829">
        <row r="4">
          <cell r="I4">
            <v>0</v>
          </cell>
        </row>
      </sheetData>
      <sheetData sheetId="4830">
        <row r="4">
          <cell r="I4">
            <v>0</v>
          </cell>
        </row>
      </sheetData>
      <sheetData sheetId="4831">
        <row r="4">
          <cell r="I4">
            <v>0</v>
          </cell>
        </row>
      </sheetData>
      <sheetData sheetId="4832">
        <row r="4">
          <cell r="I4">
            <v>0</v>
          </cell>
        </row>
      </sheetData>
      <sheetData sheetId="4833">
        <row r="4">
          <cell r="I4">
            <v>0</v>
          </cell>
        </row>
      </sheetData>
      <sheetData sheetId="4834">
        <row r="4">
          <cell r="I4">
            <v>0</v>
          </cell>
        </row>
      </sheetData>
      <sheetData sheetId="4835">
        <row r="4">
          <cell r="I4">
            <v>0</v>
          </cell>
        </row>
      </sheetData>
      <sheetData sheetId="4836">
        <row r="4">
          <cell r="I4">
            <v>0</v>
          </cell>
        </row>
      </sheetData>
      <sheetData sheetId="4837">
        <row r="4">
          <cell r="I4">
            <v>0</v>
          </cell>
        </row>
      </sheetData>
      <sheetData sheetId="4838">
        <row r="4">
          <cell r="I4">
            <v>0</v>
          </cell>
        </row>
      </sheetData>
      <sheetData sheetId="4839">
        <row r="4">
          <cell r="I4">
            <v>0</v>
          </cell>
        </row>
      </sheetData>
      <sheetData sheetId="4840">
        <row r="4">
          <cell r="I4">
            <v>0</v>
          </cell>
        </row>
      </sheetData>
      <sheetData sheetId="4841">
        <row r="4">
          <cell r="I4">
            <v>0</v>
          </cell>
        </row>
      </sheetData>
      <sheetData sheetId="4842">
        <row r="4">
          <cell r="I4">
            <v>0</v>
          </cell>
        </row>
      </sheetData>
      <sheetData sheetId="4843">
        <row r="4">
          <cell r="I4">
            <v>0</v>
          </cell>
        </row>
      </sheetData>
      <sheetData sheetId="4844">
        <row r="4">
          <cell r="I4">
            <v>0</v>
          </cell>
        </row>
      </sheetData>
      <sheetData sheetId="4845">
        <row r="4">
          <cell r="I4">
            <v>0</v>
          </cell>
        </row>
      </sheetData>
      <sheetData sheetId="4846">
        <row r="4">
          <cell r="I4">
            <v>0</v>
          </cell>
        </row>
      </sheetData>
      <sheetData sheetId="4847">
        <row r="4">
          <cell r="I4">
            <v>0</v>
          </cell>
        </row>
      </sheetData>
      <sheetData sheetId="4848">
        <row r="4">
          <cell r="I4">
            <v>0</v>
          </cell>
        </row>
      </sheetData>
      <sheetData sheetId="4849">
        <row r="4">
          <cell r="I4">
            <v>0</v>
          </cell>
        </row>
      </sheetData>
      <sheetData sheetId="4850">
        <row r="4">
          <cell r="I4">
            <v>0</v>
          </cell>
        </row>
      </sheetData>
      <sheetData sheetId="4851">
        <row r="4">
          <cell r="I4">
            <v>0</v>
          </cell>
        </row>
      </sheetData>
      <sheetData sheetId="4852">
        <row r="4">
          <cell r="I4">
            <v>0</v>
          </cell>
        </row>
      </sheetData>
      <sheetData sheetId="4853">
        <row r="4">
          <cell r="I4">
            <v>0</v>
          </cell>
        </row>
      </sheetData>
      <sheetData sheetId="4854">
        <row r="4">
          <cell r="I4">
            <v>0</v>
          </cell>
        </row>
      </sheetData>
      <sheetData sheetId="4855">
        <row r="4">
          <cell r="I4">
            <v>0</v>
          </cell>
        </row>
      </sheetData>
      <sheetData sheetId="4856">
        <row r="4">
          <cell r="I4">
            <v>0</v>
          </cell>
        </row>
      </sheetData>
      <sheetData sheetId="4857">
        <row r="4">
          <cell r="I4">
            <v>0</v>
          </cell>
        </row>
      </sheetData>
      <sheetData sheetId="4858">
        <row r="4">
          <cell r="I4">
            <v>0</v>
          </cell>
        </row>
      </sheetData>
      <sheetData sheetId="4859">
        <row r="4">
          <cell r="I4">
            <v>0</v>
          </cell>
        </row>
      </sheetData>
      <sheetData sheetId="4860">
        <row r="4">
          <cell r="I4">
            <v>0</v>
          </cell>
        </row>
      </sheetData>
      <sheetData sheetId="4861">
        <row r="4">
          <cell r="I4">
            <v>0</v>
          </cell>
        </row>
      </sheetData>
      <sheetData sheetId="4862">
        <row r="4">
          <cell r="I4">
            <v>0</v>
          </cell>
        </row>
      </sheetData>
      <sheetData sheetId="4863">
        <row r="4">
          <cell r="I4">
            <v>0</v>
          </cell>
        </row>
      </sheetData>
      <sheetData sheetId="4864">
        <row r="4">
          <cell r="I4">
            <v>0</v>
          </cell>
        </row>
      </sheetData>
      <sheetData sheetId="4865">
        <row r="4">
          <cell r="I4">
            <v>0</v>
          </cell>
        </row>
      </sheetData>
      <sheetData sheetId="4866">
        <row r="4">
          <cell r="I4">
            <v>0</v>
          </cell>
        </row>
      </sheetData>
      <sheetData sheetId="4867">
        <row r="4">
          <cell r="I4">
            <v>0</v>
          </cell>
        </row>
      </sheetData>
      <sheetData sheetId="4868">
        <row r="4">
          <cell r="I4">
            <v>0</v>
          </cell>
        </row>
      </sheetData>
      <sheetData sheetId="4869">
        <row r="4">
          <cell r="I4">
            <v>0</v>
          </cell>
        </row>
      </sheetData>
      <sheetData sheetId="4870">
        <row r="4">
          <cell r="I4">
            <v>0</v>
          </cell>
        </row>
      </sheetData>
      <sheetData sheetId="4871">
        <row r="4">
          <cell r="I4">
            <v>0</v>
          </cell>
        </row>
      </sheetData>
      <sheetData sheetId="4872">
        <row r="4">
          <cell r="I4">
            <v>0</v>
          </cell>
        </row>
      </sheetData>
      <sheetData sheetId="4873">
        <row r="4">
          <cell r="I4">
            <v>0</v>
          </cell>
        </row>
      </sheetData>
      <sheetData sheetId="4874">
        <row r="4">
          <cell r="I4">
            <v>0</v>
          </cell>
        </row>
      </sheetData>
      <sheetData sheetId="4875">
        <row r="4">
          <cell r="I4">
            <v>0</v>
          </cell>
        </row>
      </sheetData>
      <sheetData sheetId="4876">
        <row r="4">
          <cell r="I4">
            <v>0</v>
          </cell>
        </row>
      </sheetData>
      <sheetData sheetId="4877">
        <row r="4">
          <cell r="I4">
            <v>0</v>
          </cell>
        </row>
      </sheetData>
      <sheetData sheetId="4878">
        <row r="4">
          <cell r="I4">
            <v>0</v>
          </cell>
        </row>
      </sheetData>
      <sheetData sheetId="4879">
        <row r="4">
          <cell r="I4">
            <v>0</v>
          </cell>
        </row>
      </sheetData>
      <sheetData sheetId="4880">
        <row r="4">
          <cell r="I4">
            <v>0</v>
          </cell>
        </row>
      </sheetData>
      <sheetData sheetId="4881">
        <row r="4">
          <cell r="I4">
            <v>0</v>
          </cell>
        </row>
      </sheetData>
      <sheetData sheetId="4882">
        <row r="4">
          <cell r="I4">
            <v>0</v>
          </cell>
        </row>
      </sheetData>
      <sheetData sheetId="4883">
        <row r="4">
          <cell r="I4">
            <v>0</v>
          </cell>
        </row>
      </sheetData>
      <sheetData sheetId="4884">
        <row r="4">
          <cell r="I4">
            <v>0</v>
          </cell>
        </row>
      </sheetData>
      <sheetData sheetId="4885">
        <row r="4">
          <cell r="I4">
            <v>0</v>
          </cell>
        </row>
      </sheetData>
      <sheetData sheetId="4886">
        <row r="4">
          <cell r="I4">
            <v>0</v>
          </cell>
        </row>
      </sheetData>
      <sheetData sheetId="4887">
        <row r="4">
          <cell r="I4">
            <v>0</v>
          </cell>
        </row>
      </sheetData>
      <sheetData sheetId="4888">
        <row r="4">
          <cell r="I4">
            <v>0</v>
          </cell>
        </row>
      </sheetData>
      <sheetData sheetId="4889">
        <row r="4">
          <cell r="I4">
            <v>0</v>
          </cell>
        </row>
      </sheetData>
      <sheetData sheetId="4890">
        <row r="4">
          <cell r="I4">
            <v>0</v>
          </cell>
        </row>
      </sheetData>
      <sheetData sheetId="4891">
        <row r="4">
          <cell r="I4">
            <v>0</v>
          </cell>
        </row>
      </sheetData>
      <sheetData sheetId="4892">
        <row r="4">
          <cell r="I4">
            <v>0</v>
          </cell>
        </row>
      </sheetData>
      <sheetData sheetId="4893">
        <row r="4">
          <cell r="I4">
            <v>0</v>
          </cell>
        </row>
      </sheetData>
      <sheetData sheetId="4894">
        <row r="4">
          <cell r="I4">
            <v>0</v>
          </cell>
        </row>
      </sheetData>
      <sheetData sheetId="4895">
        <row r="4">
          <cell r="I4">
            <v>0</v>
          </cell>
        </row>
      </sheetData>
      <sheetData sheetId="4896">
        <row r="4">
          <cell r="I4">
            <v>0</v>
          </cell>
        </row>
      </sheetData>
      <sheetData sheetId="4897">
        <row r="4">
          <cell r="I4">
            <v>0</v>
          </cell>
        </row>
      </sheetData>
      <sheetData sheetId="4898">
        <row r="4">
          <cell r="I4">
            <v>0</v>
          </cell>
        </row>
      </sheetData>
      <sheetData sheetId="4899">
        <row r="4">
          <cell r="I4">
            <v>0</v>
          </cell>
        </row>
      </sheetData>
      <sheetData sheetId="4900">
        <row r="4">
          <cell r="I4">
            <v>0</v>
          </cell>
        </row>
      </sheetData>
      <sheetData sheetId="4901">
        <row r="4">
          <cell r="I4">
            <v>0</v>
          </cell>
        </row>
      </sheetData>
      <sheetData sheetId="4902">
        <row r="4">
          <cell r="I4">
            <v>0</v>
          </cell>
        </row>
      </sheetData>
      <sheetData sheetId="4903">
        <row r="4">
          <cell r="I4">
            <v>0</v>
          </cell>
        </row>
      </sheetData>
      <sheetData sheetId="4904">
        <row r="4">
          <cell r="I4">
            <v>0</v>
          </cell>
        </row>
      </sheetData>
      <sheetData sheetId="4905">
        <row r="4">
          <cell r="I4">
            <v>0</v>
          </cell>
        </row>
      </sheetData>
      <sheetData sheetId="4906">
        <row r="4">
          <cell r="I4">
            <v>0</v>
          </cell>
        </row>
      </sheetData>
      <sheetData sheetId="4907">
        <row r="4">
          <cell r="I4">
            <v>0</v>
          </cell>
        </row>
      </sheetData>
      <sheetData sheetId="4908">
        <row r="4">
          <cell r="I4">
            <v>0</v>
          </cell>
        </row>
      </sheetData>
      <sheetData sheetId="4909">
        <row r="4">
          <cell r="I4">
            <v>0</v>
          </cell>
        </row>
      </sheetData>
      <sheetData sheetId="4910">
        <row r="4">
          <cell r="I4">
            <v>0</v>
          </cell>
        </row>
      </sheetData>
      <sheetData sheetId="4911">
        <row r="4">
          <cell r="I4">
            <v>0</v>
          </cell>
        </row>
      </sheetData>
      <sheetData sheetId="4912">
        <row r="4">
          <cell r="I4">
            <v>0</v>
          </cell>
        </row>
      </sheetData>
      <sheetData sheetId="4913">
        <row r="4">
          <cell r="I4">
            <v>0</v>
          </cell>
        </row>
      </sheetData>
      <sheetData sheetId="4914">
        <row r="4">
          <cell r="I4">
            <v>0</v>
          </cell>
        </row>
      </sheetData>
      <sheetData sheetId="4915">
        <row r="4">
          <cell r="I4">
            <v>0</v>
          </cell>
        </row>
      </sheetData>
      <sheetData sheetId="4916">
        <row r="4">
          <cell r="I4">
            <v>0</v>
          </cell>
        </row>
      </sheetData>
      <sheetData sheetId="4917">
        <row r="4">
          <cell r="I4">
            <v>0</v>
          </cell>
        </row>
      </sheetData>
      <sheetData sheetId="4918">
        <row r="4">
          <cell r="I4">
            <v>0</v>
          </cell>
        </row>
      </sheetData>
      <sheetData sheetId="4919">
        <row r="4">
          <cell r="I4">
            <v>0</v>
          </cell>
        </row>
      </sheetData>
      <sheetData sheetId="4920">
        <row r="4">
          <cell r="I4">
            <v>0</v>
          </cell>
        </row>
      </sheetData>
      <sheetData sheetId="4921">
        <row r="4">
          <cell r="I4">
            <v>0</v>
          </cell>
        </row>
      </sheetData>
      <sheetData sheetId="4922">
        <row r="4">
          <cell r="I4">
            <v>0</v>
          </cell>
        </row>
      </sheetData>
      <sheetData sheetId="4923">
        <row r="4">
          <cell r="I4">
            <v>0</v>
          </cell>
        </row>
      </sheetData>
      <sheetData sheetId="4924">
        <row r="4">
          <cell r="I4">
            <v>0</v>
          </cell>
        </row>
      </sheetData>
      <sheetData sheetId="4925">
        <row r="4">
          <cell r="I4">
            <v>0</v>
          </cell>
        </row>
      </sheetData>
      <sheetData sheetId="4926">
        <row r="4">
          <cell r="I4">
            <v>0</v>
          </cell>
        </row>
      </sheetData>
      <sheetData sheetId="4927">
        <row r="4">
          <cell r="I4">
            <v>0</v>
          </cell>
        </row>
      </sheetData>
      <sheetData sheetId="4928">
        <row r="4">
          <cell r="I4">
            <v>0</v>
          </cell>
        </row>
      </sheetData>
      <sheetData sheetId="4929">
        <row r="4">
          <cell r="I4">
            <v>0</v>
          </cell>
        </row>
      </sheetData>
      <sheetData sheetId="4930">
        <row r="4">
          <cell r="I4">
            <v>0</v>
          </cell>
        </row>
      </sheetData>
      <sheetData sheetId="4931">
        <row r="4">
          <cell r="I4">
            <v>0</v>
          </cell>
        </row>
      </sheetData>
      <sheetData sheetId="4932">
        <row r="4">
          <cell r="I4">
            <v>0</v>
          </cell>
        </row>
      </sheetData>
      <sheetData sheetId="4933">
        <row r="4">
          <cell r="I4">
            <v>0</v>
          </cell>
        </row>
      </sheetData>
      <sheetData sheetId="4934">
        <row r="4">
          <cell r="I4">
            <v>0</v>
          </cell>
        </row>
      </sheetData>
      <sheetData sheetId="4935">
        <row r="4">
          <cell r="I4">
            <v>0</v>
          </cell>
        </row>
      </sheetData>
      <sheetData sheetId="4936">
        <row r="4">
          <cell r="I4">
            <v>0</v>
          </cell>
        </row>
      </sheetData>
      <sheetData sheetId="4937">
        <row r="4">
          <cell r="I4">
            <v>0</v>
          </cell>
        </row>
      </sheetData>
      <sheetData sheetId="4938">
        <row r="4">
          <cell r="I4">
            <v>0</v>
          </cell>
        </row>
      </sheetData>
      <sheetData sheetId="4939">
        <row r="4">
          <cell r="I4">
            <v>0</v>
          </cell>
        </row>
      </sheetData>
      <sheetData sheetId="4940">
        <row r="4">
          <cell r="I4">
            <v>0</v>
          </cell>
        </row>
      </sheetData>
      <sheetData sheetId="4941">
        <row r="4">
          <cell r="I4">
            <v>0</v>
          </cell>
        </row>
      </sheetData>
      <sheetData sheetId="4942">
        <row r="4">
          <cell r="I4">
            <v>0</v>
          </cell>
        </row>
      </sheetData>
      <sheetData sheetId="4943">
        <row r="4">
          <cell r="I4">
            <v>0</v>
          </cell>
        </row>
      </sheetData>
      <sheetData sheetId="4944">
        <row r="4">
          <cell r="I4">
            <v>0</v>
          </cell>
        </row>
      </sheetData>
      <sheetData sheetId="4945">
        <row r="4">
          <cell r="I4">
            <v>0</v>
          </cell>
        </row>
      </sheetData>
      <sheetData sheetId="4946">
        <row r="4">
          <cell r="I4">
            <v>0</v>
          </cell>
        </row>
      </sheetData>
      <sheetData sheetId="4947">
        <row r="4">
          <cell r="I4">
            <v>0</v>
          </cell>
        </row>
      </sheetData>
      <sheetData sheetId="4948">
        <row r="4">
          <cell r="I4">
            <v>0</v>
          </cell>
        </row>
      </sheetData>
      <sheetData sheetId="4949">
        <row r="4">
          <cell r="I4">
            <v>0</v>
          </cell>
        </row>
      </sheetData>
      <sheetData sheetId="4950">
        <row r="4">
          <cell r="I4">
            <v>0</v>
          </cell>
        </row>
      </sheetData>
      <sheetData sheetId="4951">
        <row r="4">
          <cell r="I4">
            <v>0</v>
          </cell>
        </row>
      </sheetData>
      <sheetData sheetId="4952">
        <row r="4">
          <cell r="I4">
            <v>0</v>
          </cell>
        </row>
      </sheetData>
      <sheetData sheetId="4953">
        <row r="4">
          <cell r="I4">
            <v>0</v>
          </cell>
        </row>
      </sheetData>
      <sheetData sheetId="4954">
        <row r="4">
          <cell r="I4">
            <v>0</v>
          </cell>
        </row>
      </sheetData>
      <sheetData sheetId="4955">
        <row r="4">
          <cell r="I4">
            <v>0</v>
          </cell>
        </row>
      </sheetData>
      <sheetData sheetId="4956">
        <row r="4">
          <cell r="I4">
            <v>0</v>
          </cell>
        </row>
      </sheetData>
      <sheetData sheetId="4957">
        <row r="4">
          <cell r="I4">
            <v>0</v>
          </cell>
        </row>
      </sheetData>
      <sheetData sheetId="4958">
        <row r="4">
          <cell r="I4">
            <v>0</v>
          </cell>
        </row>
      </sheetData>
      <sheetData sheetId="4959">
        <row r="4">
          <cell r="I4">
            <v>0</v>
          </cell>
        </row>
      </sheetData>
      <sheetData sheetId="4960">
        <row r="4">
          <cell r="I4">
            <v>0</v>
          </cell>
        </row>
      </sheetData>
      <sheetData sheetId="4961">
        <row r="4">
          <cell r="I4">
            <v>0</v>
          </cell>
        </row>
      </sheetData>
      <sheetData sheetId="4962">
        <row r="4">
          <cell r="I4">
            <v>0</v>
          </cell>
        </row>
      </sheetData>
      <sheetData sheetId="4963">
        <row r="4">
          <cell r="I4">
            <v>0</v>
          </cell>
        </row>
      </sheetData>
      <sheetData sheetId="4964">
        <row r="4">
          <cell r="I4">
            <v>0</v>
          </cell>
        </row>
      </sheetData>
      <sheetData sheetId="4965">
        <row r="4">
          <cell r="I4">
            <v>0</v>
          </cell>
        </row>
      </sheetData>
      <sheetData sheetId="4966">
        <row r="4">
          <cell r="I4">
            <v>0</v>
          </cell>
        </row>
      </sheetData>
      <sheetData sheetId="4967">
        <row r="4">
          <cell r="I4">
            <v>0</v>
          </cell>
        </row>
      </sheetData>
      <sheetData sheetId="4968">
        <row r="4">
          <cell r="I4">
            <v>0</v>
          </cell>
        </row>
      </sheetData>
      <sheetData sheetId="4969">
        <row r="4">
          <cell r="I4">
            <v>0</v>
          </cell>
        </row>
      </sheetData>
      <sheetData sheetId="4970">
        <row r="4">
          <cell r="I4">
            <v>0</v>
          </cell>
        </row>
      </sheetData>
      <sheetData sheetId="4971">
        <row r="4">
          <cell r="I4">
            <v>0</v>
          </cell>
        </row>
      </sheetData>
      <sheetData sheetId="4972">
        <row r="4">
          <cell r="I4">
            <v>0</v>
          </cell>
        </row>
      </sheetData>
      <sheetData sheetId="4973">
        <row r="4">
          <cell r="I4">
            <v>0</v>
          </cell>
        </row>
      </sheetData>
      <sheetData sheetId="4974">
        <row r="4">
          <cell r="I4">
            <v>0</v>
          </cell>
        </row>
      </sheetData>
      <sheetData sheetId="4975">
        <row r="4">
          <cell r="I4">
            <v>0</v>
          </cell>
        </row>
      </sheetData>
      <sheetData sheetId="4976">
        <row r="4">
          <cell r="I4">
            <v>0</v>
          </cell>
        </row>
      </sheetData>
      <sheetData sheetId="4977">
        <row r="4">
          <cell r="I4">
            <v>0</v>
          </cell>
        </row>
      </sheetData>
      <sheetData sheetId="4978">
        <row r="4">
          <cell r="I4">
            <v>0</v>
          </cell>
        </row>
      </sheetData>
      <sheetData sheetId="4979">
        <row r="4">
          <cell r="I4">
            <v>0</v>
          </cell>
        </row>
      </sheetData>
      <sheetData sheetId="4980">
        <row r="4">
          <cell r="I4">
            <v>0</v>
          </cell>
        </row>
      </sheetData>
      <sheetData sheetId="4981">
        <row r="4">
          <cell r="I4">
            <v>0</v>
          </cell>
        </row>
      </sheetData>
      <sheetData sheetId="4982">
        <row r="4">
          <cell r="I4">
            <v>0</v>
          </cell>
        </row>
      </sheetData>
      <sheetData sheetId="4983">
        <row r="4">
          <cell r="I4">
            <v>0</v>
          </cell>
        </row>
      </sheetData>
      <sheetData sheetId="4984">
        <row r="4">
          <cell r="I4">
            <v>0</v>
          </cell>
        </row>
      </sheetData>
      <sheetData sheetId="4985">
        <row r="4">
          <cell r="I4">
            <v>0</v>
          </cell>
        </row>
      </sheetData>
      <sheetData sheetId="4986">
        <row r="4">
          <cell r="I4">
            <v>0</v>
          </cell>
        </row>
      </sheetData>
      <sheetData sheetId="4987">
        <row r="4">
          <cell r="I4">
            <v>0</v>
          </cell>
        </row>
      </sheetData>
      <sheetData sheetId="4988">
        <row r="4">
          <cell r="I4">
            <v>0</v>
          </cell>
        </row>
      </sheetData>
      <sheetData sheetId="4989">
        <row r="4">
          <cell r="I4">
            <v>0</v>
          </cell>
        </row>
      </sheetData>
      <sheetData sheetId="4990">
        <row r="4">
          <cell r="I4">
            <v>0</v>
          </cell>
        </row>
      </sheetData>
      <sheetData sheetId="4991">
        <row r="4">
          <cell r="I4">
            <v>0</v>
          </cell>
        </row>
      </sheetData>
      <sheetData sheetId="4992">
        <row r="4">
          <cell r="I4">
            <v>0</v>
          </cell>
        </row>
      </sheetData>
      <sheetData sheetId="4993">
        <row r="4">
          <cell r="I4">
            <v>0</v>
          </cell>
        </row>
      </sheetData>
      <sheetData sheetId="4994">
        <row r="4">
          <cell r="I4">
            <v>0</v>
          </cell>
        </row>
      </sheetData>
      <sheetData sheetId="4995">
        <row r="4">
          <cell r="I4">
            <v>0</v>
          </cell>
        </row>
      </sheetData>
      <sheetData sheetId="4996">
        <row r="4">
          <cell r="I4">
            <v>0</v>
          </cell>
        </row>
      </sheetData>
      <sheetData sheetId="4997">
        <row r="4">
          <cell r="I4">
            <v>0</v>
          </cell>
        </row>
      </sheetData>
      <sheetData sheetId="4998">
        <row r="4">
          <cell r="I4">
            <v>0</v>
          </cell>
        </row>
      </sheetData>
      <sheetData sheetId="4999">
        <row r="4">
          <cell r="I4">
            <v>0</v>
          </cell>
        </row>
      </sheetData>
      <sheetData sheetId="5000">
        <row r="4">
          <cell r="I4">
            <v>0</v>
          </cell>
        </row>
      </sheetData>
      <sheetData sheetId="5001">
        <row r="4">
          <cell r="I4">
            <v>0</v>
          </cell>
        </row>
      </sheetData>
      <sheetData sheetId="5002">
        <row r="4">
          <cell r="I4">
            <v>0</v>
          </cell>
        </row>
      </sheetData>
      <sheetData sheetId="5003">
        <row r="4">
          <cell r="I4">
            <v>0</v>
          </cell>
        </row>
      </sheetData>
      <sheetData sheetId="5004">
        <row r="4">
          <cell r="I4">
            <v>0</v>
          </cell>
        </row>
      </sheetData>
      <sheetData sheetId="5005">
        <row r="4">
          <cell r="I4">
            <v>0</v>
          </cell>
        </row>
      </sheetData>
      <sheetData sheetId="5006">
        <row r="4">
          <cell r="I4">
            <v>0</v>
          </cell>
        </row>
      </sheetData>
      <sheetData sheetId="5007">
        <row r="4">
          <cell r="I4">
            <v>0</v>
          </cell>
        </row>
      </sheetData>
      <sheetData sheetId="5008">
        <row r="4">
          <cell r="I4">
            <v>0</v>
          </cell>
        </row>
      </sheetData>
      <sheetData sheetId="5009">
        <row r="4">
          <cell r="I4">
            <v>0</v>
          </cell>
        </row>
      </sheetData>
      <sheetData sheetId="5010">
        <row r="4">
          <cell r="I4">
            <v>0</v>
          </cell>
        </row>
      </sheetData>
      <sheetData sheetId="5011">
        <row r="4">
          <cell r="I4">
            <v>0</v>
          </cell>
        </row>
      </sheetData>
      <sheetData sheetId="5012">
        <row r="4">
          <cell r="I4">
            <v>0</v>
          </cell>
        </row>
      </sheetData>
      <sheetData sheetId="5013">
        <row r="4">
          <cell r="I4">
            <v>0</v>
          </cell>
        </row>
      </sheetData>
      <sheetData sheetId="5014">
        <row r="4">
          <cell r="I4">
            <v>0</v>
          </cell>
        </row>
      </sheetData>
      <sheetData sheetId="5015">
        <row r="4">
          <cell r="I4">
            <v>0</v>
          </cell>
        </row>
      </sheetData>
      <sheetData sheetId="5016">
        <row r="4">
          <cell r="I4">
            <v>0</v>
          </cell>
        </row>
      </sheetData>
      <sheetData sheetId="5017">
        <row r="4">
          <cell r="I4">
            <v>0</v>
          </cell>
        </row>
      </sheetData>
      <sheetData sheetId="5018">
        <row r="4">
          <cell r="I4">
            <v>0</v>
          </cell>
        </row>
      </sheetData>
      <sheetData sheetId="5019">
        <row r="4">
          <cell r="I4">
            <v>0</v>
          </cell>
        </row>
      </sheetData>
      <sheetData sheetId="5020">
        <row r="4">
          <cell r="I4">
            <v>0</v>
          </cell>
        </row>
      </sheetData>
      <sheetData sheetId="5021">
        <row r="4">
          <cell r="I4">
            <v>0</v>
          </cell>
        </row>
      </sheetData>
      <sheetData sheetId="5022">
        <row r="4">
          <cell r="I4">
            <v>0</v>
          </cell>
        </row>
      </sheetData>
      <sheetData sheetId="5023">
        <row r="4">
          <cell r="I4">
            <v>0</v>
          </cell>
        </row>
      </sheetData>
      <sheetData sheetId="5024">
        <row r="4">
          <cell r="I4">
            <v>0</v>
          </cell>
        </row>
      </sheetData>
      <sheetData sheetId="5025">
        <row r="4">
          <cell r="I4">
            <v>0</v>
          </cell>
        </row>
      </sheetData>
      <sheetData sheetId="5026">
        <row r="4">
          <cell r="I4">
            <v>0</v>
          </cell>
        </row>
      </sheetData>
      <sheetData sheetId="5027">
        <row r="4">
          <cell r="I4">
            <v>0</v>
          </cell>
        </row>
      </sheetData>
      <sheetData sheetId="5028">
        <row r="4">
          <cell r="I4">
            <v>0</v>
          </cell>
        </row>
      </sheetData>
      <sheetData sheetId="5029">
        <row r="4">
          <cell r="I4">
            <v>0</v>
          </cell>
        </row>
      </sheetData>
      <sheetData sheetId="5030">
        <row r="4">
          <cell r="I4">
            <v>0</v>
          </cell>
        </row>
      </sheetData>
      <sheetData sheetId="5031">
        <row r="4">
          <cell r="I4">
            <v>0</v>
          </cell>
        </row>
      </sheetData>
      <sheetData sheetId="5032">
        <row r="4">
          <cell r="I4">
            <v>0</v>
          </cell>
        </row>
      </sheetData>
      <sheetData sheetId="5033">
        <row r="4">
          <cell r="I4">
            <v>0</v>
          </cell>
        </row>
      </sheetData>
      <sheetData sheetId="5034">
        <row r="4">
          <cell r="I4">
            <v>0</v>
          </cell>
        </row>
      </sheetData>
      <sheetData sheetId="5035">
        <row r="4">
          <cell r="I4">
            <v>0</v>
          </cell>
        </row>
      </sheetData>
      <sheetData sheetId="5036">
        <row r="4">
          <cell r="I4">
            <v>0</v>
          </cell>
        </row>
      </sheetData>
      <sheetData sheetId="5037">
        <row r="4">
          <cell r="I4">
            <v>0</v>
          </cell>
        </row>
      </sheetData>
      <sheetData sheetId="5038">
        <row r="4">
          <cell r="I4">
            <v>0</v>
          </cell>
        </row>
      </sheetData>
      <sheetData sheetId="5039">
        <row r="4">
          <cell r="I4">
            <v>0</v>
          </cell>
        </row>
      </sheetData>
      <sheetData sheetId="5040">
        <row r="4">
          <cell r="I4">
            <v>0</v>
          </cell>
        </row>
      </sheetData>
      <sheetData sheetId="5041">
        <row r="4">
          <cell r="I4">
            <v>0</v>
          </cell>
        </row>
      </sheetData>
      <sheetData sheetId="5042">
        <row r="4">
          <cell r="I4">
            <v>0</v>
          </cell>
        </row>
      </sheetData>
      <sheetData sheetId="5043">
        <row r="4">
          <cell r="I4">
            <v>0</v>
          </cell>
        </row>
      </sheetData>
      <sheetData sheetId="5044">
        <row r="4">
          <cell r="I4">
            <v>0</v>
          </cell>
        </row>
      </sheetData>
      <sheetData sheetId="5045">
        <row r="4">
          <cell r="I4">
            <v>0</v>
          </cell>
        </row>
      </sheetData>
      <sheetData sheetId="5046">
        <row r="4">
          <cell r="I4">
            <v>0</v>
          </cell>
        </row>
      </sheetData>
      <sheetData sheetId="5047">
        <row r="4">
          <cell r="I4">
            <v>0</v>
          </cell>
        </row>
      </sheetData>
      <sheetData sheetId="5048">
        <row r="4">
          <cell r="I4">
            <v>0</v>
          </cell>
        </row>
      </sheetData>
      <sheetData sheetId="5049">
        <row r="4">
          <cell r="I4">
            <v>0</v>
          </cell>
        </row>
      </sheetData>
      <sheetData sheetId="5050">
        <row r="4">
          <cell r="I4">
            <v>0</v>
          </cell>
        </row>
      </sheetData>
      <sheetData sheetId="5051">
        <row r="4">
          <cell r="I4">
            <v>0</v>
          </cell>
        </row>
      </sheetData>
      <sheetData sheetId="5052">
        <row r="4">
          <cell r="I4">
            <v>0</v>
          </cell>
        </row>
      </sheetData>
      <sheetData sheetId="5053">
        <row r="4">
          <cell r="I4">
            <v>0</v>
          </cell>
        </row>
      </sheetData>
      <sheetData sheetId="5054">
        <row r="4">
          <cell r="I4">
            <v>0</v>
          </cell>
        </row>
      </sheetData>
      <sheetData sheetId="5055">
        <row r="4">
          <cell r="I4">
            <v>0</v>
          </cell>
        </row>
      </sheetData>
      <sheetData sheetId="5056">
        <row r="4">
          <cell r="I4">
            <v>0</v>
          </cell>
        </row>
      </sheetData>
      <sheetData sheetId="5057">
        <row r="4">
          <cell r="I4">
            <v>0</v>
          </cell>
        </row>
      </sheetData>
      <sheetData sheetId="5058">
        <row r="4">
          <cell r="I4">
            <v>0</v>
          </cell>
        </row>
      </sheetData>
      <sheetData sheetId="5059">
        <row r="4">
          <cell r="I4">
            <v>0</v>
          </cell>
        </row>
      </sheetData>
      <sheetData sheetId="5060">
        <row r="4">
          <cell r="I4">
            <v>0</v>
          </cell>
        </row>
      </sheetData>
      <sheetData sheetId="5061">
        <row r="4">
          <cell r="I4">
            <v>0</v>
          </cell>
        </row>
      </sheetData>
      <sheetData sheetId="5062">
        <row r="4">
          <cell r="I4">
            <v>0</v>
          </cell>
        </row>
      </sheetData>
      <sheetData sheetId="5063">
        <row r="4">
          <cell r="I4">
            <v>0</v>
          </cell>
        </row>
      </sheetData>
      <sheetData sheetId="5064">
        <row r="4">
          <cell r="I4">
            <v>0</v>
          </cell>
        </row>
      </sheetData>
      <sheetData sheetId="5065">
        <row r="4">
          <cell r="I4">
            <v>0</v>
          </cell>
        </row>
      </sheetData>
      <sheetData sheetId="5066">
        <row r="4">
          <cell r="I4">
            <v>0</v>
          </cell>
        </row>
      </sheetData>
      <sheetData sheetId="5067">
        <row r="4">
          <cell r="I4">
            <v>0</v>
          </cell>
        </row>
      </sheetData>
      <sheetData sheetId="5068">
        <row r="4">
          <cell r="I4">
            <v>0</v>
          </cell>
        </row>
      </sheetData>
      <sheetData sheetId="5069">
        <row r="4">
          <cell r="I4">
            <v>0</v>
          </cell>
        </row>
      </sheetData>
      <sheetData sheetId="5070">
        <row r="4">
          <cell r="I4">
            <v>0</v>
          </cell>
        </row>
      </sheetData>
      <sheetData sheetId="5071">
        <row r="4">
          <cell r="I4">
            <v>0</v>
          </cell>
        </row>
      </sheetData>
      <sheetData sheetId="5072">
        <row r="4">
          <cell r="I4">
            <v>0</v>
          </cell>
        </row>
      </sheetData>
      <sheetData sheetId="5073">
        <row r="4">
          <cell r="I4">
            <v>0</v>
          </cell>
        </row>
      </sheetData>
      <sheetData sheetId="5074">
        <row r="4">
          <cell r="I4">
            <v>0</v>
          </cell>
        </row>
      </sheetData>
      <sheetData sheetId="5075">
        <row r="4">
          <cell r="I4">
            <v>0</v>
          </cell>
        </row>
      </sheetData>
      <sheetData sheetId="5076">
        <row r="4">
          <cell r="I4">
            <v>0</v>
          </cell>
        </row>
      </sheetData>
      <sheetData sheetId="5077">
        <row r="4">
          <cell r="I4">
            <v>0</v>
          </cell>
        </row>
      </sheetData>
      <sheetData sheetId="5078">
        <row r="4">
          <cell r="I4">
            <v>0</v>
          </cell>
        </row>
      </sheetData>
      <sheetData sheetId="5079">
        <row r="4">
          <cell r="I4">
            <v>0</v>
          </cell>
        </row>
      </sheetData>
      <sheetData sheetId="5080">
        <row r="4">
          <cell r="I4">
            <v>0</v>
          </cell>
        </row>
      </sheetData>
      <sheetData sheetId="5081">
        <row r="4">
          <cell r="I4">
            <v>0</v>
          </cell>
        </row>
      </sheetData>
      <sheetData sheetId="5082">
        <row r="4">
          <cell r="I4">
            <v>0</v>
          </cell>
        </row>
      </sheetData>
      <sheetData sheetId="5083">
        <row r="4">
          <cell r="I4">
            <v>0</v>
          </cell>
        </row>
      </sheetData>
      <sheetData sheetId="5084">
        <row r="4">
          <cell r="I4">
            <v>0</v>
          </cell>
        </row>
      </sheetData>
      <sheetData sheetId="5085">
        <row r="4">
          <cell r="I4">
            <v>0</v>
          </cell>
        </row>
      </sheetData>
      <sheetData sheetId="5086">
        <row r="4">
          <cell r="I4">
            <v>0</v>
          </cell>
        </row>
      </sheetData>
      <sheetData sheetId="5087">
        <row r="4">
          <cell r="I4">
            <v>0</v>
          </cell>
        </row>
      </sheetData>
      <sheetData sheetId="5088">
        <row r="4">
          <cell r="I4">
            <v>0</v>
          </cell>
        </row>
      </sheetData>
      <sheetData sheetId="5089">
        <row r="4">
          <cell r="I4">
            <v>0</v>
          </cell>
        </row>
      </sheetData>
      <sheetData sheetId="5090">
        <row r="4">
          <cell r="I4">
            <v>0</v>
          </cell>
        </row>
      </sheetData>
      <sheetData sheetId="5091">
        <row r="4">
          <cell r="I4">
            <v>0</v>
          </cell>
        </row>
      </sheetData>
      <sheetData sheetId="5092">
        <row r="4">
          <cell r="I4">
            <v>0</v>
          </cell>
        </row>
      </sheetData>
      <sheetData sheetId="5093">
        <row r="4">
          <cell r="I4">
            <v>0</v>
          </cell>
        </row>
      </sheetData>
      <sheetData sheetId="5094">
        <row r="4">
          <cell r="I4">
            <v>0</v>
          </cell>
        </row>
      </sheetData>
      <sheetData sheetId="5095">
        <row r="4">
          <cell r="I4">
            <v>0</v>
          </cell>
        </row>
      </sheetData>
      <sheetData sheetId="5096">
        <row r="4">
          <cell r="I4">
            <v>0</v>
          </cell>
        </row>
      </sheetData>
      <sheetData sheetId="5097">
        <row r="4">
          <cell r="I4">
            <v>0</v>
          </cell>
        </row>
      </sheetData>
      <sheetData sheetId="5098">
        <row r="4">
          <cell r="I4">
            <v>0</v>
          </cell>
        </row>
      </sheetData>
      <sheetData sheetId="5099">
        <row r="4">
          <cell r="I4">
            <v>0</v>
          </cell>
        </row>
      </sheetData>
      <sheetData sheetId="5100">
        <row r="4">
          <cell r="I4">
            <v>0</v>
          </cell>
        </row>
      </sheetData>
      <sheetData sheetId="5101">
        <row r="4">
          <cell r="I4">
            <v>0</v>
          </cell>
        </row>
      </sheetData>
      <sheetData sheetId="5102">
        <row r="4">
          <cell r="I4">
            <v>0</v>
          </cell>
        </row>
      </sheetData>
      <sheetData sheetId="5103">
        <row r="4">
          <cell r="I4">
            <v>0</v>
          </cell>
        </row>
      </sheetData>
      <sheetData sheetId="5104">
        <row r="4">
          <cell r="I4">
            <v>0</v>
          </cell>
        </row>
      </sheetData>
      <sheetData sheetId="5105">
        <row r="4">
          <cell r="I4">
            <v>0</v>
          </cell>
        </row>
      </sheetData>
      <sheetData sheetId="5106">
        <row r="4">
          <cell r="I4">
            <v>0</v>
          </cell>
        </row>
      </sheetData>
      <sheetData sheetId="5107">
        <row r="4">
          <cell r="I4">
            <v>0</v>
          </cell>
        </row>
      </sheetData>
      <sheetData sheetId="5108">
        <row r="4">
          <cell r="I4">
            <v>0</v>
          </cell>
        </row>
      </sheetData>
      <sheetData sheetId="5109">
        <row r="4">
          <cell r="I4">
            <v>0</v>
          </cell>
        </row>
      </sheetData>
      <sheetData sheetId="5110">
        <row r="4">
          <cell r="I4">
            <v>0</v>
          </cell>
        </row>
      </sheetData>
      <sheetData sheetId="5111">
        <row r="4">
          <cell r="I4">
            <v>0</v>
          </cell>
        </row>
      </sheetData>
      <sheetData sheetId="5112">
        <row r="4">
          <cell r="I4">
            <v>0</v>
          </cell>
        </row>
      </sheetData>
      <sheetData sheetId="5113">
        <row r="4">
          <cell r="I4">
            <v>0</v>
          </cell>
        </row>
      </sheetData>
      <sheetData sheetId="5114">
        <row r="4">
          <cell r="I4">
            <v>0</v>
          </cell>
        </row>
      </sheetData>
      <sheetData sheetId="5115">
        <row r="4">
          <cell r="I4">
            <v>0</v>
          </cell>
        </row>
      </sheetData>
      <sheetData sheetId="5116">
        <row r="4">
          <cell r="I4">
            <v>0</v>
          </cell>
        </row>
      </sheetData>
      <sheetData sheetId="5117">
        <row r="4">
          <cell r="I4">
            <v>0</v>
          </cell>
        </row>
      </sheetData>
      <sheetData sheetId="5118">
        <row r="4">
          <cell r="I4">
            <v>0</v>
          </cell>
        </row>
      </sheetData>
      <sheetData sheetId="5119">
        <row r="4">
          <cell r="I4">
            <v>0</v>
          </cell>
        </row>
      </sheetData>
      <sheetData sheetId="5120">
        <row r="4">
          <cell r="I4">
            <v>0</v>
          </cell>
        </row>
      </sheetData>
      <sheetData sheetId="5121">
        <row r="4">
          <cell r="I4">
            <v>0</v>
          </cell>
        </row>
      </sheetData>
      <sheetData sheetId="5122">
        <row r="4">
          <cell r="I4">
            <v>0</v>
          </cell>
        </row>
      </sheetData>
      <sheetData sheetId="5123">
        <row r="4">
          <cell r="I4">
            <v>0</v>
          </cell>
        </row>
      </sheetData>
      <sheetData sheetId="5124">
        <row r="4">
          <cell r="I4">
            <v>0</v>
          </cell>
        </row>
      </sheetData>
      <sheetData sheetId="5125">
        <row r="4">
          <cell r="I4">
            <v>0</v>
          </cell>
        </row>
      </sheetData>
      <sheetData sheetId="5126">
        <row r="4">
          <cell r="I4">
            <v>0</v>
          </cell>
        </row>
      </sheetData>
      <sheetData sheetId="5127">
        <row r="4">
          <cell r="I4">
            <v>0</v>
          </cell>
        </row>
      </sheetData>
      <sheetData sheetId="5128">
        <row r="4">
          <cell r="I4">
            <v>0</v>
          </cell>
        </row>
      </sheetData>
      <sheetData sheetId="5129">
        <row r="4">
          <cell r="I4">
            <v>0</v>
          </cell>
        </row>
      </sheetData>
      <sheetData sheetId="5130">
        <row r="4">
          <cell r="I4">
            <v>0</v>
          </cell>
        </row>
      </sheetData>
      <sheetData sheetId="5131">
        <row r="4">
          <cell r="I4">
            <v>0</v>
          </cell>
        </row>
      </sheetData>
      <sheetData sheetId="5132">
        <row r="4">
          <cell r="I4">
            <v>0</v>
          </cell>
        </row>
      </sheetData>
      <sheetData sheetId="5133">
        <row r="4">
          <cell r="I4">
            <v>0</v>
          </cell>
        </row>
      </sheetData>
      <sheetData sheetId="5134">
        <row r="4">
          <cell r="I4">
            <v>0</v>
          </cell>
        </row>
      </sheetData>
      <sheetData sheetId="5135">
        <row r="4">
          <cell r="I4">
            <v>0</v>
          </cell>
        </row>
      </sheetData>
      <sheetData sheetId="5136">
        <row r="4">
          <cell r="I4">
            <v>0</v>
          </cell>
        </row>
      </sheetData>
      <sheetData sheetId="5137">
        <row r="4">
          <cell r="I4">
            <v>0</v>
          </cell>
        </row>
      </sheetData>
      <sheetData sheetId="5138">
        <row r="4">
          <cell r="I4">
            <v>0</v>
          </cell>
        </row>
      </sheetData>
      <sheetData sheetId="5139">
        <row r="4">
          <cell r="I4">
            <v>0</v>
          </cell>
        </row>
      </sheetData>
      <sheetData sheetId="5140" refreshError="1"/>
      <sheetData sheetId="5141">
        <row r="4">
          <cell r="I4">
            <v>0</v>
          </cell>
        </row>
      </sheetData>
      <sheetData sheetId="5142">
        <row r="4">
          <cell r="I4">
            <v>0</v>
          </cell>
        </row>
      </sheetData>
      <sheetData sheetId="5143">
        <row r="4">
          <cell r="I4">
            <v>0</v>
          </cell>
        </row>
      </sheetData>
      <sheetData sheetId="5144">
        <row r="4">
          <cell r="I4">
            <v>0</v>
          </cell>
        </row>
      </sheetData>
      <sheetData sheetId="5145">
        <row r="4">
          <cell r="I4">
            <v>0</v>
          </cell>
        </row>
      </sheetData>
      <sheetData sheetId="5146">
        <row r="4">
          <cell r="I4">
            <v>0</v>
          </cell>
        </row>
      </sheetData>
      <sheetData sheetId="5147">
        <row r="4">
          <cell r="I4">
            <v>0</v>
          </cell>
        </row>
      </sheetData>
      <sheetData sheetId="5148">
        <row r="4">
          <cell r="I4">
            <v>0</v>
          </cell>
        </row>
      </sheetData>
      <sheetData sheetId="5149">
        <row r="4">
          <cell r="I4">
            <v>0</v>
          </cell>
        </row>
      </sheetData>
      <sheetData sheetId="5150">
        <row r="4">
          <cell r="I4">
            <v>0</v>
          </cell>
        </row>
      </sheetData>
      <sheetData sheetId="5151" refreshError="1"/>
      <sheetData sheetId="5152">
        <row r="4">
          <cell r="I4">
            <v>0</v>
          </cell>
        </row>
      </sheetData>
      <sheetData sheetId="5153">
        <row r="4">
          <cell r="I4">
            <v>0</v>
          </cell>
        </row>
      </sheetData>
      <sheetData sheetId="5154">
        <row r="4">
          <cell r="I4">
            <v>0</v>
          </cell>
        </row>
      </sheetData>
      <sheetData sheetId="5155">
        <row r="4">
          <cell r="I4">
            <v>0</v>
          </cell>
        </row>
      </sheetData>
      <sheetData sheetId="5156">
        <row r="4">
          <cell r="I4">
            <v>0</v>
          </cell>
        </row>
      </sheetData>
      <sheetData sheetId="5157">
        <row r="4">
          <cell r="I4">
            <v>0</v>
          </cell>
        </row>
      </sheetData>
      <sheetData sheetId="5158">
        <row r="4">
          <cell r="I4">
            <v>0</v>
          </cell>
        </row>
      </sheetData>
      <sheetData sheetId="5159">
        <row r="4">
          <cell r="I4">
            <v>0</v>
          </cell>
        </row>
      </sheetData>
      <sheetData sheetId="5160">
        <row r="4">
          <cell r="I4">
            <v>0</v>
          </cell>
        </row>
      </sheetData>
      <sheetData sheetId="5161">
        <row r="4">
          <cell r="I4">
            <v>0</v>
          </cell>
        </row>
      </sheetData>
      <sheetData sheetId="5162">
        <row r="4">
          <cell r="I4">
            <v>0</v>
          </cell>
        </row>
      </sheetData>
      <sheetData sheetId="5163">
        <row r="4">
          <cell r="I4">
            <v>0</v>
          </cell>
        </row>
      </sheetData>
      <sheetData sheetId="5164">
        <row r="4">
          <cell r="I4">
            <v>0</v>
          </cell>
        </row>
      </sheetData>
      <sheetData sheetId="5165">
        <row r="4">
          <cell r="I4">
            <v>0</v>
          </cell>
        </row>
      </sheetData>
      <sheetData sheetId="5166">
        <row r="4">
          <cell r="I4">
            <v>0</v>
          </cell>
        </row>
      </sheetData>
      <sheetData sheetId="5167">
        <row r="4">
          <cell r="I4">
            <v>0</v>
          </cell>
        </row>
      </sheetData>
      <sheetData sheetId="5168">
        <row r="4">
          <cell r="I4">
            <v>0</v>
          </cell>
        </row>
      </sheetData>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ow r="4">
          <cell r="I4">
            <v>0</v>
          </cell>
        </row>
      </sheetData>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ow r="4">
          <cell r="I4">
            <v>0</v>
          </cell>
        </row>
      </sheetData>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ow r="4">
          <cell r="I4">
            <v>0</v>
          </cell>
        </row>
      </sheetData>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ow r="4">
          <cell r="I4">
            <v>0</v>
          </cell>
        </row>
      </sheetData>
      <sheetData sheetId="5300">
        <row r="4">
          <cell r="I4">
            <v>0</v>
          </cell>
        </row>
      </sheetData>
      <sheetData sheetId="5301" refreshError="1"/>
      <sheetData sheetId="5302">
        <row r="4">
          <cell r="I4">
            <v>0</v>
          </cell>
        </row>
      </sheetData>
      <sheetData sheetId="5303">
        <row r="4">
          <cell r="I4">
            <v>0</v>
          </cell>
        </row>
      </sheetData>
      <sheetData sheetId="5304">
        <row r="4">
          <cell r="I4">
            <v>0</v>
          </cell>
        </row>
      </sheetData>
      <sheetData sheetId="5305">
        <row r="4">
          <cell r="I4">
            <v>0</v>
          </cell>
        </row>
      </sheetData>
      <sheetData sheetId="5306">
        <row r="4">
          <cell r="I4">
            <v>0</v>
          </cell>
        </row>
      </sheetData>
      <sheetData sheetId="5307">
        <row r="4">
          <cell r="I4">
            <v>0</v>
          </cell>
        </row>
      </sheetData>
      <sheetData sheetId="5308">
        <row r="4">
          <cell r="I4">
            <v>0</v>
          </cell>
        </row>
      </sheetData>
      <sheetData sheetId="5309">
        <row r="4">
          <cell r="I4">
            <v>0</v>
          </cell>
        </row>
      </sheetData>
      <sheetData sheetId="5310">
        <row r="4">
          <cell r="I4">
            <v>0</v>
          </cell>
        </row>
      </sheetData>
      <sheetData sheetId="5311">
        <row r="4">
          <cell r="I4">
            <v>0</v>
          </cell>
        </row>
      </sheetData>
      <sheetData sheetId="5312">
        <row r="4">
          <cell r="I4">
            <v>0</v>
          </cell>
        </row>
      </sheetData>
      <sheetData sheetId="5313">
        <row r="4">
          <cell r="I4">
            <v>0</v>
          </cell>
        </row>
      </sheetData>
      <sheetData sheetId="5314">
        <row r="4">
          <cell r="I4">
            <v>0</v>
          </cell>
        </row>
      </sheetData>
      <sheetData sheetId="5315">
        <row r="4">
          <cell r="I4">
            <v>0</v>
          </cell>
        </row>
      </sheetData>
      <sheetData sheetId="5316">
        <row r="4">
          <cell r="I4">
            <v>0</v>
          </cell>
        </row>
      </sheetData>
      <sheetData sheetId="5317">
        <row r="4">
          <cell r="I4">
            <v>0</v>
          </cell>
        </row>
      </sheetData>
      <sheetData sheetId="5318">
        <row r="4">
          <cell r="I4">
            <v>0</v>
          </cell>
        </row>
      </sheetData>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ow r="4">
          <cell r="I4">
            <v>0</v>
          </cell>
        </row>
      </sheetData>
      <sheetData sheetId="5328">
        <row r="4">
          <cell r="I4">
            <v>0</v>
          </cell>
        </row>
      </sheetData>
      <sheetData sheetId="5329">
        <row r="4">
          <cell r="I4">
            <v>0</v>
          </cell>
        </row>
      </sheetData>
      <sheetData sheetId="5330">
        <row r="4">
          <cell r="I4">
            <v>0</v>
          </cell>
        </row>
      </sheetData>
      <sheetData sheetId="5331">
        <row r="4">
          <cell r="I4">
            <v>0</v>
          </cell>
        </row>
      </sheetData>
      <sheetData sheetId="5332">
        <row r="4">
          <cell r="I4">
            <v>0</v>
          </cell>
        </row>
      </sheetData>
      <sheetData sheetId="5333">
        <row r="4">
          <cell r="I4">
            <v>0</v>
          </cell>
        </row>
      </sheetData>
      <sheetData sheetId="5334">
        <row r="4">
          <cell r="I4">
            <v>0</v>
          </cell>
        </row>
      </sheetData>
      <sheetData sheetId="5335">
        <row r="4">
          <cell r="I4">
            <v>0</v>
          </cell>
        </row>
      </sheetData>
      <sheetData sheetId="5336">
        <row r="4">
          <cell r="I4">
            <v>0</v>
          </cell>
        </row>
      </sheetData>
      <sheetData sheetId="5337">
        <row r="4">
          <cell r="I4">
            <v>0</v>
          </cell>
        </row>
      </sheetData>
      <sheetData sheetId="5338">
        <row r="4">
          <cell r="I4">
            <v>0</v>
          </cell>
        </row>
      </sheetData>
      <sheetData sheetId="5339">
        <row r="4">
          <cell r="I4">
            <v>0</v>
          </cell>
        </row>
      </sheetData>
      <sheetData sheetId="5340">
        <row r="4">
          <cell r="I4">
            <v>0</v>
          </cell>
        </row>
      </sheetData>
      <sheetData sheetId="5341">
        <row r="4">
          <cell r="I4">
            <v>0</v>
          </cell>
        </row>
      </sheetData>
      <sheetData sheetId="5342">
        <row r="4">
          <cell r="I4">
            <v>0</v>
          </cell>
        </row>
      </sheetData>
      <sheetData sheetId="5343">
        <row r="4">
          <cell r="I4">
            <v>0</v>
          </cell>
        </row>
      </sheetData>
      <sheetData sheetId="5344">
        <row r="4">
          <cell r="I4">
            <v>0</v>
          </cell>
        </row>
      </sheetData>
      <sheetData sheetId="5345">
        <row r="4">
          <cell r="I4">
            <v>0</v>
          </cell>
        </row>
      </sheetData>
      <sheetData sheetId="5346">
        <row r="4">
          <cell r="I4">
            <v>0</v>
          </cell>
        </row>
      </sheetData>
      <sheetData sheetId="5347">
        <row r="4">
          <cell r="I4">
            <v>0</v>
          </cell>
        </row>
      </sheetData>
      <sheetData sheetId="5348">
        <row r="4">
          <cell r="I4">
            <v>0</v>
          </cell>
        </row>
      </sheetData>
      <sheetData sheetId="5349">
        <row r="4">
          <cell r="I4">
            <v>0</v>
          </cell>
        </row>
      </sheetData>
      <sheetData sheetId="5350">
        <row r="4">
          <cell r="I4">
            <v>0</v>
          </cell>
        </row>
      </sheetData>
      <sheetData sheetId="5351">
        <row r="4">
          <cell r="I4">
            <v>0</v>
          </cell>
        </row>
      </sheetData>
      <sheetData sheetId="5352">
        <row r="4">
          <cell r="I4">
            <v>0</v>
          </cell>
        </row>
      </sheetData>
      <sheetData sheetId="5353">
        <row r="4">
          <cell r="I4">
            <v>0</v>
          </cell>
        </row>
      </sheetData>
      <sheetData sheetId="5354">
        <row r="4">
          <cell r="I4">
            <v>0</v>
          </cell>
        </row>
      </sheetData>
      <sheetData sheetId="5355">
        <row r="4">
          <cell r="I4">
            <v>0</v>
          </cell>
        </row>
      </sheetData>
      <sheetData sheetId="5356">
        <row r="4">
          <cell r="I4">
            <v>0</v>
          </cell>
        </row>
      </sheetData>
      <sheetData sheetId="5357">
        <row r="4">
          <cell r="I4">
            <v>0</v>
          </cell>
        </row>
      </sheetData>
      <sheetData sheetId="5358">
        <row r="4">
          <cell r="I4">
            <v>0</v>
          </cell>
        </row>
      </sheetData>
      <sheetData sheetId="5359">
        <row r="4">
          <cell r="I4">
            <v>0</v>
          </cell>
        </row>
      </sheetData>
      <sheetData sheetId="5360">
        <row r="4">
          <cell r="I4">
            <v>0</v>
          </cell>
        </row>
      </sheetData>
      <sheetData sheetId="5361">
        <row r="4">
          <cell r="I4">
            <v>0</v>
          </cell>
        </row>
      </sheetData>
      <sheetData sheetId="5362">
        <row r="4">
          <cell r="I4">
            <v>0</v>
          </cell>
        </row>
      </sheetData>
      <sheetData sheetId="5363">
        <row r="4">
          <cell r="I4">
            <v>0</v>
          </cell>
        </row>
      </sheetData>
      <sheetData sheetId="5364">
        <row r="4">
          <cell r="I4">
            <v>0</v>
          </cell>
        </row>
      </sheetData>
      <sheetData sheetId="5365">
        <row r="4">
          <cell r="I4">
            <v>0</v>
          </cell>
        </row>
      </sheetData>
      <sheetData sheetId="5366">
        <row r="4">
          <cell r="I4">
            <v>0</v>
          </cell>
        </row>
      </sheetData>
      <sheetData sheetId="5367">
        <row r="4">
          <cell r="I4">
            <v>0</v>
          </cell>
        </row>
      </sheetData>
      <sheetData sheetId="5368">
        <row r="4">
          <cell r="I4">
            <v>0</v>
          </cell>
        </row>
      </sheetData>
      <sheetData sheetId="5369">
        <row r="4">
          <cell r="I4">
            <v>0</v>
          </cell>
        </row>
      </sheetData>
      <sheetData sheetId="5370">
        <row r="4">
          <cell r="I4">
            <v>0</v>
          </cell>
        </row>
      </sheetData>
      <sheetData sheetId="5371">
        <row r="4">
          <cell r="I4">
            <v>0</v>
          </cell>
        </row>
      </sheetData>
      <sheetData sheetId="5372">
        <row r="4">
          <cell r="I4">
            <v>0</v>
          </cell>
        </row>
      </sheetData>
      <sheetData sheetId="5373">
        <row r="4">
          <cell r="I4">
            <v>0</v>
          </cell>
        </row>
      </sheetData>
      <sheetData sheetId="5374">
        <row r="4">
          <cell r="I4">
            <v>0</v>
          </cell>
        </row>
      </sheetData>
      <sheetData sheetId="5375">
        <row r="4">
          <cell r="I4">
            <v>0</v>
          </cell>
        </row>
      </sheetData>
      <sheetData sheetId="5376">
        <row r="4">
          <cell r="I4">
            <v>0</v>
          </cell>
        </row>
      </sheetData>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ow r="4">
          <cell r="I4">
            <v>0</v>
          </cell>
        </row>
      </sheetData>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ow r="4">
          <cell r="I4">
            <v>0</v>
          </cell>
        </row>
      </sheetData>
      <sheetData sheetId="5426">
        <row r="4">
          <cell r="I4">
            <v>0</v>
          </cell>
        </row>
      </sheetData>
      <sheetData sheetId="5427">
        <row r="4">
          <cell r="I4">
            <v>0</v>
          </cell>
        </row>
      </sheetData>
      <sheetData sheetId="5428">
        <row r="4">
          <cell r="I4">
            <v>0</v>
          </cell>
        </row>
      </sheetData>
      <sheetData sheetId="5429">
        <row r="4">
          <cell r="I4">
            <v>0</v>
          </cell>
        </row>
      </sheetData>
      <sheetData sheetId="5430">
        <row r="4">
          <cell r="I4">
            <v>0</v>
          </cell>
        </row>
      </sheetData>
      <sheetData sheetId="5431">
        <row r="4">
          <cell r="I4">
            <v>0</v>
          </cell>
        </row>
      </sheetData>
      <sheetData sheetId="5432">
        <row r="4">
          <cell r="I4">
            <v>0</v>
          </cell>
        </row>
      </sheetData>
      <sheetData sheetId="5433">
        <row r="4">
          <cell r="I4">
            <v>0</v>
          </cell>
        </row>
      </sheetData>
      <sheetData sheetId="5434">
        <row r="4">
          <cell r="I4">
            <v>0</v>
          </cell>
        </row>
      </sheetData>
      <sheetData sheetId="5435">
        <row r="4">
          <cell r="I4">
            <v>0</v>
          </cell>
        </row>
      </sheetData>
      <sheetData sheetId="5436">
        <row r="4">
          <cell r="I4">
            <v>0</v>
          </cell>
        </row>
      </sheetData>
      <sheetData sheetId="5437">
        <row r="4">
          <cell r="I4">
            <v>0</v>
          </cell>
        </row>
      </sheetData>
      <sheetData sheetId="5438">
        <row r="4">
          <cell r="I4">
            <v>0</v>
          </cell>
        </row>
      </sheetData>
      <sheetData sheetId="5439">
        <row r="4">
          <cell r="I4">
            <v>0</v>
          </cell>
        </row>
      </sheetData>
      <sheetData sheetId="5440">
        <row r="4">
          <cell r="I4">
            <v>0</v>
          </cell>
        </row>
      </sheetData>
      <sheetData sheetId="5441">
        <row r="4">
          <cell r="I4">
            <v>0</v>
          </cell>
        </row>
      </sheetData>
      <sheetData sheetId="5442">
        <row r="4">
          <cell r="I4">
            <v>0</v>
          </cell>
        </row>
      </sheetData>
      <sheetData sheetId="5443">
        <row r="4">
          <cell r="I4">
            <v>0</v>
          </cell>
        </row>
      </sheetData>
      <sheetData sheetId="5444">
        <row r="4">
          <cell r="I4">
            <v>0</v>
          </cell>
        </row>
      </sheetData>
      <sheetData sheetId="5445">
        <row r="4">
          <cell r="I4">
            <v>0</v>
          </cell>
        </row>
      </sheetData>
      <sheetData sheetId="5446">
        <row r="4">
          <cell r="I4">
            <v>0</v>
          </cell>
        </row>
      </sheetData>
      <sheetData sheetId="5447">
        <row r="4">
          <cell r="I4">
            <v>0</v>
          </cell>
        </row>
      </sheetData>
      <sheetData sheetId="5448">
        <row r="4">
          <cell r="I4">
            <v>0</v>
          </cell>
        </row>
      </sheetData>
      <sheetData sheetId="5449">
        <row r="4">
          <cell r="I4">
            <v>0</v>
          </cell>
        </row>
      </sheetData>
      <sheetData sheetId="5450">
        <row r="4">
          <cell r="I4">
            <v>0</v>
          </cell>
        </row>
      </sheetData>
      <sheetData sheetId="5451">
        <row r="4">
          <cell r="I4">
            <v>0</v>
          </cell>
        </row>
      </sheetData>
      <sheetData sheetId="5452">
        <row r="4">
          <cell r="I4">
            <v>0</v>
          </cell>
        </row>
      </sheetData>
      <sheetData sheetId="5453">
        <row r="4">
          <cell r="I4">
            <v>0</v>
          </cell>
        </row>
      </sheetData>
      <sheetData sheetId="5454">
        <row r="4">
          <cell r="I4">
            <v>0</v>
          </cell>
        </row>
      </sheetData>
      <sheetData sheetId="5455">
        <row r="4">
          <cell r="I4">
            <v>0</v>
          </cell>
        </row>
      </sheetData>
      <sheetData sheetId="5456">
        <row r="4">
          <cell r="I4">
            <v>0</v>
          </cell>
        </row>
      </sheetData>
      <sheetData sheetId="5457">
        <row r="4">
          <cell r="I4">
            <v>0</v>
          </cell>
        </row>
      </sheetData>
      <sheetData sheetId="5458">
        <row r="4">
          <cell r="I4">
            <v>0</v>
          </cell>
        </row>
      </sheetData>
      <sheetData sheetId="5459">
        <row r="4">
          <cell r="I4">
            <v>0</v>
          </cell>
        </row>
      </sheetData>
      <sheetData sheetId="5460">
        <row r="4">
          <cell r="I4">
            <v>0</v>
          </cell>
        </row>
      </sheetData>
      <sheetData sheetId="5461">
        <row r="4">
          <cell r="I4">
            <v>0</v>
          </cell>
        </row>
      </sheetData>
      <sheetData sheetId="5462">
        <row r="4">
          <cell r="I4">
            <v>0</v>
          </cell>
        </row>
      </sheetData>
      <sheetData sheetId="5463">
        <row r="4">
          <cell r="I4">
            <v>0</v>
          </cell>
        </row>
      </sheetData>
      <sheetData sheetId="5464">
        <row r="4">
          <cell r="I4">
            <v>0</v>
          </cell>
        </row>
      </sheetData>
      <sheetData sheetId="5465">
        <row r="4">
          <cell r="I4">
            <v>0</v>
          </cell>
        </row>
      </sheetData>
      <sheetData sheetId="5466">
        <row r="4">
          <cell r="I4">
            <v>0</v>
          </cell>
        </row>
      </sheetData>
      <sheetData sheetId="5467">
        <row r="4">
          <cell r="I4">
            <v>0</v>
          </cell>
        </row>
      </sheetData>
      <sheetData sheetId="5468">
        <row r="4">
          <cell r="I4">
            <v>0</v>
          </cell>
        </row>
      </sheetData>
      <sheetData sheetId="5469">
        <row r="4">
          <cell r="I4">
            <v>0</v>
          </cell>
        </row>
      </sheetData>
      <sheetData sheetId="5470">
        <row r="4">
          <cell r="I4">
            <v>0</v>
          </cell>
        </row>
      </sheetData>
      <sheetData sheetId="5471">
        <row r="4">
          <cell r="I4">
            <v>0</v>
          </cell>
        </row>
      </sheetData>
      <sheetData sheetId="5472">
        <row r="4">
          <cell r="I4">
            <v>0</v>
          </cell>
        </row>
      </sheetData>
      <sheetData sheetId="5473">
        <row r="4">
          <cell r="I4">
            <v>0</v>
          </cell>
        </row>
      </sheetData>
      <sheetData sheetId="5474">
        <row r="4">
          <cell r="I4">
            <v>0</v>
          </cell>
        </row>
      </sheetData>
      <sheetData sheetId="5475">
        <row r="4">
          <cell r="I4">
            <v>0</v>
          </cell>
        </row>
      </sheetData>
      <sheetData sheetId="5476">
        <row r="4">
          <cell r="I4">
            <v>0</v>
          </cell>
        </row>
      </sheetData>
      <sheetData sheetId="5477">
        <row r="4">
          <cell r="I4">
            <v>0</v>
          </cell>
        </row>
      </sheetData>
      <sheetData sheetId="5478">
        <row r="4">
          <cell r="I4">
            <v>0</v>
          </cell>
        </row>
      </sheetData>
      <sheetData sheetId="5479">
        <row r="4">
          <cell r="I4">
            <v>0</v>
          </cell>
        </row>
      </sheetData>
      <sheetData sheetId="5480">
        <row r="4">
          <cell r="I4">
            <v>0</v>
          </cell>
        </row>
      </sheetData>
      <sheetData sheetId="5481">
        <row r="4">
          <cell r="I4">
            <v>0</v>
          </cell>
        </row>
      </sheetData>
      <sheetData sheetId="5482">
        <row r="4">
          <cell r="I4">
            <v>0</v>
          </cell>
        </row>
      </sheetData>
      <sheetData sheetId="5483">
        <row r="4">
          <cell r="I4">
            <v>0</v>
          </cell>
        </row>
      </sheetData>
      <sheetData sheetId="5484">
        <row r="4">
          <cell r="I4">
            <v>0</v>
          </cell>
        </row>
      </sheetData>
      <sheetData sheetId="5485">
        <row r="4">
          <cell r="I4">
            <v>0</v>
          </cell>
        </row>
      </sheetData>
      <sheetData sheetId="5486">
        <row r="4">
          <cell r="I4">
            <v>0</v>
          </cell>
        </row>
      </sheetData>
      <sheetData sheetId="5487">
        <row r="4">
          <cell r="I4">
            <v>0</v>
          </cell>
        </row>
      </sheetData>
      <sheetData sheetId="5488">
        <row r="4">
          <cell r="I4">
            <v>0</v>
          </cell>
        </row>
      </sheetData>
      <sheetData sheetId="5489">
        <row r="4">
          <cell r="I4">
            <v>0</v>
          </cell>
        </row>
      </sheetData>
      <sheetData sheetId="5490">
        <row r="4">
          <cell r="I4">
            <v>0</v>
          </cell>
        </row>
      </sheetData>
      <sheetData sheetId="5491">
        <row r="4">
          <cell r="I4">
            <v>0</v>
          </cell>
        </row>
      </sheetData>
      <sheetData sheetId="5492">
        <row r="4">
          <cell r="I4">
            <v>0</v>
          </cell>
        </row>
      </sheetData>
      <sheetData sheetId="5493">
        <row r="4">
          <cell r="I4">
            <v>0</v>
          </cell>
        </row>
      </sheetData>
      <sheetData sheetId="5494">
        <row r="4">
          <cell r="I4">
            <v>0</v>
          </cell>
        </row>
      </sheetData>
      <sheetData sheetId="5495">
        <row r="4">
          <cell r="I4">
            <v>0</v>
          </cell>
        </row>
      </sheetData>
      <sheetData sheetId="5496">
        <row r="4">
          <cell r="I4">
            <v>0</v>
          </cell>
        </row>
      </sheetData>
      <sheetData sheetId="5497">
        <row r="4">
          <cell r="I4">
            <v>0</v>
          </cell>
        </row>
      </sheetData>
      <sheetData sheetId="5498">
        <row r="4">
          <cell r="I4">
            <v>0</v>
          </cell>
        </row>
      </sheetData>
      <sheetData sheetId="5499">
        <row r="4">
          <cell r="I4">
            <v>0</v>
          </cell>
        </row>
      </sheetData>
      <sheetData sheetId="5500">
        <row r="4">
          <cell r="I4">
            <v>0</v>
          </cell>
        </row>
      </sheetData>
      <sheetData sheetId="5501">
        <row r="4">
          <cell r="I4">
            <v>0</v>
          </cell>
        </row>
      </sheetData>
      <sheetData sheetId="5502">
        <row r="4">
          <cell r="I4">
            <v>0</v>
          </cell>
        </row>
      </sheetData>
      <sheetData sheetId="5503">
        <row r="4">
          <cell r="I4">
            <v>0</v>
          </cell>
        </row>
      </sheetData>
      <sheetData sheetId="5504">
        <row r="4">
          <cell r="I4">
            <v>0</v>
          </cell>
        </row>
      </sheetData>
      <sheetData sheetId="5505">
        <row r="4">
          <cell r="I4">
            <v>0</v>
          </cell>
        </row>
      </sheetData>
      <sheetData sheetId="5506">
        <row r="4">
          <cell r="I4">
            <v>0</v>
          </cell>
        </row>
      </sheetData>
      <sheetData sheetId="5507">
        <row r="4">
          <cell r="I4">
            <v>0</v>
          </cell>
        </row>
      </sheetData>
      <sheetData sheetId="5508">
        <row r="4">
          <cell r="I4">
            <v>0</v>
          </cell>
        </row>
      </sheetData>
      <sheetData sheetId="5509">
        <row r="4">
          <cell r="I4">
            <v>0</v>
          </cell>
        </row>
      </sheetData>
      <sheetData sheetId="5510">
        <row r="4">
          <cell r="I4">
            <v>0</v>
          </cell>
        </row>
      </sheetData>
      <sheetData sheetId="5511">
        <row r="4">
          <cell r="I4">
            <v>0</v>
          </cell>
        </row>
      </sheetData>
      <sheetData sheetId="5512">
        <row r="4">
          <cell r="I4">
            <v>0</v>
          </cell>
        </row>
      </sheetData>
      <sheetData sheetId="5513">
        <row r="4">
          <cell r="I4">
            <v>0</v>
          </cell>
        </row>
      </sheetData>
      <sheetData sheetId="5514">
        <row r="4">
          <cell r="I4">
            <v>0</v>
          </cell>
        </row>
      </sheetData>
      <sheetData sheetId="5515">
        <row r="4">
          <cell r="I4">
            <v>0</v>
          </cell>
        </row>
      </sheetData>
      <sheetData sheetId="5516">
        <row r="4">
          <cell r="I4">
            <v>0</v>
          </cell>
        </row>
      </sheetData>
      <sheetData sheetId="5517">
        <row r="4">
          <cell r="I4">
            <v>0</v>
          </cell>
        </row>
      </sheetData>
      <sheetData sheetId="5518">
        <row r="4">
          <cell r="I4">
            <v>0</v>
          </cell>
        </row>
      </sheetData>
      <sheetData sheetId="5519">
        <row r="4">
          <cell r="I4">
            <v>0</v>
          </cell>
        </row>
      </sheetData>
      <sheetData sheetId="5520">
        <row r="4">
          <cell r="I4">
            <v>0</v>
          </cell>
        </row>
      </sheetData>
      <sheetData sheetId="5521">
        <row r="4">
          <cell r="I4">
            <v>0</v>
          </cell>
        </row>
      </sheetData>
      <sheetData sheetId="5522">
        <row r="4">
          <cell r="I4">
            <v>0</v>
          </cell>
        </row>
      </sheetData>
      <sheetData sheetId="5523">
        <row r="4">
          <cell r="I4">
            <v>0</v>
          </cell>
        </row>
      </sheetData>
      <sheetData sheetId="5524">
        <row r="4">
          <cell r="I4">
            <v>0</v>
          </cell>
        </row>
      </sheetData>
      <sheetData sheetId="5525">
        <row r="4">
          <cell r="I4">
            <v>0</v>
          </cell>
        </row>
      </sheetData>
      <sheetData sheetId="5526">
        <row r="4">
          <cell r="I4">
            <v>0</v>
          </cell>
        </row>
      </sheetData>
      <sheetData sheetId="5527">
        <row r="4">
          <cell r="I4">
            <v>0</v>
          </cell>
        </row>
      </sheetData>
      <sheetData sheetId="5528">
        <row r="4">
          <cell r="I4">
            <v>0</v>
          </cell>
        </row>
      </sheetData>
      <sheetData sheetId="5529">
        <row r="4">
          <cell r="I4">
            <v>0</v>
          </cell>
        </row>
      </sheetData>
      <sheetData sheetId="5530">
        <row r="4">
          <cell r="I4">
            <v>0</v>
          </cell>
        </row>
      </sheetData>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ow r="4">
          <cell r="I4">
            <v>0</v>
          </cell>
        </row>
      </sheetData>
      <sheetData sheetId="5550">
        <row r="4">
          <cell r="I4">
            <v>0</v>
          </cell>
        </row>
      </sheetData>
      <sheetData sheetId="5551">
        <row r="4">
          <cell r="I4">
            <v>0</v>
          </cell>
        </row>
      </sheetData>
      <sheetData sheetId="5552">
        <row r="4">
          <cell r="I4">
            <v>0</v>
          </cell>
        </row>
      </sheetData>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ow r="4">
          <cell r="I4">
            <v>0</v>
          </cell>
        </row>
      </sheetData>
      <sheetData sheetId="5565">
        <row r="4">
          <cell r="I4">
            <v>0</v>
          </cell>
        </row>
      </sheetData>
      <sheetData sheetId="5566">
        <row r="4">
          <cell r="I4">
            <v>0</v>
          </cell>
        </row>
      </sheetData>
      <sheetData sheetId="5567">
        <row r="4">
          <cell r="I4">
            <v>0</v>
          </cell>
        </row>
      </sheetData>
      <sheetData sheetId="5568">
        <row r="4">
          <cell r="I4">
            <v>0</v>
          </cell>
        </row>
      </sheetData>
      <sheetData sheetId="5569">
        <row r="4">
          <cell r="I4">
            <v>0</v>
          </cell>
        </row>
      </sheetData>
      <sheetData sheetId="5570">
        <row r="4">
          <cell r="I4">
            <v>0</v>
          </cell>
        </row>
      </sheetData>
      <sheetData sheetId="5571">
        <row r="4">
          <cell r="I4">
            <v>0</v>
          </cell>
        </row>
      </sheetData>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ow r="4">
          <cell r="I4">
            <v>0</v>
          </cell>
        </row>
      </sheetData>
      <sheetData sheetId="5581">
        <row r="4">
          <cell r="I4">
            <v>0</v>
          </cell>
        </row>
      </sheetData>
      <sheetData sheetId="5582">
        <row r="4">
          <cell r="I4">
            <v>0</v>
          </cell>
        </row>
      </sheetData>
      <sheetData sheetId="5583">
        <row r="4">
          <cell r="I4">
            <v>0</v>
          </cell>
        </row>
      </sheetData>
      <sheetData sheetId="5584">
        <row r="4">
          <cell r="I4">
            <v>0</v>
          </cell>
        </row>
      </sheetData>
      <sheetData sheetId="5585">
        <row r="4">
          <cell r="I4">
            <v>0</v>
          </cell>
        </row>
      </sheetData>
      <sheetData sheetId="5586">
        <row r="4">
          <cell r="I4">
            <v>0</v>
          </cell>
        </row>
      </sheetData>
      <sheetData sheetId="5587">
        <row r="4">
          <cell r="I4">
            <v>0</v>
          </cell>
        </row>
      </sheetData>
      <sheetData sheetId="5588">
        <row r="4">
          <cell r="I4">
            <v>0</v>
          </cell>
        </row>
      </sheetData>
      <sheetData sheetId="5589">
        <row r="4">
          <cell r="I4">
            <v>0</v>
          </cell>
        </row>
      </sheetData>
      <sheetData sheetId="5590">
        <row r="4">
          <cell r="I4">
            <v>0</v>
          </cell>
        </row>
      </sheetData>
      <sheetData sheetId="5591">
        <row r="4">
          <cell r="I4">
            <v>0</v>
          </cell>
        </row>
      </sheetData>
      <sheetData sheetId="5592">
        <row r="4">
          <cell r="I4">
            <v>0</v>
          </cell>
        </row>
      </sheetData>
      <sheetData sheetId="5593">
        <row r="4">
          <cell r="I4">
            <v>0</v>
          </cell>
        </row>
      </sheetData>
      <sheetData sheetId="5594">
        <row r="4">
          <cell r="I4">
            <v>0</v>
          </cell>
        </row>
      </sheetData>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ow r="4">
          <cell r="I4">
            <v>0</v>
          </cell>
        </row>
      </sheetData>
      <sheetData sheetId="5606">
        <row r="4">
          <cell r="I4">
            <v>0</v>
          </cell>
        </row>
      </sheetData>
      <sheetData sheetId="5607">
        <row r="4">
          <cell r="I4">
            <v>0</v>
          </cell>
        </row>
      </sheetData>
      <sheetData sheetId="5608">
        <row r="4">
          <cell r="I4">
            <v>0</v>
          </cell>
        </row>
      </sheetData>
      <sheetData sheetId="5609">
        <row r="4">
          <cell r="I4">
            <v>0</v>
          </cell>
        </row>
      </sheetData>
      <sheetData sheetId="5610">
        <row r="4">
          <cell r="I4">
            <v>0</v>
          </cell>
        </row>
      </sheetData>
      <sheetData sheetId="5611" refreshError="1"/>
      <sheetData sheetId="5612" refreshError="1"/>
      <sheetData sheetId="5613" refreshError="1"/>
      <sheetData sheetId="5614">
        <row r="4">
          <cell r="I4">
            <v>0</v>
          </cell>
        </row>
      </sheetData>
      <sheetData sheetId="5615">
        <row r="4">
          <cell r="I4">
            <v>0</v>
          </cell>
        </row>
      </sheetData>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ow r="4">
          <cell r="I4">
            <v>0</v>
          </cell>
        </row>
      </sheetData>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ow r="4">
          <cell r="I4">
            <v>0</v>
          </cell>
        </row>
      </sheetData>
      <sheetData sheetId="5661">
        <row r="4">
          <cell r="I4">
            <v>0</v>
          </cell>
        </row>
      </sheetData>
      <sheetData sheetId="5662">
        <row r="4">
          <cell r="I4">
            <v>0</v>
          </cell>
        </row>
      </sheetData>
      <sheetData sheetId="5663">
        <row r="4">
          <cell r="I4">
            <v>0</v>
          </cell>
        </row>
      </sheetData>
      <sheetData sheetId="5664">
        <row r="4">
          <cell r="I4">
            <v>0</v>
          </cell>
        </row>
      </sheetData>
      <sheetData sheetId="5665">
        <row r="4">
          <cell r="I4">
            <v>0</v>
          </cell>
        </row>
      </sheetData>
      <sheetData sheetId="5666" refreshError="1"/>
      <sheetData sheetId="5667" refreshError="1"/>
      <sheetData sheetId="5668">
        <row r="4">
          <cell r="I4">
            <v>0</v>
          </cell>
        </row>
      </sheetData>
      <sheetData sheetId="5669" refreshError="1"/>
      <sheetData sheetId="5670" refreshError="1"/>
      <sheetData sheetId="5671" refreshError="1"/>
      <sheetData sheetId="5672" refreshError="1"/>
      <sheetData sheetId="5673">
        <row r="4">
          <cell r="I4">
            <v>0</v>
          </cell>
        </row>
      </sheetData>
      <sheetData sheetId="5674">
        <row r="4">
          <cell r="I4">
            <v>0</v>
          </cell>
        </row>
      </sheetData>
      <sheetData sheetId="5675">
        <row r="4">
          <cell r="I4">
            <v>0</v>
          </cell>
        </row>
      </sheetData>
      <sheetData sheetId="5676">
        <row r="4">
          <cell r="I4">
            <v>0</v>
          </cell>
        </row>
      </sheetData>
      <sheetData sheetId="5677">
        <row r="4">
          <cell r="I4">
            <v>0</v>
          </cell>
        </row>
      </sheetData>
      <sheetData sheetId="5678">
        <row r="4">
          <cell r="I4">
            <v>0</v>
          </cell>
        </row>
      </sheetData>
      <sheetData sheetId="5679">
        <row r="4">
          <cell r="I4">
            <v>0</v>
          </cell>
        </row>
      </sheetData>
      <sheetData sheetId="5680">
        <row r="4">
          <cell r="I4">
            <v>0</v>
          </cell>
        </row>
      </sheetData>
      <sheetData sheetId="5681">
        <row r="4">
          <cell r="I4">
            <v>0</v>
          </cell>
        </row>
      </sheetData>
      <sheetData sheetId="5682">
        <row r="4">
          <cell r="I4">
            <v>0</v>
          </cell>
        </row>
      </sheetData>
      <sheetData sheetId="5683">
        <row r="4">
          <cell r="I4">
            <v>0</v>
          </cell>
        </row>
      </sheetData>
      <sheetData sheetId="5684">
        <row r="4">
          <cell r="I4">
            <v>0</v>
          </cell>
        </row>
      </sheetData>
      <sheetData sheetId="5685">
        <row r="4">
          <cell r="I4">
            <v>0</v>
          </cell>
        </row>
      </sheetData>
      <sheetData sheetId="5686">
        <row r="4">
          <cell r="I4">
            <v>0</v>
          </cell>
        </row>
      </sheetData>
      <sheetData sheetId="5687">
        <row r="4">
          <cell r="I4">
            <v>0</v>
          </cell>
        </row>
      </sheetData>
      <sheetData sheetId="5688">
        <row r="4">
          <cell r="I4">
            <v>0</v>
          </cell>
        </row>
      </sheetData>
      <sheetData sheetId="5689">
        <row r="4">
          <cell r="I4">
            <v>0</v>
          </cell>
        </row>
      </sheetData>
      <sheetData sheetId="5690">
        <row r="4">
          <cell r="I4">
            <v>0</v>
          </cell>
        </row>
      </sheetData>
      <sheetData sheetId="5691">
        <row r="4">
          <cell r="I4">
            <v>0</v>
          </cell>
        </row>
      </sheetData>
      <sheetData sheetId="5692">
        <row r="4">
          <cell r="I4">
            <v>0</v>
          </cell>
        </row>
      </sheetData>
      <sheetData sheetId="5693">
        <row r="4">
          <cell r="I4">
            <v>0</v>
          </cell>
        </row>
      </sheetData>
      <sheetData sheetId="5694">
        <row r="4">
          <cell r="I4">
            <v>0</v>
          </cell>
        </row>
      </sheetData>
      <sheetData sheetId="5695">
        <row r="4">
          <cell r="I4">
            <v>0</v>
          </cell>
        </row>
      </sheetData>
      <sheetData sheetId="5696">
        <row r="4">
          <cell r="I4">
            <v>0</v>
          </cell>
        </row>
      </sheetData>
      <sheetData sheetId="5697">
        <row r="4">
          <cell r="I4">
            <v>0</v>
          </cell>
        </row>
      </sheetData>
      <sheetData sheetId="5698">
        <row r="4">
          <cell r="I4">
            <v>0</v>
          </cell>
        </row>
      </sheetData>
      <sheetData sheetId="5699">
        <row r="4">
          <cell r="I4">
            <v>0</v>
          </cell>
        </row>
      </sheetData>
      <sheetData sheetId="5700">
        <row r="4">
          <cell r="I4">
            <v>0</v>
          </cell>
        </row>
      </sheetData>
      <sheetData sheetId="5701">
        <row r="4">
          <cell r="I4">
            <v>0</v>
          </cell>
        </row>
      </sheetData>
      <sheetData sheetId="5702">
        <row r="4">
          <cell r="I4">
            <v>0</v>
          </cell>
        </row>
      </sheetData>
      <sheetData sheetId="5703">
        <row r="4">
          <cell r="I4">
            <v>0</v>
          </cell>
        </row>
      </sheetData>
      <sheetData sheetId="5704">
        <row r="4">
          <cell r="I4">
            <v>0</v>
          </cell>
        </row>
      </sheetData>
      <sheetData sheetId="5705">
        <row r="4">
          <cell r="I4">
            <v>0</v>
          </cell>
        </row>
      </sheetData>
      <sheetData sheetId="5706">
        <row r="4">
          <cell r="I4">
            <v>0</v>
          </cell>
        </row>
      </sheetData>
      <sheetData sheetId="5707">
        <row r="4">
          <cell r="I4">
            <v>0</v>
          </cell>
        </row>
      </sheetData>
      <sheetData sheetId="5708">
        <row r="4">
          <cell r="I4">
            <v>0</v>
          </cell>
        </row>
      </sheetData>
      <sheetData sheetId="5709">
        <row r="4">
          <cell r="I4">
            <v>0</v>
          </cell>
        </row>
      </sheetData>
      <sheetData sheetId="5710">
        <row r="4">
          <cell r="I4">
            <v>0</v>
          </cell>
        </row>
      </sheetData>
      <sheetData sheetId="5711">
        <row r="4">
          <cell r="I4">
            <v>0</v>
          </cell>
        </row>
      </sheetData>
      <sheetData sheetId="5712">
        <row r="4">
          <cell r="I4">
            <v>0</v>
          </cell>
        </row>
      </sheetData>
      <sheetData sheetId="5713">
        <row r="4">
          <cell r="I4">
            <v>0</v>
          </cell>
        </row>
      </sheetData>
      <sheetData sheetId="5714">
        <row r="4">
          <cell r="I4">
            <v>0</v>
          </cell>
        </row>
      </sheetData>
      <sheetData sheetId="5715">
        <row r="4">
          <cell r="I4">
            <v>0</v>
          </cell>
        </row>
      </sheetData>
      <sheetData sheetId="5716">
        <row r="4">
          <cell r="I4">
            <v>0</v>
          </cell>
        </row>
      </sheetData>
      <sheetData sheetId="5717">
        <row r="4">
          <cell r="I4">
            <v>0</v>
          </cell>
        </row>
      </sheetData>
      <sheetData sheetId="5718">
        <row r="4">
          <cell r="I4">
            <v>0</v>
          </cell>
        </row>
      </sheetData>
      <sheetData sheetId="5719">
        <row r="4">
          <cell r="I4">
            <v>0</v>
          </cell>
        </row>
      </sheetData>
      <sheetData sheetId="5720">
        <row r="4">
          <cell r="I4">
            <v>0</v>
          </cell>
        </row>
      </sheetData>
      <sheetData sheetId="5721">
        <row r="4">
          <cell r="I4">
            <v>0</v>
          </cell>
        </row>
      </sheetData>
      <sheetData sheetId="5722">
        <row r="4">
          <cell r="I4">
            <v>0</v>
          </cell>
        </row>
      </sheetData>
      <sheetData sheetId="5723">
        <row r="4">
          <cell r="I4">
            <v>0</v>
          </cell>
        </row>
      </sheetData>
      <sheetData sheetId="5724">
        <row r="4">
          <cell r="I4">
            <v>0</v>
          </cell>
        </row>
      </sheetData>
      <sheetData sheetId="5725">
        <row r="4">
          <cell r="I4">
            <v>0</v>
          </cell>
        </row>
      </sheetData>
      <sheetData sheetId="5726">
        <row r="4">
          <cell r="I4">
            <v>0</v>
          </cell>
        </row>
      </sheetData>
      <sheetData sheetId="5727">
        <row r="4">
          <cell r="I4">
            <v>0</v>
          </cell>
        </row>
      </sheetData>
      <sheetData sheetId="5728">
        <row r="4">
          <cell r="I4">
            <v>0</v>
          </cell>
        </row>
      </sheetData>
      <sheetData sheetId="5729">
        <row r="4">
          <cell r="I4">
            <v>0</v>
          </cell>
        </row>
      </sheetData>
      <sheetData sheetId="5730">
        <row r="4">
          <cell r="I4">
            <v>0</v>
          </cell>
        </row>
      </sheetData>
      <sheetData sheetId="5731">
        <row r="4">
          <cell r="I4">
            <v>0</v>
          </cell>
        </row>
      </sheetData>
      <sheetData sheetId="5732">
        <row r="4">
          <cell r="I4">
            <v>0</v>
          </cell>
        </row>
      </sheetData>
      <sheetData sheetId="5733">
        <row r="4">
          <cell r="I4">
            <v>0</v>
          </cell>
        </row>
      </sheetData>
      <sheetData sheetId="5734">
        <row r="4">
          <cell r="I4">
            <v>0</v>
          </cell>
        </row>
      </sheetData>
      <sheetData sheetId="5735">
        <row r="4">
          <cell r="I4">
            <v>0</v>
          </cell>
        </row>
      </sheetData>
      <sheetData sheetId="5736">
        <row r="4">
          <cell r="I4">
            <v>0</v>
          </cell>
        </row>
      </sheetData>
      <sheetData sheetId="5737">
        <row r="4">
          <cell r="I4">
            <v>0</v>
          </cell>
        </row>
      </sheetData>
      <sheetData sheetId="5738">
        <row r="4">
          <cell r="I4">
            <v>0</v>
          </cell>
        </row>
      </sheetData>
      <sheetData sheetId="5739">
        <row r="4">
          <cell r="I4">
            <v>0</v>
          </cell>
        </row>
      </sheetData>
      <sheetData sheetId="5740">
        <row r="4">
          <cell r="I4">
            <v>0</v>
          </cell>
        </row>
      </sheetData>
      <sheetData sheetId="5741">
        <row r="4">
          <cell r="I4">
            <v>0</v>
          </cell>
        </row>
      </sheetData>
      <sheetData sheetId="5742">
        <row r="4">
          <cell r="I4">
            <v>0</v>
          </cell>
        </row>
      </sheetData>
      <sheetData sheetId="5743">
        <row r="4">
          <cell r="I4">
            <v>0</v>
          </cell>
        </row>
      </sheetData>
      <sheetData sheetId="5744">
        <row r="4">
          <cell r="I4">
            <v>0</v>
          </cell>
        </row>
      </sheetData>
      <sheetData sheetId="5745">
        <row r="4">
          <cell r="I4">
            <v>0</v>
          </cell>
        </row>
      </sheetData>
      <sheetData sheetId="5746">
        <row r="4">
          <cell r="I4">
            <v>0</v>
          </cell>
        </row>
      </sheetData>
      <sheetData sheetId="5747">
        <row r="4">
          <cell r="I4">
            <v>0</v>
          </cell>
        </row>
      </sheetData>
      <sheetData sheetId="5748">
        <row r="4">
          <cell r="I4">
            <v>0</v>
          </cell>
        </row>
      </sheetData>
      <sheetData sheetId="5749">
        <row r="4">
          <cell r="I4">
            <v>0</v>
          </cell>
        </row>
      </sheetData>
      <sheetData sheetId="5750">
        <row r="4">
          <cell r="I4">
            <v>0</v>
          </cell>
        </row>
      </sheetData>
      <sheetData sheetId="5751">
        <row r="4">
          <cell r="I4">
            <v>0</v>
          </cell>
        </row>
      </sheetData>
      <sheetData sheetId="5752">
        <row r="4">
          <cell r="I4">
            <v>0</v>
          </cell>
        </row>
      </sheetData>
      <sheetData sheetId="5753">
        <row r="4">
          <cell r="I4">
            <v>0</v>
          </cell>
        </row>
      </sheetData>
      <sheetData sheetId="5754">
        <row r="4">
          <cell r="I4">
            <v>0</v>
          </cell>
        </row>
      </sheetData>
      <sheetData sheetId="5755">
        <row r="4">
          <cell r="I4">
            <v>0</v>
          </cell>
        </row>
      </sheetData>
      <sheetData sheetId="5756">
        <row r="4">
          <cell r="I4">
            <v>0</v>
          </cell>
        </row>
      </sheetData>
      <sheetData sheetId="5757">
        <row r="4">
          <cell r="I4">
            <v>0</v>
          </cell>
        </row>
      </sheetData>
      <sheetData sheetId="5758">
        <row r="4">
          <cell r="I4">
            <v>0</v>
          </cell>
        </row>
      </sheetData>
      <sheetData sheetId="5759">
        <row r="4">
          <cell r="I4">
            <v>0</v>
          </cell>
        </row>
      </sheetData>
      <sheetData sheetId="5760">
        <row r="4">
          <cell r="I4">
            <v>0</v>
          </cell>
        </row>
      </sheetData>
      <sheetData sheetId="5761">
        <row r="4">
          <cell r="I4">
            <v>0</v>
          </cell>
        </row>
      </sheetData>
      <sheetData sheetId="5762">
        <row r="4">
          <cell r="I4">
            <v>0</v>
          </cell>
        </row>
      </sheetData>
      <sheetData sheetId="5763">
        <row r="4">
          <cell r="I4">
            <v>0</v>
          </cell>
        </row>
      </sheetData>
      <sheetData sheetId="5764">
        <row r="4">
          <cell r="I4">
            <v>0</v>
          </cell>
        </row>
      </sheetData>
      <sheetData sheetId="5765">
        <row r="4">
          <cell r="I4">
            <v>0</v>
          </cell>
        </row>
      </sheetData>
      <sheetData sheetId="5766">
        <row r="4">
          <cell r="I4">
            <v>0</v>
          </cell>
        </row>
      </sheetData>
      <sheetData sheetId="5767">
        <row r="4">
          <cell r="I4">
            <v>0</v>
          </cell>
        </row>
      </sheetData>
      <sheetData sheetId="5768">
        <row r="4">
          <cell r="I4">
            <v>0</v>
          </cell>
        </row>
      </sheetData>
      <sheetData sheetId="5769">
        <row r="4">
          <cell r="I4">
            <v>0</v>
          </cell>
        </row>
      </sheetData>
      <sheetData sheetId="5770">
        <row r="4">
          <cell r="I4">
            <v>0</v>
          </cell>
        </row>
      </sheetData>
      <sheetData sheetId="5771">
        <row r="4">
          <cell r="I4">
            <v>0</v>
          </cell>
        </row>
      </sheetData>
      <sheetData sheetId="5772">
        <row r="4">
          <cell r="I4">
            <v>0</v>
          </cell>
        </row>
      </sheetData>
      <sheetData sheetId="5773">
        <row r="4">
          <cell r="I4">
            <v>0</v>
          </cell>
        </row>
      </sheetData>
      <sheetData sheetId="5774">
        <row r="4">
          <cell r="I4">
            <v>0</v>
          </cell>
        </row>
      </sheetData>
      <sheetData sheetId="5775">
        <row r="4">
          <cell r="I4">
            <v>0</v>
          </cell>
        </row>
      </sheetData>
      <sheetData sheetId="5776">
        <row r="4">
          <cell r="I4">
            <v>0</v>
          </cell>
        </row>
      </sheetData>
      <sheetData sheetId="5777">
        <row r="4">
          <cell r="I4">
            <v>0</v>
          </cell>
        </row>
      </sheetData>
      <sheetData sheetId="5778">
        <row r="4">
          <cell r="I4">
            <v>0</v>
          </cell>
        </row>
      </sheetData>
      <sheetData sheetId="5779">
        <row r="4">
          <cell r="I4">
            <v>0</v>
          </cell>
        </row>
      </sheetData>
      <sheetData sheetId="5780">
        <row r="4">
          <cell r="I4">
            <v>0</v>
          </cell>
        </row>
      </sheetData>
      <sheetData sheetId="5781">
        <row r="4">
          <cell r="I4">
            <v>0</v>
          </cell>
        </row>
      </sheetData>
      <sheetData sheetId="5782">
        <row r="4">
          <cell r="I4">
            <v>0</v>
          </cell>
        </row>
      </sheetData>
      <sheetData sheetId="5783">
        <row r="4">
          <cell r="I4">
            <v>0</v>
          </cell>
        </row>
      </sheetData>
      <sheetData sheetId="5784">
        <row r="4">
          <cell r="I4">
            <v>0</v>
          </cell>
        </row>
      </sheetData>
      <sheetData sheetId="5785">
        <row r="4">
          <cell r="I4">
            <v>0</v>
          </cell>
        </row>
      </sheetData>
      <sheetData sheetId="5786">
        <row r="4">
          <cell r="I4">
            <v>0</v>
          </cell>
        </row>
      </sheetData>
      <sheetData sheetId="5787">
        <row r="4">
          <cell r="I4">
            <v>0</v>
          </cell>
        </row>
      </sheetData>
      <sheetData sheetId="5788">
        <row r="4">
          <cell r="I4">
            <v>0</v>
          </cell>
        </row>
      </sheetData>
      <sheetData sheetId="5789">
        <row r="4">
          <cell r="I4">
            <v>0</v>
          </cell>
        </row>
      </sheetData>
      <sheetData sheetId="5790">
        <row r="4">
          <cell r="I4">
            <v>0</v>
          </cell>
        </row>
      </sheetData>
      <sheetData sheetId="5791">
        <row r="4">
          <cell r="I4">
            <v>0</v>
          </cell>
        </row>
      </sheetData>
      <sheetData sheetId="5792">
        <row r="4">
          <cell r="I4">
            <v>0</v>
          </cell>
        </row>
      </sheetData>
      <sheetData sheetId="5793">
        <row r="4">
          <cell r="I4">
            <v>0</v>
          </cell>
        </row>
      </sheetData>
      <sheetData sheetId="5794">
        <row r="4">
          <cell r="I4">
            <v>0</v>
          </cell>
        </row>
      </sheetData>
      <sheetData sheetId="5795">
        <row r="4">
          <cell r="I4">
            <v>0</v>
          </cell>
        </row>
      </sheetData>
      <sheetData sheetId="5796">
        <row r="4">
          <cell r="I4">
            <v>0</v>
          </cell>
        </row>
      </sheetData>
      <sheetData sheetId="5797">
        <row r="4">
          <cell r="I4">
            <v>0</v>
          </cell>
        </row>
      </sheetData>
      <sheetData sheetId="5798">
        <row r="4">
          <cell r="I4">
            <v>0</v>
          </cell>
        </row>
      </sheetData>
      <sheetData sheetId="5799">
        <row r="4">
          <cell r="I4">
            <v>0</v>
          </cell>
        </row>
      </sheetData>
      <sheetData sheetId="5800">
        <row r="4">
          <cell r="I4">
            <v>0</v>
          </cell>
        </row>
      </sheetData>
      <sheetData sheetId="5801">
        <row r="4">
          <cell r="I4">
            <v>0</v>
          </cell>
        </row>
      </sheetData>
      <sheetData sheetId="5802">
        <row r="4">
          <cell r="I4">
            <v>0</v>
          </cell>
        </row>
      </sheetData>
      <sheetData sheetId="5803">
        <row r="4">
          <cell r="I4">
            <v>0</v>
          </cell>
        </row>
      </sheetData>
      <sheetData sheetId="5804">
        <row r="4">
          <cell r="I4">
            <v>0</v>
          </cell>
        </row>
      </sheetData>
      <sheetData sheetId="5805">
        <row r="4">
          <cell r="I4">
            <v>0</v>
          </cell>
        </row>
      </sheetData>
      <sheetData sheetId="5806">
        <row r="4">
          <cell r="I4">
            <v>0</v>
          </cell>
        </row>
      </sheetData>
      <sheetData sheetId="5807">
        <row r="4">
          <cell r="I4">
            <v>0</v>
          </cell>
        </row>
      </sheetData>
      <sheetData sheetId="5808">
        <row r="4">
          <cell r="I4">
            <v>0</v>
          </cell>
        </row>
      </sheetData>
      <sheetData sheetId="5809">
        <row r="4">
          <cell r="I4">
            <v>0</v>
          </cell>
        </row>
      </sheetData>
      <sheetData sheetId="5810">
        <row r="4">
          <cell r="I4">
            <v>0</v>
          </cell>
        </row>
      </sheetData>
      <sheetData sheetId="5811">
        <row r="4">
          <cell r="I4">
            <v>0</v>
          </cell>
        </row>
      </sheetData>
      <sheetData sheetId="5812">
        <row r="4">
          <cell r="I4">
            <v>0</v>
          </cell>
        </row>
      </sheetData>
      <sheetData sheetId="5813">
        <row r="4">
          <cell r="I4">
            <v>0</v>
          </cell>
        </row>
      </sheetData>
      <sheetData sheetId="5814">
        <row r="4">
          <cell r="I4">
            <v>0</v>
          </cell>
        </row>
      </sheetData>
      <sheetData sheetId="5815">
        <row r="4">
          <cell r="I4">
            <v>0</v>
          </cell>
        </row>
      </sheetData>
      <sheetData sheetId="5816">
        <row r="4">
          <cell r="I4">
            <v>0</v>
          </cell>
        </row>
      </sheetData>
      <sheetData sheetId="5817">
        <row r="4">
          <cell r="I4">
            <v>0</v>
          </cell>
        </row>
      </sheetData>
      <sheetData sheetId="5818">
        <row r="4">
          <cell r="I4">
            <v>0</v>
          </cell>
        </row>
      </sheetData>
      <sheetData sheetId="5819">
        <row r="4">
          <cell r="I4">
            <v>0</v>
          </cell>
        </row>
      </sheetData>
      <sheetData sheetId="5820">
        <row r="4">
          <cell r="I4">
            <v>0</v>
          </cell>
        </row>
      </sheetData>
      <sheetData sheetId="5821">
        <row r="4">
          <cell r="I4">
            <v>0</v>
          </cell>
        </row>
      </sheetData>
      <sheetData sheetId="5822">
        <row r="4">
          <cell r="I4">
            <v>0</v>
          </cell>
        </row>
      </sheetData>
      <sheetData sheetId="5823">
        <row r="4">
          <cell r="I4">
            <v>0</v>
          </cell>
        </row>
      </sheetData>
      <sheetData sheetId="5824">
        <row r="4">
          <cell r="I4">
            <v>0</v>
          </cell>
        </row>
      </sheetData>
      <sheetData sheetId="5825">
        <row r="4">
          <cell r="I4">
            <v>0</v>
          </cell>
        </row>
      </sheetData>
      <sheetData sheetId="5826">
        <row r="4">
          <cell r="I4">
            <v>0</v>
          </cell>
        </row>
      </sheetData>
      <sheetData sheetId="5827">
        <row r="4">
          <cell r="I4">
            <v>0</v>
          </cell>
        </row>
      </sheetData>
      <sheetData sheetId="5828">
        <row r="4">
          <cell r="I4">
            <v>0</v>
          </cell>
        </row>
      </sheetData>
      <sheetData sheetId="5829">
        <row r="4">
          <cell r="I4">
            <v>0</v>
          </cell>
        </row>
      </sheetData>
      <sheetData sheetId="5830">
        <row r="4">
          <cell r="I4">
            <v>0</v>
          </cell>
        </row>
      </sheetData>
      <sheetData sheetId="5831">
        <row r="4">
          <cell r="I4">
            <v>0</v>
          </cell>
        </row>
      </sheetData>
      <sheetData sheetId="5832">
        <row r="4">
          <cell r="I4">
            <v>0</v>
          </cell>
        </row>
      </sheetData>
      <sheetData sheetId="5833">
        <row r="4">
          <cell r="I4">
            <v>0</v>
          </cell>
        </row>
      </sheetData>
      <sheetData sheetId="5834">
        <row r="4">
          <cell r="I4">
            <v>0</v>
          </cell>
        </row>
      </sheetData>
      <sheetData sheetId="5835">
        <row r="4">
          <cell r="I4">
            <v>0</v>
          </cell>
        </row>
      </sheetData>
      <sheetData sheetId="5836">
        <row r="4">
          <cell r="I4">
            <v>0</v>
          </cell>
        </row>
      </sheetData>
      <sheetData sheetId="5837">
        <row r="4">
          <cell r="I4">
            <v>0</v>
          </cell>
        </row>
      </sheetData>
      <sheetData sheetId="5838">
        <row r="4">
          <cell r="I4">
            <v>0</v>
          </cell>
        </row>
      </sheetData>
      <sheetData sheetId="5839">
        <row r="4">
          <cell r="I4">
            <v>0</v>
          </cell>
        </row>
      </sheetData>
      <sheetData sheetId="5840">
        <row r="4">
          <cell r="I4">
            <v>0</v>
          </cell>
        </row>
      </sheetData>
      <sheetData sheetId="5841">
        <row r="4">
          <cell r="I4">
            <v>0</v>
          </cell>
        </row>
      </sheetData>
      <sheetData sheetId="5842">
        <row r="4">
          <cell r="I4">
            <v>0</v>
          </cell>
        </row>
      </sheetData>
      <sheetData sheetId="5843">
        <row r="4">
          <cell r="I4">
            <v>0</v>
          </cell>
        </row>
      </sheetData>
      <sheetData sheetId="5844">
        <row r="4">
          <cell r="I4">
            <v>0</v>
          </cell>
        </row>
      </sheetData>
      <sheetData sheetId="5845">
        <row r="4">
          <cell r="I4">
            <v>0</v>
          </cell>
        </row>
      </sheetData>
      <sheetData sheetId="5846">
        <row r="4">
          <cell r="I4">
            <v>0</v>
          </cell>
        </row>
      </sheetData>
      <sheetData sheetId="5847">
        <row r="4">
          <cell r="I4">
            <v>0</v>
          </cell>
        </row>
      </sheetData>
      <sheetData sheetId="5848">
        <row r="4">
          <cell r="I4">
            <v>0</v>
          </cell>
        </row>
      </sheetData>
      <sheetData sheetId="5849">
        <row r="4">
          <cell r="I4">
            <v>0</v>
          </cell>
        </row>
      </sheetData>
      <sheetData sheetId="5850">
        <row r="4">
          <cell r="I4">
            <v>0</v>
          </cell>
        </row>
      </sheetData>
      <sheetData sheetId="5851">
        <row r="4">
          <cell r="I4">
            <v>0</v>
          </cell>
        </row>
      </sheetData>
      <sheetData sheetId="5852">
        <row r="4">
          <cell r="I4">
            <v>0</v>
          </cell>
        </row>
      </sheetData>
      <sheetData sheetId="5853">
        <row r="4">
          <cell r="I4">
            <v>0</v>
          </cell>
        </row>
      </sheetData>
      <sheetData sheetId="5854">
        <row r="4">
          <cell r="I4">
            <v>0</v>
          </cell>
        </row>
      </sheetData>
      <sheetData sheetId="5855">
        <row r="4">
          <cell r="I4">
            <v>0</v>
          </cell>
        </row>
      </sheetData>
      <sheetData sheetId="5856">
        <row r="4">
          <cell r="I4">
            <v>0</v>
          </cell>
        </row>
      </sheetData>
      <sheetData sheetId="5857">
        <row r="4">
          <cell r="I4">
            <v>0</v>
          </cell>
        </row>
      </sheetData>
      <sheetData sheetId="5858">
        <row r="4">
          <cell r="I4">
            <v>0</v>
          </cell>
        </row>
      </sheetData>
      <sheetData sheetId="5859">
        <row r="4">
          <cell r="I4">
            <v>0</v>
          </cell>
        </row>
      </sheetData>
      <sheetData sheetId="5860">
        <row r="4">
          <cell r="I4">
            <v>0</v>
          </cell>
        </row>
      </sheetData>
      <sheetData sheetId="5861">
        <row r="4">
          <cell r="I4">
            <v>0</v>
          </cell>
        </row>
      </sheetData>
      <sheetData sheetId="5862">
        <row r="4">
          <cell r="I4">
            <v>0</v>
          </cell>
        </row>
      </sheetData>
      <sheetData sheetId="5863">
        <row r="4">
          <cell r="I4">
            <v>0</v>
          </cell>
        </row>
      </sheetData>
      <sheetData sheetId="5864">
        <row r="4">
          <cell r="I4">
            <v>0</v>
          </cell>
        </row>
      </sheetData>
      <sheetData sheetId="5865">
        <row r="4">
          <cell r="I4">
            <v>0</v>
          </cell>
        </row>
      </sheetData>
      <sheetData sheetId="5866">
        <row r="4">
          <cell r="I4">
            <v>0</v>
          </cell>
        </row>
      </sheetData>
      <sheetData sheetId="5867">
        <row r="4">
          <cell r="I4">
            <v>0</v>
          </cell>
        </row>
      </sheetData>
      <sheetData sheetId="5868">
        <row r="4">
          <cell r="I4">
            <v>0</v>
          </cell>
        </row>
      </sheetData>
      <sheetData sheetId="5869">
        <row r="4">
          <cell r="I4">
            <v>0</v>
          </cell>
        </row>
      </sheetData>
      <sheetData sheetId="5870">
        <row r="4">
          <cell r="I4">
            <v>0</v>
          </cell>
        </row>
      </sheetData>
      <sheetData sheetId="5871">
        <row r="4">
          <cell r="I4">
            <v>0</v>
          </cell>
        </row>
      </sheetData>
      <sheetData sheetId="5872">
        <row r="4">
          <cell r="I4">
            <v>0</v>
          </cell>
        </row>
      </sheetData>
      <sheetData sheetId="5873">
        <row r="4">
          <cell r="I4">
            <v>0</v>
          </cell>
        </row>
      </sheetData>
      <sheetData sheetId="5874">
        <row r="4">
          <cell r="I4">
            <v>0</v>
          </cell>
        </row>
      </sheetData>
      <sheetData sheetId="5875">
        <row r="4">
          <cell r="I4">
            <v>0</v>
          </cell>
        </row>
      </sheetData>
      <sheetData sheetId="5876">
        <row r="4">
          <cell r="I4">
            <v>0</v>
          </cell>
        </row>
      </sheetData>
      <sheetData sheetId="5877">
        <row r="4">
          <cell r="I4">
            <v>0</v>
          </cell>
        </row>
      </sheetData>
      <sheetData sheetId="5878">
        <row r="4">
          <cell r="I4">
            <v>0</v>
          </cell>
        </row>
      </sheetData>
      <sheetData sheetId="5879">
        <row r="4">
          <cell r="I4">
            <v>0</v>
          </cell>
        </row>
      </sheetData>
      <sheetData sheetId="5880">
        <row r="4">
          <cell r="I4">
            <v>0</v>
          </cell>
        </row>
      </sheetData>
      <sheetData sheetId="5881">
        <row r="4">
          <cell r="I4">
            <v>0</v>
          </cell>
        </row>
      </sheetData>
      <sheetData sheetId="5882">
        <row r="4">
          <cell r="I4">
            <v>0</v>
          </cell>
        </row>
      </sheetData>
      <sheetData sheetId="5883">
        <row r="4">
          <cell r="I4">
            <v>0</v>
          </cell>
        </row>
      </sheetData>
      <sheetData sheetId="5884">
        <row r="4">
          <cell r="I4">
            <v>0</v>
          </cell>
        </row>
      </sheetData>
      <sheetData sheetId="5885">
        <row r="4">
          <cell r="I4">
            <v>0</v>
          </cell>
        </row>
      </sheetData>
      <sheetData sheetId="5886">
        <row r="4">
          <cell r="I4">
            <v>0</v>
          </cell>
        </row>
      </sheetData>
      <sheetData sheetId="5887">
        <row r="4">
          <cell r="I4">
            <v>0</v>
          </cell>
        </row>
      </sheetData>
      <sheetData sheetId="5888">
        <row r="4">
          <cell r="I4">
            <v>0</v>
          </cell>
        </row>
      </sheetData>
      <sheetData sheetId="5889">
        <row r="4">
          <cell r="I4">
            <v>0</v>
          </cell>
        </row>
      </sheetData>
      <sheetData sheetId="5890">
        <row r="4">
          <cell r="I4">
            <v>0</v>
          </cell>
        </row>
      </sheetData>
      <sheetData sheetId="5891">
        <row r="4">
          <cell r="I4">
            <v>0</v>
          </cell>
        </row>
      </sheetData>
      <sheetData sheetId="5892">
        <row r="4">
          <cell r="I4">
            <v>0</v>
          </cell>
        </row>
      </sheetData>
      <sheetData sheetId="5893">
        <row r="4">
          <cell r="I4">
            <v>0</v>
          </cell>
        </row>
      </sheetData>
      <sheetData sheetId="5894">
        <row r="4">
          <cell r="I4">
            <v>0</v>
          </cell>
        </row>
      </sheetData>
      <sheetData sheetId="5895">
        <row r="4">
          <cell r="I4">
            <v>0</v>
          </cell>
        </row>
      </sheetData>
      <sheetData sheetId="5896">
        <row r="4">
          <cell r="I4">
            <v>0</v>
          </cell>
        </row>
      </sheetData>
      <sheetData sheetId="5897">
        <row r="4">
          <cell r="I4">
            <v>0</v>
          </cell>
        </row>
      </sheetData>
      <sheetData sheetId="5898">
        <row r="4">
          <cell r="I4">
            <v>0</v>
          </cell>
        </row>
      </sheetData>
      <sheetData sheetId="5899">
        <row r="4">
          <cell r="I4">
            <v>0</v>
          </cell>
        </row>
      </sheetData>
      <sheetData sheetId="5900">
        <row r="4">
          <cell r="I4">
            <v>0</v>
          </cell>
        </row>
      </sheetData>
      <sheetData sheetId="5901">
        <row r="4">
          <cell r="I4">
            <v>0</v>
          </cell>
        </row>
      </sheetData>
      <sheetData sheetId="5902">
        <row r="4">
          <cell r="I4">
            <v>0</v>
          </cell>
        </row>
      </sheetData>
      <sheetData sheetId="5903">
        <row r="4">
          <cell r="I4">
            <v>0</v>
          </cell>
        </row>
      </sheetData>
      <sheetData sheetId="5904">
        <row r="4">
          <cell r="I4">
            <v>0</v>
          </cell>
        </row>
      </sheetData>
      <sheetData sheetId="5905">
        <row r="4">
          <cell r="I4">
            <v>0</v>
          </cell>
        </row>
      </sheetData>
      <sheetData sheetId="5906">
        <row r="4">
          <cell r="I4">
            <v>0</v>
          </cell>
        </row>
      </sheetData>
      <sheetData sheetId="5907">
        <row r="4">
          <cell r="I4">
            <v>0</v>
          </cell>
        </row>
      </sheetData>
      <sheetData sheetId="5908">
        <row r="4">
          <cell r="I4">
            <v>0</v>
          </cell>
        </row>
      </sheetData>
      <sheetData sheetId="5909">
        <row r="4">
          <cell r="I4">
            <v>0</v>
          </cell>
        </row>
      </sheetData>
      <sheetData sheetId="5910">
        <row r="4">
          <cell r="I4">
            <v>0</v>
          </cell>
        </row>
      </sheetData>
      <sheetData sheetId="5911">
        <row r="4">
          <cell r="I4">
            <v>0</v>
          </cell>
        </row>
      </sheetData>
      <sheetData sheetId="5912">
        <row r="4">
          <cell r="I4">
            <v>0</v>
          </cell>
        </row>
      </sheetData>
      <sheetData sheetId="5913">
        <row r="4">
          <cell r="I4">
            <v>0</v>
          </cell>
        </row>
      </sheetData>
      <sheetData sheetId="5914">
        <row r="4">
          <cell r="I4">
            <v>0</v>
          </cell>
        </row>
      </sheetData>
      <sheetData sheetId="5915">
        <row r="4">
          <cell r="I4">
            <v>0</v>
          </cell>
        </row>
      </sheetData>
      <sheetData sheetId="5916">
        <row r="4">
          <cell r="I4">
            <v>0</v>
          </cell>
        </row>
      </sheetData>
      <sheetData sheetId="5917">
        <row r="4">
          <cell r="I4">
            <v>0</v>
          </cell>
        </row>
      </sheetData>
      <sheetData sheetId="5918">
        <row r="4">
          <cell r="I4">
            <v>0</v>
          </cell>
        </row>
      </sheetData>
      <sheetData sheetId="5919">
        <row r="4">
          <cell r="I4">
            <v>0</v>
          </cell>
        </row>
      </sheetData>
      <sheetData sheetId="5920">
        <row r="4">
          <cell r="I4">
            <v>0</v>
          </cell>
        </row>
      </sheetData>
      <sheetData sheetId="5921">
        <row r="4">
          <cell r="I4">
            <v>0</v>
          </cell>
        </row>
      </sheetData>
      <sheetData sheetId="5922">
        <row r="4">
          <cell r="I4">
            <v>0</v>
          </cell>
        </row>
      </sheetData>
      <sheetData sheetId="5923">
        <row r="4">
          <cell r="I4">
            <v>0</v>
          </cell>
        </row>
      </sheetData>
      <sheetData sheetId="5924">
        <row r="4">
          <cell r="I4">
            <v>0</v>
          </cell>
        </row>
      </sheetData>
      <sheetData sheetId="5925">
        <row r="4">
          <cell r="I4">
            <v>0</v>
          </cell>
        </row>
      </sheetData>
      <sheetData sheetId="5926">
        <row r="4">
          <cell r="I4">
            <v>0</v>
          </cell>
        </row>
      </sheetData>
      <sheetData sheetId="5927">
        <row r="4">
          <cell r="I4">
            <v>0</v>
          </cell>
        </row>
      </sheetData>
      <sheetData sheetId="5928">
        <row r="4">
          <cell r="I4">
            <v>0</v>
          </cell>
        </row>
      </sheetData>
      <sheetData sheetId="5929">
        <row r="4">
          <cell r="I4">
            <v>0</v>
          </cell>
        </row>
      </sheetData>
      <sheetData sheetId="5930">
        <row r="4">
          <cell r="I4">
            <v>0</v>
          </cell>
        </row>
      </sheetData>
      <sheetData sheetId="5931">
        <row r="4">
          <cell r="I4">
            <v>0</v>
          </cell>
        </row>
      </sheetData>
      <sheetData sheetId="5932">
        <row r="4">
          <cell r="I4">
            <v>0</v>
          </cell>
        </row>
      </sheetData>
      <sheetData sheetId="5933">
        <row r="4">
          <cell r="I4">
            <v>0</v>
          </cell>
        </row>
      </sheetData>
      <sheetData sheetId="5934">
        <row r="4">
          <cell r="I4">
            <v>0</v>
          </cell>
        </row>
      </sheetData>
      <sheetData sheetId="5935">
        <row r="4">
          <cell r="I4">
            <v>0</v>
          </cell>
        </row>
      </sheetData>
      <sheetData sheetId="5936">
        <row r="4">
          <cell r="I4">
            <v>0</v>
          </cell>
        </row>
      </sheetData>
      <sheetData sheetId="5937">
        <row r="4">
          <cell r="I4">
            <v>0</v>
          </cell>
        </row>
      </sheetData>
      <sheetData sheetId="5938">
        <row r="4">
          <cell r="I4">
            <v>0</v>
          </cell>
        </row>
      </sheetData>
      <sheetData sheetId="5939">
        <row r="4">
          <cell r="I4">
            <v>0</v>
          </cell>
        </row>
      </sheetData>
      <sheetData sheetId="5940">
        <row r="4">
          <cell r="I4">
            <v>0</v>
          </cell>
        </row>
      </sheetData>
      <sheetData sheetId="5941">
        <row r="4">
          <cell r="I4">
            <v>0</v>
          </cell>
        </row>
      </sheetData>
      <sheetData sheetId="5942">
        <row r="4">
          <cell r="I4">
            <v>0</v>
          </cell>
        </row>
      </sheetData>
      <sheetData sheetId="5943">
        <row r="4">
          <cell r="I4">
            <v>0</v>
          </cell>
        </row>
      </sheetData>
      <sheetData sheetId="5944" refreshError="1"/>
      <sheetData sheetId="5945">
        <row r="4">
          <cell r="I4">
            <v>0</v>
          </cell>
        </row>
      </sheetData>
      <sheetData sheetId="5946">
        <row r="4">
          <cell r="I4">
            <v>0</v>
          </cell>
        </row>
      </sheetData>
      <sheetData sheetId="5947">
        <row r="4">
          <cell r="I4">
            <v>0</v>
          </cell>
        </row>
      </sheetData>
      <sheetData sheetId="5948">
        <row r="4">
          <cell r="I4">
            <v>0</v>
          </cell>
        </row>
      </sheetData>
      <sheetData sheetId="5949">
        <row r="4">
          <cell r="I4">
            <v>0</v>
          </cell>
        </row>
      </sheetData>
      <sheetData sheetId="5950">
        <row r="4">
          <cell r="I4">
            <v>0</v>
          </cell>
        </row>
      </sheetData>
      <sheetData sheetId="5951">
        <row r="4">
          <cell r="I4">
            <v>0</v>
          </cell>
        </row>
      </sheetData>
      <sheetData sheetId="5952">
        <row r="4">
          <cell r="I4">
            <v>0</v>
          </cell>
        </row>
      </sheetData>
      <sheetData sheetId="5953">
        <row r="4">
          <cell r="I4">
            <v>0</v>
          </cell>
        </row>
      </sheetData>
      <sheetData sheetId="5954">
        <row r="4">
          <cell r="I4">
            <v>0</v>
          </cell>
        </row>
      </sheetData>
      <sheetData sheetId="5955">
        <row r="4">
          <cell r="I4">
            <v>0</v>
          </cell>
        </row>
      </sheetData>
      <sheetData sheetId="5956">
        <row r="4">
          <cell r="I4">
            <v>0</v>
          </cell>
        </row>
      </sheetData>
      <sheetData sheetId="5957">
        <row r="4">
          <cell r="I4">
            <v>0</v>
          </cell>
        </row>
      </sheetData>
      <sheetData sheetId="5958">
        <row r="4">
          <cell r="I4">
            <v>0</v>
          </cell>
        </row>
      </sheetData>
      <sheetData sheetId="5959">
        <row r="4">
          <cell r="I4">
            <v>0</v>
          </cell>
        </row>
      </sheetData>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ow r="4">
          <cell r="I4">
            <v>0</v>
          </cell>
        </row>
      </sheetData>
      <sheetData sheetId="5970">
        <row r="4">
          <cell r="I4">
            <v>0</v>
          </cell>
        </row>
      </sheetData>
      <sheetData sheetId="5971">
        <row r="4">
          <cell r="I4">
            <v>0</v>
          </cell>
        </row>
      </sheetData>
      <sheetData sheetId="5972">
        <row r="4">
          <cell r="I4">
            <v>0</v>
          </cell>
        </row>
      </sheetData>
      <sheetData sheetId="5973">
        <row r="4">
          <cell r="I4">
            <v>0</v>
          </cell>
        </row>
      </sheetData>
      <sheetData sheetId="5974">
        <row r="4">
          <cell r="I4">
            <v>0</v>
          </cell>
        </row>
      </sheetData>
      <sheetData sheetId="5975">
        <row r="4">
          <cell r="I4">
            <v>0</v>
          </cell>
        </row>
      </sheetData>
      <sheetData sheetId="5976">
        <row r="4">
          <cell r="I4">
            <v>0</v>
          </cell>
        </row>
      </sheetData>
      <sheetData sheetId="5977">
        <row r="4">
          <cell r="I4">
            <v>0</v>
          </cell>
        </row>
      </sheetData>
      <sheetData sheetId="5978">
        <row r="4">
          <cell r="I4">
            <v>0</v>
          </cell>
        </row>
      </sheetData>
      <sheetData sheetId="5979">
        <row r="4">
          <cell r="I4">
            <v>0</v>
          </cell>
        </row>
      </sheetData>
      <sheetData sheetId="5980">
        <row r="4">
          <cell r="I4">
            <v>0</v>
          </cell>
        </row>
      </sheetData>
      <sheetData sheetId="5981">
        <row r="4">
          <cell r="I4">
            <v>0</v>
          </cell>
        </row>
      </sheetData>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ow r="4">
          <cell r="I4">
            <v>0</v>
          </cell>
        </row>
      </sheetData>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ow r="4">
          <cell r="I4">
            <v>0</v>
          </cell>
        </row>
      </sheetData>
      <sheetData sheetId="6007" refreshError="1"/>
      <sheetData sheetId="6008" refreshError="1"/>
      <sheetData sheetId="6009" refreshError="1"/>
      <sheetData sheetId="6010">
        <row r="4">
          <cell r="I4">
            <v>0</v>
          </cell>
        </row>
      </sheetData>
      <sheetData sheetId="6011" refreshError="1"/>
      <sheetData sheetId="6012">
        <row r="4">
          <cell r="I4">
            <v>0</v>
          </cell>
        </row>
      </sheetData>
      <sheetData sheetId="6013">
        <row r="4">
          <cell r="I4">
            <v>0</v>
          </cell>
        </row>
      </sheetData>
      <sheetData sheetId="6014">
        <row r="4">
          <cell r="I4">
            <v>0</v>
          </cell>
        </row>
      </sheetData>
      <sheetData sheetId="6015">
        <row r="4">
          <cell r="I4">
            <v>0</v>
          </cell>
        </row>
      </sheetData>
      <sheetData sheetId="6016">
        <row r="4">
          <cell r="I4">
            <v>0</v>
          </cell>
        </row>
      </sheetData>
      <sheetData sheetId="6017">
        <row r="4">
          <cell r="I4">
            <v>0</v>
          </cell>
        </row>
      </sheetData>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ow r="4">
          <cell r="I4">
            <v>0</v>
          </cell>
        </row>
      </sheetData>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ow r="4">
          <cell r="I4">
            <v>0</v>
          </cell>
        </row>
      </sheetData>
      <sheetData sheetId="6056">
        <row r="4">
          <cell r="I4">
            <v>0</v>
          </cell>
        </row>
      </sheetData>
      <sheetData sheetId="6057">
        <row r="4">
          <cell r="I4">
            <v>0</v>
          </cell>
        </row>
      </sheetData>
      <sheetData sheetId="6058">
        <row r="4">
          <cell r="I4">
            <v>0</v>
          </cell>
        </row>
      </sheetData>
      <sheetData sheetId="6059">
        <row r="4">
          <cell r="I4">
            <v>0</v>
          </cell>
        </row>
      </sheetData>
      <sheetData sheetId="6060">
        <row r="4">
          <cell r="I4">
            <v>0</v>
          </cell>
        </row>
      </sheetData>
      <sheetData sheetId="6061">
        <row r="4">
          <cell r="I4">
            <v>0</v>
          </cell>
        </row>
      </sheetData>
      <sheetData sheetId="6062">
        <row r="4">
          <cell r="I4">
            <v>0</v>
          </cell>
        </row>
      </sheetData>
      <sheetData sheetId="6063">
        <row r="4">
          <cell r="I4">
            <v>0</v>
          </cell>
        </row>
      </sheetData>
      <sheetData sheetId="6064">
        <row r="4">
          <cell r="I4">
            <v>0</v>
          </cell>
        </row>
      </sheetData>
      <sheetData sheetId="6065" refreshError="1"/>
      <sheetData sheetId="6066">
        <row r="4">
          <cell r="I4">
            <v>0</v>
          </cell>
        </row>
      </sheetData>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ow r="4">
          <cell r="I4">
            <v>0</v>
          </cell>
        </row>
      </sheetData>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ow r="4">
          <cell r="I4">
            <v>0</v>
          </cell>
        </row>
      </sheetData>
      <sheetData sheetId="6157" refreshError="1"/>
      <sheetData sheetId="6158" refreshError="1"/>
      <sheetData sheetId="6159" refreshError="1"/>
      <sheetData sheetId="6160" refreshError="1"/>
      <sheetData sheetId="6161" refreshError="1"/>
      <sheetData sheetId="6162" refreshError="1"/>
      <sheetData sheetId="6163" refreshError="1"/>
      <sheetData sheetId="6164">
        <row r="4">
          <cell r="I4">
            <v>0</v>
          </cell>
        </row>
      </sheetData>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ow r="4">
          <cell r="I4">
            <v>0</v>
          </cell>
        </row>
      </sheetData>
      <sheetData sheetId="6210">
        <row r="4">
          <cell r="I4">
            <v>0</v>
          </cell>
        </row>
      </sheetData>
      <sheetData sheetId="6211">
        <row r="4">
          <cell r="I4">
            <v>0</v>
          </cell>
        </row>
      </sheetData>
      <sheetData sheetId="6212">
        <row r="4">
          <cell r="I4">
            <v>0</v>
          </cell>
        </row>
      </sheetData>
      <sheetData sheetId="6213">
        <row r="4">
          <cell r="I4">
            <v>0</v>
          </cell>
        </row>
      </sheetData>
      <sheetData sheetId="6214">
        <row r="4">
          <cell r="I4">
            <v>0</v>
          </cell>
        </row>
      </sheetData>
      <sheetData sheetId="6215">
        <row r="4">
          <cell r="I4">
            <v>0</v>
          </cell>
        </row>
      </sheetData>
      <sheetData sheetId="6216">
        <row r="4">
          <cell r="I4">
            <v>0</v>
          </cell>
        </row>
      </sheetData>
      <sheetData sheetId="6217">
        <row r="4">
          <cell r="I4">
            <v>0</v>
          </cell>
        </row>
      </sheetData>
      <sheetData sheetId="6218">
        <row r="4">
          <cell r="I4">
            <v>0</v>
          </cell>
        </row>
      </sheetData>
      <sheetData sheetId="6219">
        <row r="4">
          <cell r="I4">
            <v>0</v>
          </cell>
        </row>
      </sheetData>
      <sheetData sheetId="6220">
        <row r="4">
          <cell r="I4">
            <v>0</v>
          </cell>
        </row>
      </sheetData>
      <sheetData sheetId="6221">
        <row r="4">
          <cell r="I4">
            <v>0</v>
          </cell>
        </row>
      </sheetData>
      <sheetData sheetId="6222">
        <row r="4">
          <cell r="I4">
            <v>0</v>
          </cell>
        </row>
      </sheetData>
      <sheetData sheetId="6223">
        <row r="4">
          <cell r="I4">
            <v>0</v>
          </cell>
        </row>
      </sheetData>
      <sheetData sheetId="6224">
        <row r="4">
          <cell r="I4">
            <v>0</v>
          </cell>
        </row>
      </sheetData>
      <sheetData sheetId="6225">
        <row r="4">
          <cell r="I4">
            <v>0</v>
          </cell>
        </row>
      </sheetData>
      <sheetData sheetId="6226">
        <row r="4">
          <cell r="I4">
            <v>0</v>
          </cell>
        </row>
      </sheetData>
      <sheetData sheetId="6227">
        <row r="4">
          <cell r="I4">
            <v>0</v>
          </cell>
        </row>
      </sheetData>
      <sheetData sheetId="6228">
        <row r="4">
          <cell r="I4">
            <v>0</v>
          </cell>
        </row>
      </sheetData>
      <sheetData sheetId="6229">
        <row r="4">
          <cell r="I4">
            <v>0</v>
          </cell>
        </row>
      </sheetData>
      <sheetData sheetId="6230">
        <row r="4">
          <cell r="I4">
            <v>0</v>
          </cell>
        </row>
      </sheetData>
      <sheetData sheetId="6231">
        <row r="4">
          <cell r="I4">
            <v>0</v>
          </cell>
        </row>
      </sheetData>
      <sheetData sheetId="6232">
        <row r="4">
          <cell r="I4">
            <v>0</v>
          </cell>
        </row>
      </sheetData>
      <sheetData sheetId="6233">
        <row r="4">
          <cell r="I4">
            <v>0</v>
          </cell>
        </row>
      </sheetData>
      <sheetData sheetId="6234">
        <row r="4">
          <cell r="I4">
            <v>0</v>
          </cell>
        </row>
      </sheetData>
      <sheetData sheetId="6235">
        <row r="4">
          <cell r="I4">
            <v>0</v>
          </cell>
        </row>
      </sheetData>
      <sheetData sheetId="6236">
        <row r="4">
          <cell r="I4">
            <v>0</v>
          </cell>
        </row>
      </sheetData>
      <sheetData sheetId="6237">
        <row r="4">
          <cell r="I4">
            <v>0</v>
          </cell>
        </row>
      </sheetData>
      <sheetData sheetId="6238">
        <row r="4">
          <cell r="I4">
            <v>0</v>
          </cell>
        </row>
      </sheetData>
      <sheetData sheetId="6239">
        <row r="4">
          <cell r="I4">
            <v>0</v>
          </cell>
        </row>
      </sheetData>
      <sheetData sheetId="6240">
        <row r="4">
          <cell r="I4">
            <v>0</v>
          </cell>
        </row>
      </sheetData>
      <sheetData sheetId="6241">
        <row r="4">
          <cell r="I4">
            <v>0</v>
          </cell>
        </row>
      </sheetData>
      <sheetData sheetId="6242">
        <row r="4">
          <cell r="I4">
            <v>0</v>
          </cell>
        </row>
      </sheetData>
      <sheetData sheetId="6243">
        <row r="4">
          <cell r="I4">
            <v>0</v>
          </cell>
        </row>
      </sheetData>
      <sheetData sheetId="6244">
        <row r="4">
          <cell r="I4">
            <v>0</v>
          </cell>
        </row>
      </sheetData>
      <sheetData sheetId="6245">
        <row r="4">
          <cell r="I4">
            <v>0</v>
          </cell>
        </row>
      </sheetData>
      <sheetData sheetId="6246">
        <row r="4">
          <cell r="I4">
            <v>0</v>
          </cell>
        </row>
      </sheetData>
      <sheetData sheetId="6247">
        <row r="4">
          <cell r="I4">
            <v>0</v>
          </cell>
        </row>
      </sheetData>
      <sheetData sheetId="6248">
        <row r="4">
          <cell r="I4">
            <v>0</v>
          </cell>
        </row>
      </sheetData>
      <sheetData sheetId="6249">
        <row r="4">
          <cell r="I4">
            <v>0</v>
          </cell>
        </row>
      </sheetData>
      <sheetData sheetId="6250">
        <row r="4">
          <cell r="I4">
            <v>0</v>
          </cell>
        </row>
      </sheetData>
      <sheetData sheetId="6251">
        <row r="4">
          <cell r="I4">
            <v>0</v>
          </cell>
        </row>
      </sheetData>
      <sheetData sheetId="6252">
        <row r="4">
          <cell r="I4">
            <v>0</v>
          </cell>
        </row>
      </sheetData>
      <sheetData sheetId="6253">
        <row r="4">
          <cell r="I4">
            <v>0</v>
          </cell>
        </row>
      </sheetData>
      <sheetData sheetId="6254">
        <row r="4">
          <cell r="I4">
            <v>0</v>
          </cell>
        </row>
      </sheetData>
      <sheetData sheetId="6255">
        <row r="4">
          <cell r="I4">
            <v>0</v>
          </cell>
        </row>
      </sheetData>
      <sheetData sheetId="6256">
        <row r="4">
          <cell r="I4">
            <v>0</v>
          </cell>
        </row>
      </sheetData>
      <sheetData sheetId="6257">
        <row r="4">
          <cell r="I4">
            <v>0</v>
          </cell>
        </row>
      </sheetData>
      <sheetData sheetId="6258">
        <row r="4">
          <cell r="I4">
            <v>0</v>
          </cell>
        </row>
      </sheetData>
      <sheetData sheetId="6259">
        <row r="4">
          <cell r="I4">
            <v>0</v>
          </cell>
        </row>
      </sheetData>
      <sheetData sheetId="6260">
        <row r="4">
          <cell r="I4">
            <v>0</v>
          </cell>
        </row>
      </sheetData>
      <sheetData sheetId="6261">
        <row r="4">
          <cell r="I4">
            <v>0</v>
          </cell>
        </row>
      </sheetData>
      <sheetData sheetId="6262">
        <row r="4">
          <cell r="I4">
            <v>0</v>
          </cell>
        </row>
      </sheetData>
      <sheetData sheetId="6263">
        <row r="4">
          <cell r="I4">
            <v>0</v>
          </cell>
        </row>
      </sheetData>
      <sheetData sheetId="6264">
        <row r="4">
          <cell r="I4">
            <v>0</v>
          </cell>
        </row>
      </sheetData>
      <sheetData sheetId="6265">
        <row r="4">
          <cell r="I4">
            <v>0</v>
          </cell>
        </row>
      </sheetData>
      <sheetData sheetId="6266">
        <row r="4">
          <cell r="I4">
            <v>0</v>
          </cell>
        </row>
      </sheetData>
      <sheetData sheetId="6267">
        <row r="4">
          <cell r="I4">
            <v>0</v>
          </cell>
        </row>
      </sheetData>
      <sheetData sheetId="6268">
        <row r="4">
          <cell r="I4">
            <v>0</v>
          </cell>
        </row>
      </sheetData>
      <sheetData sheetId="6269">
        <row r="4">
          <cell r="I4">
            <v>0</v>
          </cell>
        </row>
      </sheetData>
      <sheetData sheetId="6270">
        <row r="4">
          <cell r="I4">
            <v>0</v>
          </cell>
        </row>
      </sheetData>
      <sheetData sheetId="6271">
        <row r="4">
          <cell r="I4">
            <v>0</v>
          </cell>
        </row>
      </sheetData>
      <sheetData sheetId="6272">
        <row r="4">
          <cell r="I4">
            <v>0</v>
          </cell>
        </row>
      </sheetData>
      <sheetData sheetId="6273">
        <row r="4">
          <cell r="I4">
            <v>0</v>
          </cell>
        </row>
      </sheetData>
      <sheetData sheetId="6274">
        <row r="4">
          <cell r="I4">
            <v>0</v>
          </cell>
        </row>
      </sheetData>
      <sheetData sheetId="6275">
        <row r="4">
          <cell r="I4">
            <v>0</v>
          </cell>
        </row>
      </sheetData>
      <sheetData sheetId="6276">
        <row r="4">
          <cell r="I4">
            <v>0</v>
          </cell>
        </row>
      </sheetData>
      <sheetData sheetId="6277">
        <row r="4">
          <cell r="I4">
            <v>0</v>
          </cell>
        </row>
      </sheetData>
      <sheetData sheetId="6278">
        <row r="4">
          <cell r="I4">
            <v>0</v>
          </cell>
        </row>
      </sheetData>
      <sheetData sheetId="6279">
        <row r="4">
          <cell r="I4">
            <v>0</v>
          </cell>
        </row>
      </sheetData>
      <sheetData sheetId="6280">
        <row r="4">
          <cell r="I4">
            <v>0</v>
          </cell>
        </row>
      </sheetData>
      <sheetData sheetId="6281">
        <row r="4">
          <cell r="I4">
            <v>0</v>
          </cell>
        </row>
      </sheetData>
      <sheetData sheetId="6282">
        <row r="4">
          <cell r="I4">
            <v>0</v>
          </cell>
        </row>
      </sheetData>
      <sheetData sheetId="6283">
        <row r="4">
          <cell r="I4">
            <v>0</v>
          </cell>
        </row>
      </sheetData>
      <sheetData sheetId="6284">
        <row r="4">
          <cell r="I4">
            <v>0</v>
          </cell>
        </row>
      </sheetData>
      <sheetData sheetId="6285">
        <row r="4">
          <cell r="I4">
            <v>0</v>
          </cell>
        </row>
      </sheetData>
      <sheetData sheetId="6286">
        <row r="4">
          <cell r="I4">
            <v>0</v>
          </cell>
        </row>
      </sheetData>
      <sheetData sheetId="6287">
        <row r="4">
          <cell r="I4">
            <v>0</v>
          </cell>
        </row>
      </sheetData>
      <sheetData sheetId="6288">
        <row r="4">
          <cell r="I4">
            <v>0</v>
          </cell>
        </row>
      </sheetData>
      <sheetData sheetId="6289">
        <row r="4">
          <cell r="I4">
            <v>0</v>
          </cell>
        </row>
      </sheetData>
      <sheetData sheetId="6290">
        <row r="4">
          <cell r="I4">
            <v>0</v>
          </cell>
        </row>
      </sheetData>
      <sheetData sheetId="6291">
        <row r="4">
          <cell r="I4">
            <v>0</v>
          </cell>
        </row>
      </sheetData>
      <sheetData sheetId="6292">
        <row r="4">
          <cell r="I4">
            <v>0</v>
          </cell>
        </row>
      </sheetData>
      <sheetData sheetId="6293">
        <row r="4">
          <cell r="I4">
            <v>0</v>
          </cell>
        </row>
      </sheetData>
      <sheetData sheetId="6294">
        <row r="4">
          <cell r="I4">
            <v>0</v>
          </cell>
        </row>
      </sheetData>
      <sheetData sheetId="6295">
        <row r="4">
          <cell r="I4">
            <v>0</v>
          </cell>
        </row>
      </sheetData>
      <sheetData sheetId="6296">
        <row r="4">
          <cell r="I4">
            <v>0</v>
          </cell>
        </row>
      </sheetData>
      <sheetData sheetId="6297">
        <row r="4">
          <cell r="I4">
            <v>0</v>
          </cell>
        </row>
      </sheetData>
      <sheetData sheetId="6298">
        <row r="4">
          <cell r="I4">
            <v>0</v>
          </cell>
        </row>
      </sheetData>
      <sheetData sheetId="6299">
        <row r="4">
          <cell r="I4">
            <v>0</v>
          </cell>
        </row>
      </sheetData>
      <sheetData sheetId="6300">
        <row r="4">
          <cell r="I4">
            <v>0</v>
          </cell>
        </row>
      </sheetData>
      <sheetData sheetId="6301">
        <row r="4">
          <cell r="I4">
            <v>0</v>
          </cell>
        </row>
      </sheetData>
      <sheetData sheetId="6302">
        <row r="4">
          <cell r="I4">
            <v>0</v>
          </cell>
        </row>
      </sheetData>
      <sheetData sheetId="6303">
        <row r="4">
          <cell r="I4">
            <v>0</v>
          </cell>
        </row>
      </sheetData>
      <sheetData sheetId="6304">
        <row r="4">
          <cell r="I4">
            <v>0</v>
          </cell>
        </row>
      </sheetData>
      <sheetData sheetId="6305">
        <row r="4">
          <cell r="I4">
            <v>0</v>
          </cell>
        </row>
      </sheetData>
      <sheetData sheetId="6306">
        <row r="4">
          <cell r="I4">
            <v>0</v>
          </cell>
        </row>
      </sheetData>
      <sheetData sheetId="6307">
        <row r="4">
          <cell r="I4">
            <v>0</v>
          </cell>
        </row>
      </sheetData>
      <sheetData sheetId="6308">
        <row r="4">
          <cell r="I4">
            <v>0</v>
          </cell>
        </row>
      </sheetData>
      <sheetData sheetId="6309">
        <row r="4">
          <cell r="I4">
            <v>0</v>
          </cell>
        </row>
      </sheetData>
      <sheetData sheetId="6310">
        <row r="4">
          <cell r="I4">
            <v>0</v>
          </cell>
        </row>
      </sheetData>
      <sheetData sheetId="6311">
        <row r="4">
          <cell r="I4">
            <v>0</v>
          </cell>
        </row>
      </sheetData>
      <sheetData sheetId="6312">
        <row r="4">
          <cell r="I4">
            <v>0</v>
          </cell>
        </row>
      </sheetData>
      <sheetData sheetId="6313">
        <row r="4">
          <cell r="I4">
            <v>0</v>
          </cell>
        </row>
      </sheetData>
      <sheetData sheetId="6314">
        <row r="4">
          <cell r="I4">
            <v>0</v>
          </cell>
        </row>
      </sheetData>
      <sheetData sheetId="6315">
        <row r="4">
          <cell r="I4">
            <v>0</v>
          </cell>
        </row>
      </sheetData>
      <sheetData sheetId="6316">
        <row r="4">
          <cell r="I4">
            <v>0</v>
          </cell>
        </row>
      </sheetData>
      <sheetData sheetId="6317">
        <row r="4">
          <cell r="I4">
            <v>0</v>
          </cell>
        </row>
      </sheetData>
      <sheetData sheetId="6318">
        <row r="4">
          <cell r="I4">
            <v>0</v>
          </cell>
        </row>
      </sheetData>
      <sheetData sheetId="6319">
        <row r="4">
          <cell r="I4">
            <v>0</v>
          </cell>
        </row>
      </sheetData>
      <sheetData sheetId="6320">
        <row r="4">
          <cell r="I4">
            <v>0</v>
          </cell>
        </row>
      </sheetData>
      <sheetData sheetId="6321">
        <row r="4">
          <cell r="I4">
            <v>0</v>
          </cell>
        </row>
      </sheetData>
      <sheetData sheetId="6322">
        <row r="4">
          <cell r="I4">
            <v>0</v>
          </cell>
        </row>
      </sheetData>
      <sheetData sheetId="6323">
        <row r="4">
          <cell r="I4">
            <v>0</v>
          </cell>
        </row>
      </sheetData>
      <sheetData sheetId="6324">
        <row r="4">
          <cell r="I4">
            <v>0</v>
          </cell>
        </row>
      </sheetData>
      <sheetData sheetId="6325">
        <row r="4">
          <cell r="I4">
            <v>0</v>
          </cell>
        </row>
      </sheetData>
      <sheetData sheetId="6326">
        <row r="4">
          <cell r="I4">
            <v>0</v>
          </cell>
        </row>
      </sheetData>
      <sheetData sheetId="6327">
        <row r="4">
          <cell r="I4">
            <v>0</v>
          </cell>
        </row>
      </sheetData>
      <sheetData sheetId="6328">
        <row r="4">
          <cell r="I4">
            <v>0</v>
          </cell>
        </row>
      </sheetData>
      <sheetData sheetId="6329">
        <row r="4">
          <cell r="I4">
            <v>0</v>
          </cell>
        </row>
      </sheetData>
      <sheetData sheetId="6330">
        <row r="4">
          <cell r="I4">
            <v>0</v>
          </cell>
        </row>
      </sheetData>
      <sheetData sheetId="6331">
        <row r="4">
          <cell r="I4">
            <v>0</v>
          </cell>
        </row>
      </sheetData>
      <sheetData sheetId="6332">
        <row r="4">
          <cell r="I4">
            <v>0</v>
          </cell>
        </row>
      </sheetData>
      <sheetData sheetId="6333">
        <row r="4">
          <cell r="I4">
            <v>0</v>
          </cell>
        </row>
      </sheetData>
      <sheetData sheetId="6334">
        <row r="4">
          <cell r="I4">
            <v>0</v>
          </cell>
        </row>
      </sheetData>
      <sheetData sheetId="6335">
        <row r="4">
          <cell r="I4">
            <v>0</v>
          </cell>
        </row>
      </sheetData>
      <sheetData sheetId="6336">
        <row r="4">
          <cell r="I4">
            <v>0</v>
          </cell>
        </row>
      </sheetData>
      <sheetData sheetId="6337">
        <row r="4">
          <cell r="I4">
            <v>0</v>
          </cell>
        </row>
      </sheetData>
      <sheetData sheetId="6338">
        <row r="4">
          <cell r="I4">
            <v>0</v>
          </cell>
        </row>
      </sheetData>
      <sheetData sheetId="6339">
        <row r="4">
          <cell r="I4">
            <v>0</v>
          </cell>
        </row>
      </sheetData>
      <sheetData sheetId="6340">
        <row r="4">
          <cell r="I4">
            <v>0</v>
          </cell>
        </row>
      </sheetData>
      <sheetData sheetId="6341">
        <row r="4">
          <cell r="I4">
            <v>0</v>
          </cell>
        </row>
      </sheetData>
      <sheetData sheetId="6342">
        <row r="4">
          <cell r="I4">
            <v>0</v>
          </cell>
        </row>
      </sheetData>
      <sheetData sheetId="6343">
        <row r="4">
          <cell r="I4">
            <v>0</v>
          </cell>
        </row>
      </sheetData>
      <sheetData sheetId="6344">
        <row r="4">
          <cell r="I4">
            <v>0</v>
          </cell>
        </row>
      </sheetData>
      <sheetData sheetId="6345">
        <row r="4">
          <cell r="I4">
            <v>0</v>
          </cell>
        </row>
      </sheetData>
      <sheetData sheetId="6346">
        <row r="4">
          <cell r="I4">
            <v>0</v>
          </cell>
        </row>
      </sheetData>
      <sheetData sheetId="6347">
        <row r="4">
          <cell r="I4">
            <v>0</v>
          </cell>
        </row>
      </sheetData>
      <sheetData sheetId="6348">
        <row r="4">
          <cell r="I4">
            <v>0</v>
          </cell>
        </row>
      </sheetData>
      <sheetData sheetId="6349">
        <row r="4">
          <cell r="I4">
            <v>0</v>
          </cell>
        </row>
      </sheetData>
      <sheetData sheetId="6350">
        <row r="4">
          <cell r="I4">
            <v>0</v>
          </cell>
        </row>
      </sheetData>
      <sheetData sheetId="6351">
        <row r="4">
          <cell r="I4">
            <v>0</v>
          </cell>
        </row>
      </sheetData>
      <sheetData sheetId="6352">
        <row r="4">
          <cell r="I4">
            <v>0</v>
          </cell>
        </row>
      </sheetData>
      <sheetData sheetId="6353">
        <row r="4">
          <cell r="I4">
            <v>0</v>
          </cell>
        </row>
      </sheetData>
      <sheetData sheetId="6354">
        <row r="4">
          <cell r="I4">
            <v>0</v>
          </cell>
        </row>
      </sheetData>
      <sheetData sheetId="6355">
        <row r="4">
          <cell r="I4">
            <v>0</v>
          </cell>
        </row>
      </sheetData>
      <sheetData sheetId="6356">
        <row r="4">
          <cell r="I4">
            <v>0</v>
          </cell>
        </row>
      </sheetData>
      <sheetData sheetId="6357">
        <row r="4">
          <cell r="I4">
            <v>0</v>
          </cell>
        </row>
      </sheetData>
      <sheetData sheetId="6358">
        <row r="4">
          <cell r="I4">
            <v>0</v>
          </cell>
        </row>
      </sheetData>
      <sheetData sheetId="6359">
        <row r="4">
          <cell r="I4">
            <v>0</v>
          </cell>
        </row>
      </sheetData>
      <sheetData sheetId="6360">
        <row r="4">
          <cell r="I4">
            <v>0</v>
          </cell>
        </row>
      </sheetData>
      <sheetData sheetId="6361">
        <row r="4">
          <cell r="I4">
            <v>0</v>
          </cell>
        </row>
      </sheetData>
      <sheetData sheetId="6362">
        <row r="4">
          <cell r="I4">
            <v>0</v>
          </cell>
        </row>
      </sheetData>
      <sheetData sheetId="6363">
        <row r="4">
          <cell r="I4">
            <v>0</v>
          </cell>
        </row>
      </sheetData>
      <sheetData sheetId="6364">
        <row r="4">
          <cell r="I4">
            <v>0</v>
          </cell>
        </row>
      </sheetData>
      <sheetData sheetId="6365">
        <row r="4">
          <cell r="I4">
            <v>0</v>
          </cell>
        </row>
      </sheetData>
      <sheetData sheetId="6366">
        <row r="4">
          <cell r="I4">
            <v>0</v>
          </cell>
        </row>
      </sheetData>
      <sheetData sheetId="6367">
        <row r="4">
          <cell r="I4">
            <v>0</v>
          </cell>
        </row>
      </sheetData>
      <sheetData sheetId="6368">
        <row r="4">
          <cell r="I4">
            <v>0</v>
          </cell>
        </row>
      </sheetData>
      <sheetData sheetId="6369">
        <row r="4">
          <cell r="I4">
            <v>0</v>
          </cell>
        </row>
      </sheetData>
      <sheetData sheetId="6370">
        <row r="4">
          <cell r="I4">
            <v>0</v>
          </cell>
        </row>
      </sheetData>
      <sheetData sheetId="6371">
        <row r="4">
          <cell r="I4">
            <v>0</v>
          </cell>
        </row>
      </sheetData>
      <sheetData sheetId="6372">
        <row r="4">
          <cell r="I4">
            <v>0</v>
          </cell>
        </row>
      </sheetData>
      <sheetData sheetId="6373">
        <row r="4">
          <cell r="I4">
            <v>0</v>
          </cell>
        </row>
      </sheetData>
      <sheetData sheetId="6374">
        <row r="4">
          <cell r="I4">
            <v>0</v>
          </cell>
        </row>
      </sheetData>
      <sheetData sheetId="6375">
        <row r="4">
          <cell r="I4">
            <v>0</v>
          </cell>
        </row>
      </sheetData>
      <sheetData sheetId="6376">
        <row r="4">
          <cell r="I4">
            <v>0</v>
          </cell>
        </row>
      </sheetData>
      <sheetData sheetId="6377">
        <row r="4">
          <cell r="I4">
            <v>0</v>
          </cell>
        </row>
      </sheetData>
      <sheetData sheetId="6378">
        <row r="4">
          <cell r="I4">
            <v>0</v>
          </cell>
        </row>
      </sheetData>
      <sheetData sheetId="6379">
        <row r="4">
          <cell r="I4">
            <v>0</v>
          </cell>
        </row>
      </sheetData>
      <sheetData sheetId="6380">
        <row r="4">
          <cell r="I4">
            <v>0</v>
          </cell>
        </row>
      </sheetData>
      <sheetData sheetId="6381">
        <row r="4">
          <cell r="I4">
            <v>0</v>
          </cell>
        </row>
      </sheetData>
      <sheetData sheetId="6382">
        <row r="4">
          <cell r="I4">
            <v>0</v>
          </cell>
        </row>
      </sheetData>
      <sheetData sheetId="6383">
        <row r="4">
          <cell r="I4">
            <v>0</v>
          </cell>
        </row>
      </sheetData>
      <sheetData sheetId="6384">
        <row r="4">
          <cell r="I4">
            <v>0</v>
          </cell>
        </row>
      </sheetData>
      <sheetData sheetId="6385">
        <row r="4">
          <cell r="I4">
            <v>0</v>
          </cell>
        </row>
      </sheetData>
      <sheetData sheetId="6386">
        <row r="4">
          <cell r="I4">
            <v>0</v>
          </cell>
        </row>
      </sheetData>
      <sheetData sheetId="6387">
        <row r="4">
          <cell r="I4">
            <v>0</v>
          </cell>
        </row>
      </sheetData>
      <sheetData sheetId="6388">
        <row r="4">
          <cell r="I4">
            <v>0</v>
          </cell>
        </row>
      </sheetData>
      <sheetData sheetId="6389">
        <row r="4">
          <cell r="I4">
            <v>0</v>
          </cell>
        </row>
      </sheetData>
      <sheetData sheetId="6390">
        <row r="4">
          <cell r="I4">
            <v>0</v>
          </cell>
        </row>
      </sheetData>
      <sheetData sheetId="6391">
        <row r="4">
          <cell r="I4">
            <v>0</v>
          </cell>
        </row>
      </sheetData>
      <sheetData sheetId="6392">
        <row r="4">
          <cell r="I4">
            <v>0</v>
          </cell>
        </row>
      </sheetData>
      <sheetData sheetId="6393">
        <row r="4">
          <cell r="I4">
            <v>0</v>
          </cell>
        </row>
      </sheetData>
      <sheetData sheetId="6394">
        <row r="4">
          <cell r="I4">
            <v>0</v>
          </cell>
        </row>
      </sheetData>
      <sheetData sheetId="6395">
        <row r="4">
          <cell r="I4">
            <v>0</v>
          </cell>
        </row>
      </sheetData>
      <sheetData sheetId="6396">
        <row r="4">
          <cell r="I4">
            <v>0</v>
          </cell>
        </row>
      </sheetData>
      <sheetData sheetId="6397">
        <row r="4">
          <cell r="I4">
            <v>0</v>
          </cell>
        </row>
      </sheetData>
      <sheetData sheetId="6398">
        <row r="4">
          <cell r="I4">
            <v>0</v>
          </cell>
        </row>
      </sheetData>
      <sheetData sheetId="6399">
        <row r="4">
          <cell r="I4">
            <v>0</v>
          </cell>
        </row>
      </sheetData>
      <sheetData sheetId="6400">
        <row r="4">
          <cell r="I4">
            <v>0</v>
          </cell>
        </row>
      </sheetData>
      <sheetData sheetId="6401">
        <row r="4">
          <cell r="I4">
            <v>0</v>
          </cell>
        </row>
      </sheetData>
      <sheetData sheetId="6402">
        <row r="4">
          <cell r="I4">
            <v>0</v>
          </cell>
        </row>
      </sheetData>
      <sheetData sheetId="6403">
        <row r="4">
          <cell r="I4">
            <v>0</v>
          </cell>
        </row>
      </sheetData>
      <sheetData sheetId="6404">
        <row r="4">
          <cell r="I4">
            <v>0</v>
          </cell>
        </row>
      </sheetData>
      <sheetData sheetId="6405">
        <row r="4">
          <cell r="I4">
            <v>0</v>
          </cell>
        </row>
      </sheetData>
      <sheetData sheetId="6406">
        <row r="4">
          <cell r="I4">
            <v>0</v>
          </cell>
        </row>
      </sheetData>
      <sheetData sheetId="6407">
        <row r="4">
          <cell r="I4">
            <v>0</v>
          </cell>
        </row>
      </sheetData>
      <sheetData sheetId="6408">
        <row r="4">
          <cell r="I4">
            <v>0</v>
          </cell>
        </row>
      </sheetData>
      <sheetData sheetId="6409">
        <row r="4">
          <cell r="I4">
            <v>0</v>
          </cell>
        </row>
      </sheetData>
      <sheetData sheetId="6410">
        <row r="4">
          <cell r="I4">
            <v>0</v>
          </cell>
        </row>
      </sheetData>
      <sheetData sheetId="6411">
        <row r="4">
          <cell r="I4">
            <v>0</v>
          </cell>
        </row>
      </sheetData>
      <sheetData sheetId="6412">
        <row r="4">
          <cell r="I4">
            <v>0</v>
          </cell>
        </row>
      </sheetData>
      <sheetData sheetId="6413">
        <row r="4">
          <cell r="I4">
            <v>0</v>
          </cell>
        </row>
      </sheetData>
      <sheetData sheetId="6414">
        <row r="4">
          <cell r="I4">
            <v>0</v>
          </cell>
        </row>
      </sheetData>
      <sheetData sheetId="6415">
        <row r="4">
          <cell r="I4">
            <v>0</v>
          </cell>
        </row>
      </sheetData>
      <sheetData sheetId="6416">
        <row r="4">
          <cell r="I4">
            <v>0</v>
          </cell>
        </row>
      </sheetData>
      <sheetData sheetId="6417">
        <row r="4">
          <cell r="I4">
            <v>0</v>
          </cell>
        </row>
      </sheetData>
      <sheetData sheetId="6418">
        <row r="4">
          <cell r="I4">
            <v>0</v>
          </cell>
        </row>
      </sheetData>
      <sheetData sheetId="6419">
        <row r="4">
          <cell r="I4">
            <v>0</v>
          </cell>
        </row>
      </sheetData>
      <sheetData sheetId="6420">
        <row r="4">
          <cell r="I4">
            <v>0</v>
          </cell>
        </row>
      </sheetData>
      <sheetData sheetId="6421">
        <row r="4">
          <cell r="I4">
            <v>0</v>
          </cell>
        </row>
      </sheetData>
      <sheetData sheetId="6422">
        <row r="4">
          <cell r="I4">
            <v>0</v>
          </cell>
        </row>
      </sheetData>
      <sheetData sheetId="6423">
        <row r="4">
          <cell r="I4">
            <v>0</v>
          </cell>
        </row>
      </sheetData>
      <sheetData sheetId="6424">
        <row r="4">
          <cell r="I4">
            <v>0</v>
          </cell>
        </row>
      </sheetData>
      <sheetData sheetId="6425">
        <row r="4">
          <cell r="I4">
            <v>0</v>
          </cell>
        </row>
      </sheetData>
      <sheetData sheetId="6426">
        <row r="4">
          <cell r="I4">
            <v>0</v>
          </cell>
        </row>
      </sheetData>
      <sheetData sheetId="6427">
        <row r="4">
          <cell r="I4">
            <v>0</v>
          </cell>
        </row>
      </sheetData>
      <sheetData sheetId="6428">
        <row r="4">
          <cell r="I4">
            <v>0</v>
          </cell>
        </row>
      </sheetData>
      <sheetData sheetId="6429">
        <row r="4">
          <cell r="I4">
            <v>0</v>
          </cell>
        </row>
      </sheetData>
      <sheetData sheetId="6430">
        <row r="4">
          <cell r="I4">
            <v>0</v>
          </cell>
        </row>
      </sheetData>
      <sheetData sheetId="6431">
        <row r="4">
          <cell r="I4">
            <v>0</v>
          </cell>
        </row>
      </sheetData>
      <sheetData sheetId="6432">
        <row r="4">
          <cell r="I4">
            <v>0</v>
          </cell>
        </row>
      </sheetData>
      <sheetData sheetId="6433">
        <row r="4">
          <cell r="I4">
            <v>0</v>
          </cell>
        </row>
      </sheetData>
      <sheetData sheetId="6434">
        <row r="4">
          <cell r="I4">
            <v>0</v>
          </cell>
        </row>
      </sheetData>
      <sheetData sheetId="6435">
        <row r="4">
          <cell r="I4">
            <v>0</v>
          </cell>
        </row>
      </sheetData>
      <sheetData sheetId="6436">
        <row r="4">
          <cell r="I4">
            <v>0</v>
          </cell>
        </row>
      </sheetData>
      <sheetData sheetId="6437">
        <row r="4">
          <cell r="I4">
            <v>0</v>
          </cell>
        </row>
      </sheetData>
      <sheetData sheetId="6438">
        <row r="4">
          <cell r="I4">
            <v>0</v>
          </cell>
        </row>
      </sheetData>
      <sheetData sheetId="6439">
        <row r="4">
          <cell r="I4">
            <v>0</v>
          </cell>
        </row>
      </sheetData>
      <sheetData sheetId="6440">
        <row r="4">
          <cell r="I4">
            <v>0</v>
          </cell>
        </row>
      </sheetData>
      <sheetData sheetId="6441">
        <row r="4">
          <cell r="I4">
            <v>0</v>
          </cell>
        </row>
      </sheetData>
      <sheetData sheetId="6442">
        <row r="4">
          <cell r="I4">
            <v>0</v>
          </cell>
        </row>
      </sheetData>
      <sheetData sheetId="6443">
        <row r="4">
          <cell r="I4">
            <v>0</v>
          </cell>
        </row>
      </sheetData>
      <sheetData sheetId="6444">
        <row r="4">
          <cell r="I4">
            <v>0</v>
          </cell>
        </row>
      </sheetData>
      <sheetData sheetId="6445">
        <row r="4">
          <cell r="I4">
            <v>0</v>
          </cell>
        </row>
      </sheetData>
      <sheetData sheetId="6446">
        <row r="4">
          <cell r="I4">
            <v>0</v>
          </cell>
        </row>
      </sheetData>
      <sheetData sheetId="6447">
        <row r="4">
          <cell r="I4">
            <v>0</v>
          </cell>
        </row>
      </sheetData>
      <sheetData sheetId="6448">
        <row r="4">
          <cell r="I4">
            <v>0</v>
          </cell>
        </row>
      </sheetData>
      <sheetData sheetId="6449">
        <row r="4">
          <cell r="I4">
            <v>0</v>
          </cell>
        </row>
      </sheetData>
      <sheetData sheetId="6450">
        <row r="4">
          <cell r="I4">
            <v>0</v>
          </cell>
        </row>
      </sheetData>
      <sheetData sheetId="6451">
        <row r="4">
          <cell r="I4">
            <v>0</v>
          </cell>
        </row>
      </sheetData>
      <sheetData sheetId="6452">
        <row r="4">
          <cell r="I4">
            <v>0</v>
          </cell>
        </row>
      </sheetData>
      <sheetData sheetId="6453">
        <row r="4">
          <cell r="I4">
            <v>0</v>
          </cell>
        </row>
      </sheetData>
      <sheetData sheetId="6454">
        <row r="4">
          <cell r="I4">
            <v>0</v>
          </cell>
        </row>
      </sheetData>
      <sheetData sheetId="6455">
        <row r="4">
          <cell r="I4">
            <v>0</v>
          </cell>
        </row>
      </sheetData>
      <sheetData sheetId="6456">
        <row r="4">
          <cell r="I4">
            <v>0</v>
          </cell>
        </row>
      </sheetData>
      <sheetData sheetId="6457">
        <row r="4">
          <cell r="I4">
            <v>0</v>
          </cell>
        </row>
      </sheetData>
      <sheetData sheetId="6458">
        <row r="4">
          <cell r="I4">
            <v>0</v>
          </cell>
        </row>
      </sheetData>
      <sheetData sheetId="6459">
        <row r="4">
          <cell r="I4">
            <v>0</v>
          </cell>
        </row>
      </sheetData>
      <sheetData sheetId="6460">
        <row r="4">
          <cell r="I4">
            <v>0</v>
          </cell>
        </row>
      </sheetData>
      <sheetData sheetId="6461">
        <row r="4">
          <cell r="I4">
            <v>0</v>
          </cell>
        </row>
      </sheetData>
      <sheetData sheetId="6462">
        <row r="4">
          <cell r="I4">
            <v>0</v>
          </cell>
        </row>
      </sheetData>
      <sheetData sheetId="6463">
        <row r="4">
          <cell r="I4">
            <v>0</v>
          </cell>
        </row>
      </sheetData>
      <sheetData sheetId="6464">
        <row r="4">
          <cell r="I4">
            <v>0</v>
          </cell>
        </row>
      </sheetData>
      <sheetData sheetId="6465">
        <row r="4">
          <cell r="I4">
            <v>0</v>
          </cell>
        </row>
      </sheetData>
      <sheetData sheetId="6466">
        <row r="4">
          <cell r="I4">
            <v>0</v>
          </cell>
        </row>
      </sheetData>
      <sheetData sheetId="6467">
        <row r="4">
          <cell r="I4">
            <v>0</v>
          </cell>
        </row>
      </sheetData>
      <sheetData sheetId="6468">
        <row r="4">
          <cell r="I4">
            <v>0</v>
          </cell>
        </row>
      </sheetData>
      <sheetData sheetId="6469">
        <row r="4">
          <cell r="I4">
            <v>0</v>
          </cell>
        </row>
      </sheetData>
      <sheetData sheetId="6470">
        <row r="4">
          <cell r="I4">
            <v>0</v>
          </cell>
        </row>
      </sheetData>
      <sheetData sheetId="6471">
        <row r="4">
          <cell r="I4">
            <v>0</v>
          </cell>
        </row>
      </sheetData>
      <sheetData sheetId="6472">
        <row r="4">
          <cell r="I4">
            <v>0</v>
          </cell>
        </row>
      </sheetData>
      <sheetData sheetId="6473">
        <row r="4">
          <cell r="I4">
            <v>0</v>
          </cell>
        </row>
      </sheetData>
      <sheetData sheetId="6474">
        <row r="4">
          <cell r="I4">
            <v>0</v>
          </cell>
        </row>
      </sheetData>
      <sheetData sheetId="6475">
        <row r="4">
          <cell r="I4">
            <v>0</v>
          </cell>
        </row>
      </sheetData>
      <sheetData sheetId="6476">
        <row r="4">
          <cell r="I4">
            <v>0</v>
          </cell>
        </row>
      </sheetData>
      <sheetData sheetId="6477">
        <row r="4">
          <cell r="I4">
            <v>0</v>
          </cell>
        </row>
      </sheetData>
      <sheetData sheetId="6478">
        <row r="4">
          <cell r="I4">
            <v>0</v>
          </cell>
        </row>
      </sheetData>
      <sheetData sheetId="6479">
        <row r="4">
          <cell r="I4">
            <v>0</v>
          </cell>
        </row>
      </sheetData>
      <sheetData sheetId="6480">
        <row r="4">
          <cell r="I4">
            <v>0</v>
          </cell>
        </row>
      </sheetData>
      <sheetData sheetId="6481">
        <row r="4">
          <cell r="I4">
            <v>0</v>
          </cell>
        </row>
      </sheetData>
      <sheetData sheetId="6482">
        <row r="4">
          <cell r="I4">
            <v>0</v>
          </cell>
        </row>
      </sheetData>
      <sheetData sheetId="6483">
        <row r="4">
          <cell r="I4">
            <v>0</v>
          </cell>
        </row>
      </sheetData>
      <sheetData sheetId="6484">
        <row r="4">
          <cell r="I4">
            <v>0</v>
          </cell>
        </row>
      </sheetData>
      <sheetData sheetId="6485">
        <row r="4">
          <cell r="I4">
            <v>0</v>
          </cell>
        </row>
      </sheetData>
      <sheetData sheetId="6486">
        <row r="4">
          <cell r="I4">
            <v>0</v>
          </cell>
        </row>
      </sheetData>
      <sheetData sheetId="6487">
        <row r="4">
          <cell r="I4">
            <v>0</v>
          </cell>
        </row>
      </sheetData>
      <sheetData sheetId="6488">
        <row r="4">
          <cell r="I4">
            <v>0</v>
          </cell>
        </row>
      </sheetData>
      <sheetData sheetId="6489">
        <row r="4">
          <cell r="I4">
            <v>0</v>
          </cell>
        </row>
      </sheetData>
      <sheetData sheetId="6490">
        <row r="4">
          <cell r="I4">
            <v>0</v>
          </cell>
        </row>
      </sheetData>
      <sheetData sheetId="6491">
        <row r="4">
          <cell r="I4">
            <v>0</v>
          </cell>
        </row>
      </sheetData>
      <sheetData sheetId="6492">
        <row r="4">
          <cell r="I4">
            <v>0</v>
          </cell>
        </row>
      </sheetData>
      <sheetData sheetId="6493">
        <row r="4">
          <cell r="I4">
            <v>0</v>
          </cell>
        </row>
      </sheetData>
      <sheetData sheetId="6494">
        <row r="4">
          <cell r="I4">
            <v>0</v>
          </cell>
        </row>
      </sheetData>
      <sheetData sheetId="6495">
        <row r="4">
          <cell r="I4">
            <v>0</v>
          </cell>
        </row>
      </sheetData>
      <sheetData sheetId="6496">
        <row r="4">
          <cell r="I4">
            <v>0</v>
          </cell>
        </row>
      </sheetData>
      <sheetData sheetId="6497">
        <row r="4">
          <cell r="I4">
            <v>0</v>
          </cell>
        </row>
      </sheetData>
      <sheetData sheetId="6498">
        <row r="4">
          <cell r="I4">
            <v>0</v>
          </cell>
        </row>
      </sheetData>
      <sheetData sheetId="6499">
        <row r="4">
          <cell r="I4">
            <v>0</v>
          </cell>
        </row>
      </sheetData>
      <sheetData sheetId="6500">
        <row r="4">
          <cell r="I4">
            <v>0</v>
          </cell>
        </row>
      </sheetData>
      <sheetData sheetId="6501">
        <row r="4">
          <cell r="I4">
            <v>0</v>
          </cell>
        </row>
      </sheetData>
      <sheetData sheetId="6502">
        <row r="4">
          <cell r="I4">
            <v>0</v>
          </cell>
        </row>
      </sheetData>
      <sheetData sheetId="6503">
        <row r="4">
          <cell r="I4">
            <v>0</v>
          </cell>
        </row>
      </sheetData>
      <sheetData sheetId="6504">
        <row r="4">
          <cell r="I4">
            <v>0</v>
          </cell>
        </row>
      </sheetData>
      <sheetData sheetId="6505">
        <row r="4">
          <cell r="I4">
            <v>0</v>
          </cell>
        </row>
      </sheetData>
      <sheetData sheetId="6506">
        <row r="4">
          <cell r="I4">
            <v>0</v>
          </cell>
        </row>
      </sheetData>
      <sheetData sheetId="6507">
        <row r="4">
          <cell r="I4">
            <v>0</v>
          </cell>
        </row>
      </sheetData>
      <sheetData sheetId="6508">
        <row r="4">
          <cell r="I4">
            <v>0</v>
          </cell>
        </row>
      </sheetData>
      <sheetData sheetId="6509">
        <row r="4">
          <cell r="I4">
            <v>0</v>
          </cell>
        </row>
      </sheetData>
      <sheetData sheetId="6510">
        <row r="4">
          <cell r="I4">
            <v>0</v>
          </cell>
        </row>
      </sheetData>
      <sheetData sheetId="6511">
        <row r="4">
          <cell r="I4">
            <v>0</v>
          </cell>
        </row>
      </sheetData>
      <sheetData sheetId="6512">
        <row r="4">
          <cell r="I4">
            <v>0</v>
          </cell>
        </row>
      </sheetData>
      <sheetData sheetId="6513">
        <row r="4">
          <cell r="I4">
            <v>0</v>
          </cell>
        </row>
      </sheetData>
      <sheetData sheetId="6514">
        <row r="4">
          <cell r="I4">
            <v>0</v>
          </cell>
        </row>
      </sheetData>
      <sheetData sheetId="6515">
        <row r="4">
          <cell r="I4">
            <v>0</v>
          </cell>
        </row>
      </sheetData>
      <sheetData sheetId="6516">
        <row r="4">
          <cell r="I4">
            <v>0</v>
          </cell>
        </row>
      </sheetData>
      <sheetData sheetId="6517">
        <row r="4">
          <cell r="I4">
            <v>0</v>
          </cell>
        </row>
      </sheetData>
      <sheetData sheetId="6518">
        <row r="4">
          <cell r="I4">
            <v>0</v>
          </cell>
        </row>
      </sheetData>
      <sheetData sheetId="6519">
        <row r="4">
          <cell r="I4">
            <v>0</v>
          </cell>
        </row>
      </sheetData>
      <sheetData sheetId="6520">
        <row r="4">
          <cell r="I4">
            <v>0</v>
          </cell>
        </row>
      </sheetData>
      <sheetData sheetId="6521">
        <row r="4">
          <cell r="I4">
            <v>0</v>
          </cell>
        </row>
      </sheetData>
      <sheetData sheetId="6522">
        <row r="4">
          <cell r="I4">
            <v>0</v>
          </cell>
        </row>
      </sheetData>
      <sheetData sheetId="6523">
        <row r="4">
          <cell r="I4">
            <v>0</v>
          </cell>
        </row>
      </sheetData>
      <sheetData sheetId="6524">
        <row r="4">
          <cell r="I4">
            <v>0</v>
          </cell>
        </row>
      </sheetData>
      <sheetData sheetId="6525">
        <row r="4">
          <cell r="I4">
            <v>0</v>
          </cell>
        </row>
      </sheetData>
      <sheetData sheetId="6526">
        <row r="4">
          <cell r="I4">
            <v>0</v>
          </cell>
        </row>
      </sheetData>
      <sheetData sheetId="6527">
        <row r="4">
          <cell r="I4">
            <v>0</v>
          </cell>
        </row>
      </sheetData>
      <sheetData sheetId="6528">
        <row r="4">
          <cell r="I4">
            <v>0</v>
          </cell>
        </row>
      </sheetData>
      <sheetData sheetId="6529">
        <row r="4">
          <cell r="I4">
            <v>0</v>
          </cell>
        </row>
      </sheetData>
      <sheetData sheetId="6530">
        <row r="4">
          <cell r="I4">
            <v>0</v>
          </cell>
        </row>
      </sheetData>
      <sheetData sheetId="6531">
        <row r="4">
          <cell r="I4">
            <v>0</v>
          </cell>
        </row>
      </sheetData>
      <sheetData sheetId="6532">
        <row r="4">
          <cell r="I4">
            <v>0</v>
          </cell>
        </row>
      </sheetData>
      <sheetData sheetId="6533">
        <row r="4">
          <cell r="I4">
            <v>0</v>
          </cell>
        </row>
      </sheetData>
      <sheetData sheetId="6534">
        <row r="4">
          <cell r="I4">
            <v>0</v>
          </cell>
        </row>
      </sheetData>
      <sheetData sheetId="6535">
        <row r="4">
          <cell r="I4">
            <v>0</v>
          </cell>
        </row>
      </sheetData>
      <sheetData sheetId="6536">
        <row r="4">
          <cell r="I4">
            <v>0</v>
          </cell>
        </row>
      </sheetData>
      <sheetData sheetId="6537">
        <row r="4">
          <cell r="I4">
            <v>0</v>
          </cell>
        </row>
      </sheetData>
      <sheetData sheetId="6538">
        <row r="4">
          <cell r="I4">
            <v>0</v>
          </cell>
        </row>
      </sheetData>
      <sheetData sheetId="6539">
        <row r="4">
          <cell r="I4">
            <v>0</v>
          </cell>
        </row>
      </sheetData>
      <sheetData sheetId="6540">
        <row r="4">
          <cell r="I4">
            <v>0</v>
          </cell>
        </row>
      </sheetData>
      <sheetData sheetId="6541">
        <row r="4">
          <cell r="I4">
            <v>0</v>
          </cell>
        </row>
      </sheetData>
      <sheetData sheetId="6542">
        <row r="4">
          <cell r="I4">
            <v>0</v>
          </cell>
        </row>
      </sheetData>
      <sheetData sheetId="6543">
        <row r="4">
          <cell r="I4">
            <v>0</v>
          </cell>
        </row>
      </sheetData>
      <sheetData sheetId="6544">
        <row r="4">
          <cell r="I4">
            <v>0</v>
          </cell>
        </row>
      </sheetData>
      <sheetData sheetId="6545">
        <row r="4">
          <cell r="I4">
            <v>0</v>
          </cell>
        </row>
      </sheetData>
      <sheetData sheetId="6546">
        <row r="4">
          <cell r="I4">
            <v>0</v>
          </cell>
        </row>
      </sheetData>
      <sheetData sheetId="6547">
        <row r="4">
          <cell r="I4">
            <v>0</v>
          </cell>
        </row>
      </sheetData>
      <sheetData sheetId="6548">
        <row r="4">
          <cell r="I4">
            <v>0</v>
          </cell>
        </row>
      </sheetData>
      <sheetData sheetId="6549">
        <row r="4">
          <cell r="I4">
            <v>0</v>
          </cell>
        </row>
      </sheetData>
      <sheetData sheetId="6550">
        <row r="4">
          <cell r="I4">
            <v>0</v>
          </cell>
        </row>
      </sheetData>
      <sheetData sheetId="6551">
        <row r="4">
          <cell r="I4">
            <v>0</v>
          </cell>
        </row>
      </sheetData>
      <sheetData sheetId="6552">
        <row r="4">
          <cell r="I4">
            <v>0</v>
          </cell>
        </row>
      </sheetData>
      <sheetData sheetId="6553">
        <row r="4">
          <cell r="I4">
            <v>0</v>
          </cell>
        </row>
      </sheetData>
      <sheetData sheetId="6554">
        <row r="4">
          <cell r="I4">
            <v>0</v>
          </cell>
        </row>
      </sheetData>
      <sheetData sheetId="6555">
        <row r="4">
          <cell r="I4">
            <v>0</v>
          </cell>
        </row>
      </sheetData>
      <sheetData sheetId="6556">
        <row r="4">
          <cell r="I4">
            <v>0</v>
          </cell>
        </row>
      </sheetData>
      <sheetData sheetId="6557">
        <row r="4">
          <cell r="I4">
            <v>0</v>
          </cell>
        </row>
      </sheetData>
      <sheetData sheetId="6558">
        <row r="4">
          <cell r="I4">
            <v>0</v>
          </cell>
        </row>
      </sheetData>
      <sheetData sheetId="6559">
        <row r="4">
          <cell r="I4">
            <v>0</v>
          </cell>
        </row>
      </sheetData>
      <sheetData sheetId="6560">
        <row r="4">
          <cell r="I4">
            <v>0</v>
          </cell>
        </row>
      </sheetData>
      <sheetData sheetId="6561">
        <row r="4">
          <cell r="I4">
            <v>0</v>
          </cell>
        </row>
      </sheetData>
      <sheetData sheetId="6562">
        <row r="4">
          <cell r="I4">
            <v>0</v>
          </cell>
        </row>
      </sheetData>
      <sheetData sheetId="6563">
        <row r="4">
          <cell r="I4">
            <v>0</v>
          </cell>
        </row>
      </sheetData>
      <sheetData sheetId="6564">
        <row r="4">
          <cell r="I4">
            <v>0</v>
          </cell>
        </row>
      </sheetData>
      <sheetData sheetId="6565">
        <row r="4">
          <cell r="I4">
            <v>0</v>
          </cell>
        </row>
      </sheetData>
      <sheetData sheetId="6566">
        <row r="4">
          <cell r="I4">
            <v>0</v>
          </cell>
        </row>
      </sheetData>
      <sheetData sheetId="6567">
        <row r="4">
          <cell r="I4">
            <v>0</v>
          </cell>
        </row>
      </sheetData>
      <sheetData sheetId="6568">
        <row r="4">
          <cell r="I4">
            <v>0</v>
          </cell>
        </row>
      </sheetData>
      <sheetData sheetId="6569">
        <row r="4">
          <cell r="I4">
            <v>0</v>
          </cell>
        </row>
      </sheetData>
      <sheetData sheetId="6570">
        <row r="4">
          <cell r="I4">
            <v>0</v>
          </cell>
        </row>
      </sheetData>
      <sheetData sheetId="6571">
        <row r="4">
          <cell r="I4">
            <v>0</v>
          </cell>
        </row>
      </sheetData>
      <sheetData sheetId="6572">
        <row r="4">
          <cell r="I4">
            <v>0</v>
          </cell>
        </row>
      </sheetData>
      <sheetData sheetId="6573">
        <row r="4">
          <cell r="I4">
            <v>0</v>
          </cell>
        </row>
      </sheetData>
      <sheetData sheetId="6574">
        <row r="4">
          <cell r="I4">
            <v>0</v>
          </cell>
        </row>
      </sheetData>
      <sheetData sheetId="6575">
        <row r="4">
          <cell r="I4">
            <v>0</v>
          </cell>
        </row>
      </sheetData>
      <sheetData sheetId="6576">
        <row r="4">
          <cell r="I4">
            <v>0</v>
          </cell>
        </row>
      </sheetData>
      <sheetData sheetId="6577">
        <row r="4">
          <cell r="I4">
            <v>0</v>
          </cell>
        </row>
      </sheetData>
      <sheetData sheetId="6578">
        <row r="4">
          <cell r="I4">
            <v>0</v>
          </cell>
        </row>
      </sheetData>
      <sheetData sheetId="6579">
        <row r="4">
          <cell r="I4">
            <v>0</v>
          </cell>
        </row>
      </sheetData>
      <sheetData sheetId="6580">
        <row r="4">
          <cell r="I4">
            <v>0</v>
          </cell>
        </row>
      </sheetData>
      <sheetData sheetId="6581">
        <row r="4">
          <cell r="I4">
            <v>0</v>
          </cell>
        </row>
      </sheetData>
      <sheetData sheetId="6582">
        <row r="4">
          <cell r="I4">
            <v>0</v>
          </cell>
        </row>
      </sheetData>
      <sheetData sheetId="6583">
        <row r="4">
          <cell r="I4">
            <v>0</v>
          </cell>
        </row>
      </sheetData>
      <sheetData sheetId="6584">
        <row r="4">
          <cell r="I4">
            <v>0</v>
          </cell>
        </row>
      </sheetData>
      <sheetData sheetId="6585">
        <row r="4">
          <cell r="I4">
            <v>0</v>
          </cell>
        </row>
      </sheetData>
      <sheetData sheetId="6586">
        <row r="4">
          <cell r="I4">
            <v>0</v>
          </cell>
        </row>
      </sheetData>
      <sheetData sheetId="6587">
        <row r="4">
          <cell r="I4">
            <v>0</v>
          </cell>
        </row>
      </sheetData>
      <sheetData sheetId="6588">
        <row r="4">
          <cell r="I4">
            <v>0</v>
          </cell>
        </row>
      </sheetData>
      <sheetData sheetId="6589">
        <row r="4">
          <cell r="I4">
            <v>0</v>
          </cell>
        </row>
      </sheetData>
      <sheetData sheetId="6590">
        <row r="4">
          <cell r="I4">
            <v>0</v>
          </cell>
        </row>
      </sheetData>
      <sheetData sheetId="6591">
        <row r="4">
          <cell r="I4">
            <v>0</v>
          </cell>
        </row>
      </sheetData>
      <sheetData sheetId="6592">
        <row r="4">
          <cell r="I4">
            <v>0</v>
          </cell>
        </row>
      </sheetData>
      <sheetData sheetId="6593">
        <row r="4">
          <cell r="I4">
            <v>0</v>
          </cell>
        </row>
      </sheetData>
      <sheetData sheetId="6594">
        <row r="4">
          <cell r="I4">
            <v>0</v>
          </cell>
        </row>
      </sheetData>
      <sheetData sheetId="6595">
        <row r="4">
          <cell r="I4">
            <v>0</v>
          </cell>
        </row>
      </sheetData>
      <sheetData sheetId="6596">
        <row r="4">
          <cell r="I4">
            <v>0</v>
          </cell>
        </row>
      </sheetData>
      <sheetData sheetId="6597">
        <row r="4">
          <cell r="I4">
            <v>0</v>
          </cell>
        </row>
      </sheetData>
      <sheetData sheetId="6598">
        <row r="4">
          <cell r="I4">
            <v>0</v>
          </cell>
        </row>
      </sheetData>
      <sheetData sheetId="6599">
        <row r="4">
          <cell r="I4">
            <v>0</v>
          </cell>
        </row>
      </sheetData>
      <sheetData sheetId="6600">
        <row r="4">
          <cell r="I4">
            <v>0</v>
          </cell>
        </row>
      </sheetData>
      <sheetData sheetId="6601">
        <row r="4">
          <cell r="I4">
            <v>0</v>
          </cell>
        </row>
      </sheetData>
      <sheetData sheetId="6602">
        <row r="4">
          <cell r="I4">
            <v>0</v>
          </cell>
        </row>
      </sheetData>
      <sheetData sheetId="6603">
        <row r="4">
          <cell r="I4">
            <v>0</v>
          </cell>
        </row>
      </sheetData>
      <sheetData sheetId="6604">
        <row r="4">
          <cell r="I4">
            <v>0</v>
          </cell>
        </row>
      </sheetData>
      <sheetData sheetId="6605">
        <row r="4">
          <cell r="I4">
            <v>0</v>
          </cell>
        </row>
      </sheetData>
      <sheetData sheetId="6606">
        <row r="4">
          <cell r="I4">
            <v>0</v>
          </cell>
        </row>
      </sheetData>
      <sheetData sheetId="6607">
        <row r="4">
          <cell r="I4">
            <v>0</v>
          </cell>
        </row>
      </sheetData>
      <sheetData sheetId="6608">
        <row r="4">
          <cell r="I4">
            <v>0</v>
          </cell>
        </row>
      </sheetData>
      <sheetData sheetId="6609">
        <row r="4">
          <cell r="I4">
            <v>0</v>
          </cell>
        </row>
      </sheetData>
      <sheetData sheetId="6610">
        <row r="4">
          <cell r="I4">
            <v>0</v>
          </cell>
        </row>
      </sheetData>
      <sheetData sheetId="6611">
        <row r="4">
          <cell r="I4">
            <v>0</v>
          </cell>
        </row>
      </sheetData>
      <sheetData sheetId="6612">
        <row r="4">
          <cell r="I4">
            <v>0</v>
          </cell>
        </row>
      </sheetData>
      <sheetData sheetId="6613">
        <row r="4">
          <cell r="I4">
            <v>0</v>
          </cell>
        </row>
      </sheetData>
      <sheetData sheetId="6614">
        <row r="4">
          <cell r="I4">
            <v>0</v>
          </cell>
        </row>
      </sheetData>
      <sheetData sheetId="6615">
        <row r="4">
          <cell r="I4">
            <v>0</v>
          </cell>
        </row>
      </sheetData>
      <sheetData sheetId="6616">
        <row r="4">
          <cell r="I4">
            <v>0</v>
          </cell>
        </row>
      </sheetData>
      <sheetData sheetId="6617">
        <row r="4">
          <cell r="I4">
            <v>0</v>
          </cell>
        </row>
      </sheetData>
      <sheetData sheetId="6618">
        <row r="4">
          <cell r="I4">
            <v>0</v>
          </cell>
        </row>
      </sheetData>
      <sheetData sheetId="6619">
        <row r="4">
          <cell r="I4">
            <v>0</v>
          </cell>
        </row>
      </sheetData>
      <sheetData sheetId="6620">
        <row r="4">
          <cell r="I4">
            <v>0</v>
          </cell>
        </row>
      </sheetData>
      <sheetData sheetId="6621">
        <row r="4">
          <cell r="I4">
            <v>0</v>
          </cell>
        </row>
      </sheetData>
      <sheetData sheetId="6622">
        <row r="4">
          <cell r="I4">
            <v>0</v>
          </cell>
        </row>
      </sheetData>
      <sheetData sheetId="6623">
        <row r="4">
          <cell r="I4">
            <v>0</v>
          </cell>
        </row>
      </sheetData>
      <sheetData sheetId="6624">
        <row r="4">
          <cell r="I4">
            <v>0</v>
          </cell>
        </row>
      </sheetData>
      <sheetData sheetId="6625">
        <row r="4">
          <cell r="I4">
            <v>0</v>
          </cell>
        </row>
      </sheetData>
      <sheetData sheetId="6626">
        <row r="4">
          <cell r="I4">
            <v>0</v>
          </cell>
        </row>
      </sheetData>
      <sheetData sheetId="6627">
        <row r="4">
          <cell r="I4">
            <v>0</v>
          </cell>
        </row>
      </sheetData>
      <sheetData sheetId="6628">
        <row r="4">
          <cell r="I4">
            <v>0</v>
          </cell>
        </row>
      </sheetData>
      <sheetData sheetId="6629">
        <row r="4">
          <cell r="I4">
            <v>0</v>
          </cell>
        </row>
      </sheetData>
      <sheetData sheetId="6630">
        <row r="4">
          <cell r="I4">
            <v>0</v>
          </cell>
        </row>
      </sheetData>
      <sheetData sheetId="6631">
        <row r="4">
          <cell r="I4">
            <v>0</v>
          </cell>
        </row>
      </sheetData>
      <sheetData sheetId="6632">
        <row r="4">
          <cell r="I4">
            <v>0</v>
          </cell>
        </row>
      </sheetData>
      <sheetData sheetId="6633">
        <row r="4">
          <cell r="I4">
            <v>0</v>
          </cell>
        </row>
      </sheetData>
      <sheetData sheetId="6634">
        <row r="4">
          <cell r="I4">
            <v>0</v>
          </cell>
        </row>
      </sheetData>
      <sheetData sheetId="6635">
        <row r="4">
          <cell r="I4">
            <v>0</v>
          </cell>
        </row>
      </sheetData>
      <sheetData sheetId="6636">
        <row r="4">
          <cell r="I4">
            <v>0</v>
          </cell>
        </row>
      </sheetData>
      <sheetData sheetId="6637">
        <row r="4">
          <cell r="I4">
            <v>0</v>
          </cell>
        </row>
      </sheetData>
      <sheetData sheetId="6638">
        <row r="4">
          <cell r="I4">
            <v>0</v>
          </cell>
        </row>
      </sheetData>
      <sheetData sheetId="6639">
        <row r="4">
          <cell r="I4">
            <v>0</v>
          </cell>
        </row>
      </sheetData>
      <sheetData sheetId="6640">
        <row r="4">
          <cell r="I4">
            <v>0</v>
          </cell>
        </row>
      </sheetData>
      <sheetData sheetId="6641">
        <row r="4">
          <cell r="I4">
            <v>0</v>
          </cell>
        </row>
      </sheetData>
      <sheetData sheetId="6642">
        <row r="4">
          <cell r="I4">
            <v>0</v>
          </cell>
        </row>
      </sheetData>
      <sheetData sheetId="6643">
        <row r="4">
          <cell r="I4">
            <v>0</v>
          </cell>
        </row>
      </sheetData>
      <sheetData sheetId="6644">
        <row r="4">
          <cell r="I4">
            <v>0</v>
          </cell>
        </row>
      </sheetData>
      <sheetData sheetId="6645">
        <row r="4">
          <cell r="I4">
            <v>0</v>
          </cell>
        </row>
      </sheetData>
      <sheetData sheetId="6646">
        <row r="4">
          <cell r="I4">
            <v>0</v>
          </cell>
        </row>
      </sheetData>
      <sheetData sheetId="6647">
        <row r="4">
          <cell r="I4">
            <v>0</v>
          </cell>
        </row>
      </sheetData>
      <sheetData sheetId="6648">
        <row r="4">
          <cell r="I4">
            <v>0</v>
          </cell>
        </row>
      </sheetData>
      <sheetData sheetId="6649">
        <row r="4">
          <cell r="I4">
            <v>0</v>
          </cell>
        </row>
      </sheetData>
      <sheetData sheetId="6650">
        <row r="4">
          <cell r="I4">
            <v>0</v>
          </cell>
        </row>
      </sheetData>
      <sheetData sheetId="6651">
        <row r="4">
          <cell r="I4">
            <v>0</v>
          </cell>
        </row>
      </sheetData>
      <sheetData sheetId="6652">
        <row r="4">
          <cell r="I4">
            <v>0</v>
          </cell>
        </row>
      </sheetData>
      <sheetData sheetId="6653">
        <row r="4">
          <cell r="I4">
            <v>0</v>
          </cell>
        </row>
      </sheetData>
      <sheetData sheetId="6654">
        <row r="4">
          <cell r="I4">
            <v>0</v>
          </cell>
        </row>
      </sheetData>
      <sheetData sheetId="6655">
        <row r="4">
          <cell r="I4">
            <v>0</v>
          </cell>
        </row>
      </sheetData>
      <sheetData sheetId="6656">
        <row r="4">
          <cell r="I4">
            <v>0</v>
          </cell>
        </row>
      </sheetData>
      <sheetData sheetId="6657">
        <row r="4">
          <cell r="I4">
            <v>0</v>
          </cell>
        </row>
      </sheetData>
      <sheetData sheetId="6658">
        <row r="4">
          <cell r="I4">
            <v>0</v>
          </cell>
        </row>
      </sheetData>
      <sheetData sheetId="6659">
        <row r="4">
          <cell r="I4">
            <v>0</v>
          </cell>
        </row>
      </sheetData>
      <sheetData sheetId="6660">
        <row r="4">
          <cell r="I4">
            <v>0</v>
          </cell>
        </row>
      </sheetData>
      <sheetData sheetId="6661">
        <row r="4">
          <cell r="I4">
            <v>0</v>
          </cell>
        </row>
      </sheetData>
      <sheetData sheetId="6662">
        <row r="4">
          <cell r="I4">
            <v>0</v>
          </cell>
        </row>
      </sheetData>
      <sheetData sheetId="6663">
        <row r="4">
          <cell r="I4">
            <v>0</v>
          </cell>
        </row>
      </sheetData>
      <sheetData sheetId="6664">
        <row r="4">
          <cell r="I4">
            <v>0</v>
          </cell>
        </row>
      </sheetData>
      <sheetData sheetId="6665">
        <row r="4">
          <cell r="I4">
            <v>0</v>
          </cell>
        </row>
      </sheetData>
      <sheetData sheetId="6666">
        <row r="4">
          <cell r="I4">
            <v>0</v>
          </cell>
        </row>
      </sheetData>
      <sheetData sheetId="6667">
        <row r="4">
          <cell r="I4">
            <v>0</v>
          </cell>
        </row>
      </sheetData>
      <sheetData sheetId="6668">
        <row r="4">
          <cell r="I4">
            <v>0</v>
          </cell>
        </row>
      </sheetData>
      <sheetData sheetId="6669">
        <row r="4">
          <cell r="I4">
            <v>0</v>
          </cell>
        </row>
      </sheetData>
      <sheetData sheetId="6670">
        <row r="4">
          <cell r="I4">
            <v>0</v>
          </cell>
        </row>
      </sheetData>
      <sheetData sheetId="6671">
        <row r="4">
          <cell r="I4">
            <v>0</v>
          </cell>
        </row>
      </sheetData>
      <sheetData sheetId="6672">
        <row r="4">
          <cell r="I4">
            <v>0</v>
          </cell>
        </row>
      </sheetData>
      <sheetData sheetId="6673">
        <row r="4">
          <cell r="I4">
            <v>0</v>
          </cell>
        </row>
      </sheetData>
      <sheetData sheetId="6674">
        <row r="4">
          <cell r="I4">
            <v>0</v>
          </cell>
        </row>
      </sheetData>
      <sheetData sheetId="6675">
        <row r="4">
          <cell r="I4">
            <v>0</v>
          </cell>
        </row>
      </sheetData>
      <sheetData sheetId="6676">
        <row r="4">
          <cell r="I4">
            <v>0</v>
          </cell>
        </row>
      </sheetData>
      <sheetData sheetId="6677">
        <row r="4">
          <cell r="I4">
            <v>0</v>
          </cell>
        </row>
      </sheetData>
      <sheetData sheetId="6678">
        <row r="4">
          <cell r="I4">
            <v>0</v>
          </cell>
        </row>
      </sheetData>
      <sheetData sheetId="6679">
        <row r="4">
          <cell r="I4">
            <v>0</v>
          </cell>
        </row>
      </sheetData>
      <sheetData sheetId="6680">
        <row r="4">
          <cell r="I4">
            <v>0</v>
          </cell>
        </row>
      </sheetData>
      <sheetData sheetId="6681">
        <row r="4">
          <cell r="I4">
            <v>0</v>
          </cell>
        </row>
      </sheetData>
      <sheetData sheetId="6682">
        <row r="4">
          <cell r="I4">
            <v>0</v>
          </cell>
        </row>
      </sheetData>
      <sheetData sheetId="6683">
        <row r="4">
          <cell r="I4">
            <v>0</v>
          </cell>
        </row>
      </sheetData>
      <sheetData sheetId="6684">
        <row r="4">
          <cell r="I4">
            <v>0</v>
          </cell>
        </row>
      </sheetData>
      <sheetData sheetId="6685">
        <row r="4">
          <cell r="I4">
            <v>0</v>
          </cell>
        </row>
      </sheetData>
      <sheetData sheetId="6686">
        <row r="4">
          <cell r="I4">
            <v>0</v>
          </cell>
        </row>
      </sheetData>
      <sheetData sheetId="6687">
        <row r="4">
          <cell r="I4">
            <v>0</v>
          </cell>
        </row>
      </sheetData>
      <sheetData sheetId="6688">
        <row r="4">
          <cell r="I4">
            <v>0</v>
          </cell>
        </row>
      </sheetData>
      <sheetData sheetId="6689">
        <row r="4">
          <cell r="I4">
            <v>0</v>
          </cell>
        </row>
      </sheetData>
      <sheetData sheetId="6690">
        <row r="4">
          <cell r="I4">
            <v>0</v>
          </cell>
        </row>
      </sheetData>
      <sheetData sheetId="6691">
        <row r="4">
          <cell r="I4">
            <v>0</v>
          </cell>
        </row>
      </sheetData>
      <sheetData sheetId="6692">
        <row r="4">
          <cell r="I4">
            <v>0</v>
          </cell>
        </row>
      </sheetData>
      <sheetData sheetId="6693">
        <row r="4">
          <cell r="I4">
            <v>0</v>
          </cell>
        </row>
      </sheetData>
      <sheetData sheetId="6694">
        <row r="4">
          <cell r="I4">
            <v>0</v>
          </cell>
        </row>
      </sheetData>
      <sheetData sheetId="6695">
        <row r="4">
          <cell r="I4">
            <v>0</v>
          </cell>
        </row>
      </sheetData>
      <sheetData sheetId="6696">
        <row r="4">
          <cell r="I4">
            <v>0</v>
          </cell>
        </row>
      </sheetData>
      <sheetData sheetId="6697">
        <row r="4">
          <cell r="I4">
            <v>0</v>
          </cell>
        </row>
      </sheetData>
      <sheetData sheetId="6698">
        <row r="4">
          <cell r="I4">
            <v>0</v>
          </cell>
        </row>
      </sheetData>
      <sheetData sheetId="6699">
        <row r="4">
          <cell r="I4">
            <v>0</v>
          </cell>
        </row>
      </sheetData>
      <sheetData sheetId="6700">
        <row r="4">
          <cell r="I4">
            <v>0</v>
          </cell>
        </row>
      </sheetData>
      <sheetData sheetId="6701">
        <row r="4">
          <cell r="I4">
            <v>0</v>
          </cell>
        </row>
      </sheetData>
      <sheetData sheetId="6702">
        <row r="4">
          <cell r="I4">
            <v>0</v>
          </cell>
        </row>
      </sheetData>
      <sheetData sheetId="6703">
        <row r="4">
          <cell r="I4">
            <v>0</v>
          </cell>
        </row>
      </sheetData>
      <sheetData sheetId="6704">
        <row r="4">
          <cell r="I4">
            <v>0</v>
          </cell>
        </row>
      </sheetData>
      <sheetData sheetId="6705">
        <row r="4">
          <cell r="I4">
            <v>0</v>
          </cell>
        </row>
      </sheetData>
      <sheetData sheetId="6706">
        <row r="4">
          <cell r="I4">
            <v>0</v>
          </cell>
        </row>
      </sheetData>
      <sheetData sheetId="6707">
        <row r="4">
          <cell r="I4">
            <v>0</v>
          </cell>
        </row>
      </sheetData>
      <sheetData sheetId="6708">
        <row r="4">
          <cell r="I4">
            <v>0</v>
          </cell>
        </row>
      </sheetData>
      <sheetData sheetId="6709">
        <row r="4">
          <cell r="I4">
            <v>0</v>
          </cell>
        </row>
      </sheetData>
      <sheetData sheetId="6710">
        <row r="4">
          <cell r="I4">
            <v>0</v>
          </cell>
        </row>
      </sheetData>
      <sheetData sheetId="6711">
        <row r="4">
          <cell r="I4">
            <v>0</v>
          </cell>
        </row>
      </sheetData>
      <sheetData sheetId="6712">
        <row r="4">
          <cell r="I4">
            <v>0</v>
          </cell>
        </row>
      </sheetData>
      <sheetData sheetId="6713">
        <row r="4">
          <cell r="I4">
            <v>0</v>
          </cell>
        </row>
      </sheetData>
      <sheetData sheetId="6714">
        <row r="4">
          <cell r="I4">
            <v>0</v>
          </cell>
        </row>
      </sheetData>
      <sheetData sheetId="6715">
        <row r="4">
          <cell r="I4">
            <v>0</v>
          </cell>
        </row>
      </sheetData>
      <sheetData sheetId="6716">
        <row r="4">
          <cell r="I4">
            <v>0</v>
          </cell>
        </row>
      </sheetData>
      <sheetData sheetId="6717">
        <row r="4">
          <cell r="I4">
            <v>0</v>
          </cell>
        </row>
      </sheetData>
      <sheetData sheetId="6718">
        <row r="4">
          <cell r="I4">
            <v>0</v>
          </cell>
        </row>
      </sheetData>
      <sheetData sheetId="6719">
        <row r="4">
          <cell r="I4">
            <v>0</v>
          </cell>
        </row>
      </sheetData>
      <sheetData sheetId="6720">
        <row r="4">
          <cell r="I4">
            <v>0</v>
          </cell>
        </row>
      </sheetData>
      <sheetData sheetId="6721">
        <row r="4">
          <cell r="I4">
            <v>0</v>
          </cell>
        </row>
      </sheetData>
      <sheetData sheetId="6722">
        <row r="4">
          <cell r="I4">
            <v>0</v>
          </cell>
        </row>
      </sheetData>
      <sheetData sheetId="6723">
        <row r="4">
          <cell r="I4">
            <v>0</v>
          </cell>
        </row>
      </sheetData>
      <sheetData sheetId="6724">
        <row r="4">
          <cell r="I4">
            <v>0</v>
          </cell>
        </row>
      </sheetData>
      <sheetData sheetId="6725">
        <row r="4">
          <cell r="I4">
            <v>0</v>
          </cell>
        </row>
      </sheetData>
      <sheetData sheetId="6726">
        <row r="4">
          <cell r="I4">
            <v>0</v>
          </cell>
        </row>
      </sheetData>
      <sheetData sheetId="6727">
        <row r="4">
          <cell r="I4">
            <v>0</v>
          </cell>
        </row>
      </sheetData>
      <sheetData sheetId="6728">
        <row r="4">
          <cell r="I4">
            <v>0</v>
          </cell>
        </row>
      </sheetData>
      <sheetData sheetId="6729">
        <row r="4">
          <cell r="I4">
            <v>0</v>
          </cell>
        </row>
      </sheetData>
      <sheetData sheetId="6730">
        <row r="4">
          <cell r="I4">
            <v>0</v>
          </cell>
        </row>
      </sheetData>
      <sheetData sheetId="6731">
        <row r="4">
          <cell r="I4">
            <v>0</v>
          </cell>
        </row>
      </sheetData>
      <sheetData sheetId="6732">
        <row r="4">
          <cell r="I4">
            <v>0</v>
          </cell>
        </row>
      </sheetData>
      <sheetData sheetId="6733">
        <row r="4">
          <cell r="I4">
            <v>0</v>
          </cell>
        </row>
      </sheetData>
      <sheetData sheetId="6734">
        <row r="4">
          <cell r="I4">
            <v>0</v>
          </cell>
        </row>
      </sheetData>
      <sheetData sheetId="6735">
        <row r="4">
          <cell r="I4">
            <v>0</v>
          </cell>
        </row>
      </sheetData>
      <sheetData sheetId="6736">
        <row r="4">
          <cell r="I4">
            <v>0</v>
          </cell>
        </row>
      </sheetData>
      <sheetData sheetId="6737">
        <row r="4">
          <cell r="I4">
            <v>0</v>
          </cell>
        </row>
      </sheetData>
      <sheetData sheetId="6738">
        <row r="4">
          <cell r="I4">
            <v>0</v>
          </cell>
        </row>
      </sheetData>
      <sheetData sheetId="6739">
        <row r="4">
          <cell r="I4">
            <v>0</v>
          </cell>
        </row>
      </sheetData>
      <sheetData sheetId="6740">
        <row r="4">
          <cell r="I4">
            <v>0</v>
          </cell>
        </row>
      </sheetData>
      <sheetData sheetId="6741">
        <row r="4">
          <cell r="I4">
            <v>0</v>
          </cell>
        </row>
      </sheetData>
      <sheetData sheetId="6742">
        <row r="4">
          <cell r="I4">
            <v>0</v>
          </cell>
        </row>
      </sheetData>
      <sheetData sheetId="6743">
        <row r="4">
          <cell r="I4">
            <v>0</v>
          </cell>
        </row>
      </sheetData>
      <sheetData sheetId="6744">
        <row r="4">
          <cell r="I4">
            <v>0</v>
          </cell>
        </row>
      </sheetData>
      <sheetData sheetId="6745">
        <row r="4">
          <cell r="I4">
            <v>0</v>
          </cell>
        </row>
      </sheetData>
      <sheetData sheetId="6746">
        <row r="4">
          <cell r="I4">
            <v>0</v>
          </cell>
        </row>
      </sheetData>
      <sheetData sheetId="6747">
        <row r="4">
          <cell r="I4">
            <v>0</v>
          </cell>
        </row>
      </sheetData>
      <sheetData sheetId="6748">
        <row r="4">
          <cell r="I4">
            <v>0</v>
          </cell>
        </row>
      </sheetData>
      <sheetData sheetId="6749">
        <row r="4">
          <cell r="I4">
            <v>0</v>
          </cell>
        </row>
      </sheetData>
      <sheetData sheetId="6750">
        <row r="4">
          <cell r="I4">
            <v>0</v>
          </cell>
        </row>
      </sheetData>
      <sheetData sheetId="6751">
        <row r="4">
          <cell r="I4">
            <v>0</v>
          </cell>
        </row>
      </sheetData>
      <sheetData sheetId="6752">
        <row r="4">
          <cell r="I4">
            <v>0</v>
          </cell>
        </row>
      </sheetData>
      <sheetData sheetId="6753">
        <row r="4">
          <cell r="I4">
            <v>0</v>
          </cell>
        </row>
      </sheetData>
      <sheetData sheetId="6754">
        <row r="4">
          <cell r="I4">
            <v>0</v>
          </cell>
        </row>
      </sheetData>
      <sheetData sheetId="6755">
        <row r="4">
          <cell r="I4">
            <v>0</v>
          </cell>
        </row>
      </sheetData>
      <sheetData sheetId="6756">
        <row r="4">
          <cell r="I4">
            <v>0</v>
          </cell>
        </row>
      </sheetData>
      <sheetData sheetId="6757">
        <row r="4">
          <cell r="I4">
            <v>0</v>
          </cell>
        </row>
      </sheetData>
      <sheetData sheetId="6758">
        <row r="4">
          <cell r="I4">
            <v>0</v>
          </cell>
        </row>
      </sheetData>
      <sheetData sheetId="6759">
        <row r="4">
          <cell r="I4">
            <v>0</v>
          </cell>
        </row>
      </sheetData>
      <sheetData sheetId="6760">
        <row r="4">
          <cell r="I4">
            <v>0</v>
          </cell>
        </row>
      </sheetData>
      <sheetData sheetId="6761">
        <row r="4">
          <cell r="I4">
            <v>0</v>
          </cell>
        </row>
      </sheetData>
      <sheetData sheetId="6762">
        <row r="4">
          <cell r="I4">
            <v>0</v>
          </cell>
        </row>
      </sheetData>
      <sheetData sheetId="6763">
        <row r="4">
          <cell r="I4">
            <v>0</v>
          </cell>
        </row>
      </sheetData>
      <sheetData sheetId="6764">
        <row r="4">
          <cell r="I4">
            <v>0</v>
          </cell>
        </row>
      </sheetData>
      <sheetData sheetId="6765">
        <row r="4">
          <cell r="I4">
            <v>0</v>
          </cell>
        </row>
      </sheetData>
      <sheetData sheetId="6766">
        <row r="4">
          <cell r="I4">
            <v>0</v>
          </cell>
        </row>
      </sheetData>
      <sheetData sheetId="6767">
        <row r="4">
          <cell r="I4">
            <v>0</v>
          </cell>
        </row>
      </sheetData>
      <sheetData sheetId="6768">
        <row r="4">
          <cell r="I4">
            <v>0</v>
          </cell>
        </row>
      </sheetData>
      <sheetData sheetId="6769">
        <row r="4">
          <cell r="I4">
            <v>0</v>
          </cell>
        </row>
      </sheetData>
      <sheetData sheetId="6770">
        <row r="4">
          <cell r="I4">
            <v>0</v>
          </cell>
        </row>
      </sheetData>
      <sheetData sheetId="6771">
        <row r="4">
          <cell r="I4">
            <v>0</v>
          </cell>
        </row>
      </sheetData>
      <sheetData sheetId="6772">
        <row r="4">
          <cell r="I4">
            <v>0</v>
          </cell>
        </row>
      </sheetData>
      <sheetData sheetId="6773">
        <row r="4">
          <cell r="I4">
            <v>0</v>
          </cell>
        </row>
      </sheetData>
      <sheetData sheetId="6774">
        <row r="4">
          <cell r="I4">
            <v>0</v>
          </cell>
        </row>
      </sheetData>
      <sheetData sheetId="6775">
        <row r="4">
          <cell r="I4">
            <v>0</v>
          </cell>
        </row>
      </sheetData>
      <sheetData sheetId="6776">
        <row r="4">
          <cell r="I4">
            <v>0</v>
          </cell>
        </row>
      </sheetData>
      <sheetData sheetId="6777">
        <row r="4">
          <cell r="I4">
            <v>0</v>
          </cell>
        </row>
      </sheetData>
      <sheetData sheetId="6778">
        <row r="4">
          <cell r="I4">
            <v>0</v>
          </cell>
        </row>
      </sheetData>
      <sheetData sheetId="6779">
        <row r="4">
          <cell r="I4">
            <v>0</v>
          </cell>
        </row>
      </sheetData>
      <sheetData sheetId="6780">
        <row r="4">
          <cell r="I4">
            <v>0</v>
          </cell>
        </row>
      </sheetData>
      <sheetData sheetId="6781">
        <row r="4">
          <cell r="I4">
            <v>0</v>
          </cell>
        </row>
      </sheetData>
      <sheetData sheetId="6782">
        <row r="4">
          <cell r="I4">
            <v>0</v>
          </cell>
        </row>
      </sheetData>
      <sheetData sheetId="6783">
        <row r="4">
          <cell r="I4">
            <v>0</v>
          </cell>
        </row>
      </sheetData>
      <sheetData sheetId="6784">
        <row r="4">
          <cell r="I4">
            <v>0</v>
          </cell>
        </row>
      </sheetData>
      <sheetData sheetId="6785">
        <row r="4">
          <cell r="I4">
            <v>0</v>
          </cell>
        </row>
      </sheetData>
      <sheetData sheetId="6786">
        <row r="4">
          <cell r="I4">
            <v>0</v>
          </cell>
        </row>
      </sheetData>
      <sheetData sheetId="6787">
        <row r="4">
          <cell r="I4">
            <v>0</v>
          </cell>
        </row>
      </sheetData>
      <sheetData sheetId="6788">
        <row r="4">
          <cell r="I4">
            <v>0</v>
          </cell>
        </row>
      </sheetData>
      <sheetData sheetId="6789">
        <row r="4">
          <cell r="I4">
            <v>0</v>
          </cell>
        </row>
      </sheetData>
      <sheetData sheetId="6790">
        <row r="4">
          <cell r="I4">
            <v>0</v>
          </cell>
        </row>
      </sheetData>
      <sheetData sheetId="6791">
        <row r="4">
          <cell r="I4">
            <v>0</v>
          </cell>
        </row>
      </sheetData>
      <sheetData sheetId="6792">
        <row r="4">
          <cell r="I4">
            <v>0</v>
          </cell>
        </row>
      </sheetData>
      <sheetData sheetId="6793">
        <row r="4">
          <cell r="I4">
            <v>0</v>
          </cell>
        </row>
      </sheetData>
      <sheetData sheetId="6794">
        <row r="4">
          <cell r="I4">
            <v>0</v>
          </cell>
        </row>
      </sheetData>
      <sheetData sheetId="6795">
        <row r="4">
          <cell r="I4">
            <v>0</v>
          </cell>
        </row>
      </sheetData>
      <sheetData sheetId="6796">
        <row r="4">
          <cell r="I4">
            <v>0</v>
          </cell>
        </row>
      </sheetData>
      <sheetData sheetId="6797">
        <row r="4">
          <cell r="I4">
            <v>0</v>
          </cell>
        </row>
      </sheetData>
      <sheetData sheetId="6798">
        <row r="4">
          <cell r="I4">
            <v>0</v>
          </cell>
        </row>
      </sheetData>
      <sheetData sheetId="6799">
        <row r="4">
          <cell r="I4">
            <v>0</v>
          </cell>
        </row>
      </sheetData>
      <sheetData sheetId="6800">
        <row r="4">
          <cell r="I4">
            <v>0</v>
          </cell>
        </row>
      </sheetData>
      <sheetData sheetId="6801">
        <row r="4">
          <cell r="I4">
            <v>0</v>
          </cell>
        </row>
      </sheetData>
      <sheetData sheetId="6802">
        <row r="4">
          <cell r="I4">
            <v>0</v>
          </cell>
        </row>
      </sheetData>
      <sheetData sheetId="6803">
        <row r="4">
          <cell r="I4">
            <v>0</v>
          </cell>
        </row>
      </sheetData>
      <sheetData sheetId="6804">
        <row r="4">
          <cell r="I4">
            <v>0</v>
          </cell>
        </row>
      </sheetData>
      <sheetData sheetId="6805">
        <row r="4">
          <cell r="I4">
            <v>0</v>
          </cell>
        </row>
      </sheetData>
      <sheetData sheetId="6806">
        <row r="4">
          <cell r="I4">
            <v>0</v>
          </cell>
        </row>
      </sheetData>
      <sheetData sheetId="6807">
        <row r="4">
          <cell r="I4">
            <v>0</v>
          </cell>
        </row>
      </sheetData>
      <sheetData sheetId="6808">
        <row r="4">
          <cell r="I4">
            <v>0</v>
          </cell>
        </row>
      </sheetData>
      <sheetData sheetId="6809">
        <row r="4">
          <cell r="I4">
            <v>0</v>
          </cell>
        </row>
      </sheetData>
      <sheetData sheetId="6810">
        <row r="4">
          <cell r="I4">
            <v>0</v>
          </cell>
        </row>
      </sheetData>
      <sheetData sheetId="6811">
        <row r="4">
          <cell r="I4">
            <v>0</v>
          </cell>
        </row>
      </sheetData>
      <sheetData sheetId="6812">
        <row r="4">
          <cell r="I4">
            <v>0</v>
          </cell>
        </row>
      </sheetData>
      <sheetData sheetId="6813">
        <row r="4">
          <cell r="I4">
            <v>0</v>
          </cell>
        </row>
      </sheetData>
      <sheetData sheetId="6814">
        <row r="4">
          <cell r="I4">
            <v>0</v>
          </cell>
        </row>
      </sheetData>
      <sheetData sheetId="6815">
        <row r="4">
          <cell r="I4">
            <v>0</v>
          </cell>
        </row>
      </sheetData>
      <sheetData sheetId="6816">
        <row r="4">
          <cell r="I4">
            <v>0</v>
          </cell>
        </row>
      </sheetData>
      <sheetData sheetId="6817">
        <row r="4">
          <cell r="I4">
            <v>0</v>
          </cell>
        </row>
      </sheetData>
      <sheetData sheetId="6818">
        <row r="4">
          <cell r="I4">
            <v>0</v>
          </cell>
        </row>
      </sheetData>
      <sheetData sheetId="6819">
        <row r="4">
          <cell r="I4">
            <v>0</v>
          </cell>
        </row>
      </sheetData>
      <sheetData sheetId="6820">
        <row r="4">
          <cell r="I4">
            <v>0</v>
          </cell>
        </row>
      </sheetData>
      <sheetData sheetId="6821">
        <row r="4">
          <cell r="I4">
            <v>0</v>
          </cell>
        </row>
      </sheetData>
      <sheetData sheetId="6822">
        <row r="4">
          <cell r="I4">
            <v>0</v>
          </cell>
        </row>
      </sheetData>
      <sheetData sheetId="6823">
        <row r="4">
          <cell r="I4">
            <v>0</v>
          </cell>
        </row>
      </sheetData>
      <sheetData sheetId="6824">
        <row r="4">
          <cell r="I4">
            <v>0</v>
          </cell>
        </row>
      </sheetData>
      <sheetData sheetId="6825">
        <row r="4">
          <cell r="I4">
            <v>0</v>
          </cell>
        </row>
      </sheetData>
      <sheetData sheetId="6826">
        <row r="4">
          <cell r="I4">
            <v>0</v>
          </cell>
        </row>
      </sheetData>
      <sheetData sheetId="6827">
        <row r="4">
          <cell r="I4">
            <v>0</v>
          </cell>
        </row>
      </sheetData>
      <sheetData sheetId="6828">
        <row r="4">
          <cell r="I4">
            <v>0</v>
          </cell>
        </row>
      </sheetData>
      <sheetData sheetId="6829">
        <row r="4">
          <cell r="I4">
            <v>0</v>
          </cell>
        </row>
      </sheetData>
      <sheetData sheetId="6830">
        <row r="4">
          <cell r="I4">
            <v>0</v>
          </cell>
        </row>
      </sheetData>
      <sheetData sheetId="6831">
        <row r="4">
          <cell r="I4">
            <v>0</v>
          </cell>
        </row>
      </sheetData>
      <sheetData sheetId="6832">
        <row r="4">
          <cell r="I4">
            <v>0</v>
          </cell>
        </row>
      </sheetData>
      <sheetData sheetId="6833">
        <row r="4">
          <cell r="I4">
            <v>0</v>
          </cell>
        </row>
      </sheetData>
      <sheetData sheetId="6834">
        <row r="4">
          <cell r="I4">
            <v>0</v>
          </cell>
        </row>
      </sheetData>
      <sheetData sheetId="6835">
        <row r="4">
          <cell r="I4">
            <v>0</v>
          </cell>
        </row>
      </sheetData>
      <sheetData sheetId="6836">
        <row r="4">
          <cell r="I4">
            <v>0</v>
          </cell>
        </row>
      </sheetData>
      <sheetData sheetId="6837">
        <row r="4">
          <cell r="I4">
            <v>0</v>
          </cell>
        </row>
      </sheetData>
      <sheetData sheetId="6838">
        <row r="4">
          <cell r="I4">
            <v>0</v>
          </cell>
        </row>
      </sheetData>
      <sheetData sheetId="6839">
        <row r="4">
          <cell r="I4">
            <v>0</v>
          </cell>
        </row>
      </sheetData>
      <sheetData sheetId="6840">
        <row r="4">
          <cell r="I4">
            <v>0</v>
          </cell>
        </row>
      </sheetData>
      <sheetData sheetId="6841">
        <row r="4">
          <cell r="I4">
            <v>0</v>
          </cell>
        </row>
      </sheetData>
      <sheetData sheetId="6842">
        <row r="4">
          <cell r="I4">
            <v>0</v>
          </cell>
        </row>
      </sheetData>
      <sheetData sheetId="6843">
        <row r="4">
          <cell r="I4">
            <v>0</v>
          </cell>
        </row>
      </sheetData>
      <sheetData sheetId="6844">
        <row r="4">
          <cell r="I4">
            <v>0</v>
          </cell>
        </row>
      </sheetData>
      <sheetData sheetId="6845">
        <row r="4">
          <cell r="I4">
            <v>0</v>
          </cell>
        </row>
      </sheetData>
      <sheetData sheetId="6846">
        <row r="4">
          <cell r="I4">
            <v>0</v>
          </cell>
        </row>
      </sheetData>
      <sheetData sheetId="6847">
        <row r="4">
          <cell r="I4">
            <v>0</v>
          </cell>
        </row>
      </sheetData>
      <sheetData sheetId="6848">
        <row r="4">
          <cell r="I4">
            <v>0</v>
          </cell>
        </row>
      </sheetData>
      <sheetData sheetId="6849">
        <row r="4">
          <cell r="I4">
            <v>0</v>
          </cell>
        </row>
      </sheetData>
      <sheetData sheetId="6850">
        <row r="4">
          <cell r="I4">
            <v>0</v>
          </cell>
        </row>
      </sheetData>
      <sheetData sheetId="6851">
        <row r="4">
          <cell r="I4">
            <v>0</v>
          </cell>
        </row>
      </sheetData>
      <sheetData sheetId="6852">
        <row r="4">
          <cell r="I4">
            <v>0</v>
          </cell>
        </row>
      </sheetData>
      <sheetData sheetId="6853">
        <row r="4">
          <cell r="I4">
            <v>0</v>
          </cell>
        </row>
      </sheetData>
      <sheetData sheetId="6854">
        <row r="4">
          <cell r="I4">
            <v>0</v>
          </cell>
        </row>
      </sheetData>
      <sheetData sheetId="6855">
        <row r="4">
          <cell r="I4">
            <v>0</v>
          </cell>
        </row>
      </sheetData>
      <sheetData sheetId="6856">
        <row r="4">
          <cell r="I4">
            <v>0</v>
          </cell>
        </row>
      </sheetData>
      <sheetData sheetId="6857">
        <row r="4">
          <cell r="I4">
            <v>0</v>
          </cell>
        </row>
      </sheetData>
      <sheetData sheetId="6858">
        <row r="4">
          <cell r="I4">
            <v>0</v>
          </cell>
        </row>
      </sheetData>
      <sheetData sheetId="6859">
        <row r="4">
          <cell r="I4">
            <v>0</v>
          </cell>
        </row>
      </sheetData>
      <sheetData sheetId="6860">
        <row r="4">
          <cell r="I4">
            <v>0</v>
          </cell>
        </row>
      </sheetData>
      <sheetData sheetId="6861">
        <row r="4">
          <cell r="I4">
            <v>0</v>
          </cell>
        </row>
      </sheetData>
      <sheetData sheetId="6862">
        <row r="4">
          <cell r="I4">
            <v>0</v>
          </cell>
        </row>
      </sheetData>
      <sheetData sheetId="6863">
        <row r="4">
          <cell r="I4">
            <v>0</v>
          </cell>
        </row>
      </sheetData>
      <sheetData sheetId="6864">
        <row r="4">
          <cell r="I4">
            <v>0</v>
          </cell>
        </row>
      </sheetData>
      <sheetData sheetId="6865">
        <row r="4">
          <cell r="I4">
            <v>0</v>
          </cell>
        </row>
      </sheetData>
      <sheetData sheetId="6866">
        <row r="4">
          <cell r="I4">
            <v>0</v>
          </cell>
        </row>
      </sheetData>
      <sheetData sheetId="6867">
        <row r="4">
          <cell r="I4">
            <v>0</v>
          </cell>
        </row>
      </sheetData>
      <sheetData sheetId="6868">
        <row r="4">
          <cell r="I4">
            <v>0</v>
          </cell>
        </row>
      </sheetData>
      <sheetData sheetId="6869">
        <row r="4">
          <cell r="I4">
            <v>0</v>
          </cell>
        </row>
      </sheetData>
      <sheetData sheetId="6870">
        <row r="4">
          <cell r="I4">
            <v>0</v>
          </cell>
        </row>
      </sheetData>
      <sheetData sheetId="6871">
        <row r="4">
          <cell r="I4">
            <v>0</v>
          </cell>
        </row>
      </sheetData>
      <sheetData sheetId="6872">
        <row r="4">
          <cell r="I4">
            <v>0</v>
          </cell>
        </row>
      </sheetData>
      <sheetData sheetId="6873">
        <row r="4">
          <cell r="I4">
            <v>0</v>
          </cell>
        </row>
      </sheetData>
      <sheetData sheetId="6874">
        <row r="4">
          <cell r="I4">
            <v>0</v>
          </cell>
        </row>
      </sheetData>
      <sheetData sheetId="6875">
        <row r="4">
          <cell r="I4">
            <v>0</v>
          </cell>
        </row>
      </sheetData>
      <sheetData sheetId="6876">
        <row r="4">
          <cell r="I4">
            <v>0</v>
          </cell>
        </row>
      </sheetData>
      <sheetData sheetId="6877">
        <row r="4">
          <cell r="I4">
            <v>0</v>
          </cell>
        </row>
      </sheetData>
      <sheetData sheetId="6878">
        <row r="4">
          <cell r="I4">
            <v>0</v>
          </cell>
        </row>
      </sheetData>
      <sheetData sheetId="6879">
        <row r="4">
          <cell r="I4">
            <v>0</v>
          </cell>
        </row>
      </sheetData>
      <sheetData sheetId="6880">
        <row r="4">
          <cell r="I4">
            <v>0</v>
          </cell>
        </row>
      </sheetData>
      <sheetData sheetId="6881">
        <row r="4">
          <cell r="I4">
            <v>0</v>
          </cell>
        </row>
      </sheetData>
      <sheetData sheetId="6882">
        <row r="4">
          <cell r="I4">
            <v>0</v>
          </cell>
        </row>
      </sheetData>
      <sheetData sheetId="6883">
        <row r="4">
          <cell r="I4">
            <v>0</v>
          </cell>
        </row>
      </sheetData>
      <sheetData sheetId="6884">
        <row r="4">
          <cell r="I4">
            <v>0</v>
          </cell>
        </row>
      </sheetData>
      <sheetData sheetId="6885">
        <row r="4">
          <cell r="I4">
            <v>0</v>
          </cell>
        </row>
      </sheetData>
      <sheetData sheetId="6886">
        <row r="4">
          <cell r="I4">
            <v>0</v>
          </cell>
        </row>
      </sheetData>
      <sheetData sheetId="6887">
        <row r="4">
          <cell r="I4">
            <v>0</v>
          </cell>
        </row>
      </sheetData>
      <sheetData sheetId="6888">
        <row r="4">
          <cell r="I4">
            <v>0</v>
          </cell>
        </row>
      </sheetData>
      <sheetData sheetId="6889">
        <row r="4">
          <cell r="I4">
            <v>0</v>
          </cell>
        </row>
      </sheetData>
      <sheetData sheetId="6890">
        <row r="4">
          <cell r="I4">
            <v>0</v>
          </cell>
        </row>
      </sheetData>
      <sheetData sheetId="6891">
        <row r="4">
          <cell r="I4">
            <v>0</v>
          </cell>
        </row>
      </sheetData>
      <sheetData sheetId="6892">
        <row r="4">
          <cell r="I4">
            <v>0</v>
          </cell>
        </row>
      </sheetData>
      <sheetData sheetId="6893">
        <row r="4">
          <cell r="I4">
            <v>0</v>
          </cell>
        </row>
      </sheetData>
      <sheetData sheetId="6894">
        <row r="4">
          <cell r="I4">
            <v>0</v>
          </cell>
        </row>
      </sheetData>
      <sheetData sheetId="6895">
        <row r="4">
          <cell r="I4">
            <v>0</v>
          </cell>
        </row>
      </sheetData>
      <sheetData sheetId="6896">
        <row r="4">
          <cell r="I4">
            <v>0</v>
          </cell>
        </row>
      </sheetData>
      <sheetData sheetId="6897">
        <row r="4">
          <cell r="I4">
            <v>0</v>
          </cell>
        </row>
      </sheetData>
      <sheetData sheetId="6898">
        <row r="4">
          <cell r="I4">
            <v>0</v>
          </cell>
        </row>
      </sheetData>
      <sheetData sheetId="6899">
        <row r="4">
          <cell r="I4">
            <v>0</v>
          </cell>
        </row>
      </sheetData>
      <sheetData sheetId="6900">
        <row r="4">
          <cell r="I4">
            <v>0</v>
          </cell>
        </row>
      </sheetData>
      <sheetData sheetId="6901">
        <row r="4">
          <cell r="I4">
            <v>0</v>
          </cell>
        </row>
      </sheetData>
      <sheetData sheetId="6902">
        <row r="4">
          <cell r="I4">
            <v>0</v>
          </cell>
        </row>
      </sheetData>
      <sheetData sheetId="6903">
        <row r="4">
          <cell r="I4">
            <v>0</v>
          </cell>
        </row>
      </sheetData>
      <sheetData sheetId="6904">
        <row r="4">
          <cell r="I4">
            <v>0</v>
          </cell>
        </row>
      </sheetData>
      <sheetData sheetId="6905">
        <row r="4">
          <cell r="I4">
            <v>0</v>
          </cell>
        </row>
      </sheetData>
      <sheetData sheetId="6906">
        <row r="4">
          <cell r="I4">
            <v>0</v>
          </cell>
        </row>
      </sheetData>
      <sheetData sheetId="6907">
        <row r="4">
          <cell r="I4">
            <v>0</v>
          </cell>
        </row>
      </sheetData>
      <sheetData sheetId="6908">
        <row r="4">
          <cell r="I4">
            <v>0</v>
          </cell>
        </row>
      </sheetData>
      <sheetData sheetId="6909">
        <row r="4">
          <cell r="I4">
            <v>0</v>
          </cell>
        </row>
      </sheetData>
      <sheetData sheetId="6910">
        <row r="4">
          <cell r="I4">
            <v>0</v>
          </cell>
        </row>
      </sheetData>
      <sheetData sheetId="6911">
        <row r="4">
          <cell r="I4">
            <v>0</v>
          </cell>
        </row>
      </sheetData>
      <sheetData sheetId="6912">
        <row r="4">
          <cell r="I4">
            <v>0</v>
          </cell>
        </row>
      </sheetData>
      <sheetData sheetId="6913">
        <row r="4">
          <cell r="I4">
            <v>0</v>
          </cell>
        </row>
      </sheetData>
      <sheetData sheetId="6914">
        <row r="4">
          <cell r="I4">
            <v>0</v>
          </cell>
        </row>
      </sheetData>
      <sheetData sheetId="6915">
        <row r="4">
          <cell r="I4">
            <v>0</v>
          </cell>
        </row>
      </sheetData>
      <sheetData sheetId="6916">
        <row r="4">
          <cell r="I4">
            <v>0</v>
          </cell>
        </row>
      </sheetData>
      <sheetData sheetId="6917">
        <row r="4">
          <cell r="I4">
            <v>0</v>
          </cell>
        </row>
      </sheetData>
      <sheetData sheetId="6918">
        <row r="4">
          <cell r="I4">
            <v>0</v>
          </cell>
        </row>
      </sheetData>
      <sheetData sheetId="6919">
        <row r="4">
          <cell r="I4">
            <v>0</v>
          </cell>
        </row>
      </sheetData>
      <sheetData sheetId="6920">
        <row r="4">
          <cell r="I4">
            <v>0</v>
          </cell>
        </row>
      </sheetData>
      <sheetData sheetId="6921">
        <row r="4">
          <cell r="I4">
            <v>0</v>
          </cell>
        </row>
      </sheetData>
      <sheetData sheetId="6922">
        <row r="4">
          <cell r="I4">
            <v>0</v>
          </cell>
        </row>
      </sheetData>
      <sheetData sheetId="6923" refreshError="1"/>
      <sheetData sheetId="6924">
        <row r="4">
          <cell r="I4">
            <v>0</v>
          </cell>
        </row>
      </sheetData>
      <sheetData sheetId="6925">
        <row r="4">
          <cell r="I4">
            <v>0</v>
          </cell>
        </row>
      </sheetData>
      <sheetData sheetId="6926">
        <row r="4">
          <cell r="I4">
            <v>0</v>
          </cell>
        </row>
      </sheetData>
      <sheetData sheetId="6927">
        <row r="4">
          <cell r="I4">
            <v>0</v>
          </cell>
        </row>
      </sheetData>
      <sheetData sheetId="6928">
        <row r="4">
          <cell r="I4">
            <v>0</v>
          </cell>
        </row>
      </sheetData>
      <sheetData sheetId="6929">
        <row r="4">
          <cell r="I4">
            <v>0</v>
          </cell>
        </row>
      </sheetData>
      <sheetData sheetId="6930">
        <row r="4">
          <cell r="I4">
            <v>0</v>
          </cell>
        </row>
      </sheetData>
      <sheetData sheetId="6931">
        <row r="4">
          <cell r="I4">
            <v>0</v>
          </cell>
        </row>
      </sheetData>
      <sheetData sheetId="6932">
        <row r="4">
          <cell r="I4">
            <v>0</v>
          </cell>
        </row>
      </sheetData>
      <sheetData sheetId="6933">
        <row r="4">
          <cell r="I4">
            <v>0</v>
          </cell>
        </row>
      </sheetData>
      <sheetData sheetId="6934">
        <row r="4">
          <cell r="I4">
            <v>0</v>
          </cell>
        </row>
      </sheetData>
      <sheetData sheetId="6935">
        <row r="4">
          <cell r="I4">
            <v>0</v>
          </cell>
        </row>
      </sheetData>
      <sheetData sheetId="6936">
        <row r="4">
          <cell r="I4">
            <v>0</v>
          </cell>
        </row>
      </sheetData>
      <sheetData sheetId="6937">
        <row r="4">
          <cell r="I4">
            <v>0</v>
          </cell>
        </row>
      </sheetData>
      <sheetData sheetId="6938">
        <row r="4">
          <cell r="I4">
            <v>0</v>
          </cell>
        </row>
      </sheetData>
      <sheetData sheetId="6939">
        <row r="4">
          <cell r="I4">
            <v>0</v>
          </cell>
        </row>
      </sheetData>
      <sheetData sheetId="6940">
        <row r="4">
          <cell r="I4">
            <v>0</v>
          </cell>
        </row>
      </sheetData>
      <sheetData sheetId="6941">
        <row r="4">
          <cell r="I4">
            <v>0</v>
          </cell>
        </row>
      </sheetData>
      <sheetData sheetId="6942">
        <row r="4">
          <cell r="I4">
            <v>0</v>
          </cell>
        </row>
      </sheetData>
      <sheetData sheetId="6943">
        <row r="4">
          <cell r="I4">
            <v>0</v>
          </cell>
        </row>
      </sheetData>
      <sheetData sheetId="6944">
        <row r="4">
          <cell r="I4">
            <v>0</v>
          </cell>
        </row>
      </sheetData>
      <sheetData sheetId="6945">
        <row r="4">
          <cell r="I4">
            <v>0</v>
          </cell>
        </row>
      </sheetData>
      <sheetData sheetId="6946">
        <row r="4">
          <cell r="I4">
            <v>0</v>
          </cell>
        </row>
      </sheetData>
      <sheetData sheetId="6947">
        <row r="4">
          <cell r="I4">
            <v>0</v>
          </cell>
        </row>
      </sheetData>
      <sheetData sheetId="6948">
        <row r="4">
          <cell r="I4">
            <v>0</v>
          </cell>
        </row>
      </sheetData>
      <sheetData sheetId="6949">
        <row r="4">
          <cell r="I4">
            <v>0</v>
          </cell>
        </row>
      </sheetData>
      <sheetData sheetId="6950">
        <row r="4">
          <cell r="I4">
            <v>0</v>
          </cell>
        </row>
      </sheetData>
      <sheetData sheetId="6951">
        <row r="4">
          <cell r="I4">
            <v>0</v>
          </cell>
        </row>
      </sheetData>
      <sheetData sheetId="6952">
        <row r="4">
          <cell r="I4">
            <v>0</v>
          </cell>
        </row>
      </sheetData>
      <sheetData sheetId="6953">
        <row r="4">
          <cell r="I4">
            <v>0</v>
          </cell>
        </row>
      </sheetData>
      <sheetData sheetId="6954">
        <row r="4">
          <cell r="I4">
            <v>0</v>
          </cell>
        </row>
      </sheetData>
      <sheetData sheetId="6955">
        <row r="4">
          <cell r="I4">
            <v>0</v>
          </cell>
        </row>
      </sheetData>
      <sheetData sheetId="6956">
        <row r="4">
          <cell r="I4">
            <v>0</v>
          </cell>
        </row>
      </sheetData>
      <sheetData sheetId="6957">
        <row r="4">
          <cell r="I4">
            <v>0</v>
          </cell>
        </row>
      </sheetData>
      <sheetData sheetId="6958">
        <row r="4">
          <cell r="I4">
            <v>0</v>
          </cell>
        </row>
      </sheetData>
      <sheetData sheetId="6959">
        <row r="4">
          <cell r="I4">
            <v>0</v>
          </cell>
        </row>
      </sheetData>
      <sheetData sheetId="6960">
        <row r="4">
          <cell r="I4">
            <v>0</v>
          </cell>
        </row>
      </sheetData>
      <sheetData sheetId="6961">
        <row r="4">
          <cell r="I4">
            <v>0</v>
          </cell>
        </row>
      </sheetData>
      <sheetData sheetId="6962">
        <row r="4">
          <cell r="I4">
            <v>0</v>
          </cell>
        </row>
      </sheetData>
      <sheetData sheetId="6963">
        <row r="4">
          <cell r="I4">
            <v>0</v>
          </cell>
        </row>
      </sheetData>
      <sheetData sheetId="6964">
        <row r="4">
          <cell r="I4">
            <v>0</v>
          </cell>
        </row>
      </sheetData>
      <sheetData sheetId="6965">
        <row r="4">
          <cell r="I4">
            <v>0</v>
          </cell>
        </row>
      </sheetData>
      <sheetData sheetId="6966">
        <row r="4">
          <cell r="I4">
            <v>0</v>
          </cell>
        </row>
      </sheetData>
      <sheetData sheetId="6967">
        <row r="4">
          <cell r="I4">
            <v>0</v>
          </cell>
        </row>
      </sheetData>
      <sheetData sheetId="6968">
        <row r="4">
          <cell r="I4">
            <v>0</v>
          </cell>
        </row>
      </sheetData>
      <sheetData sheetId="6969">
        <row r="4">
          <cell r="I4">
            <v>0</v>
          </cell>
        </row>
      </sheetData>
      <sheetData sheetId="6970">
        <row r="4">
          <cell r="I4">
            <v>0</v>
          </cell>
        </row>
      </sheetData>
      <sheetData sheetId="6971">
        <row r="4">
          <cell r="I4">
            <v>0</v>
          </cell>
        </row>
      </sheetData>
      <sheetData sheetId="6972">
        <row r="4">
          <cell r="I4">
            <v>0</v>
          </cell>
        </row>
      </sheetData>
      <sheetData sheetId="6973">
        <row r="4">
          <cell r="I4">
            <v>0</v>
          </cell>
        </row>
      </sheetData>
      <sheetData sheetId="6974">
        <row r="4">
          <cell r="I4">
            <v>0</v>
          </cell>
        </row>
      </sheetData>
      <sheetData sheetId="6975">
        <row r="4">
          <cell r="I4">
            <v>0</v>
          </cell>
        </row>
      </sheetData>
      <sheetData sheetId="6976">
        <row r="4">
          <cell r="I4">
            <v>0</v>
          </cell>
        </row>
      </sheetData>
      <sheetData sheetId="6977">
        <row r="4">
          <cell r="I4">
            <v>0</v>
          </cell>
        </row>
      </sheetData>
      <sheetData sheetId="6978">
        <row r="4">
          <cell r="I4">
            <v>0</v>
          </cell>
        </row>
      </sheetData>
      <sheetData sheetId="6979">
        <row r="4">
          <cell r="I4">
            <v>0</v>
          </cell>
        </row>
      </sheetData>
      <sheetData sheetId="6980">
        <row r="4">
          <cell r="I4">
            <v>0</v>
          </cell>
        </row>
      </sheetData>
      <sheetData sheetId="6981">
        <row r="4">
          <cell r="I4">
            <v>0</v>
          </cell>
        </row>
      </sheetData>
      <sheetData sheetId="6982">
        <row r="4">
          <cell r="I4">
            <v>0</v>
          </cell>
        </row>
      </sheetData>
      <sheetData sheetId="6983">
        <row r="4">
          <cell r="I4">
            <v>0</v>
          </cell>
        </row>
      </sheetData>
      <sheetData sheetId="6984">
        <row r="4">
          <cell r="I4">
            <v>0</v>
          </cell>
        </row>
      </sheetData>
      <sheetData sheetId="6985">
        <row r="4">
          <cell r="I4">
            <v>0</v>
          </cell>
        </row>
      </sheetData>
      <sheetData sheetId="6986">
        <row r="4">
          <cell r="I4">
            <v>0</v>
          </cell>
        </row>
      </sheetData>
      <sheetData sheetId="6987">
        <row r="4">
          <cell r="I4">
            <v>0</v>
          </cell>
        </row>
      </sheetData>
      <sheetData sheetId="6988">
        <row r="4">
          <cell r="I4">
            <v>0</v>
          </cell>
        </row>
      </sheetData>
      <sheetData sheetId="6989">
        <row r="4">
          <cell r="I4">
            <v>0</v>
          </cell>
        </row>
      </sheetData>
      <sheetData sheetId="6990">
        <row r="4">
          <cell r="I4">
            <v>0</v>
          </cell>
        </row>
      </sheetData>
      <sheetData sheetId="6991">
        <row r="4">
          <cell r="I4">
            <v>0</v>
          </cell>
        </row>
      </sheetData>
      <sheetData sheetId="6992">
        <row r="4">
          <cell r="I4">
            <v>0</v>
          </cell>
        </row>
      </sheetData>
      <sheetData sheetId="6993">
        <row r="4">
          <cell r="I4">
            <v>0</v>
          </cell>
        </row>
      </sheetData>
      <sheetData sheetId="6994">
        <row r="4">
          <cell r="I4">
            <v>0</v>
          </cell>
        </row>
      </sheetData>
      <sheetData sheetId="6995">
        <row r="4">
          <cell r="I4">
            <v>0</v>
          </cell>
        </row>
      </sheetData>
      <sheetData sheetId="6996">
        <row r="4">
          <cell r="I4">
            <v>0</v>
          </cell>
        </row>
      </sheetData>
      <sheetData sheetId="6997">
        <row r="4">
          <cell r="I4">
            <v>0</v>
          </cell>
        </row>
      </sheetData>
      <sheetData sheetId="6998">
        <row r="4">
          <cell r="I4">
            <v>0</v>
          </cell>
        </row>
      </sheetData>
      <sheetData sheetId="6999">
        <row r="4">
          <cell r="I4">
            <v>0</v>
          </cell>
        </row>
      </sheetData>
      <sheetData sheetId="7000">
        <row r="4">
          <cell r="I4">
            <v>0</v>
          </cell>
        </row>
      </sheetData>
      <sheetData sheetId="7001">
        <row r="4">
          <cell r="I4">
            <v>0</v>
          </cell>
        </row>
      </sheetData>
      <sheetData sheetId="7002">
        <row r="4">
          <cell r="I4">
            <v>0</v>
          </cell>
        </row>
      </sheetData>
      <sheetData sheetId="7003">
        <row r="4">
          <cell r="I4">
            <v>0</v>
          </cell>
        </row>
      </sheetData>
      <sheetData sheetId="7004">
        <row r="4">
          <cell r="I4">
            <v>0</v>
          </cell>
        </row>
      </sheetData>
      <sheetData sheetId="7005">
        <row r="4">
          <cell r="I4">
            <v>0</v>
          </cell>
        </row>
      </sheetData>
      <sheetData sheetId="7006">
        <row r="4">
          <cell r="I4">
            <v>0</v>
          </cell>
        </row>
      </sheetData>
      <sheetData sheetId="7007">
        <row r="4">
          <cell r="I4">
            <v>0</v>
          </cell>
        </row>
      </sheetData>
      <sheetData sheetId="7008">
        <row r="4">
          <cell r="I4">
            <v>0</v>
          </cell>
        </row>
      </sheetData>
      <sheetData sheetId="7009">
        <row r="4">
          <cell r="I4">
            <v>0</v>
          </cell>
        </row>
      </sheetData>
      <sheetData sheetId="7010">
        <row r="4">
          <cell r="I4">
            <v>0</v>
          </cell>
        </row>
      </sheetData>
      <sheetData sheetId="7011">
        <row r="4">
          <cell r="I4">
            <v>0</v>
          </cell>
        </row>
      </sheetData>
      <sheetData sheetId="7012">
        <row r="4">
          <cell r="I4">
            <v>0</v>
          </cell>
        </row>
      </sheetData>
      <sheetData sheetId="7013">
        <row r="4">
          <cell r="I4">
            <v>0</v>
          </cell>
        </row>
      </sheetData>
      <sheetData sheetId="7014">
        <row r="4">
          <cell r="I4">
            <v>0</v>
          </cell>
        </row>
      </sheetData>
      <sheetData sheetId="7015">
        <row r="4">
          <cell r="I4">
            <v>0</v>
          </cell>
        </row>
      </sheetData>
      <sheetData sheetId="7016">
        <row r="4">
          <cell r="I4">
            <v>0</v>
          </cell>
        </row>
      </sheetData>
      <sheetData sheetId="7017">
        <row r="4">
          <cell r="I4">
            <v>0</v>
          </cell>
        </row>
      </sheetData>
      <sheetData sheetId="7018">
        <row r="4">
          <cell r="I4">
            <v>0</v>
          </cell>
        </row>
      </sheetData>
      <sheetData sheetId="7019">
        <row r="4">
          <cell r="I4">
            <v>0</v>
          </cell>
        </row>
      </sheetData>
      <sheetData sheetId="7020">
        <row r="4">
          <cell r="I4">
            <v>0</v>
          </cell>
        </row>
      </sheetData>
      <sheetData sheetId="7021">
        <row r="4">
          <cell r="I4">
            <v>0</v>
          </cell>
        </row>
      </sheetData>
      <sheetData sheetId="7022">
        <row r="4">
          <cell r="I4">
            <v>0</v>
          </cell>
        </row>
      </sheetData>
      <sheetData sheetId="7023">
        <row r="4">
          <cell r="I4">
            <v>0</v>
          </cell>
        </row>
      </sheetData>
      <sheetData sheetId="7024">
        <row r="4">
          <cell r="I4">
            <v>0</v>
          </cell>
        </row>
      </sheetData>
      <sheetData sheetId="7025">
        <row r="4">
          <cell r="I4">
            <v>0</v>
          </cell>
        </row>
      </sheetData>
      <sheetData sheetId="7026">
        <row r="4">
          <cell r="I4">
            <v>0</v>
          </cell>
        </row>
      </sheetData>
      <sheetData sheetId="7027">
        <row r="4">
          <cell r="I4">
            <v>0</v>
          </cell>
        </row>
      </sheetData>
      <sheetData sheetId="7028">
        <row r="4">
          <cell r="I4">
            <v>0</v>
          </cell>
        </row>
      </sheetData>
      <sheetData sheetId="7029">
        <row r="4">
          <cell r="I4">
            <v>0</v>
          </cell>
        </row>
      </sheetData>
      <sheetData sheetId="7030">
        <row r="4">
          <cell r="I4">
            <v>0</v>
          </cell>
        </row>
      </sheetData>
      <sheetData sheetId="7031">
        <row r="4">
          <cell r="I4">
            <v>0</v>
          </cell>
        </row>
      </sheetData>
      <sheetData sheetId="7032">
        <row r="4">
          <cell r="I4">
            <v>0</v>
          </cell>
        </row>
      </sheetData>
      <sheetData sheetId="7033">
        <row r="4">
          <cell r="I4">
            <v>0</v>
          </cell>
        </row>
      </sheetData>
      <sheetData sheetId="7034">
        <row r="4">
          <cell r="I4">
            <v>0</v>
          </cell>
        </row>
      </sheetData>
      <sheetData sheetId="7035">
        <row r="4">
          <cell r="I4">
            <v>0</v>
          </cell>
        </row>
      </sheetData>
      <sheetData sheetId="7036">
        <row r="4">
          <cell r="I4">
            <v>0</v>
          </cell>
        </row>
      </sheetData>
      <sheetData sheetId="7037">
        <row r="4">
          <cell r="I4">
            <v>0</v>
          </cell>
        </row>
      </sheetData>
      <sheetData sheetId="7038">
        <row r="4">
          <cell r="I4">
            <v>0</v>
          </cell>
        </row>
      </sheetData>
      <sheetData sheetId="7039">
        <row r="4">
          <cell r="I4">
            <v>0</v>
          </cell>
        </row>
      </sheetData>
      <sheetData sheetId="7040">
        <row r="4">
          <cell r="I4">
            <v>0</v>
          </cell>
        </row>
      </sheetData>
      <sheetData sheetId="7041">
        <row r="4">
          <cell r="I4">
            <v>0</v>
          </cell>
        </row>
      </sheetData>
      <sheetData sheetId="7042">
        <row r="4">
          <cell r="I4">
            <v>0</v>
          </cell>
        </row>
      </sheetData>
      <sheetData sheetId="7043">
        <row r="4">
          <cell r="I4">
            <v>0</v>
          </cell>
        </row>
      </sheetData>
      <sheetData sheetId="7044">
        <row r="4">
          <cell r="I4">
            <v>0</v>
          </cell>
        </row>
      </sheetData>
      <sheetData sheetId="7045">
        <row r="4">
          <cell r="I4">
            <v>0</v>
          </cell>
        </row>
      </sheetData>
      <sheetData sheetId="7046">
        <row r="4">
          <cell r="I4">
            <v>0</v>
          </cell>
        </row>
      </sheetData>
      <sheetData sheetId="7047">
        <row r="4">
          <cell r="I4">
            <v>0</v>
          </cell>
        </row>
      </sheetData>
      <sheetData sheetId="7048">
        <row r="4">
          <cell r="I4">
            <v>0</v>
          </cell>
        </row>
      </sheetData>
      <sheetData sheetId="7049">
        <row r="4">
          <cell r="I4">
            <v>0</v>
          </cell>
        </row>
      </sheetData>
      <sheetData sheetId="7050">
        <row r="4">
          <cell r="I4">
            <v>0</v>
          </cell>
        </row>
      </sheetData>
      <sheetData sheetId="7051">
        <row r="4">
          <cell r="I4">
            <v>0</v>
          </cell>
        </row>
      </sheetData>
      <sheetData sheetId="7052">
        <row r="4">
          <cell r="I4">
            <v>0</v>
          </cell>
        </row>
      </sheetData>
      <sheetData sheetId="7053">
        <row r="4">
          <cell r="I4">
            <v>0</v>
          </cell>
        </row>
      </sheetData>
      <sheetData sheetId="7054">
        <row r="4">
          <cell r="I4">
            <v>0</v>
          </cell>
        </row>
      </sheetData>
      <sheetData sheetId="7055">
        <row r="4">
          <cell r="I4">
            <v>0</v>
          </cell>
        </row>
      </sheetData>
      <sheetData sheetId="7056">
        <row r="4">
          <cell r="I4">
            <v>0</v>
          </cell>
        </row>
      </sheetData>
      <sheetData sheetId="7057">
        <row r="4">
          <cell r="I4">
            <v>0</v>
          </cell>
        </row>
      </sheetData>
      <sheetData sheetId="7058">
        <row r="4">
          <cell r="I4">
            <v>0</v>
          </cell>
        </row>
      </sheetData>
      <sheetData sheetId="7059">
        <row r="4">
          <cell r="I4">
            <v>0</v>
          </cell>
        </row>
      </sheetData>
      <sheetData sheetId="7060">
        <row r="4">
          <cell r="I4">
            <v>0</v>
          </cell>
        </row>
      </sheetData>
      <sheetData sheetId="7061">
        <row r="4">
          <cell r="I4">
            <v>0</v>
          </cell>
        </row>
      </sheetData>
      <sheetData sheetId="7062">
        <row r="4">
          <cell r="I4">
            <v>0</v>
          </cell>
        </row>
      </sheetData>
      <sheetData sheetId="7063">
        <row r="4">
          <cell r="I4">
            <v>0</v>
          </cell>
        </row>
      </sheetData>
      <sheetData sheetId="7064">
        <row r="4">
          <cell r="I4">
            <v>0</v>
          </cell>
        </row>
      </sheetData>
      <sheetData sheetId="7065">
        <row r="4">
          <cell r="I4">
            <v>0</v>
          </cell>
        </row>
      </sheetData>
      <sheetData sheetId="7066">
        <row r="4">
          <cell r="I4">
            <v>0</v>
          </cell>
        </row>
      </sheetData>
      <sheetData sheetId="7067">
        <row r="4">
          <cell r="I4">
            <v>0</v>
          </cell>
        </row>
      </sheetData>
      <sheetData sheetId="7068">
        <row r="4">
          <cell r="I4">
            <v>0</v>
          </cell>
        </row>
      </sheetData>
      <sheetData sheetId="7069">
        <row r="4">
          <cell r="I4">
            <v>0</v>
          </cell>
        </row>
      </sheetData>
      <sheetData sheetId="7070">
        <row r="4">
          <cell r="I4">
            <v>0</v>
          </cell>
        </row>
      </sheetData>
      <sheetData sheetId="7071">
        <row r="4">
          <cell r="I4">
            <v>0</v>
          </cell>
        </row>
      </sheetData>
      <sheetData sheetId="7072">
        <row r="4">
          <cell r="I4">
            <v>0</v>
          </cell>
        </row>
      </sheetData>
      <sheetData sheetId="7073">
        <row r="4">
          <cell r="I4">
            <v>0</v>
          </cell>
        </row>
      </sheetData>
      <sheetData sheetId="7074">
        <row r="4">
          <cell r="I4">
            <v>0</v>
          </cell>
        </row>
      </sheetData>
      <sheetData sheetId="7075">
        <row r="4">
          <cell r="I4">
            <v>0</v>
          </cell>
        </row>
      </sheetData>
      <sheetData sheetId="7076">
        <row r="4">
          <cell r="I4">
            <v>0</v>
          </cell>
        </row>
      </sheetData>
      <sheetData sheetId="7077">
        <row r="4">
          <cell r="I4">
            <v>0</v>
          </cell>
        </row>
      </sheetData>
      <sheetData sheetId="7078">
        <row r="4">
          <cell r="I4">
            <v>0</v>
          </cell>
        </row>
      </sheetData>
      <sheetData sheetId="7079">
        <row r="4">
          <cell r="I4">
            <v>0</v>
          </cell>
        </row>
      </sheetData>
      <sheetData sheetId="7080">
        <row r="4">
          <cell r="I4">
            <v>0</v>
          </cell>
        </row>
      </sheetData>
      <sheetData sheetId="7081">
        <row r="4">
          <cell r="I4">
            <v>0</v>
          </cell>
        </row>
      </sheetData>
      <sheetData sheetId="7082">
        <row r="4">
          <cell r="I4">
            <v>0</v>
          </cell>
        </row>
      </sheetData>
      <sheetData sheetId="7083">
        <row r="4">
          <cell r="I4">
            <v>0</v>
          </cell>
        </row>
      </sheetData>
      <sheetData sheetId="7084">
        <row r="4">
          <cell r="I4">
            <v>0</v>
          </cell>
        </row>
      </sheetData>
      <sheetData sheetId="7085">
        <row r="4">
          <cell r="I4">
            <v>0</v>
          </cell>
        </row>
      </sheetData>
      <sheetData sheetId="7086">
        <row r="4">
          <cell r="I4">
            <v>0</v>
          </cell>
        </row>
      </sheetData>
      <sheetData sheetId="7087">
        <row r="4">
          <cell r="I4">
            <v>0</v>
          </cell>
        </row>
      </sheetData>
      <sheetData sheetId="7088">
        <row r="4">
          <cell r="I4">
            <v>0</v>
          </cell>
        </row>
      </sheetData>
      <sheetData sheetId="7089">
        <row r="4">
          <cell r="I4">
            <v>0</v>
          </cell>
        </row>
      </sheetData>
      <sheetData sheetId="7090">
        <row r="4">
          <cell r="I4">
            <v>0</v>
          </cell>
        </row>
      </sheetData>
      <sheetData sheetId="7091">
        <row r="4">
          <cell r="I4">
            <v>0</v>
          </cell>
        </row>
      </sheetData>
      <sheetData sheetId="7092">
        <row r="4">
          <cell r="I4">
            <v>0</v>
          </cell>
        </row>
      </sheetData>
      <sheetData sheetId="7093">
        <row r="4">
          <cell r="I4">
            <v>0</v>
          </cell>
        </row>
      </sheetData>
      <sheetData sheetId="7094">
        <row r="4">
          <cell r="I4">
            <v>0</v>
          </cell>
        </row>
      </sheetData>
      <sheetData sheetId="7095">
        <row r="4">
          <cell r="I4">
            <v>0</v>
          </cell>
        </row>
      </sheetData>
      <sheetData sheetId="7096">
        <row r="4">
          <cell r="I4">
            <v>0</v>
          </cell>
        </row>
      </sheetData>
      <sheetData sheetId="7097">
        <row r="4">
          <cell r="I4">
            <v>0</v>
          </cell>
        </row>
      </sheetData>
      <sheetData sheetId="7098">
        <row r="4">
          <cell r="I4">
            <v>0</v>
          </cell>
        </row>
      </sheetData>
      <sheetData sheetId="7099">
        <row r="4">
          <cell r="I4">
            <v>0</v>
          </cell>
        </row>
      </sheetData>
      <sheetData sheetId="7100">
        <row r="4">
          <cell r="I4">
            <v>0</v>
          </cell>
        </row>
      </sheetData>
      <sheetData sheetId="7101">
        <row r="4">
          <cell r="I4">
            <v>0</v>
          </cell>
        </row>
      </sheetData>
      <sheetData sheetId="7102">
        <row r="4">
          <cell r="I4">
            <v>0</v>
          </cell>
        </row>
      </sheetData>
      <sheetData sheetId="7103">
        <row r="4">
          <cell r="I4">
            <v>0</v>
          </cell>
        </row>
      </sheetData>
      <sheetData sheetId="7104">
        <row r="4">
          <cell r="I4">
            <v>0</v>
          </cell>
        </row>
      </sheetData>
      <sheetData sheetId="7105">
        <row r="4">
          <cell r="I4">
            <v>0</v>
          </cell>
        </row>
      </sheetData>
      <sheetData sheetId="7106">
        <row r="4">
          <cell r="I4">
            <v>0</v>
          </cell>
        </row>
      </sheetData>
      <sheetData sheetId="7107">
        <row r="4">
          <cell r="I4">
            <v>0</v>
          </cell>
        </row>
      </sheetData>
      <sheetData sheetId="7108">
        <row r="4">
          <cell r="I4">
            <v>0</v>
          </cell>
        </row>
      </sheetData>
      <sheetData sheetId="7109">
        <row r="4">
          <cell r="I4">
            <v>0</v>
          </cell>
        </row>
      </sheetData>
      <sheetData sheetId="7110">
        <row r="4">
          <cell r="I4">
            <v>0</v>
          </cell>
        </row>
      </sheetData>
      <sheetData sheetId="7111">
        <row r="4">
          <cell r="I4">
            <v>0</v>
          </cell>
        </row>
      </sheetData>
      <sheetData sheetId="7112">
        <row r="4">
          <cell r="I4">
            <v>0</v>
          </cell>
        </row>
      </sheetData>
      <sheetData sheetId="7113">
        <row r="4">
          <cell r="I4">
            <v>0</v>
          </cell>
        </row>
      </sheetData>
      <sheetData sheetId="7114">
        <row r="4">
          <cell r="I4">
            <v>0</v>
          </cell>
        </row>
      </sheetData>
      <sheetData sheetId="7115">
        <row r="4">
          <cell r="I4">
            <v>0</v>
          </cell>
        </row>
      </sheetData>
      <sheetData sheetId="7116">
        <row r="4">
          <cell r="I4">
            <v>0</v>
          </cell>
        </row>
      </sheetData>
      <sheetData sheetId="7117">
        <row r="4">
          <cell r="I4">
            <v>0</v>
          </cell>
        </row>
      </sheetData>
      <sheetData sheetId="7118">
        <row r="4">
          <cell r="I4">
            <v>0</v>
          </cell>
        </row>
      </sheetData>
      <sheetData sheetId="7119">
        <row r="4">
          <cell r="I4">
            <v>0</v>
          </cell>
        </row>
      </sheetData>
      <sheetData sheetId="7120">
        <row r="4">
          <cell r="I4">
            <v>0</v>
          </cell>
        </row>
      </sheetData>
      <sheetData sheetId="7121">
        <row r="4">
          <cell r="I4">
            <v>0</v>
          </cell>
        </row>
      </sheetData>
      <sheetData sheetId="7122">
        <row r="4">
          <cell r="I4">
            <v>0</v>
          </cell>
        </row>
      </sheetData>
      <sheetData sheetId="7123">
        <row r="4">
          <cell r="I4">
            <v>0</v>
          </cell>
        </row>
      </sheetData>
      <sheetData sheetId="7124">
        <row r="4">
          <cell r="I4">
            <v>0</v>
          </cell>
        </row>
      </sheetData>
      <sheetData sheetId="7125">
        <row r="4">
          <cell r="I4">
            <v>0</v>
          </cell>
        </row>
      </sheetData>
      <sheetData sheetId="7126">
        <row r="4">
          <cell r="I4">
            <v>0</v>
          </cell>
        </row>
      </sheetData>
      <sheetData sheetId="7127">
        <row r="4">
          <cell r="I4">
            <v>0</v>
          </cell>
        </row>
      </sheetData>
      <sheetData sheetId="7128">
        <row r="4">
          <cell r="I4">
            <v>0</v>
          </cell>
        </row>
      </sheetData>
      <sheetData sheetId="7129">
        <row r="4">
          <cell r="I4">
            <v>0</v>
          </cell>
        </row>
      </sheetData>
      <sheetData sheetId="7130">
        <row r="4">
          <cell r="I4">
            <v>0</v>
          </cell>
        </row>
      </sheetData>
      <sheetData sheetId="7131">
        <row r="4">
          <cell r="I4">
            <v>0</v>
          </cell>
        </row>
      </sheetData>
      <sheetData sheetId="7132">
        <row r="4">
          <cell r="I4">
            <v>0</v>
          </cell>
        </row>
      </sheetData>
      <sheetData sheetId="7133">
        <row r="4">
          <cell r="I4">
            <v>0</v>
          </cell>
        </row>
      </sheetData>
      <sheetData sheetId="7134">
        <row r="4">
          <cell r="I4">
            <v>0</v>
          </cell>
        </row>
      </sheetData>
      <sheetData sheetId="7135">
        <row r="4">
          <cell r="I4">
            <v>0</v>
          </cell>
        </row>
      </sheetData>
      <sheetData sheetId="7136">
        <row r="4">
          <cell r="I4">
            <v>0</v>
          </cell>
        </row>
      </sheetData>
      <sheetData sheetId="7137">
        <row r="4">
          <cell r="I4">
            <v>0</v>
          </cell>
        </row>
      </sheetData>
      <sheetData sheetId="7138">
        <row r="4">
          <cell r="I4">
            <v>0</v>
          </cell>
        </row>
      </sheetData>
      <sheetData sheetId="7139">
        <row r="4">
          <cell r="I4">
            <v>0</v>
          </cell>
        </row>
      </sheetData>
      <sheetData sheetId="7140">
        <row r="4">
          <cell r="I4">
            <v>0</v>
          </cell>
        </row>
      </sheetData>
      <sheetData sheetId="7141">
        <row r="4">
          <cell r="I4">
            <v>0</v>
          </cell>
        </row>
      </sheetData>
      <sheetData sheetId="7142">
        <row r="4">
          <cell r="I4">
            <v>0</v>
          </cell>
        </row>
      </sheetData>
      <sheetData sheetId="7143">
        <row r="4">
          <cell r="I4">
            <v>0</v>
          </cell>
        </row>
      </sheetData>
      <sheetData sheetId="7144">
        <row r="4">
          <cell r="I4">
            <v>0</v>
          </cell>
        </row>
      </sheetData>
      <sheetData sheetId="7145">
        <row r="4">
          <cell r="I4">
            <v>0</v>
          </cell>
        </row>
      </sheetData>
      <sheetData sheetId="7146">
        <row r="4">
          <cell r="I4">
            <v>0</v>
          </cell>
        </row>
      </sheetData>
      <sheetData sheetId="7147">
        <row r="4">
          <cell r="I4">
            <v>0</v>
          </cell>
        </row>
      </sheetData>
      <sheetData sheetId="7148">
        <row r="4">
          <cell r="I4">
            <v>0</v>
          </cell>
        </row>
      </sheetData>
      <sheetData sheetId="7149">
        <row r="4">
          <cell r="I4">
            <v>0</v>
          </cell>
        </row>
      </sheetData>
      <sheetData sheetId="7150">
        <row r="4">
          <cell r="I4">
            <v>0</v>
          </cell>
        </row>
      </sheetData>
      <sheetData sheetId="7151">
        <row r="4">
          <cell r="I4">
            <v>0</v>
          </cell>
        </row>
      </sheetData>
      <sheetData sheetId="7152">
        <row r="4">
          <cell r="I4">
            <v>0</v>
          </cell>
        </row>
      </sheetData>
      <sheetData sheetId="7153">
        <row r="4">
          <cell r="I4">
            <v>0</v>
          </cell>
        </row>
      </sheetData>
      <sheetData sheetId="7154">
        <row r="4">
          <cell r="I4">
            <v>0</v>
          </cell>
        </row>
      </sheetData>
      <sheetData sheetId="7155">
        <row r="4">
          <cell r="I4">
            <v>0</v>
          </cell>
        </row>
      </sheetData>
      <sheetData sheetId="7156">
        <row r="4">
          <cell r="I4">
            <v>0</v>
          </cell>
        </row>
      </sheetData>
      <sheetData sheetId="7157">
        <row r="4">
          <cell r="I4">
            <v>0</v>
          </cell>
        </row>
      </sheetData>
      <sheetData sheetId="7158">
        <row r="4">
          <cell r="I4">
            <v>0</v>
          </cell>
        </row>
      </sheetData>
      <sheetData sheetId="7159">
        <row r="4">
          <cell r="I4">
            <v>0</v>
          </cell>
        </row>
      </sheetData>
      <sheetData sheetId="7160">
        <row r="4">
          <cell r="I4">
            <v>0</v>
          </cell>
        </row>
      </sheetData>
      <sheetData sheetId="7161">
        <row r="4">
          <cell r="I4">
            <v>0</v>
          </cell>
        </row>
      </sheetData>
      <sheetData sheetId="7162">
        <row r="4">
          <cell r="I4">
            <v>0</v>
          </cell>
        </row>
      </sheetData>
      <sheetData sheetId="7163">
        <row r="4">
          <cell r="I4">
            <v>0</v>
          </cell>
        </row>
      </sheetData>
      <sheetData sheetId="7164">
        <row r="4">
          <cell r="I4">
            <v>0</v>
          </cell>
        </row>
      </sheetData>
      <sheetData sheetId="7165">
        <row r="4">
          <cell r="I4">
            <v>0</v>
          </cell>
        </row>
      </sheetData>
      <sheetData sheetId="7166">
        <row r="4">
          <cell r="I4">
            <v>0</v>
          </cell>
        </row>
      </sheetData>
      <sheetData sheetId="7167">
        <row r="4">
          <cell r="I4">
            <v>0</v>
          </cell>
        </row>
      </sheetData>
      <sheetData sheetId="7168">
        <row r="4">
          <cell r="I4">
            <v>0</v>
          </cell>
        </row>
      </sheetData>
      <sheetData sheetId="7169">
        <row r="4">
          <cell r="I4">
            <v>0</v>
          </cell>
        </row>
      </sheetData>
      <sheetData sheetId="7170">
        <row r="4">
          <cell r="I4">
            <v>0</v>
          </cell>
        </row>
      </sheetData>
      <sheetData sheetId="7171">
        <row r="4">
          <cell r="I4">
            <v>0</v>
          </cell>
        </row>
      </sheetData>
      <sheetData sheetId="7172">
        <row r="4">
          <cell r="I4">
            <v>0</v>
          </cell>
        </row>
      </sheetData>
      <sheetData sheetId="7173">
        <row r="4">
          <cell r="I4">
            <v>0</v>
          </cell>
        </row>
      </sheetData>
      <sheetData sheetId="7174">
        <row r="4">
          <cell r="I4">
            <v>0</v>
          </cell>
        </row>
      </sheetData>
      <sheetData sheetId="7175">
        <row r="4">
          <cell r="I4">
            <v>0</v>
          </cell>
        </row>
      </sheetData>
      <sheetData sheetId="7176">
        <row r="4">
          <cell r="I4">
            <v>0</v>
          </cell>
        </row>
      </sheetData>
      <sheetData sheetId="7177">
        <row r="4">
          <cell r="I4">
            <v>0</v>
          </cell>
        </row>
      </sheetData>
      <sheetData sheetId="7178">
        <row r="4">
          <cell r="I4">
            <v>0</v>
          </cell>
        </row>
      </sheetData>
      <sheetData sheetId="7179">
        <row r="4">
          <cell r="I4">
            <v>0</v>
          </cell>
        </row>
      </sheetData>
      <sheetData sheetId="7180">
        <row r="4">
          <cell r="I4">
            <v>0</v>
          </cell>
        </row>
      </sheetData>
      <sheetData sheetId="7181">
        <row r="4">
          <cell r="I4">
            <v>0</v>
          </cell>
        </row>
      </sheetData>
      <sheetData sheetId="7182">
        <row r="4">
          <cell r="I4">
            <v>0</v>
          </cell>
        </row>
      </sheetData>
      <sheetData sheetId="7183">
        <row r="4">
          <cell r="I4">
            <v>0</v>
          </cell>
        </row>
      </sheetData>
      <sheetData sheetId="7184">
        <row r="4">
          <cell r="I4">
            <v>0</v>
          </cell>
        </row>
      </sheetData>
      <sheetData sheetId="7185">
        <row r="4">
          <cell r="I4">
            <v>0</v>
          </cell>
        </row>
      </sheetData>
      <sheetData sheetId="7186">
        <row r="4">
          <cell r="I4">
            <v>0</v>
          </cell>
        </row>
      </sheetData>
      <sheetData sheetId="7187">
        <row r="4">
          <cell r="I4">
            <v>0</v>
          </cell>
        </row>
      </sheetData>
      <sheetData sheetId="7188">
        <row r="4">
          <cell r="I4">
            <v>0</v>
          </cell>
        </row>
      </sheetData>
      <sheetData sheetId="7189">
        <row r="4">
          <cell r="I4">
            <v>0</v>
          </cell>
        </row>
      </sheetData>
      <sheetData sheetId="7190">
        <row r="4">
          <cell r="I4">
            <v>0</v>
          </cell>
        </row>
      </sheetData>
      <sheetData sheetId="7191">
        <row r="4">
          <cell r="I4">
            <v>0</v>
          </cell>
        </row>
      </sheetData>
      <sheetData sheetId="7192">
        <row r="4">
          <cell r="I4">
            <v>0</v>
          </cell>
        </row>
      </sheetData>
      <sheetData sheetId="7193">
        <row r="4">
          <cell r="I4">
            <v>0</v>
          </cell>
        </row>
      </sheetData>
      <sheetData sheetId="7194">
        <row r="4">
          <cell r="I4">
            <v>0</v>
          </cell>
        </row>
      </sheetData>
      <sheetData sheetId="7195">
        <row r="4">
          <cell r="I4">
            <v>0</v>
          </cell>
        </row>
      </sheetData>
      <sheetData sheetId="7196">
        <row r="4">
          <cell r="I4">
            <v>0</v>
          </cell>
        </row>
      </sheetData>
      <sheetData sheetId="7197">
        <row r="4">
          <cell r="I4">
            <v>0</v>
          </cell>
        </row>
      </sheetData>
      <sheetData sheetId="7198">
        <row r="4">
          <cell r="I4">
            <v>0</v>
          </cell>
        </row>
      </sheetData>
      <sheetData sheetId="7199">
        <row r="4">
          <cell r="I4">
            <v>0</v>
          </cell>
        </row>
      </sheetData>
      <sheetData sheetId="7200">
        <row r="4">
          <cell r="I4">
            <v>0</v>
          </cell>
        </row>
      </sheetData>
      <sheetData sheetId="7201">
        <row r="4">
          <cell r="I4">
            <v>0</v>
          </cell>
        </row>
      </sheetData>
      <sheetData sheetId="7202">
        <row r="4">
          <cell r="I4">
            <v>0</v>
          </cell>
        </row>
      </sheetData>
      <sheetData sheetId="7203">
        <row r="4">
          <cell r="I4">
            <v>0</v>
          </cell>
        </row>
      </sheetData>
      <sheetData sheetId="7204">
        <row r="4">
          <cell r="I4">
            <v>0</v>
          </cell>
        </row>
      </sheetData>
      <sheetData sheetId="7205">
        <row r="4">
          <cell r="I4">
            <v>0</v>
          </cell>
        </row>
      </sheetData>
      <sheetData sheetId="7206">
        <row r="4">
          <cell r="I4">
            <v>0</v>
          </cell>
        </row>
      </sheetData>
      <sheetData sheetId="7207">
        <row r="4">
          <cell r="I4">
            <v>0</v>
          </cell>
        </row>
      </sheetData>
      <sheetData sheetId="7208">
        <row r="4">
          <cell r="I4">
            <v>0</v>
          </cell>
        </row>
      </sheetData>
      <sheetData sheetId="7209">
        <row r="4">
          <cell r="I4">
            <v>0</v>
          </cell>
        </row>
      </sheetData>
      <sheetData sheetId="7210">
        <row r="4">
          <cell r="I4">
            <v>0</v>
          </cell>
        </row>
      </sheetData>
      <sheetData sheetId="7211">
        <row r="4">
          <cell r="I4">
            <v>0</v>
          </cell>
        </row>
      </sheetData>
      <sheetData sheetId="7212">
        <row r="4">
          <cell r="I4">
            <v>0</v>
          </cell>
        </row>
      </sheetData>
      <sheetData sheetId="7213">
        <row r="4">
          <cell r="I4">
            <v>0</v>
          </cell>
        </row>
      </sheetData>
      <sheetData sheetId="7214">
        <row r="4">
          <cell r="I4">
            <v>0</v>
          </cell>
        </row>
      </sheetData>
      <sheetData sheetId="7215">
        <row r="4">
          <cell r="I4">
            <v>0</v>
          </cell>
        </row>
      </sheetData>
      <sheetData sheetId="7216">
        <row r="4">
          <cell r="I4">
            <v>0</v>
          </cell>
        </row>
      </sheetData>
      <sheetData sheetId="7217">
        <row r="4">
          <cell r="I4">
            <v>0</v>
          </cell>
        </row>
      </sheetData>
      <sheetData sheetId="7218">
        <row r="4">
          <cell r="I4">
            <v>0</v>
          </cell>
        </row>
      </sheetData>
      <sheetData sheetId="7219">
        <row r="4">
          <cell r="I4">
            <v>0</v>
          </cell>
        </row>
      </sheetData>
      <sheetData sheetId="7220">
        <row r="4">
          <cell r="I4">
            <v>0</v>
          </cell>
        </row>
      </sheetData>
      <sheetData sheetId="7221">
        <row r="4">
          <cell r="I4">
            <v>0</v>
          </cell>
        </row>
      </sheetData>
      <sheetData sheetId="7222">
        <row r="4">
          <cell r="I4">
            <v>0</v>
          </cell>
        </row>
      </sheetData>
      <sheetData sheetId="7223">
        <row r="4">
          <cell r="I4">
            <v>0</v>
          </cell>
        </row>
      </sheetData>
      <sheetData sheetId="7224">
        <row r="4">
          <cell r="I4">
            <v>0</v>
          </cell>
        </row>
      </sheetData>
      <sheetData sheetId="7225">
        <row r="4">
          <cell r="I4">
            <v>0</v>
          </cell>
        </row>
      </sheetData>
      <sheetData sheetId="7226">
        <row r="4">
          <cell r="I4">
            <v>0</v>
          </cell>
        </row>
      </sheetData>
      <sheetData sheetId="7227">
        <row r="4">
          <cell r="I4">
            <v>0</v>
          </cell>
        </row>
      </sheetData>
      <sheetData sheetId="7228">
        <row r="4">
          <cell r="I4">
            <v>0</v>
          </cell>
        </row>
      </sheetData>
      <sheetData sheetId="7229">
        <row r="4">
          <cell r="I4">
            <v>0</v>
          </cell>
        </row>
      </sheetData>
      <sheetData sheetId="7230">
        <row r="4">
          <cell r="I4">
            <v>0</v>
          </cell>
        </row>
      </sheetData>
      <sheetData sheetId="7231">
        <row r="4">
          <cell r="I4">
            <v>0</v>
          </cell>
        </row>
      </sheetData>
      <sheetData sheetId="7232">
        <row r="4">
          <cell r="I4">
            <v>0</v>
          </cell>
        </row>
      </sheetData>
      <sheetData sheetId="7233">
        <row r="4">
          <cell r="I4">
            <v>0</v>
          </cell>
        </row>
      </sheetData>
      <sheetData sheetId="7234">
        <row r="4">
          <cell r="I4">
            <v>0</v>
          </cell>
        </row>
      </sheetData>
      <sheetData sheetId="7235">
        <row r="4">
          <cell r="I4">
            <v>0</v>
          </cell>
        </row>
      </sheetData>
      <sheetData sheetId="7236">
        <row r="4">
          <cell r="I4">
            <v>0</v>
          </cell>
        </row>
      </sheetData>
      <sheetData sheetId="7237">
        <row r="4">
          <cell r="I4">
            <v>0</v>
          </cell>
        </row>
      </sheetData>
      <sheetData sheetId="7238">
        <row r="4">
          <cell r="I4">
            <v>0</v>
          </cell>
        </row>
      </sheetData>
      <sheetData sheetId="7239">
        <row r="4">
          <cell r="I4">
            <v>0</v>
          </cell>
        </row>
      </sheetData>
      <sheetData sheetId="7240">
        <row r="4">
          <cell r="I4">
            <v>0</v>
          </cell>
        </row>
      </sheetData>
      <sheetData sheetId="7241">
        <row r="4">
          <cell r="I4">
            <v>0</v>
          </cell>
        </row>
      </sheetData>
      <sheetData sheetId="7242">
        <row r="4">
          <cell r="I4">
            <v>0</v>
          </cell>
        </row>
      </sheetData>
      <sheetData sheetId="7243">
        <row r="4">
          <cell r="I4">
            <v>0</v>
          </cell>
        </row>
      </sheetData>
      <sheetData sheetId="7244">
        <row r="4">
          <cell r="I4">
            <v>0</v>
          </cell>
        </row>
      </sheetData>
      <sheetData sheetId="7245">
        <row r="4">
          <cell r="I4">
            <v>0</v>
          </cell>
        </row>
      </sheetData>
      <sheetData sheetId="7246">
        <row r="4">
          <cell r="I4">
            <v>0</v>
          </cell>
        </row>
      </sheetData>
      <sheetData sheetId="7247">
        <row r="4">
          <cell r="I4">
            <v>0</v>
          </cell>
        </row>
      </sheetData>
      <sheetData sheetId="7248">
        <row r="4">
          <cell r="I4">
            <v>0</v>
          </cell>
        </row>
      </sheetData>
      <sheetData sheetId="7249">
        <row r="4">
          <cell r="I4">
            <v>0</v>
          </cell>
        </row>
      </sheetData>
      <sheetData sheetId="7250">
        <row r="4">
          <cell r="I4">
            <v>0</v>
          </cell>
        </row>
      </sheetData>
      <sheetData sheetId="7251">
        <row r="4">
          <cell r="I4">
            <v>0</v>
          </cell>
        </row>
      </sheetData>
      <sheetData sheetId="7252">
        <row r="4">
          <cell r="I4">
            <v>0</v>
          </cell>
        </row>
      </sheetData>
      <sheetData sheetId="7253">
        <row r="4">
          <cell r="I4">
            <v>0</v>
          </cell>
        </row>
      </sheetData>
      <sheetData sheetId="7254">
        <row r="4">
          <cell r="I4">
            <v>0</v>
          </cell>
        </row>
      </sheetData>
      <sheetData sheetId="7255">
        <row r="4">
          <cell r="I4">
            <v>0</v>
          </cell>
        </row>
      </sheetData>
      <sheetData sheetId="7256">
        <row r="4">
          <cell r="I4">
            <v>0</v>
          </cell>
        </row>
      </sheetData>
      <sheetData sheetId="7257">
        <row r="4">
          <cell r="I4">
            <v>0</v>
          </cell>
        </row>
      </sheetData>
      <sheetData sheetId="7258">
        <row r="4">
          <cell r="I4">
            <v>0</v>
          </cell>
        </row>
      </sheetData>
      <sheetData sheetId="7259">
        <row r="4">
          <cell r="I4">
            <v>0</v>
          </cell>
        </row>
      </sheetData>
      <sheetData sheetId="7260">
        <row r="4">
          <cell r="I4">
            <v>0</v>
          </cell>
        </row>
      </sheetData>
      <sheetData sheetId="7261">
        <row r="4">
          <cell r="I4">
            <v>0</v>
          </cell>
        </row>
      </sheetData>
      <sheetData sheetId="7262">
        <row r="4">
          <cell r="I4">
            <v>0</v>
          </cell>
        </row>
      </sheetData>
      <sheetData sheetId="7263">
        <row r="4">
          <cell r="I4">
            <v>0</v>
          </cell>
        </row>
      </sheetData>
      <sheetData sheetId="7264">
        <row r="4">
          <cell r="I4">
            <v>0</v>
          </cell>
        </row>
      </sheetData>
      <sheetData sheetId="7265">
        <row r="4">
          <cell r="I4">
            <v>0</v>
          </cell>
        </row>
      </sheetData>
      <sheetData sheetId="7266">
        <row r="4">
          <cell r="I4">
            <v>0</v>
          </cell>
        </row>
      </sheetData>
      <sheetData sheetId="7267">
        <row r="4">
          <cell r="I4">
            <v>0</v>
          </cell>
        </row>
      </sheetData>
      <sheetData sheetId="7268">
        <row r="4">
          <cell r="I4">
            <v>0</v>
          </cell>
        </row>
      </sheetData>
      <sheetData sheetId="7269">
        <row r="4">
          <cell r="I4">
            <v>0</v>
          </cell>
        </row>
      </sheetData>
      <sheetData sheetId="7270">
        <row r="4">
          <cell r="I4">
            <v>0</v>
          </cell>
        </row>
      </sheetData>
      <sheetData sheetId="7271">
        <row r="4">
          <cell r="I4">
            <v>0</v>
          </cell>
        </row>
      </sheetData>
      <sheetData sheetId="7272">
        <row r="4">
          <cell r="I4">
            <v>0</v>
          </cell>
        </row>
      </sheetData>
      <sheetData sheetId="7273">
        <row r="4">
          <cell r="I4">
            <v>0</v>
          </cell>
        </row>
      </sheetData>
      <sheetData sheetId="7274">
        <row r="4">
          <cell r="I4">
            <v>0</v>
          </cell>
        </row>
      </sheetData>
      <sheetData sheetId="7275">
        <row r="4">
          <cell r="I4">
            <v>0</v>
          </cell>
        </row>
      </sheetData>
      <sheetData sheetId="7276">
        <row r="4">
          <cell r="I4">
            <v>0</v>
          </cell>
        </row>
      </sheetData>
      <sheetData sheetId="7277">
        <row r="4">
          <cell r="I4">
            <v>0</v>
          </cell>
        </row>
      </sheetData>
      <sheetData sheetId="7278">
        <row r="4">
          <cell r="I4">
            <v>0</v>
          </cell>
        </row>
      </sheetData>
      <sheetData sheetId="7279">
        <row r="4">
          <cell r="I4">
            <v>0</v>
          </cell>
        </row>
      </sheetData>
      <sheetData sheetId="7280">
        <row r="4">
          <cell r="I4">
            <v>0</v>
          </cell>
        </row>
      </sheetData>
      <sheetData sheetId="7281">
        <row r="4">
          <cell r="I4">
            <v>0</v>
          </cell>
        </row>
      </sheetData>
      <sheetData sheetId="7282">
        <row r="4">
          <cell r="I4">
            <v>0</v>
          </cell>
        </row>
      </sheetData>
      <sheetData sheetId="7283">
        <row r="4">
          <cell r="I4">
            <v>0</v>
          </cell>
        </row>
      </sheetData>
      <sheetData sheetId="7284">
        <row r="4">
          <cell r="I4">
            <v>0</v>
          </cell>
        </row>
      </sheetData>
      <sheetData sheetId="7285">
        <row r="4">
          <cell r="I4">
            <v>0</v>
          </cell>
        </row>
      </sheetData>
      <sheetData sheetId="7286">
        <row r="4">
          <cell r="I4">
            <v>0</v>
          </cell>
        </row>
      </sheetData>
      <sheetData sheetId="7287">
        <row r="4">
          <cell r="I4">
            <v>0</v>
          </cell>
        </row>
      </sheetData>
      <sheetData sheetId="7288">
        <row r="4">
          <cell r="I4">
            <v>0</v>
          </cell>
        </row>
      </sheetData>
      <sheetData sheetId="7289">
        <row r="4">
          <cell r="I4">
            <v>0</v>
          </cell>
        </row>
      </sheetData>
      <sheetData sheetId="7290">
        <row r="4">
          <cell r="I4">
            <v>0</v>
          </cell>
        </row>
      </sheetData>
      <sheetData sheetId="7291">
        <row r="4">
          <cell r="I4">
            <v>0</v>
          </cell>
        </row>
      </sheetData>
      <sheetData sheetId="7292">
        <row r="4">
          <cell r="I4">
            <v>0</v>
          </cell>
        </row>
      </sheetData>
      <sheetData sheetId="7293">
        <row r="4">
          <cell r="I4">
            <v>0</v>
          </cell>
        </row>
      </sheetData>
      <sheetData sheetId="7294">
        <row r="4">
          <cell r="I4">
            <v>0</v>
          </cell>
        </row>
      </sheetData>
      <sheetData sheetId="7295">
        <row r="4">
          <cell r="I4">
            <v>0</v>
          </cell>
        </row>
      </sheetData>
      <sheetData sheetId="7296">
        <row r="4">
          <cell r="I4">
            <v>0</v>
          </cell>
        </row>
      </sheetData>
      <sheetData sheetId="7297">
        <row r="4">
          <cell r="I4">
            <v>0</v>
          </cell>
        </row>
      </sheetData>
      <sheetData sheetId="7298">
        <row r="4">
          <cell r="I4">
            <v>0</v>
          </cell>
        </row>
      </sheetData>
      <sheetData sheetId="7299">
        <row r="4">
          <cell r="I4">
            <v>0</v>
          </cell>
        </row>
      </sheetData>
      <sheetData sheetId="7300">
        <row r="4">
          <cell r="I4">
            <v>0</v>
          </cell>
        </row>
      </sheetData>
      <sheetData sheetId="7301">
        <row r="4">
          <cell r="I4">
            <v>0</v>
          </cell>
        </row>
      </sheetData>
      <sheetData sheetId="7302">
        <row r="4">
          <cell r="I4">
            <v>0</v>
          </cell>
        </row>
      </sheetData>
      <sheetData sheetId="7303">
        <row r="4">
          <cell r="I4">
            <v>0</v>
          </cell>
        </row>
      </sheetData>
      <sheetData sheetId="7304">
        <row r="4">
          <cell r="I4">
            <v>0</v>
          </cell>
        </row>
      </sheetData>
      <sheetData sheetId="7305">
        <row r="4">
          <cell r="I4">
            <v>0</v>
          </cell>
        </row>
      </sheetData>
      <sheetData sheetId="7306">
        <row r="4">
          <cell r="I4">
            <v>0</v>
          </cell>
        </row>
      </sheetData>
      <sheetData sheetId="7307">
        <row r="4">
          <cell r="I4">
            <v>0</v>
          </cell>
        </row>
      </sheetData>
      <sheetData sheetId="7308">
        <row r="4">
          <cell r="I4">
            <v>0</v>
          </cell>
        </row>
      </sheetData>
      <sheetData sheetId="7309">
        <row r="4">
          <cell r="I4">
            <v>0</v>
          </cell>
        </row>
      </sheetData>
      <sheetData sheetId="7310">
        <row r="4">
          <cell r="I4">
            <v>0</v>
          </cell>
        </row>
      </sheetData>
      <sheetData sheetId="7311">
        <row r="4">
          <cell r="I4">
            <v>0</v>
          </cell>
        </row>
      </sheetData>
      <sheetData sheetId="7312">
        <row r="4">
          <cell r="I4">
            <v>0</v>
          </cell>
        </row>
      </sheetData>
      <sheetData sheetId="7313">
        <row r="4">
          <cell r="I4">
            <v>0</v>
          </cell>
        </row>
      </sheetData>
      <sheetData sheetId="7314">
        <row r="4">
          <cell r="I4">
            <v>0</v>
          </cell>
        </row>
      </sheetData>
      <sheetData sheetId="7315">
        <row r="4">
          <cell r="I4">
            <v>0</v>
          </cell>
        </row>
      </sheetData>
      <sheetData sheetId="7316">
        <row r="4">
          <cell r="I4">
            <v>0</v>
          </cell>
        </row>
      </sheetData>
      <sheetData sheetId="7317">
        <row r="4">
          <cell r="I4">
            <v>0</v>
          </cell>
        </row>
      </sheetData>
      <sheetData sheetId="7318">
        <row r="4">
          <cell r="I4">
            <v>0</v>
          </cell>
        </row>
      </sheetData>
      <sheetData sheetId="7319">
        <row r="4">
          <cell r="I4">
            <v>0</v>
          </cell>
        </row>
      </sheetData>
      <sheetData sheetId="7320">
        <row r="4">
          <cell r="I4">
            <v>0</v>
          </cell>
        </row>
      </sheetData>
      <sheetData sheetId="7321">
        <row r="4">
          <cell r="I4">
            <v>0</v>
          </cell>
        </row>
      </sheetData>
      <sheetData sheetId="7322">
        <row r="4">
          <cell r="I4">
            <v>0</v>
          </cell>
        </row>
      </sheetData>
      <sheetData sheetId="7323">
        <row r="4">
          <cell r="I4">
            <v>0</v>
          </cell>
        </row>
      </sheetData>
      <sheetData sheetId="7324">
        <row r="4">
          <cell r="I4">
            <v>0</v>
          </cell>
        </row>
      </sheetData>
      <sheetData sheetId="7325">
        <row r="4">
          <cell r="I4">
            <v>0</v>
          </cell>
        </row>
      </sheetData>
      <sheetData sheetId="7326">
        <row r="4">
          <cell r="I4">
            <v>0</v>
          </cell>
        </row>
      </sheetData>
      <sheetData sheetId="7327">
        <row r="4">
          <cell r="I4">
            <v>0</v>
          </cell>
        </row>
      </sheetData>
      <sheetData sheetId="7328">
        <row r="4">
          <cell r="I4">
            <v>0</v>
          </cell>
        </row>
      </sheetData>
      <sheetData sheetId="7329">
        <row r="4">
          <cell r="I4">
            <v>0</v>
          </cell>
        </row>
      </sheetData>
      <sheetData sheetId="7330">
        <row r="4">
          <cell r="I4">
            <v>0</v>
          </cell>
        </row>
      </sheetData>
      <sheetData sheetId="7331">
        <row r="4">
          <cell r="I4">
            <v>0</v>
          </cell>
        </row>
      </sheetData>
      <sheetData sheetId="7332">
        <row r="4">
          <cell r="I4">
            <v>0</v>
          </cell>
        </row>
      </sheetData>
      <sheetData sheetId="7333">
        <row r="4">
          <cell r="I4">
            <v>0</v>
          </cell>
        </row>
      </sheetData>
      <sheetData sheetId="7334">
        <row r="4">
          <cell r="I4">
            <v>0</v>
          </cell>
        </row>
      </sheetData>
      <sheetData sheetId="7335">
        <row r="4">
          <cell r="I4">
            <v>0</v>
          </cell>
        </row>
      </sheetData>
      <sheetData sheetId="7336">
        <row r="4">
          <cell r="I4">
            <v>0</v>
          </cell>
        </row>
      </sheetData>
      <sheetData sheetId="7337">
        <row r="4">
          <cell r="I4">
            <v>0</v>
          </cell>
        </row>
      </sheetData>
      <sheetData sheetId="7338">
        <row r="4">
          <cell r="I4">
            <v>0</v>
          </cell>
        </row>
      </sheetData>
      <sheetData sheetId="7339">
        <row r="4">
          <cell r="I4">
            <v>0</v>
          </cell>
        </row>
      </sheetData>
      <sheetData sheetId="7340">
        <row r="4">
          <cell r="I4">
            <v>0</v>
          </cell>
        </row>
      </sheetData>
      <sheetData sheetId="7341">
        <row r="4">
          <cell r="I4">
            <v>0</v>
          </cell>
        </row>
      </sheetData>
      <sheetData sheetId="7342">
        <row r="4">
          <cell r="I4">
            <v>0</v>
          </cell>
        </row>
      </sheetData>
      <sheetData sheetId="7343">
        <row r="4">
          <cell r="I4">
            <v>0</v>
          </cell>
        </row>
      </sheetData>
      <sheetData sheetId="7344">
        <row r="4">
          <cell r="I4">
            <v>0</v>
          </cell>
        </row>
      </sheetData>
      <sheetData sheetId="7345">
        <row r="4">
          <cell r="I4">
            <v>0</v>
          </cell>
        </row>
      </sheetData>
      <sheetData sheetId="7346">
        <row r="4">
          <cell r="I4">
            <v>0</v>
          </cell>
        </row>
      </sheetData>
      <sheetData sheetId="7347">
        <row r="4">
          <cell r="I4">
            <v>0</v>
          </cell>
        </row>
      </sheetData>
      <sheetData sheetId="7348">
        <row r="4">
          <cell r="I4">
            <v>0</v>
          </cell>
        </row>
      </sheetData>
      <sheetData sheetId="7349">
        <row r="4">
          <cell r="I4">
            <v>0</v>
          </cell>
        </row>
      </sheetData>
      <sheetData sheetId="7350">
        <row r="4">
          <cell r="I4">
            <v>0</v>
          </cell>
        </row>
      </sheetData>
      <sheetData sheetId="7351">
        <row r="4">
          <cell r="I4">
            <v>0</v>
          </cell>
        </row>
      </sheetData>
      <sheetData sheetId="7352">
        <row r="4">
          <cell r="I4">
            <v>0</v>
          </cell>
        </row>
      </sheetData>
      <sheetData sheetId="7353">
        <row r="4">
          <cell r="I4">
            <v>0</v>
          </cell>
        </row>
      </sheetData>
      <sheetData sheetId="7354">
        <row r="4">
          <cell r="I4">
            <v>0</v>
          </cell>
        </row>
      </sheetData>
      <sheetData sheetId="7355">
        <row r="4">
          <cell r="I4">
            <v>0</v>
          </cell>
        </row>
      </sheetData>
      <sheetData sheetId="7356">
        <row r="4">
          <cell r="I4">
            <v>0</v>
          </cell>
        </row>
      </sheetData>
      <sheetData sheetId="7357">
        <row r="4">
          <cell r="I4">
            <v>0</v>
          </cell>
        </row>
      </sheetData>
      <sheetData sheetId="7358">
        <row r="4">
          <cell r="I4">
            <v>0</v>
          </cell>
        </row>
      </sheetData>
      <sheetData sheetId="7359">
        <row r="4">
          <cell r="I4">
            <v>0</v>
          </cell>
        </row>
      </sheetData>
      <sheetData sheetId="7360">
        <row r="4">
          <cell r="I4">
            <v>0</v>
          </cell>
        </row>
      </sheetData>
      <sheetData sheetId="7361">
        <row r="4">
          <cell r="I4">
            <v>0</v>
          </cell>
        </row>
      </sheetData>
      <sheetData sheetId="7362">
        <row r="4">
          <cell r="I4">
            <v>0</v>
          </cell>
        </row>
      </sheetData>
      <sheetData sheetId="7363">
        <row r="4">
          <cell r="I4">
            <v>0</v>
          </cell>
        </row>
      </sheetData>
      <sheetData sheetId="7364">
        <row r="4">
          <cell r="I4">
            <v>0</v>
          </cell>
        </row>
      </sheetData>
      <sheetData sheetId="7365">
        <row r="4">
          <cell r="I4">
            <v>0</v>
          </cell>
        </row>
      </sheetData>
      <sheetData sheetId="7366">
        <row r="4">
          <cell r="I4">
            <v>0</v>
          </cell>
        </row>
      </sheetData>
      <sheetData sheetId="7367">
        <row r="4">
          <cell r="I4">
            <v>0</v>
          </cell>
        </row>
      </sheetData>
      <sheetData sheetId="7368">
        <row r="4">
          <cell r="I4">
            <v>0</v>
          </cell>
        </row>
      </sheetData>
      <sheetData sheetId="7369">
        <row r="4">
          <cell r="I4">
            <v>0</v>
          </cell>
        </row>
      </sheetData>
      <sheetData sheetId="7370">
        <row r="4">
          <cell r="I4">
            <v>0</v>
          </cell>
        </row>
      </sheetData>
      <sheetData sheetId="7371">
        <row r="4">
          <cell r="I4">
            <v>0</v>
          </cell>
        </row>
      </sheetData>
      <sheetData sheetId="7372">
        <row r="4">
          <cell r="I4">
            <v>0</v>
          </cell>
        </row>
      </sheetData>
      <sheetData sheetId="7373">
        <row r="4">
          <cell r="I4">
            <v>0</v>
          </cell>
        </row>
      </sheetData>
      <sheetData sheetId="7374">
        <row r="4">
          <cell r="I4">
            <v>0</v>
          </cell>
        </row>
      </sheetData>
      <sheetData sheetId="7375">
        <row r="4">
          <cell r="I4">
            <v>0</v>
          </cell>
        </row>
      </sheetData>
      <sheetData sheetId="7376">
        <row r="4">
          <cell r="I4">
            <v>0</v>
          </cell>
        </row>
      </sheetData>
      <sheetData sheetId="7377">
        <row r="4">
          <cell r="I4">
            <v>0</v>
          </cell>
        </row>
      </sheetData>
      <sheetData sheetId="7378">
        <row r="4">
          <cell r="I4">
            <v>0</v>
          </cell>
        </row>
      </sheetData>
      <sheetData sheetId="7379">
        <row r="4">
          <cell r="I4">
            <v>0</v>
          </cell>
        </row>
      </sheetData>
      <sheetData sheetId="7380">
        <row r="4">
          <cell r="I4">
            <v>0</v>
          </cell>
        </row>
      </sheetData>
      <sheetData sheetId="7381">
        <row r="4">
          <cell r="I4">
            <v>0</v>
          </cell>
        </row>
      </sheetData>
      <sheetData sheetId="7382">
        <row r="4">
          <cell r="I4">
            <v>0</v>
          </cell>
        </row>
      </sheetData>
      <sheetData sheetId="7383">
        <row r="4">
          <cell r="I4">
            <v>0</v>
          </cell>
        </row>
      </sheetData>
      <sheetData sheetId="7384">
        <row r="4">
          <cell r="I4">
            <v>0</v>
          </cell>
        </row>
      </sheetData>
      <sheetData sheetId="7385">
        <row r="4">
          <cell r="I4">
            <v>0</v>
          </cell>
        </row>
      </sheetData>
      <sheetData sheetId="7386">
        <row r="4">
          <cell r="I4">
            <v>0</v>
          </cell>
        </row>
      </sheetData>
      <sheetData sheetId="7387">
        <row r="4">
          <cell r="I4">
            <v>0</v>
          </cell>
        </row>
      </sheetData>
      <sheetData sheetId="7388">
        <row r="4">
          <cell r="I4">
            <v>0</v>
          </cell>
        </row>
      </sheetData>
      <sheetData sheetId="7389">
        <row r="4">
          <cell r="I4">
            <v>0</v>
          </cell>
        </row>
      </sheetData>
      <sheetData sheetId="7390">
        <row r="4">
          <cell r="I4">
            <v>0</v>
          </cell>
        </row>
      </sheetData>
      <sheetData sheetId="7391">
        <row r="4">
          <cell r="I4">
            <v>0</v>
          </cell>
        </row>
      </sheetData>
      <sheetData sheetId="7392">
        <row r="4">
          <cell r="I4">
            <v>0</v>
          </cell>
        </row>
      </sheetData>
      <sheetData sheetId="7393">
        <row r="4">
          <cell r="I4">
            <v>0</v>
          </cell>
        </row>
      </sheetData>
      <sheetData sheetId="7394">
        <row r="4">
          <cell r="I4">
            <v>0</v>
          </cell>
        </row>
      </sheetData>
      <sheetData sheetId="7395">
        <row r="4">
          <cell r="I4">
            <v>0</v>
          </cell>
        </row>
      </sheetData>
      <sheetData sheetId="7396">
        <row r="4">
          <cell r="I4">
            <v>0</v>
          </cell>
        </row>
      </sheetData>
      <sheetData sheetId="7397">
        <row r="4">
          <cell r="I4">
            <v>0</v>
          </cell>
        </row>
      </sheetData>
      <sheetData sheetId="7398">
        <row r="4">
          <cell r="I4">
            <v>0</v>
          </cell>
        </row>
      </sheetData>
      <sheetData sheetId="7399">
        <row r="4">
          <cell r="I4">
            <v>0</v>
          </cell>
        </row>
      </sheetData>
      <sheetData sheetId="7400">
        <row r="4">
          <cell r="I4">
            <v>0</v>
          </cell>
        </row>
      </sheetData>
      <sheetData sheetId="7401">
        <row r="4">
          <cell r="I4">
            <v>0</v>
          </cell>
        </row>
      </sheetData>
      <sheetData sheetId="7402">
        <row r="4">
          <cell r="I4">
            <v>0</v>
          </cell>
        </row>
      </sheetData>
      <sheetData sheetId="7403">
        <row r="4">
          <cell r="I4">
            <v>0</v>
          </cell>
        </row>
      </sheetData>
      <sheetData sheetId="7404">
        <row r="4">
          <cell r="I4">
            <v>0</v>
          </cell>
        </row>
      </sheetData>
      <sheetData sheetId="7405">
        <row r="4">
          <cell r="I4">
            <v>0</v>
          </cell>
        </row>
      </sheetData>
      <sheetData sheetId="7406">
        <row r="4">
          <cell r="I4">
            <v>0</v>
          </cell>
        </row>
      </sheetData>
      <sheetData sheetId="7407">
        <row r="4">
          <cell r="I4">
            <v>0</v>
          </cell>
        </row>
      </sheetData>
      <sheetData sheetId="7408">
        <row r="4">
          <cell r="I4">
            <v>0</v>
          </cell>
        </row>
      </sheetData>
      <sheetData sheetId="7409">
        <row r="4">
          <cell r="I4">
            <v>0</v>
          </cell>
        </row>
      </sheetData>
      <sheetData sheetId="7410">
        <row r="4">
          <cell r="I4">
            <v>0</v>
          </cell>
        </row>
      </sheetData>
      <sheetData sheetId="7411">
        <row r="4">
          <cell r="I4">
            <v>0</v>
          </cell>
        </row>
      </sheetData>
      <sheetData sheetId="7412">
        <row r="4">
          <cell r="I4">
            <v>0</v>
          </cell>
        </row>
      </sheetData>
      <sheetData sheetId="7413">
        <row r="4">
          <cell r="I4">
            <v>0</v>
          </cell>
        </row>
      </sheetData>
      <sheetData sheetId="7414">
        <row r="4">
          <cell r="I4">
            <v>0</v>
          </cell>
        </row>
      </sheetData>
      <sheetData sheetId="7415">
        <row r="4">
          <cell r="I4">
            <v>0</v>
          </cell>
        </row>
      </sheetData>
      <sheetData sheetId="7416">
        <row r="4">
          <cell r="I4">
            <v>0</v>
          </cell>
        </row>
      </sheetData>
      <sheetData sheetId="7417">
        <row r="4">
          <cell r="I4">
            <v>0</v>
          </cell>
        </row>
      </sheetData>
      <sheetData sheetId="7418">
        <row r="4">
          <cell r="I4">
            <v>0</v>
          </cell>
        </row>
      </sheetData>
      <sheetData sheetId="7419">
        <row r="4">
          <cell r="I4">
            <v>0</v>
          </cell>
        </row>
      </sheetData>
      <sheetData sheetId="7420">
        <row r="4">
          <cell r="I4">
            <v>0</v>
          </cell>
        </row>
      </sheetData>
      <sheetData sheetId="7421">
        <row r="4">
          <cell r="I4">
            <v>0</v>
          </cell>
        </row>
      </sheetData>
      <sheetData sheetId="7422">
        <row r="4">
          <cell r="I4">
            <v>0</v>
          </cell>
        </row>
      </sheetData>
      <sheetData sheetId="7423">
        <row r="4">
          <cell r="I4">
            <v>0</v>
          </cell>
        </row>
      </sheetData>
      <sheetData sheetId="7424">
        <row r="4">
          <cell r="I4">
            <v>0</v>
          </cell>
        </row>
      </sheetData>
      <sheetData sheetId="7425">
        <row r="4">
          <cell r="I4">
            <v>0</v>
          </cell>
        </row>
      </sheetData>
      <sheetData sheetId="7426">
        <row r="4">
          <cell r="I4">
            <v>0</v>
          </cell>
        </row>
      </sheetData>
      <sheetData sheetId="7427">
        <row r="4">
          <cell r="I4">
            <v>0</v>
          </cell>
        </row>
      </sheetData>
      <sheetData sheetId="7428">
        <row r="4">
          <cell r="I4">
            <v>0</v>
          </cell>
        </row>
      </sheetData>
      <sheetData sheetId="7429">
        <row r="4">
          <cell r="I4">
            <v>0</v>
          </cell>
        </row>
      </sheetData>
      <sheetData sheetId="7430">
        <row r="4">
          <cell r="I4">
            <v>0</v>
          </cell>
        </row>
      </sheetData>
      <sheetData sheetId="7431">
        <row r="4">
          <cell r="I4">
            <v>0</v>
          </cell>
        </row>
      </sheetData>
      <sheetData sheetId="7432">
        <row r="4">
          <cell r="I4">
            <v>0</v>
          </cell>
        </row>
      </sheetData>
      <sheetData sheetId="7433">
        <row r="4">
          <cell r="I4">
            <v>0</v>
          </cell>
        </row>
      </sheetData>
      <sheetData sheetId="7434">
        <row r="4">
          <cell r="I4">
            <v>0</v>
          </cell>
        </row>
      </sheetData>
      <sheetData sheetId="7435">
        <row r="4">
          <cell r="I4">
            <v>0</v>
          </cell>
        </row>
      </sheetData>
      <sheetData sheetId="7436">
        <row r="4">
          <cell r="I4">
            <v>0</v>
          </cell>
        </row>
      </sheetData>
      <sheetData sheetId="7437">
        <row r="4">
          <cell r="I4">
            <v>0</v>
          </cell>
        </row>
      </sheetData>
      <sheetData sheetId="7438">
        <row r="4">
          <cell r="I4">
            <v>0</v>
          </cell>
        </row>
      </sheetData>
      <sheetData sheetId="7439">
        <row r="4">
          <cell r="I4">
            <v>0</v>
          </cell>
        </row>
      </sheetData>
      <sheetData sheetId="7440">
        <row r="4">
          <cell r="I4">
            <v>0</v>
          </cell>
        </row>
      </sheetData>
      <sheetData sheetId="7441">
        <row r="4">
          <cell r="I4">
            <v>0</v>
          </cell>
        </row>
      </sheetData>
      <sheetData sheetId="7442">
        <row r="4">
          <cell r="I4">
            <v>0</v>
          </cell>
        </row>
      </sheetData>
      <sheetData sheetId="7443">
        <row r="4">
          <cell r="I4">
            <v>0</v>
          </cell>
        </row>
      </sheetData>
      <sheetData sheetId="7444">
        <row r="4">
          <cell r="I4">
            <v>0</v>
          </cell>
        </row>
      </sheetData>
      <sheetData sheetId="7445">
        <row r="4">
          <cell r="I4">
            <v>0</v>
          </cell>
        </row>
      </sheetData>
      <sheetData sheetId="7446">
        <row r="4">
          <cell r="I4">
            <v>0</v>
          </cell>
        </row>
      </sheetData>
      <sheetData sheetId="7447">
        <row r="4">
          <cell r="I4">
            <v>0</v>
          </cell>
        </row>
      </sheetData>
      <sheetData sheetId="7448">
        <row r="4">
          <cell r="I4">
            <v>0</v>
          </cell>
        </row>
      </sheetData>
      <sheetData sheetId="7449">
        <row r="4">
          <cell r="I4">
            <v>0</v>
          </cell>
        </row>
      </sheetData>
      <sheetData sheetId="7450">
        <row r="4">
          <cell r="I4">
            <v>0</v>
          </cell>
        </row>
      </sheetData>
      <sheetData sheetId="7451">
        <row r="4">
          <cell r="I4">
            <v>0</v>
          </cell>
        </row>
      </sheetData>
      <sheetData sheetId="7452">
        <row r="4">
          <cell r="I4">
            <v>0</v>
          </cell>
        </row>
      </sheetData>
      <sheetData sheetId="7453">
        <row r="4">
          <cell r="I4">
            <v>0</v>
          </cell>
        </row>
      </sheetData>
      <sheetData sheetId="7454">
        <row r="4">
          <cell r="I4">
            <v>0</v>
          </cell>
        </row>
      </sheetData>
      <sheetData sheetId="7455">
        <row r="4">
          <cell r="I4">
            <v>0</v>
          </cell>
        </row>
      </sheetData>
      <sheetData sheetId="7456">
        <row r="4">
          <cell r="I4">
            <v>0</v>
          </cell>
        </row>
      </sheetData>
      <sheetData sheetId="7457">
        <row r="4">
          <cell r="I4">
            <v>0</v>
          </cell>
        </row>
      </sheetData>
      <sheetData sheetId="7458">
        <row r="4">
          <cell r="I4">
            <v>0</v>
          </cell>
        </row>
      </sheetData>
      <sheetData sheetId="7459">
        <row r="4">
          <cell r="I4">
            <v>0</v>
          </cell>
        </row>
      </sheetData>
      <sheetData sheetId="7460">
        <row r="4">
          <cell r="I4">
            <v>0</v>
          </cell>
        </row>
      </sheetData>
      <sheetData sheetId="7461">
        <row r="4">
          <cell r="I4">
            <v>0</v>
          </cell>
        </row>
      </sheetData>
      <sheetData sheetId="7462">
        <row r="4">
          <cell r="I4">
            <v>0</v>
          </cell>
        </row>
      </sheetData>
      <sheetData sheetId="7463">
        <row r="4">
          <cell r="I4">
            <v>0</v>
          </cell>
        </row>
      </sheetData>
      <sheetData sheetId="7464">
        <row r="4">
          <cell r="I4">
            <v>0</v>
          </cell>
        </row>
      </sheetData>
      <sheetData sheetId="7465">
        <row r="4">
          <cell r="I4">
            <v>0</v>
          </cell>
        </row>
      </sheetData>
      <sheetData sheetId="7466">
        <row r="4">
          <cell r="I4">
            <v>0</v>
          </cell>
        </row>
      </sheetData>
      <sheetData sheetId="7467">
        <row r="4">
          <cell r="I4">
            <v>0</v>
          </cell>
        </row>
      </sheetData>
      <sheetData sheetId="7468">
        <row r="4">
          <cell r="I4">
            <v>0</v>
          </cell>
        </row>
      </sheetData>
      <sheetData sheetId="7469">
        <row r="4">
          <cell r="I4">
            <v>0</v>
          </cell>
        </row>
      </sheetData>
      <sheetData sheetId="7470">
        <row r="4">
          <cell r="I4">
            <v>0</v>
          </cell>
        </row>
      </sheetData>
      <sheetData sheetId="7471">
        <row r="4">
          <cell r="I4">
            <v>0</v>
          </cell>
        </row>
      </sheetData>
      <sheetData sheetId="7472">
        <row r="4">
          <cell r="I4">
            <v>0</v>
          </cell>
        </row>
      </sheetData>
      <sheetData sheetId="7473">
        <row r="4">
          <cell r="I4">
            <v>0</v>
          </cell>
        </row>
      </sheetData>
      <sheetData sheetId="7474">
        <row r="4">
          <cell r="I4">
            <v>0</v>
          </cell>
        </row>
      </sheetData>
      <sheetData sheetId="7475">
        <row r="4">
          <cell r="I4">
            <v>0</v>
          </cell>
        </row>
      </sheetData>
      <sheetData sheetId="7476">
        <row r="4">
          <cell r="I4">
            <v>0</v>
          </cell>
        </row>
      </sheetData>
      <sheetData sheetId="7477">
        <row r="4">
          <cell r="I4">
            <v>0</v>
          </cell>
        </row>
      </sheetData>
      <sheetData sheetId="7478">
        <row r="4">
          <cell r="I4">
            <v>0</v>
          </cell>
        </row>
      </sheetData>
      <sheetData sheetId="7479">
        <row r="4">
          <cell r="I4">
            <v>0</v>
          </cell>
        </row>
      </sheetData>
      <sheetData sheetId="7480">
        <row r="4">
          <cell r="I4">
            <v>0</v>
          </cell>
        </row>
      </sheetData>
      <sheetData sheetId="7481">
        <row r="4">
          <cell r="I4">
            <v>0</v>
          </cell>
        </row>
      </sheetData>
      <sheetData sheetId="7482">
        <row r="4">
          <cell r="I4">
            <v>0</v>
          </cell>
        </row>
      </sheetData>
      <sheetData sheetId="7483">
        <row r="4">
          <cell r="I4">
            <v>0</v>
          </cell>
        </row>
      </sheetData>
      <sheetData sheetId="7484">
        <row r="4">
          <cell r="I4">
            <v>0</v>
          </cell>
        </row>
      </sheetData>
      <sheetData sheetId="7485">
        <row r="4">
          <cell r="I4">
            <v>0</v>
          </cell>
        </row>
      </sheetData>
      <sheetData sheetId="7486">
        <row r="4">
          <cell r="I4">
            <v>0</v>
          </cell>
        </row>
      </sheetData>
      <sheetData sheetId="7487">
        <row r="4">
          <cell r="I4">
            <v>0</v>
          </cell>
        </row>
      </sheetData>
      <sheetData sheetId="7488">
        <row r="4">
          <cell r="I4">
            <v>0</v>
          </cell>
        </row>
      </sheetData>
      <sheetData sheetId="7489">
        <row r="4">
          <cell r="I4">
            <v>0</v>
          </cell>
        </row>
      </sheetData>
      <sheetData sheetId="7490">
        <row r="4">
          <cell r="I4">
            <v>0</v>
          </cell>
        </row>
      </sheetData>
      <sheetData sheetId="7491">
        <row r="4">
          <cell r="I4">
            <v>0</v>
          </cell>
        </row>
      </sheetData>
      <sheetData sheetId="7492">
        <row r="4">
          <cell r="I4">
            <v>0</v>
          </cell>
        </row>
      </sheetData>
      <sheetData sheetId="7493">
        <row r="4">
          <cell r="I4">
            <v>0</v>
          </cell>
        </row>
      </sheetData>
      <sheetData sheetId="7494">
        <row r="4">
          <cell r="I4">
            <v>0</v>
          </cell>
        </row>
      </sheetData>
      <sheetData sheetId="7495">
        <row r="4">
          <cell r="I4">
            <v>0</v>
          </cell>
        </row>
      </sheetData>
      <sheetData sheetId="7496">
        <row r="4">
          <cell r="I4">
            <v>0</v>
          </cell>
        </row>
      </sheetData>
      <sheetData sheetId="7497">
        <row r="4">
          <cell r="I4">
            <v>0</v>
          </cell>
        </row>
      </sheetData>
      <sheetData sheetId="7498">
        <row r="4">
          <cell r="I4">
            <v>0</v>
          </cell>
        </row>
      </sheetData>
      <sheetData sheetId="7499">
        <row r="4">
          <cell r="I4">
            <v>0</v>
          </cell>
        </row>
      </sheetData>
      <sheetData sheetId="7500">
        <row r="4">
          <cell r="I4">
            <v>0</v>
          </cell>
        </row>
      </sheetData>
      <sheetData sheetId="7501">
        <row r="4">
          <cell r="I4">
            <v>0</v>
          </cell>
        </row>
      </sheetData>
      <sheetData sheetId="7502">
        <row r="4">
          <cell r="I4">
            <v>0</v>
          </cell>
        </row>
      </sheetData>
      <sheetData sheetId="7503">
        <row r="4">
          <cell r="I4">
            <v>0</v>
          </cell>
        </row>
      </sheetData>
      <sheetData sheetId="7504">
        <row r="4">
          <cell r="I4">
            <v>0</v>
          </cell>
        </row>
      </sheetData>
      <sheetData sheetId="7505">
        <row r="4">
          <cell r="I4">
            <v>0</v>
          </cell>
        </row>
      </sheetData>
      <sheetData sheetId="7506">
        <row r="4">
          <cell r="I4">
            <v>0</v>
          </cell>
        </row>
      </sheetData>
      <sheetData sheetId="7507">
        <row r="4">
          <cell r="I4">
            <v>0</v>
          </cell>
        </row>
      </sheetData>
      <sheetData sheetId="7508">
        <row r="4">
          <cell r="I4">
            <v>0</v>
          </cell>
        </row>
      </sheetData>
      <sheetData sheetId="7509">
        <row r="4">
          <cell r="I4">
            <v>0</v>
          </cell>
        </row>
      </sheetData>
      <sheetData sheetId="7510">
        <row r="4">
          <cell r="I4">
            <v>0</v>
          </cell>
        </row>
      </sheetData>
      <sheetData sheetId="7511">
        <row r="4">
          <cell r="I4">
            <v>0</v>
          </cell>
        </row>
      </sheetData>
      <sheetData sheetId="7512">
        <row r="4">
          <cell r="I4">
            <v>0</v>
          </cell>
        </row>
      </sheetData>
      <sheetData sheetId="7513">
        <row r="4">
          <cell r="I4">
            <v>0</v>
          </cell>
        </row>
      </sheetData>
      <sheetData sheetId="7514">
        <row r="4">
          <cell r="I4">
            <v>0</v>
          </cell>
        </row>
      </sheetData>
      <sheetData sheetId="7515">
        <row r="4">
          <cell r="I4">
            <v>0</v>
          </cell>
        </row>
      </sheetData>
      <sheetData sheetId="7516">
        <row r="4">
          <cell r="I4">
            <v>0</v>
          </cell>
        </row>
      </sheetData>
      <sheetData sheetId="7517">
        <row r="4">
          <cell r="I4">
            <v>0</v>
          </cell>
        </row>
      </sheetData>
      <sheetData sheetId="7518">
        <row r="4">
          <cell r="I4">
            <v>0</v>
          </cell>
        </row>
      </sheetData>
      <sheetData sheetId="7519">
        <row r="4">
          <cell r="I4">
            <v>0</v>
          </cell>
        </row>
      </sheetData>
      <sheetData sheetId="7520">
        <row r="4">
          <cell r="I4">
            <v>0</v>
          </cell>
        </row>
      </sheetData>
      <sheetData sheetId="7521">
        <row r="4">
          <cell r="I4">
            <v>0</v>
          </cell>
        </row>
      </sheetData>
      <sheetData sheetId="7522">
        <row r="4">
          <cell r="I4">
            <v>0</v>
          </cell>
        </row>
      </sheetData>
      <sheetData sheetId="7523">
        <row r="4">
          <cell r="I4">
            <v>0</v>
          </cell>
        </row>
      </sheetData>
      <sheetData sheetId="7524">
        <row r="4">
          <cell r="I4">
            <v>0</v>
          </cell>
        </row>
      </sheetData>
      <sheetData sheetId="7525">
        <row r="4">
          <cell r="I4">
            <v>0</v>
          </cell>
        </row>
      </sheetData>
      <sheetData sheetId="7526">
        <row r="4">
          <cell r="I4">
            <v>0</v>
          </cell>
        </row>
      </sheetData>
      <sheetData sheetId="7527">
        <row r="4">
          <cell r="I4">
            <v>0</v>
          </cell>
        </row>
      </sheetData>
      <sheetData sheetId="7528">
        <row r="4">
          <cell r="I4">
            <v>0</v>
          </cell>
        </row>
      </sheetData>
      <sheetData sheetId="7529">
        <row r="4">
          <cell r="I4">
            <v>0</v>
          </cell>
        </row>
      </sheetData>
      <sheetData sheetId="7530">
        <row r="4">
          <cell r="I4">
            <v>0</v>
          </cell>
        </row>
      </sheetData>
      <sheetData sheetId="7531">
        <row r="4">
          <cell r="I4">
            <v>0</v>
          </cell>
        </row>
      </sheetData>
      <sheetData sheetId="7532">
        <row r="4">
          <cell r="I4">
            <v>0</v>
          </cell>
        </row>
      </sheetData>
      <sheetData sheetId="7533">
        <row r="4">
          <cell r="I4">
            <v>0</v>
          </cell>
        </row>
      </sheetData>
      <sheetData sheetId="7534">
        <row r="4">
          <cell r="I4">
            <v>0</v>
          </cell>
        </row>
      </sheetData>
      <sheetData sheetId="7535">
        <row r="4">
          <cell r="I4">
            <v>0</v>
          </cell>
        </row>
      </sheetData>
      <sheetData sheetId="7536">
        <row r="4">
          <cell r="I4">
            <v>0</v>
          </cell>
        </row>
      </sheetData>
      <sheetData sheetId="7537">
        <row r="4">
          <cell r="I4">
            <v>0</v>
          </cell>
        </row>
      </sheetData>
      <sheetData sheetId="7538">
        <row r="4">
          <cell r="I4">
            <v>0</v>
          </cell>
        </row>
      </sheetData>
      <sheetData sheetId="7539">
        <row r="4">
          <cell r="I4">
            <v>0</v>
          </cell>
        </row>
      </sheetData>
      <sheetData sheetId="7540">
        <row r="4">
          <cell r="I4">
            <v>0</v>
          </cell>
        </row>
      </sheetData>
      <sheetData sheetId="7541">
        <row r="4">
          <cell r="I4">
            <v>0</v>
          </cell>
        </row>
      </sheetData>
      <sheetData sheetId="7542">
        <row r="4">
          <cell r="I4">
            <v>0</v>
          </cell>
        </row>
      </sheetData>
      <sheetData sheetId="7543">
        <row r="4">
          <cell r="I4">
            <v>0</v>
          </cell>
        </row>
      </sheetData>
      <sheetData sheetId="7544">
        <row r="4">
          <cell r="I4">
            <v>0</v>
          </cell>
        </row>
      </sheetData>
      <sheetData sheetId="7545">
        <row r="4">
          <cell r="I4">
            <v>0</v>
          </cell>
        </row>
      </sheetData>
      <sheetData sheetId="7546">
        <row r="4">
          <cell r="I4">
            <v>0</v>
          </cell>
        </row>
      </sheetData>
      <sheetData sheetId="7547">
        <row r="4">
          <cell r="I4">
            <v>0</v>
          </cell>
        </row>
      </sheetData>
      <sheetData sheetId="7548">
        <row r="4">
          <cell r="I4">
            <v>0</v>
          </cell>
        </row>
      </sheetData>
      <sheetData sheetId="7549">
        <row r="4">
          <cell r="I4">
            <v>0</v>
          </cell>
        </row>
      </sheetData>
      <sheetData sheetId="7550">
        <row r="4">
          <cell r="I4">
            <v>0</v>
          </cell>
        </row>
      </sheetData>
      <sheetData sheetId="7551">
        <row r="4">
          <cell r="I4">
            <v>0</v>
          </cell>
        </row>
      </sheetData>
      <sheetData sheetId="7552">
        <row r="4">
          <cell r="I4">
            <v>0</v>
          </cell>
        </row>
      </sheetData>
      <sheetData sheetId="7553">
        <row r="4">
          <cell r="I4">
            <v>0</v>
          </cell>
        </row>
      </sheetData>
      <sheetData sheetId="7554">
        <row r="4">
          <cell r="I4">
            <v>0</v>
          </cell>
        </row>
      </sheetData>
      <sheetData sheetId="7555">
        <row r="4">
          <cell r="I4">
            <v>0</v>
          </cell>
        </row>
      </sheetData>
      <sheetData sheetId="7556">
        <row r="4">
          <cell r="I4">
            <v>0</v>
          </cell>
        </row>
      </sheetData>
      <sheetData sheetId="7557">
        <row r="4">
          <cell r="I4">
            <v>0</v>
          </cell>
        </row>
      </sheetData>
      <sheetData sheetId="7558">
        <row r="4">
          <cell r="I4">
            <v>0</v>
          </cell>
        </row>
      </sheetData>
      <sheetData sheetId="7559">
        <row r="4">
          <cell r="I4">
            <v>0</v>
          </cell>
        </row>
      </sheetData>
      <sheetData sheetId="7560">
        <row r="4">
          <cell r="I4">
            <v>0</v>
          </cell>
        </row>
      </sheetData>
      <sheetData sheetId="7561">
        <row r="4">
          <cell r="I4">
            <v>0</v>
          </cell>
        </row>
      </sheetData>
      <sheetData sheetId="7562">
        <row r="4">
          <cell r="I4">
            <v>0</v>
          </cell>
        </row>
      </sheetData>
      <sheetData sheetId="7563">
        <row r="4">
          <cell r="I4">
            <v>0</v>
          </cell>
        </row>
      </sheetData>
      <sheetData sheetId="7564">
        <row r="4">
          <cell r="I4">
            <v>0</v>
          </cell>
        </row>
      </sheetData>
      <sheetData sheetId="7565">
        <row r="4">
          <cell r="I4">
            <v>0</v>
          </cell>
        </row>
      </sheetData>
      <sheetData sheetId="7566">
        <row r="4">
          <cell r="I4">
            <v>0</v>
          </cell>
        </row>
      </sheetData>
      <sheetData sheetId="7567">
        <row r="4">
          <cell r="I4">
            <v>0</v>
          </cell>
        </row>
      </sheetData>
      <sheetData sheetId="7568">
        <row r="4">
          <cell r="I4">
            <v>0</v>
          </cell>
        </row>
      </sheetData>
      <sheetData sheetId="7569">
        <row r="4">
          <cell r="I4">
            <v>0</v>
          </cell>
        </row>
      </sheetData>
      <sheetData sheetId="7570">
        <row r="4">
          <cell r="I4">
            <v>0</v>
          </cell>
        </row>
      </sheetData>
      <sheetData sheetId="7571">
        <row r="4">
          <cell r="I4">
            <v>0</v>
          </cell>
        </row>
      </sheetData>
      <sheetData sheetId="7572">
        <row r="4">
          <cell r="I4">
            <v>0</v>
          </cell>
        </row>
      </sheetData>
      <sheetData sheetId="7573">
        <row r="4">
          <cell r="I4">
            <v>0</v>
          </cell>
        </row>
      </sheetData>
      <sheetData sheetId="7574">
        <row r="4">
          <cell r="I4">
            <v>0</v>
          </cell>
        </row>
      </sheetData>
      <sheetData sheetId="7575">
        <row r="4">
          <cell r="I4">
            <v>0</v>
          </cell>
        </row>
      </sheetData>
      <sheetData sheetId="7576">
        <row r="4">
          <cell r="I4">
            <v>0</v>
          </cell>
        </row>
      </sheetData>
      <sheetData sheetId="7577">
        <row r="4">
          <cell r="I4">
            <v>0</v>
          </cell>
        </row>
      </sheetData>
      <sheetData sheetId="7578">
        <row r="4">
          <cell r="I4">
            <v>0</v>
          </cell>
        </row>
      </sheetData>
      <sheetData sheetId="7579">
        <row r="4">
          <cell r="I4">
            <v>0</v>
          </cell>
        </row>
      </sheetData>
      <sheetData sheetId="7580">
        <row r="4">
          <cell r="I4">
            <v>0</v>
          </cell>
        </row>
      </sheetData>
      <sheetData sheetId="7581">
        <row r="4">
          <cell r="I4">
            <v>0</v>
          </cell>
        </row>
      </sheetData>
      <sheetData sheetId="7582">
        <row r="4">
          <cell r="I4">
            <v>0</v>
          </cell>
        </row>
      </sheetData>
      <sheetData sheetId="7583">
        <row r="4">
          <cell r="I4">
            <v>0</v>
          </cell>
        </row>
      </sheetData>
      <sheetData sheetId="7584">
        <row r="4">
          <cell r="I4">
            <v>0</v>
          </cell>
        </row>
      </sheetData>
      <sheetData sheetId="7585">
        <row r="4">
          <cell r="I4">
            <v>0</v>
          </cell>
        </row>
      </sheetData>
      <sheetData sheetId="7586">
        <row r="4">
          <cell r="I4">
            <v>0</v>
          </cell>
        </row>
      </sheetData>
      <sheetData sheetId="7587">
        <row r="4">
          <cell r="I4">
            <v>0</v>
          </cell>
        </row>
      </sheetData>
      <sheetData sheetId="7588">
        <row r="4">
          <cell r="I4">
            <v>0</v>
          </cell>
        </row>
      </sheetData>
      <sheetData sheetId="7589">
        <row r="4">
          <cell r="I4">
            <v>0</v>
          </cell>
        </row>
      </sheetData>
      <sheetData sheetId="7590">
        <row r="4">
          <cell r="I4">
            <v>0</v>
          </cell>
        </row>
      </sheetData>
      <sheetData sheetId="7591">
        <row r="4">
          <cell r="I4">
            <v>0</v>
          </cell>
        </row>
      </sheetData>
      <sheetData sheetId="7592">
        <row r="4">
          <cell r="I4">
            <v>0</v>
          </cell>
        </row>
      </sheetData>
      <sheetData sheetId="7593">
        <row r="4">
          <cell r="I4">
            <v>0</v>
          </cell>
        </row>
      </sheetData>
      <sheetData sheetId="7594">
        <row r="4">
          <cell r="I4">
            <v>0</v>
          </cell>
        </row>
      </sheetData>
      <sheetData sheetId="7595">
        <row r="4">
          <cell r="I4">
            <v>0</v>
          </cell>
        </row>
      </sheetData>
      <sheetData sheetId="7596">
        <row r="4">
          <cell r="I4">
            <v>0</v>
          </cell>
        </row>
      </sheetData>
      <sheetData sheetId="7597">
        <row r="4">
          <cell r="I4">
            <v>0</v>
          </cell>
        </row>
      </sheetData>
      <sheetData sheetId="7598">
        <row r="4">
          <cell r="I4">
            <v>0</v>
          </cell>
        </row>
      </sheetData>
      <sheetData sheetId="7599">
        <row r="4">
          <cell r="I4">
            <v>0</v>
          </cell>
        </row>
      </sheetData>
      <sheetData sheetId="7600">
        <row r="4">
          <cell r="I4">
            <v>0</v>
          </cell>
        </row>
      </sheetData>
      <sheetData sheetId="7601">
        <row r="4">
          <cell r="I4">
            <v>0</v>
          </cell>
        </row>
      </sheetData>
      <sheetData sheetId="7602">
        <row r="4">
          <cell r="I4">
            <v>0</v>
          </cell>
        </row>
      </sheetData>
      <sheetData sheetId="7603">
        <row r="4">
          <cell r="I4">
            <v>0</v>
          </cell>
        </row>
      </sheetData>
      <sheetData sheetId="7604">
        <row r="4">
          <cell r="I4">
            <v>0</v>
          </cell>
        </row>
      </sheetData>
      <sheetData sheetId="7605">
        <row r="4">
          <cell r="I4">
            <v>0</v>
          </cell>
        </row>
      </sheetData>
      <sheetData sheetId="7606">
        <row r="4">
          <cell r="I4">
            <v>0</v>
          </cell>
        </row>
      </sheetData>
      <sheetData sheetId="7607">
        <row r="4">
          <cell r="I4">
            <v>0</v>
          </cell>
        </row>
      </sheetData>
      <sheetData sheetId="7608">
        <row r="4">
          <cell r="I4">
            <v>0</v>
          </cell>
        </row>
      </sheetData>
      <sheetData sheetId="7609">
        <row r="4">
          <cell r="I4">
            <v>0</v>
          </cell>
        </row>
      </sheetData>
      <sheetData sheetId="7610">
        <row r="4">
          <cell r="I4">
            <v>0</v>
          </cell>
        </row>
      </sheetData>
      <sheetData sheetId="7611">
        <row r="4">
          <cell r="I4">
            <v>0</v>
          </cell>
        </row>
      </sheetData>
      <sheetData sheetId="7612">
        <row r="4">
          <cell r="I4">
            <v>0</v>
          </cell>
        </row>
      </sheetData>
      <sheetData sheetId="7613">
        <row r="4">
          <cell r="I4">
            <v>0</v>
          </cell>
        </row>
      </sheetData>
      <sheetData sheetId="7614">
        <row r="4">
          <cell r="I4">
            <v>0</v>
          </cell>
        </row>
      </sheetData>
      <sheetData sheetId="7615">
        <row r="4">
          <cell r="I4">
            <v>0</v>
          </cell>
        </row>
      </sheetData>
      <sheetData sheetId="7616">
        <row r="4">
          <cell r="I4">
            <v>0</v>
          </cell>
        </row>
      </sheetData>
      <sheetData sheetId="7617">
        <row r="4">
          <cell r="I4">
            <v>0</v>
          </cell>
        </row>
      </sheetData>
      <sheetData sheetId="7618">
        <row r="4">
          <cell r="I4">
            <v>0</v>
          </cell>
        </row>
      </sheetData>
      <sheetData sheetId="7619">
        <row r="4">
          <cell r="I4">
            <v>0</v>
          </cell>
        </row>
      </sheetData>
      <sheetData sheetId="7620">
        <row r="4">
          <cell r="I4">
            <v>0</v>
          </cell>
        </row>
      </sheetData>
      <sheetData sheetId="7621">
        <row r="4">
          <cell r="I4">
            <v>0</v>
          </cell>
        </row>
      </sheetData>
      <sheetData sheetId="7622">
        <row r="4">
          <cell r="I4">
            <v>0</v>
          </cell>
        </row>
      </sheetData>
      <sheetData sheetId="7623">
        <row r="4">
          <cell r="I4">
            <v>0</v>
          </cell>
        </row>
      </sheetData>
      <sheetData sheetId="7624">
        <row r="4">
          <cell r="I4">
            <v>0</v>
          </cell>
        </row>
      </sheetData>
      <sheetData sheetId="7625">
        <row r="4">
          <cell r="I4">
            <v>0</v>
          </cell>
        </row>
      </sheetData>
      <sheetData sheetId="7626">
        <row r="4">
          <cell r="I4">
            <v>0</v>
          </cell>
        </row>
      </sheetData>
      <sheetData sheetId="7627">
        <row r="4">
          <cell r="I4">
            <v>0</v>
          </cell>
        </row>
      </sheetData>
      <sheetData sheetId="7628">
        <row r="4">
          <cell r="I4">
            <v>0</v>
          </cell>
        </row>
      </sheetData>
      <sheetData sheetId="7629">
        <row r="4">
          <cell r="I4">
            <v>0</v>
          </cell>
        </row>
      </sheetData>
      <sheetData sheetId="7630">
        <row r="4">
          <cell r="I4">
            <v>0</v>
          </cell>
        </row>
      </sheetData>
      <sheetData sheetId="7631">
        <row r="4">
          <cell r="I4">
            <v>0</v>
          </cell>
        </row>
      </sheetData>
      <sheetData sheetId="7632">
        <row r="4">
          <cell r="I4">
            <v>0</v>
          </cell>
        </row>
      </sheetData>
      <sheetData sheetId="7633">
        <row r="4">
          <cell r="I4">
            <v>0</v>
          </cell>
        </row>
      </sheetData>
      <sheetData sheetId="7634">
        <row r="4">
          <cell r="I4">
            <v>0</v>
          </cell>
        </row>
      </sheetData>
      <sheetData sheetId="7635">
        <row r="4">
          <cell r="I4">
            <v>0</v>
          </cell>
        </row>
      </sheetData>
      <sheetData sheetId="7636">
        <row r="4">
          <cell r="I4">
            <v>0</v>
          </cell>
        </row>
      </sheetData>
      <sheetData sheetId="7637">
        <row r="4">
          <cell r="I4">
            <v>0</v>
          </cell>
        </row>
      </sheetData>
      <sheetData sheetId="7638">
        <row r="4">
          <cell r="I4">
            <v>0</v>
          </cell>
        </row>
      </sheetData>
      <sheetData sheetId="7639">
        <row r="4">
          <cell r="I4">
            <v>0</v>
          </cell>
        </row>
      </sheetData>
      <sheetData sheetId="7640">
        <row r="4">
          <cell r="I4">
            <v>0</v>
          </cell>
        </row>
      </sheetData>
      <sheetData sheetId="7641">
        <row r="4">
          <cell r="I4">
            <v>0</v>
          </cell>
        </row>
      </sheetData>
      <sheetData sheetId="7642">
        <row r="4">
          <cell r="I4">
            <v>0</v>
          </cell>
        </row>
      </sheetData>
      <sheetData sheetId="7643">
        <row r="4">
          <cell r="I4">
            <v>0</v>
          </cell>
        </row>
      </sheetData>
      <sheetData sheetId="7644">
        <row r="4">
          <cell r="I4">
            <v>0</v>
          </cell>
        </row>
      </sheetData>
      <sheetData sheetId="7645">
        <row r="4">
          <cell r="I4">
            <v>0</v>
          </cell>
        </row>
      </sheetData>
      <sheetData sheetId="7646">
        <row r="4">
          <cell r="I4">
            <v>0</v>
          </cell>
        </row>
      </sheetData>
      <sheetData sheetId="7647">
        <row r="4">
          <cell r="I4">
            <v>0</v>
          </cell>
        </row>
      </sheetData>
      <sheetData sheetId="7648">
        <row r="4">
          <cell r="I4">
            <v>0</v>
          </cell>
        </row>
      </sheetData>
      <sheetData sheetId="7649">
        <row r="4">
          <cell r="I4">
            <v>0</v>
          </cell>
        </row>
      </sheetData>
      <sheetData sheetId="7650">
        <row r="4">
          <cell r="I4">
            <v>0</v>
          </cell>
        </row>
      </sheetData>
      <sheetData sheetId="7651">
        <row r="4">
          <cell r="I4">
            <v>0</v>
          </cell>
        </row>
      </sheetData>
      <sheetData sheetId="7652">
        <row r="4">
          <cell r="I4">
            <v>0</v>
          </cell>
        </row>
      </sheetData>
      <sheetData sheetId="7653">
        <row r="4">
          <cell r="I4">
            <v>0</v>
          </cell>
        </row>
      </sheetData>
      <sheetData sheetId="7654">
        <row r="4">
          <cell r="I4">
            <v>0</v>
          </cell>
        </row>
      </sheetData>
      <sheetData sheetId="7655">
        <row r="4">
          <cell r="I4">
            <v>0</v>
          </cell>
        </row>
      </sheetData>
      <sheetData sheetId="7656">
        <row r="4">
          <cell r="I4">
            <v>0</v>
          </cell>
        </row>
      </sheetData>
      <sheetData sheetId="7657">
        <row r="4">
          <cell r="I4">
            <v>0</v>
          </cell>
        </row>
      </sheetData>
      <sheetData sheetId="7658">
        <row r="4">
          <cell r="I4">
            <v>0</v>
          </cell>
        </row>
      </sheetData>
      <sheetData sheetId="7659">
        <row r="4">
          <cell r="I4">
            <v>0</v>
          </cell>
        </row>
      </sheetData>
      <sheetData sheetId="7660">
        <row r="4">
          <cell r="I4">
            <v>0</v>
          </cell>
        </row>
      </sheetData>
      <sheetData sheetId="7661">
        <row r="4">
          <cell r="I4">
            <v>0</v>
          </cell>
        </row>
      </sheetData>
      <sheetData sheetId="7662">
        <row r="4">
          <cell r="I4">
            <v>0</v>
          </cell>
        </row>
      </sheetData>
      <sheetData sheetId="7663">
        <row r="4">
          <cell r="I4">
            <v>0</v>
          </cell>
        </row>
      </sheetData>
      <sheetData sheetId="7664">
        <row r="4">
          <cell r="I4">
            <v>0</v>
          </cell>
        </row>
      </sheetData>
      <sheetData sheetId="7665">
        <row r="4">
          <cell r="I4">
            <v>0</v>
          </cell>
        </row>
      </sheetData>
      <sheetData sheetId="7666">
        <row r="4">
          <cell r="I4">
            <v>0</v>
          </cell>
        </row>
      </sheetData>
      <sheetData sheetId="7667">
        <row r="4">
          <cell r="I4">
            <v>0</v>
          </cell>
        </row>
      </sheetData>
      <sheetData sheetId="7668">
        <row r="4">
          <cell r="I4">
            <v>0</v>
          </cell>
        </row>
      </sheetData>
      <sheetData sheetId="7669">
        <row r="4">
          <cell r="I4">
            <v>0</v>
          </cell>
        </row>
      </sheetData>
      <sheetData sheetId="7670">
        <row r="4">
          <cell r="I4">
            <v>0</v>
          </cell>
        </row>
      </sheetData>
      <sheetData sheetId="7671">
        <row r="4">
          <cell r="I4">
            <v>0</v>
          </cell>
        </row>
      </sheetData>
      <sheetData sheetId="7672">
        <row r="4">
          <cell r="I4">
            <v>0</v>
          </cell>
        </row>
      </sheetData>
      <sheetData sheetId="7673">
        <row r="4">
          <cell r="I4">
            <v>0</v>
          </cell>
        </row>
      </sheetData>
      <sheetData sheetId="7674">
        <row r="4">
          <cell r="I4">
            <v>0</v>
          </cell>
        </row>
      </sheetData>
      <sheetData sheetId="7675">
        <row r="4">
          <cell r="I4">
            <v>0</v>
          </cell>
        </row>
      </sheetData>
      <sheetData sheetId="7676">
        <row r="4">
          <cell r="I4">
            <v>0</v>
          </cell>
        </row>
      </sheetData>
      <sheetData sheetId="7677">
        <row r="4">
          <cell r="I4">
            <v>0</v>
          </cell>
        </row>
      </sheetData>
      <sheetData sheetId="7678">
        <row r="4">
          <cell r="I4">
            <v>0</v>
          </cell>
        </row>
      </sheetData>
      <sheetData sheetId="7679">
        <row r="4">
          <cell r="I4">
            <v>0</v>
          </cell>
        </row>
      </sheetData>
      <sheetData sheetId="7680">
        <row r="4">
          <cell r="I4">
            <v>0</v>
          </cell>
        </row>
      </sheetData>
      <sheetData sheetId="7681">
        <row r="4">
          <cell r="I4">
            <v>0</v>
          </cell>
        </row>
      </sheetData>
      <sheetData sheetId="7682">
        <row r="4">
          <cell r="I4">
            <v>0</v>
          </cell>
        </row>
      </sheetData>
      <sheetData sheetId="7683">
        <row r="4">
          <cell r="I4">
            <v>0</v>
          </cell>
        </row>
      </sheetData>
      <sheetData sheetId="7684">
        <row r="4">
          <cell r="I4">
            <v>0</v>
          </cell>
        </row>
      </sheetData>
      <sheetData sheetId="7685">
        <row r="4">
          <cell r="I4">
            <v>0</v>
          </cell>
        </row>
      </sheetData>
      <sheetData sheetId="7686">
        <row r="4">
          <cell r="I4">
            <v>0</v>
          </cell>
        </row>
      </sheetData>
      <sheetData sheetId="7687">
        <row r="4">
          <cell r="I4">
            <v>0</v>
          </cell>
        </row>
      </sheetData>
      <sheetData sheetId="7688">
        <row r="4">
          <cell r="I4">
            <v>0</v>
          </cell>
        </row>
      </sheetData>
      <sheetData sheetId="7689">
        <row r="4">
          <cell r="I4">
            <v>0</v>
          </cell>
        </row>
      </sheetData>
      <sheetData sheetId="7690">
        <row r="4">
          <cell r="I4">
            <v>0</v>
          </cell>
        </row>
      </sheetData>
      <sheetData sheetId="7691">
        <row r="4">
          <cell r="I4">
            <v>0</v>
          </cell>
        </row>
      </sheetData>
      <sheetData sheetId="7692">
        <row r="4">
          <cell r="I4">
            <v>0</v>
          </cell>
        </row>
      </sheetData>
      <sheetData sheetId="7693">
        <row r="4">
          <cell r="I4">
            <v>0</v>
          </cell>
        </row>
      </sheetData>
      <sheetData sheetId="7694">
        <row r="4">
          <cell r="I4">
            <v>0</v>
          </cell>
        </row>
      </sheetData>
      <sheetData sheetId="7695">
        <row r="4">
          <cell r="I4">
            <v>0</v>
          </cell>
        </row>
      </sheetData>
      <sheetData sheetId="7696">
        <row r="4">
          <cell r="I4">
            <v>0</v>
          </cell>
        </row>
      </sheetData>
      <sheetData sheetId="7697">
        <row r="4">
          <cell r="I4">
            <v>0</v>
          </cell>
        </row>
      </sheetData>
      <sheetData sheetId="7698">
        <row r="4">
          <cell r="I4">
            <v>0</v>
          </cell>
        </row>
      </sheetData>
      <sheetData sheetId="7699">
        <row r="4">
          <cell r="I4">
            <v>0</v>
          </cell>
        </row>
      </sheetData>
      <sheetData sheetId="7700">
        <row r="4">
          <cell r="I4">
            <v>0</v>
          </cell>
        </row>
      </sheetData>
      <sheetData sheetId="7701">
        <row r="4">
          <cell r="I4">
            <v>0</v>
          </cell>
        </row>
      </sheetData>
      <sheetData sheetId="7702">
        <row r="4">
          <cell r="I4">
            <v>0</v>
          </cell>
        </row>
      </sheetData>
      <sheetData sheetId="7703">
        <row r="4">
          <cell r="I4">
            <v>0</v>
          </cell>
        </row>
      </sheetData>
      <sheetData sheetId="7704">
        <row r="4">
          <cell r="I4">
            <v>0</v>
          </cell>
        </row>
      </sheetData>
      <sheetData sheetId="7705">
        <row r="4">
          <cell r="I4">
            <v>0</v>
          </cell>
        </row>
      </sheetData>
      <sheetData sheetId="7706">
        <row r="4">
          <cell r="I4">
            <v>0</v>
          </cell>
        </row>
      </sheetData>
      <sheetData sheetId="7707">
        <row r="4">
          <cell r="I4">
            <v>0</v>
          </cell>
        </row>
      </sheetData>
      <sheetData sheetId="7708">
        <row r="4">
          <cell r="I4">
            <v>0</v>
          </cell>
        </row>
      </sheetData>
      <sheetData sheetId="7709">
        <row r="4">
          <cell r="I4">
            <v>0</v>
          </cell>
        </row>
      </sheetData>
      <sheetData sheetId="7710">
        <row r="4">
          <cell r="I4">
            <v>0</v>
          </cell>
        </row>
      </sheetData>
      <sheetData sheetId="7711">
        <row r="4">
          <cell r="I4">
            <v>0</v>
          </cell>
        </row>
      </sheetData>
      <sheetData sheetId="7712">
        <row r="4">
          <cell r="I4">
            <v>0</v>
          </cell>
        </row>
      </sheetData>
      <sheetData sheetId="7713">
        <row r="4">
          <cell r="I4">
            <v>0</v>
          </cell>
        </row>
      </sheetData>
      <sheetData sheetId="7714">
        <row r="4">
          <cell r="I4">
            <v>0</v>
          </cell>
        </row>
      </sheetData>
      <sheetData sheetId="7715">
        <row r="4">
          <cell r="I4">
            <v>0</v>
          </cell>
        </row>
      </sheetData>
      <sheetData sheetId="7716">
        <row r="4">
          <cell r="I4">
            <v>0</v>
          </cell>
        </row>
      </sheetData>
      <sheetData sheetId="7717">
        <row r="4">
          <cell r="I4">
            <v>0</v>
          </cell>
        </row>
      </sheetData>
      <sheetData sheetId="7718">
        <row r="4">
          <cell r="I4">
            <v>0</v>
          </cell>
        </row>
      </sheetData>
      <sheetData sheetId="7719">
        <row r="4">
          <cell r="I4">
            <v>0</v>
          </cell>
        </row>
      </sheetData>
      <sheetData sheetId="7720">
        <row r="4">
          <cell r="I4">
            <v>0</v>
          </cell>
        </row>
      </sheetData>
      <sheetData sheetId="7721">
        <row r="4">
          <cell r="I4">
            <v>0</v>
          </cell>
        </row>
      </sheetData>
      <sheetData sheetId="7722">
        <row r="4">
          <cell r="I4">
            <v>0</v>
          </cell>
        </row>
      </sheetData>
      <sheetData sheetId="7723">
        <row r="4">
          <cell r="I4">
            <v>0</v>
          </cell>
        </row>
      </sheetData>
      <sheetData sheetId="7724">
        <row r="4">
          <cell r="I4">
            <v>0</v>
          </cell>
        </row>
      </sheetData>
      <sheetData sheetId="7725">
        <row r="4">
          <cell r="I4">
            <v>0</v>
          </cell>
        </row>
      </sheetData>
      <sheetData sheetId="7726">
        <row r="4">
          <cell r="I4">
            <v>0</v>
          </cell>
        </row>
      </sheetData>
      <sheetData sheetId="7727">
        <row r="4">
          <cell r="I4">
            <v>0</v>
          </cell>
        </row>
      </sheetData>
      <sheetData sheetId="7728">
        <row r="4">
          <cell r="I4">
            <v>0</v>
          </cell>
        </row>
      </sheetData>
      <sheetData sheetId="7729">
        <row r="4">
          <cell r="I4">
            <v>0</v>
          </cell>
        </row>
      </sheetData>
      <sheetData sheetId="7730">
        <row r="4">
          <cell r="I4">
            <v>0</v>
          </cell>
        </row>
      </sheetData>
      <sheetData sheetId="7731">
        <row r="4">
          <cell r="I4">
            <v>0</v>
          </cell>
        </row>
      </sheetData>
      <sheetData sheetId="7732">
        <row r="4">
          <cell r="I4">
            <v>0</v>
          </cell>
        </row>
      </sheetData>
      <sheetData sheetId="7733">
        <row r="4">
          <cell r="I4">
            <v>0</v>
          </cell>
        </row>
      </sheetData>
      <sheetData sheetId="7734">
        <row r="4">
          <cell r="I4">
            <v>0</v>
          </cell>
        </row>
      </sheetData>
      <sheetData sheetId="7735">
        <row r="4">
          <cell r="I4">
            <v>0</v>
          </cell>
        </row>
      </sheetData>
      <sheetData sheetId="7736">
        <row r="4">
          <cell r="I4">
            <v>0</v>
          </cell>
        </row>
      </sheetData>
      <sheetData sheetId="7737">
        <row r="4">
          <cell r="I4">
            <v>0</v>
          </cell>
        </row>
      </sheetData>
      <sheetData sheetId="7738">
        <row r="4">
          <cell r="I4">
            <v>0</v>
          </cell>
        </row>
      </sheetData>
      <sheetData sheetId="7739">
        <row r="4">
          <cell r="I4">
            <v>0</v>
          </cell>
        </row>
      </sheetData>
      <sheetData sheetId="7740">
        <row r="4">
          <cell r="I4">
            <v>0</v>
          </cell>
        </row>
      </sheetData>
      <sheetData sheetId="7741">
        <row r="4">
          <cell r="I4">
            <v>0</v>
          </cell>
        </row>
      </sheetData>
      <sheetData sheetId="7742">
        <row r="4">
          <cell r="I4">
            <v>0</v>
          </cell>
        </row>
      </sheetData>
      <sheetData sheetId="7743">
        <row r="4">
          <cell r="I4">
            <v>0</v>
          </cell>
        </row>
      </sheetData>
      <sheetData sheetId="7744">
        <row r="4">
          <cell r="I4">
            <v>0</v>
          </cell>
        </row>
      </sheetData>
      <sheetData sheetId="7745">
        <row r="4">
          <cell r="I4">
            <v>0</v>
          </cell>
        </row>
      </sheetData>
      <sheetData sheetId="7746">
        <row r="4">
          <cell r="I4">
            <v>0</v>
          </cell>
        </row>
      </sheetData>
      <sheetData sheetId="7747">
        <row r="4">
          <cell r="I4">
            <v>0</v>
          </cell>
        </row>
      </sheetData>
      <sheetData sheetId="7748">
        <row r="4">
          <cell r="I4">
            <v>0</v>
          </cell>
        </row>
      </sheetData>
      <sheetData sheetId="7749">
        <row r="4">
          <cell r="I4">
            <v>0</v>
          </cell>
        </row>
      </sheetData>
      <sheetData sheetId="7750">
        <row r="4">
          <cell r="I4">
            <v>0</v>
          </cell>
        </row>
      </sheetData>
      <sheetData sheetId="7751">
        <row r="4">
          <cell r="I4">
            <v>0</v>
          </cell>
        </row>
      </sheetData>
      <sheetData sheetId="7752">
        <row r="4">
          <cell r="I4">
            <v>0</v>
          </cell>
        </row>
      </sheetData>
      <sheetData sheetId="7753">
        <row r="4">
          <cell r="I4">
            <v>0</v>
          </cell>
        </row>
      </sheetData>
      <sheetData sheetId="7754">
        <row r="4">
          <cell r="I4">
            <v>0</v>
          </cell>
        </row>
      </sheetData>
      <sheetData sheetId="7755">
        <row r="4">
          <cell r="I4">
            <v>0</v>
          </cell>
        </row>
      </sheetData>
      <sheetData sheetId="7756">
        <row r="4">
          <cell r="I4">
            <v>0</v>
          </cell>
        </row>
      </sheetData>
      <sheetData sheetId="7757">
        <row r="4">
          <cell r="I4">
            <v>0</v>
          </cell>
        </row>
      </sheetData>
      <sheetData sheetId="7758">
        <row r="4">
          <cell r="I4">
            <v>0</v>
          </cell>
        </row>
      </sheetData>
      <sheetData sheetId="7759">
        <row r="4">
          <cell r="I4">
            <v>0</v>
          </cell>
        </row>
      </sheetData>
      <sheetData sheetId="7760">
        <row r="4">
          <cell r="I4">
            <v>0</v>
          </cell>
        </row>
      </sheetData>
      <sheetData sheetId="7761">
        <row r="4">
          <cell r="I4">
            <v>0</v>
          </cell>
        </row>
      </sheetData>
      <sheetData sheetId="7762">
        <row r="4">
          <cell r="I4">
            <v>0</v>
          </cell>
        </row>
      </sheetData>
      <sheetData sheetId="7763">
        <row r="4">
          <cell r="I4">
            <v>0</v>
          </cell>
        </row>
      </sheetData>
      <sheetData sheetId="7764">
        <row r="4">
          <cell r="I4">
            <v>0</v>
          </cell>
        </row>
      </sheetData>
      <sheetData sheetId="7765">
        <row r="4">
          <cell r="I4">
            <v>0</v>
          </cell>
        </row>
      </sheetData>
      <sheetData sheetId="7766">
        <row r="4">
          <cell r="I4">
            <v>0</v>
          </cell>
        </row>
      </sheetData>
      <sheetData sheetId="7767">
        <row r="4">
          <cell r="I4">
            <v>0</v>
          </cell>
        </row>
      </sheetData>
      <sheetData sheetId="7768">
        <row r="4">
          <cell r="I4">
            <v>0</v>
          </cell>
        </row>
      </sheetData>
      <sheetData sheetId="7769">
        <row r="4">
          <cell r="I4">
            <v>0</v>
          </cell>
        </row>
      </sheetData>
      <sheetData sheetId="7770">
        <row r="4">
          <cell r="I4">
            <v>0</v>
          </cell>
        </row>
      </sheetData>
      <sheetData sheetId="7771">
        <row r="4">
          <cell r="I4">
            <v>0</v>
          </cell>
        </row>
      </sheetData>
      <sheetData sheetId="7772">
        <row r="4">
          <cell r="I4">
            <v>0</v>
          </cell>
        </row>
      </sheetData>
      <sheetData sheetId="7773">
        <row r="4">
          <cell r="I4">
            <v>0</v>
          </cell>
        </row>
      </sheetData>
      <sheetData sheetId="7774">
        <row r="4">
          <cell r="I4">
            <v>0</v>
          </cell>
        </row>
      </sheetData>
      <sheetData sheetId="7775">
        <row r="4">
          <cell r="I4">
            <v>0</v>
          </cell>
        </row>
      </sheetData>
      <sheetData sheetId="7776">
        <row r="4">
          <cell r="I4">
            <v>0</v>
          </cell>
        </row>
      </sheetData>
      <sheetData sheetId="7777">
        <row r="4">
          <cell r="I4">
            <v>0</v>
          </cell>
        </row>
      </sheetData>
      <sheetData sheetId="7778">
        <row r="4">
          <cell r="I4">
            <v>0</v>
          </cell>
        </row>
      </sheetData>
      <sheetData sheetId="7779">
        <row r="4">
          <cell r="I4">
            <v>0</v>
          </cell>
        </row>
      </sheetData>
      <sheetData sheetId="7780">
        <row r="4">
          <cell r="I4">
            <v>0</v>
          </cell>
        </row>
      </sheetData>
      <sheetData sheetId="7781">
        <row r="4">
          <cell r="I4">
            <v>0</v>
          </cell>
        </row>
      </sheetData>
      <sheetData sheetId="7782">
        <row r="4">
          <cell r="I4">
            <v>0</v>
          </cell>
        </row>
      </sheetData>
      <sheetData sheetId="7783">
        <row r="4">
          <cell r="I4">
            <v>0</v>
          </cell>
        </row>
      </sheetData>
      <sheetData sheetId="7784">
        <row r="4">
          <cell r="I4">
            <v>0</v>
          </cell>
        </row>
      </sheetData>
      <sheetData sheetId="7785">
        <row r="4">
          <cell r="I4">
            <v>0</v>
          </cell>
        </row>
      </sheetData>
      <sheetData sheetId="7786">
        <row r="4">
          <cell r="I4">
            <v>0</v>
          </cell>
        </row>
      </sheetData>
      <sheetData sheetId="7787">
        <row r="4">
          <cell r="I4">
            <v>0</v>
          </cell>
        </row>
      </sheetData>
      <sheetData sheetId="7788">
        <row r="4">
          <cell r="I4">
            <v>0</v>
          </cell>
        </row>
      </sheetData>
      <sheetData sheetId="7789">
        <row r="4">
          <cell r="I4">
            <v>0</v>
          </cell>
        </row>
      </sheetData>
      <sheetData sheetId="7790">
        <row r="4">
          <cell r="I4">
            <v>0</v>
          </cell>
        </row>
      </sheetData>
      <sheetData sheetId="7791">
        <row r="4">
          <cell r="I4">
            <v>0</v>
          </cell>
        </row>
      </sheetData>
      <sheetData sheetId="7792">
        <row r="4">
          <cell r="I4">
            <v>0</v>
          </cell>
        </row>
      </sheetData>
      <sheetData sheetId="7793">
        <row r="4">
          <cell r="I4">
            <v>0</v>
          </cell>
        </row>
      </sheetData>
      <sheetData sheetId="7794">
        <row r="4">
          <cell r="I4">
            <v>0</v>
          </cell>
        </row>
      </sheetData>
      <sheetData sheetId="7795">
        <row r="4">
          <cell r="I4">
            <v>0</v>
          </cell>
        </row>
      </sheetData>
      <sheetData sheetId="7796">
        <row r="4">
          <cell r="I4">
            <v>0</v>
          </cell>
        </row>
      </sheetData>
      <sheetData sheetId="7797">
        <row r="4">
          <cell r="I4">
            <v>0</v>
          </cell>
        </row>
      </sheetData>
      <sheetData sheetId="7798">
        <row r="4">
          <cell r="I4">
            <v>0</v>
          </cell>
        </row>
      </sheetData>
      <sheetData sheetId="7799">
        <row r="4">
          <cell r="I4">
            <v>0</v>
          </cell>
        </row>
      </sheetData>
      <sheetData sheetId="7800">
        <row r="4">
          <cell r="I4">
            <v>0</v>
          </cell>
        </row>
      </sheetData>
      <sheetData sheetId="7801">
        <row r="4">
          <cell r="I4">
            <v>0</v>
          </cell>
        </row>
      </sheetData>
      <sheetData sheetId="7802">
        <row r="4">
          <cell r="I4">
            <v>0</v>
          </cell>
        </row>
      </sheetData>
      <sheetData sheetId="7803">
        <row r="4">
          <cell r="I4">
            <v>0</v>
          </cell>
        </row>
      </sheetData>
      <sheetData sheetId="7804">
        <row r="4">
          <cell r="I4">
            <v>0</v>
          </cell>
        </row>
      </sheetData>
      <sheetData sheetId="7805">
        <row r="4">
          <cell r="I4">
            <v>0</v>
          </cell>
        </row>
      </sheetData>
      <sheetData sheetId="7806">
        <row r="4">
          <cell r="I4">
            <v>0</v>
          </cell>
        </row>
      </sheetData>
      <sheetData sheetId="7807">
        <row r="4">
          <cell r="I4">
            <v>0</v>
          </cell>
        </row>
      </sheetData>
      <sheetData sheetId="7808">
        <row r="4">
          <cell r="I4">
            <v>0</v>
          </cell>
        </row>
      </sheetData>
      <sheetData sheetId="7809">
        <row r="4">
          <cell r="I4">
            <v>0</v>
          </cell>
        </row>
      </sheetData>
      <sheetData sheetId="7810">
        <row r="4">
          <cell r="I4">
            <v>0</v>
          </cell>
        </row>
      </sheetData>
      <sheetData sheetId="7811">
        <row r="4">
          <cell r="I4">
            <v>0</v>
          </cell>
        </row>
      </sheetData>
      <sheetData sheetId="7812">
        <row r="4">
          <cell r="I4">
            <v>0</v>
          </cell>
        </row>
      </sheetData>
      <sheetData sheetId="7813">
        <row r="4">
          <cell r="I4">
            <v>0</v>
          </cell>
        </row>
      </sheetData>
      <sheetData sheetId="7814">
        <row r="4">
          <cell r="I4">
            <v>0</v>
          </cell>
        </row>
      </sheetData>
      <sheetData sheetId="7815">
        <row r="4">
          <cell r="I4">
            <v>0</v>
          </cell>
        </row>
      </sheetData>
      <sheetData sheetId="7816">
        <row r="4">
          <cell r="I4">
            <v>0</v>
          </cell>
        </row>
      </sheetData>
      <sheetData sheetId="7817">
        <row r="4">
          <cell r="I4">
            <v>0</v>
          </cell>
        </row>
      </sheetData>
      <sheetData sheetId="7818">
        <row r="4">
          <cell r="I4">
            <v>0</v>
          </cell>
        </row>
      </sheetData>
      <sheetData sheetId="7819">
        <row r="4">
          <cell r="I4">
            <v>0</v>
          </cell>
        </row>
      </sheetData>
      <sheetData sheetId="7820">
        <row r="4">
          <cell r="I4">
            <v>0</v>
          </cell>
        </row>
      </sheetData>
      <sheetData sheetId="7821">
        <row r="4">
          <cell r="I4">
            <v>0</v>
          </cell>
        </row>
      </sheetData>
      <sheetData sheetId="7822">
        <row r="4">
          <cell r="I4">
            <v>0</v>
          </cell>
        </row>
      </sheetData>
      <sheetData sheetId="7823">
        <row r="4">
          <cell r="I4">
            <v>0</v>
          </cell>
        </row>
      </sheetData>
      <sheetData sheetId="7824">
        <row r="4">
          <cell r="I4">
            <v>0</v>
          </cell>
        </row>
      </sheetData>
      <sheetData sheetId="7825">
        <row r="4">
          <cell r="I4">
            <v>0</v>
          </cell>
        </row>
      </sheetData>
      <sheetData sheetId="7826">
        <row r="4">
          <cell r="I4">
            <v>0</v>
          </cell>
        </row>
      </sheetData>
      <sheetData sheetId="7827">
        <row r="4">
          <cell r="I4">
            <v>0</v>
          </cell>
        </row>
      </sheetData>
      <sheetData sheetId="7828">
        <row r="4">
          <cell r="I4">
            <v>0</v>
          </cell>
        </row>
      </sheetData>
      <sheetData sheetId="7829">
        <row r="4">
          <cell r="I4">
            <v>0</v>
          </cell>
        </row>
      </sheetData>
      <sheetData sheetId="7830">
        <row r="4">
          <cell r="I4">
            <v>0</v>
          </cell>
        </row>
      </sheetData>
      <sheetData sheetId="7831">
        <row r="4">
          <cell r="I4">
            <v>0</v>
          </cell>
        </row>
      </sheetData>
      <sheetData sheetId="7832">
        <row r="4">
          <cell r="I4">
            <v>0</v>
          </cell>
        </row>
      </sheetData>
      <sheetData sheetId="7833">
        <row r="4">
          <cell r="I4">
            <v>0</v>
          </cell>
        </row>
      </sheetData>
      <sheetData sheetId="7834">
        <row r="4">
          <cell r="I4">
            <v>0</v>
          </cell>
        </row>
      </sheetData>
      <sheetData sheetId="7835">
        <row r="4">
          <cell r="I4">
            <v>0</v>
          </cell>
        </row>
      </sheetData>
      <sheetData sheetId="7836">
        <row r="4">
          <cell r="I4">
            <v>0</v>
          </cell>
        </row>
      </sheetData>
      <sheetData sheetId="7837">
        <row r="4">
          <cell r="I4">
            <v>0</v>
          </cell>
        </row>
      </sheetData>
      <sheetData sheetId="7838">
        <row r="4">
          <cell r="I4">
            <v>0</v>
          </cell>
        </row>
      </sheetData>
      <sheetData sheetId="7839">
        <row r="4">
          <cell r="I4">
            <v>0</v>
          </cell>
        </row>
      </sheetData>
      <sheetData sheetId="7840">
        <row r="4">
          <cell r="I4">
            <v>0</v>
          </cell>
        </row>
      </sheetData>
      <sheetData sheetId="7841">
        <row r="4">
          <cell r="I4">
            <v>0</v>
          </cell>
        </row>
      </sheetData>
      <sheetData sheetId="7842">
        <row r="4">
          <cell r="I4">
            <v>0</v>
          </cell>
        </row>
      </sheetData>
      <sheetData sheetId="7843">
        <row r="4">
          <cell r="I4">
            <v>0</v>
          </cell>
        </row>
      </sheetData>
      <sheetData sheetId="7844">
        <row r="4">
          <cell r="I4">
            <v>0</v>
          </cell>
        </row>
      </sheetData>
      <sheetData sheetId="7845">
        <row r="4">
          <cell r="I4">
            <v>0</v>
          </cell>
        </row>
      </sheetData>
      <sheetData sheetId="7846">
        <row r="4">
          <cell r="I4">
            <v>0</v>
          </cell>
        </row>
      </sheetData>
      <sheetData sheetId="7847">
        <row r="4">
          <cell r="I4">
            <v>0</v>
          </cell>
        </row>
      </sheetData>
      <sheetData sheetId="7848">
        <row r="4">
          <cell r="I4">
            <v>0</v>
          </cell>
        </row>
      </sheetData>
      <sheetData sheetId="7849">
        <row r="4">
          <cell r="I4">
            <v>0</v>
          </cell>
        </row>
      </sheetData>
      <sheetData sheetId="7850">
        <row r="4">
          <cell r="I4">
            <v>0</v>
          </cell>
        </row>
      </sheetData>
      <sheetData sheetId="7851">
        <row r="4">
          <cell r="I4">
            <v>0</v>
          </cell>
        </row>
      </sheetData>
      <sheetData sheetId="7852">
        <row r="4">
          <cell r="I4">
            <v>0</v>
          </cell>
        </row>
      </sheetData>
      <sheetData sheetId="7853">
        <row r="4">
          <cell r="I4">
            <v>0</v>
          </cell>
        </row>
      </sheetData>
      <sheetData sheetId="7854">
        <row r="4">
          <cell r="I4">
            <v>0</v>
          </cell>
        </row>
      </sheetData>
      <sheetData sheetId="7855">
        <row r="4">
          <cell r="I4">
            <v>0</v>
          </cell>
        </row>
      </sheetData>
      <sheetData sheetId="7856">
        <row r="4">
          <cell r="I4">
            <v>0</v>
          </cell>
        </row>
      </sheetData>
      <sheetData sheetId="7857">
        <row r="4">
          <cell r="I4">
            <v>0</v>
          </cell>
        </row>
      </sheetData>
      <sheetData sheetId="7858">
        <row r="4">
          <cell r="I4">
            <v>0</v>
          </cell>
        </row>
      </sheetData>
      <sheetData sheetId="7859">
        <row r="4">
          <cell r="I4">
            <v>0</v>
          </cell>
        </row>
      </sheetData>
      <sheetData sheetId="7860">
        <row r="4">
          <cell r="I4">
            <v>0</v>
          </cell>
        </row>
      </sheetData>
      <sheetData sheetId="7861">
        <row r="4">
          <cell r="I4">
            <v>0</v>
          </cell>
        </row>
      </sheetData>
      <sheetData sheetId="7862">
        <row r="4">
          <cell r="I4">
            <v>0</v>
          </cell>
        </row>
      </sheetData>
      <sheetData sheetId="7863">
        <row r="4">
          <cell r="I4">
            <v>0</v>
          </cell>
        </row>
      </sheetData>
      <sheetData sheetId="7864">
        <row r="4">
          <cell r="I4">
            <v>0</v>
          </cell>
        </row>
      </sheetData>
      <sheetData sheetId="7865">
        <row r="4">
          <cell r="I4">
            <v>0</v>
          </cell>
        </row>
      </sheetData>
      <sheetData sheetId="7866">
        <row r="4">
          <cell r="I4">
            <v>0</v>
          </cell>
        </row>
      </sheetData>
      <sheetData sheetId="7867">
        <row r="4">
          <cell r="I4">
            <v>0</v>
          </cell>
        </row>
      </sheetData>
      <sheetData sheetId="7868">
        <row r="4">
          <cell r="I4">
            <v>0</v>
          </cell>
        </row>
      </sheetData>
      <sheetData sheetId="7869">
        <row r="4">
          <cell r="I4">
            <v>0</v>
          </cell>
        </row>
      </sheetData>
      <sheetData sheetId="7870">
        <row r="4">
          <cell r="I4">
            <v>0</v>
          </cell>
        </row>
      </sheetData>
      <sheetData sheetId="7871">
        <row r="4">
          <cell r="I4">
            <v>0</v>
          </cell>
        </row>
      </sheetData>
      <sheetData sheetId="7872">
        <row r="4">
          <cell r="I4">
            <v>0</v>
          </cell>
        </row>
      </sheetData>
      <sheetData sheetId="7873">
        <row r="4">
          <cell r="I4">
            <v>0</v>
          </cell>
        </row>
      </sheetData>
      <sheetData sheetId="7874">
        <row r="4">
          <cell r="I4">
            <v>0</v>
          </cell>
        </row>
      </sheetData>
      <sheetData sheetId="7875">
        <row r="4">
          <cell r="I4">
            <v>0</v>
          </cell>
        </row>
      </sheetData>
      <sheetData sheetId="7876">
        <row r="4">
          <cell r="I4">
            <v>0</v>
          </cell>
        </row>
      </sheetData>
      <sheetData sheetId="7877">
        <row r="4">
          <cell r="I4">
            <v>0</v>
          </cell>
        </row>
      </sheetData>
      <sheetData sheetId="7878">
        <row r="4">
          <cell r="I4">
            <v>0</v>
          </cell>
        </row>
      </sheetData>
      <sheetData sheetId="7879">
        <row r="4">
          <cell r="I4">
            <v>0</v>
          </cell>
        </row>
      </sheetData>
      <sheetData sheetId="7880">
        <row r="4">
          <cell r="I4">
            <v>0</v>
          </cell>
        </row>
      </sheetData>
      <sheetData sheetId="7881">
        <row r="4">
          <cell r="I4">
            <v>0</v>
          </cell>
        </row>
      </sheetData>
      <sheetData sheetId="7882">
        <row r="4">
          <cell r="I4">
            <v>0</v>
          </cell>
        </row>
      </sheetData>
      <sheetData sheetId="7883">
        <row r="4">
          <cell r="I4">
            <v>0</v>
          </cell>
        </row>
      </sheetData>
      <sheetData sheetId="7884">
        <row r="4">
          <cell r="I4">
            <v>0</v>
          </cell>
        </row>
      </sheetData>
      <sheetData sheetId="7885">
        <row r="4">
          <cell r="I4">
            <v>0</v>
          </cell>
        </row>
      </sheetData>
      <sheetData sheetId="7886">
        <row r="4">
          <cell r="I4">
            <v>0</v>
          </cell>
        </row>
      </sheetData>
      <sheetData sheetId="7887">
        <row r="4">
          <cell r="I4">
            <v>0</v>
          </cell>
        </row>
      </sheetData>
      <sheetData sheetId="7888">
        <row r="4">
          <cell r="I4">
            <v>0</v>
          </cell>
        </row>
      </sheetData>
      <sheetData sheetId="7889">
        <row r="4">
          <cell r="I4">
            <v>0</v>
          </cell>
        </row>
      </sheetData>
      <sheetData sheetId="7890">
        <row r="4">
          <cell r="I4">
            <v>0</v>
          </cell>
        </row>
      </sheetData>
      <sheetData sheetId="7891">
        <row r="4">
          <cell r="I4">
            <v>0</v>
          </cell>
        </row>
      </sheetData>
      <sheetData sheetId="7892">
        <row r="4">
          <cell r="I4">
            <v>0</v>
          </cell>
        </row>
      </sheetData>
      <sheetData sheetId="7893">
        <row r="4">
          <cell r="I4">
            <v>0</v>
          </cell>
        </row>
      </sheetData>
      <sheetData sheetId="7894">
        <row r="4">
          <cell r="I4">
            <v>0</v>
          </cell>
        </row>
      </sheetData>
      <sheetData sheetId="7895">
        <row r="4">
          <cell r="I4">
            <v>0</v>
          </cell>
        </row>
      </sheetData>
      <sheetData sheetId="7896">
        <row r="4">
          <cell r="I4">
            <v>0</v>
          </cell>
        </row>
      </sheetData>
      <sheetData sheetId="7897">
        <row r="4">
          <cell r="I4">
            <v>0</v>
          </cell>
        </row>
      </sheetData>
      <sheetData sheetId="7898">
        <row r="4">
          <cell r="I4">
            <v>0</v>
          </cell>
        </row>
      </sheetData>
      <sheetData sheetId="7899">
        <row r="4">
          <cell r="I4">
            <v>0</v>
          </cell>
        </row>
      </sheetData>
      <sheetData sheetId="7900">
        <row r="4">
          <cell r="I4">
            <v>0</v>
          </cell>
        </row>
      </sheetData>
      <sheetData sheetId="7901">
        <row r="4">
          <cell r="I4">
            <v>0</v>
          </cell>
        </row>
      </sheetData>
      <sheetData sheetId="7902">
        <row r="4">
          <cell r="I4">
            <v>0</v>
          </cell>
        </row>
      </sheetData>
      <sheetData sheetId="7903">
        <row r="4">
          <cell r="I4">
            <v>0</v>
          </cell>
        </row>
      </sheetData>
      <sheetData sheetId="7904">
        <row r="4">
          <cell r="I4">
            <v>0</v>
          </cell>
        </row>
      </sheetData>
      <sheetData sheetId="7905">
        <row r="4">
          <cell r="I4">
            <v>0</v>
          </cell>
        </row>
      </sheetData>
      <sheetData sheetId="7906">
        <row r="4">
          <cell r="I4">
            <v>0</v>
          </cell>
        </row>
      </sheetData>
      <sheetData sheetId="7907">
        <row r="4">
          <cell r="I4">
            <v>0</v>
          </cell>
        </row>
      </sheetData>
      <sheetData sheetId="7908">
        <row r="4">
          <cell r="I4">
            <v>0</v>
          </cell>
        </row>
      </sheetData>
      <sheetData sheetId="7909">
        <row r="4">
          <cell r="I4">
            <v>0</v>
          </cell>
        </row>
      </sheetData>
      <sheetData sheetId="7910">
        <row r="4">
          <cell r="I4">
            <v>0</v>
          </cell>
        </row>
      </sheetData>
      <sheetData sheetId="7911">
        <row r="4">
          <cell r="I4">
            <v>0</v>
          </cell>
        </row>
      </sheetData>
      <sheetData sheetId="7912">
        <row r="4">
          <cell r="I4">
            <v>0</v>
          </cell>
        </row>
      </sheetData>
      <sheetData sheetId="7913">
        <row r="4">
          <cell r="I4">
            <v>0</v>
          </cell>
        </row>
      </sheetData>
      <sheetData sheetId="7914">
        <row r="4">
          <cell r="I4">
            <v>0</v>
          </cell>
        </row>
      </sheetData>
      <sheetData sheetId="7915">
        <row r="4">
          <cell r="I4">
            <v>0</v>
          </cell>
        </row>
      </sheetData>
      <sheetData sheetId="7916">
        <row r="4">
          <cell r="I4">
            <v>0</v>
          </cell>
        </row>
      </sheetData>
      <sheetData sheetId="7917">
        <row r="4">
          <cell r="I4">
            <v>0</v>
          </cell>
        </row>
      </sheetData>
      <sheetData sheetId="7918">
        <row r="4">
          <cell r="I4">
            <v>0</v>
          </cell>
        </row>
      </sheetData>
      <sheetData sheetId="7919">
        <row r="4">
          <cell r="I4">
            <v>0</v>
          </cell>
        </row>
      </sheetData>
      <sheetData sheetId="7920">
        <row r="4">
          <cell r="I4">
            <v>0</v>
          </cell>
        </row>
      </sheetData>
      <sheetData sheetId="7921">
        <row r="4">
          <cell r="I4">
            <v>0</v>
          </cell>
        </row>
      </sheetData>
      <sheetData sheetId="7922">
        <row r="4">
          <cell r="I4">
            <v>0</v>
          </cell>
        </row>
      </sheetData>
      <sheetData sheetId="7923">
        <row r="4">
          <cell r="I4">
            <v>0</v>
          </cell>
        </row>
      </sheetData>
      <sheetData sheetId="7924">
        <row r="4">
          <cell r="I4">
            <v>0</v>
          </cell>
        </row>
      </sheetData>
      <sheetData sheetId="7925">
        <row r="4">
          <cell r="I4">
            <v>0</v>
          </cell>
        </row>
      </sheetData>
      <sheetData sheetId="7926">
        <row r="4">
          <cell r="I4">
            <v>0</v>
          </cell>
        </row>
      </sheetData>
      <sheetData sheetId="7927">
        <row r="4">
          <cell r="I4">
            <v>0</v>
          </cell>
        </row>
      </sheetData>
      <sheetData sheetId="7928">
        <row r="4">
          <cell r="I4">
            <v>0</v>
          </cell>
        </row>
      </sheetData>
      <sheetData sheetId="7929">
        <row r="4">
          <cell r="I4">
            <v>0</v>
          </cell>
        </row>
      </sheetData>
      <sheetData sheetId="7930">
        <row r="4">
          <cell r="I4">
            <v>0</v>
          </cell>
        </row>
      </sheetData>
      <sheetData sheetId="7931">
        <row r="4">
          <cell r="I4">
            <v>0</v>
          </cell>
        </row>
      </sheetData>
      <sheetData sheetId="7932">
        <row r="4">
          <cell r="I4">
            <v>0</v>
          </cell>
        </row>
      </sheetData>
      <sheetData sheetId="7933">
        <row r="4">
          <cell r="I4">
            <v>0</v>
          </cell>
        </row>
      </sheetData>
      <sheetData sheetId="7934">
        <row r="4">
          <cell r="I4">
            <v>0</v>
          </cell>
        </row>
      </sheetData>
      <sheetData sheetId="7935">
        <row r="4">
          <cell r="I4">
            <v>0</v>
          </cell>
        </row>
      </sheetData>
      <sheetData sheetId="7936">
        <row r="4">
          <cell r="I4">
            <v>0</v>
          </cell>
        </row>
      </sheetData>
      <sheetData sheetId="7937">
        <row r="4">
          <cell r="I4">
            <v>0</v>
          </cell>
        </row>
      </sheetData>
      <sheetData sheetId="7938">
        <row r="4">
          <cell r="I4">
            <v>0</v>
          </cell>
        </row>
      </sheetData>
      <sheetData sheetId="7939">
        <row r="4">
          <cell r="I4">
            <v>0</v>
          </cell>
        </row>
      </sheetData>
      <sheetData sheetId="7940">
        <row r="4">
          <cell r="I4">
            <v>0</v>
          </cell>
        </row>
      </sheetData>
      <sheetData sheetId="7941">
        <row r="4">
          <cell r="I4">
            <v>0</v>
          </cell>
        </row>
      </sheetData>
      <sheetData sheetId="7942">
        <row r="4">
          <cell r="I4">
            <v>0</v>
          </cell>
        </row>
      </sheetData>
      <sheetData sheetId="7943">
        <row r="4">
          <cell r="I4">
            <v>0</v>
          </cell>
        </row>
      </sheetData>
      <sheetData sheetId="7944">
        <row r="4">
          <cell r="I4">
            <v>0</v>
          </cell>
        </row>
      </sheetData>
      <sheetData sheetId="7945">
        <row r="4">
          <cell r="I4">
            <v>0</v>
          </cell>
        </row>
      </sheetData>
      <sheetData sheetId="7946">
        <row r="4">
          <cell r="I4">
            <v>0</v>
          </cell>
        </row>
      </sheetData>
      <sheetData sheetId="7947">
        <row r="4">
          <cell r="I4">
            <v>0</v>
          </cell>
        </row>
      </sheetData>
      <sheetData sheetId="7948">
        <row r="4">
          <cell r="I4">
            <v>0</v>
          </cell>
        </row>
      </sheetData>
      <sheetData sheetId="7949">
        <row r="4">
          <cell r="I4">
            <v>0</v>
          </cell>
        </row>
      </sheetData>
      <sheetData sheetId="7950">
        <row r="4">
          <cell r="I4">
            <v>0</v>
          </cell>
        </row>
      </sheetData>
      <sheetData sheetId="7951">
        <row r="4">
          <cell r="I4">
            <v>0</v>
          </cell>
        </row>
      </sheetData>
      <sheetData sheetId="7952">
        <row r="4">
          <cell r="I4">
            <v>0</v>
          </cell>
        </row>
      </sheetData>
      <sheetData sheetId="7953">
        <row r="4">
          <cell r="I4">
            <v>0</v>
          </cell>
        </row>
      </sheetData>
      <sheetData sheetId="7954">
        <row r="4">
          <cell r="I4">
            <v>0</v>
          </cell>
        </row>
      </sheetData>
      <sheetData sheetId="7955">
        <row r="4">
          <cell r="I4">
            <v>0</v>
          </cell>
        </row>
      </sheetData>
      <sheetData sheetId="7956">
        <row r="4">
          <cell r="I4">
            <v>0</v>
          </cell>
        </row>
      </sheetData>
      <sheetData sheetId="7957">
        <row r="4">
          <cell r="I4">
            <v>0</v>
          </cell>
        </row>
      </sheetData>
      <sheetData sheetId="7958">
        <row r="4">
          <cell r="I4">
            <v>0</v>
          </cell>
        </row>
      </sheetData>
      <sheetData sheetId="7959">
        <row r="4">
          <cell r="I4">
            <v>0</v>
          </cell>
        </row>
      </sheetData>
      <sheetData sheetId="7960">
        <row r="4">
          <cell r="I4">
            <v>0</v>
          </cell>
        </row>
      </sheetData>
      <sheetData sheetId="7961">
        <row r="4">
          <cell r="I4">
            <v>0</v>
          </cell>
        </row>
      </sheetData>
      <sheetData sheetId="7962">
        <row r="4">
          <cell r="I4">
            <v>0</v>
          </cell>
        </row>
      </sheetData>
      <sheetData sheetId="7963">
        <row r="4">
          <cell r="I4">
            <v>0</v>
          </cell>
        </row>
      </sheetData>
      <sheetData sheetId="7964">
        <row r="4">
          <cell r="I4">
            <v>0</v>
          </cell>
        </row>
      </sheetData>
      <sheetData sheetId="7965">
        <row r="4">
          <cell r="I4">
            <v>0</v>
          </cell>
        </row>
      </sheetData>
      <sheetData sheetId="7966">
        <row r="4">
          <cell r="I4">
            <v>0</v>
          </cell>
        </row>
      </sheetData>
      <sheetData sheetId="7967">
        <row r="4">
          <cell r="I4">
            <v>0</v>
          </cell>
        </row>
      </sheetData>
      <sheetData sheetId="7968">
        <row r="4">
          <cell r="I4">
            <v>0</v>
          </cell>
        </row>
      </sheetData>
      <sheetData sheetId="7969">
        <row r="4">
          <cell r="I4">
            <v>0</v>
          </cell>
        </row>
      </sheetData>
      <sheetData sheetId="7970">
        <row r="4">
          <cell r="I4">
            <v>0</v>
          </cell>
        </row>
      </sheetData>
      <sheetData sheetId="7971">
        <row r="4">
          <cell r="I4">
            <v>0</v>
          </cell>
        </row>
      </sheetData>
      <sheetData sheetId="7972">
        <row r="4">
          <cell r="I4">
            <v>0</v>
          </cell>
        </row>
      </sheetData>
      <sheetData sheetId="7973">
        <row r="4">
          <cell r="I4">
            <v>0</v>
          </cell>
        </row>
      </sheetData>
      <sheetData sheetId="7974">
        <row r="4">
          <cell r="I4">
            <v>0</v>
          </cell>
        </row>
      </sheetData>
      <sheetData sheetId="7975">
        <row r="4">
          <cell r="I4">
            <v>0</v>
          </cell>
        </row>
      </sheetData>
      <sheetData sheetId="7976">
        <row r="4">
          <cell r="I4">
            <v>0</v>
          </cell>
        </row>
      </sheetData>
      <sheetData sheetId="7977">
        <row r="4">
          <cell r="I4">
            <v>0</v>
          </cell>
        </row>
      </sheetData>
      <sheetData sheetId="7978">
        <row r="4">
          <cell r="I4">
            <v>0</v>
          </cell>
        </row>
      </sheetData>
      <sheetData sheetId="7979">
        <row r="4">
          <cell r="I4">
            <v>0</v>
          </cell>
        </row>
      </sheetData>
      <sheetData sheetId="7980">
        <row r="4">
          <cell r="I4">
            <v>0</v>
          </cell>
        </row>
      </sheetData>
      <sheetData sheetId="7981">
        <row r="4">
          <cell r="I4">
            <v>0</v>
          </cell>
        </row>
      </sheetData>
      <sheetData sheetId="7982">
        <row r="4">
          <cell r="I4">
            <v>0</v>
          </cell>
        </row>
      </sheetData>
      <sheetData sheetId="7983">
        <row r="4">
          <cell r="I4">
            <v>0</v>
          </cell>
        </row>
      </sheetData>
      <sheetData sheetId="7984">
        <row r="4">
          <cell r="I4">
            <v>0</v>
          </cell>
        </row>
      </sheetData>
      <sheetData sheetId="7985">
        <row r="4">
          <cell r="I4">
            <v>0</v>
          </cell>
        </row>
      </sheetData>
      <sheetData sheetId="7986">
        <row r="4">
          <cell r="I4">
            <v>0</v>
          </cell>
        </row>
      </sheetData>
      <sheetData sheetId="7987">
        <row r="4">
          <cell r="I4">
            <v>0</v>
          </cell>
        </row>
      </sheetData>
      <sheetData sheetId="7988">
        <row r="4">
          <cell r="I4">
            <v>0</v>
          </cell>
        </row>
      </sheetData>
      <sheetData sheetId="7989">
        <row r="4">
          <cell r="I4">
            <v>0</v>
          </cell>
        </row>
      </sheetData>
      <sheetData sheetId="7990">
        <row r="4">
          <cell r="I4">
            <v>0</v>
          </cell>
        </row>
      </sheetData>
      <sheetData sheetId="7991">
        <row r="4">
          <cell r="I4">
            <v>0</v>
          </cell>
        </row>
      </sheetData>
      <sheetData sheetId="7992">
        <row r="4">
          <cell r="I4">
            <v>0</v>
          </cell>
        </row>
      </sheetData>
      <sheetData sheetId="7993">
        <row r="4">
          <cell r="I4">
            <v>0</v>
          </cell>
        </row>
      </sheetData>
      <sheetData sheetId="7994">
        <row r="4">
          <cell r="I4">
            <v>0</v>
          </cell>
        </row>
      </sheetData>
      <sheetData sheetId="7995">
        <row r="4">
          <cell r="I4">
            <v>0</v>
          </cell>
        </row>
      </sheetData>
      <sheetData sheetId="7996">
        <row r="4">
          <cell r="I4">
            <v>0</v>
          </cell>
        </row>
      </sheetData>
      <sheetData sheetId="7997">
        <row r="4">
          <cell r="I4">
            <v>0</v>
          </cell>
        </row>
      </sheetData>
      <sheetData sheetId="7998">
        <row r="4">
          <cell r="I4">
            <v>0</v>
          </cell>
        </row>
      </sheetData>
      <sheetData sheetId="7999">
        <row r="4">
          <cell r="I4">
            <v>0</v>
          </cell>
        </row>
      </sheetData>
      <sheetData sheetId="8000">
        <row r="4">
          <cell r="I4">
            <v>0</v>
          </cell>
        </row>
      </sheetData>
      <sheetData sheetId="8001">
        <row r="4">
          <cell r="I4">
            <v>0</v>
          </cell>
        </row>
      </sheetData>
      <sheetData sheetId="8002">
        <row r="4">
          <cell r="I4">
            <v>0</v>
          </cell>
        </row>
      </sheetData>
      <sheetData sheetId="8003">
        <row r="4">
          <cell r="I4">
            <v>0</v>
          </cell>
        </row>
      </sheetData>
      <sheetData sheetId="8004">
        <row r="4">
          <cell r="I4">
            <v>0</v>
          </cell>
        </row>
      </sheetData>
      <sheetData sheetId="8005">
        <row r="4">
          <cell r="I4">
            <v>0</v>
          </cell>
        </row>
      </sheetData>
      <sheetData sheetId="8006">
        <row r="4">
          <cell r="I4">
            <v>0</v>
          </cell>
        </row>
      </sheetData>
      <sheetData sheetId="8007">
        <row r="4">
          <cell r="I4">
            <v>0</v>
          </cell>
        </row>
      </sheetData>
      <sheetData sheetId="8008">
        <row r="4">
          <cell r="I4">
            <v>0</v>
          </cell>
        </row>
      </sheetData>
      <sheetData sheetId="8009">
        <row r="4">
          <cell r="I4">
            <v>0</v>
          </cell>
        </row>
      </sheetData>
      <sheetData sheetId="8010">
        <row r="4">
          <cell r="I4">
            <v>0</v>
          </cell>
        </row>
      </sheetData>
      <sheetData sheetId="8011">
        <row r="4">
          <cell r="I4">
            <v>0</v>
          </cell>
        </row>
      </sheetData>
      <sheetData sheetId="8012">
        <row r="4">
          <cell r="I4">
            <v>0</v>
          </cell>
        </row>
      </sheetData>
      <sheetData sheetId="8013">
        <row r="4">
          <cell r="I4">
            <v>0</v>
          </cell>
        </row>
      </sheetData>
      <sheetData sheetId="8014">
        <row r="4">
          <cell r="I4">
            <v>0</v>
          </cell>
        </row>
      </sheetData>
      <sheetData sheetId="8015">
        <row r="4">
          <cell r="I4">
            <v>0</v>
          </cell>
        </row>
      </sheetData>
      <sheetData sheetId="8016">
        <row r="4">
          <cell r="I4">
            <v>0</v>
          </cell>
        </row>
      </sheetData>
      <sheetData sheetId="8017">
        <row r="4">
          <cell r="I4">
            <v>0</v>
          </cell>
        </row>
      </sheetData>
      <sheetData sheetId="8018">
        <row r="4">
          <cell r="I4">
            <v>0</v>
          </cell>
        </row>
      </sheetData>
      <sheetData sheetId="8019">
        <row r="4">
          <cell r="I4">
            <v>0</v>
          </cell>
        </row>
      </sheetData>
      <sheetData sheetId="8020">
        <row r="4">
          <cell r="I4">
            <v>0</v>
          </cell>
        </row>
      </sheetData>
      <sheetData sheetId="8021">
        <row r="4">
          <cell r="I4">
            <v>0</v>
          </cell>
        </row>
      </sheetData>
      <sheetData sheetId="8022">
        <row r="4">
          <cell r="I4">
            <v>0</v>
          </cell>
        </row>
      </sheetData>
      <sheetData sheetId="8023">
        <row r="4">
          <cell r="I4">
            <v>0</v>
          </cell>
        </row>
      </sheetData>
      <sheetData sheetId="8024">
        <row r="4">
          <cell r="I4">
            <v>0</v>
          </cell>
        </row>
      </sheetData>
      <sheetData sheetId="8025">
        <row r="4">
          <cell r="I4">
            <v>0</v>
          </cell>
        </row>
      </sheetData>
      <sheetData sheetId="8026">
        <row r="4">
          <cell r="I4">
            <v>0</v>
          </cell>
        </row>
      </sheetData>
      <sheetData sheetId="8027">
        <row r="4">
          <cell r="I4">
            <v>0</v>
          </cell>
        </row>
      </sheetData>
      <sheetData sheetId="8028">
        <row r="4">
          <cell r="I4">
            <v>0</v>
          </cell>
        </row>
      </sheetData>
      <sheetData sheetId="8029">
        <row r="4">
          <cell r="I4">
            <v>0</v>
          </cell>
        </row>
      </sheetData>
      <sheetData sheetId="8030">
        <row r="4">
          <cell r="I4">
            <v>0</v>
          </cell>
        </row>
      </sheetData>
      <sheetData sheetId="8031">
        <row r="4">
          <cell r="I4">
            <v>0</v>
          </cell>
        </row>
      </sheetData>
      <sheetData sheetId="8032">
        <row r="4">
          <cell r="I4">
            <v>0</v>
          </cell>
        </row>
      </sheetData>
      <sheetData sheetId="8033">
        <row r="4">
          <cell r="I4">
            <v>0</v>
          </cell>
        </row>
      </sheetData>
      <sheetData sheetId="8034">
        <row r="4">
          <cell r="I4">
            <v>0</v>
          </cell>
        </row>
      </sheetData>
      <sheetData sheetId="8035">
        <row r="4">
          <cell r="I4">
            <v>0</v>
          </cell>
        </row>
      </sheetData>
      <sheetData sheetId="8036">
        <row r="4">
          <cell r="I4">
            <v>0</v>
          </cell>
        </row>
      </sheetData>
      <sheetData sheetId="8037">
        <row r="4">
          <cell r="I4">
            <v>0</v>
          </cell>
        </row>
      </sheetData>
      <sheetData sheetId="8038">
        <row r="4">
          <cell r="I4">
            <v>0</v>
          </cell>
        </row>
      </sheetData>
      <sheetData sheetId="8039">
        <row r="4">
          <cell r="I4">
            <v>0</v>
          </cell>
        </row>
      </sheetData>
      <sheetData sheetId="8040">
        <row r="4">
          <cell r="I4">
            <v>0</v>
          </cell>
        </row>
      </sheetData>
      <sheetData sheetId="8041">
        <row r="4">
          <cell r="I4">
            <v>0</v>
          </cell>
        </row>
      </sheetData>
      <sheetData sheetId="8042">
        <row r="4">
          <cell r="I4">
            <v>0</v>
          </cell>
        </row>
      </sheetData>
      <sheetData sheetId="8043">
        <row r="4">
          <cell r="I4">
            <v>0</v>
          </cell>
        </row>
      </sheetData>
      <sheetData sheetId="8044">
        <row r="4">
          <cell r="I4">
            <v>0</v>
          </cell>
        </row>
      </sheetData>
      <sheetData sheetId="8045">
        <row r="4">
          <cell r="I4">
            <v>0</v>
          </cell>
        </row>
      </sheetData>
      <sheetData sheetId="8046">
        <row r="4">
          <cell r="I4">
            <v>0</v>
          </cell>
        </row>
      </sheetData>
      <sheetData sheetId="8047">
        <row r="4">
          <cell r="I4">
            <v>0</v>
          </cell>
        </row>
      </sheetData>
      <sheetData sheetId="8048">
        <row r="4">
          <cell r="I4">
            <v>0</v>
          </cell>
        </row>
      </sheetData>
      <sheetData sheetId="8049">
        <row r="4">
          <cell r="I4">
            <v>0</v>
          </cell>
        </row>
      </sheetData>
      <sheetData sheetId="8050">
        <row r="4">
          <cell r="I4">
            <v>0</v>
          </cell>
        </row>
      </sheetData>
      <sheetData sheetId="8051">
        <row r="4">
          <cell r="I4">
            <v>0</v>
          </cell>
        </row>
      </sheetData>
      <sheetData sheetId="8052">
        <row r="4">
          <cell r="I4">
            <v>0</v>
          </cell>
        </row>
      </sheetData>
      <sheetData sheetId="8053">
        <row r="4">
          <cell r="I4">
            <v>0</v>
          </cell>
        </row>
      </sheetData>
      <sheetData sheetId="8054">
        <row r="4">
          <cell r="I4">
            <v>0</v>
          </cell>
        </row>
      </sheetData>
      <sheetData sheetId="8055">
        <row r="4">
          <cell r="I4">
            <v>0</v>
          </cell>
        </row>
      </sheetData>
      <sheetData sheetId="8056">
        <row r="4">
          <cell r="I4">
            <v>0</v>
          </cell>
        </row>
      </sheetData>
      <sheetData sheetId="8057">
        <row r="4">
          <cell r="I4">
            <v>0</v>
          </cell>
        </row>
      </sheetData>
      <sheetData sheetId="8058">
        <row r="4">
          <cell r="I4">
            <v>0</v>
          </cell>
        </row>
      </sheetData>
      <sheetData sheetId="8059">
        <row r="4">
          <cell r="I4">
            <v>0</v>
          </cell>
        </row>
      </sheetData>
      <sheetData sheetId="8060">
        <row r="4">
          <cell r="I4">
            <v>0</v>
          </cell>
        </row>
      </sheetData>
      <sheetData sheetId="8061">
        <row r="4">
          <cell r="I4">
            <v>0</v>
          </cell>
        </row>
      </sheetData>
      <sheetData sheetId="8062">
        <row r="4">
          <cell r="I4">
            <v>0</v>
          </cell>
        </row>
      </sheetData>
      <sheetData sheetId="8063">
        <row r="4">
          <cell r="I4">
            <v>0</v>
          </cell>
        </row>
      </sheetData>
      <sheetData sheetId="8064">
        <row r="4">
          <cell r="I4">
            <v>0</v>
          </cell>
        </row>
      </sheetData>
      <sheetData sheetId="8065">
        <row r="4">
          <cell r="I4">
            <v>0</v>
          </cell>
        </row>
      </sheetData>
      <sheetData sheetId="8066">
        <row r="4">
          <cell r="I4">
            <v>0</v>
          </cell>
        </row>
      </sheetData>
      <sheetData sheetId="8067">
        <row r="4">
          <cell r="I4">
            <v>0</v>
          </cell>
        </row>
      </sheetData>
      <sheetData sheetId="8068">
        <row r="4">
          <cell r="I4">
            <v>0</v>
          </cell>
        </row>
      </sheetData>
      <sheetData sheetId="8069">
        <row r="4">
          <cell r="I4">
            <v>0</v>
          </cell>
        </row>
      </sheetData>
      <sheetData sheetId="8070">
        <row r="4">
          <cell r="I4">
            <v>0</v>
          </cell>
        </row>
      </sheetData>
      <sheetData sheetId="8071">
        <row r="4">
          <cell r="I4">
            <v>0</v>
          </cell>
        </row>
      </sheetData>
      <sheetData sheetId="8072">
        <row r="4">
          <cell r="I4">
            <v>0</v>
          </cell>
        </row>
      </sheetData>
      <sheetData sheetId="8073">
        <row r="4">
          <cell r="I4">
            <v>0</v>
          </cell>
        </row>
      </sheetData>
      <sheetData sheetId="8074">
        <row r="4">
          <cell r="I4">
            <v>0</v>
          </cell>
        </row>
      </sheetData>
      <sheetData sheetId="8075">
        <row r="4">
          <cell r="I4">
            <v>0</v>
          </cell>
        </row>
      </sheetData>
      <sheetData sheetId="8076">
        <row r="4">
          <cell r="I4">
            <v>0</v>
          </cell>
        </row>
      </sheetData>
      <sheetData sheetId="8077">
        <row r="4">
          <cell r="I4">
            <v>0</v>
          </cell>
        </row>
      </sheetData>
      <sheetData sheetId="8078">
        <row r="4">
          <cell r="I4">
            <v>0</v>
          </cell>
        </row>
      </sheetData>
      <sheetData sheetId="8079">
        <row r="4">
          <cell r="I4">
            <v>0</v>
          </cell>
        </row>
      </sheetData>
      <sheetData sheetId="8080">
        <row r="4">
          <cell r="I4">
            <v>0</v>
          </cell>
        </row>
      </sheetData>
      <sheetData sheetId="8081">
        <row r="4">
          <cell r="I4">
            <v>0</v>
          </cell>
        </row>
      </sheetData>
      <sheetData sheetId="8082">
        <row r="4">
          <cell r="I4">
            <v>0</v>
          </cell>
        </row>
      </sheetData>
      <sheetData sheetId="8083">
        <row r="4">
          <cell r="I4">
            <v>0</v>
          </cell>
        </row>
      </sheetData>
      <sheetData sheetId="8084">
        <row r="4">
          <cell r="I4">
            <v>0</v>
          </cell>
        </row>
      </sheetData>
      <sheetData sheetId="8085">
        <row r="4">
          <cell r="I4">
            <v>0</v>
          </cell>
        </row>
      </sheetData>
      <sheetData sheetId="8086">
        <row r="4">
          <cell r="I4">
            <v>0</v>
          </cell>
        </row>
      </sheetData>
      <sheetData sheetId="8087">
        <row r="4">
          <cell r="I4">
            <v>0</v>
          </cell>
        </row>
      </sheetData>
      <sheetData sheetId="8088">
        <row r="4">
          <cell r="I4">
            <v>0</v>
          </cell>
        </row>
      </sheetData>
      <sheetData sheetId="8089">
        <row r="4">
          <cell r="I4">
            <v>0</v>
          </cell>
        </row>
      </sheetData>
      <sheetData sheetId="8090">
        <row r="4">
          <cell r="I4">
            <v>0</v>
          </cell>
        </row>
      </sheetData>
      <sheetData sheetId="8091">
        <row r="4">
          <cell r="I4">
            <v>0</v>
          </cell>
        </row>
      </sheetData>
      <sheetData sheetId="8092">
        <row r="4">
          <cell r="I4">
            <v>0</v>
          </cell>
        </row>
      </sheetData>
      <sheetData sheetId="8093">
        <row r="4">
          <cell r="I4">
            <v>0</v>
          </cell>
        </row>
      </sheetData>
      <sheetData sheetId="8094">
        <row r="4">
          <cell r="I4">
            <v>0</v>
          </cell>
        </row>
      </sheetData>
      <sheetData sheetId="8095">
        <row r="4">
          <cell r="I4">
            <v>0</v>
          </cell>
        </row>
      </sheetData>
      <sheetData sheetId="8096">
        <row r="4">
          <cell r="I4">
            <v>0</v>
          </cell>
        </row>
      </sheetData>
      <sheetData sheetId="8097">
        <row r="4">
          <cell r="I4">
            <v>0</v>
          </cell>
        </row>
      </sheetData>
      <sheetData sheetId="8098">
        <row r="4">
          <cell r="I4">
            <v>0</v>
          </cell>
        </row>
      </sheetData>
      <sheetData sheetId="8099">
        <row r="4">
          <cell r="I4">
            <v>0</v>
          </cell>
        </row>
      </sheetData>
      <sheetData sheetId="8100">
        <row r="4">
          <cell r="I4">
            <v>0</v>
          </cell>
        </row>
      </sheetData>
      <sheetData sheetId="8101">
        <row r="4">
          <cell r="I4">
            <v>0</v>
          </cell>
        </row>
      </sheetData>
      <sheetData sheetId="8102">
        <row r="4">
          <cell r="I4">
            <v>0</v>
          </cell>
        </row>
      </sheetData>
      <sheetData sheetId="8103">
        <row r="4">
          <cell r="I4">
            <v>0</v>
          </cell>
        </row>
      </sheetData>
      <sheetData sheetId="8104">
        <row r="4">
          <cell r="I4">
            <v>0</v>
          </cell>
        </row>
      </sheetData>
      <sheetData sheetId="8105">
        <row r="4">
          <cell r="I4">
            <v>0</v>
          </cell>
        </row>
      </sheetData>
      <sheetData sheetId="8106">
        <row r="4">
          <cell r="I4">
            <v>0</v>
          </cell>
        </row>
      </sheetData>
      <sheetData sheetId="8107">
        <row r="4">
          <cell r="I4">
            <v>0</v>
          </cell>
        </row>
      </sheetData>
      <sheetData sheetId="8108">
        <row r="4">
          <cell r="I4">
            <v>0</v>
          </cell>
        </row>
      </sheetData>
      <sheetData sheetId="8109">
        <row r="4">
          <cell r="I4">
            <v>0</v>
          </cell>
        </row>
      </sheetData>
      <sheetData sheetId="8110">
        <row r="4">
          <cell r="I4">
            <v>0</v>
          </cell>
        </row>
      </sheetData>
      <sheetData sheetId="8111">
        <row r="4">
          <cell r="I4">
            <v>0</v>
          </cell>
        </row>
      </sheetData>
      <sheetData sheetId="8112">
        <row r="4">
          <cell r="I4">
            <v>0</v>
          </cell>
        </row>
      </sheetData>
      <sheetData sheetId="8113">
        <row r="4">
          <cell r="I4">
            <v>0</v>
          </cell>
        </row>
      </sheetData>
      <sheetData sheetId="8114">
        <row r="4">
          <cell r="I4">
            <v>0</v>
          </cell>
        </row>
      </sheetData>
      <sheetData sheetId="8115">
        <row r="4">
          <cell r="I4">
            <v>0</v>
          </cell>
        </row>
      </sheetData>
      <sheetData sheetId="8116">
        <row r="4">
          <cell r="I4">
            <v>0</v>
          </cell>
        </row>
      </sheetData>
      <sheetData sheetId="8117">
        <row r="4">
          <cell r="I4">
            <v>0</v>
          </cell>
        </row>
      </sheetData>
      <sheetData sheetId="8118">
        <row r="4">
          <cell r="I4">
            <v>0</v>
          </cell>
        </row>
      </sheetData>
      <sheetData sheetId="8119">
        <row r="4">
          <cell r="I4">
            <v>0</v>
          </cell>
        </row>
      </sheetData>
      <sheetData sheetId="8120">
        <row r="4">
          <cell r="I4">
            <v>0</v>
          </cell>
        </row>
      </sheetData>
      <sheetData sheetId="8121">
        <row r="4">
          <cell r="I4">
            <v>0</v>
          </cell>
        </row>
      </sheetData>
      <sheetData sheetId="8122">
        <row r="4">
          <cell r="I4">
            <v>0</v>
          </cell>
        </row>
      </sheetData>
      <sheetData sheetId="8123">
        <row r="4">
          <cell r="I4">
            <v>0</v>
          </cell>
        </row>
      </sheetData>
      <sheetData sheetId="8124">
        <row r="4">
          <cell r="I4">
            <v>0</v>
          </cell>
        </row>
      </sheetData>
      <sheetData sheetId="8125">
        <row r="4">
          <cell r="I4">
            <v>0</v>
          </cell>
        </row>
      </sheetData>
      <sheetData sheetId="8126">
        <row r="4">
          <cell r="I4">
            <v>0</v>
          </cell>
        </row>
      </sheetData>
      <sheetData sheetId="8127">
        <row r="4">
          <cell r="I4">
            <v>0</v>
          </cell>
        </row>
      </sheetData>
      <sheetData sheetId="8128">
        <row r="4">
          <cell r="I4">
            <v>0</v>
          </cell>
        </row>
      </sheetData>
      <sheetData sheetId="8129">
        <row r="4">
          <cell r="I4">
            <v>0</v>
          </cell>
        </row>
      </sheetData>
      <sheetData sheetId="8130">
        <row r="4">
          <cell r="I4">
            <v>0</v>
          </cell>
        </row>
      </sheetData>
      <sheetData sheetId="8131">
        <row r="4">
          <cell r="I4">
            <v>0</v>
          </cell>
        </row>
      </sheetData>
      <sheetData sheetId="8132">
        <row r="4">
          <cell r="I4">
            <v>0</v>
          </cell>
        </row>
      </sheetData>
      <sheetData sheetId="8133">
        <row r="4">
          <cell r="I4">
            <v>0</v>
          </cell>
        </row>
      </sheetData>
      <sheetData sheetId="8134">
        <row r="4">
          <cell r="I4">
            <v>0</v>
          </cell>
        </row>
      </sheetData>
      <sheetData sheetId="8135">
        <row r="4">
          <cell r="I4">
            <v>0</v>
          </cell>
        </row>
      </sheetData>
      <sheetData sheetId="8136">
        <row r="4">
          <cell r="I4">
            <v>0</v>
          </cell>
        </row>
      </sheetData>
      <sheetData sheetId="8137">
        <row r="4">
          <cell r="I4">
            <v>0</v>
          </cell>
        </row>
      </sheetData>
      <sheetData sheetId="8138">
        <row r="4">
          <cell r="I4">
            <v>0</v>
          </cell>
        </row>
      </sheetData>
      <sheetData sheetId="8139">
        <row r="4">
          <cell r="I4">
            <v>0</v>
          </cell>
        </row>
      </sheetData>
      <sheetData sheetId="8140">
        <row r="4">
          <cell r="I4">
            <v>0</v>
          </cell>
        </row>
      </sheetData>
      <sheetData sheetId="8141">
        <row r="4">
          <cell r="I4">
            <v>0</v>
          </cell>
        </row>
      </sheetData>
      <sheetData sheetId="8142">
        <row r="4">
          <cell r="I4">
            <v>0</v>
          </cell>
        </row>
      </sheetData>
      <sheetData sheetId="8143">
        <row r="4">
          <cell r="I4">
            <v>0</v>
          </cell>
        </row>
      </sheetData>
      <sheetData sheetId="8144">
        <row r="4">
          <cell r="I4">
            <v>0</v>
          </cell>
        </row>
      </sheetData>
      <sheetData sheetId="8145">
        <row r="4">
          <cell r="I4">
            <v>0</v>
          </cell>
        </row>
      </sheetData>
      <sheetData sheetId="8146">
        <row r="4">
          <cell r="I4">
            <v>0</v>
          </cell>
        </row>
      </sheetData>
      <sheetData sheetId="8147">
        <row r="4">
          <cell r="I4">
            <v>0</v>
          </cell>
        </row>
      </sheetData>
      <sheetData sheetId="8148">
        <row r="4">
          <cell r="I4">
            <v>0</v>
          </cell>
        </row>
      </sheetData>
      <sheetData sheetId="8149">
        <row r="4">
          <cell r="I4">
            <v>0</v>
          </cell>
        </row>
      </sheetData>
      <sheetData sheetId="8150">
        <row r="4">
          <cell r="I4">
            <v>0</v>
          </cell>
        </row>
      </sheetData>
      <sheetData sheetId="8151">
        <row r="4">
          <cell r="I4">
            <v>0</v>
          </cell>
        </row>
      </sheetData>
      <sheetData sheetId="8152">
        <row r="4">
          <cell r="I4">
            <v>0</v>
          </cell>
        </row>
      </sheetData>
      <sheetData sheetId="8153">
        <row r="4">
          <cell r="I4">
            <v>0</v>
          </cell>
        </row>
      </sheetData>
      <sheetData sheetId="8154">
        <row r="4">
          <cell r="I4">
            <v>0</v>
          </cell>
        </row>
      </sheetData>
      <sheetData sheetId="8155">
        <row r="4">
          <cell r="I4">
            <v>0</v>
          </cell>
        </row>
      </sheetData>
      <sheetData sheetId="8156">
        <row r="4">
          <cell r="I4">
            <v>0</v>
          </cell>
        </row>
      </sheetData>
      <sheetData sheetId="8157">
        <row r="4">
          <cell r="I4">
            <v>0</v>
          </cell>
        </row>
      </sheetData>
      <sheetData sheetId="8158">
        <row r="4">
          <cell r="I4">
            <v>0</v>
          </cell>
        </row>
      </sheetData>
      <sheetData sheetId="8159">
        <row r="4">
          <cell r="I4">
            <v>0</v>
          </cell>
        </row>
      </sheetData>
      <sheetData sheetId="8160">
        <row r="4">
          <cell r="I4">
            <v>0</v>
          </cell>
        </row>
      </sheetData>
      <sheetData sheetId="8161">
        <row r="4">
          <cell r="I4">
            <v>0</v>
          </cell>
        </row>
      </sheetData>
      <sheetData sheetId="8162">
        <row r="4">
          <cell r="I4">
            <v>0</v>
          </cell>
        </row>
      </sheetData>
      <sheetData sheetId="8163">
        <row r="4">
          <cell r="I4">
            <v>0</v>
          </cell>
        </row>
      </sheetData>
      <sheetData sheetId="8164">
        <row r="4">
          <cell r="I4">
            <v>0</v>
          </cell>
        </row>
      </sheetData>
      <sheetData sheetId="8165">
        <row r="4">
          <cell r="I4">
            <v>0</v>
          </cell>
        </row>
      </sheetData>
      <sheetData sheetId="8166">
        <row r="4">
          <cell r="I4">
            <v>0</v>
          </cell>
        </row>
      </sheetData>
      <sheetData sheetId="8167">
        <row r="4">
          <cell r="I4">
            <v>0</v>
          </cell>
        </row>
      </sheetData>
      <sheetData sheetId="8168">
        <row r="4">
          <cell r="I4">
            <v>0</v>
          </cell>
        </row>
      </sheetData>
      <sheetData sheetId="8169">
        <row r="4">
          <cell r="I4">
            <v>0</v>
          </cell>
        </row>
      </sheetData>
      <sheetData sheetId="8170">
        <row r="4">
          <cell r="I4">
            <v>0</v>
          </cell>
        </row>
      </sheetData>
      <sheetData sheetId="8171">
        <row r="4">
          <cell r="I4">
            <v>0</v>
          </cell>
        </row>
      </sheetData>
      <sheetData sheetId="8172">
        <row r="4">
          <cell r="I4">
            <v>0</v>
          </cell>
        </row>
      </sheetData>
      <sheetData sheetId="8173">
        <row r="4">
          <cell r="I4">
            <v>0</v>
          </cell>
        </row>
      </sheetData>
      <sheetData sheetId="8174">
        <row r="4">
          <cell r="I4">
            <v>0</v>
          </cell>
        </row>
      </sheetData>
      <sheetData sheetId="8175">
        <row r="4">
          <cell r="I4">
            <v>0</v>
          </cell>
        </row>
      </sheetData>
      <sheetData sheetId="8176">
        <row r="4">
          <cell r="I4">
            <v>0</v>
          </cell>
        </row>
      </sheetData>
      <sheetData sheetId="8177">
        <row r="4">
          <cell r="I4">
            <v>0</v>
          </cell>
        </row>
      </sheetData>
      <sheetData sheetId="8178">
        <row r="4">
          <cell r="I4">
            <v>0</v>
          </cell>
        </row>
      </sheetData>
      <sheetData sheetId="8179">
        <row r="4">
          <cell r="I4">
            <v>0</v>
          </cell>
        </row>
      </sheetData>
      <sheetData sheetId="8180">
        <row r="4">
          <cell r="I4">
            <v>0</v>
          </cell>
        </row>
      </sheetData>
      <sheetData sheetId="8181">
        <row r="4">
          <cell r="I4">
            <v>0</v>
          </cell>
        </row>
      </sheetData>
      <sheetData sheetId="8182">
        <row r="4">
          <cell r="I4">
            <v>0</v>
          </cell>
        </row>
      </sheetData>
      <sheetData sheetId="8183">
        <row r="4">
          <cell r="I4">
            <v>0</v>
          </cell>
        </row>
      </sheetData>
      <sheetData sheetId="8184">
        <row r="4">
          <cell r="I4">
            <v>0</v>
          </cell>
        </row>
      </sheetData>
      <sheetData sheetId="8185">
        <row r="4">
          <cell r="I4">
            <v>0</v>
          </cell>
        </row>
      </sheetData>
      <sheetData sheetId="8186">
        <row r="4">
          <cell r="I4">
            <v>0</v>
          </cell>
        </row>
      </sheetData>
      <sheetData sheetId="8187">
        <row r="4">
          <cell r="I4">
            <v>0</v>
          </cell>
        </row>
      </sheetData>
      <sheetData sheetId="8188">
        <row r="4">
          <cell r="I4">
            <v>0</v>
          </cell>
        </row>
      </sheetData>
      <sheetData sheetId="8189">
        <row r="4">
          <cell r="I4">
            <v>0</v>
          </cell>
        </row>
      </sheetData>
      <sheetData sheetId="8190">
        <row r="4">
          <cell r="I4">
            <v>0</v>
          </cell>
        </row>
      </sheetData>
      <sheetData sheetId="8191">
        <row r="4">
          <cell r="I4">
            <v>0</v>
          </cell>
        </row>
      </sheetData>
      <sheetData sheetId="8192">
        <row r="4">
          <cell r="I4">
            <v>0</v>
          </cell>
        </row>
      </sheetData>
      <sheetData sheetId="8193">
        <row r="4">
          <cell r="I4">
            <v>0</v>
          </cell>
        </row>
      </sheetData>
      <sheetData sheetId="8194">
        <row r="4">
          <cell r="I4">
            <v>0</v>
          </cell>
        </row>
      </sheetData>
      <sheetData sheetId="8195">
        <row r="4">
          <cell r="I4">
            <v>0</v>
          </cell>
        </row>
      </sheetData>
      <sheetData sheetId="8196">
        <row r="4">
          <cell r="I4">
            <v>0</v>
          </cell>
        </row>
      </sheetData>
      <sheetData sheetId="8197">
        <row r="4">
          <cell r="I4">
            <v>0</v>
          </cell>
        </row>
      </sheetData>
      <sheetData sheetId="8198">
        <row r="4">
          <cell r="I4">
            <v>0</v>
          </cell>
        </row>
      </sheetData>
      <sheetData sheetId="8199">
        <row r="4">
          <cell r="I4">
            <v>0</v>
          </cell>
        </row>
      </sheetData>
      <sheetData sheetId="8200">
        <row r="4">
          <cell r="I4">
            <v>0</v>
          </cell>
        </row>
      </sheetData>
      <sheetData sheetId="8201">
        <row r="4">
          <cell r="I4">
            <v>0</v>
          </cell>
        </row>
      </sheetData>
      <sheetData sheetId="8202">
        <row r="4">
          <cell r="I4">
            <v>0</v>
          </cell>
        </row>
      </sheetData>
      <sheetData sheetId="8203">
        <row r="4">
          <cell r="I4">
            <v>0</v>
          </cell>
        </row>
      </sheetData>
      <sheetData sheetId="8204">
        <row r="4">
          <cell r="I4">
            <v>0</v>
          </cell>
        </row>
      </sheetData>
      <sheetData sheetId="8205">
        <row r="4">
          <cell r="I4">
            <v>0</v>
          </cell>
        </row>
      </sheetData>
      <sheetData sheetId="8206">
        <row r="4">
          <cell r="I4">
            <v>0</v>
          </cell>
        </row>
      </sheetData>
      <sheetData sheetId="8207">
        <row r="4">
          <cell r="I4">
            <v>0</v>
          </cell>
        </row>
      </sheetData>
      <sheetData sheetId="8208">
        <row r="4">
          <cell r="I4">
            <v>0</v>
          </cell>
        </row>
      </sheetData>
      <sheetData sheetId="8209">
        <row r="4">
          <cell r="I4">
            <v>0</v>
          </cell>
        </row>
      </sheetData>
      <sheetData sheetId="8210">
        <row r="4">
          <cell r="I4">
            <v>0</v>
          </cell>
        </row>
      </sheetData>
      <sheetData sheetId="8211">
        <row r="4">
          <cell r="I4">
            <v>0</v>
          </cell>
        </row>
      </sheetData>
      <sheetData sheetId="8212">
        <row r="4">
          <cell r="I4">
            <v>0</v>
          </cell>
        </row>
      </sheetData>
      <sheetData sheetId="8213">
        <row r="4">
          <cell r="I4">
            <v>0</v>
          </cell>
        </row>
      </sheetData>
      <sheetData sheetId="8214">
        <row r="4">
          <cell r="I4">
            <v>0</v>
          </cell>
        </row>
      </sheetData>
      <sheetData sheetId="8215">
        <row r="4">
          <cell r="I4">
            <v>0</v>
          </cell>
        </row>
      </sheetData>
      <sheetData sheetId="8216">
        <row r="4">
          <cell r="I4">
            <v>0</v>
          </cell>
        </row>
      </sheetData>
      <sheetData sheetId="8217">
        <row r="4">
          <cell r="I4">
            <v>0</v>
          </cell>
        </row>
      </sheetData>
      <sheetData sheetId="8218">
        <row r="4">
          <cell r="I4">
            <v>0</v>
          </cell>
        </row>
      </sheetData>
      <sheetData sheetId="8219">
        <row r="4">
          <cell r="I4">
            <v>0</v>
          </cell>
        </row>
      </sheetData>
      <sheetData sheetId="8220">
        <row r="4">
          <cell r="I4">
            <v>0</v>
          </cell>
        </row>
      </sheetData>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ow r="4">
          <cell r="I4">
            <v>0</v>
          </cell>
        </row>
      </sheetData>
      <sheetData sheetId="8271">
        <row r="4">
          <cell r="I4">
            <v>0</v>
          </cell>
        </row>
      </sheetData>
      <sheetData sheetId="8272">
        <row r="4">
          <cell r="I4">
            <v>0</v>
          </cell>
        </row>
      </sheetData>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ow r="4">
          <cell r="I4">
            <v>0</v>
          </cell>
        </row>
      </sheetData>
      <sheetData sheetId="8310">
        <row r="4">
          <cell r="I4">
            <v>0</v>
          </cell>
        </row>
      </sheetData>
      <sheetData sheetId="8311">
        <row r="4">
          <cell r="I4">
            <v>0</v>
          </cell>
        </row>
      </sheetData>
      <sheetData sheetId="8312">
        <row r="4">
          <cell r="I4">
            <v>0</v>
          </cell>
        </row>
      </sheetData>
      <sheetData sheetId="8313">
        <row r="4">
          <cell r="I4">
            <v>0</v>
          </cell>
        </row>
      </sheetData>
      <sheetData sheetId="8314">
        <row r="4">
          <cell r="I4">
            <v>0</v>
          </cell>
        </row>
      </sheetData>
      <sheetData sheetId="8315">
        <row r="4">
          <cell r="I4">
            <v>0</v>
          </cell>
        </row>
      </sheetData>
      <sheetData sheetId="8316">
        <row r="4">
          <cell r="I4">
            <v>0</v>
          </cell>
        </row>
      </sheetData>
      <sheetData sheetId="8317">
        <row r="4">
          <cell r="I4">
            <v>0</v>
          </cell>
        </row>
      </sheetData>
      <sheetData sheetId="8318">
        <row r="4">
          <cell r="I4">
            <v>0</v>
          </cell>
        </row>
      </sheetData>
      <sheetData sheetId="8319">
        <row r="4">
          <cell r="I4">
            <v>0</v>
          </cell>
        </row>
      </sheetData>
      <sheetData sheetId="8320">
        <row r="4">
          <cell r="I4">
            <v>0</v>
          </cell>
        </row>
      </sheetData>
      <sheetData sheetId="8321">
        <row r="4">
          <cell r="I4">
            <v>0</v>
          </cell>
        </row>
      </sheetData>
      <sheetData sheetId="8322">
        <row r="4">
          <cell r="I4">
            <v>0</v>
          </cell>
        </row>
      </sheetData>
      <sheetData sheetId="8323">
        <row r="4">
          <cell r="I4">
            <v>0</v>
          </cell>
        </row>
      </sheetData>
      <sheetData sheetId="8324">
        <row r="4">
          <cell r="I4">
            <v>0</v>
          </cell>
        </row>
      </sheetData>
      <sheetData sheetId="8325">
        <row r="4">
          <cell r="I4">
            <v>0</v>
          </cell>
        </row>
      </sheetData>
      <sheetData sheetId="8326">
        <row r="4">
          <cell r="I4">
            <v>0</v>
          </cell>
        </row>
      </sheetData>
      <sheetData sheetId="8327">
        <row r="4">
          <cell r="I4">
            <v>0</v>
          </cell>
        </row>
      </sheetData>
      <sheetData sheetId="8328">
        <row r="4">
          <cell r="I4">
            <v>0</v>
          </cell>
        </row>
      </sheetData>
      <sheetData sheetId="8329">
        <row r="4">
          <cell r="I4">
            <v>0</v>
          </cell>
        </row>
      </sheetData>
      <sheetData sheetId="8330">
        <row r="4">
          <cell r="I4">
            <v>0</v>
          </cell>
        </row>
      </sheetData>
      <sheetData sheetId="8331">
        <row r="4">
          <cell r="I4">
            <v>0</v>
          </cell>
        </row>
      </sheetData>
      <sheetData sheetId="8332">
        <row r="4">
          <cell r="I4">
            <v>0</v>
          </cell>
        </row>
      </sheetData>
      <sheetData sheetId="8333">
        <row r="4">
          <cell r="I4">
            <v>0</v>
          </cell>
        </row>
      </sheetData>
      <sheetData sheetId="8334">
        <row r="4">
          <cell r="I4">
            <v>0</v>
          </cell>
        </row>
      </sheetData>
      <sheetData sheetId="8335">
        <row r="4">
          <cell r="I4">
            <v>0</v>
          </cell>
        </row>
      </sheetData>
      <sheetData sheetId="8336">
        <row r="4">
          <cell r="I4">
            <v>0</v>
          </cell>
        </row>
      </sheetData>
      <sheetData sheetId="8337">
        <row r="4">
          <cell r="I4">
            <v>0</v>
          </cell>
        </row>
      </sheetData>
      <sheetData sheetId="8338">
        <row r="4">
          <cell r="I4">
            <v>0</v>
          </cell>
        </row>
      </sheetData>
      <sheetData sheetId="8339">
        <row r="4">
          <cell r="I4">
            <v>0</v>
          </cell>
        </row>
      </sheetData>
      <sheetData sheetId="8340">
        <row r="4">
          <cell r="I4">
            <v>0</v>
          </cell>
        </row>
      </sheetData>
      <sheetData sheetId="8341">
        <row r="4">
          <cell r="I4">
            <v>0</v>
          </cell>
        </row>
      </sheetData>
      <sheetData sheetId="8342">
        <row r="4">
          <cell r="I4">
            <v>0</v>
          </cell>
        </row>
      </sheetData>
      <sheetData sheetId="8343">
        <row r="4">
          <cell r="I4">
            <v>0</v>
          </cell>
        </row>
      </sheetData>
      <sheetData sheetId="8344">
        <row r="4">
          <cell r="I4">
            <v>0</v>
          </cell>
        </row>
      </sheetData>
      <sheetData sheetId="8345">
        <row r="4">
          <cell r="I4">
            <v>0</v>
          </cell>
        </row>
      </sheetData>
      <sheetData sheetId="8346">
        <row r="4">
          <cell r="I4">
            <v>0</v>
          </cell>
        </row>
      </sheetData>
      <sheetData sheetId="8347">
        <row r="4">
          <cell r="I4">
            <v>0</v>
          </cell>
        </row>
      </sheetData>
      <sheetData sheetId="8348">
        <row r="4">
          <cell r="I4">
            <v>0</v>
          </cell>
        </row>
      </sheetData>
      <sheetData sheetId="8349">
        <row r="4">
          <cell r="I4">
            <v>0</v>
          </cell>
        </row>
      </sheetData>
      <sheetData sheetId="8350">
        <row r="4">
          <cell r="I4">
            <v>0</v>
          </cell>
        </row>
      </sheetData>
      <sheetData sheetId="8351" refreshError="1"/>
      <sheetData sheetId="8352" refreshError="1"/>
      <sheetData sheetId="8353">
        <row r="4">
          <cell r="I4">
            <v>0</v>
          </cell>
        </row>
      </sheetData>
      <sheetData sheetId="8354">
        <row r="4">
          <cell r="I4">
            <v>0</v>
          </cell>
        </row>
      </sheetData>
      <sheetData sheetId="8355">
        <row r="4">
          <cell r="I4">
            <v>0</v>
          </cell>
        </row>
      </sheetData>
      <sheetData sheetId="8356">
        <row r="4">
          <cell r="I4">
            <v>0</v>
          </cell>
        </row>
      </sheetData>
      <sheetData sheetId="8357">
        <row r="4">
          <cell r="I4">
            <v>0</v>
          </cell>
        </row>
      </sheetData>
      <sheetData sheetId="8358">
        <row r="4">
          <cell r="I4">
            <v>0</v>
          </cell>
        </row>
      </sheetData>
      <sheetData sheetId="8359">
        <row r="4">
          <cell r="I4">
            <v>0</v>
          </cell>
        </row>
      </sheetData>
      <sheetData sheetId="8360">
        <row r="4">
          <cell r="I4">
            <v>0</v>
          </cell>
        </row>
      </sheetData>
      <sheetData sheetId="8361">
        <row r="4">
          <cell r="I4">
            <v>0</v>
          </cell>
        </row>
      </sheetData>
      <sheetData sheetId="8362">
        <row r="4">
          <cell r="I4">
            <v>0</v>
          </cell>
        </row>
      </sheetData>
      <sheetData sheetId="8363">
        <row r="4">
          <cell r="I4">
            <v>0</v>
          </cell>
        </row>
      </sheetData>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ow r="4">
          <cell r="I4">
            <v>0</v>
          </cell>
        </row>
      </sheetData>
      <sheetData sheetId="8387">
        <row r="4">
          <cell r="I4">
            <v>0</v>
          </cell>
        </row>
      </sheetData>
      <sheetData sheetId="8388" refreshError="1"/>
      <sheetData sheetId="8389" refreshError="1"/>
      <sheetData sheetId="8390">
        <row r="4">
          <cell r="I4">
            <v>0</v>
          </cell>
        </row>
      </sheetData>
      <sheetData sheetId="8391">
        <row r="4">
          <cell r="I4">
            <v>0</v>
          </cell>
        </row>
      </sheetData>
      <sheetData sheetId="8392">
        <row r="4">
          <cell r="I4">
            <v>0</v>
          </cell>
        </row>
      </sheetData>
      <sheetData sheetId="8393">
        <row r="4">
          <cell r="I4">
            <v>0</v>
          </cell>
        </row>
      </sheetData>
      <sheetData sheetId="8394">
        <row r="4">
          <cell r="I4">
            <v>0</v>
          </cell>
        </row>
      </sheetData>
      <sheetData sheetId="8395">
        <row r="4">
          <cell r="I4">
            <v>0</v>
          </cell>
        </row>
      </sheetData>
      <sheetData sheetId="8396">
        <row r="4">
          <cell r="I4">
            <v>0</v>
          </cell>
        </row>
      </sheetData>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ow r="4">
          <cell r="I4">
            <v>0</v>
          </cell>
        </row>
      </sheetData>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ow r="4">
          <cell r="I4">
            <v>0</v>
          </cell>
        </row>
      </sheetData>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ow r="4">
          <cell r="I4">
            <v>0</v>
          </cell>
        </row>
      </sheetData>
      <sheetData sheetId="9011">
        <row r="4">
          <cell r="I4">
            <v>0</v>
          </cell>
        </row>
      </sheetData>
      <sheetData sheetId="9012">
        <row r="4">
          <cell r="I4">
            <v>0</v>
          </cell>
        </row>
      </sheetData>
      <sheetData sheetId="9013">
        <row r="4">
          <cell r="I4">
            <v>0</v>
          </cell>
        </row>
      </sheetData>
      <sheetData sheetId="9014">
        <row r="4">
          <cell r="I4">
            <v>0</v>
          </cell>
        </row>
      </sheetData>
      <sheetData sheetId="9015" refreshError="1"/>
      <sheetData sheetId="9016" refreshError="1"/>
      <sheetData sheetId="9017" refreshError="1"/>
      <sheetData sheetId="9018" refreshError="1"/>
      <sheetData sheetId="9019" refreshError="1"/>
      <sheetData sheetId="9020" refreshError="1"/>
      <sheetData sheetId="9021">
        <row r="4">
          <cell r="I4">
            <v>0</v>
          </cell>
        </row>
      </sheetData>
      <sheetData sheetId="9022">
        <row r="4">
          <cell r="I4">
            <v>0</v>
          </cell>
        </row>
      </sheetData>
      <sheetData sheetId="9023">
        <row r="4">
          <cell r="I4">
            <v>0</v>
          </cell>
        </row>
      </sheetData>
      <sheetData sheetId="9024">
        <row r="4">
          <cell r="I4">
            <v>0</v>
          </cell>
        </row>
      </sheetData>
      <sheetData sheetId="9025">
        <row r="4">
          <cell r="I4">
            <v>0</v>
          </cell>
        </row>
      </sheetData>
      <sheetData sheetId="9026">
        <row r="4">
          <cell r="I4">
            <v>0</v>
          </cell>
        </row>
      </sheetData>
      <sheetData sheetId="9027" refreshError="1"/>
      <sheetData sheetId="9028">
        <row r="4">
          <cell r="I4">
            <v>0</v>
          </cell>
        </row>
      </sheetData>
      <sheetData sheetId="9029">
        <row r="4">
          <cell r="I4">
            <v>0</v>
          </cell>
        </row>
      </sheetData>
      <sheetData sheetId="9030">
        <row r="4">
          <cell r="I4">
            <v>0</v>
          </cell>
        </row>
      </sheetData>
      <sheetData sheetId="9031">
        <row r="4">
          <cell r="I4">
            <v>0</v>
          </cell>
        </row>
      </sheetData>
      <sheetData sheetId="9032">
        <row r="4">
          <cell r="I4">
            <v>0</v>
          </cell>
        </row>
      </sheetData>
      <sheetData sheetId="9033">
        <row r="4">
          <cell r="I4">
            <v>0</v>
          </cell>
        </row>
      </sheetData>
      <sheetData sheetId="9034">
        <row r="4">
          <cell r="I4">
            <v>0</v>
          </cell>
        </row>
      </sheetData>
      <sheetData sheetId="9035">
        <row r="4">
          <cell r="I4">
            <v>0</v>
          </cell>
        </row>
      </sheetData>
      <sheetData sheetId="9036">
        <row r="4">
          <cell r="I4">
            <v>0</v>
          </cell>
        </row>
      </sheetData>
      <sheetData sheetId="9037">
        <row r="4">
          <cell r="I4">
            <v>0</v>
          </cell>
        </row>
      </sheetData>
      <sheetData sheetId="9038">
        <row r="4">
          <cell r="I4">
            <v>0</v>
          </cell>
        </row>
      </sheetData>
      <sheetData sheetId="9039">
        <row r="4">
          <cell r="I4">
            <v>0</v>
          </cell>
        </row>
      </sheetData>
      <sheetData sheetId="9040">
        <row r="4">
          <cell r="I4">
            <v>0</v>
          </cell>
        </row>
      </sheetData>
      <sheetData sheetId="9041">
        <row r="4">
          <cell r="I4">
            <v>0</v>
          </cell>
        </row>
      </sheetData>
      <sheetData sheetId="9042">
        <row r="4">
          <cell r="I4">
            <v>0</v>
          </cell>
        </row>
      </sheetData>
      <sheetData sheetId="9043">
        <row r="4">
          <cell r="I4">
            <v>0</v>
          </cell>
        </row>
      </sheetData>
      <sheetData sheetId="9044">
        <row r="4">
          <cell r="I4">
            <v>0</v>
          </cell>
        </row>
      </sheetData>
      <sheetData sheetId="9045">
        <row r="4">
          <cell r="I4">
            <v>0</v>
          </cell>
        </row>
      </sheetData>
      <sheetData sheetId="9046">
        <row r="4">
          <cell r="I4">
            <v>0</v>
          </cell>
        </row>
      </sheetData>
      <sheetData sheetId="9047">
        <row r="4">
          <cell r="I4">
            <v>0</v>
          </cell>
        </row>
      </sheetData>
      <sheetData sheetId="9048">
        <row r="4">
          <cell r="I4">
            <v>0</v>
          </cell>
        </row>
      </sheetData>
      <sheetData sheetId="9049">
        <row r="4">
          <cell r="I4">
            <v>0</v>
          </cell>
        </row>
      </sheetData>
      <sheetData sheetId="9050" refreshError="1"/>
      <sheetData sheetId="9051" refreshError="1"/>
      <sheetData sheetId="9052" refreshError="1"/>
      <sheetData sheetId="9053" refreshError="1"/>
      <sheetData sheetId="9054" refreshError="1"/>
      <sheetData sheetId="9055">
        <row r="4">
          <cell r="I4">
            <v>0</v>
          </cell>
        </row>
      </sheetData>
      <sheetData sheetId="9056">
        <row r="4">
          <cell r="I4">
            <v>0</v>
          </cell>
        </row>
      </sheetData>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ow r="4">
          <cell r="I4">
            <v>0</v>
          </cell>
        </row>
      </sheetData>
      <sheetData sheetId="9072">
        <row r="4">
          <cell r="I4">
            <v>0</v>
          </cell>
        </row>
      </sheetData>
      <sheetData sheetId="9073" refreshError="1"/>
      <sheetData sheetId="9074" refreshError="1"/>
      <sheetData sheetId="9075" refreshError="1"/>
      <sheetData sheetId="9076" refreshError="1"/>
      <sheetData sheetId="9077" refreshError="1"/>
      <sheetData sheetId="9078" refreshError="1"/>
      <sheetData sheetId="9079" refreshError="1"/>
      <sheetData sheetId="9080">
        <row r="4">
          <cell r="I4">
            <v>0</v>
          </cell>
        </row>
      </sheetData>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ow r="4">
          <cell r="I4">
            <v>0</v>
          </cell>
        </row>
      </sheetData>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ow r="4">
          <cell r="I4">
            <v>0</v>
          </cell>
        </row>
      </sheetData>
      <sheetData sheetId="9150">
        <row r="4">
          <cell r="I4">
            <v>0</v>
          </cell>
        </row>
      </sheetData>
      <sheetData sheetId="9151">
        <row r="4">
          <cell r="I4">
            <v>0</v>
          </cell>
        </row>
      </sheetData>
      <sheetData sheetId="9152">
        <row r="4">
          <cell r="I4">
            <v>0</v>
          </cell>
        </row>
      </sheetData>
      <sheetData sheetId="9153">
        <row r="4">
          <cell r="I4">
            <v>0</v>
          </cell>
        </row>
      </sheetData>
      <sheetData sheetId="9154" refreshError="1"/>
      <sheetData sheetId="9155">
        <row r="4">
          <cell r="I4">
            <v>0</v>
          </cell>
        </row>
      </sheetData>
      <sheetData sheetId="9156">
        <row r="4">
          <cell r="I4">
            <v>0</v>
          </cell>
        </row>
      </sheetData>
      <sheetData sheetId="9157">
        <row r="4">
          <cell r="I4">
            <v>0</v>
          </cell>
        </row>
      </sheetData>
      <sheetData sheetId="9158">
        <row r="4">
          <cell r="I4">
            <v>0</v>
          </cell>
        </row>
      </sheetData>
      <sheetData sheetId="9159">
        <row r="4">
          <cell r="I4">
            <v>0</v>
          </cell>
        </row>
      </sheetData>
      <sheetData sheetId="9160">
        <row r="4">
          <cell r="I4">
            <v>0</v>
          </cell>
        </row>
      </sheetData>
      <sheetData sheetId="9161">
        <row r="4">
          <cell r="I4">
            <v>0</v>
          </cell>
        </row>
      </sheetData>
      <sheetData sheetId="9162">
        <row r="4">
          <cell r="I4">
            <v>0</v>
          </cell>
        </row>
      </sheetData>
      <sheetData sheetId="9163">
        <row r="4">
          <cell r="I4">
            <v>0</v>
          </cell>
        </row>
      </sheetData>
      <sheetData sheetId="9164">
        <row r="4">
          <cell r="I4">
            <v>0</v>
          </cell>
        </row>
      </sheetData>
      <sheetData sheetId="9165">
        <row r="4">
          <cell r="I4">
            <v>0</v>
          </cell>
        </row>
      </sheetData>
      <sheetData sheetId="9166">
        <row r="4">
          <cell r="I4">
            <v>0</v>
          </cell>
        </row>
      </sheetData>
      <sheetData sheetId="9167">
        <row r="4">
          <cell r="I4">
            <v>0</v>
          </cell>
        </row>
      </sheetData>
      <sheetData sheetId="9168">
        <row r="4">
          <cell r="I4">
            <v>0</v>
          </cell>
        </row>
      </sheetData>
      <sheetData sheetId="9169">
        <row r="4">
          <cell r="I4">
            <v>0</v>
          </cell>
        </row>
      </sheetData>
      <sheetData sheetId="9170">
        <row r="4">
          <cell r="I4">
            <v>0</v>
          </cell>
        </row>
      </sheetData>
      <sheetData sheetId="9171">
        <row r="4">
          <cell r="I4">
            <v>0</v>
          </cell>
        </row>
      </sheetData>
      <sheetData sheetId="9172">
        <row r="4">
          <cell r="I4">
            <v>0</v>
          </cell>
        </row>
      </sheetData>
      <sheetData sheetId="9173">
        <row r="4">
          <cell r="I4">
            <v>0</v>
          </cell>
        </row>
      </sheetData>
      <sheetData sheetId="9174">
        <row r="4">
          <cell r="I4">
            <v>0</v>
          </cell>
        </row>
      </sheetData>
      <sheetData sheetId="9175">
        <row r="4">
          <cell r="I4">
            <v>0</v>
          </cell>
        </row>
      </sheetData>
      <sheetData sheetId="9176">
        <row r="4">
          <cell r="I4">
            <v>0</v>
          </cell>
        </row>
      </sheetData>
      <sheetData sheetId="9177">
        <row r="4">
          <cell r="I4">
            <v>0</v>
          </cell>
        </row>
      </sheetData>
      <sheetData sheetId="9178">
        <row r="4">
          <cell r="I4">
            <v>0</v>
          </cell>
        </row>
      </sheetData>
      <sheetData sheetId="9179">
        <row r="4">
          <cell r="I4">
            <v>0</v>
          </cell>
        </row>
      </sheetData>
      <sheetData sheetId="9180">
        <row r="4">
          <cell r="I4">
            <v>0</v>
          </cell>
        </row>
      </sheetData>
      <sheetData sheetId="9181">
        <row r="4">
          <cell r="I4">
            <v>0</v>
          </cell>
        </row>
      </sheetData>
      <sheetData sheetId="9182">
        <row r="4">
          <cell r="I4">
            <v>0</v>
          </cell>
        </row>
      </sheetData>
      <sheetData sheetId="9183">
        <row r="4">
          <cell r="I4">
            <v>0</v>
          </cell>
        </row>
      </sheetData>
      <sheetData sheetId="9184">
        <row r="4">
          <cell r="I4">
            <v>0</v>
          </cell>
        </row>
      </sheetData>
      <sheetData sheetId="9185">
        <row r="4">
          <cell r="I4">
            <v>0</v>
          </cell>
        </row>
      </sheetData>
      <sheetData sheetId="9186">
        <row r="4">
          <cell r="I4">
            <v>0</v>
          </cell>
        </row>
      </sheetData>
      <sheetData sheetId="9187">
        <row r="4">
          <cell r="I4">
            <v>0</v>
          </cell>
        </row>
      </sheetData>
      <sheetData sheetId="9188">
        <row r="4">
          <cell r="I4">
            <v>0</v>
          </cell>
        </row>
      </sheetData>
      <sheetData sheetId="9189">
        <row r="4">
          <cell r="I4">
            <v>0</v>
          </cell>
        </row>
      </sheetData>
      <sheetData sheetId="9190">
        <row r="4">
          <cell r="I4">
            <v>0</v>
          </cell>
        </row>
      </sheetData>
      <sheetData sheetId="9191">
        <row r="4">
          <cell r="I4">
            <v>0</v>
          </cell>
        </row>
      </sheetData>
      <sheetData sheetId="9192">
        <row r="4">
          <cell r="I4">
            <v>0</v>
          </cell>
        </row>
      </sheetData>
      <sheetData sheetId="9193">
        <row r="4">
          <cell r="I4">
            <v>0</v>
          </cell>
        </row>
      </sheetData>
      <sheetData sheetId="9194">
        <row r="4">
          <cell r="I4">
            <v>0</v>
          </cell>
        </row>
      </sheetData>
      <sheetData sheetId="9195">
        <row r="4">
          <cell r="I4">
            <v>0</v>
          </cell>
        </row>
      </sheetData>
      <sheetData sheetId="9196">
        <row r="4">
          <cell r="I4">
            <v>0</v>
          </cell>
        </row>
      </sheetData>
      <sheetData sheetId="9197">
        <row r="4">
          <cell r="I4">
            <v>0</v>
          </cell>
        </row>
      </sheetData>
      <sheetData sheetId="9198">
        <row r="4">
          <cell r="I4">
            <v>0</v>
          </cell>
        </row>
      </sheetData>
      <sheetData sheetId="9199">
        <row r="4">
          <cell r="I4">
            <v>0</v>
          </cell>
        </row>
      </sheetData>
      <sheetData sheetId="9200">
        <row r="4">
          <cell r="I4">
            <v>0</v>
          </cell>
        </row>
      </sheetData>
      <sheetData sheetId="9201">
        <row r="4">
          <cell r="I4">
            <v>0</v>
          </cell>
        </row>
      </sheetData>
      <sheetData sheetId="9202">
        <row r="4">
          <cell r="I4">
            <v>0</v>
          </cell>
        </row>
      </sheetData>
      <sheetData sheetId="9203">
        <row r="4">
          <cell r="I4">
            <v>0</v>
          </cell>
        </row>
      </sheetData>
      <sheetData sheetId="9204">
        <row r="4">
          <cell r="I4">
            <v>0</v>
          </cell>
        </row>
      </sheetData>
      <sheetData sheetId="9205">
        <row r="4">
          <cell r="I4">
            <v>0</v>
          </cell>
        </row>
      </sheetData>
      <sheetData sheetId="9206">
        <row r="4">
          <cell r="I4">
            <v>0</v>
          </cell>
        </row>
      </sheetData>
      <sheetData sheetId="9207">
        <row r="4">
          <cell r="I4">
            <v>0</v>
          </cell>
        </row>
      </sheetData>
      <sheetData sheetId="9208">
        <row r="4">
          <cell r="I4">
            <v>0</v>
          </cell>
        </row>
      </sheetData>
      <sheetData sheetId="9209">
        <row r="4">
          <cell r="I4">
            <v>0</v>
          </cell>
        </row>
      </sheetData>
      <sheetData sheetId="9210">
        <row r="4">
          <cell r="I4">
            <v>0</v>
          </cell>
        </row>
      </sheetData>
      <sheetData sheetId="9211">
        <row r="4">
          <cell r="I4">
            <v>0</v>
          </cell>
        </row>
      </sheetData>
      <sheetData sheetId="9212">
        <row r="4">
          <cell r="I4">
            <v>0</v>
          </cell>
        </row>
      </sheetData>
      <sheetData sheetId="9213">
        <row r="4">
          <cell r="I4">
            <v>0</v>
          </cell>
        </row>
      </sheetData>
      <sheetData sheetId="9214">
        <row r="4">
          <cell r="I4">
            <v>0</v>
          </cell>
        </row>
      </sheetData>
      <sheetData sheetId="9215">
        <row r="4">
          <cell r="I4">
            <v>0</v>
          </cell>
        </row>
      </sheetData>
      <sheetData sheetId="9216">
        <row r="4">
          <cell r="I4">
            <v>0</v>
          </cell>
        </row>
      </sheetData>
      <sheetData sheetId="9217">
        <row r="4">
          <cell r="I4">
            <v>0</v>
          </cell>
        </row>
      </sheetData>
      <sheetData sheetId="9218">
        <row r="4">
          <cell r="I4">
            <v>0</v>
          </cell>
        </row>
      </sheetData>
      <sheetData sheetId="9219">
        <row r="4">
          <cell r="I4">
            <v>0</v>
          </cell>
        </row>
      </sheetData>
      <sheetData sheetId="9220">
        <row r="4">
          <cell r="I4">
            <v>0</v>
          </cell>
        </row>
      </sheetData>
      <sheetData sheetId="9221">
        <row r="4">
          <cell r="I4">
            <v>0</v>
          </cell>
        </row>
      </sheetData>
      <sheetData sheetId="9222">
        <row r="4">
          <cell r="I4">
            <v>0</v>
          </cell>
        </row>
      </sheetData>
      <sheetData sheetId="9223">
        <row r="4">
          <cell r="I4">
            <v>0</v>
          </cell>
        </row>
      </sheetData>
      <sheetData sheetId="9224">
        <row r="4">
          <cell r="I4">
            <v>0</v>
          </cell>
        </row>
      </sheetData>
      <sheetData sheetId="9225">
        <row r="4">
          <cell r="I4">
            <v>0</v>
          </cell>
        </row>
      </sheetData>
      <sheetData sheetId="9226">
        <row r="4">
          <cell r="I4">
            <v>0</v>
          </cell>
        </row>
      </sheetData>
      <sheetData sheetId="9227">
        <row r="4">
          <cell r="I4">
            <v>0</v>
          </cell>
        </row>
      </sheetData>
      <sheetData sheetId="9228">
        <row r="4">
          <cell r="I4">
            <v>0</v>
          </cell>
        </row>
      </sheetData>
      <sheetData sheetId="9229">
        <row r="4">
          <cell r="I4">
            <v>0</v>
          </cell>
        </row>
      </sheetData>
      <sheetData sheetId="9230">
        <row r="4">
          <cell r="I4">
            <v>0</v>
          </cell>
        </row>
      </sheetData>
      <sheetData sheetId="9231">
        <row r="4">
          <cell r="I4">
            <v>0</v>
          </cell>
        </row>
      </sheetData>
      <sheetData sheetId="9232">
        <row r="4">
          <cell r="I4">
            <v>0</v>
          </cell>
        </row>
      </sheetData>
      <sheetData sheetId="9233">
        <row r="4">
          <cell r="I4">
            <v>0</v>
          </cell>
        </row>
      </sheetData>
      <sheetData sheetId="9234">
        <row r="4">
          <cell r="I4">
            <v>0</v>
          </cell>
        </row>
      </sheetData>
      <sheetData sheetId="9235" refreshError="1"/>
      <sheetData sheetId="9236" refreshError="1"/>
      <sheetData sheetId="9237" refreshError="1"/>
      <sheetData sheetId="9238" refreshError="1"/>
      <sheetData sheetId="9239" refreshError="1"/>
      <sheetData sheetId="9240">
        <row r="4">
          <cell r="I4">
            <v>0</v>
          </cell>
        </row>
      </sheetData>
      <sheetData sheetId="9241">
        <row r="4">
          <cell r="I4">
            <v>0</v>
          </cell>
        </row>
      </sheetData>
      <sheetData sheetId="9242">
        <row r="4">
          <cell r="I4">
            <v>0</v>
          </cell>
        </row>
      </sheetData>
      <sheetData sheetId="9243">
        <row r="4">
          <cell r="I4">
            <v>0</v>
          </cell>
        </row>
      </sheetData>
      <sheetData sheetId="9244">
        <row r="4">
          <cell r="I4">
            <v>0</v>
          </cell>
        </row>
      </sheetData>
      <sheetData sheetId="9245">
        <row r="4">
          <cell r="I4">
            <v>0</v>
          </cell>
        </row>
      </sheetData>
      <sheetData sheetId="9246">
        <row r="4">
          <cell r="I4">
            <v>0</v>
          </cell>
        </row>
      </sheetData>
      <sheetData sheetId="9247">
        <row r="4">
          <cell r="I4">
            <v>0</v>
          </cell>
        </row>
      </sheetData>
      <sheetData sheetId="9248">
        <row r="4">
          <cell r="I4">
            <v>0</v>
          </cell>
        </row>
      </sheetData>
      <sheetData sheetId="9249">
        <row r="4">
          <cell r="I4">
            <v>0</v>
          </cell>
        </row>
      </sheetData>
      <sheetData sheetId="9250">
        <row r="4">
          <cell r="I4">
            <v>0</v>
          </cell>
        </row>
      </sheetData>
      <sheetData sheetId="9251">
        <row r="4">
          <cell r="I4">
            <v>0</v>
          </cell>
        </row>
      </sheetData>
      <sheetData sheetId="9252">
        <row r="4">
          <cell r="I4">
            <v>0</v>
          </cell>
        </row>
      </sheetData>
      <sheetData sheetId="9253">
        <row r="4">
          <cell r="I4">
            <v>0</v>
          </cell>
        </row>
      </sheetData>
      <sheetData sheetId="9254">
        <row r="4">
          <cell r="I4">
            <v>0</v>
          </cell>
        </row>
      </sheetData>
      <sheetData sheetId="9255" refreshError="1"/>
      <sheetData sheetId="9256" refreshError="1"/>
      <sheetData sheetId="9257" refreshError="1"/>
      <sheetData sheetId="9258" refreshError="1"/>
      <sheetData sheetId="9259" refreshError="1"/>
      <sheetData sheetId="9260" refreshError="1"/>
      <sheetData sheetId="9261">
        <row r="4">
          <cell r="I4">
            <v>0</v>
          </cell>
        </row>
      </sheetData>
      <sheetData sheetId="9262">
        <row r="4">
          <cell r="I4">
            <v>0</v>
          </cell>
        </row>
      </sheetData>
      <sheetData sheetId="9263">
        <row r="4">
          <cell r="I4">
            <v>0</v>
          </cell>
        </row>
      </sheetData>
      <sheetData sheetId="9264">
        <row r="4">
          <cell r="I4">
            <v>0</v>
          </cell>
        </row>
      </sheetData>
      <sheetData sheetId="9265">
        <row r="4">
          <cell r="I4">
            <v>0</v>
          </cell>
        </row>
      </sheetData>
      <sheetData sheetId="9266">
        <row r="4">
          <cell r="I4">
            <v>0</v>
          </cell>
        </row>
      </sheetData>
      <sheetData sheetId="9267">
        <row r="4">
          <cell r="I4">
            <v>0</v>
          </cell>
        </row>
      </sheetData>
      <sheetData sheetId="9268">
        <row r="4">
          <cell r="I4">
            <v>0</v>
          </cell>
        </row>
      </sheetData>
      <sheetData sheetId="9269">
        <row r="4">
          <cell r="I4">
            <v>0</v>
          </cell>
        </row>
      </sheetData>
      <sheetData sheetId="9270">
        <row r="4">
          <cell r="I4">
            <v>0</v>
          </cell>
        </row>
      </sheetData>
      <sheetData sheetId="9271">
        <row r="4">
          <cell r="I4">
            <v>0</v>
          </cell>
        </row>
      </sheetData>
      <sheetData sheetId="9272">
        <row r="4">
          <cell r="I4">
            <v>0</v>
          </cell>
        </row>
      </sheetData>
      <sheetData sheetId="9273">
        <row r="4">
          <cell r="I4">
            <v>0</v>
          </cell>
        </row>
      </sheetData>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ow r="4">
          <cell r="I4">
            <v>0</v>
          </cell>
        </row>
      </sheetData>
      <sheetData sheetId="9351">
        <row r="4">
          <cell r="I4">
            <v>0</v>
          </cell>
        </row>
      </sheetData>
      <sheetData sheetId="9352">
        <row r="4">
          <cell r="I4">
            <v>0</v>
          </cell>
        </row>
      </sheetData>
      <sheetData sheetId="9353">
        <row r="4">
          <cell r="I4">
            <v>0</v>
          </cell>
        </row>
      </sheetData>
      <sheetData sheetId="9354">
        <row r="4">
          <cell r="I4">
            <v>0</v>
          </cell>
        </row>
      </sheetData>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ow r="4">
          <cell r="I4">
            <v>0</v>
          </cell>
        </row>
      </sheetData>
      <sheetData sheetId="9368">
        <row r="4">
          <cell r="I4">
            <v>0</v>
          </cell>
        </row>
      </sheetData>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ow r="4">
          <cell r="I4">
            <v>0</v>
          </cell>
        </row>
      </sheetData>
      <sheetData sheetId="9418">
        <row r="4">
          <cell r="I4">
            <v>0</v>
          </cell>
        </row>
      </sheetData>
      <sheetData sheetId="9419">
        <row r="4">
          <cell r="I4">
            <v>0</v>
          </cell>
        </row>
      </sheetData>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ow r="4">
          <cell r="I4">
            <v>0</v>
          </cell>
        </row>
      </sheetData>
      <sheetData sheetId="9464" refreshError="1"/>
      <sheetData sheetId="9465">
        <row r="4">
          <cell r="I4">
            <v>0</v>
          </cell>
        </row>
      </sheetData>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ow r="4">
          <cell r="I4">
            <v>0</v>
          </cell>
        </row>
      </sheetData>
      <sheetData sheetId="9483">
        <row r="4">
          <cell r="I4">
            <v>0</v>
          </cell>
        </row>
      </sheetData>
      <sheetData sheetId="9484" refreshError="1"/>
      <sheetData sheetId="9485" refreshError="1"/>
      <sheetData sheetId="9486" refreshError="1"/>
      <sheetData sheetId="9487" refreshError="1"/>
      <sheetData sheetId="9488" refreshError="1"/>
      <sheetData sheetId="9489"/>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ow r="4">
          <cell r="I4">
            <v>0</v>
          </cell>
        </row>
      </sheetData>
      <sheetData sheetId="9506">
        <row r="4">
          <cell r="I4">
            <v>0</v>
          </cell>
        </row>
      </sheetData>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ow r="4">
          <cell r="I4">
            <v>0</v>
          </cell>
        </row>
      </sheetData>
      <sheetData sheetId="9716">
        <row r="4">
          <cell r="I4">
            <v>0</v>
          </cell>
        </row>
      </sheetData>
      <sheetData sheetId="9717">
        <row r="4">
          <cell r="I4">
            <v>0</v>
          </cell>
        </row>
      </sheetData>
      <sheetData sheetId="9718">
        <row r="4">
          <cell r="I4">
            <v>0</v>
          </cell>
        </row>
      </sheetData>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ow r="4">
          <cell r="I4">
            <v>0</v>
          </cell>
        </row>
      </sheetData>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ow r="4">
          <cell r="I4">
            <v>0</v>
          </cell>
        </row>
      </sheetData>
      <sheetData sheetId="9754">
        <row r="4">
          <cell r="I4">
            <v>0</v>
          </cell>
        </row>
      </sheetData>
      <sheetData sheetId="9755">
        <row r="4">
          <cell r="I4">
            <v>0</v>
          </cell>
        </row>
      </sheetData>
      <sheetData sheetId="9756">
        <row r="4">
          <cell r="I4">
            <v>0</v>
          </cell>
        </row>
      </sheetData>
      <sheetData sheetId="9757">
        <row r="4">
          <cell r="I4">
            <v>0</v>
          </cell>
        </row>
      </sheetData>
      <sheetData sheetId="9758">
        <row r="4">
          <cell r="I4">
            <v>0</v>
          </cell>
        </row>
      </sheetData>
      <sheetData sheetId="9759">
        <row r="4">
          <cell r="I4">
            <v>0</v>
          </cell>
        </row>
      </sheetData>
      <sheetData sheetId="9760">
        <row r="4">
          <cell r="I4">
            <v>0</v>
          </cell>
        </row>
      </sheetData>
      <sheetData sheetId="9761">
        <row r="4">
          <cell r="I4">
            <v>0</v>
          </cell>
        </row>
      </sheetData>
      <sheetData sheetId="9762">
        <row r="4">
          <cell r="I4">
            <v>0</v>
          </cell>
        </row>
      </sheetData>
      <sheetData sheetId="9763">
        <row r="4">
          <cell r="I4">
            <v>0</v>
          </cell>
        </row>
      </sheetData>
      <sheetData sheetId="9764">
        <row r="4">
          <cell r="I4">
            <v>0</v>
          </cell>
        </row>
      </sheetData>
      <sheetData sheetId="9765">
        <row r="4">
          <cell r="I4">
            <v>0</v>
          </cell>
        </row>
      </sheetData>
      <sheetData sheetId="9766">
        <row r="4">
          <cell r="I4">
            <v>0</v>
          </cell>
        </row>
      </sheetData>
      <sheetData sheetId="9767">
        <row r="4">
          <cell r="I4">
            <v>0</v>
          </cell>
        </row>
      </sheetData>
      <sheetData sheetId="9768">
        <row r="4">
          <cell r="I4">
            <v>0</v>
          </cell>
        </row>
      </sheetData>
      <sheetData sheetId="9769">
        <row r="4">
          <cell r="I4">
            <v>0</v>
          </cell>
        </row>
      </sheetData>
      <sheetData sheetId="9770">
        <row r="4">
          <cell r="I4">
            <v>0</v>
          </cell>
        </row>
      </sheetData>
      <sheetData sheetId="9771">
        <row r="4">
          <cell r="I4">
            <v>0</v>
          </cell>
        </row>
      </sheetData>
      <sheetData sheetId="9772">
        <row r="4">
          <cell r="I4">
            <v>0</v>
          </cell>
        </row>
      </sheetData>
      <sheetData sheetId="9773">
        <row r="4">
          <cell r="I4">
            <v>0</v>
          </cell>
        </row>
      </sheetData>
      <sheetData sheetId="9774">
        <row r="4">
          <cell r="I4">
            <v>0</v>
          </cell>
        </row>
      </sheetData>
      <sheetData sheetId="9775">
        <row r="4">
          <cell r="I4">
            <v>0</v>
          </cell>
        </row>
      </sheetData>
      <sheetData sheetId="9776">
        <row r="4">
          <cell r="I4">
            <v>0</v>
          </cell>
        </row>
      </sheetData>
      <sheetData sheetId="9777">
        <row r="4">
          <cell r="I4">
            <v>0</v>
          </cell>
        </row>
      </sheetData>
      <sheetData sheetId="9778">
        <row r="4">
          <cell r="I4">
            <v>0</v>
          </cell>
        </row>
      </sheetData>
      <sheetData sheetId="9779">
        <row r="4">
          <cell r="I4">
            <v>0</v>
          </cell>
        </row>
      </sheetData>
      <sheetData sheetId="9780">
        <row r="4">
          <cell r="I4">
            <v>0</v>
          </cell>
        </row>
      </sheetData>
      <sheetData sheetId="9781">
        <row r="4">
          <cell r="I4">
            <v>0</v>
          </cell>
        </row>
      </sheetData>
      <sheetData sheetId="9782">
        <row r="4">
          <cell r="I4">
            <v>0</v>
          </cell>
        </row>
      </sheetData>
      <sheetData sheetId="9783">
        <row r="4">
          <cell r="I4">
            <v>0</v>
          </cell>
        </row>
      </sheetData>
      <sheetData sheetId="9784">
        <row r="4">
          <cell r="I4">
            <v>0</v>
          </cell>
        </row>
      </sheetData>
      <sheetData sheetId="9785">
        <row r="4">
          <cell r="I4">
            <v>0</v>
          </cell>
        </row>
      </sheetData>
      <sheetData sheetId="9786">
        <row r="4">
          <cell r="I4">
            <v>0</v>
          </cell>
        </row>
      </sheetData>
      <sheetData sheetId="9787">
        <row r="4">
          <cell r="I4">
            <v>0</v>
          </cell>
        </row>
      </sheetData>
      <sheetData sheetId="9788">
        <row r="4">
          <cell r="I4">
            <v>0</v>
          </cell>
        </row>
      </sheetData>
      <sheetData sheetId="9789">
        <row r="4">
          <cell r="I4">
            <v>0</v>
          </cell>
        </row>
      </sheetData>
      <sheetData sheetId="9790">
        <row r="4">
          <cell r="I4">
            <v>0</v>
          </cell>
        </row>
      </sheetData>
      <sheetData sheetId="9791">
        <row r="4">
          <cell r="I4">
            <v>0</v>
          </cell>
        </row>
      </sheetData>
      <sheetData sheetId="9792">
        <row r="4">
          <cell r="I4">
            <v>0</v>
          </cell>
        </row>
      </sheetData>
      <sheetData sheetId="9793">
        <row r="4">
          <cell r="I4">
            <v>0</v>
          </cell>
        </row>
      </sheetData>
      <sheetData sheetId="9794">
        <row r="4">
          <cell r="I4">
            <v>0</v>
          </cell>
        </row>
      </sheetData>
      <sheetData sheetId="9795">
        <row r="4">
          <cell r="I4">
            <v>0</v>
          </cell>
        </row>
      </sheetData>
      <sheetData sheetId="9796">
        <row r="4">
          <cell r="I4">
            <v>0</v>
          </cell>
        </row>
      </sheetData>
      <sheetData sheetId="9797">
        <row r="4">
          <cell r="I4">
            <v>0</v>
          </cell>
        </row>
      </sheetData>
      <sheetData sheetId="9798">
        <row r="4">
          <cell r="I4">
            <v>0</v>
          </cell>
        </row>
      </sheetData>
      <sheetData sheetId="9799">
        <row r="4">
          <cell r="I4">
            <v>0</v>
          </cell>
        </row>
      </sheetData>
      <sheetData sheetId="9800">
        <row r="4">
          <cell r="I4">
            <v>0</v>
          </cell>
        </row>
      </sheetData>
      <sheetData sheetId="9801">
        <row r="4">
          <cell r="I4">
            <v>0</v>
          </cell>
        </row>
      </sheetData>
      <sheetData sheetId="9802">
        <row r="4">
          <cell r="I4">
            <v>0</v>
          </cell>
        </row>
      </sheetData>
      <sheetData sheetId="9803">
        <row r="4">
          <cell r="I4">
            <v>0</v>
          </cell>
        </row>
      </sheetData>
      <sheetData sheetId="9804">
        <row r="4">
          <cell r="I4">
            <v>0</v>
          </cell>
        </row>
      </sheetData>
      <sheetData sheetId="9805">
        <row r="4">
          <cell r="I4">
            <v>0</v>
          </cell>
        </row>
      </sheetData>
      <sheetData sheetId="9806">
        <row r="4">
          <cell r="I4">
            <v>0</v>
          </cell>
        </row>
      </sheetData>
      <sheetData sheetId="9807">
        <row r="4">
          <cell r="I4">
            <v>0</v>
          </cell>
        </row>
      </sheetData>
      <sheetData sheetId="9808">
        <row r="4">
          <cell r="I4">
            <v>0</v>
          </cell>
        </row>
      </sheetData>
      <sheetData sheetId="9809">
        <row r="4">
          <cell r="I4">
            <v>0</v>
          </cell>
        </row>
      </sheetData>
      <sheetData sheetId="9810">
        <row r="4">
          <cell r="I4">
            <v>0</v>
          </cell>
        </row>
      </sheetData>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sheetData sheetId="9821"/>
      <sheetData sheetId="9822"/>
      <sheetData sheetId="9823"/>
      <sheetData sheetId="9824"/>
      <sheetData sheetId="9825"/>
      <sheetData sheetId="9826"/>
      <sheetData sheetId="9827"/>
      <sheetData sheetId="9828"/>
      <sheetData sheetId="9829" refreshError="1"/>
      <sheetData sheetId="9830"/>
      <sheetData sheetId="9831"/>
      <sheetData sheetId="9832" refreshError="1"/>
      <sheetData sheetId="9833">
        <row r="4">
          <cell r="I4">
            <v>0</v>
          </cell>
        </row>
      </sheetData>
      <sheetData sheetId="9834">
        <row r="4">
          <cell r="I4">
            <v>0</v>
          </cell>
        </row>
      </sheetData>
      <sheetData sheetId="9835">
        <row r="4">
          <cell r="I4">
            <v>0</v>
          </cell>
        </row>
      </sheetData>
      <sheetData sheetId="9836" refreshError="1"/>
      <sheetData sheetId="9837" refreshError="1"/>
      <sheetData sheetId="9838" refreshError="1"/>
      <sheetData sheetId="9839" refreshError="1"/>
      <sheetData sheetId="9840" refreshError="1"/>
      <sheetData sheetId="9841">
        <row r="4">
          <cell r="I4">
            <v>0</v>
          </cell>
        </row>
      </sheetData>
      <sheetData sheetId="9842">
        <row r="4">
          <cell r="I4">
            <v>0</v>
          </cell>
        </row>
      </sheetData>
      <sheetData sheetId="9843">
        <row r="4">
          <cell r="I4">
            <v>0</v>
          </cell>
        </row>
      </sheetData>
      <sheetData sheetId="9844">
        <row r="4">
          <cell r="I4">
            <v>0</v>
          </cell>
        </row>
      </sheetData>
      <sheetData sheetId="9845">
        <row r="4">
          <cell r="I4">
            <v>0</v>
          </cell>
        </row>
      </sheetData>
      <sheetData sheetId="9846">
        <row r="4">
          <cell r="I4">
            <v>0</v>
          </cell>
        </row>
      </sheetData>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ow r="4">
          <cell r="I4">
            <v>0</v>
          </cell>
        </row>
      </sheetData>
      <sheetData sheetId="9866">
        <row r="4">
          <cell r="I4">
            <v>0</v>
          </cell>
        </row>
      </sheetData>
      <sheetData sheetId="9867" refreshError="1"/>
      <sheetData sheetId="9868" refreshError="1"/>
      <sheetData sheetId="9869" refreshError="1"/>
      <sheetData sheetId="9870" refreshError="1"/>
      <sheetData sheetId="9871" refreshError="1"/>
      <sheetData sheetId="9872" refreshError="1"/>
      <sheetData sheetId="9873" refreshError="1"/>
      <sheetData sheetId="9874">
        <row r="4">
          <cell r="I4">
            <v>0</v>
          </cell>
        </row>
      </sheetData>
      <sheetData sheetId="9875" refreshError="1"/>
      <sheetData sheetId="9876" refreshError="1"/>
      <sheetData sheetId="9877" refreshError="1"/>
      <sheetData sheetId="9878">
        <row r="4">
          <cell r="I4">
            <v>0</v>
          </cell>
        </row>
      </sheetData>
      <sheetData sheetId="9879">
        <row r="4">
          <cell r="I4">
            <v>0</v>
          </cell>
        </row>
      </sheetData>
      <sheetData sheetId="9880">
        <row r="4">
          <cell r="I4">
            <v>0</v>
          </cell>
        </row>
      </sheetData>
      <sheetData sheetId="9881">
        <row r="4">
          <cell r="I4">
            <v>0</v>
          </cell>
        </row>
      </sheetData>
      <sheetData sheetId="9882">
        <row r="4">
          <cell r="I4">
            <v>0</v>
          </cell>
        </row>
      </sheetData>
      <sheetData sheetId="9883">
        <row r="4">
          <cell r="I4">
            <v>0</v>
          </cell>
        </row>
      </sheetData>
      <sheetData sheetId="9884">
        <row r="4">
          <cell r="I4">
            <v>0</v>
          </cell>
        </row>
      </sheetData>
      <sheetData sheetId="9885">
        <row r="4">
          <cell r="I4">
            <v>0</v>
          </cell>
        </row>
      </sheetData>
      <sheetData sheetId="9886">
        <row r="4">
          <cell r="I4">
            <v>0</v>
          </cell>
        </row>
      </sheetData>
      <sheetData sheetId="9887">
        <row r="4">
          <cell r="I4">
            <v>0</v>
          </cell>
        </row>
      </sheetData>
      <sheetData sheetId="9888">
        <row r="4">
          <cell r="I4">
            <v>0</v>
          </cell>
        </row>
      </sheetData>
      <sheetData sheetId="9889">
        <row r="4">
          <cell r="I4">
            <v>0</v>
          </cell>
        </row>
      </sheetData>
      <sheetData sheetId="9890">
        <row r="4">
          <cell r="I4">
            <v>0</v>
          </cell>
        </row>
      </sheetData>
      <sheetData sheetId="9891">
        <row r="4">
          <cell r="I4">
            <v>0</v>
          </cell>
        </row>
      </sheetData>
      <sheetData sheetId="9892">
        <row r="4">
          <cell r="I4">
            <v>0</v>
          </cell>
        </row>
      </sheetData>
      <sheetData sheetId="9893">
        <row r="4">
          <cell r="I4">
            <v>0</v>
          </cell>
        </row>
      </sheetData>
      <sheetData sheetId="9894">
        <row r="4">
          <cell r="I4">
            <v>0</v>
          </cell>
        </row>
      </sheetData>
      <sheetData sheetId="9895">
        <row r="4">
          <cell r="I4">
            <v>0</v>
          </cell>
        </row>
      </sheetData>
      <sheetData sheetId="9896">
        <row r="4">
          <cell r="I4">
            <v>0</v>
          </cell>
        </row>
      </sheetData>
      <sheetData sheetId="9897">
        <row r="4">
          <cell r="I4">
            <v>0</v>
          </cell>
        </row>
      </sheetData>
      <sheetData sheetId="9898">
        <row r="4">
          <cell r="I4">
            <v>0</v>
          </cell>
        </row>
      </sheetData>
      <sheetData sheetId="9899">
        <row r="4">
          <cell r="I4">
            <v>0</v>
          </cell>
        </row>
      </sheetData>
      <sheetData sheetId="9900">
        <row r="4">
          <cell r="I4">
            <v>0</v>
          </cell>
        </row>
      </sheetData>
      <sheetData sheetId="9901">
        <row r="4">
          <cell r="I4">
            <v>0</v>
          </cell>
        </row>
      </sheetData>
      <sheetData sheetId="9902">
        <row r="4">
          <cell r="I4">
            <v>0</v>
          </cell>
        </row>
      </sheetData>
      <sheetData sheetId="9903">
        <row r="4">
          <cell r="I4">
            <v>0</v>
          </cell>
        </row>
      </sheetData>
      <sheetData sheetId="9904">
        <row r="4">
          <cell r="I4">
            <v>0</v>
          </cell>
        </row>
      </sheetData>
      <sheetData sheetId="9905">
        <row r="4">
          <cell r="I4">
            <v>0</v>
          </cell>
        </row>
      </sheetData>
      <sheetData sheetId="9906">
        <row r="4">
          <cell r="I4">
            <v>0</v>
          </cell>
        </row>
      </sheetData>
      <sheetData sheetId="9907">
        <row r="4">
          <cell r="I4">
            <v>0</v>
          </cell>
        </row>
      </sheetData>
      <sheetData sheetId="9908">
        <row r="4">
          <cell r="I4">
            <v>0</v>
          </cell>
        </row>
      </sheetData>
      <sheetData sheetId="9909">
        <row r="4">
          <cell r="I4">
            <v>0</v>
          </cell>
        </row>
      </sheetData>
      <sheetData sheetId="9910">
        <row r="4">
          <cell r="I4">
            <v>0</v>
          </cell>
        </row>
      </sheetData>
      <sheetData sheetId="9911">
        <row r="4">
          <cell r="I4">
            <v>0</v>
          </cell>
        </row>
      </sheetData>
      <sheetData sheetId="9912">
        <row r="4">
          <cell r="I4">
            <v>0</v>
          </cell>
        </row>
      </sheetData>
      <sheetData sheetId="9913">
        <row r="4">
          <cell r="I4">
            <v>0</v>
          </cell>
        </row>
      </sheetData>
      <sheetData sheetId="9914">
        <row r="4">
          <cell r="I4">
            <v>0</v>
          </cell>
        </row>
      </sheetData>
      <sheetData sheetId="9915">
        <row r="4">
          <cell r="I4">
            <v>0</v>
          </cell>
        </row>
      </sheetData>
      <sheetData sheetId="9916">
        <row r="4">
          <cell r="I4">
            <v>0</v>
          </cell>
        </row>
      </sheetData>
      <sheetData sheetId="9917">
        <row r="4">
          <cell r="I4">
            <v>0</v>
          </cell>
        </row>
      </sheetData>
      <sheetData sheetId="9918">
        <row r="4">
          <cell r="I4">
            <v>0</v>
          </cell>
        </row>
      </sheetData>
      <sheetData sheetId="9919">
        <row r="4">
          <cell r="I4">
            <v>0</v>
          </cell>
        </row>
      </sheetData>
      <sheetData sheetId="9920">
        <row r="4">
          <cell r="I4">
            <v>0</v>
          </cell>
        </row>
      </sheetData>
      <sheetData sheetId="9921">
        <row r="4">
          <cell r="I4">
            <v>0</v>
          </cell>
        </row>
      </sheetData>
      <sheetData sheetId="9922">
        <row r="4">
          <cell r="I4">
            <v>0</v>
          </cell>
        </row>
      </sheetData>
      <sheetData sheetId="9923">
        <row r="4">
          <cell r="I4">
            <v>0</v>
          </cell>
        </row>
      </sheetData>
      <sheetData sheetId="9924">
        <row r="4">
          <cell r="I4">
            <v>0</v>
          </cell>
        </row>
      </sheetData>
      <sheetData sheetId="9925">
        <row r="4">
          <cell r="I4">
            <v>0</v>
          </cell>
        </row>
      </sheetData>
      <sheetData sheetId="9926">
        <row r="4">
          <cell r="I4">
            <v>0</v>
          </cell>
        </row>
      </sheetData>
      <sheetData sheetId="9927">
        <row r="4">
          <cell r="I4">
            <v>0</v>
          </cell>
        </row>
      </sheetData>
      <sheetData sheetId="9928">
        <row r="4">
          <cell r="I4">
            <v>0</v>
          </cell>
        </row>
      </sheetData>
      <sheetData sheetId="9929">
        <row r="4">
          <cell r="I4">
            <v>0</v>
          </cell>
        </row>
      </sheetData>
      <sheetData sheetId="9930">
        <row r="4">
          <cell r="I4">
            <v>0</v>
          </cell>
        </row>
      </sheetData>
      <sheetData sheetId="9931">
        <row r="4">
          <cell r="I4">
            <v>0</v>
          </cell>
        </row>
      </sheetData>
      <sheetData sheetId="9932">
        <row r="4">
          <cell r="I4">
            <v>0</v>
          </cell>
        </row>
      </sheetData>
      <sheetData sheetId="9933">
        <row r="4">
          <cell r="I4">
            <v>0</v>
          </cell>
        </row>
      </sheetData>
      <sheetData sheetId="9934">
        <row r="4">
          <cell r="I4">
            <v>0</v>
          </cell>
        </row>
      </sheetData>
      <sheetData sheetId="9935">
        <row r="4">
          <cell r="I4">
            <v>0</v>
          </cell>
        </row>
      </sheetData>
      <sheetData sheetId="9936">
        <row r="4">
          <cell r="I4">
            <v>0</v>
          </cell>
        </row>
      </sheetData>
      <sheetData sheetId="9937">
        <row r="4">
          <cell r="I4">
            <v>0</v>
          </cell>
        </row>
      </sheetData>
      <sheetData sheetId="9938">
        <row r="4">
          <cell r="I4">
            <v>0</v>
          </cell>
        </row>
      </sheetData>
      <sheetData sheetId="9939">
        <row r="4">
          <cell r="I4">
            <v>0</v>
          </cell>
        </row>
      </sheetData>
      <sheetData sheetId="9940">
        <row r="4">
          <cell r="I4">
            <v>0</v>
          </cell>
        </row>
      </sheetData>
      <sheetData sheetId="9941">
        <row r="4">
          <cell r="I4">
            <v>0</v>
          </cell>
        </row>
      </sheetData>
      <sheetData sheetId="9942">
        <row r="4">
          <cell r="I4">
            <v>0</v>
          </cell>
        </row>
      </sheetData>
      <sheetData sheetId="9943">
        <row r="4">
          <cell r="I4">
            <v>0</v>
          </cell>
        </row>
      </sheetData>
      <sheetData sheetId="9944">
        <row r="4">
          <cell r="I4">
            <v>0</v>
          </cell>
        </row>
      </sheetData>
      <sheetData sheetId="9945">
        <row r="4">
          <cell r="I4">
            <v>0</v>
          </cell>
        </row>
      </sheetData>
      <sheetData sheetId="9946">
        <row r="4">
          <cell r="I4">
            <v>0</v>
          </cell>
        </row>
      </sheetData>
      <sheetData sheetId="9947">
        <row r="4">
          <cell r="I4">
            <v>0</v>
          </cell>
        </row>
      </sheetData>
      <sheetData sheetId="9948">
        <row r="4">
          <cell r="I4">
            <v>0</v>
          </cell>
        </row>
      </sheetData>
      <sheetData sheetId="9949">
        <row r="4">
          <cell r="I4">
            <v>0</v>
          </cell>
        </row>
      </sheetData>
      <sheetData sheetId="9950">
        <row r="4">
          <cell r="I4">
            <v>0</v>
          </cell>
        </row>
      </sheetData>
      <sheetData sheetId="9951">
        <row r="4">
          <cell r="I4">
            <v>0</v>
          </cell>
        </row>
      </sheetData>
      <sheetData sheetId="9952">
        <row r="4">
          <cell r="I4">
            <v>0</v>
          </cell>
        </row>
      </sheetData>
      <sheetData sheetId="9953">
        <row r="4">
          <cell r="I4">
            <v>0</v>
          </cell>
        </row>
      </sheetData>
      <sheetData sheetId="9954">
        <row r="4">
          <cell r="I4">
            <v>0</v>
          </cell>
        </row>
      </sheetData>
      <sheetData sheetId="9955">
        <row r="4">
          <cell r="I4">
            <v>0</v>
          </cell>
        </row>
      </sheetData>
      <sheetData sheetId="9956">
        <row r="4">
          <cell r="I4">
            <v>0</v>
          </cell>
        </row>
      </sheetData>
      <sheetData sheetId="9957">
        <row r="4">
          <cell r="I4">
            <v>0</v>
          </cell>
        </row>
      </sheetData>
      <sheetData sheetId="9958">
        <row r="4">
          <cell r="I4">
            <v>0</v>
          </cell>
        </row>
      </sheetData>
      <sheetData sheetId="9959">
        <row r="4">
          <cell r="I4">
            <v>0</v>
          </cell>
        </row>
      </sheetData>
      <sheetData sheetId="9960">
        <row r="4">
          <cell r="I4">
            <v>0</v>
          </cell>
        </row>
      </sheetData>
      <sheetData sheetId="9961">
        <row r="4">
          <cell r="I4">
            <v>0</v>
          </cell>
        </row>
      </sheetData>
      <sheetData sheetId="9962">
        <row r="4">
          <cell r="I4">
            <v>0</v>
          </cell>
        </row>
      </sheetData>
      <sheetData sheetId="9963">
        <row r="4">
          <cell r="I4">
            <v>0</v>
          </cell>
        </row>
      </sheetData>
      <sheetData sheetId="9964">
        <row r="4">
          <cell r="I4">
            <v>0</v>
          </cell>
        </row>
      </sheetData>
      <sheetData sheetId="9965">
        <row r="4">
          <cell r="I4">
            <v>0</v>
          </cell>
        </row>
      </sheetData>
      <sheetData sheetId="9966">
        <row r="4">
          <cell r="I4">
            <v>0</v>
          </cell>
        </row>
      </sheetData>
      <sheetData sheetId="9967">
        <row r="4">
          <cell r="I4">
            <v>0</v>
          </cell>
        </row>
      </sheetData>
      <sheetData sheetId="9968">
        <row r="4">
          <cell r="I4">
            <v>0</v>
          </cell>
        </row>
      </sheetData>
      <sheetData sheetId="9969">
        <row r="4">
          <cell r="I4">
            <v>0</v>
          </cell>
        </row>
      </sheetData>
      <sheetData sheetId="9970">
        <row r="4">
          <cell r="I4">
            <v>0</v>
          </cell>
        </row>
      </sheetData>
      <sheetData sheetId="9971">
        <row r="4">
          <cell r="I4">
            <v>0</v>
          </cell>
        </row>
      </sheetData>
      <sheetData sheetId="9972">
        <row r="4">
          <cell r="I4">
            <v>0</v>
          </cell>
        </row>
      </sheetData>
      <sheetData sheetId="9973">
        <row r="4">
          <cell r="I4">
            <v>0</v>
          </cell>
        </row>
      </sheetData>
      <sheetData sheetId="9974">
        <row r="4">
          <cell r="I4">
            <v>0</v>
          </cell>
        </row>
      </sheetData>
      <sheetData sheetId="9975">
        <row r="4">
          <cell r="I4">
            <v>0</v>
          </cell>
        </row>
      </sheetData>
      <sheetData sheetId="9976">
        <row r="4">
          <cell r="I4">
            <v>0</v>
          </cell>
        </row>
      </sheetData>
      <sheetData sheetId="9977">
        <row r="4">
          <cell r="I4">
            <v>0</v>
          </cell>
        </row>
      </sheetData>
      <sheetData sheetId="9978">
        <row r="4">
          <cell r="I4">
            <v>0</v>
          </cell>
        </row>
      </sheetData>
      <sheetData sheetId="9979">
        <row r="4">
          <cell r="I4">
            <v>0</v>
          </cell>
        </row>
      </sheetData>
      <sheetData sheetId="9980">
        <row r="4">
          <cell r="I4">
            <v>0</v>
          </cell>
        </row>
      </sheetData>
      <sheetData sheetId="9981">
        <row r="4">
          <cell r="I4">
            <v>0</v>
          </cell>
        </row>
      </sheetData>
      <sheetData sheetId="9982">
        <row r="4">
          <cell r="I4">
            <v>0</v>
          </cell>
        </row>
      </sheetData>
      <sheetData sheetId="9983">
        <row r="4">
          <cell r="I4">
            <v>0</v>
          </cell>
        </row>
      </sheetData>
      <sheetData sheetId="9984">
        <row r="4">
          <cell r="I4">
            <v>0</v>
          </cell>
        </row>
      </sheetData>
      <sheetData sheetId="9985">
        <row r="4">
          <cell r="I4">
            <v>0</v>
          </cell>
        </row>
      </sheetData>
      <sheetData sheetId="9986">
        <row r="4">
          <cell r="I4">
            <v>0</v>
          </cell>
        </row>
      </sheetData>
      <sheetData sheetId="9987">
        <row r="4">
          <cell r="I4">
            <v>0</v>
          </cell>
        </row>
      </sheetData>
      <sheetData sheetId="9988">
        <row r="4">
          <cell r="I4">
            <v>0</v>
          </cell>
        </row>
      </sheetData>
      <sheetData sheetId="9989">
        <row r="4">
          <cell r="I4">
            <v>0</v>
          </cell>
        </row>
      </sheetData>
      <sheetData sheetId="9990">
        <row r="4">
          <cell r="I4">
            <v>0</v>
          </cell>
        </row>
      </sheetData>
      <sheetData sheetId="9991">
        <row r="4">
          <cell r="I4">
            <v>0</v>
          </cell>
        </row>
      </sheetData>
      <sheetData sheetId="9992">
        <row r="4">
          <cell r="I4">
            <v>0</v>
          </cell>
        </row>
      </sheetData>
      <sheetData sheetId="9993">
        <row r="4">
          <cell r="I4">
            <v>0</v>
          </cell>
        </row>
      </sheetData>
      <sheetData sheetId="9994">
        <row r="4">
          <cell r="I4">
            <v>0</v>
          </cell>
        </row>
      </sheetData>
      <sheetData sheetId="9995">
        <row r="4">
          <cell r="I4">
            <v>0</v>
          </cell>
        </row>
      </sheetData>
      <sheetData sheetId="9996">
        <row r="4">
          <cell r="I4">
            <v>0</v>
          </cell>
        </row>
      </sheetData>
      <sheetData sheetId="9997">
        <row r="4">
          <cell r="I4">
            <v>0</v>
          </cell>
        </row>
      </sheetData>
      <sheetData sheetId="9998">
        <row r="4">
          <cell r="I4">
            <v>0</v>
          </cell>
        </row>
      </sheetData>
      <sheetData sheetId="9999">
        <row r="4">
          <cell r="I4">
            <v>0</v>
          </cell>
        </row>
      </sheetData>
      <sheetData sheetId="10000">
        <row r="4">
          <cell r="I4">
            <v>0</v>
          </cell>
        </row>
      </sheetData>
      <sheetData sheetId="10001">
        <row r="4">
          <cell r="I4">
            <v>0</v>
          </cell>
        </row>
      </sheetData>
      <sheetData sheetId="10002">
        <row r="4">
          <cell r="I4">
            <v>0</v>
          </cell>
        </row>
      </sheetData>
      <sheetData sheetId="10003">
        <row r="4">
          <cell r="I4">
            <v>0</v>
          </cell>
        </row>
      </sheetData>
      <sheetData sheetId="10004">
        <row r="4">
          <cell r="I4">
            <v>0</v>
          </cell>
        </row>
      </sheetData>
      <sheetData sheetId="10005">
        <row r="4">
          <cell r="I4">
            <v>0</v>
          </cell>
        </row>
      </sheetData>
      <sheetData sheetId="10006">
        <row r="4">
          <cell r="I4">
            <v>0</v>
          </cell>
        </row>
      </sheetData>
      <sheetData sheetId="10007">
        <row r="4">
          <cell r="I4">
            <v>0</v>
          </cell>
        </row>
      </sheetData>
      <sheetData sheetId="10008">
        <row r="4">
          <cell r="I4">
            <v>0</v>
          </cell>
        </row>
      </sheetData>
      <sheetData sheetId="10009">
        <row r="4">
          <cell r="I4">
            <v>0</v>
          </cell>
        </row>
      </sheetData>
      <sheetData sheetId="10010">
        <row r="4">
          <cell r="I4">
            <v>0</v>
          </cell>
        </row>
      </sheetData>
      <sheetData sheetId="10011">
        <row r="4">
          <cell r="I4">
            <v>0</v>
          </cell>
        </row>
      </sheetData>
      <sheetData sheetId="10012">
        <row r="4">
          <cell r="I4">
            <v>0</v>
          </cell>
        </row>
      </sheetData>
      <sheetData sheetId="10013">
        <row r="4">
          <cell r="I4">
            <v>0</v>
          </cell>
        </row>
      </sheetData>
      <sheetData sheetId="10014">
        <row r="4">
          <cell r="I4">
            <v>0</v>
          </cell>
        </row>
      </sheetData>
      <sheetData sheetId="10015">
        <row r="4">
          <cell r="I4">
            <v>0</v>
          </cell>
        </row>
      </sheetData>
      <sheetData sheetId="10016">
        <row r="4">
          <cell r="I4">
            <v>0</v>
          </cell>
        </row>
      </sheetData>
      <sheetData sheetId="10017">
        <row r="4">
          <cell r="I4">
            <v>0</v>
          </cell>
        </row>
      </sheetData>
      <sheetData sheetId="10018">
        <row r="4">
          <cell r="I4">
            <v>0</v>
          </cell>
        </row>
      </sheetData>
      <sheetData sheetId="10019">
        <row r="4">
          <cell r="I4">
            <v>0</v>
          </cell>
        </row>
      </sheetData>
      <sheetData sheetId="10020">
        <row r="4">
          <cell r="I4">
            <v>0</v>
          </cell>
        </row>
      </sheetData>
      <sheetData sheetId="10021">
        <row r="4">
          <cell r="I4">
            <v>0</v>
          </cell>
        </row>
      </sheetData>
      <sheetData sheetId="10022">
        <row r="4">
          <cell r="I4">
            <v>0</v>
          </cell>
        </row>
      </sheetData>
      <sheetData sheetId="10023">
        <row r="4">
          <cell r="I4">
            <v>0</v>
          </cell>
        </row>
      </sheetData>
      <sheetData sheetId="10024">
        <row r="4">
          <cell r="I4">
            <v>0</v>
          </cell>
        </row>
      </sheetData>
      <sheetData sheetId="10025">
        <row r="4">
          <cell r="I4">
            <v>0</v>
          </cell>
        </row>
      </sheetData>
      <sheetData sheetId="10026">
        <row r="4">
          <cell r="I4">
            <v>0</v>
          </cell>
        </row>
      </sheetData>
      <sheetData sheetId="10027">
        <row r="4">
          <cell r="I4">
            <v>0</v>
          </cell>
        </row>
      </sheetData>
      <sheetData sheetId="10028">
        <row r="4">
          <cell r="I4">
            <v>0</v>
          </cell>
        </row>
      </sheetData>
      <sheetData sheetId="10029">
        <row r="4">
          <cell r="I4">
            <v>0</v>
          </cell>
        </row>
      </sheetData>
      <sheetData sheetId="10030">
        <row r="4">
          <cell r="I4">
            <v>0</v>
          </cell>
        </row>
      </sheetData>
      <sheetData sheetId="10031">
        <row r="4">
          <cell r="I4">
            <v>0</v>
          </cell>
        </row>
      </sheetData>
      <sheetData sheetId="10032">
        <row r="4">
          <cell r="I4">
            <v>0</v>
          </cell>
        </row>
      </sheetData>
      <sheetData sheetId="10033">
        <row r="4">
          <cell r="I4">
            <v>0</v>
          </cell>
        </row>
      </sheetData>
      <sheetData sheetId="10034">
        <row r="4">
          <cell r="I4">
            <v>0</v>
          </cell>
        </row>
      </sheetData>
      <sheetData sheetId="10035">
        <row r="4">
          <cell r="I4">
            <v>0</v>
          </cell>
        </row>
      </sheetData>
      <sheetData sheetId="10036">
        <row r="4">
          <cell r="I4">
            <v>0</v>
          </cell>
        </row>
      </sheetData>
      <sheetData sheetId="10037">
        <row r="4">
          <cell r="I4">
            <v>0</v>
          </cell>
        </row>
      </sheetData>
      <sheetData sheetId="10038">
        <row r="4">
          <cell r="I4">
            <v>0</v>
          </cell>
        </row>
      </sheetData>
      <sheetData sheetId="10039">
        <row r="4">
          <cell r="I4">
            <v>0</v>
          </cell>
        </row>
      </sheetData>
      <sheetData sheetId="10040">
        <row r="4">
          <cell r="I4">
            <v>0</v>
          </cell>
        </row>
      </sheetData>
      <sheetData sheetId="10041">
        <row r="4">
          <cell r="I4">
            <v>0</v>
          </cell>
        </row>
      </sheetData>
      <sheetData sheetId="10042">
        <row r="4">
          <cell r="I4">
            <v>0</v>
          </cell>
        </row>
      </sheetData>
      <sheetData sheetId="10043">
        <row r="4">
          <cell r="I4">
            <v>0</v>
          </cell>
        </row>
      </sheetData>
      <sheetData sheetId="10044">
        <row r="4">
          <cell r="I4">
            <v>0</v>
          </cell>
        </row>
      </sheetData>
      <sheetData sheetId="10045">
        <row r="4">
          <cell r="I4">
            <v>0</v>
          </cell>
        </row>
      </sheetData>
      <sheetData sheetId="10046">
        <row r="4">
          <cell r="I4">
            <v>0</v>
          </cell>
        </row>
      </sheetData>
      <sheetData sheetId="10047">
        <row r="4">
          <cell r="I4">
            <v>0</v>
          </cell>
        </row>
      </sheetData>
      <sheetData sheetId="10048">
        <row r="4">
          <cell r="I4">
            <v>0</v>
          </cell>
        </row>
      </sheetData>
      <sheetData sheetId="10049">
        <row r="4">
          <cell r="I4">
            <v>0</v>
          </cell>
        </row>
      </sheetData>
      <sheetData sheetId="10050">
        <row r="4">
          <cell r="I4">
            <v>0</v>
          </cell>
        </row>
      </sheetData>
      <sheetData sheetId="10051">
        <row r="4">
          <cell r="I4">
            <v>0</v>
          </cell>
        </row>
      </sheetData>
      <sheetData sheetId="10052">
        <row r="4">
          <cell r="I4">
            <v>0</v>
          </cell>
        </row>
      </sheetData>
      <sheetData sheetId="10053">
        <row r="4">
          <cell r="I4">
            <v>0</v>
          </cell>
        </row>
      </sheetData>
      <sheetData sheetId="10054">
        <row r="4">
          <cell r="I4">
            <v>0</v>
          </cell>
        </row>
      </sheetData>
      <sheetData sheetId="10055">
        <row r="4">
          <cell r="I4">
            <v>0</v>
          </cell>
        </row>
      </sheetData>
      <sheetData sheetId="10056">
        <row r="4">
          <cell r="I4">
            <v>0</v>
          </cell>
        </row>
      </sheetData>
      <sheetData sheetId="10057">
        <row r="4">
          <cell r="I4">
            <v>0</v>
          </cell>
        </row>
      </sheetData>
      <sheetData sheetId="10058">
        <row r="4">
          <cell r="I4">
            <v>0</v>
          </cell>
        </row>
      </sheetData>
      <sheetData sheetId="10059">
        <row r="4">
          <cell r="I4">
            <v>0</v>
          </cell>
        </row>
      </sheetData>
      <sheetData sheetId="10060">
        <row r="4">
          <cell r="I4">
            <v>0</v>
          </cell>
        </row>
      </sheetData>
      <sheetData sheetId="10061">
        <row r="4">
          <cell r="I4">
            <v>0</v>
          </cell>
        </row>
      </sheetData>
      <sheetData sheetId="10062">
        <row r="4">
          <cell r="I4">
            <v>0</v>
          </cell>
        </row>
      </sheetData>
      <sheetData sheetId="10063">
        <row r="4">
          <cell r="I4">
            <v>0</v>
          </cell>
        </row>
      </sheetData>
      <sheetData sheetId="10064">
        <row r="4">
          <cell r="I4">
            <v>0</v>
          </cell>
        </row>
      </sheetData>
      <sheetData sheetId="10065">
        <row r="4">
          <cell r="I4">
            <v>0</v>
          </cell>
        </row>
      </sheetData>
      <sheetData sheetId="10066">
        <row r="4">
          <cell r="I4">
            <v>0</v>
          </cell>
        </row>
      </sheetData>
      <sheetData sheetId="10067">
        <row r="4">
          <cell r="I4">
            <v>0</v>
          </cell>
        </row>
      </sheetData>
      <sheetData sheetId="10068">
        <row r="4">
          <cell r="I4">
            <v>0</v>
          </cell>
        </row>
      </sheetData>
      <sheetData sheetId="10069">
        <row r="4">
          <cell r="I4">
            <v>0</v>
          </cell>
        </row>
      </sheetData>
      <sheetData sheetId="10070">
        <row r="4">
          <cell r="I4">
            <v>0</v>
          </cell>
        </row>
      </sheetData>
      <sheetData sheetId="10071">
        <row r="4">
          <cell r="I4">
            <v>0</v>
          </cell>
        </row>
      </sheetData>
      <sheetData sheetId="10072">
        <row r="4">
          <cell r="I4">
            <v>0</v>
          </cell>
        </row>
      </sheetData>
      <sheetData sheetId="10073">
        <row r="4">
          <cell r="I4">
            <v>0</v>
          </cell>
        </row>
      </sheetData>
      <sheetData sheetId="10074">
        <row r="4">
          <cell r="I4">
            <v>0</v>
          </cell>
        </row>
      </sheetData>
      <sheetData sheetId="10075">
        <row r="4">
          <cell r="I4">
            <v>0</v>
          </cell>
        </row>
      </sheetData>
      <sheetData sheetId="10076">
        <row r="4">
          <cell r="I4">
            <v>0</v>
          </cell>
        </row>
      </sheetData>
      <sheetData sheetId="10077">
        <row r="4">
          <cell r="I4">
            <v>0</v>
          </cell>
        </row>
      </sheetData>
      <sheetData sheetId="10078">
        <row r="4">
          <cell r="I4">
            <v>0</v>
          </cell>
        </row>
      </sheetData>
      <sheetData sheetId="10079">
        <row r="4">
          <cell r="I4">
            <v>0</v>
          </cell>
        </row>
      </sheetData>
      <sheetData sheetId="10080">
        <row r="4">
          <cell r="I4">
            <v>0</v>
          </cell>
        </row>
      </sheetData>
      <sheetData sheetId="10081">
        <row r="4">
          <cell r="I4">
            <v>0</v>
          </cell>
        </row>
      </sheetData>
      <sheetData sheetId="10082">
        <row r="4">
          <cell r="I4">
            <v>0</v>
          </cell>
        </row>
      </sheetData>
      <sheetData sheetId="10083">
        <row r="4">
          <cell r="I4">
            <v>0</v>
          </cell>
        </row>
      </sheetData>
      <sheetData sheetId="10084">
        <row r="4">
          <cell r="I4">
            <v>0</v>
          </cell>
        </row>
      </sheetData>
      <sheetData sheetId="10085">
        <row r="4">
          <cell r="I4">
            <v>0</v>
          </cell>
        </row>
      </sheetData>
      <sheetData sheetId="10086">
        <row r="4">
          <cell r="I4">
            <v>0</v>
          </cell>
        </row>
      </sheetData>
      <sheetData sheetId="10087">
        <row r="4">
          <cell r="I4">
            <v>0</v>
          </cell>
        </row>
      </sheetData>
      <sheetData sheetId="10088">
        <row r="4">
          <cell r="I4">
            <v>0</v>
          </cell>
        </row>
      </sheetData>
      <sheetData sheetId="10089">
        <row r="4">
          <cell r="I4">
            <v>0</v>
          </cell>
        </row>
      </sheetData>
      <sheetData sheetId="10090">
        <row r="4">
          <cell r="I4">
            <v>0</v>
          </cell>
        </row>
      </sheetData>
      <sheetData sheetId="10091">
        <row r="4">
          <cell r="I4">
            <v>0</v>
          </cell>
        </row>
      </sheetData>
      <sheetData sheetId="10092">
        <row r="4">
          <cell r="I4">
            <v>0</v>
          </cell>
        </row>
      </sheetData>
      <sheetData sheetId="10093">
        <row r="4">
          <cell r="I4">
            <v>0</v>
          </cell>
        </row>
      </sheetData>
      <sheetData sheetId="10094">
        <row r="4">
          <cell r="I4">
            <v>0</v>
          </cell>
        </row>
      </sheetData>
      <sheetData sheetId="10095">
        <row r="4">
          <cell r="I4">
            <v>0</v>
          </cell>
        </row>
      </sheetData>
      <sheetData sheetId="10096">
        <row r="4">
          <cell r="I4">
            <v>0</v>
          </cell>
        </row>
      </sheetData>
      <sheetData sheetId="10097">
        <row r="4">
          <cell r="I4">
            <v>0</v>
          </cell>
        </row>
      </sheetData>
      <sheetData sheetId="10098">
        <row r="4">
          <cell r="I4">
            <v>0</v>
          </cell>
        </row>
      </sheetData>
      <sheetData sheetId="10099">
        <row r="4">
          <cell r="I4">
            <v>0</v>
          </cell>
        </row>
      </sheetData>
      <sheetData sheetId="10100">
        <row r="4">
          <cell r="I4">
            <v>0</v>
          </cell>
        </row>
      </sheetData>
      <sheetData sheetId="10101">
        <row r="4">
          <cell r="I4">
            <v>0</v>
          </cell>
        </row>
      </sheetData>
      <sheetData sheetId="10102">
        <row r="4">
          <cell r="I4">
            <v>0</v>
          </cell>
        </row>
      </sheetData>
      <sheetData sheetId="10103">
        <row r="4">
          <cell r="I4">
            <v>0</v>
          </cell>
        </row>
      </sheetData>
      <sheetData sheetId="10104">
        <row r="4">
          <cell r="I4">
            <v>0</v>
          </cell>
        </row>
      </sheetData>
      <sheetData sheetId="10105">
        <row r="4">
          <cell r="I4">
            <v>0</v>
          </cell>
        </row>
      </sheetData>
      <sheetData sheetId="10106">
        <row r="4">
          <cell r="I4">
            <v>0</v>
          </cell>
        </row>
      </sheetData>
      <sheetData sheetId="10107">
        <row r="4">
          <cell r="I4">
            <v>0</v>
          </cell>
        </row>
      </sheetData>
      <sheetData sheetId="10108">
        <row r="4">
          <cell r="I4">
            <v>0</v>
          </cell>
        </row>
      </sheetData>
      <sheetData sheetId="10109">
        <row r="4">
          <cell r="I4">
            <v>0</v>
          </cell>
        </row>
      </sheetData>
      <sheetData sheetId="10110">
        <row r="4">
          <cell r="I4">
            <v>0</v>
          </cell>
        </row>
      </sheetData>
      <sheetData sheetId="10111">
        <row r="4">
          <cell r="I4">
            <v>0</v>
          </cell>
        </row>
      </sheetData>
      <sheetData sheetId="10112">
        <row r="4">
          <cell r="I4">
            <v>0</v>
          </cell>
        </row>
      </sheetData>
      <sheetData sheetId="10113">
        <row r="4">
          <cell r="I4">
            <v>0</v>
          </cell>
        </row>
      </sheetData>
      <sheetData sheetId="10114">
        <row r="4">
          <cell r="I4">
            <v>0</v>
          </cell>
        </row>
      </sheetData>
      <sheetData sheetId="10115">
        <row r="4">
          <cell r="I4">
            <v>0</v>
          </cell>
        </row>
      </sheetData>
      <sheetData sheetId="10116">
        <row r="4">
          <cell r="I4">
            <v>0</v>
          </cell>
        </row>
      </sheetData>
      <sheetData sheetId="10117">
        <row r="4">
          <cell r="I4">
            <v>0</v>
          </cell>
        </row>
      </sheetData>
      <sheetData sheetId="10118">
        <row r="4">
          <cell r="I4">
            <v>0</v>
          </cell>
        </row>
      </sheetData>
      <sheetData sheetId="10119">
        <row r="4">
          <cell r="I4">
            <v>0</v>
          </cell>
        </row>
      </sheetData>
      <sheetData sheetId="10120">
        <row r="4">
          <cell r="I4">
            <v>0</v>
          </cell>
        </row>
      </sheetData>
      <sheetData sheetId="10121">
        <row r="4">
          <cell r="I4">
            <v>0</v>
          </cell>
        </row>
      </sheetData>
      <sheetData sheetId="10122">
        <row r="4">
          <cell r="I4">
            <v>0</v>
          </cell>
        </row>
      </sheetData>
      <sheetData sheetId="10123">
        <row r="4">
          <cell r="I4">
            <v>0</v>
          </cell>
        </row>
      </sheetData>
      <sheetData sheetId="10124">
        <row r="4">
          <cell r="I4">
            <v>0</v>
          </cell>
        </row>
      </sheetData>
      <sheetData sheetId="10125">
        <row r="4">
          <cell r="I4">
            <v>0</v>
          </cell>
        </row>
      </sheetData>
      <sheetData sheetId="10126">
        <row r="4">
          <cell r="I4">
            <v>0</v>
          </cell>
        </row>
      </sheetData>
      <sheetData sheetId="10127">
        <row r="4">
          <cell r="I4">
            <v>0</v>
          </cell>
        </row>
      </sheetData>
      <sheetData sheetId="10128">
        <row r="4">
          <cell r="I4">
            <v>0</v>
          </cell>
        </row>
      </sheetData>
      <sheetData sheetId="10129">
        <row r="4">
          <cell r="I4">
            <v>0</v>
          </cell>
        </row>
      </sheetData>
      <sheetData sheetId="10130">
        <row r="4">
          <cell r="I4">
            <v>0</v>
          </cell>
        </row>
      </sheetData>
      <sheetData sheetId="10131">
        <row r="4">
          <cell r="I4">
            <v>0</v>
          </cell>
        </row>
      </sheetData>
      <sheetData sheetId="10132">
        <row r="4">
          <cell r="I4">
            <v>0</v>
          </cell>
        </row>
      </sheetData>
      <sheetData sheetId="10133">
        <row r="4">
          <cell r="I4">
            <v>0</v>
          </cell>
        </row>
      </sheetData>
      <sheetData sheetId="10134">
        <row r="4">
          <cell r="I4">
            <v>0</v>
          </cell>
        </row>
      </sheetData>
      <sheetData sheetId="10135">
        <row r="4">
          <cell r="I4">
            <v>0</v>
          </cell>
        </row>
      </sheetData>
      <sheetData sheetId="10136">
        <row r="4">
          <cell r="I4">
            <v>0</v>
          </cell>
        </row>
      </sheetData>
      <sheetData sheetId="10137">
        <row r="4">
          <cell r="I4">
            <v>0</v>
          </cell>
        </row>
      </sheetData>
      <sheetData sheetId="10138">
        <row r="4">
          <cell r="I4">
            <v>0</v>
          </cell>
        </row>
      </sheetData>
      <sheetData sheetId="10139">
        <row r="4">
          <cell r="I4">
            <v>0</v>
          </cell>
        </row>
      </sheetData>
      <sheetData sheetId="10140">
        <row r="4">
          <cell r="I4">
            <v>0</v>
          </cell>
        </row>
      </sheetData>
      <sheetData sheetId="10141">
        <row r="4">
          <cell r="I4">
            <v>0</v>
          </cell>
        </row>
      </sheetData>
      <sheetData sheetId="10142">
        <row r="4">
          <cell r="I4">
            <v>0</v>
          </cell>
        </row>
      </sheetData>
      <sheetData sheetId="10143">
        <row r="4">
          <cell r="I4">
            <v>0</v>
          </cell>
        </row>
      </sheetData>
      <sheetData sheetId="10144">
        <row r="4">
          <cell r="I4">
            <v>0</v>
          </cell>
        </row>
      </sheetData>
      <sheetData sheetId="10145">
        <row r="4">
          <cell r="I4">
            <v>0</v>
          </cell>
        </row>
      </sheetData>
      <sheetData sheetId="10146">
        <row r="4">
          <cell r="I4">
            <v>0</v>
          </cell>
        </row>
      </sheetData>
      <sheetData sheetId="10147">
        <row r="4">
          <cell r="I4">
            <v>0</v>
          </cell>
        </row>
      </sheetData>
      <sheetData sheetId="10148">
        <row r="4">
          <cell r="I4">
            <v>0</v>
          </cell>
        </row>
      </sheetData>
      <sheetData sheetId="10149">
        <row r="4">
          <cell r="I4">
            <v>0</v>
          </cell>
        </row>
      </sheetData>
      <sheetData sheetId="10150">
        <row r="4">
          <cell r="I4">
            <v>0</v>
          </cell>
        </row>
      </sheetData>
      <sheetData sheetId="10151">
        <row r="4">
          <cell r="I4">
            <v>0</v>
          </cell>
        </row>
      </sheetData>
      <sheetData sheetId="10152">
        <row r="4">
          <cell r="I4">
            <v>0</v>
          </cell>
        </row>
      </sheetData>
      <sheetData sheetId="10153">
        <row r="4">
          <cell r="I4">
            <v>0</v>
          </cell>
        </row>
      </sheetData>
      <sheetData sheetId="10154">
        <row r="4">
          <cell r="I4">
            <v>0</v>
          </cell>
        </row>
      </sheetData>
      <sheetData sheetId="10155">
        <row r="4">
          <cell r="I4">
            <v>0</v>
          </cell>
        </row>
      </sheetData>
      <sheetData sheetId="10156">
        <row r="4">
          <cell r="I4">
            <v>0</v>
          </cell>
        </row>
      </sheetData>
      <sheetData sheetId="10157">
        <row r="4">
          <cell r="I4">
            <v>0</v>
          </cell>
        </row>
      </sheetData>
      <sheetData sheetId="10158">
        <row r="4">
          <cell r="I4">
            <v>0</v>
          </cell>
        </row>
      </sheetData>
      <sheetData sheetId="10159">
        <row r="4">
          <cell r="I4">
            <v>0</v>
          </cell>
        </row>
      </sheetData>
      <sheetData sheetId="10160">
        <row r="4">
          <cell r="I4">
            <v>0</v>
          </cell>
        </row>
      </sheetData>
      <sheetData sheetId="10161">
        <row r="4">
          <cell r="I4">
            <v>0</v>
          </cell>
        </row>
      </sheetData>
      <sheetData sheetId="10162">
        <row r="4">
          <cell r="I4">
            <v>0</v>
          </cell>
        </row>
      </sheetData>
      <sheetData sheetId="10163">
        <row r="4">
          <cell r="I4">
            <v>0</v>
          </cell>
        </row>
      </sheetData>
      <sheetData sheetId="10164">
        <row r="4">
          <cell r="I4">
            <v>0</v>
          </cell>
        </row>
      </sheetData>
      <sheetData sheetId="10165">
        <row r="4">
          <cell r="I4">
            <v>0</v>
          </cell>
        </row>
      </sheetData>
      <sheetData sheetId="10166">
        <row r="4">
          <cell r="I4">
            <v>0</v>
          </cell>
        </row>
      </sheetData>
      <sheetData sheetId="10167">
        <row r="4">
          <cell r="I4">
            <v>0</v>
          </cell>
        </row>
      </sheetData>
      <sheetData sheetId="10168">
        <row r="4">
          <cell r="I4">
            <v>0</v>
          </cell>
        </row>
      </sheetData>
      <sheetData sheetId="10169">
        <row r="4">
          <cell r="I4">
            <v>0</v>
          </cell>
        </row>
      </sheetData>
      <sheetData sheetId="10170">
        <row r="4">
          <cell r="I4">
            <v>0</v>
          </cell>
        </row>
      </sheetData>
      <sheetData sheetId="10171">
        <row r="4">
          <cell r="I4">
            <v>0</v>
          </cell>
        </row>
      </sheetData>
      <sheetData sheetId="10172">
        <row r="4">
          <cell r="I4">
            <v>0</v>
          </cell>
        </row>
      </sheetData>
      <sheetData sheetId="10173">
        <row r="4">
          <cell r="I4">
            <v>0</v>
          </cell>
        </row>
      </sheetData>
      <sheetData sheetId="10174">
        <row r="4">
          <cell r="I4">
            <v>0</v>
          </cell>
        </row>
      </sheetData>
      <sheetData sheetId="10175">
        <row r="4">
          <cell r="I4">
            <v>0</v>
          </cell>
        </row>
      </sheetData>
      <sheetData sheetId="10176">
        <row r="4">
          <cell r="I4">
            <v>0</v>
          </cell>
        </row>
      </sheetData>
      <sheetData sheetId="10177">
        <row r="4">
          <cell r="I4">
            <v>0</v>
          </cell>
        </row>
      </sheetData>
      <sheetData sheetId="10178">
        <row r="4">
          <cell r="I4">
            <v>0</v>
          </cell>
        </row>
      </sheetData>
      <sheetData sheetId="10179">
        <row r="4">
          <cell r="I4">
            <v>0</v>
          </cell>
        </row>
      </sheetData>
      <sheetData sheetId="10180">
        <row r="4">
          <cell r="I4">
            <v>0</v>
          </cell>
        </row>
      </sheetData>
      <sheetData sheetId="10181">
        <row r="4">
          <cell r="I4">
            <v>0</v>
          </cell>
        </row>
      </sheetData>
      <sheetData sheetId="10182">
        <row r="4">
          <cell r="I4">
            <v>0</v>
          </cell>
        </row>
      </sheetData>
      <sheetData sheetId="10183">
        <row r="4">
          <cell r="I4">
            <v>0</v>
          </cell>
        </row>
      </sheetData>
      <sheetData sheetId="10184">
        <row r="4">
          <cell r="I4">
            <v>0</v>
          </cell>
        </row>
      </sheetData>
      <sheetData sheetId="10185">
        <row r="4">
          <cell r="I4">
            <v>0</v>
          </cell>
        </row>
      </sheetData>
      <sheetData sheetId="10186">
        <row r="4">
          <cell r="I4">
            <v>0</v>
          </cell>
        </row>
      </sheetData>
      <sheetData sheetId="10187">
        <row r="4">
          <cell r="I4">
            <v>0</v>
          </cell>
        </row>
      </sheetData>
      <sheetData sheetId="10188">
        <row r="4">
          <cell r="I4">
            <v>0</v>
          </cell>
        </row>
      </sheetData>
      <sheetData sheetId="10189">
        <row r="4">
          <cell r="I4">
            <v>0</v>
          </cell>
        </row>
      </sheetData>
      <sheetData sheetId="10190">
        <row r="4">
          <cell r="I4">
            <v>0</v>
          </cell>
        </row>
      </sheetData>
      <sheetData sheetId="10191">
        <row r="4">
          <cell r="I4">
            <v>0</v>
          </cell>
        </row>
      </sheetData>
      <sheetData sheetId="10192">
        <row r="4">
          <cell r="I4">
            <v>0</v>
          </cell>
        </row>
      </sheetData>
      <sheetData sheetId="10193">
        <row r="4">
          <cell r="I4">
            <v>0</v>
          </cell>
        </row>
      </sheetData>
      <sheetData sheetId="10194">
        <row r="4">
          <cell r="I4">
            <v>0</v>
          </cell>
        </row>
      </sheetData>
      <sheetData sheetId="10195">
        <row r="4">
          <cell r="I4">
            <v>0</v>
          </cell>
        </row>
      </sheetData>
      <sheetData sheetId="10196">
        <row r="4">
          <cell r="I4">
            <v>0</v>
          </cell>
        </row>
      </sheetData>
      <sheetData sheetId="10197">
        <row r="4">
          <cell r="I4">
            <v>0</v>
          </cell>
        </row>
      </sheetData>
      <sheetData sheetId="10198">
        <row r="4">
          <cell r="I4">
            <v>0</v>
          </cell>
        </row>
      </sheetData>
      <sheetData sheetId="10199">
        <row r="4">
          <cell r="I4">
            <v>0</v>
          </cell>
        </row>
      </sheetData>
      <sheetData sheetId="10200">
        <row r="4">
          <cell r="I4">
            <v>0</v>
          </cell>
        </row>
      </sheetData>
      <sheetData sheetId="10201">
        <row r="4">
          <cell r="I4">
            <v>0</v>
          </cell>
        </row>
      </sheetData>
      <sheetData sheetId="10202">
        <row r="4">
          <cell r="I4">
            <v>0</v>
          </cell>
        </row>
      </sheetData>
      <sheetData sheetId="10203">
        <row r="4">
          <cell r="I4">
            <v>0</v>
          </cell>
        </row>
      </sheetData>
      <sheetData sheetId="10204">
        <row r="4">
          <cell r="I4">
            <v>0</v>
          </cell>
        </row>
      </sheetData>
      <sheetData sheetId="10205">
        <row r="4">
          <cell r="I4">
            <v>0</v>
          </cell>
        </row>
      </sheetData>
      <sheetData sheetId="10206">
        <row r="4">
          <cell r="I4">
            <v>0</v>
          </cell>
        </row>
      </sheetData>
      <sheetData sheetId="10207">
        <row r="4">
          <cell r="I4">
            <v>0</v>
          </cell>
        </row>
      </sheetData>
      <sheetData sheetId="10208">
        <row r="4">
          <cell r="I4">
            <v>0</v>
          </cell>
        </row>
      </sheetData>
      <sheetData sheetId="10209">
        <row r="4">
          <cell r="I4">
            <v>0</v>
          </cell>
        </row>
      </sheetData>
      <sheetData sheetId="10210">
        <row r="4">
          <cell r="I4">
            <v>0</v>
          </cell>
        </row>
      </sheetData>
      <sheetData sheetId="10211">
        <row r="4">
          <cell r="I4">
            <v>0</v>
          </cell>
        </row>
      </sheetData>
      <sheetData sheetId="10212">
        <row r="4">
          <cell r="I4">
            <v>0</v>
          </cell>
        </row>
      </sheetData>
      <sheetData sheetId="10213">
        <row r="4">
          <cell r="I4">
            <v>0</v>
          </cell>
        </row>
      </sheetData>
      <sheetData sheetId="10214">
        <row r="4">
          <cell r="I4">
            <v>0</v>
          </cell>
        </row>
      </sheetData>
      <sheetData sheetId="10215">
        <row r="4">
          <cell r="I4">
            <v>0</v>
          </cell>
        </row>
      </sheetData>
      <sheetData sheetId="10216">
        <row r="4">
          <cell r="I4">
            <v>0</v>
          </cell>
        </row>
      </sheetData>
      <sheetData sheetId="10217">
        <row r="4">
          <cell r="I4">
            <v>0</v>
          </cell>
        </row>
      </sheetData>
      <sheetData sheetId="10218">
        <row r="4">
          <cell r="I4">
            <v>0</v>
          </cell>
        </row>
      </sheetData>
      <sheetData sheetId="10219">
        <row r="4">
          <cell r="I4">
            <v>0</v>
          </cell>
        </row>
      </sheetData>
      <sheetData sheetId="10220">
        <row r="4">
          <cell r="I4">
            <v>0</v>
          </cell>
        </row>
      </sheetData>
      <sheetData sheetId="10221">
        <row r="4">
          <cell r="I4">
            <v>0</v>
          </cell>
        </row>
      </sheetData>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ow r="4">
          <cell r="I4">
            <v>0</v>
          </cell>
        </row>
      </sheetData>
      <sheetData sheetId="10231">
        <row r="4">
          <cell r="I4">
            <v>0</v>
          </cell>
        </row>
      </sheetData>
      <sheetData sheetId="10232">
        <row r="4">
          <cell r="I4">
            <v>0</v>
          </cell>
        </row>
      </sheetData>
      <sheetData sheetId="10233">
        <row r="4">
          <cell r="I4">
            <v>0</v>
          </cell>
        </row>
      </sheetData>
      <sheetData sheetId="10234">
        <row r="4">
          <cell r="I4">
            <v>0</v>
          </cell>
        </row>
      </sheetData>
      <sheetData sheetId="10235">
        <row r="4">
          <cell r="I4">
            <v>0</v>
          </cell>
        </row>
      </sheetData>
      <sheetData sheetId="10236">
        <row r="4">
          <cell r="I4">
            <v>0</v>
          </cell>
        </row>
      </sheetData>
      <sheetData sheetId="10237">
        <row r="4">
          <cell r="I4">
            <v>0</v>
          </cell>
        </row>
      </sheetData>
      <sheetData sheetId="10238">
        <row r="4">
          <cell r="I4">
            <v>0</v>
          </cell>
        </row>
      </sheetData>
      <sheetData sheetId="10239">
        <row r="4">
          <cell r="I4">
            <v>0</v>
          </cell>
        </row>
      </sheetData>
      <sheetData sheetId="10240">
        <row r="4">
          <cell r="I4">
            <v>0</v>
          </cell>
        </row>
      </sheetData>
      <sheetData sheetId="10241">
        <row r="4">
          <cell r="I4">
            <v>0</v>
          </cell>
        </row>
      </sheetData>
      <sheetData sheetId="10242">
        <row r="4">
          <cell r="I4">
            <v>0</v>
          </cell>
        </row>
      </sheetData>
      <sheetData sheetId="10243">
        <row r="4">
          <cell r="I4">
            <v>0</v>
          </cell>
        </row>
      </sheetData>
      <sheetData sheetId="10244">
        <row r="4">
          <cell r="I4">
            <v>0</v>
          </cell>
        </row>
      </sheetData>
      <sheetData sheetId="10245">
        <row r="4">
          <cell r="I4">
            <v>0</v>
          </cell>
        </row>
      </sheetData>
      <sheetData sheetId="10246">
        <row r="4">
          <cell r="I4">
            <v>0</v>
          </cell>
        </row>
      </sheetData>
      <sheetData sheetId="10247">
        <row r="4">
          <cell r="I4">
            <v>0</v>
          </cell>
        </row>
      </sheetData>
      <sheetData sheetId="10248">
        <row r="4">
          <cell r="I4">
            <v>0</v>
          </cell>
        </row>
      </sheetData>
      <sheetData sheetId="10249">
        <row r="4">
          <cell r="I4">
            <v>0</v>
          </cell>
        </row>
      </sheetData>
      <sheetData sheetId="10250">
        <row r="4">
          <cell r="I4">
            <v>0</v>
          </cell>
        </row>
      </sheetData>
      <sheetData sheetId="10251">
        <row r="4">
          <cell r="I4">
            <v>0</v>
          </cell>
        </row>
      </sheetData>
      <sheetData sheetId="10252">
        <row r="4">
          <cell r="I4">
            <v>0</v>
          </cell>
        </row>
      </sheetData>
      <sheetData sheetId="10253">
        <row r="4">
          <cell r="I4">
            <v>0</v>
          </cell>
        </row>
      </sheetData>
      <sheetData sheetId="10254">
        <row r="4">
          <cell r="I4">
            <v>0</v>
          </cell>
        </row>
      </sheetData>
      <sheetData sheetId="10255">
        <row r="4">
          <cell r="I4">
            <v>0</v>
          </cell>
        </row>
      </sheetData>
      <sheetData sheetId="10256">
        <row r="4">
          <cell r="I4">
            <v>0</v>
          </cell>
        </row>
      </sheetData>
      <sheetData sheetId="10257">
        <row r="4">
          <cell r="I4">
            <v>0</v>
          </cell>
        </row>
      </sheetData>
      <sheetData sheetId="10258">
        <row r="4">
          <cell r="I4">
            <v>0</v>
          </cell>
        </row>
      </sheetData>
      <sheetData sheetId="10259">
        <row r="4">
          <cell r="I4">
            <v>0</v>
          </cell>
        </row>
      </sheetData>
      <sheetData sheetId="10260">
        <row r="4">
          <cell r="I4">
            <v>0</v>
          </cell>
        </row>
      </sheetData>
      <sheetData sheetId="10261">
        <row r="4">
          <cell r="I4">
            <v>0</v>
          </cell>
        </row>
      </sheetData>
      <sheetData sheetId="10262">
        <row r="4">
          <cell r="I4">
            <v>0</v>
          </cell>
        </row>
      </sheetData>
      <sheetData sheetId="10263">
        <row r="4">
          <cell r="I4">
            <v>0</v>
          </cell>
        </row>
      </sheetData>
      <sheetData sheetId="10264">
        <row r="4">
          <cell r="I4">
            <v>0</v>
          </cell>
        </row>
      </sheetData>
      <sheetData sheetId="10265">
        <row r="4">
          <cell r="I4">
            <v>0</v>
          </cell>
        </row>
      </sheetData>
      <sheetData sheetId="10266">
        <row r="4">
          <cell r="I4">
            <v>0</v>
          </cell>
        </row>
      </sheetData>
      <sheetData sheetId="10267">
        <row r="4">
          <cell r="I4">
            <v>0</v>
          </cell>
        </row>
      </sheetData>
      <sheetData sheetId="10268">
        <row r="4">
          <cell r="I4">
            <v>0</v>
          </cell>
        </row>
      </sheetData>
      <sheetData sheetId="10269">
        <row r="4">
          <cell r="I4">
            <v>0</v>
          </cell>
        </row>
      </sheetData>
      <sheetData sheetId="10270">
        <row r="4">
          <cell r="I4">
            <v>0</v>
          </cell>
        </row>
      </sheetData>
      <sheetData sheetId="10271">
        <row r="4">
          <cell r="I4">
            <v>0</v>
          </cell>
        </row>
      </sheetData>
      <sheetData sheetId="10272">
        <row r="4">
          <cell r="I4">
            <v>0</v>
          </cell>
        </row>
      </sheetData>
      <sheetData sheetId="10273">
        <row r="4">
          <cell r="I4">
            <v>0</v>
          </cell>
        </row>
      </sheetData>
      <sheetData sheetId="10274">
        <row r="4">
          <cell r="I4">
            <v>0</v>
          </cell>
        </row>
      </sheetData>
      <sheetData sheetId="10275">
        <row r="4">
          <cell r="I4">
            <v>0</v>
          </cell>
        </row>
      </sheetData>
      <sheetData sheetId="10276">
        <row r="4">
          <cell r="I4">
            <v>0</v>
          </cell>
        </row>
      </sheetData>
      <sheetData sheetId="10277">
        <row r="4">
          <cell r="I4">
            <v>0</v>
          </cell>
        </row>
      </sheetData>
      <sheetData sheetId="10278">
        <row r="4">
          <cell r="I4">
            <v>0</v>
          </cell>
        </row>
      </sheetData>
      <sheetData sheetId="10279">
        <row r="4">
          <cell r="I4">
            <v>0</v>
          </cell>
        </row>
      </sheetData>
      <sheetData sheetId="10280">
        <row r="4">
          <cell r="I4">
            <v>0</v>
          </cell>
        </row>
      </sheetData>
      <sheetData sheetId="10281">
        <row r="4">
          <cell r="I4">
            <v>0</v>
          </cell>
        </row>
      </sheetData>
      <sheetData sheetId="10282">
        <row r="4">
          <cell r="I4">
            <v>0</v>
          </cell>
        </row>
      </sheetData>
      <sheetData sheetId="10283">
        <row r="4">
          <cell r="I4">
            <v>0</v>
          </cell>
        </row>
      </sheetData>
      <sheetData sheetId="10284">
        <row r="4">
          <cell r="I4">
            <v>0</v>
          </cell>
        </row>
      </sheetData>
      <sheetData sheetId="10285">
        <row r="4">
          <cell r="I4">
            <v>0</v>
          </cell>
        </row>
      </sheetData>
      <sheetData sheetId="10286">
        <row r="4">
          <cell r="I4">
            <v>0</v>
          </cell>
        </row>
      </sheetData>
      <sheetData sheetId="10287">
        <row r="4">
          <cell r="I4">
            <v>0</v>
          </cell>
        </row>
      </sheetData>
      <sheetData sheetId="10288">
        <row r="4">
          <cell r="I4">
            <v>0</v>
          </cell>
        </row>
      </sheetData>
      <sheetData sheetId="10289">
        <row r="4">
          <cell r="I4">
            <v>0</v>
          </cell>
        </row>
      </sheetData>
      <sheetData sheetId="10290">
        <row r="4">
          <cell r="I4">
            <v>0</v>
          </cell>
        </row>
      </sheetData>
      <sheetData sheetId="10291">
        <row r="4">
          <cell r="I4">
            <v>0</v>
          </cell>
        </row>
      </sheetData>
      <sheetData sheetId="10292">
        <row r="4">
          <cell r="I4">
            <v>0</v>
          </cell>
        </row>
      </sheetData>
      <sheetData sheetId="10293">
        <row r="4">
          <cell r="I4">
            <v>0</v>
          </cell>
        </row>
      </sheetData>
      <sheetData sheetId="10294">
        <row r="4">
          <cell r="I4">
            <v>0</v>
          </cell>
        </row>
      </sheetData>
      <sheetData sheetId="10295">
        <row r="4">
          <cell r="I4">
            <v>0</v>
          </cell>
        </row>
      </sheetData>
      <sheetData sheetId="10296">
        <row r="4">
          <cell r="I4">
            <v>0</v>
          </cell>
        </row>
      </sheetData>
      <sheetData sheetId="10297">
        <row r="4">
          <cell r="I4">
            <v>0</v>
          </cell>
        </row>
      </sheetData>
      <sheetData sheetId="10298">
        <row r="4">
          <cell r="I4">
            <v>0</v>
          </cell>
        </row>
      </sheetData>
      <sheetData sheetId="10299">
        <row r="4">
          <cell r="I4">
            <v>0</v>
          </cell>
        </row>
      </sheetData>
      <sheetData sheetId="10300">
        <row r="4">
          <cell r="I4">
            <v>0</v>
          </cell>
        </row>
      </sheetData>
      <sheetData sheetId="10301">
        <row r="4">
          <cell r="I4">
            <v>0</v>
          </cell>
        </row>
      </sheetData>
      <sheetData sheetId="10302">
        <row r="4">
          <cell r="I4">
            <v>0</v>
          </cell>
        </row>
      </sheetData>
      <sheetData sheetId="10303">
        <row r="4">
          <cell r="I4">
            <v>0</v>
          </cell>
        </row>
      </sheetData>
      <sheetData sheetId="10304">
        <row r="4">
          <cell r="I4">
            <v>0</v>
          </cell>
        </row>
      </sheetData>
      <sheetData sheetId="10305">
        <row r="4">
          <cell r="I4">
            <v>0</v>
          </cell>
        </row>
      </sheetData>
      <sheetData sheetId="10306">
        <row r="4">
          <cell r="I4">
            <v>0</v>
          </cell>
        </row>
      </sheetData>
      <sheetData sheetId="10307">
        <row r="4">
          <cell r="I4">
            <v>0</v>
          </cell>
        </row>
      </sheetData>
      <sheetData sheetId="10308">
        <row r="4">
          <cell r="I4">
            <v>0</v>
          </cell>
        </row>
      </sheetData>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ow r="4">
          <cell r="I4">
            <v>0</v>
          </cell>
        </row>
      </sheetData>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ow r="4">
          <cell r="I4">
            <v>0</v>
          </cell>
        </row>
      </sheetData>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ow r="4">
          <cell r="I4">
            <v>0</v>
          </cell>
        </row>
      </sheetData>
      <sheetData sheetId="10375">
        <row r="4">
          <cell r="I4">
            <v>0</v>
          </cell>
        </row>
      </sheetData>
      <sheetData sheetId="10376">
        <row r="4">
          <cell r="I4">
            <v>0</v>
          </cell>
        </row>
      </sheetData>
      <sheetData sheetId="10377">
        <row r="4">
          <cell r="I4">
            <v>0</v>
          </cell>
        </row>
      </sheetData>
      <sheetData sheetId="10378">
        <row r="4">
          <cell r="I4">
            <v>0</v>
          </cell>
        </row>
      </sheetData>
      <sheetData sheetId="10379">
        <row r="4">
          <cell r="I4">
            <v>0</v>
          </cell>
        </row>
      </sheetData>
      <sheetData sheetId="10380">
        <row r="4">
          <cell r="I4">
            <v>0</v>
          </cell>
        </row>
      </sheetData>
      <sheetData sheetId="10381">
        <row r="4">
          <cell r="I4">
            <v>0</v>
          </cell>
        </row>
      </sheetData>
      <sheetData sheetId="10382">
        <row r="4">
          <cell r="I4">
            <v>0</v>
          </cell>
        </row>
      </sheetData>
      <sheetData sheetId="10383">
        <row r="4">
          <cell r="I4">
            <v>0</v>
          </cell>
        </row>
      </sheetData>
      <sheetData sheetId="10384">
        <row r="4">
          <cell r="I4">
            <v>0</v>
          </cell>
        </row>
      </sheetData>
      <sheetData sheetId="10385">
        <row r="4">
          <cell r="I4">
            <v>0</v>
          </cell>
        </row>
      </sheetData>
      <sheetData sheetId="10386">
        <row r="4">
          <cell r="I4">
            <v>0</v>
          </cell>
        </row>
      </sheetData>
      <sheetData sheetId="10387">
        <row r="4">
          <cell r="I4">
            <v>0</v>
          </cell>
        </row>
      </sheetData>
      <sheetData sheetId="10388">
        <row r="4">
          <cell r="I4">
            <v>0</v>
          </cell>
        </row>
      </sheetData>
      <sheetData sheetId="10389">
        <row r="4">
          <cell r="I4">
            <v>0</v>
          </cell>
        </row>
      </sheetData>
      <sheetData sheetId="10390">
        <row r="4">
          <cell r="I4">
            <v>0</v>
          </cell>
        </row>
      </sheetData>
      <sheetData sheetId="10391">
        <row r="4">
          <cell r="I4">
            <v>0</v>
          </cell>
        </row>
      </sheetData>
      <sheetData sheetId="10392">
        <row r="4">
          <cell r="I4">
            <v>0</v>
          </cell>
        </row>
      </sheetData>
      <sheetData sheetId="10393">
        <row r="4">
          <cell r="I4">
            <v>0</v>
          </cell>
        </row>
      </sheetData>
      <sheetData sheetId="10394">
        <row r="4">
          <cell r="I4">
            <v>0</v>
          </cell>
        </row>
      </sheetData>
      <sheetData sheetId="10395">
        <row r="4">
          <cell r="I4">
            <v>0</v>
          </cell>
        </row>
      </sheetData>
      <sheetData sheetId="10396">
        <row r="4">
          <cell r="I4">
            <v>0</v>
          </cell>
        </row>
      </sheetData>
      <sheetData sheetId="10397">
        <row r="4">
          <cell r="I4">
            <v>0</v>
          </cell>
        </row>
      </sheetData>
      <sheetData sheetId="10398">
        <row r="4">
          <cell r="I4">
            <v>0</v>
          </cell>
        </row>
      </sheetData>
      <sheetData sheetId="10399">
        <row r="4">
          <cell r="I4">
            <v>0</v>
          </cell>
        </row>
      </sheetData>
      <sheetData sheetId="10400">
        <row r="4">
          <cell r="I4">
            <v>0</v>
          </cell>
        </row>
      </sheetData>
      <sheetData sheetId="10401">
        <row r="4">
          <cell r="I4">
            <v>0</v>
          </cell>
        </row>
      </sheetData>
      <sheetData sheetId="10402">
        <row r="4">
          <cell r="I4">
            <v>0</v>
          </cell>
        </row>
      </sheetData>
      <sheetData sheetId="10403" refreshError="1"/>
      <sheetData sheetId="10404">
        <row r="4">
          <cell r="I4">
            <v>0</v>
          </cell>
        </row>
      </sheetData>
      <sheetData sheetId="10405">
        <row r="4">
          <cell r="I4">
            <v>0</v>
          </cell>
        </row>
      </sheetData>
      <sheetData sheetId="10406">
        <row r="4">
          <cell r="I4">
            <v>0</v>
          </cell>
        </row>
      </sheetData>
      <sheetData sheetId="10407">
        <row r="4">
          <cell r="I4">
            <v>0</v>
          </cell>
        </row>
      </sheetData>
      <sheetData sheetId="10408">
        <row r="4">
          <cell r="I4">
            <v>0</v>
          </cell>
        </row>
      </sheetData>
      <sheetData sheetId="10409">
        <row r="4">
          <cell r="I4">
            <v>0</v>
          </cell>
        </row>
      </sheetData>
      <sheetData sheetId="10410">
        <row r="4">
          <cell r="I4">
            <v>0</v>
          </cell>
        </row>
      </sheetData>
      <sheetData sheetId="10411">
        <row r="4">
          <cell r="I4">
            <v>0</v>
          </cell>
        </row>
      </sheetData>
      <sheetData sheetId="10412">
        <row r="4">
          <cell r="I4">
            <v>0</v>
          </cell>
        </row>
      </sheetData>
      <sheetData sheetId="10413">
        <row r="4">
          <cell r="I4">
            <v>0</v>
          </cell>
        </row>
      </sheetData>
      <sheetData sheetId="10414">
        <row r="4">
          <cell r="I4">
            <v>0</v>
          </cell>
        </row>
      </sheetData>
      <sheetData sheetId="10415">
        <row r="4">
          <cell r="I4">
            <v>0</v>
          </cell>
        </row>
      </sheetData>
      <sheetData sheetId="10416">
        <row r="4">
          <cell r="I4">
            <v>0</v>
          </cell>
        </row>
      </sheetData>
      <sheetData sheetId="10417">
        <row r="4">
          <cell r="I4">
            <v>0</v>
          </cell>
        </row>
      </sheetData>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ow r="4">
          <cell r="I4">
            <v>0</v>
          </cell>
        </row>
      </sheetData>
      <sheetData sheetId="10427">
        <row r="4">
          <cell r="I4">
            <v>0</v>
          </cell>
        </row>
      </sheetData>
      <sheetData sheetId="10428">
        <row r="4">
          <cell r="I4">
            <v>0</v>
          </cell>
        </row>
      </sheetData>
      <sheetData sheetId="10429">
        <row r="4">
          <cell r="I4">
            <v>0</v>
          </cell>
        </row>
      </sheetData>
      <sheetData sheetId="10430">
        <row r="4">
          <cell r="I4">
            <v>0</v>
          </cell>
        </row>
      </sheetData>
      <sheetData sheetId="10431">
        <row r="4">
          <cell r="I4">
            <v>0</v>
          </cell>
        </row>
      </sheetData>
      <sheetData sheetId="10432">
        <row r="4">
          <cell r="I4">
            <v>0</v>
          </cell>
        </row>
      </sheetData>
      <sheetData sheetId="10433">
        <row r="4">
          <cell r="I4">
            <v>0</v>
          </cell>
        </row>
      </sheetData>
      <sheetData sheetId="10434">
        <row r="4">
          <cell r="I4">
            <v>0</v>
          </cell>
        </row>
      </sheetData>
      <sheetData sheetId="10435">
        <row r="4">
          <cell r="I4">
            <v>0</v>
          </cell>
        </row>
      </sheetData>
      <sheetData sheetId="10436">
        <row r="4">
          <cell r="I4">
            <v>0</v>
          </cell>
        </row>
      </sheetData>
      <sheetData sheetId="10437">
        <row r="4">
          <cell r="I4">
            <v>0</v>
          </cell>
        </row>
      </sheetData>
      <sheetData sheetId="10438">
        <row r="4">
          <cell r="I4">
            <v>0</v>
          </cell>
        </row>
      </sheetData>
      <sheetData sheetId="10439">
        <row r="4">
          <cell r="I4">
            <v>0</v>
          </cell>
        </row>
      </sheetData>
      <sheetData sheetId="10440">
        <row r="4">
          <cell r="I4">
            <v>0</v>
          </cell>
        </row>
      </sheetData>
      <sheetData sheetId="10441">
        <row r="4">
          <cell r="I4">
            <v>0</v>
          </cell>
        </row>
      </sheetData>
      <sheetData sheetId="10442">
        <row r="4">
          <cell r="I4">
            <v>0</v>
          </cell>
        </row>
      </sheetData>
      <sheetData sheetId="10443">
        <row r="4">
          <cell r="I4">
            <v>0</v>
          </cell>
        </row>
      </sheetData>
      <sheetData sheetId="10444">
        <row r="4">
          <cell r="I4">
            <v>0</v>
          </cell>
        </row>
      </sheetData>
      <sheetData sheetId="10445">
        <row r="4">
          <cell r="I4">
            <v>0</v>
          </cell>
        </row>
      </sheetData>
      <sheetData sheetId="10446">
        <row r="4">
          <cell r="I4">
            <v>0</v>
          </cell>
        </row>
      </sheetData>
      <sheetData sheetId="10447">
        <row r="4">
          <cell r="I4">
            <v>0</v>
          </cell>
        </row>
      </sheetData>
      <sheetData sheetId="10448">
        <row r="4">
          <cell r="I4">
            <v>0</v>
          </cell>
        </row>
      </sheetData>
      <sheetData sheetId="10449">
        <row r="4">
          <cell r="I4">
            <v>0</v>
          </cell>
        </row>
      </sheetData>
      <sheetData sheetId="10450">
        <row r="4">
          <cell r="I4">
            <v>0</v>
          </cell>
        </row>
      </sheetData>
      <sheetData sheetId="10451">
        <row r="4">
          <cell r="I4">
            <v>0</v>
          </cell>
        </row>
      </sheetData>
      <sheetData sheetId="10452">
        <row r="4">
          <cell r="I4">
            <v>0</v>
          </cell>
        </row>
      </sheetData>
      <sheetData sheetId="10453">
        <row r="4">
          <cell r="I4">
            <v>0</v>
          </cell>
        </row>
      </sheetData>
      <sheetData sheetId="10454">
        <row r="4">
          <cell r="I4">
            <v>0</v>
          </cell>
        </row>
      </sheetData>
      <sheetData sheetId="10455">
        <row r="4">
          <cell r="I4">
            <v>0</v>
          </cell>
        </row>
      </sheetData>
      <sheetData sheetId="10456">
        <row r="4">
          <cell r="I4">
            <v>0</v>
          </cell>
        </row>
      </sheetData>
      <sheetData sheetId="10457">
        <row r="4">
          <cell r="I4">
            <v>0</v>
          </cell>
        </row>
      </sheetData>
      <sheetData sheetId="10458">
        <row r="4">
          <cell r="I4">
            <v>0</v>
          </cell>
        </row>
      </sheetData>
      <sheetData sheetId="10459">
        <row r="4">
          <cell r="I4">
            <v>0</v>
          </cell>
        </row>
      </sheetData>
      <sheetData sheetId="10460">
        <row r="4">
          <cell r="I4">
            <v>0</v>
          </cell>
        </row>
      </sheetData>
      <sheetData sheetId="10461">
        <row r="4">
          <cell r="I4">
            <v>0</v>
          </cell>
        </row>
      </sheetData>
      <sheetData sheetId="10462">
        <row r="4">
          <cell r="I4">
            <v>0</v>
          </cell>
        </row>
      </sheetData>
      <sheetData sheetId="10463">
        <row r="4">
          <cell r="I4">
            <v>0</v>
          </cell>
        </row>
      </sheetData>
      <sheetData sheetId="10464">
        <row r="4">
          <cell r="I4">
            <v>0</v>
          </cell>
        </row>
      </sheetData>
      <sheetData sheetId="10465">
        <row r="4">
          <cell r="I4">
            <v>0</v>
          </cell>
        </row>
      </sheetData>
      <sheetData sheetId="10466" refreshError="1"/>
      <sheetData sheetId="10467">
        <row r="4">
          <cell r="I4">
            <v>0</v>
          </cell>
        </row>
      </sheetData>
      <sheetData sheetId="10468">
        <row r="4">
          <cell r="I4">
            <v>0</v>
          </cell>
        </row>
      </sheetData>
      <sheetData sheetId="10469">
        <row r="4">
          <cell r="I4">
            <v>0</v>
          </cell>
        </row>
      </sheetData>
      <sheetData sheetId="10470">
        <row r="4">
          <cell r="I4">
            <v>0</v>
          </cell>
        </row>
      </sheetData>
      <sheetData sheetId="10471">
        <row r="4">
          <cell r="I4">
            <v>0</v>
          </cell>
        </row>
      </sheetData>
      <sheetData sheetId="10472">
        <row r="4">
          <cell r="I4">
            <v>0</v>
          </cell>
        </row>
      </sheetData>
      <sheetData sheetId="10473">
        <row r="4">
          <cell r="I4">
            <v>0</v>
          </cell>
        </row>
      </sheetData>
      <sheetData sheetId="10474">
        <row r="4">
          <cell r="I4">
            <v>0</v>
          </cell>
        </row>
      </sheetData>
      <sheetData sheetId="10475">
        <row r="4">
          <cell r="I4">
            <v>0</v>
          </cell>
        </row>
      </sheetData>
      <sheetData sheetId="10476">
        <row r="4">
          <cell r="I4">
            <v>0</v>
          </cell>
        </row>
      </sheetData>
      <sheetData sheetId="10477">
        <row r="4">
          <cell r="I4">
            <v>0</v>
          </cell>
        </row>
      </sheetData>
      <sheetData sheetId="10478">
        <row r="4">
          <cell r="I4">
            <v>0</v>
          </cell>
        </row>
      </sheetData>
      <sheetData sheetId="10479">
        <row r="4">
          <cell r="I4">
            <v>0</v>
          </cell>
        </row>
      </sheetData>
      <sheetData sheetId="10480">
        <row r="4">
          <cell r="I4">
            <v>0</v>
          </cell>
        </row>
      </sheetData>
      <sheetData sheetId="10481">
        <row r="4">
          <cell r="I4">
            <v>0</v>
          </cell>
        </row>
      </sheetData>
      <sheetData sheetId="10482">
        <row r="4">
          <cell r="I4">
            <v>0</v>
          </cell>
        </row>
      </sheetData>
      <sheetData sheetId="10483">
        <row r="4">
          <cell r="I4">
            <v>0</v>
          </cell>
        </row>
      </sheetData>
      <sheetData sheetId="10484">
        <row r="4">
          <cell r="I4">
            <v>0</v>
          </cell>
        </row>
      </sheetData>
      <sheetData sheetId="10485">
        <row r="4">
          <cell r="I4">
            <v>0</v>
          </cell>
        </row>
      </sheetData>
      <sheetData sheetId="10486">
        <row r="4">
          <cell r="I4">
            <v>0</v>
          </cell>
        </row>
      </sheetData>
      <sheetData sheetId="10487">
        <row r="4">
          <cell r="I4">
            <v>0</v>
          </cell>
        </row>
      </sheetData>
      <sheetData sheetId="10488">
        <row r="4">
          <cell r="I4">
            <v>0</v>
          </cell>
        </row>
      </sheetData>
      <sheetData sheetId="10489">
        <row r="4">
          <cell r="I4">
            <v>0</v>
          </cell>
        </row>
      </sheetData>
      <sheetData sheetId="10490">
        <row r="4">
          <cell r="I4">
            <v>0</v>
          </cell>
        </row>
      </sheetData>
      <sheetData sheetId="10491">
        <row r="4">
          <cell r="I4">
            <v>0</v>
          </cell>
        </row>
      </sheetData>
      <sheetData sheetId="10492">
        <row r="4">
          <cell r="I4">
            <v>0</v>
          </cell>
        </row>
      </sheetData>
      <sheetData sheetId="10493">
        <row r="4">
          <cell r="I4">
            <v>0</v>
          </cell>
        </row>
      </sheetData>
      <sheetData sheetId="10494">
        <row r="4">
          <cell r="I4">
            <v>0</v>
          </cell>
        </row>
      </sheetData>
      <sheetData sheetId="10495">
        <row r="4">
          <cell r="I4">
            <v>0</v>
          </cell>
        </row>
      </sheetData>
      <sheetData sheetId="10496">
        <row r="4">
          <cell r="I4">
            <v>0</v>
          </cell>
        </row>
      </sheetData>
      <sheetData sheetId="10497">
        <row r="4">
          <cell r="I4">
            <v>0</v>
          </cell>
        </row>
      </sheetData>
      <sheetData sheetId="10498">
        <row r="4">
          <cell r="I4">
            <v>0</v>
          </cell>
        </row>
      </sheetData>
      <sheetData sheetId="10499">
        <row r="4">
          <cell r="I4">
            <v>0</v>
          </cell>
        </row>
      </sheetData>
      <sheetData sheetId="10500">
        <row r="4">
          <cell r="I4">
            <v>0</v>
          </cell>
        </row>
      </sheetData>
      <sheetData sheetId="10501">
        <row r="4">
          <cell r="I4">
            <v>0</v>
          </cell>
        </row>
      </sheetData>
      <sheetData sheetId="10502">
        <row r="4">
          <cell r="I4">
            <v>0</v>
          </cell>
        </row>
      </sheetData>
      <sheetData sheetId="10503">
        <row r="4">
          <cell r="I4">
            <v>0</v>
          </cell>
        </row>
      </sheetData>
      <sheetData sheetId="10504">
        <row r="4">
          <cell r="I4">
            <v>0</v>
          </cell>
        </row>
      </sheetData>
      <sheetData sheetId="10505">
        <row r="4">
          <cell r="I4">
            <v>0</v>
          </cell>
        </row>
      </sheetData>
      <sheetData sheetId="10506">
        <row r="4">
          <cell r="I4">
            <v>0</v>
          </cell>
        </row>
      </sheetData>
      <sheetData sheetId="10507">
        <row r="4">
          <cell r="I4">
            <v>0</v>
          </cell>
        </row>
      </sheetData>
      <sheetData sheetId="10508">
        <row r="4">
          <cell r="I4">
            <v>0</v>
          </cell>
        </row>
      </sheetData>
      <sheetData sheetId="10509">
        <row r="4">
          <cell r="I4">
            <v>0</v>
          </cell>
        </row>
      </sheetData>
      <sheetData sheetId="10510">
        <row r="4">
          <cell r="I4">
            <v>0</v>
          </cell>
        </row>
      </sheetData>
      <sheetData sheetId="10511">
        <row r="4">
          <cell r="I4">
            <v>0</v>
          </cell>
        </row>
      </sheetData>
      <sheetData sheetId="10512">
        <row r="4">
          <cell r="I4">
            <v>0</v>
          </cell>
        </row>
      </sheetData>
      <sheetData sheetId="10513">
        <row r="4">
          <cell r="I4">
            <v>0</v>
          </cell>
        </row>
      </sheetData>
      <sheetData sheetId="10514">
        <row r="4">
          <cell r="I4">
            <v>0</v>
          </cell>
        </row>
      </sheetData>
      <sheetData sheetId="10515">
        <row r="4">
          <cell r="I4">
            <v>0</v>
          </cell>
        </row>
      </sheetData>
      <sheetData sheetId="10516">
        <row r="4">
          <cell r="I4">
            <v>0</v>
          </cell>
        </row>
      </sheetData>
      <sheetData sheetId="10517">
        <row r="4">
          <cell r="I4">
            <v>0</v>
          </cell>
        </row>
      </sheetData>
      <sheetData sheetId="10518">
        <row r="4">
          <cell r="I4">
            <v>0</v>
          </cell>
        </row>
      </sheetData>
      <sheetData sheetId="10519">
        <row r="4">
          <cell r="I4">
            <v>0</v>
          </cell>
        </row>
      </sheetData>
      <sheetData sheetId="10520">
        <row r="4">
          <cell r="I4">
            <v>0</v>
          </cell>
        </row>
      </sheetData>
      <sheetData sheetId="10521">
        <row r="4">
          <cell r="I4">
            <v>0</v>
          </cell>
        </row>
      </sheetData>
      <sheetData sheetId="10522">
        <row r="4">
          <cell r="I4">
            <v>0</v>
          </cell>
        </row>
      </sheetData>
      <sheetData sheetId="10523">
        <row r="4">
          <cell r="I4">
            <v>0</v>
          </cell>
        </row>
      </sheetData>
      <sheetData sheetId="10524">
        <row r="4">
          <cell r="I4">
            <v>0</v>
          </cell>
        </row>
      </sheetData>
      <sheetData sheetId="10525">
        <row r="4">
          <cell r="I4">
            <v>0</v>
          </cell>
        </row>
      </sheetData>
      <sheetData sheetId="10526">
        <row r="4">
          <cell r="I4">
            <v>0</v>
          </cell>
        </row>
      </sheetData>
      <sheetData sheetId="10527">
        <row r="4">
          <cell r="I4">
            <v>0</v>
          </cell>
        </row>
      </sheetData>
      <sheetData sheetId="10528">
        <row r="4">
          <cell r="I4">
            <v>0</v>
          </cell>
        </row>
      </sheetData>
      <sheetData sheetId="10529">
        <row r="4">
          <cell r="I4">
            <v>0</v>
          </cell>
        </row>
      </sheetData>
      <sheetData sheetId="10530">
        <row r="4">
          <cell r="I4">
            <v>0</v>
          </cell>
        </row>
      </sheetData>
      <sheetData sheetId="10531">
        <row r="4">
          <cell r="I4">
            <v>0</v>
          </cell>
        </row>
      </sheetData>
      <sheetData sheetId="10532">
        <row r="4">
          <cell r="I4">
            <v>0</v>
          </cell>
        </row>
      </sheetData>
      <sheetData sheetId="10533">
        <row r="4">
          <cell r="I4">
            <v>0</v>
          </cell>
        </row>
      </sheetData>
      <sheetData sheetId="10534">
        <row r="4">
          <cell r="I4">
            <v>0</v>
          </cell>
        </row>
      </sheetData>
      <sheetData sheetId="10535">
        <row r="4">
          <cell r="I4">
            <v>0</v>
          </cell>
        </row>
      </sheetData>
      <sheetData sheetId="10536">
        <row r="4">
          <cell r="I4">
            <v>0</v>
          </cell>
        </row>
      </sheetData>
      <sheetData sheetId="10537">
        <row r="4">
          <cell r="I4">
            <v>0</v>
          </cell>
        </row>
      </sheetData>
      <sheetData sheetId="10538">
        <row r="4">
          <cell r="I4">
            <v>0</v>
          </cell>
        </row>
      </sheetData>
      <sheetData sheetId="10539">
        <row r="4">
          <cell r="I4">
            <v>0</v>
          </cell>
        </row>
      </sheetData>
      <sheetData sheetId="10540">
        <row r="4">
          <cell r="I4">
            <v>0</v>
          </cell>
        </row>
      </sheetData>
      <sheetData sheetId="10541">
        <row r="4">
          <cell r="I4">
            <v>0</v>
          </cell>
        </row>
      </sheetData>
      <sheetData sheetId="10542">
        <row r="4">
          <cell r="I4">
            <v>0</v>
          </cell>
        </row>
      </sheetData>
      <sheetData sheetId="10543">
        <row r="4">
          <cell r="I4">
            <v>0</v>
          </cell>
        </row>
      </sheetData>
      <sheetData sheetId="10544">
        <row r="4">
          <cell r="I4">
            <v>0</v>
          </cell>
        </row>
      </sheetData>
      <sheetData sheetId="10545">
        <row r="4">
          <cell r="I4">
            <v>0</v>
          </cell>
        </row>
      </sheetData>
      <sheetData sheetId="10546">
        <row r="4">
          <cell r="I4">
            <v>0</v>
          </cell>
        </row>
      </sheetData>
      <sheetData sheetId="10547">
        <row r="4">
          <cell r="I4">
            <v>0</v>
          </cell>
        </row>
      </sheetData>
      <sheetData sheetId="10548">
        <row r="4">
          <cell r="I4">
            <v>0</v>
          </cell>
        </row>
      </sheetData>
      <sheetData sheetId="10549">
        <row r="4">
          <cell r="I4">
            <v>0</v>
          </cell>
        </row>
      </sheetData>
      <sheetData sheetId="10550">
        <row r="4">
          <cell r="I4">
            <v>0</v>
          </cell>
        </row>
      </sheetData>
      <sheetData sheetId="10551">
        <row r="4">
          <cell r="I4">
            <v>0</v>
          </cell>
        </row>
      </sheetData>
      <sheetData sheetId="10552">
        <row r="4">
          <cell r="I4">
            <v>0</v>
          </cell>
        </row>
      </sheetData>
      <sheetData sheetId="10553">
        <row r="4">
          <cell r="I4">
            <v>0</v>
          </cell>
        </row>
      </sheetData>
      <sheetData sheetId="10554">
        <row r="4">
          <cell r="I4">
            <v>0</v>
          </cell>
        </row>
      </sheetData>
      <sheetData sheetId="10555">
        <row r="4">
          <cell r="I4">
            <v>0</v>
          </cell>
        </row>
      </sheetData>
      <sheetData sheetId="10556">
        <row r="4">
          <cell r="I4">
            <v>0</v>
          </cell>
        </row>
      </sheetData>
      <sheetData sheetId="10557">
        <row r="4">
          <cell r="I4">
            <v>0</v>
          </cell>
        </row>
      </sheetData>
      <sheetData sheetId="10558">
        <row r="4">
          <cell r="I4">
            <v>0</v>
          </cell>
        </row>
      </sheetData>
      <sheetData sheetId="10559">
        <row r="4">
          <cell r="I4">
            <v>0</v>
          </cell>
        </row>
      </sheetData>
      <sheetData sheetId="10560">
        <row r="4">
          <cell r="I4">
            <v>0</v>
          </cell>
        </row>
      </sheetData>
      <sheetData sheetId="10561">
        <row r="4">
          <cell r="I4">
            <v>0</v>
          </cell>
        </row>
      </sheetData>
      <sheetData sheetId="10562">
        <row r="4">
          <cell r="I4">
            <v>0</v>
          </cell>
        </row>
      </sheetData>
      <sheetData sheetId="10563">
        <row r="4">
          <cell r="I4">
            <v>0</v>
          </cell>
        </row>
      </sheetData>
      <sheetData sheetId="10564">
        <row r="4">
          <cell r="I4">
            <v>0</v>
          </cell>
        </row>
      </sheetData>
      <sheetData sheetId="10565">
        <row r="4">
          <cell r="I4">
            <v>0</v>
          </cell>
        </row>
      </sheetData>
      <sheetData sheetId="10566">
        <row r="4">
          <cell r="I4">
            <v>0</v>
          </cell>
        </row>
      </sheetData>
      <sheetData sheetId="10567">
        <row r="4">
          <cell r="I4">
            <v>0</v>
          </cell>
        </row>
      </sheetData>
      <sheetData sheetId="10568">
        <row r="4">
          <cell r="I4">
            <v>0</v>
          </cell>
        </row>
      </sheetData>
      <sheetData sheetId="10569">
        <row r="4">
          <cell r="I4">
            <v>0</v>
          </cell>
        </row>
      </sheetData>
      <sheetData sheetId="10570">
        <row r="4">
          <cell r="I4">
            <v>0</v>
          </cell>
        </row>
      </sheetData>
      <sheetData sheetId="10571">
        <row r="4">
          <cell r="I4">
            <v>0</v>
          </cell>
        </row>
      </sheetData>
      <sheetData sheetId="10572">
        <row r="4">
          <cell r="I4">
            <v>0</v>
          </cell>
        </row>
      </sheetData>
      <sheetData sheetId="10573">
        <row r="4">
          <cell r="I4">
            <v>0</v>
          </cell>
        </row>
      </sheetData>
      <sheetData sheetId="10574">
        <row r="4">
          <cell r="I4">
            <v>0</v>
          </cell>
        </row>
      </sheetData>
      <sheetData sheetId="10575">
        <row r="4">
          <cell r="I4">
            <v>0</v>
          </cell>
        </row>
      </sheetData>
      <sheetData sheetId="10576">
        <row r="4">
          <cell r="I4">
            <v>0</v>
          </cell>
        </row>
      </sheetData>
      <sheetData sheetId="10577">
        <row r="4">
          <cell r="I4">
            <v>0</v>
          </cell>
        </row>
      </sheetData>
      <sheetData sheetId="10578">
        <row r="4">
          <cell r="I4">
            <v>0</v>
          </cell>
        </row>
      </sheetData>
      <sheetData sheetId="10579">
        <row r="4">
          <cell r="I4">
            <v>0</v>
          </cell>
        </row>
      </sheetData>
      <sheetData sheetId="10580">
        <row r="4">
          <cell r="I4">
            <v>0</v>
          </cell>
        </row>
      </sheetData>
      <sheetData sheetId="10581">
        <row r="4">
          <cell r="I4">
            <v>0</v>
          </cell>
        </row>
      </sheetData>
      <sheetData sheetId="10582">
        <row r="4">
          <cell r="I4">
            <v>0</v>
          </cell>
        </row>
      </sheetData>
      <sheetData sheetId="10583">
        <row r="4">
          <cell r="I4">
            <v>0</v>
          </cell>
        </row>
      </sheetData>
      <sheetData sheetId="10584">
        <row r="4">
          <cell r="I4">
            <v>0</v>
          </cell>
        </row>
      </sheetData>
      <sheetData sheetId="10585">
        <row r="4">
          <cell r="I4">
            <v>0</v>
          </cell>
        </row>
      </sheetData>
      <sheetData sheetId="10586">
        <row r="4">
          <cell r="I4">
            <v>0</v>
          </cell>
        </row>
      </sheetData>
      <sheetData sheetId="10587">
        <row r="4">
          <cell r="I4">
            <v>0</v>
          </cell>
        </row>
      </sheetData>
      <sheetData sheetId="10588">
        <row r="4">
          <cell r="I4">
            <v>0</v>
          </cell>
        </row>
      </sheetData>
      <sheetData sheetId="10589">
        <row r="4">
          <cell r="I4">
            <v>0</v>
          </cell>
        </row>
      </sheetData>
      <sheetData sheetId="10590">
        <row r="4">
          <cell r="I4">
            <v>0</v>
          </cell>
        </row>
      </sheetData>
      <sheetData sheetId="10591">
        <row r="4">
          <cell r="I4">
            <v>0</v>
          </cell>
        </row>
      </sheetData>
      <sheetData sheetId="10592">
        <row r="4">
          <cell r="I4">
            <v>0</v>
          </cell>
        </row>
      </sheetData>
      <sheetData sheetId="10593">
        <row r="4">
          <cell r="I4">
            <v>0</v>
          </cell>
        </row>
      </sheetData>
      <sheetData sheetId="10594">
        <row r="4">
          <cell r="I4">
            <v>0</v>
          </cell>
        </row>
      </sheetData>
      <sheetData sheetId="10595">
        <row r="4">
          <cell r="I4">
            <v>0</v>
          </cell>
        </row>
      </sheetData>
      <sheetData sheetId="10596">
        <row r="4">
          <cell r="I4">
            <v>0</v>
          </cell>
        </row>
      </sheetData>
      <sheetData sheetId="10597">
        <row r="4">
          <cell r="I4">
            <v>0</v>
          </cell>
        </row>
      </sheetData>
      <sheetData sheetId="10598">
        <row r="4">
          <cell r="I4">
            <v>0</v>
          </cell>
        </row>
      </sheetData>
      <sheetData sheetId="10599">
        <row r="4">
          <cell r="I4">
            <v>0</v>
          </cell>
        </row>
      </sheetData>
      <sheetData sheetId="10600">
        <row r="4">
          <cell r="I4">
            <v>0</v>
          </cell>
        </row>
      </sheetData>
      <sheetData sheetId="10601">
        <row r="4">
          <cell r="I4">
            <v>0</v>
          </cell>
        </row>
      </sheetData>
      <sheetData sheetId="10602">
        <row r="4">
          <cell r="I4">
            <v>0</v>
          </cell>
        </row>
      </sheetData>
      <sheetData sheetId="10603">
        <row r="4">
          <cell r="I4">
            <v>0</v>
          </cell>
        </row>
      </sheetData>
      <sheetData sheetId="10604">
        <row r="4">
          <cell r="I4">
            <v>0</v>
          </cell>
        </row>
      </sheetData>
      <sheetData sheetId="10605">
        <row r="4">
          <cell r="I4">
            <v>0</v>
          </cell>
        </row>
      </sheetData>
      <sheetData sheetId="10606">
        <row r="4">
          <cell r="I4">
            <v>0</v>
          </cell>
        </row>
      </sheetData>
      <sheetData sheetId="10607">
        <row r="4">
          <cell r="I4">
            <v>0</v>
          </cell>
        </row>
      </sheetData>
      <sheetData sheetId="10608">
        <row r="4">
          <cell r="I4">
            <v>0</v>
          </cell>
        </row>
      </sheetData>
      <sheetData sheetId="10609">
        <row r="4">
          <cell r="I4">
            <v>0</v>
          </cell>
        </row>
      </sheetData>
      <sheetData sheetId="10610">
        <row r="4">
          <cell r="I4">
            <v>0</v>
          </cell>
        </row>
      </sheetData>
      <sheetData sheetId="10611">
        <row r="4">
          <cell r="I4">
            <v>0</v>
          </cell>
        </row>
      </sheetData>
      <sheetData sheetId="10612">
        <row r="4">
          <cell r="I4">
            <v>0</v>
          </cell>
        </row>
      </sheetData>
      <sheetData sheetId="10613">
        <row r="4">
          <cell r="I4">
            <v>0</v>
          </cell>
        </row>
      </sheetData>
      <sheetData sheetId="10614">
        <row r="4">
          <cell r="I4">
            <v>0</v>
          </cell>
        </row>
      </sheetData>
      <sheetData sheetId="10615">
        <row r="4">
          <cell r="I4">
            <v>0</v>
          </cell>
        </row>
      </sheetData>
      <sheetData sheetId="10616">
        <row r="4">
          <cell r="I4">
            <v>0</v>
          </cell>
        </row>
      </sheetData>
      <sheetData sheetId="10617">
        <row r="4">
          <cell r="I4">
            <v>0</v>
          </cell>
        </row>
      </sheetData>
      <sheetData sheetId="10618">
        <row r="4">
          <cell r="I4">
            <v>0</v>
          </cell>
        </row>
      </sheetData>
      <sheetData sheetId="10619">
        <row r="4">
          <cell r="I4">
            <v>0</v>
          </cell>
        </row>
      </sheetData>
      <sheetData sheetId="10620">
        <row r="4">
          <cell r="I4">
            <v>0</v>
          </cell>
        </row>
      </sheetData>
      <sheetData sheetId="10621">
        <row r="4">
          <cell r="I4">
            <v>0</v>
          </cell>
        </row>
      </sheetData>
      <sheetData sheetId="10622">
        <row r="4">
          <cell r="I4">
            <v>0</v>
          </cell>
        </row>
      </sheetData>
      <sheetData sheetId="10623">
        <row r="4">
          <cell r="I4">
            <v>0</v>
          </cell>
        </row>
      </sheetData>
      <sheetData sheetId="10624">
        <row r="4">
          <cell r="I4">
            <v>0</v>
          </cell>
        </row>
      </sheetData>
      <sheetData sheetId="10625">
        <row r="4">
          <cell r="I4">
            <v>0</v>
          </cell>
        </row>
      </sheetData>
      <sheetData sheetId="10626">
        <row r="4">
          <cell r="I4">
            <v>0</v>
          </cell>
        </row>
      </sheetData>
      <sheetData sheetId="10627">
        <row r="4">
          <cell r="I4">
            <v>0</v>
          </cell>
        </row>
      </sheetData>
      <sheetData sheetId="10628">
        <row r="4">
          <cell r="I4">
            <v>0</v>
          </cell>
        </row>
      </sheetData>
      <sheetData sheetId="10629">
        <row r="4">
          <cell r="I4">
            <v>0</v>
          </cell>
        </row>
      </sheetData>
      <sheetData sheetId="10630">
        <row r="4">
          <cell r="I4">
            <v>0</v>
          </cell>
        </row>
      </sheetData>
      <sheetData sheetId="10631">
        <row r="4">
          <cell r="I4">
            <v>0</v>
          </cell>
        </row>
      </sheetData>
      <sheetData sheetId="10632">
        <row r="4">
          <cell r="I4">
            <v>0</v>
          </cell>
        </row>
      </sheetData>
      <sheetData sheetId="10633">
        <row r="4">
          <cell r="I4">
            <v>0</v>
          </cell>
        </row>
      </sheetData>
      <sheetData sheetId="10634">
        <row r="4">
          <cell r="I4">
            <v>0</v>
          </cell>
        </row>
      </sheetData>
      <sheetData sheetId="10635">
        <row r="4">
          <cell r="I4">
            <v>0</v>
          </cell>
        </row>
      </sheetData>
      <sheetData sheetId="10636">
        <row r="4">
          <cell r="I4">
            <v>0</v>
          </cell>
        </row>
      </sheetData>
      <sheetData sheetId="10637">
        <row r="4">
          <cell r="I4">
            <v>0</v>
          </cell>
        </row>
      </sheetData>
      <sheetData sheetId="10638">
        <row r="4">
          <cell r="I4">
            <v>0</v>
          </cell>
        </row>
      </sheetData>
      <sheetData sheetId="10639">
        <row r="4">
          <cell r="I4">
            <v>0</v>
          </cell>
        </row>
      </sheetData>
      <sheetData sheetId="10640">
        <row r="4">
          <cell r="I4">
            <v>0</v>
          </cell>
        </row>
      </sheetData>
      <sheetData sheetId="10641">
        <row r="4">
          <cell r="I4">
            <v>0</v>
          </cell>
        </row>
      </sheetData>
      <sheetData sheetId="10642">
        <row r="4">
          <cell r="I4">
            <v>0</v>
          </cell>
        </row>
      </sheetData>
      <sheetData sheetId="10643">
        <row r="4">
          <cell r="I4">
            <v>0</v>
          </cell>
        </row>
      </sheetData>
      <sheetData sheetId="10644">
        <row r="4">
          <cell r="I4">
            <v>0</v>
          </cell>
        </row>
      </sheetData>
      <sheetData sheetId="10645">
        <row r="4">
          <cell r="I4">
            <v>0</v>
          </cell>
        </row>
      </sheetData>
      <sheetData sheetId="10646">
        <row r="4">
          <cell r="I4">
            <v>0</v>
          </cell>
        </row>
      </sheetData>
      <sheetData sheetId="10647">
        <row r="4">
          <cell r="I4">
            <v>0</v>
          </cell>
        </row>
      </sheetData>
      <sheetData sheetId="10648">
        <row r="4">
          <cell r="I4">
            <v>0</v>
          </cell>
        </row>
      </sheetData>
      <sheetData sheetId="10649">
        <row r="4">
          <cell r="I4">
            <v>0</v>
          </cell>
        </row>
      </sheetData>
      <sheetData sheetId="10650">
        <row r="4">
          <cell r="I4">
            <v>0</v>
          </cell>
        </row>
      </sheetData>
      <sheetData sheetId="10651">
        <row r="4">
          <cell r="I4">
            <v>0</v>
          </cell>
        </row>
      </sheetData>
      <sheetData sheetId="10652">
        <row r="4">
          <cell r="I4">
            <v>0</v>
          </cell>
        </row>
      </sheetData>
      <sheetData sheetId="10653">
        <row r="4">
          <cell r="I4">
            <v>0</v>
          </cell>
        </row>
      </sheetData>
      <sheetData sheetId="10654">
        <row r="4">
          <cell r="I4">
            <v>0</v>
          </cell>
        </row>
      </sheetData>
      <sheetData sheetId="10655">
        <row r="4">
          <cell r="I4">
            <v>0</v>
          </cell>
        </row>
      </sheetData>
      <sheetData sheetId="10656">
        <row r="4">
          <cell r="I4">
            <v>0</v>
          </cell>
        </row>
      </sheetData>
      <sheetData sheetId="10657">
        <row r="4">
          <cell r="I4">
            <v>0</v>
          </cell>
        </row>
      </sheetData>
      <sheetData sheetId="10658">
        <row r="4">
          <cell r="I4">
            <v>0</v>
          </cell>
        </row>
      </sheetData>
      <sheetData sheetId="10659">
        <row r="4">
          <cell r="I4">
            <v>0</v>
          </cell>
        </row>
      </sheetData>
      <sheetData sheetId="10660">
        <row r="4">
          <cell r="I4">
            <v>0</v>
          </cell>
        </row>
      </sheetData>
      <sheetData sheetId="10661">
        <row r="4">
          <cell r="I4">
            <v>0</v>
          </cell>
        </row>
      </sheetData>
      <sheetData sheetId="10662">
        <row r="4">
          <cell r="I4">
            <v>0</v>
          </cell>
        </row>
      </sheetData>
      <sheetData sheetId="10663">
        <row r="4">
          <cell r="I4">
            <v>0</v>
          </cell>
        </row>
      </sheetData>
      <sheetData sheetId="10664">
        <row r="4">
          <cell r="I4">
            <v>0</v>
          </cell>
        </row>
      </sheetData>
      <sheetData sheetId="10665">
        <row r="4">
          <cell r="I4">
            <v>0</v>
          </cell>
        </row>
      </sheetData>
      <sheetData sheetId="10666">
        <row r="4">
          <cell r="I4">
            <v>0</v>
          </cell>
        </row>
      </sheetData>
      <sheetData sheetId="10667">
        <row r="4">
          <cell r="I4">
            <v>0</v>
          </cell>
        </row>
      </sheetData>
      <sheetData sheetId="10668">
        <row r="4">
          <cell r="I4">
            <v>0</v>
          </cell>
        </row>
      </sheetData>
      <sheetData sheetId="10669">
        <row r="4">
          <cell r="I4">
            <v>0</v>
          </cell>
        </row>
      </sheetData>
      <sheetData sheetId="10670">
        <row r="4">
          <cell r="I4">
            <v>0</v>
          </cell>
        </row>
      </sheetData>
      <sheetData sheetId="10671">
        <row r="4">
          <cell r="I4">
            <v>0</v>
          </cell>
        </row>
      </sheetData>
      <sheetData sheetId="10672">
        <row r="4">
          <cell r="I4">
            <v>0</v>
          </cell>
        </row>
      </sheetData>
      <sheetData sheetId="10673">
        <row r="4">
          <cell r="I4">
            <v>0</v>
          </cell>
        </row>
      </sheetData>
      <sheetData sheetId="10674">
        <row r="4">
          <cell r="I4">
            <v>0</v>
          </cell>
        </row>
      </sheetData>
      <sheetData sheetId="10675">
        <row r="4">
          <cell r="I4">
            <v>0</v>
          </cell>
        </row>
      </sheetData>
      <sheetData sheetId="10676">
        <row r="4">
          <cell r="I4">
            <v>0</v>
          </cell>
        </row>
      </sheetData>
      <sheetData sheetId="10677">
        <row r="4">
          <cell r="I4">
            <v>0</v>
          </cell>
        </row>
      </sheetData>
      <sheetData sheetId="10678">
        <row r="4">
          <cell r="I4">
            <v>0</v>
          </cell>
        </row>
      </sheetData>
      <sheetData sheetId="10679">
        <row r="4">
          <cell r="I4">
            <v>0</v>
          </cell>
        </row>
      </sheetData>
      <sheetData sheetId="10680">
        <row r="4">
          <cell r="I4">
            <v>0</v>
          </cell>
        </row>
      </sheetData>
      <sheetData sheetId="10681">
        <row r="4">
          <cell r="I4">
            <v>0</v>
          </cell>
        </row>
      </sheetData>
      <sheetData sheetId="10682">
        <row r="4">
          <cell r="I4">
            <v>0</v>
          </cell>
        </row>
      </sheetData>
      <sheetData sheetId="10683">
        <row r="4">
          <cell r="I4">
            <v>0</v>
          </cell>
        </row>
      </sheetData>
      <sheetData sheetId="10684">
        <row r="4">
          <cell r="I4">
            <v>0</v>
          </cell>
        </row>
      </sheetData>
      <sheetData sheetId="10685">
        <row r="4">
          <cell r="I4">
            <v>0</v>
          </cell>
        </row>
      </sheetData>
      <sheetData sheetId="10686">
        <row r="4">
          <cell r="I4">
            <v>0</v>
          </cell>
        </row>
      </sheetData>
      <sheetData sheetId="10687">
        <row r="4">
          <cell r="I4">
            <v>0</v>
          </cell>
        </row>
      </sheetData>
      <sheetData sheetId="10688">
        <row r="4">
          <cell r="I4">
            <v>0</v>
          </cell>
        </row>
      </sheetData>
      <sheetData sheetId="10689">
        <row r="4">
          <cell r="I4">
            <v>0</v>
          </cell>
        </row>
      </sheetData>
      <sheetData sheetId="10690">
        <row r="4">
          <cell r="I4">
            <v>0</v>
          </cell>
        </row>
      </sheetData>
      <sheetData sheetId="10691">
        <row r="4">
          <cell r="I4">
            <v>0</v>
          </cell>
        </row>
      </sheetData>
      <sheetData sheetId="10692">
        <row r="4">
          <cell r="I4">
            <v>0</v>
          </cell>
        </row>
      </sheetData>
      <sheetData sheetId="10693" refreshError="1"/>
      <sheetData sheetId="10694">
        <row r="4">
          <cell r="I4">
            <v>0</v>
          </cell>
        </row>
      </sheetData>
      <sheetData sheetId="10695">
        <row r="4">
          <cell r="I4">
            <v>0</v>
          </cell>
        </row>
      </sheetData>
      <sheetData sheetId="10696">
        <row r="4">
          <cell r="I4">
            <v>0</v>
          </cell>
        </row>
      </sheetData>
      <sheetData sheetId="10697">
        <row r="4">
          <cell r="I4">
            <v>0</v>
          </cell>
        </row>
      </sheetData>
      <sheetData sheetId="10698">
        <row r="4">
          <cell r="I4">
            <v>0</v>
          </cell>
        </row>
      </sheetData>
      <sheetData sheetId="10699">
        <row r="4">
          <cell r="I4">
            <v>0</v>
          </cell>
        </row>
      </sheetData>
      <sheetData sheetId="10700">
        <row r="4">
          <cell r="I4">
            <v>0</v>
          </cell>
        </row>
      </sheetData>
      <sheetData sheetId="10701">
        <row r="4">
          <cell r="I4">
            <v>0</v>
          </cell>
        </row>
      </sheetData>
      <sheetData sheetId="10702">
        <row r="4">
          <cell r="I4">
            <v>0</v>
          </cell>
        </row>
      </sheetData>
      <sheetData sheetId="10703">
        <row r="4">
          <cell r="I4">
            <v>0</v>
          </cell>
        </row>
      </sheetData>
      <sheetData sheetId="10704">
        <row r="4">
          <cell r="I4">
            <v>0</v>
          </cell>
        </row>
      </sheetData>
      <sheetData sheetId="10705">
        <row r="4">
          <cell r="I4">
            <v>0</v>
          </cell>
        </row>
      </sheetData>
      <sheetData sheetId="10706">
        <row r="4">
          <cell r="I4">
            <v>0</v>
          </cell>
        </row>
      </sheetData>
      <sheetData sheetId="10707">
        <row r="4">
          <cell r="I4">
            <v>0</v>
          </cell>
        </row>
      </sheetData>
      <sheetData sheetId="10708">
        <row r="4">
          <cell r="I4">
            <v>0</v>
          </cell>
        </row>
      </sheetData>
      <sheetData sheetId="10709">
        <row r="4">
          <cell r="I4">
            <v>0</v>
          </cell>
        </row>
      </sheetData>
      <sheetData sheetId="10710">
        <row r="4">
          <cell r="I4">
            <v>0</v>
          </cell>
        </row>
      </sheetData>
      <sheetData sheetId="10711">
        <row r="4">
          <cell r="I4">
            <v>0</v>
          </cell>
        </row>
      </sheetData>
      <sheetData sheetId="10712">
        <row r="4">
          <cell r="I4">
            <v>0</v>
          </cell>
        </row>
      </sheetData>
      <sheetData sheetId="10713">
        <row r="4">
          <cell r="I4">
            <v>0</v>
          </cell>
        </row>
      </sheetData>
      <sheetData sheetId="10714">
        <row r="4">
          <cell r="I4">
            <v>0</v>
          </cell>
        </row>
      </sheetData>
      <sheetData sheetId="10715">
        <row r="4">
          <cell r="I4">
            <v>0</v>
          </cell>
        </row>
      </sheetData>
      <sheetData sheetId="10716">
        <row r="4">
          <cell r="I4">
            <v>0</v>
          </cell>
        </row>
      </sheetData>
      <sheetData sheetId="10717">
        <row r="4">
          <cell r="I4">
            <v>0</v>
          </cell>
        </row>
      </sheetData>
      <sheetData sheetId="10718">
        <row r="4">
          <cell r="I4">
            <v>0</v>
          </cell>
        </row>
      </sheetData>
      <sheetData sheetId="10719">
        <row r="4">
          <cell r="I4">
            <v>0</v>
          </cell>
        </row>
      </sheetData>
      <sheetData sheetId="10720">
        <row r="4">
          <cell r="I4">
            <v>0</v>
          </cell>
        </row>
      </sheetData>
      <sheetData sheetId="10721">
        <row r="4">
          <cell r="I4">
            <v>0</v>
          </cell>
        </row>
      </sheetData>
      <sheetData sheetId="10722">
        <row r="4">
          <cell r="I4">
            <v>0</v>
          </cell>
        </row>
      </sheetData>
      <sheetData sheetId="10723">
        <row r="4">
          <cell r="I4">
            <v>0</v>
          </cell>
        </row>
      </sheetData>
      <sheetData sheetId="10724">
        <row r="4">
          <cell r="I4">
            <v>0</v>
          </cell>
        </row>
      </sheetData>
      <sheetData sheetId="10725">
        <row r="4">
          <cell r="I4">
            <v>0</v>
          </cell>
        </row>
      </sheetData>
      <sheetData sheetId="10726">
        <row r="4">
          <cell r="I4">
            <v>0</v>
          </cell>
        </row>
      </sheetData>
      <sheetData sheetId="10727">
        <row r="4">
          <cell r="I4">
            <v>0</v>
          </cell>
        </row>
      </sheetData>
      <sheetData sheetId="10728">
        <row r="4">
          <cell r="I4">
            <v>0</v>
          </cell>
        </row>
      </sheetData>
      <sheetData sheetId="10729">
        <row r="4">
          <cell r="I4">
            <v>0</v>
          </cell>
        </row>
      </sheetData>
      <sheetData sheetId="10730">
        <row r="4">
          <cell r="I4">
            <v>0</v>
          </cell>
        </row>
      </sheetData>
      <sheetData sheetId="10731">
        <row r="4">
          <cell r="I4">
            <v>0</v>
          </cell>
        </row>
      </sheetData>
      <sheetData sheetId="10732">
        <row r="4">
          <cell r="I4">
            <v>0</v>
          </cell>
        </row>
      </sheetData>
      <sheetData sheetId="10733">
        <row r="4">
          <cell r="I4">
            <v>0</v>
          </cell>
        </row>
      </sheetData>
      <sheetData sheetId="10734">
        <row r="4">
          <cell r="I4">
            <v>0</v>
          </cell>
        </row>
      </sheetData>
      <sheetData sheetId="10735">
        <row r="4">
          <cell r="I4">
            <v>0</v>
          </cell>
        </row>
      </sheetData>
      <sheetData sheetId="10736">
        <row r="4">
          <cell r="I4">
            <v>0</v>
          </cell>
        </row>
      </sheetData>
      <sheetData sheetId="10737">
        <row r="4">
          <cell r="I4">
            <v>0</v>
          </cell>
        </row>
      </sheetData>
      <sheetData sheetId="10738">
        <row r="4">
          <cell r="I4">
            <v>0</v>
          </cell>
        </row>
      </sheetData>
      <sheetData sheetId="10739">
        <row r="4">
          <cell r="I4">
            <v>0</v>
          </cell>
        </row>
      </sheetData>
      <sheetData sheetId="10740">
        <row r="4">
          <cell r="I4">
            <v>0</v>
          </cell>
        </row>
      </sheetData>
      <sheetData sheetId="10741">
        <row r="4">
          <cell r="I4">
            <v>0</v>
          </cell>
        </row>
      </sheetData>
      <sheetData sheetId="10742">
        <row r="4">
          <cell r="I4">
            <v>0</v>
          </cell>
        </row>
      </sheetData>
      <sheetData sheetId="10743">
        <row r="4">
          <cell r="I4">
            <v>0</v>
          </cell>
        </row>
      </sheetData>
      <sheetData sheetId="10744">
        <row r="4">
          <cell r="I4">
            <v>0</v>
          </cell>
        </row>
      </sheetData>
      <sheetData sheetId="10745">
        <row r="4">
          <cell r="I4">
            <v>0</v>
          </cell>
        </row>
      </sheetData>
      <sheetData sheetId="10746">
        <row r="4">
          <cell r="I4">
            <v>0</v>
          </cell>
        </row>
      </sheetData>
      <sheetData sheetId="10747">
        <row r="4">
          <cell r="I4">
            <v>0</v>
          </cell>
        </row>
      </sheetData>
      <sheetData sheetId="10748">
        <row r="4">
          <cell r="I4">
            <v>0</v>
          </cell>
        </row>
      </sheetData>
      <sheetData sheetId="10749">
        <row r="4">
          <cell r="I4">
            <v>0</v>
          </cell>
        </row>
      </sheetData>
      <sheetData sheetId="10750">
        <row r="4">
          <cell r="I4">
            <v>0</v>
          </cell>
        </row>
      </sheetData>
      <sheetData sheetId="10751">
        <row r="4">
          <cell r="I4">
            <v>0</v>
          </cell>
        </row>
      </sheetData>
      <sheetData sheetId="10752">
        <row r="4">
          <cell r="I4">
            <v>0</v>
          </cell>
        </row>
      </sheetData>
      <sheetData sheetId="10753">
        <row r="4">
          <cell r="I4">
            <v>0</v>
          </cell>
        </row>
      </sheetData>
      <sheetData sheetId="10754">
        <row r="4">
          <cell r="I4">
            <v>0</v>
          </cell>
        </row>
      </sheetData>
      <sheetData sheetId="10755">
        <row r="4">
          <cell r="I4">
            <v>0</v>
          </cell>
        </row>
      </sheetData>
      <sheetData sheetId="10756">
        <row r="4">
          <cell r="I4">
            <v>0</v>
          </cell>
        </row>
      </sheetData>
      <sheetData sheetId="10757">
        <row r="4">
          <cell r="I4">
            <v>0</v>
          </cell>
        </row>
      </sheetData>
      <sheetData sheetId="10758">
        <row r="4">
          <cell r="I4">
            <v>0</v>
          </cell>
        </row>
      </sheetData>
      <sheetData sheetId="10759">
        <row r="4">
          <cell r="I4">
            <v>0</v>
          </cell>
        </row>
      </sheetData>
      <sheetData sheetId="10760">
        <row r="4">
          <cell r="I4">
            <v>0</v>
          </cell>
        </row>
      </sheetData>
      <sheetData sheetId="10761" refreshError="1"/>
      <sheetData sheetId="10762" refreshError="1"/>
      <sheetData sheetId="10763" refreshError="1"/>
      <sheetData sheetId="10764" refreshError="1"/>
      <sheetData sheetId="10765" refreshError="1"/>
      <sheetData sheetId="10766">
        <row r="4">
          <cell r="I4">
            <v>0</v>
          </cell>
        </row>
      </sheetData>
      <sheetData sheetId="10767">
        <row r="4">
          <cell r="I4">
            <v>0</v>
          </cell>
        </row>
      </sheetData>
      <sheetData sheetId="10768">
        <row r="4">
          <cell r="I4">
            <v>0</v>
          </cell>
        </row>
      </sheetData>
      <sheetData sheetId="10769">
        <row r="4">
          <cell r="I4">
            <v>0</v>
          </cell>
        </row>
      </sheetData>
      <sheetData sheetId="10770">
        <row r="4">
          <cell r="I4">
            <v>0</v>
          </cell>
        </row>
      </sheetData>
      <sheetData sheetId="10771">
        <row r="4">
          <cell r="I4">
            <v>0</v>
          </cell>
        </row>
      </sheetData>
      <sheetData sheetId="10772">
        <row r="4">
          <cell r="I4">
            <v>0</v>
          </cell>
        </row>
      </sheetData>
      <sheetData sheetId="10773">
        <row r="4">
          <cell r="I4">
            <v>0</v>
          </cell>
        </row>
      </sheetData>
      <sheetData sheetId="10774">
        <row r="4">
          <cell r="I4">
            <v>0</v>
          </cell>
        </row>
      </sheetData>
      <sheetData sheetId="10775">
        <row r="4">
          <cell r="I4">
            <v>0</v>
          </cell>
        </row>
      </sheetData>
      <sheetData sheetId="10776">
        <row r="4">
          <cell r="I4">
            <v>0</v>
          </cell>
        </row>
      </sheetData>
      <sheetData sheetId="10777">
        <row r="4">
          <cell r="I4">
            <v>0</v>
          </cell>
        </row>
      </sheetData>
      <sheetData sheetId="10778">
        <row r="4">
          <cell r="I4">
            <v>0</v>
          </cell>
        </row>
      </sheetData>
      <sheetData sheetId="10779">
        <row r="4">
          <cell r="I4">
            <v>0</v>
          </cell>
        </row>
      </sheetData>
      <sheetData sheetId="10780">
        <row r="4">
          <cell r="I4">
            <v>0</v>
          </cell>
        </row>
      </sheetData>
      <sheetData sheetId="10781">
        <row r="4">
          <cell r="I4">
            <v>0</v>
          </cell>
        </row>
      </sheetData>
      <sheetData sheetId="10782">
        <row r="4">
          <cell r="I4">
            <v>0</v>
          </cell>
        </row>
      </sheetData>
      <sheetData sheetId="10783">
        <row r="4">
          <cell r="I4">
            <v>0</v>
          </cell>
        </row>
      </sheetData>
      <sheetData sheetId="10784">
        <row r="4">
          <cell r="I4">
            <v>0</v>
          </cell>
        </row>
      </sheetData>
      <sheetData sheetId="10785" refreshError="1"/>
      <sheetData sheetId="10786">
        <row r="4">
          <cell r="I4">
            <v>0</v>
          </cell>
        </row>
      </sheetData>
      <sheetData sheetId="10787">
        <row r="4">
          <cell r="I4">
            <v>0</v>
          </cell>
        </row>
      </sheetData>
      <sheetData sheetId="10788">
        <row r="4">
          <cell r="I4">
            <v>0</v>
          </cell>
        </row>
      </sheetData>
      <sheetData sheetId="10789">
        <row r="4">
          <cell r="I4">
            <v>0</v>
          </cell>
        </row>
      </sheetData>
      <sheetData sheetId="10790" refreshError="1"/>
      <sheetData sheetId="10791" refreshError="1"/>
      <sheetData sheetId="10792" refreshError="1"/>
      <sheetData sheetId="10793" refreshError="1"/>
      <sheetData sheetId="10794" refreshError="1"/>
      <sheetData sheetId="10795" refreshError="1"/>
      <sheetData sheetId="10796" refreshError="1"/>
      <sheetData sheetId="10797" refreshError="1"/>
      <sheetData sheetId="10798">
        <row r="4">
          <cell r="I4">
            <v>0</v>
          </cell>
        </row>
      </sheetData>
      <sheetData sheetId="10799">
        <row r="4">
          <cell r="I4">
            <v>0</v>
          </cell>
        </row>
      </sheetData>
      <sheetData sheetId="10800">
        <row r="4">
          <cell r="I4">
            <v>0</v>
          </cell>
        </row>
      </sheetData>
      <sheetData sheetId="10801">
        <row r="4">
          <cell r="I4">
            <v>0</v>
          </cell>
        </row>
      </sheetData>
      <sheetData sheetId="10802" refreshError="1"/>
      <sheetData sheetId="10803" refreshError="1"/>
      <sheetData sheetId="10804" refreshError="1"/>
      <sheetData sheetId="10805" refreshError="1"/>
      <sheetData sheetId="10806">
        <row r="4">
          <cell r="I4">
            <v>0</v>
          </cell>
        </row>
      </sheetData>
      <sheetData sheetId="10807">
        <row r="4">
          <cell r="I4">
            <v>0</v>
          </cell>
        </row>
      </sheetData>
      <sheetData sheetId="10808">
        <row r="4">
          <cell r="I4">
            <v>0</v>
          </cell>
        </row>
      </sheetData>
      <sheetData sheetId="10809">
        <row r="4">
          <cell r="I4">
            <v>0</v>
          </cell>
        </row>
      </sheetData>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row r="4">
          <cell r="I4">
            <v>0</v>
          </cell>
        </row>
      </sheetData>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ow r="4">
          <cell r="I4">
            <v>0</v>
          </cell>
        </row>
      </sheetData>
      <sheetData sheetId="10842">
        <row r="4">
          <cell r="I4">
            <v>0</v>
          </cell>
        </row>
      </sheetData>
      <sheetData sheetId="10843">
        <row r="4">
          <cell r="I4">
            <v>0</v>
          </cell>
        </row>
      </sheetData>
      <sheetData sheetId="10844">
        <row r="4">
          <cell r="I4">
            <v>0</v>
          </cell>
        </row>
      </sheetData>
      <sheetData sheetId="10845">
        <row r="4">
          <cell r="I4">
            <v>0</v>
          </cell>
        </row>
      </sheetData>
      <sheetData sheetId="10846">
        <row r="4">
          <cell r="I4">
            <v>0</v>
          </cell>
        </row>
      </sheetData>
      <sheetData sheetId="10847">
        <row r="4">
          <cell r="I4">
            <v>0</v>
          </cell>
        </row>
      </sheetData>
      <sheetData sheetId="10848">
        <row r="4">
          <cell r="I4">
            <v>0</v>
          </cell>
        </row>
      </sheetData>
      <sheetData sheetId="10849">
        <row r="4">
          <cell r="I4">
            <v>0</v>
          </cell>
        </row>
      </sheetData>
      <sheetData sheetId="10850">
        <row r="4">
          <cell r="I4">
            <v>0</v>
          </cell>
        </row>
      </sheetData>
      <sheetData sheetId="10851" refreshError="1"/>
      <sheetData sheetId="10852">
        <row r="4">
          <cell r="I4">
            <v>0</v>
          </cell>
        </row>
      </sheetData>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ow r="4">
          <cell r="I4">
            <v>0</v>
          </cell>
        </row>
      </sheetData>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sheetData sheetId="10978"/>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sheetData sheetId="10990" refreshError="1"/>
      <sheetData sheetId="10991" refreshError="1"/>
      <sheetData sheetId="10992" refreshError="1"/>
      <sheetData sheetId="10993" refreshError="1"/>
      <sheetData sheetId="10994">
        <row r="4">
          <cell r="I4">
            <v>0</v>
          </cell>
        </row>
      </sheetData>
      <sheetData sheetId="10995"/>
      <sheetData sheetId="10996">
        <row r="4">
          <cell r="I4">
            <v>0</v>
          </cell>
        </row>
      </sheetData>
      <sheetData sheetId="10997" refreshError="1"/>
      <sheetData sheetId="10998" refreshError="1"/>
      <sheetData sheetId="10999" refreshError="1"/>
      <sheetData sheetId="11000" refreshError="1"/>
      <sheetData sheetId="11001" refreshError="1"/>
      <sheetData sheetId="11002"/>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ow r="4">
          <cell r="I4">
            <v>0</v>
          </cell>
        </row>
      </sheetData>
      <sheetData sheetId="11016">
        <row r="4">
          <cell r="I4">
            <v>0</v>
          </cell>
        </row>
      </sheetData>
      <sheetData sheetId="11017">
        <row r="4">
          <cell r="I4">
            <v>0</v>
          </cell>
        </row>
      </sheetData>
      <sheetData sheetId="11018">
        <row r="4">
          <cell r="I4">
            <v>0</v>
          </cell>
        </row>
      </sheetData>
      <sheetData sheetId="11019">
        <row r="4">
          <cell r="I4">
            <v>0</v>
          </cell>
        </row>
      </sheetData>
      <sheetData sheetId="11020">
        <row r="4">
          <cell r="I4">
            <v>0</v>
          </cell>
        </row>
      </sheetData>
      <sheetData sheetId="11021">
        <row r="4">
          <cell r="I4">
            <v>0</v>
          </cell>
        </row>
      </sheetData>
      <sheetData sheetId="11022">
        <row r="4">
          <cell r="I4">
            <v>0</v>
          </cell>
        </row>
      </sheetData>
      <sheetData sheetId="11023">
        <row r="4">
          <cell r="I4">
            <v>0</v>
          </cell>
        </row>
      </sheetData>
      <sheetData sheetId="11024">
        <row r="4">
          <cell r="I4">
            <v>0</v>
          </cell>
        </row>
      </sheetData>
      <sheetData sheetId="11025">
        <row r="4">
          <cell r="I4">
            <v>0</v>
          </cell>
        </row>
      </sheetData>
      <sheetData sheetId="11026">
        <row r="4">
          <cell r="I4">
            <v>0</v>
          </cell>
        </row>
      </sheetData>
      <sheetData sheetId="11027">
        <row r="4">
          <cell r="I4">
            <v>0</v>
          </cell>
        </row>
      </sheetData>
      <sheetData sheetId="11028">
        <row r="4">
          <cell r="I4">
            <v>0</v>
          </cell>
        </row>
      </sheetData>
      <sheetData sheetId="11029">
        <row r="4">
          <cell r="I4">
            <v>0</v>
          </cell>
        </row>
      </sheetData>
      <sheetData sheetId="11030">
        <row r="4">
          <cell r="I4">
            <v>0</v>
          </cell>
        </row>
      </sheetData>
      <sheetData sheetId="11031">
        <row r="4">
          <cell r="I4">
            <v>0</v>
          </cell>
        </row>
      </sheetData>
      <sheetData sheetId="11032">
        <row r="4">
          <cell r="I4">
            <v>0</v>
          </cell>
        </row>
      </sheetData>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sheetData sheetId="11041"/>
      <sheetData sheetId="11042"/>
      <sheetData sheetId="11043" refreshError="1"/>
      <sheetData sheetId="11044">
        <row r="4">
          <cell r="I4">
            <v>0</v>
          </cell>
        </row>
      </sheetData>
      <sheetData sheetId="11045">
        <row r="4">
          <cell r="I4">
            <v>0</v>
          </cell>
        </row>
      </sheetData>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sheetData sheetId="11055" refreshError="1"/>
      <sheetData sheetId="11056"/>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sheetData sheetId="11079"/>
      <sheetData sheetId="11080" refreshError="1"/>
      <sheetData sheetId="11081" refreshError="1"/>
      <sheetData sheetId="11082" refreshError="1"/>
      <sheetData sheetId="11083" refreshError="1"/>
      <sheetData sheetId="11084" refreshError="1"/>
      <sheetData sheetId="11085" refreshError="1"/>
      <sheetData sheetId="11086">
        <row r="4">
          <cell r="I4">
            <v>0</v>
          </cell>
        </row>
      </sheetData>
      <sheetData sheetId="11087">
        <row r="4">
          <cell r="I4">
            <v>0</v>
          </cell>
        </row>
      </sheetData>
      <sheetData sheetId="11088" refreshError="1"/>
      <sheetData sheetId="11089"/>
      <sheetData sheetId="11090"/>
      <sheetData sheetId="11091"/>
      <sheetData sheetId="11092"/>
      <sheetData sheetId="11093" refreshError="1"/>
      <sheetData sheetId="11094" refreshError="1"/>
      <sheetData sheetId="11095"/>
      <sheetData sheetId="11096" refreshError="1"/>
      <sheetData sheetId="11097"/>
      <sheetData sheetId="11098">
        <row r="4">
          <cell r="I4">
            <v>0</v>
          </cell>
        </row>
      </sheetData>
      <sheetData sheetId="11099">
        <row r="4">
          <cell r="I4">
            <v>0</v>
          </cell>
        </row>
      </sheetData>
      <sheetData sheetId="11100">
        <row r="4">
          <cell r="I4">
            <v>0</v>
          </cell>
        </row>
      </sheetData>
      <sheetData sheetId="11101"/>
      <sheetData sheetId="11102" refreshError="1"/>
      <sheetData sheetId="11103"/>
      <sheetData sheetId="11104"/>
      <sheetData sheetId="11105">
        <row r="4">
          <cell r="I4">
            <v>0</v>
          </cell>
        </row>
      </sheetData>
      <sheetData sheetId="11106"/>
      <sheetData sheetId="11107"/>
      <sheetData sheetId="11108"/>
      <sheetData sheetId="11109"/>
      <sheetData sheetId="11110"/>
      <sheetData sheetId="11111"/>
      <sheetData sheetId="11112"/>
      <sheetData sheetId="11113"/>
      <sheetData sheetId="11114" refreshError="1"/>
      <sheetData sheetId="11115"/>
      <sheetData sheetId="11116" refreshError="1"/>
      <sheetData sheetId="11117" refreshError="1"/>
      <sheetData sheetId="11118"/>
      <sheetData sheetId="11119"/>
      <sheetData sheetId="11120"/>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sheetData sheetId="11133" refreshError="1"/>
      <sheetData sheetId="11134" refreshError="1"/>
      <sheetData sheetId="11135" refreshError="1"/>
      <sheetData sheetId="11136"/>
      <sheetData sheetId="11137" refreshError="1"/>
      <sheetData sheetId="11138" refreshError="1"/>
      <sheetData sheetId="11139" refreshError="1"/>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row r="4">
          <cell r="I4">
            <v>0</v>
          </cell>
        </row>
      </sheetData>
      <sheetData sheetId="11154"/>
      <sheetData sheetId="11155"/>
      <sheetData sheetId="11156"/>
      <sheetData sheetId="11157"/>
      <sheetData sheetId="11158"/>
      <sheetData sheetId="11159"/>
      <sheetData sheetId="11160"/>
      <sheetData sheetId="11161"/>
      <sheetData sheetId="11162" refreshError="1"/>
      <sheetData sheetId="11163" refreshError="1"/>
      <sheetData sheetId="11164" refreshError="1"/>
      <sheetData sheetId="11165" refreshError="1"/>
      <sheetData sheetId="11166" refreshError="1"/>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row r="4">
          <cell r="I4">
            <v>0</v>
          </cell>
        </row>
      </sheetData>
      <sheetData sheetId="11182">
        <row r="4">
          <cell r="I4">
            <v>0</v>
          </cell>
        </row>
      </sheetData>
      <sheetData sheetId="11183"/>
      <sheetData sheetId="11184"/>
      <sheetData sheetId="11185"/>
      <sheetData sheetId="11186"/>
      <sheetData sheetId="11187"/>
      <sheetData sheetId="11188"/>
      <sheetData sheetId="11189"/>
      <sheetData sheetId="11190"/>
      <sheetData sheetId="1119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ow r="4">
          <cell r="I4">
            <v>0</v>
          </cell>
        </row>
      </sheetData>
      <sheetData sheetId="11220">
        <row r="4">
          <cell r="I4">
            <v>0</v>
          </cell>
        </row>
      </sheetData>
      <sheetData sheetId="11221">
        <row r="4">
          <cell r="I4">
            <v>0</v>
          </cell>
        </row>
      </sheetData>
      <sheetData sheetId="11222">
        <row r="4">
          <cell r="I4">
            <v>0</v>
          </cell>
        </row>
      </sheetData>
      <sheetData sheetId="11223">
        <row r="4">
          <cell r="I4">
            <v>0</v>
          </cell>
        </row>
      </sheetData>
      <sheetData sheetId="11224">
        <row r="4">
          <cell r="I4">
            <v>0</v>
          </cell>
        </row>
      </sheetData>
      <sheetData sheetId="11225">
        <row r="4">
          <cell r="I4">
            <v>0</v>
          </cell>
        </row>
      </sheetData>
      <sheetData sheetId="11226">
        <row r="4">
          <cell r="I4">
            <v>0</v>
          </cell>
        </row>
      </sheetData>
      <sheetData sheetId="11227">
        <row r="4">
          <cell r="I4">
            <v>0</v>
          </cell>
        </row>
      </sheetData>
      <sheetData sheetId="11228">
        <row r="4">
          <cell r="I4">
            <v>0</v>
          </cell>
        </row>
      </sheetData>
      <sheetData sheetId="11229">
        <row r="4">
          <cell r="I4">
            <v>0</v>
          </cell>
        </row>
      </sheetData>
      <sheetData sheetId="11230">
        <row r="4">
          <cell r="I4">
            <v>0</v>
          </cell>
        </row>
      </sheetData>
      <sheetData sheetId="11231">
        <row r="4">
          <cell r="I4">
            <v>0</v>
          </cell>
        </row>
      </sheetData>
      <sheetData sheetId="11232">
        <row r="4">
          <cell r="I4">
            <v>0</v>
          </cell>
        </row>
      </sheetData>
      <sheetData sheetId="11233">
        <row r="4">
          <cell r="I4">
            <v>0</v>
          </cell>
        </row>
      </sheetData>
      <sheetData sheetId="11234">
        <row r="4">
          <cell r="I4">
            <v>0</v>
          </cell>
        </row>
      </sheetData>
      <sheetData sheetId="11235">
        <row r="4">
          <cell r="I4">
            <v>0</v>
          </cell>
        </row>
      </sheetData>
      <sheetData sheetId="11236">
        <row r="4">
          <cell r="I4">
            <v>0</v>
          </cell>
        </row>
      </sheetData>
      <sheetData sheetId="11237">
        <row r="4">
          <cell r="I4">
            <v>0</v>
          </cell>
        </row>
      </sheetData>
      <sheetData sheetId="11238"/>
      <sheetData sheetId="11239"/>
      <sheetData sheetId="11240"/>
      <sheetData sheetId="11241"/>
      <sheetData sheetId="11242"/>
      <sheetData sheetId="11243" refreshError="1"/>
      <sheetData sheetId="11244" refreshError="1"/>
      <sheetData sheetId="11245" refreshError="1"/>
      <sheetData sheetId="11246" refreshError="1"/>
      <sheetData sheetId="11247" refreshError="1"/>
      <sheetData sheetId="11248" refreshError="1"/>
      <sheetData sheetId="11249"/>
      <sheetData sheetId="11250"/>
      <sheetData sheetId="11251"/>
      <sheetData sheetId="11252"/>
      <sheetData sheetId="11253"/>
      <sheetData sheetId="11254"/>
      <sheetData sheetId="11255">
        <row r="4">
          <cell r="I4">
            <v>0</v>
          </cell>
        </row>
      </sheetData>
      <sheetData sheetId="11256">
        <row r="4">
          <cell r="I4">
            <v>0</v>
          </cell>
        </row>
      </sheetData>
      <sheetData sheetId="11257">
        <row r="4">
          <cell r="I4">
            <v>0</v>
          </cell>
        </row>
      </sheetData>
      <sheetData sheetId="11258"/>
      <sheetData sheetId="11259"/>
      <sheetData sheetId="11260"/>
      <sheetData sheetId="11261"/>
      <sheetData sheetId="11262"/>
      <sheetData sheetId="11263"/>
      <sheetData sheetId="11264"/>
      <sheetData sheetId="11265"/>
      <sheetData sheetId="11266"/>
      <sheetData sheetId="11267" refreshError="1"/>
      <sheetData sheetId="11268"/>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sheetData sheetId="11282"/>
      <sheetData sheetId="11283"/>
      <sheetData sheetId="11284" refreshError="1"/>
      <sheetData sheetId="11285" refreshError="1"/>
      <sheetData sheetId="11286" refreshError="1"/>
      <sheetData sheetId="11287" refreshError="1"/>
      <sheetData sheetId="11288"/>
      <sheetData sheetId="11289">
        <row r="4">
          <cell r="I4">
            <v>0</v>
          </cell>
        </row>
      </sheetData>
      <sheetData sheetId="11290">
        <row r="4">
          <cell r="I4">
            <v>0</v>
          </cell>
        </row>
      </sheetData>
      <sheetData sheetId="11291">
        <row r="4">
          <cell r="I4">
            <v>0</v>
          </cell>
        </row>
      </sheetData>
      <sheetData sheetId="11292">
        <row r="4">
          <cell r="I4">
            <v>0</v>
          </cell>
        </row>
      </sheetData>
      <sheetData sheetId="11293">
        <row r="4">
          <cell r="I4">
            <v>0</v>
          </cell>
        </row>
      </sheetData>
      <sheetData sheetId="11294">
        <row r="4">
          <cell r="I4">
            <v>0</v>
          </cell>
        </row>
      </sheetData>
      <sheetData sheetId="11295">
        <row r="4">
          <cell r="I4">
            <v>0</v>
          </cell>
        </row>
      </sheetData>
      <sheetData sheetId="11296" refreshError="1"/>
      <sheetData sheetId="11297" refreshError="1"/>
      <sheetData sheetId="11298" refreshError="1"/>
      <sheetData sheetId="11299"/>
      <sheetData sheetId="11300"/>
      <sheetData sheetId="11301"/>
      <sheetData sheetId="11302"/>
      <sheetData sheetId="11303"/>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sheetData sheetId="11325"/>
      <sheetData sheetId="11326"/>
      <sheetData sheetId="11327"/>
      <sheetData sheetId="11328"/>
      <sheetData sheetId="11329"/>
      <sheetData sheetId="11330" refreshError="1"/>
      <sheetData sheetId="11331"/>
      <sheetData sheetId="11332"/>
      <sheetData sheetId="11333"/>
      <sheetData sheetId="11334" refreshError="1"/>
      <sheetData sheetId="11335" refreshError="1"/>
      <sheetData sheetId="11336" refreshError="1"/>
      <sheetData sheetId="11337" refreshError="1"/>
      <sheetData sheetId="11338"/>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row r="4">
          <cell r="I4">
            <v>0</v>
          </cell>
        </row>
      </sheetData>
      <sheetData sheetId="11347">
        <row r="4">
          <cell r="I4">
            <v>0</v>
          </cell>
        </row>
      </sheetData>
      <sheetData sheetId="11348">
        <row r="4">
          <cell r="I4">
            <v>0</v>
          </cell>
        </row>
      </sheetData>
      <sheetData sheetId="11349">
        <row r="4">
          <cell r="I4">
            <v>0</v>
          </cell>
        </row>
      </sheetData>
      <sheetData sheetId="11350">
        <row r="4">
          <cell r="I4">
            <v>0</v>
          </cell>
        </row>
      </sheetData>
      <sheetData sheetId="11351">
        <row r="4">
          <cell r="I4">
            <v>0</v>
          </cell>
        </row>
      </sheetData>
      <sheetData sheetId="11352">
        <row r="4">
          <cell r="I4">
            <v>0</v>
          </cell>
        </row>
      </sheetData>
      <sheetData sheetId="11353">
        <row r="4">
          <cell r="I4">
            <v>0</v>
          </cell>
        </row>
      </sheetData>
      <sheetData sheetId="11354">
        <row r="4">
          <cell r="I4">
            <v>0</v>
          </cell>
        </row>
      </sheetData>
      <sheetData sheetId="11355">
        <row r="4">
          <cell r="I4">
            <v>0</v>
          </cell>
        </row>
      </sheetData>
      <sheetData sheetId="11356">
        <row r="4">
          <cell r="I4">
            <v>0</v>
          </cell>
        </row>
      </sheetData>
      <sheetData sheetId="11357">
        <row r="4">
          <cell r="I4">
            <v>0</v>
          </cell>
        </row>
      </sheetData>
      <sheetData sheetId="11358">
        <row r="4">
          <cell r="I4">
            <v>0</v>
          </cell>
        </row>
      </sheetData>
      <sheetData sheetId="11359">
        <row r="4">
          <cell r="I4">
            <v>0</v>
          </cell>
        </row>
      </sheetData>
      <sheetData sheetId="11360">
        <row r="4">
          <cell r="I4">
            <v>0</v>
          </cell>
        </row>
      </sheetData>
      <sheetData sheetId="11361">
        <row r="4">
          <cell r="I4">
            <v>0</v>
          </cell>
        </row>
      </sheetData>
      <sheetData sheetId="11362">
        <row r="4">
          <cell r="I4">
            <v>0</v>
          </cell>
        </row>
      </sheetData>
      <sheetData sheetId="11363">
        <row r="4">
          <cell r="I4">
            <v>0</v>
          </cell>
        </row>
      </sheetData>
      <sheetData sheetId="11364">
        <row r="4">
          <cell r="I4">
            <v>0</v>
          </cell>
        </row>
      </sheetData>
      <sheetData sheetId="11365">
        <row r="4">
          <cell r="I4">
            <v>0</v>
          </cell>
        </row>
      </sheetData>
      <sheetData sheetId="11366">
        <row r="4">
          <cell r="I4">
            <v>0</v>
          </cell>
        </row>
      </sheetData>
      <sheetData sheetId="11367">
        <row r="4">
          <cell r="I4">
            <v>0</v>
          </cell>
        </row>
      </sheetData>
      <sheetData sheetId="11368">
        <row r="4">
          <cell r="I4">
            <v>0</v>
          </cell>
        </row>
      </sheetData>
      <sheetData sheetId="11369">
        <row r="4">
          <cell r="I4">
            <v>0</v>
          </cell>
        </row>
      </sheetData>
      <sheetData sheetId="11370">
        <row r="4">
          <cell r="I4">
            <v>0</v>
          </cell>
        </row>
      </sheetData>
      <sheetData sheetId="11371">
        <row r="4">
          <cell r="I4">
            <v>0</v>
          </cell>
        </row>
      </sheetData>
      <sheetData sheetId="11372">
        <row r="4">
          <cell r="I4">
            <v>0</v>
          </cell>
        </row>
      </sheetData>
      <sheetData sheetId="11373">
        <row r="4">
          <cell r="I4">
            <v>0</v>
          </cell>
        </row>
      </sheetData>
      <sheetData sheetId="11374">
        <row r="4">
          <cell r="I4">
            <v>0</v>
          </cell>
        </row>
      </sheetData>
      <sheetData sheetId="11375">
        <row r="4">
          <cell r="I4">
            <v>0</v>
          </cell>
        </row>
      </sheetData>
      <sheetData sheetId="11376">
        <row r="4">
          <cell r="I4">
            <v>0</v>
          </cell>
        </row>
      </sheetData>
      <sheetData sheetId="11377">
        <row r="4">
          <cell r="I4">
            <v>0</v>
          </cell>
        </row>
      </sheetData>
      <sheetData sheetId="11378">
        <row r="4">
          <cell r="I4">
            <v>0</v>
          </cell>
        </row>
      </sheetData>
      <sheetData sheetId="11379">
        <row r="4">
          <cell r="I4">
            <v>0</v>
          </cell>
        </row>
      </sheetData>
      <sheetData sheetId="11380">
        <row r="4">
          <cell r="I4">
            <v>0</v>
          </cell>
        </row>
      </sheetData>
      <sheetData sheetId="11381">
        <row r="4">
          <cell r="I4">
            <v>0</v>
          </cell>
        </row>
      </sheetData>
      <sheetData sheetId="11382">
        <row r="4">
          <cell r="I4">
            <v>0</v>
          </cell>
        </row>
      </sheetData>
      <sheetData sheetId="11383">
        <row r="4">
          <cell r="I4">
            <v>0</v>
          </cell>
        </row>
      </sheetData>
      <sheetData sheetId="11384">
        <row r="4">
          <cell r="I4">
            <v>0</v>
          </cell>
        </row>
      </sheetData>
      <sheetData sheetId="11385">
        <row r="4">
          <cell r="I4">
            <v>0</v>
          </cell>
        </row>
      </sheetData>
      <sheetData sheetId="11386">
        <row r="4">
          <cell r="I4">
            <v>0</v>
          </cell>
        </row>
      </sheetData>
      <sheetData sheetId="11387">
        <row r="4">
          <cell r="I4">
            <v>0</v>
          </cell>
        </row>
      </sheetData>
      <sheetData sheetId="11388">
        <row r="4">
          <cell r="I4">
            <v>0</v>
          </cell>
        </row>
      </sheetData>
      <sheetData sheetId="11389">
        <row r="4">
          <cell r="I4">
            <v>0</v>
          </cell>
        </row>
      </sheetData>
      <sheetData sheetId="11390">
        <row r="4">
          <cell r="I4">
            <v>0</v>
          </cell>
        </row>
      </sheetData>
      <sheetData sheetId="11391">
        <row r="4">
          <cell r="I4">
            <v>0</v>
          </cell>
        </row>
      </sheetData>
      <sheetData sheetId="11392"/>
      <sheetData sheetId="11393">
        <row r="4">
          <cell r="I4">
            <v>0</v>
          </cell>
        </row>
      </sheetData>
      <sheetData sheetId="11394">
        <row r="4">
          <cell r="I4">
            <v>0</v>
          </cell>
        </row>
      </sheetData>
      <sheetData sheetId="11395">
        <row r="4">
          <cell r="I4">
            <v>0</v>
          </cell>
        </row>
      </sheetData>
      <sheetData sheetId="11396" refreshError="1"/>
      <sheetData sheetId="11397" refreshError="1"/>
      <sheetData sheetId="11398">
        <row r="4">
          <cell r="I4">
            <v>0</v>
          </cell>
        </row>
      </sheetData>
      <sheetData sheetId="11399" refreshError="1"/>
      <sheetData sheetId="11400" refreshError="1"/>
      <sheetData sheetId="11401" refreshError="1"/>
      <sheetData sheetId="11402">
        <row r="4">
          <cell r="I4">
            <v>0</v>
          </cell>
        </row>
      </sheetData>
      <sheetData sheetId="11403">
        <row r="4">
          <cell r="I4">
            <v>0</v>
          </cell>
        </row>
      </sheetData>
      <sheetData sheetId="11404">
        <row r="4">
          <cell r="I4">
            <v>0</v>
          </cell>
        </row>
      </sheetData>
      <sheetData sheetId="11405">
        <row r="4">
          <cell r="I4">
            <v>0</v>
          </cell>
        </row>
      </sheetData>
      <sheetData sheetId="11406">
        <row r="4">
          <cell r="I4">
            <v>0</v>
          </cell>
        </row>
      </sheetData>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sheetData sheetId="11416"/>
      <sheetData sheetId="11417"/>
      <sheetData sheetId="11418"/>
      <sheetData sheetId="11419"/>
      <sheetData sheetId="11420"/>
      <sheetData sheetId="11421"/>
      <sheetData sheetId="11422" refreshError="1"/>
      <sheetData sheetId="11423">
        <row r="4">
          <cell r="I4">
            <v>0</v>
          </cell>
        </row>
      </sheetData>
      <sheetData sheetId="11424" refreshError="1"/>
      <sheetData sheetId="11425"/>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ow r="4">
          <cell r="I4">
            <v>0</v>
          </cell>
        </row>
      </sheetData>
      <sheetData sheetId="11558">
        <row r="4">
          <cell r="I4">
            <v>0</v>
          </cell>
        </row>
      </sheetData>
      <sheetData sheetId="11559">
        <row r="4">
          <cell r="I4">
            <v>0</v>
          </cell>
        </row>
      </sheetData>
      <sheetData sheetId="11560">
        <row r="4">
          <cell r="I4">
            <v>0</v>
          </cell>
        </row>
      </sheetData>
      <sheetData sheetId="11561">
        <row r="4">
          <cell r="I4">
            <v>0</v>
          </cell>
        </row>
      </sheetData>
      <sheetData sheetId="11562">
        <row r="4">
          <cell r="I4">
            <v>0</v>
          </cell>
        </row>
      </sheetData>
      <sheetData sheetId="11563">
        <row r="4">
          <cell r="I4">
            <v>0</v>
          </cell>
        </row>
      </sheetData>
      <sheetData sheetId="11564">
        <row r="4">
          <cell r="I4">
            <v>0</v>
          </cell>
        </row>
      </sheetData>
      <sheetData sheetId="11565">
        <row r="4">
          <cell r="I4">
            <v>0</v>
          </cell>
        </row>
      </sheetData>
      <sheetData sheetId="11566">
        <row r="4">
          <cell r="I4">
            <v>0</v>
          </cell>
        </row>
      </sheetData>
      <sheetData sheetId="11567">
        <row r="4">
          <cell r="I4">
            <v>0</v>
          </cell>
        </row>
      </sheetData>
      <sheetData sheetId="11568">
        <row r="4">
          <cell r="I4">
            <v>0</v>
          </cell>
        </row>
      </sheetData>
      <sheetData sheetId="11569">
        <row r="4">
          <cell r="I4">
            <v>0</v>
          </cell>
        </row>
      </sheetData>
      <sheetData sheetId="11570">
        <row r="4">
          <cell r="I4">
            <v>0</v>
          </cell>
        </row>
      </sheetData>
      <sheetData sheetId="11571">
        <row r="4">
          <cell r="I4">
            <v>0</v>
          </cell>
        </row>
      </sheetData>
      <sheetData sheetId="11572">
        <row r="4">
          <cell r="I4">
            <v>0</v>
          </cell>
        </row>
      </sheetData>
      <sheetData sheetId="11573">
        <row r="4">
          <cell r="I4">
            <v>0</v>
          </cell>
        </row>
      </sheetData>
      <sheetData sheetId="11574">
        <row r="4">
          <cell r="I4">
            <v>0</v>
          </cell>
        </row>
      </sheetData>
      <sheetData sheetId="11575">
        <row r="4">
          <cell r="I4">
            <v>0</v>
          </cell>
        </row>
      </sheetData>
      <sheetData sheetId="11576">
        <row r="4">
          <cell r="I4">
            <v>0</v>
          </cell>
        </row>
      </sheetData>
      <sheetData sheetId="11577">
        <row r="4">
          <cell r="I4">
            <v>0</v>
          </cell>
        </row>
      </sheetData>
      <sheetData sheetId="11578">
        <row r="4">
          <cell r="I4">
            <v>0</v>
          </cell>
        </row>
      </sheetData>
      <sheetData sheetId="11579">
        <row r="4">
          <cell r="I4">
            <v>0</v>
          </cell>
        </row>
      </sheetData>
      <sheetData sheetId="11580">
        <row r="4">
          <cell r="I4">
            <v>0</v>
          </cell>
        </row>
      </sheetData>
      <sheetData sheetId="11581">
        <row r="4">
          <cell r="I4">
            <v>0</v>
          </cell>
        </row>
      </sheetData>
      <sheetData sheetId="11582">
        <row r="4">
          <cell r="I4">
            <v>0</v>
          </cell>
        </row>
      </sheetData>
      <sheetData sheetId="11583">
        <row r="4">
          <cell r="I4">
            <v>0</v>
          </cell>
        </row>
      </sheetData>
      <sheetData sheetId="11584">
        <row r="4">
          <cell r="I4">
            <v>0</v>
          </cell>
        </row>
      </sheetData>
      <sheetData sheetId="11585">
        <row r="4">
          <cell r="I4">
            <v>0</v>
          </cell>
        </row>
      </sheetData>
      <sheetData sheetId="11586">
        <row r="4">
          <cell r="I4">
            <v>0</v>
          </cell>
        </row>
      </sheetData>
      <sheetData sheetId="11587">
        <row r="4">
          <cell r="I4">
            <v>0</v>
          </cell>
        </row>
      </sheetData>
      <sheetData sheetId="11588">
        <row r="4">
          <cell r="I4">
            <v>0</v>
          </cell>
        </row>
      </sheetData>
      <sheetData sheetId="11589">
        <row r="4">
          <cell r="I4">
            <v>0</v>
          </cell>
        </row>
      </sheetData>
      <sheetData sheetId="11590">
        <row r="4">
          <cell r="I4">
            <v>0</v>
          </cell>
        </row>
      </sheetData>
      <sheetData sheetId="11591">
        <row r="4">
          <cell r="I4">
            <v>0</v>
          </cell>
        </row>
      </sheetData>
      <sheetData sheetId="11592">
        <row r="4">
          <cell r="I4">
            <v>0</v>
          </cell>
        </row>
      </sheetData>
      <sheetData sheetId="11593">
        <row r="4">
          <cell r="I4">
            <v>0</v>
          </cell>
        </row>
      </sheetData>
      <sheetData sheetId="11594">
        <row r="4">
          <cell r="I4">
            <v>0</v>
          </cell>
        </row>
      </sheetData>
      <sheetData sheetId="11595">
        <row r="4">
          <cell r="I4">
            <v>0</v>
          </cell>
        </row>
      </sheetData>
      <sheetData sheetId="11596">
        <row r="4">
          <cell r="I4">
            <v>0</v>
          </cell>
        </row>
      </sheetData>
      <sheetData sheetId="11597">
        <row r="4">
          <cell r="I4">
            <v>0</v>
          </cell>
        </row>
      </sheetData>
      <sheetData sheetId="11598">
        <row r="4">
          <cell r="I4">
            <v>0</v>
          </cell>
        </row>
      </sheetData>
      <sheetData sheetId="11599">
        <row r="4">
          <cell r="I4">
            <v>0</v>
          </cell>
        </row>
      </sheetData>
      <sheetData sheetId="11600">
        <row r="4">
          <cell r="I4">
            <v>0</v>
          </cell>
        </row>
      </sheetData>
      <sheetData sheetId="11601">
        <row r="4">
          <cell r="I4">
            <v>0</v>
          </cell>
        </row>
      </sheetData>
      <sheetData sheetId="11602">
        <row r="4">
          <cell r="I4">
            <v>0</v>
          </cell>
        </row>
      </sheetData>
      <sheetData sheetId="11603">
        <row r="4">
          <cell r="I4">
            <v>0</v>
          </cell>
        </row>
      </sheetData>
      <sheetData sheetId="11604">
        <row r="4">
          <cell r="I4">
            <v>0</v>
          </cell>
        </row>
      </sheetData>
      <sheetData sheetId="11605">
        <row r="4">
          <cell r="I4">
            <v>0</v>
          </cell>
        </row>
      </sheetData>
      <sheetData sheetId="11606">
        <row r="4">
          <cell r="I4">
            <v>0</v>
          </cell>
        </row>
      </sheetData>
      <sheetData sheetId="11607">
        <row r="4">
          <cell r="I4">
            <v>0</v>
          </cell>
        </row>
      </sheetData>
      <sheetData sheetId="11608">
        <row r="4">
          <cell r="I4">
            <v>0</v>
          </cell>
        </row>
      </sheetData>
      <sheetData sheetId="11609">
        <row r="4">
          <cell r="I4">
            <v>0</v>
          </cell>
        </row>
      </sheetData>
      <sheetData sheetId="11610">
        <row r="4">
          <cell r="I4">
            <v>0</v>
          </cell>
        </row>
      </sheetData>
      <sheetData sheetId="11611">
        <row r="4">
          <cell r="I4">
            <v>0</v>
          </cell>
        </row>
      </sheetData>
      <sheetData sheetId="11612">
        <row r="4">
          <cell r="I4">
            <v>0</v>
          </cell>
        </row>
      </sheetData>
      <sheetData sheetId="11613">
        <row r="4">
          <cell r="I4">
            <v>0</v>
          </cell>
        </row>
      </sheetData>
      <sheetData sheetId="11614">
        <row r="4">
          <cell r="I4">
            <v>0</v>
          </cell>
        </row>
      </sheetData>
      <sheetData sheetId="11615">
        <row r="4">
          <cell r="I4">
            <v>0</v>
          </cell>
        </row>
      </sheetData>
      <sheetData sheetId="11616">
        <row r="4">
          <cell r="I4">
            <v>0</v>
          </cell>
        </row>
      </sheetData>
      <sheetData sheetId="11617">
        <row r="4">
          <cell r="I4">
            <v>0</v>
          </cell>
        </row>
      </sheetData>
      <sheetData sheetId="11618">
        <row r="4">
          <cell r="I4">
            <v>0</v>
          </cell>
        </row>
      </sheetData>
      <sheetData sheetId="11619">
        <row r="4">
          <cell r="I4">
            <v>0</v>
          </cell>
        </row>
      </sheetData>
      <sheetData sheetId="11620">
        <row r="4">
          <cell r="I4">
            <v>0</v>
          </cell>
        </row>
      </sheetData>
      <sheetData sheetId="11621">
        <row r="4">
          <cell r="I4">
            <v>0</v>
          </cell>
        </row>
      </sheetData>
      <sheetData sheetId="11622">
        <row r="4">
          <cell r="I4">
            <v>0</v>
          </cell>
        </row>
      </sheetData>
      <sheetData sheetId="11623">
        <row r="4">
          <cell r="I4">
            <v>0</v>
          </cell>
        </row>
      </sheetData>
      <sheetData sheetId="11624">
        <row r="4">
          <cell r="I4">
            <v>0</v>
          </cell>
        </row>
      </sheetData>
      <sheetData sheetId="11625">
        <row r="4">
          <cell r="I4">
            <v>0</v>
          </cell>
        </row>
      </sheetData>
      <sheetData sheetId="11626">
        <row r="4">
          <cell r="I4">
            <v>0</v>
          </cell>
        </row>
      </sheetData>
      <sheetData sheetId="11627">
        <row r="4">
          <cell r="I4">
            <v>0</v>
          </cell>
        </row>
      </sheetData>
      <sheetData sheetId="11628">
        <row r="4">
          <cell r="I4">
            <v>0</v>
          </cell>
        </row>
      </sheetData>
      <sheetData sheetId="11629">
        <row r="4">
          <cell r="I4">
            <v>0</v>
          </cell>
        </row>
      </sheetData>
      <sheetData sheetId="11630">
        <row r="4">
          <cell r="I4">
            <v>0</v>
          </cell>
        </row>
      </sheetData>
      <sheetData sheetId="11631">
        <row r="4">
          <cell r="I4">
            <v>0</v>
          </cell>
        </row>
      </sheetData>
      <sheetData sheetId="11632">
        <row r="4">
          <cell r="I4">
            <v>0</v>
          </cell>
        </row>
      </sheetData>
      <sheetData sheetId="11633">
        <row r="4">
          <cell r="I4">
            <v>0</v>
          </cell>
        </row>
      </sheetData>
      <sheetData sheetId="11634">
        <row r="4">
          <cell r="I4">
            <v>0</v>
          </cell>
        </row>
      </sheetData>
      <sheetData sheetId="11635">
        <row r="4">
          <cell r="I4">
            <v>0</v>
          </cell>
        </row>
      </sheetData>
      <sheetData sheetId="11636">
        <row r="4">
          <cell r="I4">
            <v>0</v>
          </cell>
        </row>
      </sheetData>
      <sheetData sheetId="11637">
        <row r="4">
          <cell r="I4">
            <v>0</v>
          </cell>
        </row>
      </sheetData>
      <sheetData sheetId="11638">
        <row r="4">
          <cell r="I4">
            <v>0</v>
          </cell>
        </row>
      </sheetData>
      <sheetData sheetId="11639">
        <row r="4">
          <cell r="I4">
            <v>0</v>
          </cell>
        </row>
      </sheetData>
      <sheetData sheetId="11640">
        <row r="4">
          <cell r="I4">
            <v>0</v>
          </cell>
        </row>
      </sheetData>
      <sheetData sheetId="11641">
        <row r="4">
          <cell r="I4">
            <v>0</v>
          </cell>
        </row>
      </sheetData>
      <sheetData sheetId="11642">
        <row r="4">
          <cell r="I4">
            <v>0</v>
          </cell>
        </row>
      </sheetData>
      <sheetData sheetId="11643">
        <row r="4">
          <cell r="I4">
            <v>0</v>
          </cell>
        </row>
      </sheetData>
      <sheetData sheetId="11644">
        <row r="4">
          <cell r="I4">
            <v>0</v>
          </cell>
        </row>
      </sheetData>
      <sheetData sheetId="11645">
        <row r="4">
          <cell r="I4">
            <v>0</v>
          </cell>
        </row>
      </sheetData>
      <sheetData sheetId="11646">
        <row r="4">
          <cell r="I4">
            <v>0</v>
          </cell>
        </row>
      </sheetData>
      <sheetData sheetId="11647">
        <row r="4">
          <cell r="I4">
            <v>0</v>
          </cell>
        </row>
      </sheetData>
      <sheetData sheetId="11648">
        <row r="4">
          <cell r="I4">
            <v>0</v>
          </cell>
        </row>
      </sheetData>
      <sheetData sheetId="11649">
        <row r="4">
          <cell r="I4">
            <v>0</v>
          </cell>
        </row>
      </sheetData>
      <sheetData sheetId="11650">
        <row r="4">
          <cell r="I4">
            <v>0</v>
          </cell>
        </row>
      </sheetData>
      <sheetData sheetId="11651">
        <row r="4">
          <cell r="I4">
            <v>0</v>
          </cell>
        </row>
      </sheetData>
      <sheetData sheetId="11652">
        <row r="4">
          <cell r="I4">
            <v>0</v>
          </cell>
        </row>
      </sheetData>
      <sheetData sheetId="11653">
        <row r="4">
          <cell r="I4">
            <v>0</v>
          </cell>
        </row>
      </sheetData>
      <sheetData sheetId="11654">
        <row r="4">
          <cell r="I4">
            <v>0</v>
          </cell>
        </row>
      </sheetData>
      <sheetData sheetId="11655">
        <row r="4">
          <cell r="I4">
            <v>0</v>
          </cell>
        </row>
      </sheetData>
      <sheetData sheetId="11656">
        <row r="4">
          <cell r="I4">
            <v>0</v>
          </cell>
        </row>
      </sheetData>
      <sheetData sheetId="11657">
        <row r="4">
          <cell r="I4">
            <v>0</v>
          </cell>
        </row>
      </sheetData>
      <sheetData sheetId="11658">
        <row r="4">
          <cell r="I4">
            <v>0</v>
          </cell>
        </row>
      </sheetData>
      <sheetData sheetId="11659">
        <row r="4">
          <cell r="I4">
            <v>0</v>
          </cell>
        </row>
      </sheetData>
      <sheetData sheetId="11660">
        <row r="4">
          <cell r="I4">
            <v>0</v>
          </cell>
        </row>
      </sheetData>
      <sheetData sheetId="11661">
        <row r="4">
          <cell r="I4">
            <v>0</v>
          </cell>
        </row>
      </sheetData>
      <sheetData sheetId="11662">
        <row r="4">
          <cell r="I4">
            <v>0</v>
          </cell>
        </row>
      </sheetData>
      <sheetData sheetId="11663">
        <row r="4">
          <cell r="I4">
            <v>0</v>
          </cell>
        </row>
      </sheetData>
      <sheetData sheetId="11664">
        <row r="4">
          <cell r="I4">
            <v>0</v>
          </cell>
        </row>
      </sheetData>
      <sheetData sheetId="11665">
        <row r="4">
          <cell r="I4">
            <v>0</v>
          </cell>
        </row>
      </sheetData>
      <sheetData sheetId="11666">
        <row r="4">
          <cell r="I4">
            <v>0</v>
          </cell>
        </row>
      </sheetData>
      <sheetData sheetId="11667">
        <row r="4">
          <cell r="I4">
            <v>0</v>
          </cell>
        </row>
      </sheetData>
      <sheetData sheetId="11668">
        <row r="4">
          <cell r="I4">
            <v>0</v>
          </cell>
        </row>
      </sheetData>
      <sheetData sheetId="11669">
        <row r="4">
          <cell r="I4">
            <v>0</v>
          </cell>
        </row>
      </sheetData>
      <sheetData sheetId="11670">
        <row r="4">
          <cell r="I4">
            <v>0</v>
          </cell>
        </row>
      </sheetData>
      <sheetData sheetId="11671">
        <row r="4">
          <cell r="I4">
            <v>0</v>
          </cell>
        </row>
      </sheetData>
      <sheetData sheetId="11672">
        <row r="4">
          <cell r="I4">
            <v>0</v>
          </cell>
        </row>
      </sheetData>
      <sheetData sheetId="11673">
        <row r="4">
          <cell r="I4">
            <v>0</v>
          </cell>
        </row>
      </sheetData>
      <sheetData sheetId="11674">
        <row r="4">
          <cell r="I4">
            <v>0</v>
          </cell>
        </row>
      </sheetData>
      <sheetData sheetId="11675">
        <row r="4">
          <cell r="I4">
            <v>0</v>
          </cell>
        </row>
      </sheetData>
      <sheetData sheetId="11676">
        <row r="4">
          <cell r="I4">
            <v>0</v>
          </cell>
        </row>
      </sheetData>
      <sheetData sheetId="11677">
        <row r="4">
          <cell r="I4">
            <v>0</v>
          </cell>
        </row>
      </sheetData>
      <sheetData sheetId="11678">
        <row r="4">
          <cell r="I4">
            <v>0</v>
          </cell>
        </row>
      </sheetData>
      <sheetData sheetId="11679">
        <row r="4">
          <cell r="I4">
            <v>0</v>
          </cell>
        </row>
      </sheetData>
      <sheetData sheetId="11680">
        <row r="4">
          <cell r="I4">
            <v>0</v>
          </cell>
        </row>
      </sheetData>
      <sheetData sheetId="11681">
        <row r="4">
          <cell r="I4">
            <v>0</v>
          </cell>
        </row>
      </sheetData>
      <sheetData sheetId="11682">
        <row r="4">
          <cell r="I4">
            <v>0</v>
          </cell>
        </row>
      </sheetData>
      <sheetData sheetId="11683">
        <row r="4">
          <cell r="I4">
            <v>0</v>
          </cell>
        </row>
      </sheetData>
      <sheetData sheetId="11684">
        <row r="4">
          <cell r="I4">
            <v>0</v>
          </cell>
        </row>
      </sheetData>
      <sheetData sheetId="11685">
        <row r="4">
          <cell r="I4">
            <v>0</v>
          </cell>
        </row>
      </sheetData>
      <sheetData sheetId="11686">
        <row r="4">
          <cell r="I4">
            <v>0</v>
          </cell>
        </row>
      </sheetData>
      <sheetData sheetId="11687">
        <row r="4">
          <cell r="I4">
            <v>0</v>
          </cell>
        </row>
      </sheetData>
      <sheetData sheetId="11688">
        <row r="4">
          <cell r="I4">
            <v>0</v>
          </cell>
        </row>
      </sheetData>
      <sheetData sheetId="11689">
        <row r="4">
          <cell r="I4">
            <v>0</v>
          </cell>
        </row>
      </sheetData>
      <sheetData sheetId="11690">
        <row r="4">
          <cell r="I4">
            <v>0</v>
          </cell>
        </row>
      </sheetData>
      <sheetData sheetId="11691">
        <row r="4">
          <cell r="I4">
            <v>0</v>
          </cell>
        </row>
      </sheetData>
      <sheetData sheetId="11692">
        <row r="4">
          <cell r="I4">
            <v>0</v>
          </cell>
        </row>
      </sheetData>
      <sheetData sheetId="11693">
        <row r="4">
          <cell r="I4">
            <v>0</v>
          </cell>
        </row>
      </sheetData>
      <sheetData sheetId="11694">
        <row r="4">
          <cell r="I4">
            <v>0</v>
          </cell>
        </row>
      </sheetData>
      <sheetData sheetId="11695">
        <row r="4">
          <cell r="I4">
            <v>0</v>
          </cell>
        </row>
      </sheetData>
      <sheetData sheetId="11696">
        <row r="4">
          <cell r="I4">
            <v>0</v>
          </cell>
        </row>
      </sheetData>
      <sheetData sheetId="11697">
        <row r="4">
          <cell r="I4">
            <v>0</v>
          </cell>
        </row>
      </sheetData>
      <sheetData sheetId="11698">
        <row r="4">
          <cell r="I4">
            <v>0</v>
          </cell>
        </row>
      </sheetData>
      <sheetData sheetId="11699">
        <row r="4">
          <cell r="I4">
            <v>0</v>
          </cell>
        </row>
      </sheetData>
      <sheetData sheetId="11700">
        <row r="4">
          <cell r="I4">
            <v>0</v>
          </cell>
        </row>
      </sheetData>
      <sheetData sheetId="11701">
        <row r="4">
          <cell r="I4">
            <v>0</v>
          </cell>
        </row>
      </sheetData>
      <sheetData sheetId="11702">
        <row r="4">
          <cell r="I4">
            <v>0</v>
          </cell>
        </row>
      </sheetData>
      <sheetData sheetId="11703">
        <row r="4">
          <cell r="I4">
            <v>0</v>
          </cell>
        </row>
      </sheetData>
      <sheetData sheetId="11704">
        <row r="4">
          <cell r="I4">
            <v>0</v>
          </cell>
        </row>
      </sheetData>
      <sheetData sheetId="11705">
        <row r="4">
          <cell r="I4">
            <v>0</v>
          </cell>
        </row>
      </sheetData>
      <sheetData sheetId="11706">
        <row r="4">
          <cell r="I4">
            <v>0</v>
          </cell>
        </row>
      </sheetData>
      <sheetData sheetId="11707">
        <row r="4">
          <cell r="I4">
            <v>0</v>
          </cell>
        </row>
      </sheetData>
      <sheetData sheetId="11708">
        <row r="4">
          <cell r="I4">
            <v>0</v>
          </cell>
        </row>
      </sheetData>
      <sheetData sheetId="11709">
        <row r="4">
          <cell r="I4">
            <v>0</v>
          </cell>
        </row>
      </sheetData>
      <sheetData sheetId="11710">
        <row r="4">
          <cell r="I4">
            <v>0</v>
          </cell>
        </row>
      </sheetData>
      <sheetData sheetId="11711">
        <row r="4">
          <cell r="I4">
            <v>0</v>
          </cell>
        </row>
      </sheetData>
      <sheetData sheetId="11712">
        <row r="4">
          <cell r="I4">
            <v>0</v>
          </cell>
        </row>
      </sheetData>
      <sheetData sheetId="11713">
        <row r="4">
          <cell r="I4">
            <v>0</v>
          </cell>
        </row>
      </sheetData>
      <sheetData sheetId="11714"/>
      <sheetData sheetId="11715">
        <row r="4">
          <cell r="I4">
            <v>0</v>
          </cell>
        </row>
      </sheetData>
      <sheetData sheetId="11716">
        <row r="4">
          <cell r="I4">
            <v>0</v>
          </cell>
        </row>
      </sheetData>
      <sheetData sheetId="11717">
        <row r="4">
          <cell r="I4">
            <v>0</v>
          </cell>
        </row>
      </sheetData>
      <sheetData sheetId="11718">
        <row r="4">
          <cell r="I4">
            <v>0</v>
          </cell>
        </row>
      </sheetData>
      <sheetData sheetId="11719">
        <row r="4">
          <cell r="I4">
            <v>0</v>
          </cell>
        </row>
      </sheetData>
      <sheetData sheetId="11720">
        <row r="4">
          <cell r="I4">
            <v>0</v>
          </cell>
        </row>
      </sheetData>
      <sheetData sheetId="11721">
        <row r="4">
          <cell r="I4">
            <v>0</v>
          </cell>
        </row>
      </sheetData>
      <sheetData sheetId="11722">
        <row r="4">
          <cell r="I4">
            <v>0</v>
          </cell>
        </row>
      </sheetData>
      <sheetData sheetId="11723">
        <row r="4">
          <cell r="I4">
            <v>0</v>
          </cell>
        </row>
      </sheetData>
      <sheetData sheetId="11724">
        <row r="4">
          <cell r="I4">
            <v>0</v>
          </cell>
        </row>
      </sheetData>
      <sheetData sheetId="11725">
        <row r="4">
          <cell r="I4">
            <v>0</v>
          </cell>
        </row>
      </sheetData>
      <sheetData sheetId="11726">
        <row r="4">
          <cell r="I4">
            <v>0</v>
          </cell>
        </row>
      </sheetData>
      <sheetData sheetId="11727">
        <row r="4">
          <cell r="I4">
            <v>0</v>
          </cell>
        </row>
      </sheetData>
      <sheetData sheetId="11728">
        <row r="4">
          <cell r="I4">
            <v>0</v>
          </cell>
        </row>
      </sheetData>
      <sheetData sheetId="11729">
        <row r="4">
          <cell r="I4">
            <v>0</v>
          </cell>
        </row>
      </sheetData>
      <sheetData sheetId="11730">
        <row r="4">
          <cell r="I4">
            <v>0</v>
          </cell>
        </row>
      </sheetData>
      <sheetData sheetId="11731">
        <row r="4">
          <cell r="I4">
            <v>0</v>
          </cell>
        </row>
      </sheetData>
      <sheetData sheetId="11732">
        <row r="4">
          <cell r="I4">
            <v>0</v>
          </cell>
        </row>
      </sheetData>
      <sheetData sheetId="11733">
        <row r="4">
          <cell r="I4">
            <v>0</v>
          </cell>
        </row>
      </sheetData>
      <sheetData sheetId="11734">
        <row r="4">
          <cell r="I4">
            <v>0</v>
          </cell>
        </row>
      </sheetData>
      <sheetData sheetId="11735">
        <row r="4">
          <cell r="I4">
            <v>0</v>
          </cell>
        </row>
      </sheetData>
      <sheetData sheetId="11736">
        <row r="4">
          <cell r="I4">
            <v>0</v>
          </cell>
        </row>
      </sheetData>
      <sheetData sheetId="11737">
        <row r="4">
          <cell r="I4">
            <v>0</v>
          </cell>
        </row>
      </sheetData>
      <sheetData sheetId="11738">
        <row r="4">
          <cell r="I4">
            <v>0</v>
          </cell>
        </row>
      </sheetData>
      <sheetData sheetId="11739">
        <row r="4">
          <cell r="I4">
            <v>0</v>
          </cell>
        </row>
      </sheetData>
      <sheetData sheetId="11740">
        <row r="4">
          <cell r="I4">
            <v>0</v>
          </cell>
        </row>
      </sheetData>
      <sheetData sheetId="11741">
        <row r="4">
          <cell r="I4">
            <v>0</v>
          </cell>
        </row>
      </sheetData>
      <sheetData sheetId="11742">
        <row r="4">
          <cell r="I4">
            <v>0</v>
          </cell>
        </row>
      </sheetData>
      <sheetData sheetId="11743">
        <row r="4">
          <cell r="I4">
            <v>0</v>
          </cell>
        </row>
      </sheetData>
      <sheetData sheetId="11744">
        <row r="4">
          <cell r="I4">
            <v>0</v>
          </cell>
        </row>
      </sheetData>
      <sheetData sheetId="11745">
        <row r="4">
          <cell r="I4">
            <v>0</v>
          </cell>
        </row>
      </sheetData>
      <sheetData sheetId="11746">
        <row r="4">
          <cell r="I4">
            <v>0</v>
          </cell>
        </row>
      </sheetData>
      <sheetData sheetId="11747">
        <row r="4">
          <cell r="I4">
            <v>0</v>
          </cell>
        </row>
      </sheetData>
      <sheetData sheetId="11748">
        <row r="4">
          <cell r="I4">
            <v>0</v>
          </cell>
        </row>
      </sheetData>
      <sheetData sheetId="11749">
        <row r="4">
          <cell r="I4">
            <v>0</v>
          </cell>
        </row>
      </sheetData>
      <sheetData sheetId="11750">
        <row r="4">
          <cell r="I4">
            <v>0</v>
          </cell>
        </row>
      </sheetData>
      <sheetData sheetId="11751">
        <row r="4">
          <cell r="I4">
            <v>0</v>
          </cell>
        </row>
      </sheetData>
      <sheetData sheetId="11752">
        <row r="4">
          <cell r="I4">
            <v>0</v>
          </cell>
        </row>
      </sheetData>
      <sheetData sheetId="11753">
        <row r="4">
          <cell r="I4">
            <v>0</v>
          </cell>
        </row>
      </sheetData>
      <sheetData sheetId="11754">
        <row r="4">
          <cell r="I4">
            <v>0</v>
          </cell>
        </row>
      </sheetData>
      <sheetData sheetId="11755">
        <row r="4">
          <cell r="I4">
            <v>0</v>
          </cell>
        </row>
      </sheetData>
      <sheetData sheetId="11756">
        <row r="4">
          <cell r="I4">
            <v>0</v>
          </cell>
        </row>
      </sheetData>
      <sheetData sheetId="11757">
        <row r="4">
          <cell r="I4">
            <v>0</v>
          </cell>
        </row>
      </sheetData>
      <sheetData sheetId="11758">
        <row r="4">
          <cell r="I4">
            <v>0</v>
          </cell>
        </row>
      </sheetData>
      <sheetData sheetId="11759">
        <row r="4">
          <cell r="I4">
            <v>0</v>
          </cell>
        </row>
      </sheetData>
      <sheetData sheetId="11760">
        <row r="4">
          <cell r="I4">
            <v>0</v>
          </cell>
        </row>
      </sheetData>
      <sheetData sheetId="11761">
        <row r="4">
          <cell r="I4">
            <v>0</v>
          </cell>
        </row>
      </sheetData>
      <sheetData sheetId="11762">
        <row r="4">
          <cell r="I4">
            <v>0</v>
          </cell>
        </row>
      </sheetData>
      <sheetData sheetId="11763">
        <row r="4">
          <cell r="I4">
            <v>0</v>
          </cell>
        </row>
      </sheetData>
      <sheetData sheetId="11764">
        <row r="4">
          <cell r="I4">
            <v>0</v>
          </cell>
        </row>
      </sheetData>
      <sheetData sheetId="11765">
        <row r="4">
          <cell r="I4">
            <v>0</v>
          </cell>
        </row>
      </sheetData>
      <sheetData sheetId="11766">
        <row r="4">
          <cell r="I4">
            <v>0</v>
          </cell>
        </row>
      </sheetData>
      <sheetData sheetId="11767">
        <row r="4">
          <cell r="I4">
            <v>0</v>
          </cell>
        </row>
      </sheetData>
      <sheetData sheetId="11768">
        <row r="4">
          <cell r="I4">
            <v>0</v>
          </cell>
        </row>
      </sheetData>
      <sheetData sheetId="11769">
        <row r="4">
          <cell r="I4">
            <v>0</v>
          </cell>
        </row>
      </sheetData>
      <sheetData sheetId="11770">
        <row r="4">
          <cell r="I4">
            <v>0</v>
          </cell>
        </row>
      </sheetData>
      <sheetData sheetId="11771">
        <row r="4">
          <cell r="I4">
            <v>0</v>
          </cell>
        </row>
      </sheetData>
      <sheetData sheetId="11772">
        <row r="4">
          <cell r="I4">
            <v>0</v>
          </cell>
        </row>
      </sheetData>
      <sheetData sheetId="11773">
        <row r="4">
          <cell r="I4">
            <v>0</v>
          </cell>
        </row>
      </sheetData>
      <sheetData sheetId="11774">
        <row r="4">
          <cell r="I4">
            <v>0</v>
          </cell>
        </row>
      </sheetData>
      <sheetData sheetId="11775">
        <row r="4">
          <cell r="I4">
            <v>0</v>
          </cell>
        </row>
      </sheetData>
      <sheetData sheetId="11776">
        <row r="4">
          <cell r="I4">
            <v>0</v>
          </cell>
        </row>
      </sheetData>
      <sheetData sheetId="11777">
        <row r="4">
          <cell r="I4">
            <v>0</v>
          </cell>
        </row>
      </sheetData>
      <sheetData sheetId="11778">
        <row r="4">
          <cell r="I4">
            <v>0</v>
          </cell>
        </row>
      </sheetData>
      <sheetData sheetId="11779">
        <row r="4">
          <cell r="I4">
            <v>0</v>
          </cell>
        </row>
      </sheetData>
      <sheetData sheetId="11780">
        <row r="4">
          <cell r="I4">
            <v>0</v>
          </cell>
        </row>
      </sheetData>
      <sheetData sheetId="11781">
        <row r="4">
          <cell r="I4">
            <v>0</v>
          </cell>
        </row>
      </sheetData>
      <sheetData sheetId="11782">
        <row r="4">
          <cell r="I4">
            <v>0</v>
          </cell>
        </row>
      </sheetData>
      <sheetData sheetId="11783">
        <row r="4">
          <cell r="I4">
            <v>0</v>
          </cell>
        </row>
      </sheetData>
      <sheetData sheetId="11784">
        <row r="4">
          <cell r="I4">
            <v>0</v>
          </cell>
        </row>
      </sheetData>
      <sheetData sheetId="11785">
        <row r="4">
          <cell r="I4">
            <v>0</v>
          </cell>
        </row>
      </sheetData>
      <sheetData sheetId="11786">
        <row r="4">
          <cell r="I4">
            <v>0</v>
          </cell>
        </row>
      </sheetData>
      <sheetData sheetId="11787">
        <row r="4">
          <cell r="I4">
            <v>0</v>
          </cell>
        </row>
      </sheetData>
      <sheetData sheetId="11788">
        <row r="4">
          <cell r="I4">
            <v>0</v>
          </cell>
        </row>
      </sheetData>
      <sheetData sheetId="11789">
        <row r="4">
          <cell r="I4">
            <v>0</v>
          </cell>
        </row>
      </sheetData>
      <sheetData sheetId="11790">
        <row r="4">
          <cell r="I4">
            <v>0</v>
          </cell>
        </row>
      </sheetData>
      <sheetData sheetId="11791">
        <row r="4">
          <cell r="I4">
            <v>0</v>
          </cell>
        </row>
      </sheetData>
      <sheetData sheetId="11792">
        <row r="4">
          <cell r="I4">
            <v>0</v>
          </cell>
        </row>
      </sheetData>
      <sheetData sheetId="11793">
        <row r="4">
          <cell r="I4">
            <v>0</v>
          </cell>
        </row>
      </sheetData>
      <sheetData sheetId="11794">
        <row r="4">
          <cell r="I4">
            <v>0</v>
          </cell>
        </row>
      </sheetData>
      <sheetData sheetId="11795">
        <row r="4">
          <cell r="I4">
            <v>0</v>
          </cell>
        </row>
      </sheetData>
      <sheetData sheetId="11796">
        <row r="4">
          <cell r="I4">
            <v>0</v>
          </cell>
        </row>
      </sheetData>
      <sheetData sheetId="11797">
        <row r="4">
          <cell r="I4">
            <v>0</v>
          </cell>
        </row>
      </sheetData>
      <sheetData sheetId="11798">
        <row r="4">
          <cell r="I4">
            <v>0</v>
          </cell>
        </row>
      </sheetData>
      <sheetData sheetId="11799">
        <row r="4">
          <cell r="I4">
            <v>0</v>
          </cell>
        </row>
      </sheetData>
      <sheetData sheetId="11800">
        <row r="4">
          <cell r="I4">
            <v>0</v>
          </cell>
        </row>
      </sheetData>
      <sheetData sheetId="11801">
        <row r="4">
          <cell r="I4">
            <v>0</v>
          </cell>
        </row>
      </sheetData>
      <sheetData sheetId="11802">
        <row r="4">
          <cell r="I4">
            <v>0</v>
          </cell>
        </row>
      </sheetData>
      <sheetData sheetId="11803">
        <row r="4">
          <cell r="I4">
            <v>0</v>
          </cell>
        </row>
      </sheetData>
      <sheetData sheetId="11804">
        <row r="4">
          <cell r="I4">
            <v>0</v>
          </cell>
        </row>
      </sheetData>
      <sheetData sheetId="11805">
        <row r="4">
          <cell r="I4">
            <v>0</v>
          </cell>
        </row>
      </sheetData>
      <sheetData sheetId="11806">
        <row r="4">
          <cell r="I4">
            <v>0</v>
          </cell>
        </row>
      </sheetData>
      <sheetData sheetId="11807">
        <row r="4">
          <cell r="I4">
            <v>0</v>
          </cell>
        </row>
      </sheetData>
      <sheetData sheetId="11808">
        <row r="4">
          <cell r="I4">
            <v>0</v>
          </cell>
        </row>
      </sheetData>
      <sheetData sheetId="11809">
        <row r="4">
          <cell r="I4">
            <v>0</v>
          </cell>
        </row>
      </sheetData>
      <sheetData sheetId="11810">
        <row r="4">
          <cell r="I4">
            <v>0</v>
          </cell>
        </row>
      </sheetData>
      <sheetData sheetId="11811">
        <row r="4">
          <cell r="I4">
            <v>0</v>
          </cell>
        </row>
      </sheetData>
      <sheetData sheetId="11812">
        <row r="4">
          <cell r="I4">
            <v>0</v>
          </cell>
        </row>
      </sheetData>
      <sheetData sheetId="11813">
        <row r="4">
          <cell r="I4">
            <v>0</v>
          </cell>
        </row>
      </sheetData>
      <sheetData sheetId="11814">
        <row r="4">
          <cell r="I4">
            <v>0</v>
          </cell>
        </row>
      </sheetData>
      <sheetData sheetId="11815">
        <row r="4">
          <cell r="I4">
            <v>0</v>
          </cell>
        </row>
      </sheetData>
      <sheetData sheetId="11816">
        <row r="4">
          <cell r="I4">
            <v>0</v>
          </cell>
        </row>
      </sheetData>
      <sheetData sheetId="11817">
        <row r="4">
          <cell r="I4">
            <v>0</v>
          </cell>
        </row>
      </sheetData>
      <sheetData sheetId="11818">
        <row r="4">
          <cell r="I4">
            <v>0</v>
          </cell>
        </row>
      </sheetData>
      <sheetData sheetId="11819">
        <row r="4">
          <cell r="I4">
            <v>0</v>
          </cell>
        </row>
      </sheetData>
      <sheetData sheetId="11820">
        <row r="4">
          <cell r="I4">
            <v>0</v>
          </cell>
        </row>
      </sheetData>
      <sheetData sheetId="11821">
        <row r="4">
          <cell r="I4">
            <v>0</v>
          </cell>
        </row>
      </sheetData>
      <sheetData sheetId="11822">
        <row r="4">
          <cell r="I4">
            <v>0</v>
          </cell>
        </row>
      </sheetData>
      <sheetData sheetId="11823">
        <row r="4">
          <cell r="I4">
            <v>0</v>
          </cell>
        </row>
      </sheetData>
      <sheetData sheetId="11824">
        <row r="4">
          <cell r="I4">
            <v>0</v>
          </cell>
        </row>
      </sheetData>
      <sheetData sheetId="11825">
        <row r="4">
          <cell r="I4">
            <v>0</v>
          </cell>
        </row>
      </sheetData>
      <sheetData sheetId="11826">
        <row r="4">
          <cell r="I4">
            <v>0</v>
          </cell>
        </row>
      </sheetData>
      <sheetData sheetId="11827">
        <row r="4">
          <cell r="I4">
            <v>0</v>
          </cell>
        </row>
      </sheetData>
      <sheetData sheetId="11828">
        <row r="4">
          <cell r="I4">
            <v>0</v>
          </cell>
        </row>
      </sheetData>
      <sheetData sheetId="11829">
        <row r="4">
          <cell r="I4">
            <v>0</v>
          </cell>
        </row>
      </sheetData>
      <sheetData sheetId="11830">
        <row r="4">
          <cell r="I4">
            <v>0</v>
          </cell>
        </row>
      </sheetData>
      <sheetData sheetId="11831">
        <row r="4">
          <cell r="I4">
            <v>0</v>
          </cell>
        </row>
      </sheetData>
      <sheetData sheetId="11832">
        <row r="4">
          <cell r="I4">
            <v>0</v>
          </cell>
        </row>
      </sheetData>
      <sheetData sheetId="11833">
        <row r="4">
          <cell r="I4">
            <v>0</v>
          </cell>
        </row>
      </sheetData>
      <sheetData sheetId="11834">
        <row r="4">
          <cell r="I4">
            <v>0</v>
          </cell>
        </row>
      </sheetData>
      <sheetData sheetId="11835">
        <row r="4">
          <cell r="I4">
            <v>0</v>
          </cell>
        </row>
      </sheetData>
      <sheetData sheetId="11836">
        <row r="4">
          <cell r="I4">
            <v>0</v>
          </cell>
        </row>
      </sheetData>
      <sheetData sheetId="11837">
        <row r="4">
          <cell r="I4">
            <v>0</v>
          </cell>
        </row>
      </sheetData>
      <sheetData sheetId="11838">
        <row r="4">
          <cell r="I4">
            <v>0</v>
          </cell>
        </row>
      </sheetData>
      <sheetData sheetId="11839">
        <row r="4">
          <cell r="I4">
            <v>0</v>
          </cell>
        </row>
      </sheetData>
      <sheetData sheetId="11840">
        <row r="4">
          <cell r="I4">
            <v>0</v>
          </cell>
        </row>
      </sheetData>
      <sheetData sheetId="11841">
        <row r="4">
          <cell r="I4">
            <v>0</v>
          </cell>
        </row>
      </sheetData>
      <sheetData sheetId="11842">
        <row r="4">
          <cell r="I4">
            <v>0</v>
          </cell>
        </row>
      </sheetData>
      <sheetData sheetId="11843">
        <row r="4">
          <cell r="I4">
            <v>0</v>
          </cell>
        </row>
      </sheetData>
      <sheetData sheetId="11844">
        <row r="4">
          <cell r="I4">
            <v>0</v>
          </cell>
        </row>
      </sheetData>
      <sheetData sheetId="11845">
        <row r="4">
          <cell r="I4">
            <v>0</v>
          </cell>
        </row>
      </sheetData>
      <sheetData sheetId="11846">
        <row r="4">
          <cell r="I4">
            <v>0</v>
          </cell>
        </row>
      </sheetData>
      <sheetData sheetId="11847">
        <row r="4">
          <cell r="I4">
            <v>0</v>
          </cell>
        </row>
      </sheetData>
      <sheetData sheetId="11848">
        <row r="4">
          <cell r="I4">
            <v>0</v>
          </cell>
        </row>
      </sheetData>
      <sheetData sheetId="11849">
        <row r="4">
          <cell r="I4">
            <v>0</v>
          </cell>
        </row>
      </sheetData>
      <sheetData sheetId="11850">
        <row r="4">
          <cell r="I4">
            <v>0</v>
          </cell>
        </row>
      </sheetData>
      <sheetData sheetId="11851">
        <row r="4">
          <cell r="I4">
            <v>0</v>
          </cell>
        </row>
      </sheetData>
      <sheetData sheetId="11852">
        <row r="4">
          <cell r="I4">
            <v>0</v>
          </cell>
        </row>
      </sheetData>
      <sheetData sheetId="11853">
        <row r="4">
          <cell r="I4">
            <v>0</v>
          </cell>
        </row>
      </sheetData>
      <sheetData sheetId="11854">
        <row r="4">
          <cell r="I4">
            <v>0</v>
          </cell>
        </row>
      </sheetData>
      <sheetData sheetId="11855">
        <row r="4">
          <cell r="I4">
            <v>0</v>
          </cell>
        </row>
      </sheetData>
      <sheetData sheetId="11856">
        <row r="4">
          <cell r="I4">
            <v>0</v>
          </cell>
        </row>
      </sheetData>
      <sheetData sheetId="11857">
        <row r="4">
          <cell r="I4">
            <v>0</v>
          </cell>
        </row>
      </sheetData>
      <sheetData sheetId="11858">
        <row r="4">
          <cell r="I4">
            <v>0</v>
          </cell>
        </row>
      </sheetData>
      <sheetData sheetId="11859">
        <row r="4">
          <cell r="I4">
            <v>0</v>
          </cell>
        </row>
      </sheetData>
      <sheetData sheetId="11860">
        <row r="4">
          <cell r="I4">
            <v>0</v>
          </cell>
        </row>
      </sheetData>
      <sheetData sheetId="11861">
        <row r="4">
          <cell r="I4">
            <v>0</v>
          </cell>
        </row>
      </sheetData>
      <sheetData sheetId="11862">
        <row r="4">
          <cell r="I4">
            <v>0</v>
          </cell>
        </row>
      </sheetData>
      <sheetData sheetId="11863">
        <row r="4">
          <cell r="I4">
            <v>0</v>
          </cell>
        </row>
      </sheetData>
      <sheetData sheetId="11864">
        <row r="4">
          <cell r="I4">
            <v>0</v>
          </cell>
        </row>
      </sheetData>
      <sheetData sheetId="11865">
        <row r="4">
          <cell r="I4">
            <v>0</v>
          </cell>
        </row>
      </sheetData>
      <sheetData sheetId="11866">
        <row r="4">
          <cell r="I4">
            <v>0</v>
          </cell>
        </row>
      </sheetData>
      <sheetData sheetId="11867">
        <row r="4">
          <cell r="I4">
            <v>0</v>
          </cell>
        </row>
      </sheetData>
      <sheetData sheetId="11868">
        <row r="4">
          <cell r="I4">
            <v>0</v>
          </cell>
        </row>
      </sheetData>
      <sheetData sheetId="11869">
        <row r="4">
          <cell r="I4">
            <v>0</v>
          </cell>
        </row>
      </sheetData>
      <sheetData sheetId="11870">
        <row r="4">
          <cell r="I4">
            <v>0</v>
          </cell>
        </row>
      </sheetData>
      <sheetData sheetId="11871">
        <row r="4">
          <cell r="I4">
            <v>0</v>
          </cell>
        </row>
      </sheetData>
      <sheetData sheetId="11872">
        <row r="4">
          <cell r="I4">
            <v>0</v>
          </cell>
        </row>
      </sheetData>
      <sheetData sheetId="11873">
        <row r="4">
          <cell r="I4">
            <v>0</v>
          </cell>
        </row>
      </sheetData>
      <sheetData sheetId="11874">
        <row r="4">
          <cell r="I4">
            <v>0</v>
          </cell>
        </row>
      </sheetData>
      <sheetData sheetId="11875">
        <row r="4">
          <cell r="I4">
            <v>0</v>
          </cell>
        </row>
      </sheetData>
      <sheetData sheetId="11876">
        <row r="4">
          <cell r="I4">
            <v>0</v>
          </cell>
        </row>
      </sheetData>
      <sheetData sheetId="11877">
        <row r="4">
          <cell r="I4">
            <v>0</v>
          </cell>
        </row>
      </sheetData>
      <sheetData sheetId="11878">
        <row r="4">
          <cell r="I4">
            <v>0</v>
          </cell>
        </row>
      </sheetData>
      <sheetData sheetId="11879">
        <row r="4">
          <cell r="I4">
            <v>0</v>
          </cell>
        </row>
      </sheetData>
      <sheetData sheetId="11880">
        <row r="4">
          <cell r="I4">
            <v>0</v>
          </cell>
        </row>
      </sheetData>
      <sheetData sheetId="11881">
        <row r="4">
          <cell r="I4">
            <v>0</v>
          </cell>
        </row>
      </sheetData>
      <sheetData sheetId="11882">
        <row r="4">
          <cell r="I4">
            <v>0</v>
          </cell>
        </row>
      </sheetData>
      <sheetData sheetId="11883">
        <row r="4">
          <cell r="I4">
            <v>0</v>
          </cell>
        </row>
      </sheetData>
      <sheetData sheetId="11884">
        <row r="4">
          <cell r="I4">
            <v>0</v>
          </cell>
        </row>
      </sheetData>
      <sheetData sheetId="11885">
        <row r="4">
          <cell r="I4">
            <v>0</v>
          </cell>
        </row>
      </sheetData>
      <sheetData sheetId="11886">
        <row r="4">
          <cell r="I4">
            <v>0</v>
          </cell>
        </row>
      </sheetData>
      <sheetData sheetId="11887">
        <row r="4">
          <cell r="I4">
            <v>0</v>
          </cell>
        </row>
      </sheetData>
      <sheetData sheetId="11888">
        <row r="4">
          <cell r="I4">
            <v>0</v>
          </cell>
        </row>
      </sheetData>
      <sheetData sheetId="11889">
        <row r="4">
          <cell r="I4">
            <v>0</v>
          </cell>
        </row>
      </sheetData>
      <sheetData sheetId="11890">
        <row r="4">
          <cell r="I4">
            <v>0</v>
          </cell>
        </row>
      </sheetData>
      <sheetData sheetId="11891">
        <row r="4">
          <cell r="I4">
            <v>0</v>
          </cell>
        </row>
      </sheetData>
      <sheetData sheetId="11892">
        <row r="4">
          <cell r="I4">
            <v>0</v>
          </cell>
        </row>
      </sheetData>
      <sheetData sheetId="11893">
        <row r="4">
          <cell r="I4">
            <v>0</v>
          </cell>
        </row>
      </sheetData>
      <sheetData sheetId="11894">
        <row r="4">
          <cell r="I4">
            <v>0</v>
          </cell>
        </row>
      </sheetData>
      <sheetData sheetId="11895">
        <row r="4">
          <cell r="I4">
            <v>0</v>
          </cell>
        </row>
      </sheetData>
      <sheetData sheetId="11896">
        <row r="4">
          <cell r="I4">
            <v>0</v>
          </cell>
        </row>
      </sheetData>
      <sheetData sheetId="11897">
        <row r="4">
          <cell r="I4">
            <v>0</v>
          </cell>
        </row>
      </sheetData>
      <sheetData sheetId="11898">
        <row r="4">
          <cell r="I4">
            <v>0</v>
          </cell>
        </row>
      </sheetData>
      <sheetData sheetId="11899">
        <row r="4">
          <cell r="I4">
            <v>0</v>
          </cell>
        </row>
      </sheetData>
      <sheetData sheetId="11900">
        <row r="4">
          <cell r="I4">
            <v>0</v>
          </cell>
        </row>
      </sheetData>
      <sheetData sheetId="11901">
        <row r="4">
          <cell r="I4">
            <v>0</v>
          </cell>
        </row>
      </sheetData>
      <sheetData sheetId="11902">
        <row r="4">
          <cell r="I4">
            <v>0</v>
          </cell>
        </row>
      </sheetData>
      <sheetData sheetId="11903">
        <row r="4">
          <cell r="I4">
            <v>0</v>
          </cell>
        </row>
      </sheetData>
      <sheetData sheetId="11904">
        <row r="4">
          <cell r="I4">
            <v>0</v>
          </cell>
        </row>
      </sheetData>
      <sheetData sheetId="11905">
        <row r="4">
          <cell r="I4">
            <v>0</v>
          </cell>
        </row>
      </sheetData>
      <sheetData sheetId="11906">
        <row r="4">
          <cell r="I4">
            <v>0</v>
          </cell>
        </row>
      </sheetData>
      <sheetData sheetId="11907">
        <row r="4">
          <cell r="I4">
            <v>0</v>
          </cell>
        </row>
      </sheetData>
      <sheetData sheetId="11908">
        <row r="4">
          <cell r="I4">
            <v>0</v>
          </cell>
        </row>
      </sheetData>
      <sheetData sheetId="11909">
        <row r="4">
          <cell r="I4">
            <v>0</v>
          </cell>
        </row>
      </sheetData>
      <sheetData sheetId="11910">
        <row r="4">
          <cell r="I4">
            <v>0</v>
          </cell>
        </row>
      </sheetData>
      <sheetData sheetId="11911">
        <row r="4">
          <cell r="I4">
            <v>0</v>
          </cell>
        </row>
      </sheetData>
      <sheetData sheetId="11912">
        <row r="4">
          <cell r="I4">
            <v>0</v>
          </cell>
        </row>
      </sheetData>
      <sheetData sheetId="11913">
        <row r="4">
          <cell r="I4">
            <v>0</v>
          </cell>
        </row>
      </sheetData>
      <sheetData sheetId="11914">
        <row r="4">
          <cell r="I4">
            <v>0</v>
          </cell>
        </row>
      </sheetData>
      <sheetData sheetId="11915">
        <row r="4">
          <cell r="I4">
            <v>0</v>
          </cell>
        </row>
      </sheetData>
      <sheetData sheetId="11916">
        <row r="4">
          <cell r="I4">
            <v>0</v>
          </cell>
        </row>
      </sheetData>
      <sheetData sheetId="11917">
        <row r="4">
          <cell r="I4">
            <v>0</v>
          </cell>
        </row>
      </sheetData>
      <sheetData sheetId="11918">
        <row r="4">
          <cell r="I4">
            <v>0</v>
          </cell>
        </row>
      </sheetData>
      <sheetData sheetId="11919">
        <row r="4">
          <cell r="I4">
            <v>0</v>
          </cell>
        </row>
      </sheetData>
      <sheetData sheetId="11920">
        <row r="4">
          <cell r="I4">
            <v>0</v>
          </cell>
        </row>
      </sheetData>
      <sheetData sheetId="11921">
        <row r="4">
          <cell r="I4">
            <v>0</v>
          </cell>
        </row>
      </sheetData>
      <sheetData sheetId="11922">
        <row r="4">
          <cell r="I4">
            <v>0</v>
          </cell>
        </row>
      </sheetData>
      <sheetData sheetId="11923">
        <row r="4">
          <cell r="I4">
            <v>0</v>
          </cell>
        </row>
      </sheetData>
      <sheetData sheetId="11924">
        <row r="4">
          <cell r="I4">
            <v>0</v>
          </cell>
        </row>
      </sheetData>
      <sheetData sheetId="11925">
        <row r="4">
          <cell r="I4">
            <v>0</v>
          </cell>
        </row>
      </sheetData>
      <sheetData sheetId="11926">
        <row r="4">
          <cell r="I4">
            <v>0</v>
          </cell>
        </row>
      </sheetData>
      <sheetData sheetId="11927">
        <row r="4">
          <cell r="I4">
            <v>0</v>
          </cell>
        </row>
      </sheetData>
      <sheetData sheetId="11928">
        <row r="4">
          <cell r="I4">
            <v>0</v>
          </cell>
        </row>
      </sheetData>
      <sheetData sheetId="11929">
        <row r="4">
          <cell r="I4">
            <v>0</v>
          </cell>
        </row>
      </sheetData>
      <sheetData sheetId="11930">
        <row r="4">
          <cell r="I4">
            <v>0</v>
          </cell>
        </row>
      </sheetData>
      <sheetData sheetId="11931">
        <row r="4">
          <cell r="I4">
            <v>0</v>
          </cell>
        </row>
      </sheetData>
      <sheetData sheetId="11932">
        <row r="4">
          <cell r="I4">
            <v>0</v>
          </cell>
        </row>
      </sheetData>
      <sheetData sheetId="11933">
        <row r="4">
          <cell r="I4">
            <v>0</v>
          </cell>
        </row>
      </sheetData>
      <sheetData sheetId="11934">
        <row r="4">
          <cell r="I4">
            <v>0</v>
          </cell>
        </row>
      </sheetData>
      <sheetData sheetId="11935">
        <row r="4">
          <cell r="I4">
            <v>0</v>
          </cell>
        </row>
      </sheetData>
      <sheetData sheetId="11936">
        <row r="4">
          <cell r="I4">
            <v>0</v>
          </cell>
        </row>
      </sheetData>
      <sheetData sheetId="11937">
        <row r="4">
          <cell r="I4">
            <v>0</v>
          </cell>
        </row>
      </sheetData>
      <sheetData sheetId="11938">
        <row r="4">
          <cell r="I4">
            <v>0</v>
          </cell>
        </row>
      </sheetData>
      <sheetData sheetId="11939">
        <row r="4">
          <cell r="I4">
            <v>0</v>
          </cell>
        </row>
      </sheetData>
      <sheetData sheetId="11940">
        <row r="4">
          <cell r="I4">
            <v>0</v>
          </cell>
        </row>
      </sheetData>
      <sheetData sheetId="11941">
        <row r="4">
          <cell r="I4">
            <v>0</v>
          </cell>
        </row>
      </sheetData>
      <sheetData sheetId="11942">
        <row r="4">
          <cell r="I4">
            <v>0</v>
          </cell>
        </row>
      </sheetData>
      <sheetData sheetId="11943">
        <row r="4">
          <cell r="I4">
            <v>0</v>
          </cell>
        </row>
      </sheetData>
      <sheetData sheetId="11944">
        <row r="4">
          <cell r="I4">
            <v>0</v>
          </cell>
        </row>
      </sheetData>
      <sheetData sheetId="11945">
        <row r="4">
          <cell r="I4">
            <v>0</v>
          </cell>
        </row>
      </sheetData>
      <sheetData sheetId="11946">
        <row r="4">
          <cell r="I4">
            <v>0</v>
          </cell>
        </row>
      </sheetData>
      <sheetData sheetId="11947">
        <row r="4">
          <cell r="I4">
            <v>0</v>
          </cell>
        </row>
      </sheetData>
      <sheetData sheetId="11948">
        <row r="4">
          <cell r="I4">
            <v>0</v>
          </cell>
        </row>
      </sheetData>
      <sheetData sheetId="11949">
        <row r="4">
          <cell r="I4">
            <v>0</v>
          </cell>
        </row>
      </sheetData>
      <sheetData sheetId="11950">
        <row r="4">
          <cell r="I4">
            <v>0</v>
          </cell>
        </row>
      </sheetData>
      <sheetData sheetId="11951">
        <row r="4">
          <cell r="I4">
            <v>0</v>
          </cell>
        </row>
      </sheetData>
      <sheetData sheetId="11952">
        <row r="4">
          <cell r="I4">
            <v>0</v>
          </cell>
        </row>
      </sheetData>
      <sheetData sheetId="11953">
        <row r="4">
          <cell r="I4">
            <v>0</v>
          </cell>
        </row>
      </sheetData>
      <sheetData sheetId="11954">
        <row r="4">
          <cell r="I4">
            <v>0</v>
          </cell>
        </row>
      </sheetData>
      <sheetData sheetId="11955">
        <row r="4">
          <cell r="I4">
            <v>0</v>
          </cell>
        </row>
      </sheetData>
      <sheetData sheetId="11956">
        <row r="4">
          <cell r="I4">
            <v>0</v>
          </cell>
        </row>
      </sheetData>
      <sheetData sheetId="11957">
        <row r="4">
          <cell r="I4">
            <v>0</v>
          </cell>
        </row>
      </sheetData>
      <sheetData sheetId="11958">
        <row r="4">
          <cell r="I4">
            <v>0</v>
          </cell>
        </row>
      </sheetData>
      <sheetData sheetId="11959">
        <row r="4">
          <cell r="I4">
            <v>0</v>
          </cell>
        </row>
      </sheetData>
      <sheetData sheetId="11960">
        <row r="4">
          <cell r="I4">
            <v>0</v>
          </cell>
        </row>
      </sheetData>
      <sheetData sheetId="11961">
        <row r="4">
          <cell r="I4">
            <v>0</v>
          </cell>
        </row>
      </sheetData>
      <sheetData sheetId="11962">
        <row r="4">
          <cell r="I4">
            <v>0</v>
          </cell>
        </row>
      </sheetData>
      <sheetData sheetId="11963">
        <row r="4">
          <cell r="I4">
            <v>0</v>
          </cell>
        </row>
      </sheetData>
      <sheetData sheetId="11964">
        <row r="4">
          <cell r="I4">
            <v>0</v>
          </cell>
        </row>
      </sheetData>
      <sheetData sheetId="11965">
        <row r="4">
          <cell r="I4">
            <v>0</v>
          </cell>
        </row>
      </sheetData>
      <sheetData sheetId="11966">
        <row r="4">
          <cell r="I4">
            <v>0</v>
          </cell>
        </row>
      </sheetData>
      <sheetData sheetId="11967">
        <row r="4">
          <cell r="I4">
            <v>0</v>
          </cell>
        </row>
      </sheetData>
      <sheetData sheetId="11968">
        <row r="4">
          <cell r="I4">
            <v>0</v>
          </cell>
        </row>
      </sheetData>
      <sheetData sheetId="11969">
        <row r="4">
          <cell r="I4">
            <v>0</v>
          </cell>
        </row>
      </sheetData>
      <sheetData sheetId="11970">
        <row r="4">
          <cell r="I4">
            <v>0</v>
          </cell>
        </row>
      </sheetData>
      <sheetData sheetId="11971">
        <row r="4">
          <cell r="I4">
            <v>0</v>
          </cell>
        </row>
      </sheetData>
      <sheetData sheetId="11972">
        <row r="4">
          <cell r="I4">
            <v>0</v>
          </cell>
        </row>
      </sheetData>
      <sheetData sheetId="11973">
        <row r="4">
          <cell r="I4">
            <v>0</v>
          </cell>
        </row>
      </sheetData>
      <sheetData sheetId="11974">
        <row r="4">
          <cell r="I4">
            <v>0</v>
          </cell>
        </row>
      </sheetData>
      <sheetData sheetId="11975">
        <row r="4">
          <cell r="I4">
            <v>0</v>
          </cell>
        </row>
      </sheetData>
      <sheetData sheetId="11976">
        <row r="4">
          <cell r="I4">
            <v>0</v>
          </cell>
        </row>
      </sheetData>
      <sheetData sheetId="11977">
        <row r="4">
          <cell r="I4">
            <v>0</v>
          </cell>
        </row>
      </sheetData>
      <sheetData sheetId="11978">
        <row r="4">
          <cell r="I4">
            <v>0</v>
          </cell>
        </row>
      </sheetData>
      <sheetData sheetId="11979">
        <row r="4">
          <cell r="I4">
            <v>0</v>
          </cell>
        </row>
      </sheetData>
      <sheetData sheetId="11980">
        <row r="4">
          <cell r="I4">
            <v>0</v>
          </cell>
        </row>
      </sheetData>
      <sheetData sheetId="11981">
        <row r="4">
          <cell r="I4">
            <v>0</v>
          </cell>
        </row>
      </sheetData>
      <sheetData sheetId="11982">
        <row r="4">
          <cell r="I4">
            <v>0</v>
          </cell>
        </row>
      </sheetData>
      <sheetData sheetId="11983">
        <row r="4">
          <cell r="I4">
            <v>0</v>
          </cell>
        </row>
      </sheetData>
      <sheetData sheetId="11984">
        <row r="4">
          <cell r="I4">
            <v>0</v>
          </cell>
        </row>
      </sheetData>
      <sheetData sheetId="11985">
        <row r="4">
          <cell r="I4">
            <v>0</v>
          </cell>
        </row>
      </sheetData>
      <sheetData sheetId="11986">
        <row r="4">
          <cell r="I4">
            <v>0</v>
          </cell>
        </row>
      </sheetData>
      <sheetData sheetId="11987">
        <row r="4">
          <cell r="I4">
            <v>0</v>
          </cell>
        </row>
      </sheetData>
      <sheetData sheetId="11988">
        <row r="4">
          <cell r="I4">
            <v>0</v>
          </cell>
        </row>
      </sheetData>
      <sheetData sheetId="11989">
        <row r="4">
          <cell r="I4">
            <v>0</v>
          </cell>
        </row>
      </sheetData>
      <sheetData sheetId="11990">
        <row r="4">
          <cell r="I4">
            <v>0</v>
          </cell>
        </row>
      </sheetData>
      <sheetData sheetId="11991">
        <row r="4">
          <cell r="I4">
            <v>0</v>
          </cell>
        </row>
      </sheetData>
      <sheetData sheetId="11992">
        <row r="4">
          <cell r="I4">
            <v>0</v>
          </cell>
        </row>
      </sheetData>
      <sheetData sheetId="11993">
        <row r="4">
          <cell r="I4">
            <v>0</v>
          </cell>
        </row>
      </sheetData>
      <sheetData sheetId="11994">
        <row r="4">
          <cell r="I4">
            <v>0</v>
          </cell>
        </row>
      </sheetData>
      <sheetData sheetId="11995">
        <row r="4">
          <cell r="I4">
            <v>0</v>
          </cell>
        </row>
      </sheetData>
      <sheetData sheetId="11996">
        <row r="4">
          <cell r="I4">
            <v>0</v>
          </cell>
        </row>
      </sheetData>
      <sheetData sheetId="11997">
        <row r="4">
          <cell r="I4">
            <v>0</v>
          </cell>
        </row>
      </sheetData>
      <sheetData sheetId="11998">
        <row r="4">
          <cell r="I4">
            <v>0</v>
          </cell>
        </row>
      </sheetData>
      <sheetData sheetId="11999">
        <row r="4">
          <cell r="I4">
            <v>0</v>
          </cell>
        </row>
      </sheetData>
      <sheetData sheetId="12000">
        <row r="4">
          <cell r="I4">
            <v>0</v>
          </cell>
        </row>
      </sheetData>
      <sheetData sheetId="12001">
        <row r="4">
          <cell r="I4">
            <v>0</v>
          </cell>
        </row>
      </sheetData>
      <sheetData sheetId="12002">
        <row r="4">
          <cell r="I4">
            <v>0</v>
          </cell>
        </row>
      </sheetData>
      <sheetData sheetId="12003">
        <row r="4">
          <cell r="I4">
            <v>0</v>
          </cell>
        </row>
      </sheetData>
      <sheetData sheetId="12004">
        <row r="4">
          <cell r="I4">
            <v>0</v>
          </cell>
        </row>
      </sheetData>
      <sheetData sheetId="12005">
        <row r="4">
          <cell r="I4">
            <v>0</v>
          </cell>
        </row>
      </sheetData>
      <sheetData sheetId="12006">
        <row r="4">
          <cell r="I4">
            <v>0</v>
          </cell>
        </row>
      </sheetData>
      <sheetData sheetId="12007">
        <row r="4">
          <cell r="I4">
            <v>0</v>
          </cell>
        </row>
      </sheetData>
      <sheetData sheetId="12008">
        <row r="4">
          <cell r="I4">
            <v>0</v>
          </cell>
        </row>
      </sheetData>
      <sheetData sheetId="12009">
        <row r="4">
          <cell r="I4">
            <v>0</v>
          </cell>
        </row>
      </sheetData>
      <sheetData sheetId="12010">
        <row r="4">
          <cell r="I4">
            <v>0</v>
          </cell>
        </row>
      </sheetData>
      <sheetData sheetId="12011">
        <row r="4">
          <cell r="I4">
            <v>0</v>
          </cell>
        </row>
      </sheetData>
      <sheetData sheetId="12012">
        <row r="4">
          <cell r="I4">
            <v>0</v>
          </cell>
        </row>
      </sheetData>
      <sheetData sheetId="12013">
        <row r="4">
          <cell r="I4">
            <v>0</v>
          </cell>
        </row>
      </sheetData>
      <sheetData sheetId="12014">
        <row r="4">
          <cell r="I4">
            <v>0</v>
          </cell>
        </row>
      </sheetData>
      <sheetData sheetId="12015">
        <row r="4">
          <cell r="I4">
            <v>0</v>
          </cell>
        </row>
      </sheetData>
      <sheetData sheetId="12016">
        <row r="4">
          <cell r="I4">
            <v>0</v>
          </cell>
        </row>
      </sheetData>
      <sheetData sheetId="12017">
        <row r="4">
          <cell r="I4">
            <v>0</v>
          </cell>
        </row>
      </sheetData>
      <sheetData sheetId="12018">
        <row r="4">
          <cell r="I4">
            <v>0</v>
          </cell>
        </row>
      </sheetData>
      <sheetData sheetId="12019">
        <row r="4">
          <cell r="I4">
            <v>0</v>
          </cell>
        </row>
      </sheetData>
      <sheetData sheetId="12020">
        <row r="4">
          <cell r="I4">
            <v>0</v>
          </cell>
        </row>
      </sheetData>
      <sheetData sheetId="12021">
        <row r="4">
          <cell r="I4">
            <v>0</v>
          </cell>
        </row>
      </sheetData>
      <sheetData sheetId="12022">
        <row r="4">
          <cell r="I4">
            <v>0</v>
          </cell>
        </row>
      </sheetData>
      <sheetData sheetId="12023">
        <row r="4">
          <cell r="I4">
            <v>0</v>
          </cell>
        </row>
      </sheetData>
      <sheetData sheetId="12024">
        <row r="4">
          <cell r="I4">
            <v>0</v>
          </cell>
        </row>
      </sheetData>
      <sheetData sheetId="12025">
        <row r="4">
          <cell r="I4">
            <v>0</v>
          </cell>
        </row>
      </sheetData>
      <sheetData sheetId="12026">
        <row r="4">
          <cell r="I4">
            <v>0</v>
          </cell>
        </row>
      </sheetData>
      <sheetData sheetId="12027">
        <row r="4">
          <cell r="I4">
            <v>0</v>
          </cell>
        </row>
      </sheetData>
      <sheetData sheetId="12028">
        <row r="4">
          <cell r="I4">
            <v>0</v>
          </cell>
        </row>
      </sheetData>
      <sheetData sheetId="12029">
        <row r="4">
          <cell r="I4">
            <v>0</v>
          </cell>
        </row>
      </sheetData>
      <sheetData sheetId="12030">
        <row r="4">
          <cell r="I4">
            <v>0</v>
          </cell>
        </row>
      </sheetData>
      <sheetData sheetId="12031">
        <row r="4">
          <cell r="I4">
            <v>0</v>
          </cell>
        </row>
      </sheetData>
      <sheetData sheetId="12032">
        <row r="4">
          <cell r="I4">
            <v>0</v>
          </cell>
        </row>
      </sheetData>
      <sheetData sheetId="12033">
        <row r="4">
          <cell r="I4">
            <v>0</v>
          </cell>
        </row>
      </sheetData>
      <sheetData sheetId="12034">
        <row r="4">
          <cell r="I4">
            <v>0</v>
          </cell>
        </row>
      </sheetData>
      <sheetData sheetId="12035">
        <row r="4">
          <cell r="I4">
            <v>0</v>
          </cell>
        </row>
      </sheetData>
      <sheetData sheetId="12036">
        <row r="4">
          <cell r="I4">
            <v>0</v>
          </cell>
        </row>
      </sheetData>
      <sheetData sheetId="12037">
        <row r="4">
          <cell r="I4">
            <v>0</v>
          </cell>
        </row>
      </sheetData>
      <sheetData sheetId="12038">
        <row r="4">
          <cell r="I4">
            <v>0</v>
          </cell>
        </row>
      </sheetData>
      <sheetData sheetId="12039">
        <row r="4">
          <cell r="I4">
            <v>0</v>
          </cell>
        </row>
      </sheetData>
      <sheetData sheetId="12040">
        <row r="4">
          <cell r="I4">
            <v>0</v>
          </cell>
        </row>
      </sheetData>
      <sheetData sheetId="12041">
        <row r="4">
          <cell r="I4">
            <v>0</v>
          </cell>
        </row>
      </sheetData>
      <sheetData sheetId="12042">
        <row r="4">
          <cell r="I4">
            <v>0</v>
          </cell>
        </row>
      </sheetData>
      <sheetData sheetId="12043">
        <row r="4">
          <cell r="I4">
            <v>0</v>
          </cell>
        </row>
      </sheetData>
      <sheetData sheetId="12044">
        <row r="4">
          <cell r="I4">
            <v>0</v>
          </cell>
        </row>
      </sheetData>
      <sheetData sheetId="12045">
        <row r="4">
          <cell r="I4">
            <v>0</v>
          </cell>
        </row>
      </sheetData>
      <sheetData sheetId="12046">
        <row r="4">
          <cell r="I4">
            <v>0</v>
          </cell>
        </row>
      </sheetData>
      <sheetData sheetId="12047">
        <row r="4">
          <cell r="I4">
            <v>0</v>
          </cell>
        </row>
      </sheetData>
      <sheetData sheetId="12048">
        <row r="4">
          <cell r="I4">
            <v>0</v>
          </cell>
        </row>
      </sheetData>
      <sheetData sheetId="12049">
        <row r="4">
          <cell r="I4">
            <v>0</v>
          </cell>
        </row>
      </sheetData>
      <sheetData sheetId="12050">
        <row r="4">
          <cell r="I4">
            <v>0</v>
          </cell>
        </row>
      </sheetData>
      <sheetData sheetId="12051">
        <row r="4">
          <cell r="I4">
            <v>0</v>
          </cell>
        </row>
      </sheetData>
      <sheetData sheetId="12052">
        <row r="4">
          <cell r="I4">
            <v>0</v>
          </cell>
        </row>
      </sheetData>
      <sheetData sheetId="12053">
        <row r="4">
          <cell r="I4">
            <v>0</v>
          </cell>
        </row>
      </sheetData>
      <sheetData sheetId="12054">
        <row r="4">
          <cell r="I4">
            <v>0</v>
          </cell>
        </row>
      </sheetData>
      <sheetData sheetId="12055">
        <row r="4">
          <cell r="I4">
            <v>0</v>
          </cell>
        </row>
      </sheetData>
      <sheetData sheetId="12056">
        <row r="4">
          <cell r="I4">
            <v>0</v>
          </cell>
        </row>
      </sheetData>
      <sheetData sheetId="12057">
        <row r="4">
          <cell r="I4">
            <v>0</v>
          </cell>
        </row>
      </sheetData>
      <sheetData sheetId="12058">
        <row r="4">
          <cell r="I4">
            <v>0</v>
          </cell>
        </row>
      </sheetData>
      <sheetData sheetId="12059">
        <row r="4">
          <cell r="I4">
            <v>0</v>
          </cell>
        </row>
      </sheetData>
      <sheetData sheetId="12060">
        <row r="4">
          <cell r="I4">
            <v>0</v>
          </cell>
        </row>
      </sheetData>
      <sheetData sheetId="12061">
        <row r="4">
          <cell r="I4">
            <v>0</v>
          </cell>
        </row>
      </sheetData>
      <sheetData sheetId="12062">
        <row r="4">
          <cell r="I4">
            <v>0</v>
          </cell>
        </row>
      </sheetData>
      <sheetData sheetId="12063">
        <row r="4">
          <cell r="I4">
            <v>0</v>
          </cell>
        </row>
      </sheetData>
      <sheetData sheetId="12064">
        <row r="4">
          <cell r="I4">
            <v>0</v>
          </cell>
        </row>
      </sheetData>
      <sheetData sheetId="12065">
        <row r="4">
          <cell r="I4">
            <v>0</v>
          </cell>
        </row>
      </sheetData>
      <sheetData sheetId="12066">
        <row r="4">
          <cell r="I4">
            <v>0</v>
          </cell>
        </row>
      </sheetData>
      <sheetData sheetId="12067">
        <row r="4">
          <cell r="I4">
            <v>0</v>
          </cell>
        </row>
      </sheetData>
      <sheetData sheetId="12068">
        <row r="4">
          <cell r="I4">
            <v>0</v>
          </cell>
        </row>
      </sheetData>
      <sheetData sheetId="12069">
        <row r="4">
          <cell r="I4">
            <v>0</v>
          </cell>
        </row>
      </sheetData>
      <sheetData sheetId="12070">
        <row r="4">
          <cell r="I4">
            <v>0</v>
          </cell>
        </row>
      </sheetData>
      <sheetData sheetId="12071">
        <row r="4">
          <cell r="I4">
            <v>0</v>
          </cell>
        </row>
      </sheetData>
      <sheetData sheetId="12072">
        <row r="4">
          <cell r="I4">
            <v>0</v>
          </cell>
        </row>
      </sheetData>
      <sheetData sheetId="12073">
        <row r="4">
          <cell r="I4">
            <v>0</v>
          </cell>
        </row>
      </sheetData>
      <sheetData sheetId="12074">
        <row r="4">
          <cell r="I4">
            <v>0</v>
          </cell>
        </row>
      </sheetData>
      <sheetData sheetId="12075">
        <row r="4">
          <cell r="I4">
            <v>0</v>
          </cell>
        </row>
      </sheetData>
      <sheetData sheetId="12076">
        <row r="4">
          <cell r="I4">
            <v>0</v>
          </cell>
        </row>
      </sheetData>
      <sheetData sheetId="12077">
        <row r="4">
          <cell r="I4">
            <v>0</v>
          </cell>
        </row>
      </sheetData>
      <sheetData sheetId="12078">
        <row r="4">
          <cell r="I4">
            <v>0</v>
          </cell>
        </row>
      </sheetData>
      <sheetData sheetId="12079">
        <row r="4">
          <cell r="I4">
            <v>0</v>
          </cell>
        </row>
      </sheetData>
      <sheetData sheetId="12080">
        <row r="4">
          <cell r="I4">
            <v>0</v>
          </cell>
        </row>
      </sheetData>
      <sheetData sheetId="12081">
        <row r="4">
          <cell r="I4">
            <v>0</v>
          </cell>
        </row>
      </sheetData>
      <sheetData sheetId="12082">
        <row r="4">
          <cell r="I4">
            <v>0</v>
          </cell>
        </row>
      </sheetData>
      <sheetData sheetId="12083">
        <row r="4">
          <cell r="I4">
            <v>0</v>
          </cell>
        </row>
      </sheetData>
      <sheetData sheetId="12084">
        <row r="4">
          <cell r="I4">
            <v>0</v>
          </cell>
        </row>
      </sheetData>
      <sheetData sheetId="12085">
        <row r="4">
          <cell r="I4">
            <v>0</v>
          </cell>
        </row>
      </sheetData>
      <sheetData sheetId="12086">
        <row r="4">
          <cell r="I4">
            <v>0</v>
          </cell>
        </row>
      </sheetData>
      <sheetData sheetId="12087">
        <row r="4">
          <cell r="I4">
            <v>0</v>
          </cell>
        </row>
      </sheetData>
      <sheetData sheetId="12088">
        <row r="4">
          <cell r="I4">
            <v>0</v>
          </cell>
        </row>
      </sheetData>
      <sheetData sheetId="12089">
        <row r="4">
          <cell r="I4">
            <v>0</v>
          </cell>
        </row>
      </sheetData>
      <sheetData sheetId="12090">
        <row r="4">
          <cell r="I4">
            <v>0</v>
          </cell>
        </row>
      </sheetData>
      <sheetData sheetId="12091">
        <row r="4">
          <cell r="I4">
            <v>0</v>
          </cell>
        </row>
      </sheetData>
      <sheetData sheetId="12092">
        <row r="4">
          <cell r="I4">
            <v>0</v>
          </cell>
        </row>
      </sheetData>
      <sheetData sheetId="12093">
        <row r="4">
          <cell r="I4">
            <v>0</v>
          </cell>
        </row>
      </sheetData>
      <sheetData sheetId="12094">
        <row r="4">
          <cell r="I4">
            <v>0</v>
          </cell>
        </row>
      </sheetData>
      <sheetData sheetId="12095">
        <row r="4">
          <cell r="I4">
            <v>0</v>
          </cell>
        </row>
      </sheetData>
      <sheetData sheetId="12096">
        <row r="4">
          <cell r="I4">
            <v>0</v>
          </cell>
        </row>
      </sheetData>
      <sheetData sheetId="12097">
        <row r="4">
          <cell r="I4">
            <v>0</v>
          </cell>
        </row>
      </sheetData>
      <sheetData sheetId="12098">
        <row r="4">
          <cell r="I4">
            <v>0</v>
          </cell>
        </row>
      </sheetData>
      <sheetData sheetId="12099">
        <row r="4">
          <cell r="I4">
            <v>0</v>
          </cell>
        </row>
      </sheetData>
      <sheetData sheetId="12100">
        <row r="4">
          <cell r="I4">
            <v>0</v>
          </cell>
        </row>
      </sheetData>
      <sheetData sheetId="12101">
        <row r="4">
          <cell r="I4">
            <v>0</v>
          </cell>
        </row>
      </sheetData>
      <sheetData sheetId="12102">
        <row r="4">
          <cell r="I4">
            <v>0</v>
          </cell>
        </row>
      </sheetData>
      <sheetData sheetId="12103">
        <row r="4">
          <cell r="I4">
            <v>0</v>
          </cell>
        </row>
      </sheetData>
      <sheetData sheetId="12104">
        <row r="4">
          <cell r="I4">
            <v>0</v>
          </cell>
        </row>
      </sheetData>
      <sheetData sheetId="12105">
        <row r="4">
          <cell r="I4">
            <v>0</v>
          </cell>
        </row>
      </sheetData>
      <sheetData sheetId="12106">
        <row r="4">
          <cell r="I4">
            <v>0</v>
          </cell>
        </row>
      </sheetData>
      <sheetData sheetId="12107">
        <row r="4">
          <cell r="I4">
            <v>0</v>
          </cell>
        </row>
      </sheetData>
      <sheetData sheetId="12108">
        <row r="4">
          <cell r="I4">
            <v>0</v>
          </cell>
        </row>
      </sheetData>
      <sheetData sheetId="12109">
        <row r="4">
          <cell r="I4">
            <v>0</v>
          </cell>
        </row>
      </sheetData>
      <sheetData sheetId="12110">
        <row r="4">
          <cell r="I4">
            <v>0</v>
          </cell>
        </row>
      </sheetData>
      <sheetData sheetId="12111">
        <row r="4">
          <cell r="I4">
            <v>0</v>
          </cell>
        </row>
      </sheetData>
      <sheetData sheetId="12112">
        <row r="4">
          <cell r="I4">
            <v>0</v>
          </cell>
        </row>
      </sheetData>
      <sheetData sheetId="12113">
        <row r="4">
          <cell r="I4">
            <v>0</v>
          </cell>
        </row>
      </sheetData>
      <sheetData sheetId="12114">
        <row r="4">
          <cell r="I4">
            <v>0</v>
          </cell>
        </row>
      </sheetData>
      <sheetData sheetId="12115">
        <row r="4">
          <cell r="I4">
            <v>0</v>
          </cell>
        </row>
      </sheetData>
      <sheetData sheetId="12116">
        <row r="4">
          <cell r="I4">
            <v>0</v>
          </cell>
        </row>
      </sheetData>
      <sheetData sheetId="12117">
        <row r="4">
          <cell r="I4">
            <v>0</v>
          </cell>
        </row>
      </sheetData>
      <sheetData sheetId="12118">
        <row r="4">
          <cell r="I4">
            <v>0</v>
          </cell>
        </row>
      </sheetData>
      <sheetData sheetId="12119">
        <row r="4">
          <cell r="I4">
            <v>0</v>
          </cell>
        </row>
      </sheetData>
      <sheetData sheetId="12120">
        <row r="4">
          <cell r="I4">
            <v>0</v>
          </cell>
        </row>
      </sheetData>
      <sheetData sheetId="12121">
        <row r="4">
          <cell r="I4">
            <v>0</v>
          </cell>
        </row>
      </sheetData>
      <sheetData sheetId="12122">
        <row r="4">
          <cell r="I4">
            <v>0</v>
          </cell>
        </row>
      </sheetData>
      <sheetData sheetId="12123">
        <row r="4">
          <cell r="I4">
            <v>0</v>
          </cell>
        </row>
      </sheetData>
      <sheetData sheetId="12124">
        <row r="4">
          <cell r="I4">
            <v>0</v>
          </cell>
        </row>
      </sheetData>
      <sheetData sheetId="12125">
        <row r="4">
          <cell r="I4">
            <v>0</v>
          </cell>
        </row>
      </sheetData>
      <sheetData sheetId="12126">
        <row r="4">
          <cell r="I4">
            <v>0</v>
          </cell>
        </row>
      </sheetData>
      <sheetData sheetId="12127">
        <row r="4">
          <cell r="I4">
            <v>0</v>
          </cell>
        </row>
      </sheetData>
      <sheetData sheetId="12128">
        <row r="4">
          <cell r="I4">
            <v>0</v>
          </cell>
        </row>
      </sheetData>
      <sheetData sheetId="12129">
        <row r="4">
          <cell r="I4">
            <v>0</v>
          </cell>
        </row>
      </sheetData>
      <sheetData sheetId="12130">
        <row r="4">
          <cell r="I4">
            <v>0</v>
          </cell>
        </row>
      </sheetData>
      <sheetData sheetId="12131">
        <row r="4">
          <cell r="I4">
            <v>0</v>
          </cell>
        </row>
      </sheetData>
      <sheetData sheetId="12132">
        <row r="4">
          <cell r="I4">
            <v>0</v>
          </cell>
        </row>
      </sheetData>
      <sheetData sheetId="12133">
        <row r="4">
          <cell r="I4">
            <v>0</v>
          </cell>
        </row>
      </sheetData>
      <sheetData sheetId="12134">
        <row r="4">
          <cell r="I4">
            <v>0</v>
          </cell>
        </row>
      </sheetData>
      <sheetData sheetId="12135">
        <row r="4">
          <cell r="I4">
            <v>0</v>
          </cell>
        </row>
      </sheetData>
      <sheetData sheetId="12136">
        <row r="4">
          <cell r="I4">
            <v>0</v>
          </cell>
        </row>
      </sheetData>
      <sheetData sheetId="12137">
        <row r="4">
          <cell r="I4">
            <v>0</v>
          </cell>
        </row>
      </sheetData>
      <sheetData sheetId="12138">
        <row r="4">
          <cell r="I4">
            <v>0</v>
          </cell>
        </row>
      </sheetData>
      <sheetData sheetId="12139">
        <row r="4">
          <cell r="I4">
            <v>0</v>
          </cell>
        </row>
      </sheetData>
      <sheetData sheetId="12140">
        <row r="4">
          <cell r="I4">
            <v>0</v>
          </cell>
        </row>
      </sheetData>
      <sheetData sheetId="12141">
        <row r="4">
          <cell r="I4">
            <v>0</v>
          </cell>
        </row>
      </sheetData>
      <sheetData sheetId="12142">
        <row r="4">
          <cell r="I4">
            <v>0</v>
          </cell>
        </row>
      </sheetData>
      <sheetData sheetId="12143">
        <row r="4">
          <cell r="I4">
            <v>0</v>
          </cell>
        </row>
      </sheetData>
      <sheetData sheetId="12144">
        <row r="4">
          <cell r="I4">
            <v>0</v>
          </cell>
        </row>
      </sheetData>
      <sheetData sheetId="12145">
        <row r="4">
          <cell r="I4">
            <v>0</v>
          </cell>
        </row>
      </sheetData>
      <sheetData sheetId="12146">
        <row r="4">
          <cell r="I4">
            <v>0</v>
          </cell>
        </row>
      </sheetData>
      <sheetData sheetId="12147">
        <row r="4">
          <cell r="I4">
            <v>0</v>
          </cell>
        </row>
      </sheetData>
      <sheetData sheetId="12148">
        <row r="4">
          <cell r="I4">
            <v>0</v>
          </cell>
        </row>
      </sheetData>
      <sheetData sheetId="12149">
        <row r="4">
          <cell r="I4">
            <v>0</v>
          </cell>
        </row>
      </sheetData>
      <sheetData sheetId="12150">
        <row r="4">
          <cell r="I4">
            <v>0</v>
          </cell>
        </row>
      </sheetData>
      <sheetData sheetId="12151">
        <row r="4">
          <cell r="I4">
            <v>0</v>
          </cell>
        </row>
      </sheetData>
      <sheetData sheetId="12152">
        <row r="4">
          <cell r="I4">
            <v>0</v>
          </cell>
        </row>
      </sheetData>
      <sheetData sheetId="12153">
        <row r="4">
          <cell r="I4">
            <v>0</v>
          </cell>
        </row>
      </sheetData>
      <sheetData sheetId="12154">
        <row r="4">
          <cell r="I4">
            <v>0</v>
          </cell>
        </row>
      </sheetData>
      <sheetData sheetId="12155">
        <row r="4">
          <cell r="I4">
            <v>0</v>
          </cell>
        </row>
      </sheetData>
      <sheetData sheetId="12156">
        <row r="4">
          <cell r="I4">
            <v>0</v>
          </cell>
        </row>
      </sheetData>
      <sheetData sheetId="12157">
        <row r="4">
          <cell r="I4">
            <v>0</v>
          </cell>
        </row>
      </sheetData>
      <sheetData sheetId="12158">
        <row r="4">
          <cell r="I4">
            <v>0</v>
          </cell>
        </row>
      </sheetData>
      <sheetData sheetId="12159">
        <row r="4">
          <cell r="I4">
            <v>0</v>
          </cell>
        </row>
      </sheetData>
      <sheetData sheetId="12160">
        <row r="4">
          <cell r="I4">
            <v>0</v>
          </cell>
        </row>
      </sheetData>
      <sheetData sheetId="12161">
        <row r="4">
          <cell r="I4">
            <v>0</v>
          </cell>
        </row>
      </sheetData>
      <sheetData sheetId="12162">
        <row r="4">
          <cell r="I4">
            <v>0</v>
          </cell>
        </row>
      </sheetData>
      <sheetData sheetId="12163">
        <row r="4">
          <cell r="I4">
            <v>0</v>
          </cell>
        </row>
      </sheetData>
      <sheetData sheetId="12164">
        <row r="4">
          <cell r="I4">
            <v>0</v>
          </cell>
        </row>
      </sheetData>
      <sheetData sheetId="12165">
        <row r="4">
          <cell r="I4">
            <v>0</v>
          </cell>
        </row>
      </sheetData>
      <sheetData sheetId="12166">
        <row r="4">
          <cell r="I4">
            <v>0</v>
          </cell>
        </row>
      </sheetData>
      <sheetData sheetId="12167">
        <row r="4">
          <cell r="I4">
            <v>0</v>
          </cell>
        </row>
      </sheetData>
      <sheetData sheetId="12168">
        <row r="4">
          <cell r="I4">
            <v>0</v>
          </cell>
        </row>
      </sheetData>
      <sheetData sheetId="12169">
        <row r="4">
          <cell r="I4">
            <v>0</v>
          </cell>
        </row>
      </sheetData>
      <sheetData sheetId="12170">
        <row r="4">
          <cell r="I4">
            <v>0</v>
          </cell>
        </row>
      </sheetData>
      <sheetData sheetId="12171">
        <row r="4">
          <cell r="I4">
            <v>0</v>
          </cell>
        </row>
      </sheetData>
      <sheetData sheetId="12172">
        <row r="4">
          <cell r="I4">
            <v>0</v>
          </cell>
        </row>
      </sheetData>
      <sheetData sheetId="12173">
        <row r="4">
          <cell r="I4">
            <v>0</v>
          </cell>
        </row>
      </sheetData>
      <sheetData sheetId="12174">
        <row r="4">
          <cell r="I4">
            <v>0</v>
          </cell>
        </row>
      </sheetData>
      <sheetData sheetId="12175">
        <row r="4">
          <cell r="I4">
            <v>0</v>
          </cell>
        </row>
      </sheetData>
      <sheetData sheetId="12176">
        <row r="4">
          <cell r="I4">
            <v>0</v>
          </cell>
        </row>
      </sheetData>
      <sheetData sheetId="12177">
        <row r="4">
          <cell r="I4">
            <v>0</v>
          </cell>
        </row>
      </sheetData>
      <sheetData sheetId="12178">
        <row r="4">
          <cell r="I4">
            <v>0</v>
          </cell>
        </row>
      </sheetData>
      <sheetData sheetId="12179">
        <row r="4">
          <cell r="I4">
            <v>0</v>
          </cell>
        </row>
      </sheetData>
      <sheetData sheetId="12180">
        <row r="4">
          <cell r="I4">
            <v>0</v>
          </cell>
        </row>
      </sheetData>
      <sheetData sheetId="12181">
        <row r="4">
          <cell r="I4">
            <v>0</v>
          </cell>
        </row>
      </sheetData>
      <sheetData sheetId="12182">
        <row r="4">
          <cell r="I4">
            <v>0</v>
          </cell>
        </row>
      </sheetData>
      <sheetData sheetId="12183">
        <row r="4">
          <cell r="I4">
            <v>0</v>
          </cell>
        </row>
      </sheetData>
      <sheetData sheetId="12184">
        <row r="4">
          <cell r="I4">
            <v>0</v>
          </cell>
        </row>
      </sheetData>
      <sheetData sheetId="12185">
        <row r="4">
          <cell r="I4">
            <v>0</v>
          </cell>
        </row>
      </sheetData>
      <sheetData sheetId="12186">
        <row r="4">
          <cell r="I4">
            <v>0</v>
          </cell>
        </row>
      </sheetData>
      <sheetData sheetId="12187">
        <row r="4">
          <cell r="I4">
            <v>0</v>
          </cell>
        </row>
      </sheetData>
      <sheetData sheetId="12188">
        <row r="4">
          <cell r="I4">
            <v>0</v>
          </cell>
        </row>
      </sheetData>
      <sheetData sheetId="12189">
        <row r="4">
          <cell r="I4">
            <v>0</v>
          </cell>
        </row>
      </sheetData>
      <sheetData sheetId="12190">
        <row r="4">
          <cell r="I4">
            <v>0</v>
          </cell>
        </row>
      </sheetData>
      <sheetData sheetId="12191">
        <row r="4">
          <cell r="I4">
            <v>0</v>
          </cell>
        </row>
      </sheetData>
      <sheetData sheetId="12192">
        <row r="4">
          <cell r="I4">
            <v>0</v>
          </cell>
        </row>
      </sheetData>
      <sheetData sheetId="12193">
        <row r="4">
          <cell r="I4">
            <v>0</v>
          </cell>
        </row>
      </sheetData>
      <sheetData sheetId="12194">
        <row r="4">
          <cell r="I4">
            <v>0</v>
          </cell>
        </row>
      </sheetData>
      <sheetData sheetId="12195">
        <row r="4">
          <cell r="I4">
            <v>0</v>
          </cell>
        </row>
      </sheetData>
      <sheetData sheetId="12196">
        <row r="4">
          <cell r="I4">
            <v>0</v>
          </cell>
        </row>
      </sheetData>
      <sheetData sheetId="12197">
        <row r="4">
          <cell r="I4">
            <v>0</v>
          </cell>
        </row>
      </sheetData>
      <sheetData sheetId="12198">
        <row r="4">
          <cell r="I4">
            <v>0</v>
          </cell>
        </row>
      </sheetData>
      <sheetData sheetId="12199">
        <row r="4">
          <cell r="I4">
            <v>0</v>
          </cell>
        </row>
      </sheetData>
      <sheetData sheetId="12200">
        <row r="4">
          <cell r="I4">
            <v>0</v>
          </cell>
        </row>
      </sheetData>
      <sheetData sheetId="12201">
        <row r="4">
          <cell r="I4">
            <v>0</v>
          </cell>
        </row>
      </sheetData>
      <sheetData sheetId="12202">
        <row r="4">
          <cell r="I4">
            <v>0</v>
          </cell>
        </row>
      </sheetData>
      <sheetData sheetId="12203">
        <row r="4">
          <cell r="I4">
            <v>0</v>
          </cell>
        </row>
      </sheetData>
      <sheetData sheetId="12204">
        <row r="4">
          <cell r="I4">
            <v>0</v>
          </cell>
        </row>
      </sheetData>
      <sheetData sheetId="12205">
        <row r="4">
          <cell r="I4">
            <v>0</v>
          </cell>
        </row>
      </sheetData>
      <sheetData sheetId="12206">
        <row r="4">
          <cell r="I4">
            <v>0</v>
          </cell>
        </row>
      </sheetData>
      <sheetData sheetId="12207">
        <row r="4">
          <cell r="I4">
            <v>0</v>
          </cell>
        </row>
      </sheetData>
      <sheetData sheetId="12208">
        <row r="4">
          <cell r="I4">
            <v>0</v>
          </cell>
        </row>
      </sheetData>
      <sheetData sheetId="12209">
        <row r="4">
          <cell r="I4">
            <v>0</v>
          </cell>
        </row>
      </sheetData>
      <sheetData sheetId="12210">
        <row r="4">
          <cell r="I4">
            <v>0</v>
          </cell>
        </row>
      </sheetData>
      <sheetData sheetId="12211">
        <row r="4">
          <cell r="I4">
            <v>0</v>
          </cell>
        </row>
      </sheetData>
      <sheetData sheetId="12212">
        <row r="4">
          <cell r="I4">
            <v>0</v>
          </cell>
        </row>
      </sheetData>
      <sheetData sheetId="12213">
        <row r="4">
          <cell r="I4">
            <v>0</v>
          </cell>
        </row>
      </sheetData>
      <sheetData sheetId="12214">
        <row r="4">
          <cell r="I4">
            <v>0</v>
          </cell>
        </row>
      </sheetData>
      <sheetData sheetId="12215">
        <row r="4">
          <cell r="I4">
            <v>0</v>
          </cell>
        </row>
      </sheetData>
      <sheetData sheetId="12216">
        <row r="4">
          <cell r="I4">
            <v>0</v>
          </cell>
        </row>
      </sheetData>
      <sheetData sheetId="12217">
        <row r="4">
          <cell r="I4">
            <v>0</v>
          </cell>
        </row>
      </sheetData>
      <sheetData sheetId="12218">
        <row r="4">
          <cell r="I4">
            <v>0</v>
          </cell>
        </row>
      </sheetData>
      <sheetData sheetId="12219">
        <row r="4">
          <cell r="I4">
            <v>0</v>
          </cell>
        </row>
      </sheetData>
      <sheetData sheetId="12220">
        <row r="4">
          <cell r="I4">
            <v>0</v>
          </cell>
        </row>
      </sheetData>
      <sheetData sheetId="12221">
        <row r="4">
          <cell r="I4">
            <v>0</v>
          </cell>
        </row>
      </sheetData>
      <sheetData sheetId="12222">
        <row r="4">
          <cell r="I4">
            <v>0</v>
          </cell>
        </row>
      </sheetData>
      <sheetData sheetId="12223">
        <row r="4">
          <cell r="I4">
            <v>0</v>
          </cell>
        </row>
      </sheetData>
      <sheetData sheetId="12224">
        <row r="4">
          <cell r="I4">
            <v>0</v>
          </cell>
        </row>
      </sheetData>
      <sheetData sheetId="12225">
        <row r="4">
          <cell r="I4">
            <v>0</v>
          </cell>
        </row>
      </sheetData>
      <sheetData sheetId="12226">
        <row r="4">
          <cell r="I4">
            <v>0</v>
          </cell>
        </row>
      </sheetData>
      <sheetData sheetId="12227">
        <row r="4">
          <cell r="I4">
            <v>0</v>
          </cell>
        </row>
      </sheetData>
      <sheetData sheetId="12228">
        <row r="4">
          <cell r="I4">
            <v>0</v>
          </cell>
        </row>
      </sheetData>
      <sheetData sheetId="12229">
        <row r="4">
          <cell r="I4">
            <v>0</v>
          </cell>
        </row>
      </sheetData>
      <sheetData sheetId="12230">
        <row r="4">
          <cell r="I4">
            <v>0</v>
          </cell>
        </row>
      </sheetData>
      <sheetData sheetId="12231">
        <row r="4">
          <cell r="I4">
            <v>0</v>
          </cell>
        </row>
      </sheetData>
      <sheetData sheetId="12232">
        <row r="4">
          <cell r="I4">
            <v>0</v>
          </cell>
        </row>
      </sheetData>
      <sheetData sheetId="12233">
        <row r="4">
          <cell r="I4">
            <v>0</v>
          </cell>
        </row>
      </sheetData>
      <sheetData sheetId="12234">
        <row r="4">
          <cell r="I4">
            <v>0</v>
          </cell>
        </row>
      </sheetData>
      <sheetData sheetId="12235">
        <row r="4">
          <cell r="I4">
            <v>0</v>
          </cell>
        </row>
      </sheetData>
      <sheetData sheetId="12236">
        <row r="4">
          <cell r="I4">
            <v>0</v>
          </cell>
        </row>
      </sheetData>
      <sheetData sheetId="12237">
        <row r="4">
          <cell r="I4">
            <v>0</v>
          </cell>
        </row>
      </sheetData>
      <sheetData sheetId="12238">
        <row r="4">
          <cell r="I4">
            <v>0</v>
          </cell>
        </row>
      </sheetData>
      <sheetData sheetId="12239">
        <row r="4">
          <cell r="I4">
            <v>0</v>
          </cell>
        </row>
      </sheetData>
      <sheetData sheetId="12240">
        <row r="4">
          <cell r="I4">
            <v>0</v>
          </cell>
        </row>
      </sheetData>
      <sheetData sheetId="12241">
        <row r="4">
          <cell r="I4">
            <v>0</v>
          </cell>
        </row>
      </sheetData>
      <sheetData sheetId="12242">
        <row r="4">
          <cell r="I4">
            <v>0</v>
          </cell>
        </row>
      </sheetData>
      <sheetData sheetId="12243">
        <row r="4">
          <cell r="I4">
            <v>0</v>
          </cell>
        </row>
      </sheetData>
      <sheetData sheetId="12244">
        <row r="4">
          <cell r="I4">
            <v>0</v>
          </cell>
        </row>
      </sheetData>
      <sheetData sheetId="12245">
        <row r="4">
          <cell r="I4">
            <v>0</v>
          </cell>
        </row>
      </sheetData>
      <sheetData sheetId="12246">
        <row r="4">
          <cell r="I4">
            <v>0</v>
          </cell>
        </row>
      </sheetData>
      <sheetData sheetId="12247">
        <row r="4">
          <cell r="I4">
            <v>0</v>
          </cell>
        </row>
      </sheetData>
      <sheetData sheetId="12248">
        <row r="4">
          <cell r="I4">
            <v>0</v>
          </cell>
        </row>
      </sheetData>
      <sheetData sheetId="12249">
        <row r="4">
          <cell r="I4">
            <v>0</v>
          </cell>
        </row>
      </sheetData>
      <sheetData sheetId="12250">
        <row r="4">
          <cell r="I4">
            <v>0</v>
          </cell>
        </row>
      </sheetData>
      <sheetData sheetId="12251">
        <row r="4">
          <cell r="I4">
            <v>0</v>
          </cell>
        </row>
      </sheetData>
      <sheetData sheetId="12252">
        <row r="4">
          <cell r="I4">
            <v>0</v>
          </cell>
        </row>
      </sheetData>
      <sheetData sheetId="12253">
        <row r="4">
          <cell r="I4">
            <v>0</v>
          </cell>
        </row>
      </sheetData>
      <sheetData sheetId="12254">
        <row r="4">
          <cell r="I4">
            <v>0</v>
          </cell>
        </row>
      </sheetData>
      <sheetData sheetId="12255">
        <row r="4">
          <cell r="I4">
            <v>0</v>
          </cell>
        </row>
      </sheetData>
      <sheetData sheetId="12256">
        <row r="4">
          <cell r="I4">
            <v>0</v>
          </cell>
        </row>
      </sheetData>
      <sheetData sheetId="12257">
        <row r="4">
          <cell r="I4">
            <v>0</v>
          </cell>
        </row>
      </sheetData>
      <sheetData sheetId="12258">
        <row r="4">
          <cell r="I4">
            <v>0</v>
          </cell>
        </row>
      </sheetData>
      <sheetData sheetId="12259">
        <row r="4">
          <cell r="I4">
            <v>0</v>
          </cell>
        </row>
      </sheetData>
      <sheetData sheetId="12260">
        <row r="4">
          <cell r="I4">
            <v>0</v>
          </cell>
        </row>
      </sheetData>
      <sheetData sheetId="12261">
        <row r="4">
          <cell r="I4">
            <v>0</v>
          </cell>
        </row>
      </sheetData>
      <sheetData sheetId="12262">
        <row r="4">
          <cell r="I4">
            <v>0</v>
          </cell>
        </row>
      </sheetData>
      <sheetData sheetId="12263">
        <row r="4">
          <cell r="I4">
            <v>0</v>
          </cell>
        </row>
      </sheetData>
      <sheetData sheetId="12264">
        <row r="4">
          <cell r="I4">
            <v>0</v>
          </cell>
        </row>
      </sheetData>
      <sheetData sheetId="12265">
        <row r="4">
          <cell r="I4">
            <v>0</v>
          </cell>
        </row>
      </sheetData>
      <sheetData sheetId="12266">
        <row r="4">
          <cell r="I4">
            <v>0</v>
          </cell>
        </row>
      </sheetData>
      <sheetData sheetId="12267">
        <row r="4">
          <cell r="I4">
            <v>0</v>
          </cell>
        </row>
      </sheetData>
      <sheetData sheetId="12268">
        <row r="4">
          <cell r="I4">
            <v>0</v>
          </cell>
        </row>
      </sheetData>
      <sheetData sheetId="12269">
        <row r="4">
          <cell r="I4">
            <v>0</v>
          </cell>
        </row>
      </sheetData>
      <sheetData sheetId="12270">
        <row r="4">
          <cell r="I4">
            <v>0</v>
          </cell>
        </row>
      </sheetData>
      <sheetData sheetId="12271">
        <row r="4">
          <cell r="I4">
            <v>0</v>
          </cell>
        </row>
      </sheetData>
      <sheetData sheetId="12272">
        <row r="4">
          <cell r="I4">
            <v>0</v>
          </cell>
        </row>
      </sheetData>
      <sheetData sheetId="12273">
        <row r="4">
          <cell r="I4">
            <v>0</v>
          </cell>
        </row>
      </sheetData>
      <sheetData sheetId="12274">
        <row r="4">
          <cell r="I4">
            <v>0</v>
          </cell>
        </row>
      </sheetData>
      <sheetData sheetId="12275">
        <row r="4">
          <cell r="I4">
            <v>0</v>
          </cell>
        </row>
      </sheetData>
      <sheetData sheetId="12276">
        <row r="4">
          <cell r="I4">
            <v>0</v>
          </cell>
        </row>
      </sheetData>
      <sheetData sheetId="12277">
        <row r="4">
          <cell r="I4">
            <v>0</v>
          </cell>
        </row>
      </sheetData>
      <sheetData sheetId="12278">
        <row r="4">
          <cell r="I4">
            <v>0</v>
          </cell>
        </row>
      </sheetData>
      <sheetData sheetId="12279">
        <row r="4">
          <cell r="I4">
            <v>0</v>
          </cell>
        </row>
      </sheetData>
      <sheetData sheetId="12280">
        <row r="4">
          <cell r="I4">
            <v>0</v>
          </cell>
        </row>
      </sheetData>
      <sheetData sheetId="12281">
        <row r="4">
          <cell r="I4">
            <v>0</v>
          </cell>
        </row>
      </sheetData>
      <sheetData sheetId="12282">
        <row r="4">
          <cell r="I4">
            <v>0</v>
          </cell>
        </row>
      </sheetData>
      <sheetData sheetId="12283">
        <row r="4">
          <cell r="I4">
            <v>0</v>
          </cell>
        </row>
      </sheetData>
      <sheetData sheetId="12284">
        <row r="4">
          <cell r="I4">
            <v>0</v>
          </cell>
        </row>
      </sheetData>
      <sheetData sheetId="12285">
        <row r="4">
          <cell r="I4">
            <v>0</v>
          </cell>
        </row>
      </sheetData>
      <sheetData sheetId="12286">
        <row r="4">
          <cell r="I4">
            <v>0</v>
          </cell>
        </row>
      </sheetData>
      <sheetData sheetId="12287">
        <row r="4">
          <cell r="I4">
            <v>0</v>
          </cell>
        </row>
      </sheetData>
      <sheetData sheetId="12288">
        <row r="4">
          <cell r="I4">
            <v>0</v>
          </cell>
        </row>
      </sheetData>
      <sheetData sheetId="12289">
        <row r="4">
          <cell r="I4">
            <v>0</v>
          </cell>
        </row>
      </sheetData>
      <sheetData sheetId="12290">
        <row r="4">
          <cell r="I4">
            <v>0</v>
          </cell>
        </row>
      </sheetData>
      <sheetData sheetId="12291">
        <row r="4">
          <cell r="I4">
            <v>0</v>
          </cell>
        </row>
      </sheetData>
      <sheetData sheetId="12292">
        <row r="4">
          <cell r="I4">
            <v>0</v>
          </cell>
        </row>
      </sheetData>
      <sheetData sheetId="12293">
        <row r="4">
          <cell r="I4">
            <v>0</v>
          </cell>
        </row>
      </sheetData>
      <sheetData sheetId="12294" refreshError="1"/>
      <sheetData sheetId="12295" refreshError="1"/>
      <sheetData sheetId="12296">
        <row r="4">
          <cell r="I4">
            <v>0</v>
          </cell>
        </row>
      </sheetData>
      <sheetData sheetId="12297">
        <row r="4">
          <cell r="I4">
            <v>0</v>
          </cell>
        </row>
      </sheetData>
      <sheetData sheetId="12298">
        <row r="4">
          <cell r="I4">
            <v>0</v>
          </cell>
        </row>
      </sheetData>
      <sheetData sheetId="12299">
        <row r="4">
          <cell r="I4">
            <v>0</v>
          </cell>
        </row>
      </sheetData>
      <sheetData sheetId="12300">
        <row r="4">
          <cell r="I4">
            <v>0</v>
          </cell>
        </row>
      </sheetData>
      <sheetData sheetId="12301">
        <row r="4">
          <cell r="I4">
            <v>0</v>
          </cell>
        </row>
      </sheetData>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ow r="4">
          <cell r="I4">
            <v>0</v>
          </cell>
        </row>
      </sheetData>
      <sheetData sheetId="12334" refreshError="1"/>
      <sheetData sheetId="12335" refreshError="1"/>
      <sheetData sheetId="12336">
        <row r="4">
          <cell r="I4">
            <v>0</v>
          </cell>
        </row>
      </sheetData>
      <sheetData sheetId="12337">
        <row r="4">
          <cell r="I4">
            <v>0</v>
          </cell>
        </row>
      </sheetData>
      <sheetData sheetId="12338"/>
      <sheetData sheetId="12339">
        <row r="4">
          <cell r="I4">
            <v>0</v>
          </cell>
        </row>
      </sheetData>
      <sheetData sheetId="12340">
        <row r="4">
          <cell r="I4">
            <v>0</v>
          </cell>
        </row>
      </sheetData>
      <sheetData sheetId="12341">
        <row r="4">
          <cell r="I4">
            <v>0</v>
          </cell>
        </row>
      </sheetData>
      <sheetData sheetId="12342">
        <row r="4">
          <cell r="I4">
            <v>0</v>
          </cell>
        </row>
      </sheetData>
      <sheetData sheetId="12343">
        <row r="4">
          <cell r="I4">
            <v>0</v>
          </cell>
        </row>
      </sheetData>
      <sheetData sheetId="12344">
        <row r="4">
          <cell r="I4">
            <v>0</v>
          </cell>
        </row>
      </sheetData>
      <sheetData sheetId="12345">
        <row r="4">
          <cell r="I4">
            <v>0</v>
          </cell>
        </row>
      </sheetData>
      <sheetData sheetId="12346">
        <row r="4">
          <cell r="I4">
            <v>0</v>
          </cell>
        </row>
      </sheetData>
      <sheetData sheetId="12347">
        <row r="4">
          <cell r="I4">
            <v>0</v>
          </cell>
        </row>
      </sheetData>
      <sheetData sheetId="12348">
        <row r="4">
          <cell r="I4">
            <v>0</v>
          </cell>
        </row>
      </sheetData>
      <sheetData sheetId="12349">
        <row r="4">
          <cell r="I4">
            <v>0</v>
          </cell>
        </row>
      </sheetData>
      <sheetData sheetId="12350">
        <row r="4">
          <cell r="I4">
            <v>0</v>
          </cell>
        </row>
      </sheetData>
      <sheetData sheetId="12351">
        <row r="4">
          <cell r="I4">
            <v>0</v>
          </cell>
        </row>
      </sheetData>
      <sheetData sheetId="12352">
        <row r="4">
          <cell r="I4">
            <v>0</v>
          </cell>
        </row>
      </sheetData>
      <sheetData sheetId="12353">
        <row r="4">
          <cell r="I4">
            <v>0</v>
          </cell>
        </row>
      </sheetData>
      <sheetData sheetId="12354">
        <row r="4">
          <cell r="I4">
            <v>0</v>
          </cell>
        </row>
      </sheetData>
      <sheetData sheetId="12355">
        <row r="4">
          <cell r="I4">
            <v>0</v>
          </cell>
        </row>
      </sheetData>
      <sheetData sheetId="12356">
        <row r="4">
          <cell r="I4">
            <v>0</v>
          </cell>
        </row>
      </sheetData>
      <sheetData sheetId="12357">
        <row r="4">
          <cell r="I4">
            <v>0</v>
          </cell>
        </row>
      </sheetData>
      <sheetData sheetId="12358">
        <row r="4">
          <cell r="I4">
            <v>0</v>
          </cell>
        </row>
      </sheetData>
      <sheetData sheetId="12359">
        <row r="4">
          <cell r="I4">
            <v>0</v>
          </cell>
        </row>
      </sheetData>
      <sheetData sheetId="12360">
        <row r="4">
          <cell r="I4">
            <v>0</v>
          </cell>
        </row>
      </sheetData>
      <sheetData sheetId="12361">
        <row r="4">
          <cell r="I4">
            <v>0</v>
          </cell>
        </row>
      </sheetData>
      <sheetData sheetId="12362">
        <row r="4">
          <cell r="I4">
            <v>0</v>
          </cell>
        </row>
      </sheetData>
      <sheetData sheetId="12363">
        <row r="4">
          <cell r="I4">
            <v>0</v>
          </cell>
        </row>
      </sheetData>
      <sheetData sheetId="12364">
        <row r="4">
          <cell r="I4">
            <v>0</v>
          </cell>
        </row>
      </sheetData>
      <sheetData sheetId="12365">
        <row r="4">
          <cell r="I4">
            <v>0</v>
          </cell>
        </row>
      </sheetData>
      <sheetData sheetId="12366">
        <row r="4">
          <cell r="I4">
            <v>0</v>
          </cell>
        </row>
      </sheetData>
      <sheetData sheetId="12367">
        <row r="4">
          <cell r="I4">
            <v>0</v>
          </cell>
        </row>
      </sheetData>
      <sheetData sheetId="12368">
        <row r="4">
          <cell r="I4">
            <v>0</v>
          </cell>
        </row>
      </sheetData>
      <sheetData sheetId="12369">
        <row r="4">
          <cell r="I4">
            <v>0</v>
          </cell>
        </row>
      </sheetData>
      <sheetData sheetId="12370">
        <row r="4">
          <cell r="I4">
            <v>0</v>
          </cell>
        </row>
      </sheetData>
      <sheetData sheetId="12371">
        <row r="4">
          <cell r="I4">
            <v>0</v>
          </cell>
        </row>
      </sheetData>
      <sheetData sheetId="12372">
        <row r="4">
          <cell r="I4">
            <v>0</v>
          </cell>
        </row>
      </sheetData>
      <sheetData sheetId="12373">
        <row r="4">
          <cell r="I4">
            <v>0</v>
          </cell>
        </row>
      </sheetData>
      <sheetData sheetId="12374">
        <row r="4">
          <cell r="I4">
            <v>0</v>
          </cell>
        </row>
      </sheetData>
      <sheetData sheetId="12375">
        <row r="4">
          <cell r="I4">
            <v>0</v>
          </cell>
        </row>
      </sheetData>
      <sheetData sheetId="12376">
        <row r="4">
          <cell r="I4">
            <v>0</v>
          </cell>
        </row>
      </sheetData>
      <sheetData sheetId="12377">
        <row r="4">
          <cell r="I4">
            <v>0</v>
          </cell>
        </row>
      </sheetData>
      <sheetData sheetId="12378">
        <row r="4">
          <cell r="I4">
            <v>0</v>
          </cell>
        </row>
      </sheetData>
      <sheetData sheetId="12379">
        <row r="4">
          <cell r="I4">
            <v>0</v>
          </cell>
        </row>
      </sheetData>
      <sheetData sheetId="12380">
        <row r="4">
          <cell r="I4">
            <v>0</v>
          </cell>
        </row>
      </sheetData>
      <sheetData sheetId="12381">
        <row r="4">
          <cell r="I4">
            <v>0</v>
          </cell>
        </row>
      </sheetData>
      <sheetData sheetId="12382">
        <row r="4">
          <cell r="I4">
            <v>0</v>
          </cell>
        </row>
      </sheetData>
      <sheetData sheetId="12383">
        <row r="4">
          <cell r="I4">
            <v>0</v>
          </cell>
        </row>
      </sheetData>
      <sheetData sheetId="12384">
        <row r="4">
          <cell r="I4">
            <v>0</v>
          </cell>
        </row>
      </sheetData>
      <sheetData sheetId="12385" refreshError="1"/>
      <sheetData sheetId="12386" refreshError="1"/>
      <sheetData sheetId="12387" refreshError="1"/>
      <sheetData sheetId="12388" refreshError="1"/>
      <sheetData sheetId="12389" refreshError="1"/>
      <sheetData sheetId="12390">
        <row r="4">
          <cell r="I4">
            <v>0</v>
          </cell>
        </row>
      </sheetData>
      <sheetData sheetId="12391"/>
      <sheetData sheetId="12392"/>
      <sheetData sheetId="12393">
        <row r="4">
          <cell r="I4">
            <v>0</v>
          </cell>
        </row>
      </sheetData>
      <sheetData sheetId="12394">
        <row r="4">
          <cell r="I4">
            <v>0</v>
          </cell>
        </row>
      </sheetData>
      <sheetData sheetId="12395">
        <row r="4">
          <cell r="I4">
            <v>0</v>
          </cell>
        </row>
      </sheetData>
      <sheetData sheetId="12396"/>
      <sheetData sheetId="12397">
        <row r="4">
          <cell r="I4">
            <v>0</v>
          </cell>
        </row>
      </sheetData>
      <sheetData sheetId="12398"/>
      <sheetData sheetId="12399"/>
      <sheetData sheetId="12400">
        <row r="4">
          <cell r="I4">
            <v>0</v>
          </cell>
        </row>
      </sheetData>
      <sheetData sheetId="12401">
        <row r="4">
          <cell r="I4">
            <v>0</v>
          </cell>
        </row>
      </sheetData>
      <sheetData sheetId="12402">
        <row r="4">
          <cell r="I4">
            <v>0</v>
          </cell>
        </row>
      </sheetData>
      <sheetData sheetId="12403"/>
      <sheetData sheetId="12404">
        <row r="4">
          <cell r="I4">
            <v>0</v>
          </cell>
        </row>
      </sheetData>
      <sheetData sheetId="12405" refreshError="1"/>
      <sheetData sheetId="12406">
        <row r="4">
          <cell r="I4">
            <v>0</v>
          </cell>
        </row>
      </sheetData>
      <sheetData sheetId="12407">
        <row r="4">
          <cell r="I4">
            <v>0</v>
          </cell>
        </row>
      </sheetData>
      <sheetData sheetId="12408">
        <row r="4">
          <cell r="I4">
            <v>0</v>
          </cell>
        </row>
      </sheetData>
      <sheetData sheetId="12409">
        <row r="4">
          <cell r="I4">
            <v>0</v>
          </cell>
        </row>
      </sheetData>
      <sheetData sheetId="12410">
        <row r="4">
          <cell r="I4">
            <v>0</v>
          </cell>
        </row>
      </sheetData>
      <sheetData sheetId="12411">
        <row r="4">
          <cell r="I4">
            <v>0</v>
          </cell>
        </row>
      </sheetData>
      <sheetData sheetId="12412">
        <row r="4">
          <cell r="I4">
            <v>0</v>
          </cell>
        </row>
      </sheetData>
      <sheetData sheetId="12413" refreshError="1"/>
      <sheetData sheetId="12414">
        <row r="4">
          <cell r="I4">
            <v>0</v>
          </cell>
        </row>
      </sheetData>
      <sheetData sheetId="12415">
        <row r="4">
          <cell r="I4">
            <v>0</v>
          </cell>
        </row>
      </sheetData>
      <sheetData sheetId="12416">
        <row r="4">
          <cell r="I4">
            <v>0</v>
          </cell>
        </row>
      </sheetData>
      <sheetData sheetId="12417">
        <row r="4">
          <cell r="I4">
            <v>0</v>
          </cell>
        </row>
      </sheetData>
      <sheetData sheetId="12418">
        <row r="4">
          <cell r="I4">
            <v>0</v>
          </cell>
        </row>
      </sheetData>
      <sheetData sheetId="12419">
        <row r="4">
          <cell r="I4">
            <v>0</v>
          </cell>
        </row>
      </sheetData>
      <sheetData sheetId="12420">
        <row r="4">
          <cell r="I4">
            <v>0</v>
          </cell>
        </row>
      </sheetData>
      <sheetData sheetId="12421">
        <row r="4">
          <cell r="I4">
            <v>0</v>
          </cell>
        </row>
      </sheetData>
      <sheetData sheetId="12422">
        <row r="4">
          <cell r="I4">
            <v>0</v>
          </cell>
        </row>
      </sheetData>
      <sheetData sheetId="12423">
        <row r="4">
          <cell r="I4">
            <v>0</v>
          </cell>
        </row>
      </sheetData>
      <sheetData sheetId="12424">
        <row r="4">
          <cell r="I4">
            <v>0</v>
          </cell>
        </row>
      </sheetData>
      <sheetData sheetId="12425">
        <row r="4">
          <cell r="I4">
            <v>0</v>
          </cell>
        </row>
      </sheetData>
      <sheetData sheetId="12426">
        <row r="4">
          <cell r="I4">
            <v>0</v>
          </cell>
        </row>
      </sheetData>
      <sheetData sheetId="12427">
        <row r="4">
          <cell r="I4">
            <v>0</v>
          </cell>
        </row>
      </sheetData>
      <sheetData sheetId="12428">
        <row r="4">
          <cell r="I4">
            <v>0</v>
          </cell>
        </row>
      </sheetData>
      <sheetData sheetId="12429"/>
      <sheetData sheetId="12430" refreshError="1"/>
      <sheetData sheetId="12431">
        <row r="4">
          <cell r="I4">
            <v>0</v>
          </cell>
        </row>
      </sheetData>
      <sheetData sheetId="12432"/>
      <sheetData sheetId="12433" refreshError="1"/>
      <sheetData sheetId="12434"/>
      <sheetData sheetId="12435" refreshError="1"/>
      <sheetData sheetId="12436"/>
      <sheetData sheetId="12437">
        <row r="4">
          <cell r="I4">
            <v>0</v>
          </cell>
        </row>
      </sheetData>
      <sheetData sheetId="12438" refreshError="1"/>
      <sheetData sheetId="12439" refreshError="1"/>
      <sheetData sheetId="12440" refreshError="1"/>
      <sheetData sheetId="12441" refreshError="1"/>
      <sheetData sheetId="12442"/>
      <sheetData sheetId="12443"/>
      <sheetData sheetId="12444" refreshError="1"/>
      <sheetData sheetId="12445"/>
      <sheetData sheetId="12446">
        <row r="4">
          <cell r="I4">
            <v>0</v>
          </cell>
        </row>
      </sheetData>
      <sheetData sheetId="12447">
        <row r="4">
          <cell r="I4">
            <v>0</v>
          </cell>
        </row>
      </sheetData>
      <sheetData sheetId="12448">
        <row r="4">
          <cell r="I4">
            <v>0</v>
          </cell>
        </row>
      </sheetData>
      <sheetData sheetId="12449">
        <row r="4">
          <cell r="I4">
            <v>0</v>
          </cell>
        </row>
      </sheetData>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sheetData sheetId="12460"/>
      <sheetData sheetId="12461"/>
      <sheetData sheetId="12462" refreshError="1"/>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sheetData sheetId="12477"/>
      <sheetData sheetId="12478"/>
      <sheetData sheetId="12479"/>
      <sheetData sheetId="12480"/>
      <sheetData sheetId="12481" refreshError="1"/>
      <sheetData sheetId="12482" refreshError="1"/>
      <sheetData sheetId="12483"/>
      <sheetData sheetId="12484"/>
      <sheetData sheetId="12485" refreshError="1"/>
      <sheetData sheetId="12486" refreshError="1"/>
      <sheetData sheetId="12487">
        <row r="4">
          <cell r="I4">
            <v>0</v>
          </cell>
        </row>
      </sheetData>
      <sheetData sheetId="12488" refreshError="1"/>
      <sheetData sheetId="12489" refreshError="1"/>
      <sheetData sheetId="12490" refreshError="1"/>
      <sheetData sheetId="12491">
        <row r="4">
          <cell r="I4">
            <v>0</v>
          </cell>
        </row>
      </sheetData>
      <sheetData sheetId="12492" refreshError="1"/>
      <sheetData sheetId="12493" refreshError="1"/>
      <sheetData sheetId="12494">
        <row r="4">
          <cell r="I4">
            <v>0</v>
          </cell>
        </row>
      </sheetData>
      <sheetData sheetId="12495">
        <row r="4">
          <cell r="I4">
            <v>0</v>
          </cell>
        </row>
      </sheetData>
      <sheetData sheetId="12496">
        <row r="4">
          <cell r="I4">
            <v>0</v>
          </cell>
        </row>
      </sheetData>
      <sheetData sheetId="12497">
        <row r="4">
          <cell r="I4">
            <v>0</v>
          </cell>
        </row>
      </sheetData>
      <sheetData sheetId="12498">
        <row r="4">
          <cell r="I4">
            <v>0</v>
          </cell>
        </row>
      </sheetData>
      <sheetData sheetId="12499">
        <row r="4">
          <cell r="I4">
            <v>0</v>
          </cell>
        </row>
      </sheetData>
      <sheetData sheetId="12500">
        <row r="4">
          <cell r="I4">
            <v>0</v>
          </cell>
        </row>
      </sheetData>
      <sheetData sheetId="12501">
        <row r="4">
          <cell r="I4">
            <v>0</v>
          </cell>
        </row>
      </sheetData>
      <sheetData sheetId="12502"/>
      <sheetData sheetId="12503"/>
      <sheetData sheetId="12504">
        <row r="4">
          <cell r="I4">
            <v>0</v>
          </cell>
        </row>
      </sheetData>
      <sheetData sheetId="12505">
        <row r="4">
          <cell r="I4">
            <v>0</v>
          </cell>
        </row>
      </sheetData>
      <sheetData sheetId="12506">
        <row r="4">
          <cell r="I4">
            <v>0</v>
          </cell>
        </row>
      </sheetData>
      <sheetData sheetId="12507">
        <row r="4">
          <cell r="I4">
            <v>0</v>
          </cell>
        </row>
      </sheetData>
      <sheetData sheetId="12508">
        <row r="4">
          <cell r="I4">
            <v>0</v>
          </cell>
        </row>
      </sheetData>
      <sheetData sheetId="12509">
        <row r="4">
          <cell r="I4">
            <v>0</v>
          </cell>
        </row>
      </sheetData>
      <sheetData sheetId="12510"/>
      <sheetData sheetId="12511"/>
      <sheetData sheetId="12512">
        <row r="4">
          <cell r="I4">
            <v>0</v>
          </cell>
        </row>
      </sheetData>
      <sheetData sheetId="12513">
        <row r="4">
          <cell r="I4">
            <v>0</v>
          </cell>
        </row>
      </sheetData>
      <sheetData sheetId="12514">
        <row r="4">
          <cell r="I4">
            <v>0</v>
          </cell>
        </row>
      </sheetData>
      <sheetData sheetId="12515">
        <row r="4">
          <cell r="I4">
            <v>0</v>
          </cell>
        </row>
      </sheetData>
      <sheetData sheetId="12516">
        <row r="4">
          <cell r="I4">
            <v>0</v>
          </cell>
        </row>
      </sheetData>
      <sheetData sheetId="12517">
        <row r="4">
          <cell r="I4">
            <v>0</v>
          </cell>
        </row>
      </sheetData>
      <sheetData sheetId="12518">
        <row r="4">
          <cell r="I4">
            <v>0</v>
          </cell>
        </row>
      </sheetData>
      <sheetData sheetId="12519">
        <row r="4">
          <cell r="I4">
            <v>0</v>
          </cell>
        </row>
      </sheetData>
      <sheetData sheetId="12520">
        <row r="4">
          <cell r="I4">
            <v>0</v>
          </cell>
        </row>
      </sheetData>
      <sheetData sheetId="12521"/>
      <sheetData sheetId="12522"/>
      <sheetData sheetId="12523"/>
      <sheetData sheetId="12524"/>
      <sheetData sheetId="12525"/>
      <sheetData sheetId="12526">
        <row r="4">
          <cell r="I4">
            <v>0</v>
          </cell>
        </row>
      </sheetData>
      <sheetData sheetId="12527">
        <row r="4">
          <cell r="I4">
            <v>0</v>
          </cell>
        </row>
      </sheetData>
      <sheetData sheetId="12528">
        <row r="4">
          <cell r="I4">
            <v>0</v>
          </cell>
        </row>
      </sheetData>
      <sheetData sheetId="12529">
        <row r="4">
          <cell r="I4">
            <v>0</v>
          </cell>
        </row>
      </sheetData>
      <sheetData sheetId="12530">
        <row r="4">
          <cell r="I4">
            <v>0</v>
          </cell>
        </row>
      </sheetData>
      <sheetData sheetId="12531">
        <row r="4">
          <cell r="I4">
            <v>0</v>
          </cell>
        </row>
      </sheetData>
      <sheetData sheetId="12532">
        <row r="4">
          <cell r="I4">
            <v>0</v>
          </cell>
        </row>
      </sheetData>
      <sheetData sheetId="12533">
        <row r="4">
          <cell r="I4">
            <v>0</v>
          </cell>
        </row>
      </sheetData>
      <sheetData sheetId="12534">
        <row r="4">
          <cell r="I4">
            <v>0</v>
          </cell>
        </row>
      </sheetData>
      <sheetData sheetId="12535">
        <row r="4">
          <cell r="I4">
            <v>0</v>
          </cell>
        </row>
      </sheetData>
      <sheetData sheetId="12536">
        <row r="4">
          <cell r="I4">
            <v>0</v>
          </cell>
        </row>
      </sheetData>
      <sheetData sheetId="12537">
        <row r="4">
          <cell r="I4">
            <v>0</v>
          </cell>
        </row>
      </sheetData>
      <sheetData sheetId="12538">
        <row r="4">
          <cell r="I4">
            <v>0</v>
          </cell>
        </row>
      </sheetData>
      <sheetData sheetId="12539">
        <row r="4">
          <cell r="I4">
            <v>0</v>
          </cell>
        </row>
      </sheetData>
      <sheetData sheetId="12540">
        <row r="4">
          <cell r="I4">
            <v>0</v>
          </cell>
        </row>
      </sheetData>
      <sheetData sheetId="12541">
        <row r="4">
          <cell r="I4">
            <v>0</v>
          </cell>
        </row>
      </sheetData>
      <sheetData sheetId="12542">
        <row r="4">
          <cell r="I4">
            <v>0</v>
          </cell>
        </row>
      </sheetData>
      <sheetData sheetId="12543">
        <row r="4">
          <cell r="I4">
            <v>0</v>
          </cell>
        </row>
      </sheetData>
      <sheetData sheetId="12544">
        <row r="4">
          <cell r="I4">
            <v>0</v>
          </cell>
        </row>
      </sheetData>
      <sheetData sheetId="12545"/>
      <sheetData sheetId="12546"/>
      <sheetData sheetId="12547">
        <row r="4">
          <cell r="I4">
            <v>0</v>
          </cell>
        </row>
      </sheetData>
      <sheetData sheetId="12548">
        <row r="4">
          <cell r="I4">
            <v>0</v>
          </cell>
        </row>
      </sheetData>
      <sheetData sheetId="12549">
        <row r="4">
          <cell r="I4">
            <v>0</v>
          </cell>
        </row>
      </sheetData>
      <sheetData sheetId="12550">
        <row r="4">
          <cell r="I4">
            <v>0</v>
          </cell>
        </row>
      </sheetData>
      <sheetData sheetId="12551">
        <row r="4">
          <cell r="I4">
            <v>0</v>
          </cell>
        </row>
      </sheetData>
      <sheetData sheetId="12552">
        <row r="4">
          <cell r="I4">
            <v>0</v>
          </cell>
        </row>
      </sheetData>
      <sheetData sheetId="12553">
        <row r="4">
          <cell r="I4">
            <v>0</v>
          </cell>
        </row>
      </sheetData>
      <sheetData sheetId="12554">
        <row r="4">
          <cell r="I4">
            <v>0</v>
          </cell>
        </row>
      </sheetData>
      <sheetData sheetId="12555">
        <row r="4">
          <cell r="I4">
            <v>0</v>
          </cell>
        </row>
      </sheetData>
      <sheetData sheetId="12556">
        <row r="4">
          <cell r="I4">
            <v>0</v>
          </cell>
        </row>
      </sheetData>
      <sheetData sheetId="12557">
        <row r="4">
          <cell r="I4">
            <v>0</v>
          </cell>
        </row>
      </sheetData>
      <sheetData sheetId="12558">
        <row r="4">
          <cell r="I4">
            <v>0</v>
          </cell>
        </row>
      </sheetData>
      <sheetData sheetId="12559">
        <row r="4">
          <cell r="I4">
            <v>0</v>
          </cell>
        </row>
      </sheetData>
      <sheetData sheetId="12560">
        <row r="4">
          <cell r="I4">
            <v>0</v>
          </cell>
        </row>
      </sheetData>
      <sheetData sheetId="12561">
        <row r="4">
          <cell r="I4">
            <v>0</v>
          </cell>
        </row>
      </sheetData>
      <sheetData sheetId="12562">
        <row r="4">
          <cell r="I4">
            <v>0</v>
          </cell>
        </row>
      </sheetData>
      <sheetData sheetId="12563"/>
      <sheetData sheetId="12564"/>
      <sheetData sheetId="12565"/>
      <sheetData sheetId="12566"/>
      <sheetData sheetId="12567"/>
      <sheetData sheetId="12568"/>
      <sheetData sheetId="12569"/>
      <sheetData sheetId="12570"/>
      <sheetData sheetId="12571"/>
      <sheetData sheetId="12572"/>
      <sheetData sheetId="12573"/>
      <sheetData sheetId="12574"/>
      <sheetData sheetId="12575"/>
      <sheetData sheetId="12576"/>
      <sheetData sheetId="12577"/>
      <sheetData sheetId="12578"/>
      <sheetData sheetId="12579"/>
      <sheetData sheetId="12580"/>
      <sheetData sheetId="12581"/>
      <sheetData sheetId="12582"/>
      <sheetData sheetId="12583">
        <row r="4">
          <cell r="I4">
            <v>0</v>
          </cell>
        </row>
      </sheetData>
      <sheetData sheetId="12584">
        <row r="4">
          <cell r="I4">
            <v>0</v>
          </cell>
        </row>
      </sheetData>
      <sheetData sheetId="12585">
        <row r="4">
          <cell r="I4">
            <v>0</v>
          </cell>
        </row>
      </sheetData>
      <sheetData sheetId="12586">
        <row r="4">
          <cell r="I4">
            <v>0</v>
          </cell>
        </row>
      </sheetData>
      <sheetData sheetId="12587">
        <row r="4">
          <cell r="I4">
            <v>0</v>
          </cell>
        </row>
      </sheetData>
      <sheetData sheetId="12588"/>
      <sheetData sheetId="12589" refreshError="1"/>
      <sheetData sheetId="12590"/>
      <sheetData sheetId="12591"/>
      <sheetData sheetId="12592"/>
      <sheetData sheetId="12593"/>
      <sheetData sheetId="12594" refreshError="1"/>
      <sheetData sheetId="12595" refreshError="1"/>
      <sheetData sheetId="12596" refreshError="1"/>
      <sheetData sheetId="12597" refreshError="1"/>
      <sheetData sheetId="12598" refreshError="1"/>
      <sheetData sheetId="12599" refreshError="1"/>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sheetData sheetId="12614"/>
      <sheetData sheetId="12615"/>
      <sheetData sheetId="12616"/>
      <sheetData sheetId="12617"/>
      <sheetData sheetId="12618"/>
      <sheetData sheetId="12619"/>
      <sheetData sheetId="12620">
        <row r="4">
          <cell r="I4">
            <v>0</v>
          </cell>
        </row>
      </sheetData>
      <sheetData sheetId="12621"/>
      <sheetData sheetId="12622"/>
      <sheetData sheetId="12623"/>
      <sheetData sheetId="12624"/>
      <sheetData sheetId="12625"/>
      <sheetData sheetId="12626">
        <row r="4">
          <cell r="I4">
            <v>0</v>
          </cell>
        </row>
      </sheetData>
      <sheetData sheetId="12627">
        <row r="4">
          <cell r="I4">
            <v>0</v>
          </cell>
        </row>
      </sheetData>
      <sheetData sheetId="12628">
        <row r="4">
          <cell r="I4">
            <v>0</v>
          </cell>
        </row>
      </sheetData>
      <sheetData sheetId="12629">
        <row r="4">
          <cell r="I4">
            <v>0</v>
          </cell>
        </row>
      </sheetData>
      <sheetData sheetId="12630">
        <row r="4">
          <cell r="I4">
            <v>0</v>
          </cell>
        </row>
      </sheetData>
      <sheetData sheetId="12631">
        <row r="4">
          <cell r="I4">
            <v>0</v>
          </cell>
        </row>
      </sheetData>
      <sheetData sheetId="12632">
        <row r="4">
          <cell r="I4">
            <v>0</v>
          </cell>
        </row>
      </sheetData>
      <sheetData sheetId="12633">
        <row r="4">
          <cell r="I4">
            <v>0</v>
          </cell>
        </row>
      </sheetData>
      <sheetData sheetId="12634">
        <row r="4">
          <cell r="I4">
            <v>0</v>
          </cell>
        </row>
      </sheetData>
      <sheetData sheetId="12635">
        <row r="4">
          <cell r="I4">
            <v>0</v>
          </cell>
        </row>
      </sheetData>
      <sheetData sheetId="12636">
        <row r="4">
          <cell r="I4">
            <v>0</v>
          </cell>
        </row>
      </sheetData>
      <sheetData sheetId="12637">
        <row r="4">
          <cell r="I4">
            <v>0</v>
          </cell>
        </row>
      </sheetData>
      <sheetData sheetId="12638" refreshError="1"/>
      <sheetData sheetId="12639" refreshError="1"/>
      <sheetData sheetId="12640" refreshError="1"/>
      <sheetData sheetId="12641" refreshError="1"/>
      <sheetData sheetId="12642" refreshError="1"/>
      <sheetData sheetId="12643"/>
      <sheetData sheetId="12644"/>
      <sheetData sheetId="12645"/>
      <sheetData sheetId="12646"/>
      <sheetData sheetId="12647"/>
      <sheetData sheetId="12648"/>
      <sheetData sheetId="12649"/>
      <sheetData sheetId="12650"/>
      <sheetData sheetId="12651"/>
      <sheetData sheetId="12652"/>
      <sheetData sheetId="12653"/>
      <sheetData sheetId="12654"/>
      <sheetData sheetId="12655"/>
      <sheetData sheetId="12656">
        <row r="4">
          <cell r="I4">
            <v>0</v>
          </cell>
        </row>
      </sheetData>
      <sheetData sheetId="12657">
        <row r="4">
          <cell r="I4">
            <v>0</v>
          </cell>
        </row>
      </sheetData>
      <sheetData sheetId="12658" refreshError="1"/>
      <sheetData sheetId="12659" refreshError="1"/>
      <sheetData sheetId="12660" refreshError="1"/>
      <sheetData sheetId="12661"/>
      <sheetData sheetId="12662"/>
      <sheetData sheetId="12663"/>
      <sheetData sheetId="12664"/>
      <sheetData sheetId="12665"/>
      <sheetData sheetId="12666" refreshError="1"/>
      <sheetData sheetId="12667" refreshError="1"/>
      <sheetData sheetId="12668" refreshError="1"/>
      <sheetData sheetId="12669">
        <row r="4">
          <cell r="I4">
            <v>0</v>
          </cell>
        </row>
      </sheetData>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sheetData sheetId="12685"/>
      <sheetData sheetId="12686"/>
      <sheetData sheetId="12687"/>
      <sheetData sheetId="12688"/>
      <sheetData sheetId="12689"/>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sheetData sheetId="12708"/>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sheetData sheetId="12737"/>
      <sheetData sheetId="12738"/>
      <sheetData sheetId="12739" refreshError="1"/>
      <sheetData sheetId="12740" refreshError="1"/>
      <sheetData sheetId="12741"/>
      <sheetData sheetId="12742"/>
      <sheetData sheetId="12743"/>
      <sheetData sheetId="12744"/>
      <sheetData sheetId="12745"/>
      <sheetData sheetId="12746"/>
      <sheetData sheetId="12747"/>
      <sheetData sheetId="12748">
        <row r="4">
          <cell r="I4">
            <v>0</v>
          </cell>
        </row>
      </sheetData>
      <sheetData sheetId="12749"/>
      <sheetData sheetId="12750"/>
      <sheetData sheetId="12751"/>
      <sheetData sheetId="12752">
        <row r="4">
          <cell r="I4">
            <v>0</v>
          </cell>
        </row>
      </sheetData>
      <sheetData sheetId="12753">
        <row r="4">
          <cell r="I4">
            <v>0</v>
          </cell>
        </row>
      </sheetData>
      <sheetData sheetId="12754">
        <row r="4">
          <cell r="I4">
            <v>0</v>
          </cell>
        </row>
      </sheetData>
      <sheetData sheetId="12755"/>
      <sheetData sheetId="12756" refreshError="1"/>
      <sheetData sheetId="12757" refreshError="1"/>
      <sheetData sheetId="12758"/>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sheetData sheetId="12772"/>
      <sheetData sheetId="12773"/>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sheetData sheetId="12784" refreshError="1"/>
      <sheetData sheetId="12785" refreshError="1"/>
      <sheetData sheetId="12786" refreshError="1"/>
      <sheetData sheetId="12787" refreshError="1"/>
      <sheetData sheetId="12788" refreshError="1"/>
      <sheetData sheetId="12789" refreshError="1"/>
      <sheetData sheetId="12790"/>
      <sheetData sheetId="12791"/>
      <sheetData sheetId="12792"/>
      <sheetData sheetId="12793"/>
      <sheetData sheetId="12794"/>
      <sheetData sheetId="12795"/>
      <sheetData sheetId="12796"/>
      <sheetData sheetId="12797"/>
      <sheetData sheetId="12798"/>
      <sheetData sheetId="12799" refreshError="1"/>
      <sheetData sheetId="12800"/>
      <sheetData sheetId="12801"/>
      <sheetData sheetId="12802"/>
      <sheetData sheetId="12803"/>
      <sheetData sheetId="12804" refreshError="1"/>
      <sheetData sheetId="12805" refreshError="1"/>
      <sheetData sheetId="12806"/>
      <sheetData sheetId="12807">
        <row r="4">
          <cell r="I4">
            <v>0</v>
          </cell>
        </row>
      </sheetData>
      <sheetData sheetId="12808">
        <row r="4">
          <cell r="I4">
            <v>0</v>
          </cell>
        </row>
      </sheetData>
      <sheetData sheetId="12809">
        <row r="4">
          <cell r="I4">
            <v>0</v>
          </cell>
        </row>
      </sheetData>
      <sheetData sheetId="12810">
        <row r="4">
          <cell r="I4">
            <v>0</v>
          </cell>
        </row>
      </sheetData>
      <sheetData sheetId="12811">
        <row r="4">
          <cell r="I4">
            <v>0</v>
          </cell>
        </row>
      </sheetData>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sheetData sheetId="12863"/>
      <sheetData sheetId="12864" refreshError="1"/>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refreshError="1"/>
      <sheetData sheetId="12902"/>
      <sheetData sheetId="12903"/>
      <sheetData sheetId="12904"/>
      <sheetData sheetId="12905" refreshError="1"/>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sheetData sheetId="12929"/>
      <sheetData sheetId="12930"/>
      <sheetData sheetId="12931">
        <row r="4">
          <cell r="I4">
            <v>0</v>
          </cell>
        </row>
      </sheetData>
      <sheetData sheetId="12932"/>
      <sheetData sheetId="12933"/>
      <sheetData sheetId="12934">
        <row r="4">
          <cell r="I4">
            <v>0</v>
          </cell>
        </row>
      </sheetData>
      <sheetData sheetId="12935">
        <row r="4">
          <cell r="I4">
            <v>0</v>
          </cell>
        </row>
      </sheetData>
      <sheetData sheetId="12936">
        <row r="4">
          <cell r="I4">
            <v>0</v>
          </cell>
        </row>
      </sheetData>
      <sheetData sheetId="12937">
        <row r="4">
          <cell r="I4">
            <v>0</v>
          </cell>
        </row>
      </sheetData>
      <sheetData sheetId="12938">
        <row r="4">
          <cell r="I4">
            <v>0</v>
          </cell>
        </row>
      </sheetData>
      <sheetData sheetId="12939">
        <row r="4">
          <cell r="I4">
            <v>0</v>
          </cell>
        </row>
      </sheetData>
      <sheetData sheetId="12940">
        <row r="4">
          <cell r="I4">
            <v>0</v>
          </cell>
        </row>
      </sheetData>
      <sheetData sheetId="12941">
        <row r="4">
          <cell r="I4">
            <v>0</v>
          </cell>
        </row>
      </sheetData>
      <sheetData sheetId="12942">
        <row r="4">
          <cell r="I4">
            <v>0</v>
          </cell>
        </row>
      </sheetData>
      <sheetData sheetId="12943"/>
      <sheetData sheetId="12944"/>
      <sheetData sheetId="12945"/>
      <sheetData sheetId="12946"/>
      <sheetData sheetId="12947"/>
      <sheetData sheetId="12948"/>
      <sheetData sheetId="12949"/>
      <sheetData sheetId="12950"/>
      <sheetData sheetId="12951"/>
      <sheetData sheetId="12952"/>
      <sheetData sheetId="12953">
        <row r="4">
          <cell r="I4">
            <v>0</v>
          </cell>
        </row>
      </sheetData>
      <sheetData sheetId="12954">
        <row r="4">
          <cell r="I4">
            <v>0</v>
          </cell>
        </row>
      </sheetData>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sheetData sheetId="13016" refreshError="1"/>
      <sheetData sheetId="13017" refreshError="1"/>
      <sheetData sheetId="13018" refreshError="1"/>
      <sheetData sheetId="13019" refreshError="1"/>
      <sheetData sheetId="13020" refreshError="1"/>
      <sheetData sheetId="13021"/>
      <sheetData sheetId="13022"/>
      <sheetData sheetId="13023"/>
      <sheetData sheetId="13024"/>
      <sheetData sheetId="13025"/>
      <sheetData sheetId="13026"/>
      <sheetData sheetId="13027"/>
      <sheetData sheetId="13028"/>
      <sheetData sheetId="13029"/>
      <sheetData sheetId="13030"/>
      <sheetData sheetId="13031"/>
      <sheetData sheetId="13032"/>
      <sheetData sheetId="13033"/>
      <sheetData sheetId="13034"/>
      <sheetData sheetId="13035"/>
      <sheetData sheetId="13036"/>
      <sheetData sheetId="13037"/>
      <sheetData sheetId="13038"/>
      <sheetData sheetId="13039"/>
      <sheetData sheetId="13040"/>
      <sheetData sheetId="13041"/>
      <sheetData sheetId="13042"/>
      <sheetData sheetId="13043"/>
      <sheetData sheetId="13044"/>
      <sheetData sheetId="13045"/>
      <sheetData sheetId="13046"/>
      <sheetData sheetId="13047"/>
      <sheetData sheetId="13048"/>
      <sheetData sheetId="13049"/>
      <sheetData sheetId="13050"/>
      <sheetData sheetId="13051"/>
      <sheetData sheetId="13052"/>
      <sheetData sheetId="13053"/>
      <sheetData sheetId="13054"/>
      <sheetData sheetId="13055"/>
      <sheetData sheetId="13056"/>
      <sheetData sheetId="13057"/>
      <sheetData sheetId="13058"/>
      <sheetData sheetId="13059"/>
      <sheetData sheetId="13060"/>
      <sheetData sheetId="13061"/>
      <sheetData sheetId="13062"/>
      <sheetData sheetId="13063"/>
      <sheetData sheetId="13064"/>
      <sheetData sheetId="13065"/>
      <sheetData sheetId="13066"/>
      <sheetData sheetId="13067"/>
      <sheetData sheetId="13068"/>
      <sheetData sheetId="13069"/>
      <sheetData sheetId="13070"/>
      <sheetData sheetId="13071"/>
      <sheetData sheetId="13072"/>
      <sheetData sheetId="13073"/>
      <sheetData sheetId="13074"/>
      <sheetData sheetId="13075"/>
      <sheetData sheetId="13076"/>
      <sheetData sheetId="13077"/>
      <sheetData sheetId="13078"/>
      <sheetData sheetId="13079"/>
      <sheetData sheetId="13080"/>
      <sheetData sheetId="13081"/>
      <sheetData sheetId="13082"/>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ow r="4">
          <cell r="I4">
            <v>0</v>
          </cell>
        </row>
      </sheetData>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ow r="4">
          <cell r="I4">
            <v>0</v>
          </cell>
        </row>
      </sheetData>
      <sheetData sheetId="13921"/>
      <sheetData sheetId="13922"/>
      <sheetData sheetId="13923"/>
      <sheetData sheetId="13924" refreshError="1"/>
      <sheetData sheetId="13925" refreshError="1"/>
      <sheetData sheetId="13926" refreshError="1"/>
      <sheetData sheetId="13927"/>
      <sheetData sheetId="13928"/>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sheetData sheetId="13947" refreshError="1"/>
      <sheetData sheetId="13948"/>
      <sheetData sheetId="13949" refreshError="1"/>
      <sheetData sheetId="13950" refreshError="1"/>
      <sheetData sheetId="13951"/>
      <sheetData sheetId="13952"/>
      <sheetData sheetId="13953"/>
      <sheetData sheetId="13954"/>
      <sheetData sheetId="13955" refreshError="1"/>
      <sheetData sheetId="13956"/>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row r="4">
          <cell r="I4">
            <v>0</v>
          </cell>
        </row>
      </sheetData>
      <sheetData sheetId="14003">
        <row r="4">
          <cell r="I4">
            <v>0</v>
          </cell>
        </row>
      </sheetData>
      <sheetData sheetId="14004">
        <row r="4">
          <cell r="I4">
            <v>0</v>
          </cell>
        </row>
      </sheetData>
      <sheetData sheetId="14005">
        <row r="4">
          <cell r="I4">
            <v>0</v>
          </cell>
        </row>
      </sheetData>
      <sheetData sheetId="14006">
        <row r="4">
          <cell r="I4">
            <v>0</v>
          </cell>
        </row>
      </sheetData>
      <sheetData sheetId="14007">
        <row r="4">
          <cell r="I4">
            <v>0</v>
          </cell>
        </row>
      </sheetData>
      <sheetData sheetId="14008">
        <row r="4">
          <cell r="I4">
            <v>0</v>
          </cell>
        </row>
      </sheetData>
      <sheetData sheetId="14009" refreshError="1"/>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refreshError="1"/>
      <sheetData sheetId="14025" refreshError="1"/>
      <sheetData sheetId="14026" refreshError="1"/>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refreshError="1"/>
      <sheetData sheetId="14043" refreshError="1"/>
      <sheetData sheetId="14044"/>
      <sheetData sheetId="14045"/>
      <sheetData sheetId="14046"/>
      <sheetData sheetId="14047"/>
      <sheetData sheetId="14048"/>
      <sheetData sheetId="14049"/>
      <sheetData sheetId="14050"/>
      <sheetData sheetId="14051"/>
      <sheetData sheetId="14052"/>
      <sheetData sheetId="14053"/>
      <sheetData sheetId="14054"/>
      <sheetData sheetId="14055" refreshError="1"/>
      <sheetData sheetId="14056" refreshError="1"/>
      <sheetData sheetId="14057" refreshError="1"/>
      <sheetData sheetId="14058"/>
      <sheetData sheetId="14059"/>
      <sheetData sheetId="14060" refreshError="1"/>
      <sheetData sheetId="14061" refreshError="1"/>
      <sheetData sheetId="14062" refreshError="1"/>
      <sheetData sheetId="14063" refreshError="1"/>
      <sheetData sheetId="14064" refreshError="1"/>
      <sheetData sheetId="14065" refreshError="1"/>
      <sheetData sheetId="14066" refreshError="1"/>
      <sheetData sheetId="14067" refreshError="1"/>
      <sheetData sheetId="14068" refreshError="1"/>
      <sheetData sheetId="14069" refreshError="1"/>
      <sheetData sheetId="14070" refreshError="1"/>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refreshError="1"/>
      <sheetData sheetId="14086">
        <row r="4">
          <cell r="I4">
            <v>0</v>
          </cell>
        </row>
      </sheetData>
      <sheetData sheetId="14087">
        <row r="4">
          <cell r="I4">
            <v>0</v>
          </cell>
        </row>
      </sheetData>
      <sheetData sheetId="14088">
        <row r="4">
          <cell r="I4">
            <v>0</v>
          </cell>
        </row>
      </sheetData>
      <sheetData sheetId="14089">
        <row r="4">
          <cell r="I4">
            <v>0</v>
          </cell>
        </row>
      </sheetData>
      <sheetData sheetId="14090">
        <row r="4">
          <cell r="I4">
            <v>0</v>
          </cell>
        </row>
      </sheetData>
      <sheetData sheetId="14091">
        <row r="4">
          <cell r="I4">
            <v>0</v>
          </cell>
        </row>
      </sheetData>
      <sheetData sheetId="14092">
        <row r="4">
          <cell r="I4">
            <v>0</v>
          </cell>
        </row>
      </sheetData>
      <sheetData sheetId="14093">
        <row r="4">
          <cell r="I4">
            <v>0</v>
          </cell>
        </row>
      </sheetData>
      <sheetData sheetId="14094">
        <row r="4">
          <cell r="I4">
            <v>0</v>
          </cell>
        </row>
      </sheetData>
      <sheetData sheetId="14095">
        <row r="4">
          <cell r="I4">
            <v>0</v>
          </cell>
        </row>
      </sheetData>
      <sheetData sheetId="14096">
        <row r="4">
          <cell r="I4">
            <v>0</v>
          </cell>
        </row>
      </sheetData>
      <sheetData sheetId="14097">
        <row r="4">
          <cell r="I4">
            <v>0</v>
          </cell>
        </row>
      </sheetData>
      <sheetData sheetId="14098">
        <row r="4">
          <cell r="I4">
            <v>0</v>
          </cell>
        </row>
      </sheetData>
      <sheetData sheetId="14099">
        <row r="4">
          <cell r="I4">
            <v>0</v>
          </cell>
        </row>
      </sheetData>
      <sheetData sheetId="14100">
        <row r="4">
          <cell r="I4">
            <v>0</v>
          </cell>
        </row>
      </sheetData>
      <sheetData sheetId="14101">
        <row r="4">
          <cell r="I4">
            <v>0</v>
          </cell>
        </row>
      </sheetData>
      <sheetData sheetId="14102">
        <row r="4">
          <cell r="I4">
            <v>0</v>
          </cell>
        </row>
      </sheetData>
      <sheetData sheetId="14103">
        <row r="4">
          <cell r="I4">
            <v>0</v>
          </cell>
        </row>
      </sheetData>
      <sheetData sheetId="14104">
        <row r="4">
          <cell r="I4">
            <v>0</v>
          </cell>
        </row>
      </sheetData>
      <sheetData sheetId="14105">
        <row r="4">
          <cell r="I4">
            <v>0</v>
          </cell>
        </row>
      </sheetData>
      <sheetData sheetId="14106"/>
      <sheetData sheetId="14107"/>
      <sheetData sheetId="14108"/>
      <sheetData sheetId="14109" refreshError="1"/>
      <sheetData sheetId="14110" refreshError="1"/>
      <sheetData sheetId="14111" refreshError="1"/>
      <sheetData sheetId="14112" refreshError="1"/>
      <sheetData sheetId="14113" refreshError="1"/>
      <sheetData sheetId="14114"/>
      <sheetData sheetId="14115"/>
      <sheetData sheetId="14116"/>
      <sheetData sheetId="14117"/>
      <sheetData sheetId="14118" refreshError="1"/>
      <sheetData sheetId="14119" refreshError="1"/>
      <sheetData sheetId="14120" refreshError="1"/>
      <sheetData sheetId="1412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efreshError="1"/>
      <sheetData sheetId="14130" refreshError="1"/>
      <sheetData sheetId="14131" refreshError="1"/>
      <sheetData sheetId="14132" refreshError="1"/>
      <sheetData sheetId="14133" refreshError="1"/>
      <sheetData sheetId="14134" refreshError="1"/>
      <sheetData sheetId="14135" refreshError="1"/>
      <sheetData sheetId="14136" refreshError="1"/>
      <sheetData sheetId="14137" refreshError="1"/>
      <sheetData sheetId="14138" refreshError="1"/>
      <sheetData sheetId="14139" refreshError="1"/>
      <sheetData sheetId="14140" refreshError="1"/>
      <sheetData sheetId="14141" refreshError="1"/>
      <sheetData sheetId="14142" refreshError="1"/>
      <sheetData sheetId="14143" refreshError="1"/>
      <sheetData sheetId="14144" refreshError="1"/>
      <sheetData sheetId="14145" refreshError="1"/>
      <sheetData sheetId="14146" refreshError="1"/>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efreshError="1"/>
      <sheetData sheetId="14161" refreshError="1"/>
      <sheetData sheetId="14162" refreshError="1"/>
      <sheetData sheetId="14163" refreshError="1"/>
      <sheetData sheetId="14164" refreshError="1"/>
      <sheetData sheetId="14165" refreshError="1"/>
      <sheetData sheetId="14166" refreshError="1"/>
      <sheetData sheetId="14167" refreshError="1"/>
      <sheetData sheetId="14168" refreshError="1"/>
      <sheetData sheetId="14169" refreshError="1"/>
      <sheetData sheetId="14170" refreshError="1"/>
      <sheetData sheetId="14171" refreshError="1"/>
      <sheetData sheetId="14172" refreshError="1"/>
      <sheetData sheetId="14173" refreshError="1"/>
      <sheetData sheetId="14174" refreshError="1"/>
      <sheetData sheetId="14175" refreshError="1"/>
      <sheetData sheetId="14176" refreshError="1"/>
      <sheetData sheetId="14177" refreshError="1"/>
      <sheetData sheetId="14178" refreshError="1"/>
      <sheetData sheetId="14179" refreshError="1"/>
      <sheetData sheetId="14180" refreshError="1"/>
      <sheetData sheetId="14181" refreshError="1"/>
      <sheetData sheetId="14182" refreshError="1"/>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efreshError="1"/>
      <sheetData sheetId="14192" refreshError="1"/>
      <sheetData sheetId="14193" refreshError="1"/>
      <sheetData sheetId="14194" refreshError="1"/>
      <sheetData sheetId="14195" refreshError="1"/>
      <sheetData sheetId="14196" refreshError="1"/>
      <sheetData sheetId="14197" refreshError="1"/>
      <sheetData sheetId="14198" refreshError="1"/>
      <sheetData sheetId="14199" refreshError="1"/>
      <sheetData sheetId="14200" refreshError="1"/>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refreshError="1"/>
      <sheetData sheetId="14210" refreshError="1"/>
      <sheetData sheetId="14211" refreshError="1"/>
      <sheetData sheetId="14212" refreshError="1"/>
      <sheetData sheetId="14213" refreshError="1"/>
      <sheetData sheetId="14214" refreshError="1"/>
      <sheetData sheetId="14215" refreshError="1"/>
      <sheetData sheetId="14216" refreshError="1"/>
      <sheetData sheetId="14217" refreshError="1"/>
      <sheetData sheetId="14218" refreshError="1"/>
      <sheetData sheetId="14219" refreshError="1"/>
      <sheetData sheetId="14220" refreshError="1"/>
      <sheetData sheetId="14221" refreshError="1"/>
      <sheetData sheetId="14222" refreshError="1"/>
      <sheetData sheetId="14223" refreshError="1"/>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refreshError="1"/>
      <sheetData sheetId="14233" refreshError="1"/>
      <sheetData sheetId="14234" refreshError="1"/>
      <sheetData sheetId="14235" refreshError="1"/>
      <sheetData sheetId="14236" refreshError="1"/>
      <sheetData sheetId="14237" refreshError="1"/>
      <sheetData sheetId="14238" refreshError="1"/>
      <sheetData sheetId="14239" refreshError="1"/>
      <sheetData sheetId="14240" refreshError="1"/>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refreshError="1"/>
      <sheetData sheetId="14251" refreshError="1"/>
      <sheetData sheetId="14252" refreshError="1"/>
      <sheetData sheetId="14253" refreshError="1"/>
      <sheetData sheetId="14254" refreshError="1"/>
      <sheetData sheetId="14255" refreshError="1"/>
      <sheetData sheetId="14256" refreshError="1"/>
      <sheetData sheetId="14257" refreshError="1"/>
      <sheetData sheetId="14258" refreshError="1"/>
      <sheetData sheetId="14259" refreshError="1"/>
      <sheetData sheetId="14260" refreshError="1"/>
      <sheetData sheetId="14261" refreshError="1"/>
      <sheetData sheetId="14262" refreshError="1"/>
      <sheetData sheetId="14263" refreshError="1"/>
      <sheetData sheetId="14264" refreshError="1"/>
      <sheetData sheetId="14265" refreshError="1"/>
      <sheetData sheetId="14266" refreshError="1"/>
      <sheetData sheetId="14267" refreshError="1"/>
      <sheetData sheetId="14268" refreshError="1"/>
      <sheetData sheetId="14269" refreshError="1"/>
      <sheetData sheetId="14270" refreshError="1"/>
      <sheetData sheetId="14271" refreshError="1"/>
      <sheetData sheetId="14272" refreshError="1"/>
      <sheetData sheetId="14273" refreshError="1"/>
      <sheetData sheetId="14274" refreshError="1"/>
      <sheetData sheetId="14275" refreshError="1"/>
      <sheetData sheetId="14276" refreshError="1"/>
      <sheetData sheetId="14277" refreshError="1"/>
      <sheetData sheetId="14278" refreshError="1"/>
      <sheetData sheetId="14279" refreshError="1"/>
      <sheetData sheetId="14280" refreshError="1"/>
      <sheetData sheetId="14281" refreshError="1"/>
      <sheetData sheetId="14282" refreshError="1"/>
      <sheetData sheetId="14283" refreshError="1"/>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sheetData sheetId="14455"/>
      <sheetData sheetId="14456"/>
      <sheetData sheetId="14457"/>
      <sheetData sheetId="14458"/>
      <sheetData sheetId="14459"/>
      <sheetData sheetId="14460"/>
      <sheetData sheetId="14461"/>
      <sheetData sheetId="14462"/>
      <sheetData sheetId="14463"/>
      <sheetData sheetId="14464"/>
      <sheetData sheetId="14465">
        <row r="4">
          <cell r="I4">
            <v>0</v>
          </cell>
        </row>
      </sheetData>
      <sheetData sheetId="14466"/>
      <sheetData sheetId="14467"/>
      <sheetData sheetId="14468"/>
      <sheetData sheetId="14469">
        <row r="4">
          <cell r="I4">
            <v>0</v>
          </cell>
        </row>
      </sheetData>
      <sheetData sheetId="14470">
        <row r="4">
          <cell r="I4">
            <v>0</v>
          </cell>
        </row>
      </sheetData>
      <sheetData sheetId="14471">
        <row r="4">
          <cell r="I4">
            <v>0</v>
          </cell>
        </row>
      </sheetData>
      <sheetData sheetId="14472">
        <row r="4">
          <cell r="I4">
            <v>0</v>
          </cell>
        </row>
      </sheetData>
      <sheetData sheetId="14473">
        <row r="4">
          <cell r="I4">
            <v>0</v>
          </cell>
        </row>
      </sheetData>
      <sheetData sheetId="14474">
        <row r="4">
          <cell r="I4">
            <v>0</v>
          </cell>
        </row>
      </sheetData>
      <sheetData sheetId="14475">
        <row r="4">
          <cell r="I4">
            <v>0</v>
          </cell>
        </row>
      </sheetData>
      <sheetData sheetId="14476">
        <row r="4">
          <cell r="I4">
            <v>0</v>
          </cell>
        </row>
      </sheetData>
      <sheetData sheetId="14477">
        <row r="4">
          <cell r="I4">
            <v>0</v>
          </cell>
        </row>
      </sheetData>
      <sheetData sheetId="14478"/>
      <sheetData sheetId="14479">
        <row r="4">
          <cell r="I4">
            <v>0</v>
          </cell>
        </row>
      </sheetData>
      <sheetData sheetId="14480"/>
      <sheetData sheetId="14481"/>
      <sheetData sheetId="14482"/>
      <sheetData sheetId="14483"/>
      <sheetData sheetId="14484"/>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sheetData sheetId="14501"/>
      <sheetData sheetId="14502"/>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sheetData sheetId="14532"/>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sheetData sheetId="14586"/>
      <sheetData sheetId="14587"/>
      <sheetData sheetId="14588"/>
      <sheetData sheetId="14589"/>
      <sheetData sheetId="14590" refreshError="1"/>
      <sheetData sheetId="14591" refreshError="1"/>
      <sheetData sheetId="14592" refreshError="1"/>
      <sheetData sheetId="14593"/>
      <sheetData sheetId="14594"/>
      <sheetData sheetId="14595"/>
      <sheetData sheetId="14596"/>
      <sheetData sheetId="14597"/>
      <sheetData sheetId="14598"/>
      <sheetData sheetId="14599"/>
      <sheetData sheetId="14600"/>
      <sheetData sheetId="14601"/>
      <sheetData sheetId="14602"/>
      <sheetData sheetId="14603"/>
      <sheetData sheetId="14604" refreshError="1"/>
      <sheetData sheetId="14605" refreshError="1"/>
      <sheetData sheetId="14606" refreshError="1"/>
      <sheetData sheetId="14607"/>
      <sheetData sheetId="14608"/>
      <sheetData sheetId="14609"/>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sheetData sheetId="14641"/>
      <sheetData sheetId="14642" refreshError="1"/>
      <sheetData sheetId="14643">
        <row r="4">
          <cell r="I4">
            <v>0</v>
          </cell>
        </row>
      </sheetData>
      <sheetData sheetId="14644" refreshError="1"/>
      <sheetData sheetId="14645"/>
      <sheetData sheetId="14646"/>
      <sheetData sheetId="14647"/>
      <sheetData sheetId="14648"/>
      <sheetData sheetId="14649" refreshError="1"/>
      <sheetData sheetId="14650"/>
      <sheetData sheetId="14651" refreshError="1"/>
      <sheetData sheetId="14652" refreshError="1"/>
      <sheetData sheetId="14653" refreshError="1"/>
      <sheetData sheetId="14654" refreshError="1"/>
      <sheetData sheetId="14655"/>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sheetData sheetId="14669"/>
      <sheetData sheetId="14670"/>
      <sheetData sheetId="1467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sheetData sheetId="14763">
        <row r="4">
          <cell r="I4">
            <v>0</v>
          </cell>
        </row>
      </sheetData>
      <sheetData sheetId="14764"/>
      <sheetData sheetId="14765"/>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sheetData sheetId="14782"/>
      <sheetData sheetId="14783"/>
      <sheetData sheetId="14784"/>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sheetData sheetId="14808"/>
      <sheetData sheetId="14809" refreshError="1"/>
      <sheetData sheetId="14810" refreshError="1"/>
      <sheetData sheetId="14811" refreshError="1"/>
      <sheetData sheetId="14812" refreshError="1"/>
      <sheetData sheetId="14813" refreshError="1"/>
      <sheetData sheetId="14814" refreshError="1"/>
      <sheetData sheetId="14815" refreshError="1"/>
      <sheetData sheetId="14816" refreshError="1"/>
      <sheetData sheetId="14817" refreshError="1"/>
      <sheetData sheetId="14818" refreshError="1"/>
      <sheetData sheetId="14819" refreshError="1"/>
      <sheetData sheetId="14820" refreshError="1"/>
      <sheetData sheetId="14821" refreshError="1"/>
      <sheetData sheetId="14822" refreshError="1"/>
      <sheetData sheetId="14823" refreshError="1"/>
      <sheetData sheetId="14824" refreshError="1"/>
      <sheetData sheetId="14825" refreshError="1"/>
      <sheetData sheetId="14826" refreshError="1"/>
      <sheetData sheetId="14827" refreshError="1"/>
      <sheetData sheetId="14828" refreshError="1"/>
      <sheetData sheetId="14829" refreshError="1"/>
      <sheetData sheetId="14830" refreshError="1"/>
      <sheetData sheetId="14831" refreshError="1"/>
      <sheetData sheetId="14832" refreshError="1"/>
      <sheetData sheetId="14833" refreshError="1"/>
      <sheetData sheetId="14834" refreshError="1"/>
      <sheetData sheetId="14835" refreshError="1"/>
      <sheetData sheetId="14836" refreshError="1"/>
      <sheetData sheetId="14837" refreshError="1"/>
      <sheetData sheetId="14838">
        <row r="4">
          <cell r="I4">
            <v>0</v>
          </cell>
        </row>
      </sheetData>
      <sheetData sheetId="14839" refreshError="1"/>
      <sheetData sheetId="14840" refreshError="1"/>
      <sheetData sheetId="14841" refreshError="1"/>
      <sheetData sheetId="14842" refreshError="1"/>
      <sheetData sheetId="14843" refreshError="1"/>
      <sheetData sheetId="14844" refreshError="1"/>
      <sheetData sheetId="14845" refreshError="1"/>
      <sheetData sheetId="14846" refreshError="1"/>
      <sheetData sheetId="14847">
        <row r="4">
          <cell r="I4">
            <v>0</v>
          </cell>
        </row>
      </sheetData>
      <sheetData sheetId="14848">
        <row r="4">
          <cell r="I4">
            <v>0</v>
          </cell>
        </row>
      </sheetData>
      <sheetData sheetId="14849" refreshError="1"/>
      <sheetData sheetId="14850">
        <row r="4">
          <cell r="I4">
            <v>0</v>
          </cell>
        </row>
      </sheetData>
      <sheetData sheetId="14851">
        <row r="4">
          <cell r="I4">
            <v>0</v>
          </cell>
        </row>
      </sheetData>
      <sheetData sheetId="14852" refreshError="1"/>
      <sheetData sheetId="14853" refreshError="1"/>
      <sheetData sheetId="14854" refreshError="1"/>
      <sheetData sheetId="14855" refreshError="1"/>
      <sheetData sheetId="14856">
        <row r="4">
          <cell r="I4">
            <v>0</v>
          </cell>
        </row>
      </sheetData>
      <sheetData sheetId="14857" refreshError="1"/>
      <sheetData sheetId="14858" refreshError="1"/>
      <sheetData sheetId="14859" refreshError="1"/>
      <sheetData sheetId="14860" refreshError="1"/>
      <sheetData sheetId="14861" refreshError="1"/>
      <sheetData sheetId="14862" refreshError="1"/>
      <sheetData sheetId="14863" refreshError="1"/>
      <sheetData sheetId="14864" refreshError="1"/>
      <sheetData sheetId="14865" refreshError="1"/>
      <sheetData sheetId="14866" refreshError="1"/>
      <sheetData sheetId="14867" refreshError="1"/>
      <sheetData sheetId="14868" refreshError="1"/>
      <sheetData sheetId="14869" refreshError="1"/>
      <sheetData sheetId="14870">
        <row r="4">
          <cell r="I4">
            <v>0</v>
          </cell>
        </row>
      </sheetData>
      <sheetData sheetId="14871">
        <row r="4">
          <cell r="I4">
            <v>0</v>
          </cell>
        </row>
      </sheetData>
      <sheetData sheetId="14872">
        <row r="4">
          <cell r="I4">
            <v>0</v>
          </cell>
        </row>
      </sheetData>
      <sheetData sheetId="14873">
        <row r="4">
          <cell r="I4">
            <v>0</v>
          </cell>
        </row>
      </sheetData>
      <sheetData sheetId="14874" refreshError="1"/>
      <sheetData sheetId="14875">
        <row r="4">
          <cell r="I4">
            <v>0</v>
          </cell>
        </row>
      </sheetData>
      <sheetData sheetId="14876">
        <row r="4">
          <cell r="I4">
            <v>0</v>
          </cell>
        </row>
      </sheetData>
      <sheetData sheetId="14877" refreshError="1"/>
      <sheetData sheetId="14878">
        <row r="4">
          <cell r="I4">
            <v>0</v>
          </cell>
        </row>
      </sheetData>
      <sheetData sheetId="14879">
        <row r="4">
          <cell r="I4">
            <v>0</v>
          </cell>
        </row>
      </sheetData>
      <sheetData sheetId="14880" refreshError="1"/>
      <sheetData sheetId="14881" refreshError="1"/>
      <sheetData sheetId="14882" refreshError="1"/>
      <sheetData sheetId="14883" refreshError="1"/>
      <sheetData sheetId="14884" refreshError="1"/>
      <sheetData sheetId="14885" refreshError="1"/>
      <sheetData sheetId="14886" refreshError="1"/>
      <sheetData sheetId="14887"/>
      <sheetData sheetId="14888"/>
      <sheetData sheetId="14889" refreshError="1"/>
      <sheetData sheetId="14890" refreshError="1"/>
      <sheetData sheetId="14891" refreshError="1"/>
      <sheetData sheetId="14892" refreshError="1"/>
      <sheetData sheetId="14893" refreshError="1"/>
      <sheetData sheetId="14894" refreshError="1"/>
      <sheetData sheetId="14895" refreshError="1"/>
      <sheetData sheetId="14896" refreshError="1"/>
      <sheetData sheetId="14897" refreshError="1"/>
      <sheetData sheetId="14898"/>
      <sheetData sheetId="14899"/>
      <sheetData sheetId="14900"/>
      <sheetData sheetId="14901"/>
      <sheetData sheetId="14902"/>
      <sheetData sheetId="1490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d02"/>
      <sheetName val="HDS"/>
      <sheetName val="#REF"/>
      <sheetName val="index"/>
      <sheetName val="Switchboard"/>
      <sheetName val="CAB.XLS"/>
      <sheetName val="SCADO"/>
      <sheetName val="Sheet1"/>
      <sheetName val="Sheet2"/>
      <sheetName val="Sheet3"/>
      <sheetName val="MCC's"/>
      <sheetName val="Unit List"/>
      <sheetName val="Cable Type"/>
      <sheetName val="cnsinf"/>
      <sheetName val="MCC-21-1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2"/>
      <sheetName val="bal6"/>
      <sheetName val="bal11"/>
      <sheetName val="bal12"/>
      <sheetName val="ID"/>
      <sheetName val="check"/>
      <sheetName val="DESIGN"/>
      <sheetName val="WINDOW"/>
      <sheetName val="wileas"/>
      <sheetName val="suleas"/>
      <sheetName val="bal1"/>
      <sheetName val="Sheet1"/>
      <sheetName val="bal5"/>
      <sheetName val="L"/>
      <sheetName val="SV"/>
      <sheetName val="VUOTO"/>
      <sheetName val="SILICATE"/>
      <sheetName val="反応速度式検討"/>
      <sheetName val="BBSS(B-70）"/>
      <sheetName val="10241PIP1ON-SITE"/>
      <sheetName val="10241EQLIST"/>
      <sheetName val="FAB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HIEVED-REPORT"/>
      <sheetName val="PROCPLAN-TOTAL"/>
      <sheetName val="Delivery Follow  Up Plan"/>
      <sheetName val="Critical Item List"/>
      <sheetName val="Resp "/>
      <sheetName val="Delivery_Follow__Up_Plan"/>
      <sheetName val="Critical_Item_List"/>
      <sheetName val="Resp_"/>
      <sheetName val="Delivery_Follow__Up_Plan1"/>
      <sheetName val="Critical_Item_List1"/>
      <sheetName val="Resp_1"/>
      <sheetName val="OF-PD38 Summary"/>
      <sheetName val="Diffuser"/>
      <sheetName val="BEU btm nozz @ tsht"/>
      <sheetName val="Backup"/>
      <sheetName val="FIRE"/>
      <sheetName val="Summary"/>
      <sheetName val="401_1"/>
      <sheetName val="401_2"/>
      <sheetName val="401_3"/>
      <sheetName val="401_4"/>
      <sheetName val="401_5"/>
      <sheetName val="401_7"/>
      <sheetName val="Cover Sheet"/>
      <sheetName val="Notes"/>
      <sheetName val="Page 1 of 5"/>
      <sheetName val="BQMPALOC"/>
      <sheetName val="ProSteam Config"/>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P. 2"/>
      <sheetName val="P. 3"/>
      <sheetName val="P. 4"/>
      <sheetName val="P. 5"/>
      <sheetName val="P. 6"/>
      <sheetName val="P. 7"/>
      <sheetName val="P. 8"/>
      <sheetName val="P. 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A4"/>
      <sheetName val="bal11"/>
      <sheetName val="bal12"/>
      <sheetName val="bal6"/>
      <sheetName val="SV"/>
      <sheetName val="contactor"/>
      <sheetName val="Pipe Calc"/>
      <sheetName val="B-1100C触媒量"/>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V"/>
      <sheetName val="2.0-A4"/>
      <sheetName val="bal11"/>
      <sheetName val="bal12"/>
      <sheetName val="bal6"/>
      <sheetName val="PLANT"/>
      <sheetName val="INSTRUMENT"/>
      <sheetName val="SpecITEM"/>
      <sheetName val="LINE_Sc"/>
      <sheetName val="MOTOR"/>
      <sheetName val="SILICATE"/>
      <sheetName val="Equipment List"/>
      <sheetName val="OPE_MAN"/>
      <sheetName val="04暖通"/>
      <sheetName val="反応速度式検討"/>
      <sheetName val="COA Sumry - Std Imp"/>
      <sheetName val="COA Sumry by Area"/>
      <sheetName val="COA Sumry by RG"/>
      <sheetName val="Contr TDC - Std Imp"/>
      <sheetName val="Item Sumry - Std Imp"/>
      <sheetName val="List - Equipment"/>
      <sheetName val="Proj TIC - Std Imp"/>
      <sheetName val="Project Metrics"/>
      <sheetName val="TDC COA Grp Sumry"/>
      <sheetName val="TDC COA Sumry"/>
      <sheetName val="TDC Item Dets"/>
      <sheetName val="TDC Item Dets-IPM-Full"/>
      <sheetName val="TDC Item Sumry"/>
      <sheetName val="TDC Key Qty Sumry"/>
      <sheetName val="Unit Costs - Std Imp"/>
      <sheetName val="Unit MH - Std Imp"/>
      <sheetName val="List - Components"/>
      <sheetName val="TDC Item Dets-Full"/>
      <sheetName val="COA Sumry by Contr"/>
      <sheetName val="B-1100C触媒量"/>
      <sheetName val="UOP"/>
      <sheetName val="Uni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A4-COVER"/>
      <sheetName val="COVER"/>
      <sheetName val="Fluid List"/>
      <sheetName val="Unit"/>
    </sheetNames>
    <sheetDataSet>
      <sheetData sheetId="0" refreshError="1"/>
      <sheetData sheetId="1" refreshError="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Flyleaf"/>
      <sheetName val="A4-COVER"/>
      <sheetName val="Vessels"/>
      <sheetName val="Rotating"/>
      <sheetName val="Other"/>
      <sheetName val="Parameters"/>
      <sheetName val="Notice"/>
      <sheetName val="Excel procedure"/>
      <sheetName val="Attached fi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se II"/>
      <sheetName val="standard list"/>
      <sheetName val="phase I"/>
      <sheetName val="loaddata"/>
      <sheetName val="cable"/>
      <sheetName val="contactor"/>
      <sheetName val="lightning"/>
      <sheetName val="equipmentlist"/>
      <sheetName val="cableselection"/>
      <sheetName val="DOCLIST"/>
      <sheetName val="OD"/>
      <sheetName val="sheet1"/>
      <sheetName val="Sheet2"/>
      <sheetName val="Sheet3"/>
      <sheetName val="PLANT"/>
      <sheetName val="INSTRUMENT"/>
      <sheetName val="SpecITEM"/>
      <sheetName val="LINE_Sc"/>
      <sheetName val="MOTOR"/>
      <sheetName val="Harding+SATS-07"/>
      <sheetName val="ERDP7AV3"/>
      <sheetName val="ELEC"/>
      <sheetName val="G.1R-Shou COP Gf"/>
      <sheetName val="AD ST"/>
      <sheetName val="MH Compensate-Nov"/>
      <sheetName val="CTRs (HOURS) "/>
      <sheetName val="NOTES"/>
      <sheetName val="MH(on site)"/>
      <sheetName val="#REF!"/>
      <sheetName val="计算稿"/>
      <sheetName val="SPEC SHEET"/>
      <sheetName val="明细表 "/>
      <sheetName val="C5-201-CB-Concrete"/>
      <sheetName val="C5-201-TB-Concrete"/>
      <sheetName val="C5-271-TB-IW"/>
      <sheetName val="C5-212-CB-EW"/>
      <sheetName val="C5-224-CB-Roof"/>
      <sheetName val="C5-231-CB-Earthing"/>
      <sheetName val="C5-271-CB-IW"/>
      <sheetName val="C5-281-CB-FF "/>
      <sheetName val="C5-282-CB-IWF"/>
      <sheetName val="C5-283-CB-CF"/>
      <sheetName val="C5-CB Provisional"/>
      <sheetName val="C5-212-TB-EW"/>
      <sheetName val="C5-213-TB-Steel"/>
      <sheetName val="C5-224-TB-Roof"/>
      <sheetName val="C5-231-TB-Earthing"/>
      <sheetName val="C5-281-TB-FF"/>
      <sheetName val="C5-282-TB-IWF"/>
      <sheetName val="C5-283-TB-CF"/>
      <sheetName val="C5-coordinate"/>
      <sheetName val="C5-TB-Option"/>
      <sheetName val="C5 Provisional"/>
      <sheetName val="C5-200-Prelims"/>
      <sheetName val="C5-200-HSE"/>
      <sheetName val="RFP012"/>
      <sheetName val="多媒体查询"/>
      <sheetName val="中心机房"/>
      <sheetName val="会议"/>
      <sheetName val="公共广播"/>
      <sheetName val="停车场"/>
      <sheetName val="PDS"/>
      <sheetName val="移动通信"/>
      <sheetName val="BA"/>
      <sheetName val="物业"/>
      <sheetName val="防雷接地"/>
      <sheetName val="Open"/>
      <sheetName val="Labor Rates"/>
      <sheetName val="loaddt2"/>
      <sheetName val="Summary"/>
      <sheetName val="Summary "/>
      <sheetName val="Process Piping"/>
      <sheetName val="C11-2(103)-Prelims"/>
      <sheetName val="140TT447"/>
      <sheetName val="3"/>
      <sheetName val="Lagerhalle"/>
      <sheetName val="加压气化606ab工艺综合单价分析表"/>
      <sheetName val="lookups"/>
      <sheetName val="RFP002"/>
      <sheetName val="工业炉"/>
      <sheetName val="04暖通"/>
      <sheetName val="resu"/>
      <sheetName val="SPEC"/>
      <sheetName val="Area"/>
      <sheetName val="373A"/>
      <sheetName val="703r"/>
      <sheetName val="702r"/>
      <sheetName val="Dropdown LISTs"/>
      <sheetName val="Estimate Details"/>
      <sheetName val="April"/>
      <sheetName val="CFS3"/>
      <sheetName val="合成単価作成表-BLDG"/>
      <sheetName val="10 barg Steam_Cond"/>
      <sheetName val="mesc"/>
      <sheetName val="Pricing"/>
      <sheetName val="code"/>
      <sheetName val="GPP"/>
      <sheetName val="Rate"/>
      <sheetName val="P1260Projected.5700 Detail"/>
      <sheetName val="P852.5000 Detail"/>
      <sheetName val="P854.5000 Detail"/>
      <sheetName val="P856.5000 Detail"/>
      <sheetName val="P858.5000 Detail"/>
      <sheetName val="P860Baseline.5000 Detail"/>
      <sheetName val="Macro1"/>
      <sheetName val="401_1"/>
      <sheetName val="401_2"/>
      <sheetName val="401_3"/>
      <sheetName val="401_4"/>
      <sheetName val="401_5"/>
      <sheetName val="401_7"/>
      <sheetName val="Cover Sheet"/>
      <sheetName val="utility"/>
      <sheetName val="Register"/>
      <sheetName val="Pull-Down Menus"/>
      <sheetName val="PB for Mapping"/>
      <sheetName val="Project Data Page"/>
      <sheetName val="基本设置"/>
      <sheetName val="PVC"/>
      <sheetName val="XLPE"/>
      <sheetName val="Fee Rate Summary"/>
      <sheetName val="LINE LIST"/>
      <sheetName val="LEGEND"/>
      <sheetName val="Piping ClASS"/>
      <sheetName val="Details"/>
      <sheetName val="Overall"/>
      <sheetName val="110TE001"/>
      <sheetName val="Sum"/>
      <sheetName val="A"/>
      <sheetName val="MhrCost Data"/>
      <sheetName val="Insulation"/>
      <sheetName val="Piping&amp;Valve Code"/>
      <sheetName val="Painting"/>
      <sheetName val="Process Equipment"/>
      <sheetName val="CIV-DWG-ADA"/>
      <sheetName val="CIV-DOC-ADA"/>
      <sheetName val="Factor"/>
      <sheetName val="Cover"/>
      <sheetName val="SPE-FJB-001"/>
      <sheetName val="SPE-FJB-101"/>
      <sheetName val="SPE-FJB-102"/>
      <sheetName val="SPE-FJB-201"/>
      <sheetName val="SPE-FJB-202"/>
      <sheetName val="SPE-FJB-203"/>
      <sheetName val="SPE-FJB-301"/>
      <sheetName val="SPE-FJB-302"/>
      <sheetName val="SPE-FJB-401"/>
      <sheetName val="SPE-FJB-402"/>
      <sheetName val="MCJB"/>
      <sheetName val="GDS"/>
      <sheetName val="无接线箱"/>
      <sheetName val="RFP003B-Piping"/>
      <sheetName val="B-1100C触媒量"/>
      <sheetName val="電気設備表"/>
      <sheetName val="計算本体2"/>
      <sheetName val="Connections"/>
      <sheetName val="DWTables"/>
      <sheetName val="海盐加工装置"/>
      <sheetName val="内外控制表"/>
      <sheetName val="300 Instrumentation "/>
      <sheetName val="材料"/>
      <sheetName val="安装指标库"/>
      <sheetName val="表三甲"/>
      <sheetName val="万元指标1"/>
      <sheetName val="Units"/>
      <sheetName val="Input"/>
      <sheetName val="Data Storage"/>
      <sheetName val="Project Data"/>
      <sheetName val="Electr"/>
      <sheetName val="Services"/>
      <sheetName val="Instrum"/>
      <sheetName val="Training"/>
      <sheetName val="TankMetallic"/>
      <sheetName val="CAL."/>
      <sheetName val="CPS"/>
      <sheetName val="XLR_NoRangeSheet"/>
      <sheetName val="Contingency"/>
      <sheetName val="Cash Flow Data"/>
      <sheetName val="plOMBA"/>
      <sheetName val="plProject Info"/>
      <sheetName val="Spec-Face"/>
      <sheetName val="TDS_1"/>
      <sheetName val="2"/>
      <sheetName val="4"/>
      <sheetName val="Quotation"/>
      <sheetName val="Spec."/>
      <sheetName val="Final Price"/>
      <sheetName val="Deviation"/>
      <sheetName val="Data"/>
      <sheetName val="SP"/>
      <sheetName val="eqplist"/>
      <sheetName val="ΔVp &amp; Ω"/>
      <sheetName val="변수"/>
      <sheetName val="Mech"/>
      <sheetName val="Page 1"/>
      <sheetName val="Database"/>
      <sheetName val="Calc"/>
      <sheetName val="CmpName"/>
      <sheetName val="Template"/>
      <sheetName val="Functions"/>
      <sheetName val="Main"/>
      <sheetName val="Camey"/>
      <sheetName val="Safety Stock"/>
      <sheetName val="Insulation Code"/>
      <sheetName val="Pipe Class"/>
      <sheetName val="Painting Code"/>
      <sheetName val="Routing"/>
      <sheetName val="Special Item MTO"/>
      <sheetName val="评价基础数据表一"/>
      <sheetName val="固定资产投资估算计算表"/>
      <sheetName val="投资计划与资金筹措表"/>
      <sheetName val="Sammary"/>
      <sheetName val="取费表"/>
      <sheetName val="武汉丁二烯静止设备"/>
      <sheetName val="价差测算"/>
      <sheetName val="参数表"/>
      <sheetName val="Concrete Properties"/>
      <sheetName val="PV.00001"/>
      <sheetName val="蒸汽安全阀计算模板"/>
      <sheetName val="Page 3"/>
      <sheetName val="Page 2"/>
      <sheetName val="Page 4"/>
      <sheetName val="Page 5"/>
      <sheetName val="Page 7"/>
      <sheetName val="Page 8"/>
      <sheetName val="Page 9"/>
      <sheetName val="Page 10"/>
      <sheetName val="Page 11"/>
      <sheetName val="Page 6"/>
      <sheetName val="Design - Agitators"/>
      <sheetName val="Design - All Equip"/>
      <sheetName val="Design - Exchangers"/>
      <sheetName val="Design - Pumps"/>
      <sheetName val="Design - Towers"/>
      <sheetName val="Design - Vacuum"/>
      <sheetName val="Design - Vessels"/>
      <sheetName val="List - Motors"/>
      <sheetName val="Equip COA Sumry"/>
      <sheetName val="Equip COA Grp Sumry"/>
      <sheetName val="AG Pipe Qty Analysis"/>
      <sheetName val="Pipe Line List"/>
      <sheetName val="Pipe COA Sumry"/>
      <sheetName val="Pipe Item Dets"/>
      <sheetName val="Pipe Item Sumry"/>
      <sheetName val="Civil COA Sumry"/>
      <sheetName val="Civil Item Dets"/>
      <sheetName val="Civil Item Sumry"/>
      <sheetName val="Steel COA Sumry"/>
      <sheetName val="Steel COA Grp Sumry"/>
      <sheetName val="Steel Item Dets"/>
      <sheetName val="Steel Item Sumry"/>
      <sheetName val="Inst COA Sumry"/>
      <sheetName val="Inst Item Dets"/>
      <sheetName val="Inst Item Sumry"/>
      <sheetName val="Elec COA Sumry"/>
      <sheetName val="Elec Item Dets"/>
      <sheetName val="Elec Item Sumry"/>
      <sheetName val="Insul COA Sumry"/>
      <sheetName val="Insul Item Dets"/>
      <sheetName val="Insul Item Sumry"/>
      <sheetName val="Paint COA Sumry"/>
      <sheetName val="Paint Item Dets"/>
      <sheetName val="Paint Item Sumry"/>
      <sheetName val="总概"/>
      <sheetName val="综合运费"/>
      <sheetName val="初始化表格"/>
      <sheetName val="基础表格"/>
      <sheetName val="UOP"/>
      <sheetName val="공사비SUM"/>
      <sheetName val="공문"/>
      <sheetName val="Elect (3)"/>
      <sheetName val="CODE2"/>
      <sheetName val="生产成本和费用表"/>
      <sheetName val="资产负债表"/>
      <sheetName val="矿区使用费费率表"/>
      <sheetName val="固定资产投资估算表"/>
      <sheetName val="销售收入与销售税金及附加计算表"/>
      <sheetName val="SaveData"/>
      <sheetName val="损益表"/>
      <sheetName val="财务现金流量表(全部投资)"/>
      <sheetName val="财务现金流量表(自有资金)"/>
      <sheetName val="CAPEX"/>
      <sheetName val="Option Summary"/>
      <sheetName val="Summary_by_Unit"/>
      <sheetName val="Equipment Cost Split"/>
      <sheetName val="Summary  WPC_OLD"/>
      <sheetName val="Process"/>
      <sheetName val="线槽价格计算表"/>
      <sheetName val="#REF"/>
      <sheetName val="Base"/>
      <sheetName val="价目表"/>
      <sheetName val="07 LSC only"/>
      <sheetName val="07 PBS Only"/>
      <sheetName val="土建"/>
      <sheetName val="List - Components"/>
      <sheetName val="List - Equipment"/>
      <sheetName val="Definition"/>
      <sheetName val="SORTABLE ESTIMATE"/>
      <sheetName val="piping"/>
      <sheetName val="Datasheet"/>
      <sheetName val="投资汇总"/>
      <sheetName val="投资"/>
      <sheetName val="综合概算"/>
      <sheetName val="Master_Setup"/>
      <sheetName val="P. 2"/>
      <sheetName val="P. 3"/>
      <sheetName val="간접비내역-1"/>
      <sheetName val="CALCULATION"/>
      <sheetName val="sketch"/>
      <sheetName val="Pre-EPC CDI Manhour"/>
      <sheetName val="EPCM Manhour Estimate"/>
      <sheetName val="Total Sum"/>
      <sheetName val="phase_II"/>
      <sheetName val="standard_list"/>
      <sheetName val="phase_I"/>
      <sheetName val="G_1R-Shou_COP_Gf"/>
      <sheetName val="AD_ST"/>
      <sheetName val="MH_Compensate-Nov"/>
      <sheetName val="CTRs_(HOURS)_"/>
      <sheetName val="SPEC_SHEET"/>
      <sheetName val="明细表_"/>
      <sheetName val="C5-281-CB-FF_"/>
      <sheetName val="C5-CB_Provisional"/>
      <sheetName val="C5_Provisional"/>
      <sheetName val="MH(on_site)"/>
      <sheetName val="Labor_Rates"/>
      <sheetName val="Summary_"/>
      <sheetName val="Process_Piping"/>
      <sheetName val="Estimate_Details"/>
      <sheetName val="10_barg_Steam_Cond"/>
      <sheetName val="P1260Projected_5700_Detail"/>
      <sheetName val="P852_5000_Detail"/>
      <sheetName val="P854_5000_Detail"/>
      <sheetName val="P856_5000_Detail"/>
      <sheetName val="P858_5000_Detail"/>
      <sheetName val="P860Baseline_5000_Detail"/>
      <sheetName val="Cover_Sheet"/>
      <sheetName val="Pull-Down_Menus"/>
      <sheetName val="Piping_ClASS"/>
      <sheetName val="PB_for_Mapping"/>
      <sheetName val="Project_Data_Page"/>
      <sheetName val="LINE_LIST"/>
      <sheetName val="Fee_Rate_Summary"/>
      <sheetName val="2层"/>
      <sheetName val="墙板"/>
      <sheetName val="S-03"/>
      <sheetName val="B-03"/>
      <sheetName val="Control Summary"/>
      <sheetName val="土建取费"/>
      <sheetName val="中石化安装"/>
      <sheetName val="总—标示"/>
      <sheetName val="报价单"/>
      <sheetName val="标示-次标示"/>
      <sheetName val="Change Order Details"/>
      <sheetName val="SOPMA DD"/>
      <sheetName val="镀锌构件"/>
      <sheetName val="50 Piping_ Content Strut."/>
      <sheetName val="2.0-A4"/>
      <sheetName val="Installation "/>
      <sheetName val="Fabrication"/>
      <sheetName val="Project Management Organisation"/>
      <sheetName val="for PPT"/>
      <sheetName val="steam jet ejector spec sheet"/>
      <sheetName val="Emp_Data"/>
      <sheetName val="Int Eng"/>
      <sheetName val="WBS"/>
      <sheetName val="name"/>
      <sheetName val="反応速度式検討"/>
      <sheetName val="Anlage 2"/>
      <sheetName val="_REF"/>
      <sheetName val="갑지"/>
      <sheetName val="Rate Analysis"/>
      <sheetName val="BP"/>
    </sheetNames>
    <sheetDataSet>
      <sheetData sheetId="0" refreshError="1"/>
      <sheetData sheetId="1" refreshError="1"/>
      <sheetData sheetId="2" refreshError="1"/>
      <sheetData sheetId="3" refreshError="1"/>
      <sheetData sheetId="4" refreshError="1"/>
      <sheetData sheetId="5" refreshError="1">
        <row r="5">
          <cell r="A5">
            <v>0.25</v>
          </cell>
          <cell r="B5">
            <v>0.82</v>
          </cell>
          <cell r="C5">
            <v>0.74</v>
          </cell>
          <cell r="D5">
            <v>0.7</v>
          </cell>
          <cell r="E5">
            <v>0.73</v>
          </cell>
          <cell r="F5" t="str">
            <v>3TF40-22</v>
          </cell>
          <cell r="G5">
            <v>10</v>
          </cell>
          <cell r="H5" t="str">
            <v>3UA50 40-1E</v>
          </cell>
          <cell r="I5" t="str">
            <v>2.5-4</v>
          </cell>
          <cell r="J5" t="str">
            <v>3VU1340-NJ00</v>
          </cell>
        </row>
        <row r="6">
          <cell r="A6">
            <v>0.37</v>
          </cell>
          <cell r="B6">
            <v>0.82</v>
          </cell>
          <cell r="C6">
            <v>0.76</v>
          </cell>
          <cell r="D6">
            <v>0.67</v>
          </cell>
          <cell r="E6">
            <v>0.68</v>
          </cell>
          <cell r="F6" t="str">
            <v>3TF40-22</v>
          </cell>
          <cell r="G6">
            <v>10</v>
          </cell>
          <cell r="H6" t="str">
            <v>3UA50 40-1E</v>
          </cell>
          <cell r="I6" t="str">
            <v>2.5-4</v>
          </cell>
          <cell r="J6" t="str">
            <v>3VU1340-NJ00</v>
          </cell>
        </row>
        <row r="7">
          <cell r="A7">
            <v>0.55000000000000004</v>
          </cell>
          <cell r="B7">
            <v>0.83</v>
          </cell>
          <cell r="C7">
            <v>0.77</v>
          </cell>
          <cell r="D7">
            <v>0.7</v>
          </cell>
          <cell r="E7">
            <v>0.73</v>
          </cell>
          <cell r="F7" t="str">
            <v>3TF40-22</v>
          </cell>
          <cell r="G7">
            <v>10</v>
          </cell>
          <cell r="H7" t="str">
            <v>3UA50 40-1E</v>
          </cell>
          <cell r="I7" t="str">
            <v>2.5-4</v>
          </cell>
          <cell r="J7" t="str">
            <v>3VU1340-NJ00</v>
          </cell>
        </row>
        <row r="8">
          <cell r="A8">
            <v>0.75</v>
          </cell>
          <cell r="B8">
            <v>0.86</v>
          </cell>
          <cell r="C8">
            <v>0.77</v>
          </cell>
          <cell r="D8">
            <v>0.75600000000000001</v>
          </cell>
          <cell r="E8">
            <v>0.75</v>
          </cell>
          <cell r="F8" t="str">
            <v>3TF40-22</v>
          </cell>
          <cell r="G8">
            <v>10</v>
          </cell>
          <cell r="H8" t="str">
            <v>3UA50 40-1E</v>
          </cell>
          <cell r="I8" t="str">
            <v>2.5-4</v>
          </cell>
          <cell r="J8" t="str">
            <v>3VU1340-NJ00</v>
          </cell>
        </row>
        <row r="9">
          <cell r="A9">
            <v>1.1000000000000001</v>
          </cell>
          <cell r="B9">
            <v>0.86</v>
          </cell>
          <cell r="C9">
            <v>0.81</v>
          </cell>
          <cell r="D9">
            <v>0.76600000000000001</v>
          </cell>
          <cell r="E9">
            <v>0.77</v>
          </cell>
          <cell r="F9" t="str">
            <v>3TF40-22</v>
          </cell>
          <cell r="G9">
            <v>16</v>
          </cell>
          <cell r="H9" t="str">
            <v>3UA50 40-1E</v>
          </cell>
          <cell r="I9" t="str">
            <v>2.5-4</v>
          </cell>
          <cell r="J9" t="str">
            <v>3VU1340-NJ00</v>
          </cell>
        </row>
        <row r="10">
          <cell r="A10">
            <v>1.5</v>
          </cell>
          <cell r="B10">
            <v>0.87</v>
          </cell>
          <cell r="C10">
            <v>0.82</v>
          </cell>
          <cell r="D10">
            <v>0.78500000000000003</v>
          </cell>
          <cell r="E10">
            <v>0.78</v>
          </cell>
          <cell r="F10" t="str">
            <v>3TF40-22</v>
          </cell>
          <cell r="G10">
            <v>16</v>
          </cell>
          <cell r="H10" t="str">
            <v>3UA50 40-1F</v>
          </cell>
          <cell r="I10" t="str">
            <v>3.2-5</v>
          </cell>
          <cell r="J10" t="str">
            <v>3VU1340-NK00</v>
          </cell>
        </row>
        <row r="11">
          <cell r="A11">
            <v>2.2000000000000002</v>
          </cell>
          <cell r="B11">
            <v>0.87</v>
          </cell>
          <cell r="C11">
            <v>0.82</v>
          </cell>
          <cell r="D11">
            <v>0.83</v>
          </cell>
          <cell r="E11">
            <v>0.81</v>
          </cell>
          <cell r="F11" t="str">
            <v>3TF40-22</v>
          </cell>
          <cell r="G11">
            <v>16</v>
          </cell>
          <cell r="H11" t="str">
            <v>3UA50 40-1G</v>
          </cell>
          <cell r="I11" t="str">
            <v>4-6.3</v>
          </cell>
          <cell r="J11" t="str">
            <v>3VU1340-NK00</v>
          </cell>
        </row>
        <row r="12">
          <cell r="A12">
            <v>3</v>
          </cell>
          <cell r="B12">
            <v>0.87</v>
          </cell>
          <cell r="C12">
            <v>0.82</v>
          </cell>
          <cell r="D12">
            <v>0.85</v>
          </cell>
          <cell r="E12">
            <v>0.82499999999999996</v>
          </cell>
          <cell r="F12" t="str">
            <v>3TF40-22</v>
          </cell>
          <cell r="G12">
            <v>20</v>
          </cell>
          <cell r="H12" t="str">
            <v>3UA50 40-1H</v>
          </cell>
          <cell r="I12" t="str">
            <v>5-8</v>
          </cell>
          <cell r="J12" t="str">
            <v>3VU1340-NK00</v>
          </cell>
        </row>
        <row r="13">
          <cell r="A13">
            <v>3.7</v>
          </cell>
          <cell r="B13">
            <v>0.88</v>
          </cell>
          <cell r="C13">
            <v>0.82</v>
          </cell>
          <cell r="D13">
            <v>0.85199999999999998</v>
          </cell>
          <cell r="E13">
            <v>0.83799999999999997</v>
          </cell>
          <cell r="F13" t="str">
            <v>3TF40-22</v>
          </cell>
          <cell r="G13">
            <v>20</v>
          </cell>
          <cell r="H13" t="str">
            <v>3UA50 40-1J</v>
          </cell>
          <cell r="I13" t="str">
            <v>6.3-10</v>
          </cell>
          <cell r="J13" t="str">
            <v>3VU1340-ML00</v>
          </cell>
        </row>
        <row r="14">
          <cell r="A14">
            <v>4</v>
          </cell>
          <cell r="B14">
            <v>0.88</v>
          </cell>
          <cell r="C14">
            <v>0.84</v>
          </cell>
          <cell r="D14">
            <v>0.85499999999999998</v>
          </cell>
          <cell r="E14">
            <v>0.85</v>
          </cell>
          <cell r="F14" t="str">
            <v>3TF40-22</v>
          </cell>
          <cell r="G14">
            <v>20</v>
          </cell>
          <cell r="H14" t="str">
            <v>3UA50 40-1J</v>
          </cell>
          <cell r="I14" t="str">
            <v>6.3-10</v>
          </cell>
          <cell r="J14" t="str">
            <v>3VU1340-ML00</v>
          </cell>
        </row>
        <row r="15">
          <cell r="A15">
            <v>5</v>
          </cell>
          <cell r="B15">
            <v>0.88</v>
          </cell>
          <cell r="C15">
            <v>0.84</v>
          </cell>
          <cell r="D15">
            <v>0.85499999999999998</v>
          </cell>
          <cell r="E15">
            <v>0.85</v>
          </cell>
          <cell r="F15" t="str">
            <v>3TF41-22</v>
          </cell>
          <cell r="G15">
            <v>32</v>
          </cell>
          <cell r="H15" t="str">
            <v>3UA50 40-1K</v>
          </cell>
          <cell r="I15" t="str">
            <v>8-12.5</v>
          </cell>
          <cell r="J15" t="str">
            <v>3VU1340-NL00</v>
          </cell>
        </row>
        <row r="16">
          <cell r="A16">
            <v>5.5</v>
          </cell>
          <cell r="B16">
            <v>0.88</v>
          </cell>
          <cell r="C16">
            <v>0.84</v>
          </cell>
          <cell r="D16">
            <v>0.87</v>
          </cell>
          <cell r="E16">
            <v>0.87</v>
          </cell>
          <cell r="F16" t="str">
            <v>3TF41-22</v>
          </cell>
          <cell r="G16">
            <v>32</v>
          </cell>
          <cell r="H16" t="str">
            <v>3UA52 40-2B</v>
          </cell>
          <cell r="I16" t="str">
            <v>12.5-20</v>
          </cell>
          <cell r="J16" t="str">
            <v>3VU1340-MN00</v>
          </cell>
        </row>
        <row r="17">
          <cell r="A17">
            <v>6.6</v>
          </cell>
          <cell r="B17">
            <v>0.88</v>
          </cell>
          <cell r="C17">
            <v>0.84</v>
          </cell>
          <cell r="D17">
            <v>0.87</v>
          </cell>
          <cell r="E17">
            <v>0.87</v>
          </cell>
          <cell r="F17" t="str">
            <v>3TF42-22</v>
          </cell>
          <cell r="G17">
            <v>40</v>
          </cell>
          <cell r="H17" t="str">
            <v>3UA52 40-2B</v>
          </cell>
          <cell r="I17" t="str">
            <v>12.5-20</v>
          </cell>
          <cell r="J17" t="str">
            <v>3VU1340-MN00</v>
          </cell>
        </row>
        <row r="18">
          <cell r="A18">
            <v>7.5</v>
          </cell>
          <cell r="B18">
            <v>0.89</v>
          </cell>
          <cell r="C18">
            <v>0.84</v>
          </cell>
          <cell r="D18">
            <v>0.88</v>
          </cell>
          <cell r="E18">
            <v>0.88200000000000001</v>
          </cell>
          <cell r="F18" t="str">
            <v>3TF42-22</v>
          </cell>
          <cell r="G18">
            <v>40</v>
          </cell>
          <cell r="H18" t="str">
            <v>3UA52 40-2B</v>
          </cell>
          <cell r="I18" t="str">
            <v>12.5-20</v>
          </cell>
          <cell r="J18" t="str">
            <v>3VU1340-MN00</v>
          </cell>
        </row>
        <row r="19">
          <cell r="A19">
            <v>7.7</v>
          </cell>
          <cell r="B19">
            <v>0.89</v>
          </cell>
          <cell r="C19">
            <v>0.84</v>
          </cell>
          <cell r="D19">
            <v>0.88</v>
          </cell>
          <cell r="E19">
            <v>0.88200000000000001</v>
          </cell>
          <cell r="F19" t="str">
            <v>3TF43-22</v>
          </cell>
          <cell r="G19">
            <v>40</v>
          </cell>
          <cell r="H19" t="str">
            <v>3UA52 40-2B</v>
          </cell>
          <cell r="I19" t="str">
            <v>12.5-20</v>
          </cell>
          <cell r="J19" t="str">
            <v>3VU1340-MN00</v>
          </cell>
        </row>
        <row r="20">
          <cell r="A20">
            <v>11</v>
          </cell>
          <cell r="B20">
            <v>0.89</v>
          </cell>
          <cell r="C20">
            <v>0.85</v>
          </cell>
          <cell r="D20">
            <v>0.89</v>
          </cell>
          <cell r="E20">
            <v>0.89500000000000002</v>
          </cell>
          <cell r="F20" t="str">
            <v>3TF43-22</v>
          </cell>
          <cell r="G20">
            <v>50</v>
          </cell>
          <cell r="H20" t="str">
            <v>3UA52 40-2C</v>
          </cell>
          <cell r="I20" t="str">
            <v>16-25</v>
          </cell>
          <cell r="J20" t="str">
            <v>3VU1640-MN00</v>
          </cell>
        </row>
        <row r="21">
          <cell r="A21">
            <v>15</v>
          </cell>
          <cell r="B21">
            <v>0.89</v>
          </cell>
          <cell r="C21">
            <v>0.85</v>
          </cell>
          <cell r="D21">
            <v>0.89400000000000002</v>
          </cell>
          <cell r="E21">
            <v>0.9</v>
          </cell>
          <cell r="F21" t="str">
            <v>3TF44-22</v>
          </cell>
          <cell r="G21">
            <v>63</v>
          </cell>
          <cell r="H21" t="str">
            <v>3UA55 40-2Q</v>
          </cell>
          <cell r="I21" t="str">
            <v>25-36</v>
          </cell>
          <cell r="J21" t="str">
            <v>3VU1640-MQ00</v>
          </cell>
        </row>
        <row r="22">
          <cell r="A22">
            <v>18.5</v>
          </cell>
          <cell r="B22">
            <v>0.89</v>
          </cell>
          <cell r="C22">
            <v>0.85</v>
          </cell>
          <cell r="D22">
            <v>0.90500000000000003</v>
          </cell>
          <cell r="E22">
            <v>0.90700000000000003</v>
          </cell>
          <cell r="F22" t="str">
            <v>3TF45-22</v>
          </cell>
          <cell r="G22">
            <v>80</v>
          </cell>
          <cell r="H22" t="str">
            <v>3UA55 40-2R</v>
          </cell>
          <cell r="I22" t="str">
            <v>32-40</v>
          </cell>
          <cell r="J22" t="str">
            <v>3VU1640-MQ00</v>
          </cell>
        </row>
        <row r="23">
          <cell r="A23">
            <v>22</v>
          </cell>
          <cell r="B23">
            <v>0.89</v>
          </cell>
          <cell r="C23">
            <v>0.86</v>
          </cell>
          <cell r="D23">
            <v>0.91300000000000003</v>
          </cell>
          <cell r="E23">
            <v>0.91300000000000003</v>
          </cell>
          <cell r="F23" t="str">
            <v>3TF46-22</v>
          </cell>
          <cell r="G23">
            <v>80</v>
          </cell>
          <cell r="H23" t="str">
            <v>3UA58 40-2T</v>
          </cell>
          <cell r="I23" t="str">
            <v>40-57</v>
          </cell>
          <cell r="J23" t="str">
            <v>3VF1431-1DK11</v>
          </cell>
        </row>
        <row r="24">
          <cell r="A24">
            <v>24</v>
          </cell>
          <cell r="B24">
            <v>0.89</v>
          </cell>
          <cell r="C24">
            <v>0.86</v>
          </cell>
          <cell r="D24">
            <v>0.91300000000000003</v>
          </cell>
          <cell r="E24">
            <v>0.91300000000000003</v>
          </cell>
          <cell r="F24" t="str">
            <v>3TF47-22</v>
          </cell>
          <cell r="G24">
            <v>100</v>
          </cell>
          <cell r="H24" t="str">
            <v>3UA58 40-2T</v>
          </cell>
          <cell r="I24" t="str">
            <v>40-57</v>
          </cell>
          <cell r="J24" t="str">
            <v>3VF1431-1DK11</v>
          </cell>
        </row>
        <row r="25">
          <cell r="A25">
            <v>27</v>
          </cell>
          <cell r="B25">
            <v>0.89</v>
          </cell>
          <cell r="C25">
            <v>0.86</v>
          </cell>
          <cell r="D25">
            <v>0.91300000000000003</v>
          </cell>
          <cell r="E25">
            <v>0.91300000000000003</v>
          </cell>
          <cell r="F25" t="str">
            <v>3TF47-22</v>
          </cell>
          <cell r="G25">
            <v>100</v>
          </cell>
          <cell r="H25" t="str">
            <v>3UA58 40-2P</v>
          </cell>
          <cell r="I25" t="str">
            <v>50-63</v>
          </cell>
          <cell r="J25" t="str">
            <v>3VF1431-1DK11</v>
          </cell>
        </row>
        <row r="26">
          <cell r="A26">
            <v>30</v>
          </cell>
          <cell r="B26">
            <v>0.89</v>
          </cell>
          <cell r="C26">
            <v>0.86</v>
          </cell>
          <cell r="D26">
            <v>0.92500000000000004</v>
          </cell>
          <cell r="E26">
            <v>0.92</v>
          </cell>
          <cell r="F26" t="str">
            <v>3TF47-22</v>
          </cell>
          <cell r="G26">
            <v>125</v>
          </cell>
          <cell r="H26" t="str">
            <v>3UA58 40-2P</v>
          </cell>
          <cell r="I26" t="str">
            <v>50-63</v>
          </cell>
          <cell r="J26" t="str">
            <v>3VF1431-1DK11</v>
          </cell>
        </row>
        <row r="27">
          <cell r="A27">
            <v>37</v>
          </cell>
          <cell r="B27">
            <v>0.89</v>
          </cell>
          <cell r="C27">
            <v>0.86</v>
          </cell>
          <cell r="D27">
            <v>0.93300000000000005</v>
          </cell>
          <cell r="E27">
            <v>0.93</v>
          </cell>
          <cell r="F27" t="str">
            <v>3TF48-22</v>
          </cell>
          <cell r="G27">
            <v>125</v>
          </cell>
          <cell r="H27" t="str">
            <v>3UA58 40-2U</v>
          </cell>
          <cell r="I27" t="str">
            <v>63-80</v>
          </cell>
        </row>
        <row r="28">
          <cell r="A28">
            <v>45</v>
          </cell>
          <cell r="B28">
            <v>0.9</v>
          </cell>
          <cell r="C28">
            <v>0.86</v>
          </cell>
          <cell r="D28">
            <v>0.93400000000000005</v>
          </cell>
          <cell r="E28">
            <v>0.93500000000000005</v>
          </cell>
          <cell r="F28" t="str">
            <v>3TF49-22</v>
          </cell>
          <cell r="G28">
            <v>160</v>
          </cell>
          <cell r="H28" t="str">
            <v>3UA60 40-2W</v>
          </cell>
          <cell r="I28" t="str">
            <v>63-90</v>
          </cell>
        </row>
        <row r="29">
          <cell r="A29">
            <v>55</v>
          </cell>
          <cell r="B29">
            <v>0.9</v>
          </cell>
          <cell r="C29">
            <v>0.86</v>
          </cell>
          <cell r="D29">
            <v>0.93799999999999994</v>
          </cell>
          <cell r="E29">
            <v>0.93899999999999995</v>
          </cell>
          <cell r="F29" t="str">
            <v>3TF50-22</v>
          </cell>
          <cell r="G29">
            <v>200</v>
          </cell>
          <cell r="H29" t="str">
            <v>3UA60 40-2X</v>
          </cell>
          <cell r="I29" t="str">
            <v>80-110</v>
          </cell>
        </row>
        <row r="30">
          <cell r="A30">
            <v>60</v>
          </cell>
          <cell r="B30">
            <v>0.9</v>
          </cell>
          <cell r="C30">
            <v>0.86</v>
          </cell>
          <cell r="D30">
            <v>0.93799999999999994</v>
          </cell>
          <cell r="E30">
            <v>0.93899999999999995</v>
          </cell>
          <cell r="F30" t="str">
            <v>3TF51-22</v>
          </cell>
          <cell r="G30">
            <v>200</v>
          </cell>
          <cell r="H30" t="str">
            <v>3UA61 40-3H</v>
          </cell>
          <cell r="I30" t="str">
            <v>90-120</v>
          </cell>
        </row>
        <row r="31">
          <cell r="A31">
            <v>75</v>
          </cell>
          <cell r="B31">
            <v>0.9</v>
          </cell>
          <cell r="C31">
            <v>0.86</v>
          </cell>
          <cell r="D31">
            <v>0.94299999999999995</v>
          </cell>
          <cell r="E31">
            <v>0.94299999999999995</v>
          </cell>
          <cell r="F31" t="str">
            <v>3TF51-22</v>
          </cell>
          <cell r="G31">
            <v>250</v>
          </cell>
          <cell r="H31" t="str">
            <v>3UA61 40-3K</v>
          </cell>
          <cell r="I31" t="str">
            <v>120-150</v>
          </cell>
        </row>
        <row r="32">
          <cell r="A32">
            <v>90</v>
          </cell>
          <cell r="B32">
            <v>0.91</v>
          </cell>
          <cell r="C32">
            <v>0.86</v>
          </cell>
          <cell r="D32">
            <v>0.94499999999999995</v>
          </cell>
          <cell r="E32">
            <v>0.94699999999999995</v>
          </cell>
          <cell r="F32" t="str">
            <v>3TF52-22</v>
          </cell>
          <cell r="G32">
            <v>315</v>
          </cell>
          <cell r="H32" t="str">
            <v>3UA62 40-3M</v>
          </cell>
          <cell r="I32" t="str">
            <v>150-180</v>
          </cell>
        </row>
        <row r="33">
          <cell r="A33">
            <v>110</v>
          </cell>
          <cell r="B33">
            <v>0.91</v>
          </cell>
          <cell r="C33">
            <v>0.86</v>
          </cell>
          <cell r="D33">
            <v>0.94499999999999995</v>
          </cell>
          <cell r="E33">
            <v>0.95199999999999996</v>
          </cell>
          <cell r="F33" t="str">
            <v>3TF53-22</v>
          </cell>
          <cell r="G33">
            <v>315</v>
          </cell>
          <cell r="H33" t="str">
            <v>3UA66 40-3C</v>
          </cell>
          <cell r="I33" t="str">
            <v>160-250</v>
          </cell>
        </row>
        <row r="34">
          <cell r="A34">
            <v>132</v>
          </cell>
          <cell r="B34">
            <v>0.91</v>
          </cell>
          <cell r="C34">
            <v>0.86</v>
          </cell>
          <cell r="D34">
            <v>0.95</v>
          </cell>
          <cell r="E34">
            <v>0.95499999999999996</v>
          </cell>
          <cell r="F34" t="str">
            <v>3TF54-22</v>
          </cell>
          <cell r="G34">
            <v>355</v>
          </cell>
          <cell r="H34" t="str">
            <v>3UA66 40-3D</v>
          </cell>
          <cell r="I34" t="str">
            <v>200-320</v>
          </cell>
        </row>
        <row r="35">
          <cell r="A35">
            <v>160</v>
          </cell>
          <cell r="B35">
            <v>0.91</v>
          </cell>
          <cell r="C35">
            <v>0.86</v>
          </cell>
          <cell r="D35">
            <v>0.95299999999999996</v>
          </cell>
          <cell r="E35">
            <v>0.95699999999999996</v>
          </cell>
          <cell r="F35" t="str">
            <v>3TF55-22</v>
          </cell>
          <cell r="G35">
            <v>355</v>
          </cell>
          <cell r="H35" t="str">
            <v>3UA66 40-3E</v>
          </cell>
          <cell r="I35" t="str">
            <v>250-400</v>
          </cell>
        </row>
        <row r="36">
          <cell r="A36">
            <v>185</v>
          </cell>
          <cell r="B36">
            <v>0.91</v>
          </cell>
          <cell r="C36">
            <v>0.87</v>
          </cell>
          <cell r="D36">
            <v>0.95499999999999996</v>
          </cell>
          <cell r="E36">
            <v>0.95799999999999996</v>
          </cell>
          <cell r="F36" t="str">
            <v>3TF56-22</v>
          </cell>
          <cell r="G36">
            <v>400</v>
          </cell>
          <cell r="H36" t="str">
            <v>3UA66 40-3E</v>
          </cell>
          <cell r="I36" t="str">
            <v>250-400</v>
          </cell>
        </row>
        <row r="37">
          <cell r="A37">
            <v>200</v>
          </cell>
          <cell r="B37">
            <v>0.92</v>
          </cell>
          <cell r="C37">
            <v>0.87</v>
          </cell>
          <cell r="D37">
            <v>0.95799999999999996</v>
          </cell>
          <cell r="E37">
            <v>0.95899999999999996</v>
          </cell>
          <cell r="F37" t="str">
            <v>3TF56-22</v>
          </cell>
          <cell r="G37">
            <v>400</v>
          </cell>
          <cell r="H37" t="str">
            <v>3UA66 40-3E</v>
          </cell>
          <cell r="I37" t="str">
            <v>250-400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e Récept"/>
      <sheetName val="Liste Moteur"/>
      <sheetName val="Table"/>
    </sheetNames>
    <sheetDataSet>
      <sheetData sheetId="0" refreshError="1"/>
      <sheetData sheetId="1" refreshError="1"/>
      <sheetData sheetId="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sheetName val="Data Leo"/>
      <sheetName val="Annual running hours"/>
      <sheetName val="data OAU ashp"/>
      <sheetName val="OAU Qilin"/>
      <sheetName val="Data"/>
      <sheetName val="Mass balance"/>
      <sheetName val="Mass balance (no formula)"/>
      <sheetName val="Solvent_calculations"/>
      <sheetName val="Water balance"/>
      <sheetName val="Water balance (2)"/>
      <sheetName val="Properties"/>
      <sheetName val="Graphe Tv"/>
      <sheetName val="Data (leo 40 k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DO_HIDDEN"/>
      <sheetName val="VALVE LIST.xdo"/>
    </sheetNames>
    <sheetDataSet>
      <sheetData sheetId="0"/>
      <sheetData sheetId="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antity"/>
      <sheetName val="PS"/>
      <sheetName val="C"/>
      <sheetName val="D"/>
      <sheetName val="G"/>
      <sheetName val="I"/>
      <sheetName val="J"/>
      <sheetName val="IJ"/>
      <sheetName val="LP"/>
      <sheetName val="P"/>
      <sheetName val="L"/>
      <sheetName val="LS"/>
      <sheetName val="LT"/>
      <sheetName val="LE"/>
      <sheetName val="N"/>
      <sheetName val="FM"/>
      <sheetName val="SF"/>
      <sheetName val="SP"/>
      <sheetName val="DW"/>
      <sheetName val="UG "/>
      <sheetName val="Synop"/>
      <sheetName val="Basis"/>
      <sheetName val="合成単価作成表-BLDG"/>
      <sheetName val="Sheet9"/>
      <sheetName val="BQMPALOC"/>
      <sheetName val="jobhist"/>
      <sheetName val="2.2 STAFF Scedule"/>
      <sheetName val=" Sum"/>
      <sheetName val="share"/>
      <sheetName val=""/>
      <sheetName val="DWG"/>
      <sheetName val="PRO"/>
      <sheetName val="수입"/>
      <sheetName val="97 사업추정(WEKI)"/>
      <sheetName val="97"/>
      <sheetName val="ANX3A11"/>
      <sheetName val="MyLists"/>
      <sheetName val="Manpower Construction"/>
      <sheetName val="summary RE &amp; CF"/>
      <sheetName val="MANP"/>
      <sheetName val="31 July 2005"/>
      <sheetName val="HSE "/>
      <sheetName val="Malaysia incl. RET"/>
      <sheetName val="Sheet1"/>
      <sheetName val="#REF"/>
      <sheetName val="Validation"/>
      <sheetName val="INSTR-A Main Work"/>
      <sheetName val="EE-SAP"/>
      <sheetName val="p.mgmt"/>
      <sheetName val="A"/>
      <sheetName val="info"/>
      <sheetName val="산근"/>
      <sheetName val="Billing amount "/>
      <sheetName val="MP-AGPip-Dir"/>
      <sheetName val="RHI GROUP"/>
      <sheetName val="RHI Konzern"/>
      <sheetName val="cov RHI GROUP"/>
      <sheetName val="PTE-Company"/>
      <sheetName val="Equipment List"/>
      <sheetName val="CAT_5"/>
      <sheetName val="pipeline-1"/>
      <sheetName val="Main"/>
      <sheetName val="TP"/>
      <sheetName val="COVER"/>
      <sheetName val="Reco"/>
      <sheetName val="bolts"/>
      <sheetName val="주관사업"/>
      <sheetName val="M_EQPT_Z"/>
      <sheetName val="NDOCBT"/>
      <sheetName val="SAP"/>
      <sheetName val="ACTLY"/>
      <sheetName val="Global"/>
      <sheetName val="summary"/>
      <sheetName val="Billing and Status Register"/>
      <sheetName val="UG_"/>
      <sheetName val="summary_RE_&amp;_CF"/>
      <sheetName val="_Sum"/>
      <sheetName val="2_2_STAFF_Scedule"/>
      <sheetName val="31_July_2005"/>
      <sheetName val="HSE_"/>
      <sheetName val="Malaysia_incl__RET"/>
      <sheetName val="INSTR-A_Main_Work"/>
      <sheetName val="p_mgmt"/>
      <sheetName val="Billing_amount_"/>
      <sheetName val="RHI_GROUP"/>
      <sheetName val="RHI_Konzern"/>
      <sheetName val="cov_RHI_GROUP"/>
      <sheetName val="Equipment_List"/>
      <sheetName val="GTC TECHNIP PS 1700.00"/>
      <sheetName val="손익차총괄2"/>
      <sheetName val="Orders &amp; Annexures"/>
      <sheetName val="UG_1"/>
      <sheetName val="summary_RE_&amp;_CF1"/>
      <sheetName val="_Sum1"/>
      <sheetName val="2_2_STAFF_Scedule1"/>
      <sheetName val="31_July_20051"/>
      <sheetName val="HSE_1"/>
      <sheetName val="Malaysia_incl__RET1"/>
      <sheetName val="INSTR-A_Main_Work1"/>
      <sheetName val="p_mgmt1"/>
      <sheetName val="Billing_amount_1"/>
      <sheetName val="RHI_GROUP1"/>
      <sheetName val="RHI_Konzern1"/>
      <sheetName val="cov_RHI_GROUP1"/>
      <sheetName val="Equipment_List1"/>
      <sheetName val="Billing_and_Status_Register"/>
      <sheetName val="GTC_TECHNIP_PS_1700_00"/>
      <sheetName val="장비"/>
      <sheetName val="노무"/>
      <sheetName val="자재"/>
      <sheetName val="산근1"/>
      <sheetName val="UG_2"/>
      <sheetName val="_Sum2"/>
      <sheetName val="summary_RE_&amp;_CF2"/>
      <sheetName val="2_2_STAFF_Scedule2"/>
      <sheetName val="31_July_20052"/>
      <sheetName val="HSE_2"/>
      <sheetName val="Malaysia_incl__RET2"/>
      <sheetName val="INSTR-A_Main_Work2"/>
      <sheetName val="p_mgmt2"/>
      <sheetName val="Billing_amount_2"/>
      <sheetName val="RHI_GROUP2"/>
      <sheetName val="RHI_Konzern2"/>
      <sheetName val="cov_RHI_GROUP2"/>
      <sheetName val="Equipment_List2"/>
      <sheetName val="Billing_and_Status_Register1"/>
      <sheetName val="GTC_TECHNIP_PS_1700_001"/>
      <sheetName val="Orders_&amp;_Annexures"/>
      <sheetName val="Link Table"/>
      <sheetName val="Weight factors"/>
      <sheetName val="SALA-002"/>
      <sheetName val="Eng."/>
      <sheetName val="6PILE  (돌출)"/>
      <sheetName val="Utility and Fire flange"/>
      <sheetName val="inter"/>
      <sheetName val="Utility_and_Fire_flange"/>
      <sheetName val="Utility_and_Fire_flange1"/>
      <sheetName val="Peak Craft (old)"/>
      <sheetName val="Thixus"/>
      <sheetName val="W1"/>
      <sheetName val="S6"/>
      <sheetName val="PL"/>
      <sheetName val="W"/>
      <sheetName val="Depl"/>
      <sheetName val="1) COMMON FACILITIES"/>
      <sheetName val="INSULATION R1"/>
      <sheetName val="UG_3"/>
      <sheetName val="2_2_STAFF_Scedule3"/>
      <sheetName val="_Sum3"/>
      <sheetName val="97_사업추정(WEKI)"/>
      <sheetName val="Manpower_Construction"/>
      <sheetName val="summary_RE_&amp;_CF3"/>
      <sheetName val="31_July_20053"/>
      <sheetName val="HSE_3"/>
      <sheetName val="Malaysia_incl__RET3"/>
      <sheetName val="INSTR-A_Main_Work3"/>
      <sheetName val="p_mgmt3"/>
      <sheetName val="Billing_amount_3"/>
      <sheetName val="RHI_GROUP3"/>
      <sheetName val="RHI_Konzern3"/>
      <sheetName val="cov_RHI_GROUP3"/>
      <sheetName val="Equipment_List3"/>
      <sheetName val="Billing_and_Status_Register2"/>
      <sheetName val="GTC_TECHNIP_PS_1700_002"/>
      <sheetName val="Orders_&amp;_Annexures1"/>
      <sheetName val="Link_Table"/>
      <sheetName val="Weight_factors"/>
      <sheetName val="Eng_"/>
      <sheetName val="6PILE__(돌출)"/>
      <sheetName val="Utility_and_Fire_flange2"/>
      <sheetName val="Peak_Craft_(old)"/>
      <sheetName val="UG_4"/>
      <sheetName val="2_2_STAFF_Scedule4"/>
      <sheetName val="_Sum4"/>
      <sheetName val="97_사업추정(WEKI)1"/>
      <sheetName val="Manpower_Construction1"/>
      <sheetName val="summary_RE_&amp;_CF4"/>
      <sheetName val="31_July_20054"/>
      <sheetName val="HSE_4"/>
      <sheetName val="Malaysia_incl__RET4"/>
      <sheetName val="INSTR-A_Main_Work4"/>
      <sheetName val="p_mgmt4"/>
      <sheetName val="Billing_amount_4"/>
      <sheetName val="RHI_GROUP4"/>
      <sheetName val="RHI_Konzern4"/>
      <sheetName val="cov_RHI_GROUP4"/>
      <sheetName val="Equipment_List4"/>
      <sheetName val="Billing_and_Status_Register3"/>
      <sheetName val="GTC_TECHNIP_PS_1700_003"/>
      <sheetName val="Orders_&amp;_Annexures2"/>
      <sheetName val="Link_Table1"/>
      <sheetName val="Weight_factors1"/>
      <sheetName val="Eng_1"/>
      <sheetName val="6PILE__(돌출)1"/>
      <sheetName val="Utility_and_Fire_flange3"/>
      <sheetName val="Peak_Craft_(old)1"/>
      <sheetName val="Benchmark"/>
      <sheetName val="Consumables"/>
      <sheetName val="33628-Rev. A"/>
      <sheetName val="inst index"/>
      <sheetName val="Jornales"/>
      <sheetName val="1)_COMMON_FACILITIES"/>
      <sheetName val="INSULATION_R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sheetData sheetId="202"/>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
      <sheetName val="VUOTO"/>
      <sheetName val="2.0-A4"/>
      <sheetName val="SV"/>
      <sheetName val="contactor"/>
      <sheetName val="L"/>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sheet"/>
      <sheetName val="Page 2 of 7"/>
      <sheetName val="Page 3 of 7"/>
      <sheetName val="Page 4 of 7"/>
      <sheetName val="Page 5 of 7"/>
      <sheetName val="Page 6 of 7"/>
      <sheetName val="Page 7 of 7"/>
      <sheetName val="Module2"/>
      <sheetName val="Module1"/>
      <sheetName val="Chains"/>
      <sheetName val="Drop Down List"/>
      <sheetName val="DropDownList YP"/>
      <sheetName val="Front_sheet"/>
      <sheetName val="Page_2_of_7"/>
      <sheetName val="Page_3_of_7"/>
      <sheetName val="Page_4_of_7"/>
      <sheetName val="Page_5_of_7"/>
      <sheetName val="Page_6_of_7"/>
      <sheetName val="Page_7_of_7"/>
      <sheetName val="Front_sheet1"/>
      <sheetName val="Page_2_of_71"/>
      <sheetName val="Page_3_of_71"/>
      <sheetName val="Page_4_of_71"/>
      <sheetName val="Page_5_of_71"/>
      <sheetName val="Page_6_of_71"/>
      <sheetName val="Page_7_of_71"/>
      <sheetName val="IS Calculation"/>
      <sheetName val="Sheet1"/>
      <sheetName val="Motor"/>
      <sheetName val="Drop down"/>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Steam Config"/>
      <sheetName val="ProSteam Calculation"/>
      <sheetName val="Cover sheet(H)"/>
    </sheetNames>
    <sheetDataSet>
      <sheetData sheetId="0">
        <row r="8">
          <cell r="A8" t="str">
            <v>LM,{1E11F70A-1312-4D22-96F0-2270D9E87CE6},1</v>
          </cell>
        </row>
      </sheetData>
      <sheetData sheetId="1" refreshError="1"/>
      <sheetData sheetId="2"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Cover sheet"/>
      <sheetName val="Quantity"/>
      <sheetName val="Aboveground Erect_"/>
      <sheetName val="AG Pipe Erect - Frac &amp; Common"/>
      <sheetName val="#REF"/>
      <sheetName val="PROCESS"/>
      <sheetName val="BQ List"/>
      <sheetName val="PipWT"/>
      <sheetName val="ITEM"/>
      <sheetName val="Sheet1"/>
      <sheetName val="CALCULATION"/>
      <sheetName val="Proposal"/>
      <sheetName val="노임"/>
      <sheetName val="Total"/>
      <sheetName val="WIND"/>
      <sheetName val="PROP"/>
      <sheetName val="터널조도"/>
      <sheetName val="IN"/>
      <sheetName val="sch(data)"/>
      <sheetName val="DATA LISTS"/>
      <sheetName val="MEXICO-C"/>
      <sheetName val="MOTOR"/>
      <sheetName val="FAB별"/>
      <sheetName val="연돌일위집계"/>
      <sheetName val="정부노임단가"/>
      <sheetName val="TIE-IN"/>
      <sheetName val="Sheet5"/>
      <sheetName val="BSD (2)"/>
      <sheetName val="금액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201 RevB Design"/>
      <sheetName val="Scénario surpression"/>
      <sheetName val="hydrogénateurs (MJ)"/>
      <sheetName val="OLDHydrogénateur"/>
      <sheetName val="Hydrogénateur modifié (Qilin)"/>
      <sheetName val="Filtration Primaire (Qilin)"/>
      <sheetName val="Filtration Secondaire"/>
      <sheetName val="Coalesceur ST  S1260"/>
      <sheetName val="Colonne Alumine"/>
      <sheetName val="Filtration S1413"/>
      <sheetName val="Filtration H2O2 S1240"/>
      <sheetName val="Coalesceur H2O2 S1245"/>
      <sheetName val="Implantation R1210"/>
      <sheetName val="Implantation R1210 revue"/>
      <sheetName val="Colonne D1220"/>
      <sheetName val="Section Charbon 1_2"/>
      <sheetName val="Section Charbon 2_2"/>
      <sheetName val="R503"/>
      <sheetName val="R250-R502  tanks"/>
      <sheetName val="Old Section Charbon"/>
      <sheetName val="OLD Compresseur C113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
      <sheetName val="Calculation"/>
      <sheetName val="Pipe Dia"/>
      <sheetName val="Pipe Calc"/>
      <sheetName val="RFP002"/>
      <sheetName val="R56600 (1)"/>
      <sheetName val="合成単価作成表-BLDG"/>
      <sheetName val="IO Types"/>
      <sheetName val="Line Siz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XLS"/>
      <sheetName val="Emp. No. (2)"/>
    </sheetNames>
    <sheetDataSet>
      <sheetData sheetId="0" refreshError="1"/>
      <sheetData sheetId="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M 11"/>
      <sheetName val="M 21A"/>
      <sheetName val="M 21B"/>
      <sheetName val="M 31A"/>
      <sheetName val="M 31B"/>
      <sheetName val="M 32A"/>
      <sheetName val="M 32B"/>
      <sheetName val="M 41A"/>
      <sheetName val="M 41B"/>
      <sheetName val="M 42A"/>
      <sheetName val="M 42B"/>
      <sheetName val="M 51"/>
      <sheetName val="M 52"/>
      <sheetName val="Hull"/>
      <sheetName val="Currencies"/>
      <sheetName val="산근"/>
      <sheetName val="[TEPC 2197-SC002-EXB-Mech-BOQ-r"/>
      <sheetName val="Saisie"/>
      <sheetName val="SYSTEM 945 Air&amp;Nitrogen"/>
      <sheetName val="TTL"/>
      <sheetName val=""/>
      <sheetName val="TEPC 2197-SC002-EXB-Mech-BOQ-re"/>
      <sheetName val="Cover_page"/>
      <sheetName val="M_11"/>
      <sheetName val="M_21A"/>
      <sheetName val="M_21B"/>
      <sheetName val="M_31A"/>
      <sheetName val="M_31B"/>
      <sheetName val="M_32A"/>
      <sheetName val="M_32B"/>
      <sheetName val="M_41A"/>
      <sheetName val="M_41B"/>
      <sheetName val="M_42A"/>
      <sheetName val="M_42B"/>
      <sheetName val="M_51"/>
      <sheetName val="M_52"/>
      <sheetName val="SYSTEM_945_Air&amp;Nitrogen"/>
      <sheetName val="Cover_page1"/>
      <sheetName val="M_111"/>
      <sheetName val="M_21A1"/>
      <sheetName val="M_21B1"/>
      <sheetName val="M_31A1"/>
      <sheetName val="M_31B1"/>
      <sheetName val="M_32A1"/>
      <sheetName val="M_32B1"/>
      <sheetName val="M_41A1"/>
      <sheetName val="M_41B1"/>
      <sheetName val="M_42A1"/>
      <sheetName val="M_42B1"/>
      <sheetName val="M_511"/>
      <sheetName val="M_521"/>
      <sheetName val="SYSTEM_945_Air&amp;Nitrogen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 1"/>
      <sheetName val="Schematic"/>
      <sheetName val="Revised l551aeds New Logo"/>
      <sheetName val="BILAL2"/>
      <sheetName val="Pipe ID"/>
      <sheetName val="Alternator"/>
      <sheetName val="Page_1"/>
      <sheetName val="Electrical Load List"/>
      <sheetName val="IA drier Page 1"/>
      <sheetName val="C-3204"/>
      <sheetName val="MECH1"/>
      <sheetName val="Air Cooler kPa"/>
      <sheetName val="PipeSizes"/>
      <sheetName val="2STG"/>
      <sheetName val="DP"/>
      <sheetName val="DB_Gear"/>
      <sheetName val="DB_Master"/>
      <sheetName val="Fluids"/>
      <sheetName val="S0"/>
      <sheetName val="TWO PASS"/>
      <sheetName val="THREE PASS"/>
      <sheetName val="DEF"/>
      <sheetName val="Summary (rev0)"/>
      <sheetName val="Settings"/>
      <sheetName val="HMB 75 MMSCFD"/>
      <sheetName val="Calca"/>
      <sheetName val="Units"/>
      <sheetName val="Sheet2"/>
      <sheetName val="51-PSV8008L"/>
      <sheetName val="GEN"/>
      <sheetName val="Coupling"/>
      <sheetName val="Sheet1"/>
      <sheetName val="Rekap A"/>
      <sheetName val="UnitTable"/>
      <sheetName val="Data"/>
      <sheetName val="Revisions"/>
      <sheetName val="REF.ONLY"/>
      <sheetName val="Step"/>
      <sheetName val="date"/>
      <sheetName val="Form-3.3"/>
      <sheetName val="BOQ"/>
      <sheetName val="Rekap"/>
      <sheetName val="Data Cable"/>
      <sheetName val="CS_SS892"/>
      <sheetName val="CS_SS191"/>
      <sheetName val="CS_SS192"/>
      <sheetName val="CS_SS961"/>
      <sheetName val="CS_SS391"/>
      <sheetName val="CS_SS791"/>
      <sheetName val="CS_SS491"/>
      <sheetName val="CS_SS492"/>
      <sheetName val="MVCable"/>
      <sheetName val="COCable"/>
      <sheetName val="RXDATA"/>
      <sheetName val=" ratings"/>
      <sheetName val="PConsCS"/>
      <sheetName val="dia-in"/>
      <sheetName val="Break_down"/>
      <sheetName val="Equipment"/>
      <sheetName val="eq_data"/>
      <sheetName val="HVAC"/>
      <sheetName val="BM DATA SHEET"/>
      <sheetName val="summary"/>
      <sheetName val="Breakdown"/>
      <sheetName val="Page_11"/>
      <sheetName val="process data (2)"/>
      <sheetName val="Summary of BQ Material"/>
      <sheetName val="Satuan Dasar"/>
      <sheetName val="Calc"/>
      <sheetName val="Tank2"/>
      <sheetName val="Conn. Lib"/>
      <sheetName val="AOP Summary-2"/>
      <sheetName val="List Doc"/>
      <sheetName val="Material"/>
      <sheetName val="Works"/>
      <sheetName val="Services"/>
      <sheetName val="A(Rev.3)"/>
      <sheetName val="Template"/>
      <sheetName val="oil syst data shts"/>
      <sheetName val="Superstruc"/>
      <sheetName val="Price Summary (2)"/>
      <sheetName val="#REF"/>
      <sheetName val="HYDROTEST DIAGRAM"/>
      <sheetName val="WIP"/>
      <sheetName val="Spread"/>
      <sheetName val="PDMS DATA"/>
      <sheetName val="Scan Code Standards"/>
      <sheetName val="Page_12"/>
      <sheetName val="STRUKTUR"/>
      <sheetName val="VLL BAFF SDLL"/>
      <sheetName val="Pages 1-5"/>
      <sheetName val="CMP_A2series_Gland"/>
      <sheetName val="Kukdong_Cable_data"/>
      <sheetName val="L"/>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SBL Power Balance"/>
      <sheetName val="Revision"/>
      <sheetName val="Motor list"/>
      <sheetName val="Setup"/>
    </sheetNames>
    <sheetDataSet>
      <sheetData sheetId="0" refreshError="1"/>
      <sheetData sheetId="1" refreshError="1"/>
      <sheetData sheetId="2" refreshError="1"/>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VUOTO"/>
      <sheetName val="2.0-A4"/>
      <sheetName val="AD ST"/>
      <sheetName val="合成単価作成表-BLDG"/>
      <sheetName val="SILICATE"/>
      <sheetName val="Total Sum"/>
      <sheetName val="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M 11"/>
      <sheetName val="M 21A"/>
      <sheetName val="M 21B"/>
      <sheetName val="M 31A"/>
      <sheetName val="M 31B"/>
      <sheetName val="M 32A"/>
      <sheetName val="M 32B"/>
      <sheetName val="M 41A"/>
      <sheetName val="M 41B"/>
      <sheetName val="M 42A"/>
      <sheetName val="M 42B"/>
      <sheetName val="M 51"/>
      <sheetName val="M 52"/>
      <sheetName val="Hull"/>
      <sheetName val="Currencies"/>
      <sheetName val="Page 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왕갑지"/>
      <sheetName val="갑지"/>
      <sheetName val="내역서"/>
      <sheetName val="산근"/>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M 11"/>
      <sheetName val="Factor"/>
      <sheetName val="공문"/>
      <sheetName val="合成単価作成表-BLDG"/>
      <sheetName val="jobhist"/>
      <sheetName val="HVAC"/>
      <sheetName val="#2CDU실행"/>
      <sheetName val="w't table"/>
      <sheetName val="토목(대안)"/>
      <sheetName val="할증 "/>
      <sheetName val="#REF"/>
      <sheetName val="12CGOU"/>
      <sheetName val="뜃맟뭁돽띿맟?-BLDG"/>
      <sheetName val="단가집"/>
      <sheetName val=" Sum"/>
      <sheetName val="h-013211-2"/>
      <sheetName val="해평견적"/>
      <sheetName val="Main"/>
      <sheetName val="공정계획(내부계획25%,내부w.f)"/>
      <sheetName val="기계내역서"/>
      <sheetName val="BATCH"/>
      <sheetName val="단가"/>
      <sheetName val="99노임기준"/>
      <sheetName val="일위대가"/>
      <sheetName val="제잡비"/>
      <sheetName val="공내역서"/>
      <sheetName val="식재"/>
      <sheetName val="시설물"/>
      <sheetName val="식재출력용"/>
      <sheetName val="유지관리"/>
      <sheetName val="단가조사"/>
      <sheetName val="계수시트"/>
      <sheetName val="원가계산서"/>
      <sheetName val="대림경상68억"/>
      <sheetName val="시설물일위"/>
      <sheetName val="수목데이타"/>
      <sheetName val="가설공사"/>
      <sheetName val="단가결정"/>
      <sheetName val="내역아"/>
      <sheetName val="울타리"/>
      <sheetName val="Piping(Methanol)"/>
      <sheetName val="HO ENG MH CAL"/>
      <sheetName val="Gia vat tu"/>
      <sheetName val="환율표"/>
      <sheetName val="Sheet1"/>
      <sheetName val="수지표"/>
      <sheetName val="셀명"/>
      <sheetName val="PipWT"/>
      <sheetName val="inter"/>
      <sheetName val="PIPE"/>
      <sheetName val="FLANGE"/>
      <sheetName val="VALVE"/>
      <sheetName val="cal"/>
      <sheetName val="2-1. 경관조명 내역총괄표"/>
      <sheetName val="CAT_5"/>
      <sheetName val="Piping Design Data"/>
      <sheetName val="뜃맟뭁돽띿맟_-BLDG"/>
      <sheetName val="원가계산"/>
      <sheetName val="재료비"/>
      <sheetName val="Price Summary Sheet (Final BQ)"/>
      <sheetName val="EQT-ESTN"/>
      <sheetName val="Currencies"/>
      <sheetName val="Chi tiet"/>
      <sheetName val="PDS U-1400"/>
      <sheetName val="PROGRESS"/>
      <sheetName val="일위대가표"/>
      <sheetName val="장비종합부표"/>
      <sheetName val="집계표_식재"/>
      <sheetName val="부표"/>
      <sheetName val="경비"/>
      <sheetName val="AREA"/>
      <sheetName val="D"/>
      <sheetName val="Summary"/>
      <sheetName val="관련부서"/>
      <sheetName val="Report"/>
      <sheetName val="추가예산"/>
      <sheetName val="갑지(추정)"/>
      <sheetName val="공통(20-91)"/>
      <sheetName val="DATE"/>
      <sheetName val="Spec1"/>
      <sheetName val="견적기준"/>
      <sheetName val="노임이"/>
      <sheetName val="공사_산출"/>
      <sheetName val="산출내역"/>
      <sheetName val="준공조서갑지"/>
      <sheetName val="PSV2701F"/>
      <sheetName val="costing_CV"/>
      <sheetName val="Chiet tinh dz35"/>
      <sheetName val="Chiet tinh dz22"/>
      <sheetName val="CT Thang Mo"/>
      <sheetName val="CT  PL"/>
      <sheetName val="MTP"/>
      <sheetName val="MTP1"/>
      <sheetName val="8"/>
      <sheetName val="10"/>
      <sheetName val="12"/>
      <sheetName val="9"/>
      <sheetName val="11"/>
      <sheetName val="2"/>
      <sheetName val="AA"/>
      <sheetName val="도급"/>
      <sheetName val="도면자료제출일정"/>
      <sheetName val="MB(LAB_No.2)"/>
      <sheetName val="개산공사비"/>
      <sheetName val="AILC004"/>
      <sheetName val="설계"/>
      <sheetName val="PBS"/>
      <sheetName val="편성절차"/>
      <sheetName val="SUBCON"/>
      <sheetName val="cement"/>
      <sheetName val="TOT-SUM"/>
      <sheetName val="예총"/>
      <sheetName val="UNIT PRICES"/>
      <sheetName val="주관사업"/>
      <sheetName val="견적대비표"/>
      <sheetName val="cable-data"/>
      <sheetName val="기자재집계"/>
      <sheetName val="토공개요"/>
      <sheetName val="Pile"/>
      <sheetName val="SS2"/>
      <sheetName val="TRANSFER"/>
      <sheetName val="실행내역"/>
      <sheetName val="name"/>
      <sheetName val="BQMPALOC"/>
      <sheetName val="설계명세서"/>
      <sheetName val="품셈표"/>
      <sheetName val="設計条件"/>
      <sheetName val="Precall-new"/>
      <sheetName val="BASE DE PERSONAL"/>
      <sheetName val="Facturación A"/>
      <sheetName val="TABLAS"/>
      <sheetName val="RES"/>
      <sheetName val="SILICATE"/>
      <sheetName val="Civil"/>
      <sheetName val="DB@Acess"/>
      <sheetName val="INDIRECTS"/>
      <sheetName val="DELIVERIES"/>
      <sheetName val="참고자료"/>
      <sheetName val="見積条件入力画面"/>
      <sheetName val="性能取り纏め"/>
      <sheetName val="일위대가목차"/>
      <sheetName val="노임단가"/>
      <sheetName val="전기"/>
      <sheetName val="CODE"/>
      <sheetName val="TIE-INS"/>
      <sheetName val="A01"/>
      <sheetName val="A11"/>
      <sheetName val="A16"/>
      <sheetName val="A02"/>
      <sheetName val="A03"/>
      <sheetName val="A04"/>
      <sheetName val="A05"/>
      <sheetName val="A06"/>
      <sheetName val="A07"/>
      <sheetName val="A08a"/>
      <sheetName val="A08b"/>
      <sheetName val="CE-ORG"/>
      <sheetName val="Variations"/>
      <sheetName val="laroux"/>
      <sheetName val="단중표-ST"/>
      <sheetName val="Segment"/>
      <sheetName val="실행내역서 "/>
      <sheetName val="Q5434 EQ LIST"/>
      <sheetName val="Pump"/>
      <sheetName val="MEPS Structural Steel Index 비교"/>
      <sheetName val="MEPS CS Index 비교"/>
      <sheetName val="집계표(OPTION)"/>
      <sheetName val="M"/>
      <sheetName val="98수지배부(수정)"/>
      <sheetName val="총괄표"/>
      <sheetName val="실행철강하도"/>
      <sheetName val="잡비계산"/>
      <sheetName val="AU"/>
      <sheetName val="wp DESCRIPTION"/>
      <sheetName val="Civil Boq"/>
      <sheetName val="Total"/>
      <sheetName val="대창(함평)"/>
      <sheetName val="대창(장성)"/>
      <sheetName val="경비집계"/>
      <sheetName val="ESTI."/>
      <sheetName val="DI-ESTI"/>
      <sheetName val="96.12"/>
      <sheetName val="영업소실적"/>
      <sheetName val="3514-HV-0201"/>
      <sheetName val="PROJECT"/>
      <sheetName val="eq_data"/>
      <sheetName val="COA-17"/>
      <sheetName val="C-18"/>
      <sheetName val="9-1차이내역"/>
      <sheetName val="Questions to Vendor"/>
      <sheetName val="??-BLDG"/>
      <sheetName val="KP1590_E"/>
      <sheetName val="BOX 설계"/>
      <sheetName val="1.설계조건"/>
      <sheetName val="member design"/>
      <sheetName val="design criteria"/>
      <sheetName val="working load at the btm ft."/>
      <sheetName val="plan&amp;section of foundation"/>
      <sheetName val="soil bearing check"/>
      <sheetName val="SKETCH"/>
      <sheetName val="CAL."/>
      <sheetName val="MEXICO-C"/>
      <sheetName val="15100"/>
      <sheetName val="CONSTANTES"/>
      <sheetName val="Weights"/>
      <sheetName val="당진1,2호기전선관설치및접지4차공사내역서-을지"/>
      <sheetName val="BM"/>
      <sheetName val="costing_Misc"/>
      <sheetName val="Data"/>
      <sheetName val="Utility and Fire flange"/>
      <sheetName val="Quantity"/>
      <sheetName val="__-BLDG"/>
      <sheetName val="hGH정제"/>
      <sheetName val="거래처계좌"/>
      <sheetName val="Process Piping"/>
      <sheetName val="공사비 내역 (가)"/>
      <sheetName val="2002년12월"/>
      <sheetName val="대비표"/>
      <sheetName val="POWER"/>
      <sheetName val="설명서 "/>
      <sheetName val="토목"/>
      <sheetName val="P2-Project Data"/>
      <sheetName val="C3"/>
      <sheetName val="마감집계(창고)"/>
      <sheetName val="도장면적"/>
      <sheetName val="마감산근(창고)"/>
      <sheetName val="자재단가조사표-수목"/>
      <sheetName val="건축명"/>
      <sheetName val="기계명"/>
      <sheetName val="전기명"/>
      <sheetName val="토목명"/>
      <sheetName val="수주추정"/>
      <sheetName val="차액보증"/>
      <sheetName val="H_param"/>
      <sheetName val="명세서"/>
      <sheetName val="상반기손익차2총괄"/>
      <sheetName val="Project Details"/>
      <sheetName val="steel data sheet"/>
      <sheetName val="CTEMCOST"/>
      <sheetName val="2. Project Orgarnization(Site)"/>
      <sheetName val="X17-TOTAL"/>
      <sheetName val="견"/>
      <sheetName val="FAB별"/>
      <sheetName val="XLR_NoRangeSheet"/>
      <sheetName val="자금운영"/>
      <sheetName val="골조시행"/>
      <sheetName val="부서코드표"/>
      <sheetName val="각계정원장"/>
      <sheetName val="간접비차이_PJT"/>
      <sheetName val="자바라1"/>
      <sheetName val="1100-1200-1300-1910-2140-LEV 2"/>
      <sheetName val="Det_IH"/>
      <sheetName val="w't_table"/>
      <sheetName val="할증_"/>
      <sheetName val="_REF"/>
      <sheetName val="Fax"/>
      <sheetName val="자재코드"/>
      <sheetName val="Table"/>
      <sheetName val="기초입력"/>
      <sheetName val="비주거용"/>
      <sheetName val="TENDER PROG."/>
      <sheetName val="Katsayılar"/>
      <sheetName val="COST-TZ"/>
      <sheetName val="출금실적"/>
      <sheetName val="Summary Sheets"/>
      <sheetName val="Macro"/>
      <sheetName val="Taux"/>
      <sheetName val="PI"/>
      <sheetName val="지수"/>
      <sheetName val="INVOICE_CERT EIV'S"/>
      <sheetName val="wp_DESCRIPTION"/>
      <sheetName val="INVOICE_CERT_EIV'S"/>
      <sheetName val="_Sum"/>
      <sheetName val="공정계획(내부계획25%,내부w_f)"/>
      <sheetName val="HO_ENG_MH_CAL"/>
      <sheetName val="Gia_vat_tu"/>
      <sheetName val="2-1__경관조명_내역총괄표"/>
      <sheetName val="Piping_Design_Data"/>
      <sheetName val="Price_Summary_Sheet_(Final_BQ)"/>
      <sheetName val="Chi_tiet"/>
      <sheetName val="PDS_U-1400"/>
      <sheetName val="MB(LAB_No_2)"/>
      <sheetName val="Chiet_tinh_dz35"/>
      <sheetName val="Chiet_tinh_dz22"/>
      <sheetName val="CT_Thang_Mo"/>
      <sheetName val="CT__PL"/>
      <sheetName val="UNIT_PRICES"/>
      <sheetName val="BASE_DE_PERSONAL"/>
      <sheetName val="Facturación_A"/>
      <sheetName val="Utility_and_Fire_flange"/>
      <sheetName val="실행내역서_"/>
      <sheetName val="Q5434_EQ_LIST"/>
      <sheetName val="MEPS_Structural_Steel_Index_비교"/>
      <sheetName val="MEPS_CS_Index_비교"/>
      <sheetName val="Civil_Boq"/>
      <sheetName val="ESTI_"/>
      <sheetName val="96_12"/>
      <sheetName val="Questions_to_Vendor"/>
      <sheetName val="BOX_설계"/>
      <sheetName val="1_설계조건"/>
      <sheetName val="member_design"/>
      <sheetName val="design_criteria"/>
      <sheetName val="working_load_at_the_btm_ft_"/>
      <sheetName val="plan&amp;section_of_foundation"/>
      <sheetName val="soil_bearing_check"/>
      <sheetName val="CAL_"/>
      <sheetName val="NIML"/>
      <sheetName val="BGT-00F2907"/>
      <sheetName val="COLUMN"/>
      <sheetName val="DRUM"/>
      <sheetName val="요약배부"/>
      <sheetName val="Final(1)summary"/>
      <sheetName val="Status"/>
      <sheetName val="공사비_내역_(가)"/>
      <sheetName val="5.) Time Delays"/>
      <sheetName val="데이타"/>
      <sheetName val="식재인부"/>
      <sheetName val="입력"/>
      <sheetName val="구조물철거타공정이월"/>
      <sheetName val="Testing"/>
      <sheetName val="기기리스트"/>
      <sheetName val="정부노임단가"/>
      <sheetName val="상계견적"/>
      <sheetName val="M-EQPT-Z"/>
      <sheetName val="공사개요"/>
      <sheetName val="기준"/>
      <sheetName val="pvc vent"/>
      <sheetName val="cover"/>
      <sheetName val="INGENIERÍA"/>
      <sheetName val="당초"/>
      <sheetName val="변경"/>
      <sheetName val="집계표"/>
      <sheetName val="CB"/>
      <sheetName val="cvr"/>
      <sheetName val="sum"/>
      <sheetName val="indirect"/>
      <sheetName val="bm (2)"/>
      <sheetName val="Instrument"/>
      <sheetName val="Junction Box"/>
      <sheetName val="JB_Final checked"/>
      <sheetName val="Equipment"/>
      <sheetName val="F&amp;G System"/>
      <sheetName val="F&amp;G System (Detail)"/>
      <sheetName val="MOTOR"/>
      <sheetName val="동결보온"/>
      <sheetName val="BID"/>
      <sheetName val="금액내역서"/>
      <sheetName val=" 배관자재비-SKEC구매분"/>
      <sheetName val="제경비"/>
      <sheetName val="abc"/>
      <sheetName val="108"/>
      <sheetName val="JCS"/>
      <sheetName val="Working"/>
      <sheetName val="Manpower"/>
      <sheetName val="Datas"/>
      <sheetName val="Int. Pr.-Shell"/>
      <sheetName val="Ext. Pr.-Shell"/>
      <sheetName val="Int. Pr.-D'End"/>
      <sheetName val="Ext. Pr.-D'End"/>
      <sheetName val="Reinforcement Pad"/>
      <sheetName val="Nozzles"/>
      <sheetName val="Painting"/>
      <sheetName val="수입"/>
      <sheetName val="TTL"/>
      <sheetName val="품셈"/>
      <sheetName val="Onerous Terms"/>
      <sheetName val="fitting"/>
      <sheetName val="Erection"/>
      <sheetName val="Proposal"/>
      <sheetName val="WORK-VOL"/>
      <sheetName val="FAB_I"/>
      <sheetName val="적용환율"/>
      <sheetName val="조도계산서 (도서)"/>
      <sheetName val="도급양식"/>
      <sheetName val="입찰안"/>
      <sheetName val="직원동원SCH"/>
      <sheetName val="D-3109"/>
      <sheetName val="기성내역"/>
      <sheetName val="현장지지물물량"/>
      <sheetName val="General Data"/>
      <sheetName val="COST SUMMARY"/>
      <sheetName val="PIPING"/>
      <sheetName val="bm_(2)"/>
      <sheetName val="Junction_Box"/>
      <sheetName val="JB_Final_checked"/>
      <sheetName val="F&amp;G_System"/>
      <sheetName val="F&amp;G_System_(Detail)"/>
      <sheetName val="_배관자재비-SKEC구매분"/>
      <sheetName val="extensions lookup"/>
      <sheetName val="3. Piping"/>
      <sheetName val="EQUIP"/>
      <sheetName val="작성방법"/>
      <sheetName val="자격 땡겨오기"/>
      <sheetName val="연돌일위집계"/>
      <sheetName val="ITEM"/>
      <sheetName val="영업2"/>
      <sheetName val="4300 UTILITY BLDG (2)"/>
      <sheetName val="공정율 기초 Data"/>
      <sheetName val="가격분석@1100(990104)"/>
      <sheetName val="Escalation"/>
      <sheetName val="Rate Analysis"/>
      <sheetName val="wall"/>
      <sheetName val="결재판(삭제하지말아주세요)"/>
      <sheetName val="광통신 견적내역서1"/>
      <sheetName val="WIP"/>
      <sheetName val="PipeLines"/>
      <sheetName val="환율"/>
      <sheetName val="6.현장조직도"/>
      <sheetName val="ANALYSER"/>
      <sheetName val="base"/>
      <sheetName val="산출근거#2-3"/>
      <sheetName val="BEND LOSS"/>
      <sheetName val="공사비 내역 _가_"/>
      <sheetName val="A-12"/>
      <sheetName val="MAN-Sch"/>
      <sheetName val="RING WALL"/>
      <sheetName val="Process_Piping"/>
      <sheetName val="A1 Thru A11- LUMP SUM CONSTR"/>
      <sheetName val="Dike(H=0.9m)"/>
      <sheetName val="PIPING_total"/>
      <sheetName val="static.cal"/>
      <sheetName val="가도공"/>
      <sheetName val="TO_COST_PPS_METRIC"/>
      <sheetName val="NAMES"/>
      <sheetName val="RFP009"/>
      <sheetName val="CASE A1 CPP"/>
      <sheetName val="Sheet1 (2)"/>
      <sheetName val="근거 및 가정"/>
      <sheetName val="Database"/>
      <sheetName val="NEWDRAW"/>
      <sheetName val="수목단가"/>
      <sheetName val="시설수량표"/>
      <sheetName val="식재수량표"/>
      <sheetName val="일위목록"/>
      <sheetName val="자재단가"/>
      <sheetName val="조명시설"/>
      <sheetName val="실행(ALT1)"/>
      <sheetName val="0110이후"/>
      <sheetName val="보수0831"/>
      <sheetName val="건축"/>
      <sheetName val="PROJECT DATA"/>
      <sheetName val="7-2"/>
      <sheetName val="BP"/>
      <sheetName val="INSTR"/>
      <sheetName val="찍기"/>
      <sheetName val="CoverShawIntl"/>
      <sheetName val="VS배관내역서"/>
      <sheetName val="철거산출근거"/>
      <sheetName val="w't_table1"/>
      <sheetName val="할증_1"/>
      <sheetName val="_Sum1"/>
      <sheetName val="공정계획(내부계획25%,내부w_f)1"/>
      <sheetName val="HO_ENG_MH_CAL1"/>
      <sheetName val="Gia_vat_tu1"/>
      <sheetName val="Piping_Design_Data1"/>
      <sheetName val="2-1__경관조명_내역총괄표1"/>
      <sheetName val="BASE_DE_PERSONAL1"/>
      <sheetName val="Facturación_A1"/>
      <sheetName val="Price_Summary_Sheet_(Final_BQ)1"/>
      <sheetName val="Chi_tiet1"/>
      <sheetName val="PDS_U-14001"/>
      <sheetName val="Chiet_tinh_dz351"/>
      <sheetName val="Chiet_tinh_dz221"/>
      <sheetName val="CT_Thang_Mo1"/>
      <sheetName val="CT__PL1"/>
      <sheetName val="MB(LAB_No_2)1"/>
      <sheetName val="UNIT_PRICES1"/>
      <sheetName val="Q5434_EQ_LIST1"/>
      <sheetName val="공사비_내역_(가)1"/>
      <sheetName val="MEPS_Structural_Steel_Index_비교1"/>
      <sheetName val="MEPS_CS_Index_비교1"/>
      <sheetName val="wp_DESCRIPTION1"/>
      <sheetName val="Civil_Boq1"/>
      <sheetName val="실행내역서_1"/>
      <sheetName val="Process_Piping1"/>
      <sheetName val="BOX_설계1"/>
      <sheetName val="1_설계조건1"/>
      <sheetName val="member_design1"/>
      <sheetName val="design_criteria1"/>
      <sheetName val="working_load_at_the_btm_ft_1"/>
      <sheetName val="plan&amp;section_of_foundation1"/>
      <sheetName val="soil_bearing_check1"/>
      <sheetName val="CAL_1"/>
      <sheetName val="Project_Details"/>
      <sheetName val="steel_data_sheet"/>
      <sheetName val="ESTI_1"/>
      <sheetName val="96_121"/>
      <sheetName val="설명서_"/>
      <sheetName val="5_)_Time_Delays"/>
      <sheetName val="1100-1200-1300-1910-2140-LEV_2"/>
      <sheetName val="P2-Project_Data"/>
      <sheetName val="2__Project_Orgarnization(Site)"/>
      <sheetName val="TENDER_PROG_"/>
      <sheetName val="Summary_Sheets"/>
      <sheetName val="INVOICE_CERT_EIV'S1"/>
      <sheetName val="공사비_내역__가_"/>
      <sheetName val="6_현장조직도"/>
      <sheetName val="w't_table2"/>
      <sheetName val="할증_2"/>
      <sheetName val="_Sum2"/>
      <sheetName val="공정계획(내부계획25%,내부w_f)2"/>
      <sheetName val="HO_ENG_MH_CAL2"/>
      <sheetName val="Gia_vat_tu2"/>
      <sheetName val="Piping_Design_Data2"/>
      <sheetName val="2-1__경관조명_내역총괄표2"/>
      <sheetName val="BASE_DE_PERSONAL2"/>
      <sheetName val="Facturación_A2"/>
      <sheetName val="Price_Summary_Sheet_(Final_BQ)2"/>
      <sheetName val="Chi_tiet2"/>
      <sheetName val="PDS_U-14002"/>
      <sheetName val="Chiet_tinh_dz352"/>
      <sheetName val="Chiet_tinh_dz222"/>
      <sheetName val="CT_Thang_Mo2"/>
      <sheetName val="CT__PL2"/>
      <sheetName val="MB(LAB_No_2)2"/>
      <sheetName val="UNIT_PRICES2"/>
      <sheetName val="Q5434_EQ_LIST2"/>
      <sheetName val="공사비_내역_(가)2"/>
      <sheetName val="MEPS_Structural_Steel_Index_비교2"/>
      <sheetName val="MEPS_CS_Index_비교2"/>
      <sheetName val="wp_DESCRIPTION2"/>
      <sheetName val="Civil_Boq2"/>
      <sheetName val="실행내역서_2"/>
      <sheetName val="Process_Piping2"/>
      <sheetName val="BOX_설계2"/>
      <sheetName val="1_설계조건2"/>
      <sheetName val="member_design2"/>
      <sheetName val="design_criteria2"/>
      <sheetName val="working_load_at_the_btm_ft_2"/>
      <sheetName val="plan&amp;section_of_foundation2"/>
      <sheetName val="soil_bearing_check2"/>
      <sheetName val="CAL_2"/>
      <sheetName val="Project_Details1"/>
      <sheetName val="steel_data_sheet1"/>
      <sheetName val="ESTI_2"/>
      <sheetName val="96_122"/>
      <sheetName val="Questions_to_Vendor1"/>
      <sheetName val="설명서_1"/>
      <sheetName val="5_)_Time_Delays1"/>
      <sheetName val="1100-1200-1300-1910-2140-LEV_21"/>
      <sheetName val="P2-Project_Data1"/>
      <sheetName val="Utility_and_Fire_flange1"/>
      <sheetName val="2__Project_Orgarnization(Site)1"/>
      <sheetName val="TENDER_PROG_1"/>
      <sheetName val="Summary_Sheets1"/>
      <sheetName val="INVOICE_CERT_EIV'S2"/>
      <sheetName val="공사비_내역__가_1"/>
      <sheetName val="6_현장조직도1"/>
      <sheetName val="ANALYSIS"/>
      <sheetName val="vlookup - do not print"/>
      <sheetName val="KP_List"/>
      <sheetName val="pvc_vent"/>
      <sheetName val="RING_WALL"/>
      <sheetName val="bm_(2)1"/>
      <sheetName val="Junction_Box1"/>
      <sheetName val="JB_Final_checked1"/>
      <sheetName val="F&amp;G_System1"/>
      <sheetName val="F&amp;G_System_(Detail)1"/>
      <sheetName val="_배관자재비-SKEC구매분1"/>
      <sheetName val="Int__Pr_-Shell"/>
      <sheetName val="Ext__Pr_-Shell"/>
      <sheetName val="Int__Pr_-D'End"/>
      <sheetName val="Ext__Pr_-D'End"/>
      <sheetName val="Reinforcement_Pad"/>
      <sheetName val="Onerous_Terms"/>
      <sheetName val="조도계산서_(도서)"/>
      <sheetName val="General_Data"/>
      <sheetName val="COST_SUMMARY"/>
      <sheetName val="extensions_lookup"/>
      <sheetName val="3__Piping"/>
      <sheetName val="자격_땡겨오기"/>
      <sheetName val="4300_UTILITY_BLDG_(2)"/>
      <sheetName val="공정율_기초_Data"/>
      <sheetName val="Rate_Analysis"/>
      <sheetName val="광통신_견적내역서1"/>
      <sheetName val="BEND_LOSS"/>
      <sheetName val="A1_Thru_A11-_LUMP_SUM_CONSTR"/>
      <sheetName val="EQUIPMENT ERECTION BREAKDOWN"/>
      <sheetName val="Dike(H=0_9m)"/>
      <sheetName val="static_cal"/>
      <sheetName val="w't_table3"/>
      <sheetName val="할증_3"/>
      <sheetName val="_Sum3"/>
      <sheetName val="공정계획(내부계획25%,내부w_f)3"/>
      <sheetName val="HO_ENG_MH_CAL3"/>
      <sheetName val="Gia_vat_tu3"/>
      <sheetName val="Piping_Design_Data3"/>
      <sheetName val="2-1__경관조명_내역총괄표3"/>
      <sheetName val="BASE_DE_PERSONAL3"/>
      <sheetName val="Facturación_A3"/>
      <sheetName val="Price_Summary_Sheet_(Final_BQ)3"/>
      <sheetName val="Chi_tiet3"/>
      <sheetName val="PDS_U-14003"/>
      <sheetName val="Chiet_tinh_dz353"/>
      <sheetName val="Chiet_tinh_dz223"/>
      <sheetName val="CT_Thang_Mo3"/>
      <sheetName val="CT__PL3"/>
      <sheetName val="MB(LAB_No_2)3"/>
      <sheetName val="UNIT_PRICES3"/>
      <sheetName val="Q5434_EQ_LIST3"/>
      <sheetName val="공사비_내역_(가)3"/>
      <sheetName val="MEPS_Structural_Steel_Index_비교3"/>
      <sheetName val="MEPS_CS_Index_비교3"/>
      <sheetName val="wp_DESCRIPTION3"/>
      <sheetName val="Civil_Boq3"/>
      <sheetName val="실행내역서_3"/>
      <sheetName val="Process_Piping3"/>
      <sheetName val="BOX_설계3"/>
      <sheetName val="1_설계조건3"/>
      <sheetName val="member_design3"/>
      <sheetName val="design_criteria3"/>
      <sheetName val="working_load_at_the_btm_ft_3"/>
      <sheetName val="plan&amp;section_of_foundation3"/>
      <sheetName val="soil_bearing_check3"/>
      <sheetName val="CAL_3"/>
      <sheetName val="Project_Details2"/>
      <sheetName val="steel_data_sheet2"/>
      <sheetName val="ESTI_3"/>
      <sheetName val="96_123"/>
      <sheetName val="Questions_to_Vendor2"/>
      <sheetName val="설명서_2"/>
      <sheetName val="5_)_Time_Delays2"/>
      <sheetName val="1100-1200-1300-1910-2140-LEV_22"/>
      <sheetName val="P2-Project_Data2"/>
      <sheetName val="Utility_and_Fire_flange2"/>
      <sheetName val="2__Project_Orgarnization(Site)2"/>
      <sheetName val="TENDER_PROG_2"/>
      <sheetName val="Summary_Sheets2"/>
      <sheetName val="INVOICE_CERT_EIV'S3"/>
      <sheetName val="공사비_내역__가_2"/>
      <sheetName val="6_현장조직도2"/>
      <sheetName val="w't_table4"/>
      <sheetName val="할증_4"/>
      <sheetName val="_Sum4"/>
      <sheetName val="공정계획(내부계획25%,내부w_f)4"/>
      <sheetName val="HO_ENG_MH_CAL4"/>
      <sheetName val="Gia_vat_tu4"/>
      <sheetName val="Piping_Design_Data4"/>
      <sheetName val="2-1__경관조명_내역총괄표4"/>
      <sheetName val="BASE_DE_PERSONAL4"/>
      <sheetName val="Facturación_A4"/>
      <sheetName val="Price_Summary_Sheet_(Final_BQ)4"/>
      <sheetName val="Chi_tiet4"/>
      <sheetName val="PDS_U-14004"/>
      <sheetName val="Chiet_tinh_dz354"/>
      <sheetName val="Chiet_tinh_dz224"/>
      <sheetName val="CT_Thang_Mo4"/>
      <sheetName val="CT__PL4"/>
      <sheetName val="MB(LAB_No_2)4"/>
      <sheetName val="UNIT_PRICES4"/>
      <sheetName val="Q5434_EQ_LIST4"/>
      <sheetName val="공사비_내역_(가)4"/>
      <sheetName val="MEPS_Structural_Steel_Index_비교4"/>
      <sheetName val="MEPS_CS_Index_비교4"/>
      <sheetName val="wp_DESCRIPTION4"/>
      <sheetName val="Civil_Boq4"/>
      <sheetName val="실행내역서_4"/>
      <sheetName val="Process_Piping4"/>
      <sheetName val="BOX_설계4"/>
      <sheetName val="1_설계조건4"/>
      <sheetName val="member_design4"/>
      <sheetName val="design_criteria4"/>
      <sheetName val="working_load_at_the_btm_ft_4"/>
      <sheetName val="plan&amp;section_of_foundation4"/>
      <sheetName val="soil_bearing_check4"/>
      <sheetName val="CAL_4"/>
      <sheetName val="Project_Details3"/>
      <sheetName val="steel_data_sheet3"/>
      <sheetName val="ESTI_4"/>
      <sheetName val="96_124"/>
      <sheetName val="Questions_to_Vendor3"/>
      <sheetName val="설명서_3"/>
      <sheetName val="5_)_Time_Delays3"/>
      <sheetName val="1100-1200-1300-1910-2140-LEV_23"/>
      <sheetName val="P2-Project_Data3"/>
      <sheetName val="Utility_and_Fire_flange3"/>
      <sheetName val="2__Project_Orgarnization(Site)3"/>
      <sheetName val="TENDER_PROG_3"/>
      <sheetName val="Summary_Sheets3"/>
      <sheetName val="INVOICE_CERT_EIV'S4"/>
      <sheetName val="공사비_내역__가_3"/>
      <sheetName val="6_현장조직도3"/>
      <sheetName val="w't_table5"/>
      <sheetName val="할증_5"/>
      <sheetName val="_Sum5"/>
      <sheetName val="공정계획(내부계획25%,내부w_f)5"/>
      <sheetName val="HO_ENG_MH_CAL5"/>
      <sheetName val="Gia_vat_tu5"/>
      <sheetName val="Piping_Design_Data5"/>
      <sheetName val="2-1__경관조명_내역총괄표5"/>
      <sheetName val="BASE_DE_PERSONAL5"/>
      <sheetName val="Facturación_A5"/>
      <sheetName val="Price_Summary_Sheet_(Final_BQ)5"/>
      <sheetName val="Chi_tiet5"/>
      <sheetName val="PDS_U-14005"/>
      <sheetName val="Chiet_tinh_dz355"/>
      <sheetName val="Chiet_tinh_dz225"/>
      <sheetName val="CT_Thang_Mo5"/>
      <sheetName val="CT__PL5"/>
      <sheetName val="MB(LAB_No_2)5"/>
      <sheetName val="UNIT_PRICES5"/>
      <sheetName val="Q5434_EQ_LIST5"/>
      <sheetName val="공사비_내역_(가)5"/>
      <sheetName val="MEPS_Structural_Steel_Index_비교5"/>
      <sheetName val="MEPS_CS_Index_비교5"/>
      <sheetName val="wp_DESCRIPTION5"/>
      <sheetName val="Civil_Boq5"/>
      <sheetName val="실행내역서_5"/>
      <sheetName val="Process_Piping5"/>
      <sheetName val="BOX_설계5"/>
      <sheetName val="1_설계조건5"/>
      <sheetName val="member_design5"/>
      <sheetName val="design_criteria5"/>
      <sheetName val="working_load_at_the_btm_ft_5"/>
      <sheetName val="plan&amp;section_of_foundation5"/>
      <sheetName val="soil_bearing_check5"/>
      <sheetName val="CAL_5"/>
      <sheetName val="Project_Details4"/>
      <sheetName val="steel_data_sheet4"/>
      <sheetName val="ESTI_5"/>
      <sheetName val="96_125"/>
      <sheetName val="Questions_to_Vendor4"/>
      <sheetName val="설명서_4"/>
      <sheetName val="5_)_Time_Delays4"/>
      <sheetName val="1100-1200-1300-1910-2140-LEV_24"/>
      <sheetName val="P2-Project_Data4"/>
      <sheetName val="Utility_and_Fire_flange4"/>
      <sheetName val="2__Project_Orgarnization(Site)4"/>
      <sheetName val="TENDER_PROG_4"/>
      <sheetName val="Summary_Sheets4"/>
      <sheetName val="INVOICE_CERT_EIV'S5"/>
      <sheetName val="공사비_내역__가_4"/>
      <sheetName val="6_현장조직도4"/>
      <sheetName val="2000.11월설계내역"/>
      <sheetName val="manhour"/>
      <sheetName val="A.1.1.2 &amp; 3 Yard Fac &amp; Supp TS"/>
      <sheetName val="A(Rev.3)"/>
      <sheetName val="UnitList"/>
      <sheetName val="Macro1"/>
      <sheetName val="Aweer"/>
      <sheetName val="C-850R0.XLS"/>
      <sheetName val="Pittsburge"/>
      <sheetName val="activity"/>
      <sheetName val="1.cs sl(150)"/>
      <sheetName val="steam table"/>
      <sheetName val="GEN PROG"/>
      <sheetName val="TOTAL MHRS"/>
      <sheetName val="대치판정"/>
      <sheetName val="CC16-내역서"/>
      <sheetName val="معد .ث"/>
      <sheetName val="D-623D"/>
      <sheetName val="ASCEandUBC"/>
      <sheetName val="1단계"/>
      <sheetName val="을"/>
      <sheetName val="계약자료"/>
      <sheetName val="Panel제작명세서"/>
      <sheetName val="CA1"/>
      <sheetName val="Contents"/>
      <sheetName val="SYS_DB"/>
      <sheetName val="건축내역"/>
      <sheetName val="소화실적"/>
      <sheetName val="D-3503"/>
      <sheetName val="Eq. Mobilization"/>
      <sheetName val="PROCURE"/>
      <sheetName val="BoQ"/>
      <sheetName val="DESIGN"/>
      <sheetName val="도"/>
      <sheetName val="Graph (LGEN)"/>
      <sheetName val="out_prog"/>
      <sheetName val="선적schedule (2)"/>
      <sheetName val="INDEX"/>
      <sheetName val="Food court "/>
      <sheetName val="부재력정리"/>
      <sheetName val="WIND"/>
      <sheetName val="Rates"/>
      <sheetName val="WITHOUT C&amp;I PROFIT (3)"/>
      <sheetName val="EIs Progress"/>
      <sheetName val="RFP003B"/>
      <sheetName val="안전장치"/>
      <sheetName val="LS - Rev.0"/>
      <sheetName val="HP-Steamdrum"/>
      <sheetName val="대공종"/>
      <sheetName val="MP Plan &amp; Costs"/>
      <sheetName val="Finansal tamamlanma Eğrisi"/>
      <sheetName val="공사내역"/>
      <sheetName val="차수"/>
      <sheetName val="118.세금과공과"/>
      <sheetName val="고정자산원본"/>
      <sheetName val="뒤차축소"/>
      <sheetName val="PropSum"/>
      <sheetName val="Sur Site"/>
      <sheetName val="Malaysia incl. RET"/>
      <sheetName val="손익차9월2"/>
      <sheetName val="REDUCER"/>
      <sheetName val="WE'T"/>
      <sheetName val="95월별매출"/>
      <sheetName val="A131neu ,CSB (S CSB=400)"/>
      <sheetName val="est"/>
      <sheetName val="S1BOQ"/>
      <sheetName val="FORM7"/>
      <sheetName val="Labour"/>
      <sheetName val="Material"/>
      <sheetName val=" CC26R Tender Stag BoQ"/>
      <sheetName val="Labor Plan"/>
      <sheetName val="Admin"/>
      <sheetName val="EXPAN-1"/>
      <sheetName val="회전율"/>
      <sheetName val="Data Summary"/>
      <sheetName val="DB_ET200(R. A)"/>
      <sheetName val="표지"/>
      <sheetName val="P-Ph3-F-002"/>
      <sheetName val="AC"/>
      <sheetName val="CASE_A1_CPP"/>
      <sheetName val="Sheet1_(2)"/>
      <sheetName val="근거_및_가정"/>
      <sheetName val="PROJECT_DATA"/>
      <sheetName val="Setup"/>
      <sheetName val="Home Office"/>
      <sheetName val="C"/>
      <sheetName val="세금자료"/>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INS-Piping"/>
      <sheetName val="INS-Equipment"/>
      <sheetName val="ELECTRICITY"/>
      <sheetName val="INSTRUMENTATION"/>
      <sheetName val="공사비_NDE"/>
      <sheetName val="결재갑지"/>
      <sheetName val="설계기준"/>
      <sheetName val="내역1"/>
      <sheetName val="간지"/>
      <sheetName val="송전재료비"/>
      <sheetName val="단면가정"/>
      <sheetName val="LEGEND"/>
      <sheetName val="CPS"/>
      <sheetName val="PRO_A"/>
      <sheetName val="DWG"/>
      <sheetName val="ELEC_MCI"/>
      <sheetName val="INST_MCI"/>
      <sheetName val="MECH_MCI"/>
      <sheetName val="PRO"/>
      <sheetName val="D 5243-ARAMCO"/>
      <sheetName val="D-4801 OXY"/>
      <sheetName val="除灰系统表二"/>
      <sheetName val="Fin_Sched"/>
      <sheetName val="Slab_Levels"/>
      <sheetName val="Opening_Sched"/>
      <sheetName val="ESPES"/>
      <sheetName val="부대공사"/>
      <sheetName val="내역"/>
      <sheetName val="Acc Stock-INSUL"/>
      <sheetName val="4.L4-세부내역(QAR)"/>
      <sheetName val="%232CDU실행.xls"/>
      <sheetName val="BASIS"/>
      <sheetName val="Alain-Fuj"/>
      <sheetName val="BQ Working"/>
      <sheetName val="DATOS"/>
      <sheetName val="PRESUPUESTO"/>
      <sheetName val="Total Staff"/>
      <sheetName val="0. SUMMARY"/>
      <sheetName val="1. Engineering"/>
      <sheetName val="2. Check point"/>
      <sheetName val="II Changes 1"/>
      <sheetName val="III Changes 2"/>
      <sheetName val="Qty."/>
      <sheetName val="MP"/>
      <sheetName val="EQP"/>
      <sheetName val="OQC Summary"/>
      <sheetName val="6.Unit Rates"/>
      <sheetName val="Requirement(Work Crew)"/>
      <sheetName val="COST. IND"/>
      <sheetName val="MOI"/>
      <sheetName val="RESUMEN"/>
      <sheetName val="INFORME  "/>
      <sheetName val="TD COSTOS 30-06-19"/>
      <sheetName val="AMARRE"/>
      <sheetName val="Hoja3"/>
      <sheetName val="ADICIONALES"/>
      <sheetName val="SUBC"/>
      <sheetName val="ANALISIS MM"/>
      <sheetName val="EQUIPOS Y TRANSPORTE"/>
      <sheetName val="MAT"/>
      <sheetName val="HTAS"/>
      <sheetName val="MOD"/>
      <sheetName val="RESUMEN C.D."/>
      <sheetName val="EQUIPOS PROPIOS"/>
      <sheetName val="INVENTARIO JUNIO"/>
      <sheetName val="AVANCE ODC Y ORS"/>
      <sheetName val="Hoja8"/>
      <sheetName val="contabilidad 265 28-02-2019 REV"/>
      <sheetName val="CLASIF PROCU"/>
      <sheetName val="INVENTARIO"/>
      <sheetName val="Hoja2"/>
      <sheetName val="ODC - MATERIALES"/>
      <sheetName val="BAC COSTO DIRECTO"/>
      <sheetName val="PROCUR"/>
      <sheetName val="PRESUPUESTO GRAL"/>
      <sheetName val="Material Lookup"/>
      <sheetName val="ASTM Stress Table"/>
      <sheetName val="CATEGORY"/>
      <sheetName val="GM &amp; TA"/>
      <sheetName val="Steel Structure "/>
      <sheetName val="견적서표지0204-2 (2)"/>
      <sheetName val="Piping Spool"/>
      <sheetName val="Cost Definition"/>
      <sheetName val="견적 원가 "/>
      <sheetName val="EQUIPMENT -2"/>
      <sheetName val="간접비내역-1"/>
      <sheetName val="내역서1999.8최종"/>
      <sheetName val="수량산출"/>
      <sheetName val="dongia (2)"/>
      <sheetName val="TH VL, NC, DDHT Thanhphuoc"/>
      <sheetName val="Definition"/>
      <sheetName val="look-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refreshError="1"/>
      <sheetData sheetId="285" refreshError="1"/>
      <sheetData sheetId="286" refreshError="1"/>
      <sheetData sheetId="287" refreshError="1"/>
      <sheetData sheetId="288" refreshError="1"/>
      <sheetData sheetId="289"/>
      <sheetData sheetId="290" refreshError="1"/>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sheetData sheetId="310"/>
      <sheetData sheetId="311"/>
      <sheetData sheetId="312"/>
      <sheetData sheetId="313"/>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sheetData sheetId="331"/>
      <sheetData sheetId="332"/>
      <sheetData sheetId="333" refreshError="1"/>
      <sheetData sheetId="334" refreshError="1"/>
      <sheetData sheetId="335" refreshError="1"/>
      <sheetData sheetId="336"/>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sheetData sheetId="360"/>
      <sheetData sheetId="361"/>
      <sheetData sheetId="362"/>
      <sheetData sheetId="363"/>
      <sheetData sheetId="364"/>
      <sheetData sheetId="365"/>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refreshError="1"/>
      <sheetData sheetId="659" refreshError="1"/>
      <sheetData sheetId="660" refreshError="1"/>
      <sheetData sheetId="661" refreshError="1"/>
      <sheetData sheetId="662" refreshError="1"/>
      <sheetData sheetId="663"/>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sheetData sheetId="685"/>
      <sheetData sheetId="686"/>
      <sheetData sheetId="687"/>
      <sheetData sheetId="688"/>
      <sheetData sheetId="689"/>
      <sheetData sheetId="690"/>
      <sheetData sheetId="691"/>
      <sheetData sheetId="692"/>
      <sheetData sheetId="693"/>
      <sheetData sheetId="694"/>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sheetData sheetId="743" refreshError="1"/>
      <sheetData sheetId="744"/>
      <sheetData sheetId="745" refreshError="1"/>
      <sheetData sheetId="746" refreshError="1"/>
      <sheetData sheetId="747" refreshError="1"/>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sheetData sheetId="795"/>
      <sheetData sheetId="796"/>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sheetData sheetId="832"/>
      <sheetData sheetId="833"/>
      <sheetData sheetId="834"/>
      <sheetData sheetId="835" refreshError="1"/>
      <sheetData sheetId="836" refreshError="1"/>
      <sheetData sheetId="837" refreshError="1"/>
      <sheetData sheetId="838" refreshError="1"/>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fore Award"/>
      <sheetName val="Equipment List and MR List (3)"/>
      <sheetName val="Procurement progress "/>
      <sheetName val="After Award"/>
      <sheetName val="Expediting Level Definition"/>
      <sheetName val="L3 schedule"/>
      <sheetName val="China Holidays"/>
      <sheetName val="Thai holidays"/>
      <sheetName val="PSR"/>
    </sheetNames>
    <sheetDataSet>
      <sheetData sheetId="0">
        <row r="15">
          <cell r="D15">
            <v>0</v>
          </cell>
        </row>
        <row r="16">
          <cell r="D16" t="str">
            <v>Package Name</v>
          </cell>
        </row>
        <row r="17">
          <cell r="D17" t="str">
            <v>Pedestal Crane</v>
          </cell>
        </row>
        <row r="18">
          <cell r="D18" t="str">
            <v>Pedestal Crane</v>
          </cell>
        </row>
        <row r="19">
          <cell r="D19" t="str">
            <v>Pedestal Crane</v>
          </cell>
        </row>
        <row r="20">
          <cell r="D20" t="str">
            <v>Material Handling Equipment</v>
          </cell>
        </row>
        <row r="21">
          <cell r="D21" t="str">
            <v>Material Handling Equipment</v>
          </cell>
        </row>
        <row r="22">
          <cell r="D22" t="str">
            <v>Material Handling Equipment</v>
          </cell>
        </row>
        <row r="23">
          <cell r="D23" t="str">
            <v>Instrument Gas Filter Coalescer</v>
          </cell>
        </row>
        <row r="24">
          <cell r="D24" t="str">
            <v>Instrument Gas Filter Coalescer</v>
          </cell>
        </row>
        <row r="25">
          <cell r="D25" t="str">
            <v>Instrument Gas Filter Coalescer</v>
          </cell>
        </row>
        <row r="26">
          <cell r="D26" t="str">
            <v>Production &amp; Test Seperator</v>
          </cell>
        </row>
        <row r="27">
          <cell r="D27" t="str">
            <v>Production &amp; Test Seperator</v>
          </cell>
        </row>
        <row r="28">
          <cell r="D28" t="str">
            <v>Production &amp; Test Seperator</v>
          </cell>
        </row>
        <row r="29">
          <cell r="D29" t="str">
            <v>Pig Launcher and Receiver</v>
          </cell>
        </row>
        <row r="30">
          <cell r="D30" t="str">
            <v>Pig Launcher and Receiver</v>
          </cell>
        </row>
        <row r="31">
          <cell r="D31" t="str">
            <v>Pig Launcher and Receiver</v>
          </cell>
        </row>
        <row r="32">
          <cell r="D32" t="str">
            <v>Corrosion Inhibitor Injection Pump</v>
          </cell>
        </row>
        <row r="33">
          <cell r="D33">
            <v>0</v>
          </cell>
        </row>
        <row r="34">
          <cell r="D34">
            <v>0</v>
          </cell>
        </row>
        <row r="35">
          <cell r="D35" t="str">
            <v>Demulsifier/Water Clarifier Injection Pump</v>
          </cell>
        </row>
        <row r="36">
          <cell r="D36" t="str">
            <v>Demulsifier/Water Clarifier Injection Pump</v>
          </cell>
        </row>
        <row r="37">
          <cell r="D37" t="str">
            <v>Demulsifier/Water Clarifier Injection Pump</v>
          </cell>
        </row>
        <row r="38">
          <cell r="D38" t="str">
            <v>De-Oiler Hydrocyclone</v>
          </cell>
        </row>
        <row r="39">
          <cell r="D39" t="str">
            <v>De-Oiler Hydrocyclone</v>
          </cell>
        </row>
        <row r="40">
          <cell r="D40" t="str">
            <v>De-Oiler Hydrocyclone</v>
          </cell>
        </row>
        <row r="41">
          <cell r="D41" t="str">
            <v>Degasser</v>
          </cell>
        </row>
        <row r="42">
          <cell r="D42" t="str">
            <v>Degasser</v>
          </cell>
        </row>
        <row r="43">
          <cell r="D43" t="str">
            <v>Degasser</v>
          </cell>
        </row>
        <row r="44">
          <cell r="D44" t="str">
            <v>Skim Tank Vessel</v>
          </cell>
        </row>
        <row r="45">
          <cell r="D45" t="str">
            <v>Skim Tank Vessel</v>
          </cell>
        </row>
        <row r="46">
          <cell r="D46" t="str">
            <v>Skim Tank Vessel</v>
          </cell>
        </row>
        <row r="47">
          <cell r="D47" t="str">
            <v>Closed Drain Sump Vessel</v>
          </cell>
        </row>
        <row r="48">
          <cell r="D48" t="str">
            <v>Closed Drain Sump Vessel</v>
          </cell>
        </row>
        <row r="49">
          <cell r="D49" t="str">
            <v>Closed Drain Sump Vessel</v>
          </cell>
        </row>
        <row r="50">
          <cell r="D50" t="str">
            <v>Storage Tote Tank</v>
          </cell>
        </row>
        <row r="51">
          <cell r="D51" t="str">
            <v>Storage Tote Tank</v>
          </cell>
        </row>
        <row r="52">
          <cell r="D52" t="str">
            <v>Storage Tote Tank</v>
          </cell>
        </row>
        <row r="53">
          <cell r="D53" t="str">
            <v>Storage Tank</v>
          </cell>
        </row>
        <row r="54">
          <cell r="D54" t="str">
            <v>Storage Tank</v>
          </cell>
        </row>
        <row r="55">
          <cell r="D55" t="str">
            <v>Storage Tank</v>
          </cell>
        </row>
        <row r="56">
          <cell r="D56" t="str">
            <v>Closed Drain Sump Pump</v>
          </cell>
        </row>
        <row r="57">
          <cell r="D57" t="str">
            <v>Closed Drain Sump Pump</v>
          </cell>
        </row>
        <row r="58">
          <cell r="D58" t="str">
            <v>Closed Drain Sump Pump</v>
          </cell>
        </row>
        <row r="59">
          <cell r="D59" t="str">
            <v>Diesel Transfer Pump</v>
          </cell>
        </row>
        <row r="60">
          <cell r="D60" t="str">
            <v>Diesel Transfer Pump</v>
          </cell>
        </row>
        <row r="61">
          <cell r="D61" t="str">
            <v>Diesel Transfer Pump</v>
          </cell>
        </row>
        <row r="62">
          <cell r="D62" t="str">
            <v>Open Drain Caisson Pump</v>
          </cell>
        </row>
        <row r="63">
          <cell r="D63" t="str">
            <v>Open Drain Caisson Pump</v>
          </cell>
        </row>
        <row r="64">
          <cell r="D64" t="str">
            <v>Open Drain Caisson Pump</v>
          </cell>
        </row>
        <row r="65">
          <cell r="D65" t="str">
            <v>DC Distribution Board</v>
          </cell>
        </row>
        <row r="66">
          <cell r="D66" t="str">
            <v>DC Distribution Board</v>
          </cell>
        </row>
        <row r="67">
          <cell r="D67" t="str">
            <v>DC Distribution Board</v>
          </cell>
        </row>
        <row r="68">
          <cell r="D68" t="str">
            <v>Solar Power System</v>
          </cell>
        </row>
        <row r="69">
          <cell r="D69" t="str">
            <v>Solar Power System</v>
          </cell>
        </row>
        <row r="70">
          <cell r="D70" t="str">
            <v>Solar Power System</v>
          </cell>
        </row>
        <row r="71">
          <cell r="D71" t="str">
            <v>Navigation Aid System</v>
          </cell>
        </row>
        <row r="72">
          <cell r="D72" t="str">
            <v>Navigation Aid System</v>
          </cell>
        </row>
        <row r="73">
          <cell r="D73" t="str">
            <v>Navigation Aid System</v>
          </cell>
        </row>
        <row r="74">
          <cell r="D74" t="str">
            <v>External Battery Charger</v>
          </cell>
        </row>
        <row r="75">
          <cell r="D75" t="str">
            <v>External Battery Charger</v>
          </cell>
        </row>
        <row r="76">
          <cell r="D76" t="str">
            <v>External Battery Charger</v>
          </cell>
        </row>
        <row r="77">
          <cell r="D77" t="str">
            <v>Control Valve</v>
          </cell>
        </row>
        <row r="78">
          <cell r="D78" t="str">
            <v>Control Valve</v>
          </cell>
        </row>
        <row r="79">
          <cell r="D79" t="str">
            <v>Control Valve</v>
          </cell>
        </row>
        <row r="80">
          <cell r="D80" t="str">
            <v>Self Regulator Valve</v>
          </cell>
        </row>
        <row r="81">
          <cell r="D81" t="str">
            <v>Self Regulator Valve</v>
          </cell>
        </row>
        <row r="82">
          <cell r="D82" t="str">
            <v>Self Regulator Valve</v>
          </cell>
        </row>
        <row r="83">
          <cell r="D83" t="str">
            <v>Actuated Choke Valve</v>
          </cell>
        </row>
        <row r="84">
          <cell r="D84" t="str">
            <v>Actuated Choke Valve</v>
          </cell>
        </row>
        <row r="85">
          <cell r="D85" t="str">
            <v>Actuated Choke Valve</v>
          </cell>
        </row>
        <row r="86">
          <cell r="D86" t="str">
            <v>Actuated Ball Valve</v>
          </cell>
        </row>
        <row r="87">
          <cell r="D87" t="str">
            <v>Actuated Ball Valve</v>
          </cell>
        </row>
        <row r="88">
          <cell r="D88" t="str">
            <v>Actuated Ball Valve</v>
          </cell>
        </row>
        <row r="89">
          <cell r="D89" t="str">
            <v>Actuated Compact Ball Valve</v>
          </cell>
        </row>
        <row r="90">
          <cell r="D90" t="str">
            <v>Actuated Compact Ball Valve</v>
          </cell>
        </row>
        <row r="91">
          <cell r="D91" t="str">
            <v>Actuated Compact Ball Valve</v>
          </cell>
        </row>
        <row r="92">
          <cell r="D92" t="str">
            <v>Safety Relief Valves</v>
          </cell>
        </row>
        <row r="93">
          <cell r="D93" t="str">
            <v>Safety Relief Valves</v>
          </cell>
        </row>
        <row r="94">
          <cell r="D94" t="str">
            <v>Safety Relief Valves</v>
          </cell>
        </row>
        <row r="95">
          <cell r="D95" t="str">
            <v>Coriolis Flow Meters</v>
          </cell>
        </row>
        <row r="96">
          <cell r="D96" t="str">
            <v>Coriolis Flow Meters</v>
          </cell>
        </row>
        <row r="97">
          <cell r="D97" t="str">
            <v>Coriolis Flow Meters</v>
          </cell>
        </row>
        <row r="98">
          <cell r="D98" t="str">
            <v>Wellhead Control Panel (WHCP)</v>
          </cell>
        </row>
        <row r="99">
          <cell r="D99" t="str">
            <v>Wellhead Control Panel (WHCP)</v>
          </cell>
        </row>
        <row r="100">
          <cell r="D100" t="str">
            <v>Wellhead Control Panel (WHCP)</v>
          </cell>
        </row>
        <row r="101">
          <cell r="D101" t="str">
            <v>Pressure Gauge</v>
          </cell>
        </row>
        <row r="102">
          <cell r="D102" t="str">
            <v>Pressure Gauge</v>
          </cell>
        </row>
        <row r="103">
          <cell r="D103" t="str">
            <v>Pressure Gauge</v>
          </cell>
        </row>
        <row r="104">
          <cell r="D104" t="str">
            <v>Pressure Transmitter</v>
          </cell>
        </row>
        <row r="105">
          <cell r="D105" t="str">
            <v>Pressure Transmitter</v>
          </cell>
        </row>
        <row r="106">
          <cell r="D106" t="str">
            <v>Pressure Transmitter</v>
          </cell>
        </row>
        <row r="107">
          <cell r="D107" t="str">
            <v>Temperature Gauge</v>
          </cell>
        </row>
        <row r="108">
          <cell r="D108" t="str">
            <v>Temperature Gauge</v>
          </cell>
        </row>
        <row r="109">
          <cell r="D109" t="str">
            <v>Temperature Gauge</v>
          </cell>
        </row>
        <row r="110">
          <cell r="D110" t="str">
            <v>Temperature Transmitter</v>
          </cell>
        </row>
        <row r="111">
          <cell r="D111" t="str">
            <v>Temperature Transmitter</v>
          </cell>
        </row>
        <row r="112">
          <cell r="D112" t="str">
            <v>Temperature Transmitter</v>
          </cell>
        </row>
        <row r="113">
          <cell r="D113" t="str">
            <v>Vortex Flow Meter</v>
          </cell>
        </row>
        <row r="114">
          <cell r="D114" t="str">
            <v>Vortex Flow Meter</v>
          </cell>
        </row>
        <row r="115">
          <cell r="D115" t="str">
            <v>Vortex Flow Meter</v>
          </cell>
        </row>
        <row r="116">
          <cell r="D116" t="str">
            <v>Level Transmitter and Gauge</v>
          </cell>
        </row>
        <row r="117">
          <cell r="D117" t="str">
            <v>Level Transmitter and Gauge</v>
          </cell>
        </row>
        <row r="118">
          <cell r="D118" t="str">
            <v>Level Transmitter and Gauge</v>
          </cell>
        </row>
        <row r="119">
          <cell r="D119" t="str">
            <v>Pig Signaller</v>
          </cell>
        </row>
        <row r="120">
          <cell r="D120" t="str">
            <v>Pig Signaller</v>
          </cell>
        </row>
        <row r="121">
          <cell r="D121" t="str">
            <v>Pig Signaller</v>
          </cell>
        </row>
        <row r="122">
          <cell r="D122" t="str">
            <v>Rrestriction Orifice</v>
          </cell>
        </row>
        <row r="123">
          <cell r="D123" t="str">
            <v>Rrestriction Orifice</v>
          </cell>
        </row>
        <row r="124">
          <cell r="D124" t="str">
            <v>Rrestriction Orifice</v>
          </cell>
        </row>
        <row r="125">
          <cell r="D125" t="str">
            <v>PLC System</v>
          </cell>
        </row>
        <row r="126">
          <cell r="D126" t="str">
            <v>PLC System</v>
          </cell>
        </row>
        <row r="127">
          <cell r="D127" t="str">
            <v>PLC System</v>
          </cell>
        </row>
        <row r="128">
          <cell r="D128" t="str">
            <v>Fire and Gas Detector</v>
          </cell>
        </row>
        <row r="129">
          <cell r="D129" t="str">
            <v>Fire and Gas Detector</v>
          </cell>
        </row>
        <row r="130">
          <cell r="D130" t="str">
            <v>Fire and Gas Detector</v>
          </cell>
        </row>
        <row r="131">
          <cell r="D131" t="str">
            <v>Dip Tape Level Indicator</v>
          </cell>
        </row>
        <row r="132">
          <cell r="D132" t="str">
            <v>Dip Tape Level Indicator</v>
          </cell>
        </row>
        <row r="133">
          <cell r="D133" t="str">
            <v>Dip Tape Level Indicator</v>
          </cell>
        </row>
        <row r="134">
          <cell r="D134" t="str">
            <v>Position Limit Switches</v>
          </cell>
        </row>
        <row r="135">
          <cell r="D135" t="str">
            <v>Position Limit Switches</v>
          </cell>
        </row>
        <row r="136">
          <cell r="D136" t="str">
            <v>Position Limit Switches</v>
          </cell>
        </row>
        <row r="137">
          <cell r="D137" t="str">
            <v>Guided Wave Radar Level Transmitter</v>
          </cell>
        </row>
        <row r="138">
          <cell r="D138" t="str">
            <v>Guided Wave Radar Level Transmitter</v>
          </cell>
        </row>
        <row r="139">
          <cell r="D139" t="str">
            <v>Guided Wave Radar Level Transmitter</v>
          </cell>
        </row>
        <row r="140">
          <cell r="D140" t="str">
            <v>Oil in Water Analyzer</v>
          </cell>
        </row>
        <row r="141">
          <cell r="D141" t="str">
            <v>Oil in Water Analyzer</v>
          </cell>
        </row>
        <row r="142">
          <cell r="D142" t="str">
            <v>Oil in Water Analyzer</v>
          </cell>
        </row>
        <row r="143">
          <cell r="D143" t="str">
            <v>Level Switch</v>
          </cell>
        </row>
        <row r="144">
          <cell r="D144" t="str">
            <v>Level Switch</v>
          </cell>
        </row>
        <row r="145">
          <cell r="D145" t="str">
            <v>Level Switch</v>
          </cell>
        </row>
        <row r="146">
          <cell r="D146" t="str">
            <v>Flow Switch</v>
          </cell>
        </row>
        <row r="147">
          <cell r="D147" t="str">
            <v>Flow Switch</v>
          </cell>
        </row>
        <row r="148">
          <cell r="D148" t="str">
            <v>Flow Switch</v>
          </cell>
        </row>
        <row r="149">
          <cell r="D149" t="str">
            <v>SCADA System</v>
          </cell>
        </row>
        <row r="150">
          <cell r="D150" t="str">
            <v>SCADA System</v>
          </cell>
        </row>
        <row r="151">
          <cell r="D151" t="str">
            <v>SCADA System</v>
          </cell>
        </row>
        <row r="152">
          <cell r="D152" t="str">
            <v>Telecommunication System (WiMAX, Telephone, Marine Radio)</v>
          </cell>
        </row>
        <row r="153">
          <cell r="D153" t="str">
            <v>Telecommunication System (WiMAX, Telephone, Marine Radio)</v>
          </cell>
        </row>
        <row r="154">
          <cell r="D154" t="str">
            <v>Telecommunication System (WiMAX, Telephone, Marine Radio)</v>
          </cell>
        </row>
        <row r="155">
          <cell r="D155" t="str">
            <v>Marine Racon</v>
          </cell>
        </row>
        <row r="156">
          <cell r="D156" t="str">
            <v>Marine Racon</v>
          </cell>
        </row>
        <row r="157">
          <cell r="D157" t="str">
            <v>Marine Racon</v>
          </cell>
        </row>
        <row r="158">
          <cell r="D158" t="str">
            <v>BALL VALVE (FLANGE END)</v>
          </cell>
        </row>
        <row r="159">
          <cell r="D159" t="str">
            <v>BALL VALVE (FLANGE END)</v>
          </cell>
        </row>
        <row r="160">
          <cell r="D160" t="str">
            <v>BALL VALVE (FLANGE END)</v>
          </cell>
        </row>
        <row r="161">
          <cell r="D161" t="str">
            <v>GLOBE VALVE (FLANGE END)</v>
          </cell>
        </row>
        <row r="162">
          <cell r="D162" t="str">
            <v>GLOBE VALVE (FLANGE END)</v>
          </cell>
        </row>
        <row r="163">
          <cell r="D163" t="str">
            <v>GLOBE VALVE (FLANGE END)</v>
          </cell>
        </row>
        <row r="164">
          <cell r="D164" t="str">
            <v>GLOBE VALVE (WELDED END)</v>
          </cell>
        </row>
        <row r="165">
          <cell r="D165" t="str">
            <v>GLOBE VALVE (WELDED END)</v>
          </cell>
        </row>
        <row r="166">
          <cell r="D166" t="str">
            <v>GLOBE VALVE (WELDED END)</v>
          </cell>
        </row>
        <row r="167">
          <cell r="D167" t="str">
            <v>CHECK VALVE (FLANGE END)</v>
          </cell>
        </row>
        <row r="168">
          <cell r="D168" t="str">
            <v>CHECK VALVE (FLANGE END)</v>
          </cell>
        </row>
        <row r="169">
          <cell r="D169" t="str">
            <v>CHECK VALVE (FLANGE END)</v>
          </cell>
        </row>
        <row r="170">
          <cell r="D170" t="str">
            <v>CHECK VALVE (WELDED END)</v>
          </cell>
        </row>
        <row r="171">
          <cell r="D171" t="str">
            <v>CHECK VALVE (WELDED END)</v>
          </cell>
        </row>
        <row r="172">
          <cell r="D172" t="str">
            <v>CHECK VALVE (WELDED END)</v>
          </cell>
        </row>
        <row r="173">
          <cell r="D173" t="str">
            <v>COMPACT CHECK VALVE (WELDED END)</v>
          </cell>
        </row>
        <row r="174">
          <cell r="D174" t="str">
            <v>COMPACT CHECK VALVE (WELDED END)</v>
          </cell>
        </row>
        <row r="175">
          <cell r="D175" t="str">
            <v>COMPACT CHECK VALVE (WELDED END)</v>
          </cell>
        </row>
        <row r="176">
          <cell r="D176" t="str">
            <v>Primary Steel - Plates for topside</v>
          </cell>
        </row>
        <row r="177">
          <cell r="D177" t="str">
            <v>Primary Steel - Plate</v>
          </cell>
        </row>
        <row r="178">
          <cell r="D178" t="str">
            <v>Primary Steel - Plate</v>
          </cell>
        </row>
        <row r="179">
          <cell r="D179" t="str">
            <v>Primary Steel -  Joint Connection for Topside</v>
          </cell>
        </row>
        <row r="180">
          <cell r="D180">
            <v>0</v>
          </cell>
        </row>
        <row r="181">
          <cell r="D181">
            <v>0</v>
          </cell>
        </row>
        <row r="182">
          <cell r="D182" t="str">
            <v>Primary Steel - Beam for topside (Standard)</v>
          </cell>
        </row>
        <row r="183">
          <cell r="D183" t="str">
            <v>Primary Steel - Beam</v>
          </cell>
        </row>
        <row r="184">
          <cell r="D184" t="str">
            <v>Primary Steel - Beam</v>
          </cell>
        </row>
        <row r="185">
          <cell r="D185" t="str">
            <v>Primary Steel - Beam for topside (non-standard)</v>
          </cell>
        </row>
        <row r="186">
          <cell r="D186" t="str">
            <v>Primary Steel - Beam</v>
          </cell>
        </row>
        <row r="187">
          <cell r="D187" t="str">
            <v>Primary Steel - Beam</v>
          </cell>
        </row>
        <row r="188">
          <cell r="D188" t="str">
            <v>Primary Steel - Seamless Pipe for topside</v>
          </cell>
        </row>
        <row r="189">
          <cell r="D189" t="str">
            <v>Primary Steel - Seamless Pipe</v>
          </cell>
        </row>
        <row r="190">
          <cell r="D190" t="str">
            <v>Primary Steel - Seamless Pipe</v>
          </cell>
        </row>
        <row r="191">
          <cell r="D191" t="str">
            <v>Primary Steel - Tubular for topside</v>
          </cell>
        </row>
        <row r="192">
          <cell r="D192">
            <v>0</v>
          </cell>
        </row>
        <row r="193">
          <cell r="D193">
            <v>0</v>
          </cell>
        </row>
        <row r="194">
          <cell r="D194" t="str">
            <v>Primary Steel - Plates for jacket</v>
          </cell>
        </row>
        <row r="195">
          <cell r="D195" t="str">
            <v>Primary Steel - Plate</v>
          </cell>
        </row>
        <row r="196">
          <cell r="D196" t="str">
            <v>Primary Steel - Plate</v>
          </cell>
        </row>
        <row r="197">
          <cell r="D197" t="str">
            <v>Primary Steel -Beam for jacket</v>
          </cell>
        </row>
        <row r="198">
          <cell r="D198">
            <v>0</v>
          </cell>
        </row>
        <row r="199">
          <cell r="D199">
            <v>0</v>
          </cell>
        </row>
        <row r="200">
          <cell r="D200" t="str">
            <v>Primary Steel -Tubular for jacket (column)</v>
          </cell>
        </row>
        <row r="201">
          <cell r="D201">
            <v>0</v>
          </cell>
        </row>
        <row r="202">
          <cell r="D202">
            <v>0</v>
          </cell>
        </row>
        <row r="203">
          <cell r="D203" t="str">
            <v>Primary Steel -Tubular for jacket (bracing)</v>
          </cell>
        </row>
        <row r="204">
          <cell r="D204">
            <v>0</v>
          </cell>
        </row>
        <row r="205">
          <cell r="D205">
            <v>0</v>
          </cell>
        </row>
        <row r="206">
          <cell r="D206" t="str">
            <v>Primary Steel - Plates for Pile</v>
          </cell>
        </row>
        <row r="207">
          <cell r="D207" t="str">
            <v>Primary Steel - Plate</v>
          </cell>
        </row>
        <row r="208">
          <cell r="D208" t="str">
            <v>Primary Steel - Plate</v>
          </cell>
        </row>
        <row r="209">
          <cell r="D209" t="str">
            <v>Primary Steel -Tubular for Pile</v>
          </cell>
        </row>
        <row r="210">
          <cell r="D210">
            <v>0</v>
          </cell>
        </row>
        <row r="211">
          <cell r="D211">
            <v>0</v>
          </cell>
        </row>
        <row r="212">
          <cell r="D212" t="str">
            <v>Special items</v>
          </cell>
        </row>
        <row r="213">
          <cell r="D213">
            <v>0</v>
          </cell>
        </row>
        <row r="214">
          <cell r="D214">
            <v>0</v>
          </cell>
        </row>
        <row r="215">
          <cell r="D215" t="str">
            <v>SPECIAL PIPE SUPPORT</v>
          </cell>
        </row>
        <row r="216">
          <cell r="D216" t="str">
            <v>SPECIAL PIPE SUPPORT</v>
          </cell>
        </row>
        <row r="217">
          <cell r="D217" t="str">
            <v>SPECIAL PIPE SUPPORT</v>
          </cell>
        </row>
        <row r="218">
          <cell r="D218" t="str">
            <v>CS Fitting</v>
          </cell>
        </row>
        <row r="219">
          <cell r="D219" t="str">
            <v>CS Fitting</v>
          </cell>
        </row>
        <row r="220">
          <cell r="D220" t="str">
            <v>CS Fitting</v>
          </cell>
        </row>
        <row r="221">
          <cell r="D221" t="str">
            <v>SS &amp; DSS Fitting</v>
          </cell>
        </row>
        <row r="222">
          <cell r="D222" t="str">
            <v>SS &amp; DSS Fitting</v>
          </cell>
        </row>
        <row r="223">
          <cell r="D223" t="str">
            <v>SS &amp; DSS Fitting</v>
          </cell>
        </row>
        <row r="224">
          <cell r="D224" t="str">
            <v>CS Flange</v>
          </cell>
        </row>
        <row r="225">
          <cell r="D225" t="str">
            <v>CS Flange</v>
          </cell>
        </row>
        <row r="226">
          <cell r="D226" t="str">
            <v>CS Flange</v>
          </cell>
        </row>
        <row r="227">
          <cell r="D227" t="str">
            <v>SS &amp; DSS Flange</v>
          </cell>
        </row>
        <row r="228">
          <cell r="D228" t="str">
            <v>SS &amp; DSS Flange</v>
          </cell>
        </row>
        <row r="229">
          <cell r="D229" t="str">
            <v>SS &amp; DSS Flange</v>
          </cell>
        </row>
        <row r="230">
          <cell r="D230" t="str">
            <v>SAW Welded Pipe</v>
          </cell>
        </row>
        <row r="231">
          <cell r="D231" t="str">
            <v>SAW Welded Pipe</v>
          </cell>
        </row>
        <row r="232">
          <cell r="D232" t="str">
            <v>SAW Welded Pipe</v>
          </cell>
        </row>
        <row r="233">
          <cell r="D233" t="str">
            <v>CS Pipe</v>
          </cell>
        </row>
        <row r="234">
          <cell r="D234" t="str">
            <v>CS Pipe</v>
          </cell>
        </row>
        <row r="235">
          <cell r="D235" t="str">
            <v>CS Pipe</v>
          </cell>
        </row>
        <row r="236">
          <cell r="D236" t="str">
            <v>DSS Pipes</v>
          </cell>
        </row>
        <row r="237">
          <cell r="D237" t="str">
            <v>DSS Pipes</v>
          </cell>
        </row>
        <row r="238">
          <cell r="D238" t="str">
            <v>DSS Pipes</v>
          </cell>
        </row>
        <row r="239">
          <cell r="D239" t="str">
            <v>Steamless SS pipes</v>
          </cell>
        </row>
        <row r="240">
          <cell r="D240" t="str">
            <v>Steamless SS pipes</v>
          </cell>
        </row>
        <row r="241">
          <cell r="D241" t="str">
            <v>Steamless SS pipes</v>
          </cell>
        </row>
        <row r="242">
          <cell r="D242" t="str">
            <v>Bolts &amp; Nuts</v>
          </cell>
        </row>
        <row r="243">
          <cell r="D243" t="str">
            <v>Bolts &amp; Nuts</v>
          </cell>
        </row>
        <row r="244">
          <cell r="D244" t="str">
            <v>Bolts &amp; Nuts</v>
          </cell>
        </row>
        <row r="245">
          <cell r="D245" t="str">
            <v>Gasket</v>
          </cell>
        </row>
        <row r="246">
          <cell r="D246" t="str">
            <v>Gasket</v>
          </cell>
        </row>
        <row r="247">
          <cell r="D247" t="str">
            <v>Gasket</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FC000"/>
    <pageSetUpPr fitToPage="1"/>
  </sheetPr>
  <dimension ref="A1:AV325"/>
  <sheetViews>
    <sheetView tabSelected="1" view="pageBreakPreview" topLeftCell="A16" zoomScale="55" zoomScaleNormal="40" zoomScaleSheetLayoutView="55" workbookViewId="0">
      <pane xSplit="14" ySplit="3" topLeftCell="P151" activePane="bottomRight" state="frozen"/>
      <selection pane="topRight"/>
      <selection pane="bottomLeft"/>
      <selection pane="bottomRight" activeCell="AD206" sqref="AD206"/>
    </sheetView>
  </sheetViews>
  <sheetFormatPr defaultColWidth="9" defaultRowHeight="13.5" outlineLevelCol="1"/>
  <cols>
    <col min="1" max="1" width="6.3984375" style="274" customWidth="1"/>
    <col min="2" max="2" width="15.1328125" style="274" customWidth="1"/>
    <col min="3" max="3" width="37.9296875" style="276" customWidth="1"/>
    <col min="4" max="4" width="8.9296875" style="275" hidden="1" customWidth="1"/>
    <col min="5" max="5" width="8.9296875" style="274" hidden="1" customWidth="1"/>
    <col min="6" max="6" width="8.9296875" style="275" hidden="1" customWidth="1"/>
    <col min="7" max="7" width="10.1328125" style="276" hidden="1" customWidth="1"/>
    <col min="8" max="8" width="11.73046875" style="274" hidden="1" customWidth="1"/>
    <col min="9" max="9" width="17" style="274" customWidth="1"/>
    <col min="10" max="10" width="12.3984375" style="274" customWidth="1"/>
    <col min="11" max="11" width="9.3984375" style="274" customWidth="1"/>
    <col min="12" max="12" width="10" style="274" customWidth="1"/>
    <col min="13" max="13" width="11.1328125" style="277" customWidth="1"/>
    <col min="14" max="14" width="13.3984375" style="274" hidden="1" customWidth="1"/>
    <col min="15" max="15" width="11.73046875" style="268" customWidth="1"/>
    <col min="16" max="16" width="11.86328125" style="268" customWidth="1"/>
    <col min="17" max="17" width="10.265625" style="268" customWidth="1"/>
    <col min="18" max="18" width="10.73046875" style="268" customWidth="1"/>
    <col min="19" max="19" width="10.86328125" style="268" customWidth="1"/>
    <col min="20" max="20" width="12.33203125" style="268" customWidth="1"/>
    <col min="21" max="21" width="11.265625" style="268" customWidth="1"/>
    <col min="22" max="23" width="11.3984375" style="268" customWidth="1"/>
    <col min="24" max="24" width="13.3984375" style="268" customWidth="1"/>
    <col min="25" max="25" width="14.1328125" style="274" customWidth="1"/>
    <col min="26" max="26" width="12.1328125" style="274" customWidth="1"/>
    <col min="27" max="27" width="12.06640625" style="274" customWidth="1"/>
    <col min="28" max="28" width="14.1328125" style="274" customWidth="1"/>
    <col min="29" max="30" width="15.1328125" style="274" customWidth="1"/>
    <col min="31" max="31" width="14.265625" style="274" customWidth="1"/>
    <col min="32" max="32" width="11.46484375" style="274" customWidth="1" outlineLevel="1"/>
    <col min="33" max="35" width="13.59765625" style="274" customWidth="1"/>
    <col min="36" max="36" width="16.86328125" style="274" customWidth="1"/>
    <col min="37" max="37" width="10.73046875" style="276" customWidth="1"/>
    <col min="38" max="38" width="9.86328125" style="275" customWidth="1"/>
    <col min="39" max="39" width="13.73046875" style="278" customWidth="1"/>
    <col min="40" max="40" width="13.73046875" style="279" customWidth="1"/>
    <col min="41" max="42" width="13.73046875" style="279" hidden="1" customWidth="1"/>
    <col min="43" max="43" width="25.3984375" style="279" hidden="1" customWidth="1"/>
    <col min="44" max="45" width="15" style="279" customWidth="1"/>
    <col min="46" max="46" width="13" style="276" customWidth="1"/>
    <col min="47" max="47" width="38.19921875" style="280" customWidth="1"/>
    <col min="48" max="48" width="15.46484375" style="274"/>
    <col min="49" max="16384" width="9" style="274"/>
  </cols>
  <sheetData>
    <row r="1" spans="1:48" ht="13.5" hidden="1" customHeight="1">
      <c r="AN1" s="278"/>
      <c r="AO1" s="278"/>
      <c r="AP1" s="278"/>
      <c r="AQ1" s="278"/>
    </row>
    <row r="2" spans="1:48" ht="21.6" hidden="1" customHeight="1">
      <c r="B2" s="281" t="s">
        <v>0</v>
      </c>
      <c r="C2" s="433" t="s">
        <v>1</v>
      </c>
      <c r="D2" s="282"/>
      <c r="F2" s="282"/>
      <c r="AN2" s="278"/>
      <c r="AO2" s="278"/>
      <c r="AP2" s="278"/>
      <c r="AQ2" s="278"/>
    </row>
    <row r="3" spans="1:48" ht="19.350000000000001" hidden="1" customHeight="1">
      <c r="C3" s="433" t="s">
        <v>2</v>
      </c>
      <c r="D3" s="282"/>
      <c r="F3" s="282"/>
      <c r="AN3" s="278"/>
      <c r="AO3" s="278"/>
      <c r="AP3" s="278"/>
      <c r="AQ3" s="278"/>
    </row>
    <row r="4" spans="1:48" ht="21" hidden="1" customHeight="1">
      <c r="C4" s="433" t="s">
        <v>3</v>
      </c>
      <c r="D4" s="282"/>
      <c r="F4" s="282"/>
      <c r="AN4" s="278"/>
      <c r="AO4" s="278"/>
      <c r="AP4" s="278"/>
      <c r="AQ4" s="278"/>
    </row>
    <row r="5" spans="1:48" ht="23.45" hidden="1" customHeight="1">
      <c r="B5" s="283"/>
      <c r="C5" s="433" t="s">
        <v>4</v>
      </c>
      <c r="D5" s="282"/>
      <c r="F5" s="282"/>
      <c r="AN5" s="278"/>
      <c r="AO5" s="278"/>
      <c r="AP5" s="278"/>
      <c r="AQ5" s="278"/>
    </row>
    <row r="6" spans="1:48" ht="23.45" hidden="1" customHeight="1">
      <c r="B6" s="283"/>
      <c r="C6" s="433" t="s">
        <v>5</v>
      </c>
      <c r="D6" s="282"/>
      <c r="F6" s="282"/>
      <c r="AN6" s="278"/>
      <c r="AO6" s="278"/>
      <c r="AP6" s="278"/>
      <c r="AQ6" s="278"/>
    </row>
    <row r="7" spans="1:48" ht="13.35" hidden="1" customHeight="1">
      <c r="AN7" s="278"/>
      <c r="AO7" s="278"/>
      <c r="AP7" s="278"/>
      <c r="AQ7" s="278"/>
    </row>
    <row r="8" spans="1:48" s="268" customFormat="1" ht="13.35" hidden="1" customHeight="1">
      <c r="C8" s="285"/>
      <c r="D8" s="284"/>
      <c r="F8" s="284"/>
      <c r="G8" s="285"/>
      <c r="L8" s="286" t="s">
        <v>6</v>
      </c>
      <c r="M8" s="287"/>
      <c r="N8" s="288"/>
      <c r="O8" s="288">
        <v>1</v>
      </c>
      <c r="P8" s="288">
        <v>10</v>
      </c>
      <c r="Q8" s="288">
        <v>0</v>
      </c>
      <c r="R8" s="288">
        <v>0</v>
      </c>
      <c r="S8" s="288">
        <v>0</v>
      </c>
      <c r="T8" s="288">
        <v>10</v>
      </c>
      <c r="U8" s="288">
        <v>17</v>
      </c>
      <c r="V8" s="288">
        <v>10</v>
      </c>
      <c r="W8" s="288"/>
      <c r="X8" s="288">
        <v>9</v>
      </c>
      <c r="AK8" s="285"/>
      <c r="AL8" s="284"/>
      <c r="AM8" s="269"/>
      <c r="AN8" s="269"/>
      <c r="AO8" s="269"/>
      <c r="AP8" s="269"/>
      <c r="AQ8" s="269"/>
      <c r="AR8" s="289"/>
      <c r="AS8" s="289"/>
      <c r="AT8" s="285"/>
      <c r="AU8" s="285"/>
    </row>
    <row r="9" spans="1:48" s="268" customFormat="1" ht="13.35" hidden="1" customHeight="1">
      <c r="C9" s="285"/>
      <c r="D9" s="284"/>
      <c r="F9" s="284"/>
      <c r="G9" s="285"/>
      <c r="L9" s="286" t="s">
        <v>7</v>
      </c>
      <c r="M9" s="287"/>
      <c r="N9" s="288"/>
      <c r="O9" s="288">
        <v>1</v>
      </c>
      <c r="P9" s="288">
        <v>10</v>
      </c>
      <c r="Q9" s="288">
        <v>0</v>
      </c>
      <c r="R9" s="288">
        <v>0</v>
      </c>
      <c r="S9" s="288">
        <v>0</v>
      </c>
      <c r="T9" s="288">
        <v>10</v>
      </c>
      <c r="U9" s="288">
        <v>17</v>
      </c>
      <c r="V9" s="288">
        <v>10</v>
      </c>
      <c r="W9" s="288"/>
      <c r="X9" s="288">
        <v>9</v>
      </c>
      <c r="AK9" s="285"/>
      <c r="AL9" s="284"/>
      <c r="AM9" s="269"/>
      <c r="AN9" s="269"/>
      <c r="AO9" s="269"/>
      <c r="AP9" s="269"/>
      <c r="AQ9" s="269"/>
      <c r="AR9" s="289"/>
      <c r="AS9" s="289"/>
      <c r="AT9" s="285"/>
      <c r="AU9" s="285"/>
    </row>
    <row r="10" spans="1:48" s="268" customFormat="1" ht="13.35" hidden="1" customHeight="1">
      <c r="C10" s="285"/>
      <c r="D10" s="284"/>
      <c r="F10" s="284"/>
      <c r="G10" s="285"/>
      <c r="L10" s="286" t="s">
        <v>8</v>
      </c>
      <c r="M10" s="287"/>
      <c r="N10" s="288"/>
      <c r="O10" s="288">
        <v>1</v>
      </c>
      <c r="P10" s="288">
        <v>10</v>
      </c>
      <c r="Q10" s="288">
        <v>0</v>
      </c>
      <c r="R10" s="288">
        <v>0</v>
      </c>
      <c r="S10" s="288">
        <v>0</v>
      </c>
      <c r="T10" s="288">
        <v>10</v>
      </c>
      <c r="U10" s="288">
        <v>13</v>
      </c>
      <c r="V10" s="288">
        <v>10</v>
      </c>
      <c r="W10" s="288"/>
      <c r="X10" s="288">
        <v>9</v>
      </c>
      <c r="AK10" s="285"/>
      <c r="AL10" s="284"/>
      <c r="AM10" s="269"/>
      <c r="AN10" s="269"/>
      <c r="AO10" s="269"/>
      <c r="AP10" s="269"/>
      <c r="AQ10" s="269"/>
      <c r="AR10" s="289"/>
      <c r="AS10" s="289"/>
      <c r="AT10" s="285"/>
      <c r="AU10" s="285"/>
    </row>
    <row r="11" spans="1:48" s="268" customFormat="1" ht="13.35" hidden="1" customHeight="1">
      <c r="C11" s="285"/>
      <c r="D11" s="284"/>
      <c r="F11" s="284"/>
      <c r="G11" s="285"/>
      <c r="L11" s="286" t="s">
        <v>9</v>
      </c>
      <c r="M11" s="287"/>
      <c r="N11" s="288"/>
      <c r="O11" s="288">
        <v>1</v>
      </c>
      <c r="P11" s="288">
        <v>10</v>
      </c>
      <c r="Q11" s="288">
        <v>0</v>
      </c>
      <c r="R11" s="288">
        <v>0</v>
      </c>
      <c r="S11" s="288">
        <v>0</v>
      </c>
      <c r="T11" s="288">
        <v>5</v>
      </c>
      <c r="U11" s="288">
        <v>7</v>
      </c>
      <c r="V11" s="288">
        <v>10</v>
      </c>
      <c r="W11" s="288"/>
      <c r="X11" s="288">
        <v>5</v>
      </c>
      <c r="AK11" s="285"/>
      <c r="AL11" s="284"/>
      <c r="AM11" s="269"/>
      <c r="AN11" s="269"/>
      <c r="AO11" s="269"/>
      <c r="AP11" s="269"/>
      <c r="AQ11" s="269"/>
      <c r="AR11" s="289"/>
      <c r="AS11" s="289"/>
      <c r="AT11" s="285"/>
      <c r="AU11" s="285"/>
    </row>
    <row r="12" spans="1:48" s="268" customFormat="1" ht="20.100000000000001" hidden="1" customHeight="1">
      <c r="B12" s="290" t="s">
        <v>10</v>
      </c>
      <c r="C12" s="285"/>
      <c r="D12" s="284"/>
      <c r="F12" s="284"/>
      <c r="G12" s="285"/>
      <c r="L12" s="291" t="s">
        <v>6</v>
      </c>
      <c r="M12" s="292"/>
      <c r="O12" s="47">
        <v>1</v>
      </c>
      <c r="P12" s="47">
        <v>5</v>
      </c>
      <c r="Q12" s="293">
        <v>1</v>
      </c>
      <c r="R12" s="47">
        <v>5</v>
      </c>
      <c r="T12" s="293">
        <v>10</v>
      </c>
      <c r="U12" s="47">
        <v>20</v>
      </c>
      <c r="V12" s="47">
        <v>3</v>
      </c>
      <c r="W12" s="47"/>
      <c r="X12" s="293">
        <v>10</v>
      </c>
      <c r="Y12" s="293">
        <v>2</v>
      </c>
      <c r="Z12" s="268">
        <v>5</v>
      </c>
      <c r="AA12" s="47">
        <v>20</v>
      </c>
      <c r="AB12" s="47">
        <v>10</v>
      </c>
      <c r="AF12" s="47">
        <v>5</v>
      </c>
      <c r="AG12" s="47">
        <v>5</v>
      </c>
      <c r="AH12" s="47"/>
      <c r="AI12" s="47"/>
      <c r="AJ12" s="47"/>
      <c r="AK12" s="285"/>
      <c r="AL12" s="294"/>
      <c r="AM12" s="295"/>
      <c r="AN12" s="289"/>
      <c r="AO12" s="439" t="s">
        <v>11</v>
      </c>
      <c r="AP12" s="439"/>
      <c r="AQ12" s="439"/>
      <c r="AR12" s="289"/>
      <c r="AS12" s="289"/>
      <c r="AT12" s="285"/>
      <c r="AU12" s="285"/>
    </row>
    <row r="13" spans="1:48" s="268" customFormat="1" ht="12.75" hidden="1" customHeight="1">
      <c r="C13" s="285"/>
      <c r="D13" s="284"/>
      <c r="F13" s="284"/>
      <c r="G13" s="285"/>
      <c r="L13" s="291" t="s">
        <v>7</v>
      </c>
      <c r="M13" s="292"/>
      <c r="O13" s="47">
        <v>1</v>
      </c>
      <c r="P13" s="47">
        <v>5</v>
      </c>
      <c r="Q13" s="293">
        <v>1</v>
      </c>
      <c r="R13" s="47">
        <v>5</v>
      </c>
      <c r="T13" s="293">
        <v>10</v>
      </c>
      <c r="U13" s="47">
        <v>20</v>
      </c>
      <c r="V13" s="47">
        <v>3</v>
      </c>
      <c r="W13" s="47"/>
      <c r="X13" s="293">
        <v>10</v>
      </c>
      <c r="Y13" s="293">
        <v>2</v>
      </c>
      <c r="Z13" s="268">
        <v>5</v>
      </c>
      <c r="AA13" s="47">
        <v>20</v>
      </c>
      <c r="AB13" s="47">
        <v>10</v>
      </c>
      <c r="AF13" s="47">
        <v>5</v>
      </c>
      <c r="AG13" s="47">
        <v>5</v>
      </c>
      <c r="AH13" s="47"/>
      <c r="AI13" s="47"/>
      <c r="AJ13" s="47"/>
      <c r="AK13" s="285"/>
      <c r="AL13" s="294"/>
      <c r="AM13" s="295"/>
      <c r="AN13" s="289"/>
      <c r="AO13" s="439"/>
      <c r="AP13" s="439"/>
      <c r="AQ13" s="439"/>
      <c r="AR13" s="289"/>
      <c r="AS13" s="289"/>
      <c r="AT13" s="285"/>
      <c r="AU13" s="285"/>
    </row>
    <row r="14" spans="1:48" s="268" customFormat="1" ht="12.75" hidden="1" customHeight="1">
      <c r="C14" s="285"/>
      <c r="D14" s="284"/>
      <c r="F14" s="284"/>
      <c r="G14" s="285"/>
      <c r="L14" s="291" t="s">
        <v>8</v>
      </c>
      <c r="M14" s="292"/>
      <c r="O14" s="47">
        <v>3</v>
      </c>
      <c r="P14" s="296">
        <v>5</v>
      </c>
      <c r="Q14" s="293">
        <v>1</v>
      </c>
      <c r="R14" s="296">
        <v>5</v>
      </c>
      <c r="T14" s="293">
        <v>10</v>
      </c>
      <c r="U14" s="47">
        <v>15</v>
      </c>
      <c r="V14" s="296">
        <v>3</v>
      </c>
      <c r="W14" s="296"/>
      <c r="X14" s="293">
        <v>10</v>
      </c>
      <c r="Y14" s="293">
        <v>2</v>
      </c>
      <c r="Z14" s="268">
        <v>5</v>
      </c>
      <c r="AA14" s="47">
        <v>15</v>
      </c>
      <c r="AB14" s="47">
        <v>10</v>
      </c>
      <c r="AF14" s="47">
        <v>5</v>
      </c>
      <c r="AG14" s="47">
        <v>5</v>
      </c>
      <c r="AH14" s="47"/>
      <c r="AI14" s="47"/>
      <c r="AJ14" s="47"/>
      <c r="AK14" s="285"/>
      <c r="AL14" s="294"/>
      <c r="AM14" s="295"/>
      <c r="AN14" s="289"/>
      <c r="AO14" s="439"/>
      <c r="AP14" s="439"/>
      <c r="AQ14" s="439"/>
      <c r="AR14" s="289"/>
      <c r="AS14" s="289"/>
      <c r="AT14" s="285"/>
      <c r="AU14" s="285"/>
    </row>
    <row r="15" spans="1:48" s="268" customFormat="1" ht="12.75" hidden="1" customHeight="1">
      <c r="C15" s="285"/>
      <c r="D15" s="284"/>
      <c r="F15" s="284"/>
      <c r="G15" s="285"/>
      <c r="L15" s="291" t="s">
        <v>9</v>
      </c>
      <c r="M15" s="292"/>
      <c r="O15" s="47">
        <v>3</v>
      </c>
      <c r="P15" s="47">
        <v>5</v>
      </c>
      <c r="Q15" s="293">
        <v>1</v>
      </c>
      <c r="R15" s="47">
        <v>3</v>
      </c>
      <c r="T15" s="293">
        <v>5</v>
      </c>
      <c r="U15" s="47">
        <v>7</v>
      </c>
      <c r="V15" s="47">
        <v>2</v>
      </c>
      <c r="W15" s="47"/>
      <c r="X15" s="293">
        <v>5</v>
      </c>
      <c r="Y15" s="293">
        <v>2</v>
      </c>
      <c r="Z15" s="268">
        <v>5</v>
      </c>
      <c r="AA15" s="47">
        <v>10</v>
      </c>
      <c r="AB15" s="47">
        <v>10</v>
      </c>
      <c r="AF15" s="297">
        <v>5</v>
      </c>
      <c r="AG15" s="297">
        <v>5</v>
      </c>
      <c r="AH15" s="297"/>
      <c r="AI15" s="47"/>
      <c r="AJ15" s="47"/>
      <c r="AK15" s="285"/>
      <c r="AL15" s="294"/>
      <c r="AM15" s="295"/>
      <c r="AN15" s="289"/>
      <c r="AO15" s="439"/>
      <c r="AP15" s="439"/>
      <c r="AQ15" s="439"/>
      <c r="AR15" s="289"/>
      <c r="AS15" s="289"/>
      <c r="AT15" s="285"/>
      <c r="AU15" s="285"/>
    </row>
    <row r="16" spans="1:48" s="268" customFormat="1" ht="31.5" customHeight="1">
      <c r="A16" s="298" t="s">
        <v>12</v>
      </c>
      <c r="B16" s="261" t="s">
        <v>13</v>
      </c>
      <c r="C16" s="307" t="s">
        <v>14</v>
      </c>
      <c r="D16" s="299" t="s">
        <v>15</v>
      </c>
      <c r="E16" s="298" t="s">
        <v>16</v>
      </c>
      <c r="F16" s="299" t="s">
        <v>17</v>
      </c>
      <c r="G16" s="298" t="s">
        <v>18</v>
      </c>
      <c r="H16" s="298" t="s">
        <v>19</v>
      </c>
      <c r="I16" s="298" t="s">
        <v>20</v>
      </c>
      <c r="J16" s="298" t="s">
        <v>21</v>
      </c>
      <c r="K16" s="298" t="s">
        <v>22</v>
      </c>
      <c r="L16" s="298" t="s">
        <v>23</v>
      </c>
      <c r="M16" s="298"/>
      <c r="N16" s="298" t="s">
        <v>24</v>
      </c>
      <c r="O16" s="298" t="s">
        <v>25</v>
      </c>
      <c r="P16" s="298" t="s">
        <v>26</v>
      </c>
      <c r="Q16" s="300" t="s">
        <v>27</v>
      </c>
      <c r="R16" s="298" t="s">
        <v>28</v>
      </c>
      <c r="S16" s="298" t="s">
        <v>29</v>
      </c>
      <c r="T16" s="298" t="s">
        <v>30</v>
      </c>
      <c r="U16" s="300" t="s">
        <v>31</v>
      </c>
      <c r="V16" s="298" t="s">
        <v>32</v>
      </c>
      <c r="W16" s="298" t="s">
        <v>33</v>
      </c>
      <c r="X16" s="300" t="s">
        <v>34</v>
      </c>
      <c r="Y16" s="298" t="s">
        <v>35</v>
      </c>
      <c r="Z16" s="298" t="s">
        <v>36</v>
      </c>
      <c r="AA16" s="300" t="s">
        <v>37</v>
      </c>
      <c r="AB16" s="300" t="s">
        <v>38</v>
      </c>
      <c r="AC16" s="300" t="s">
        <v>39</v>
      </c>
      <c r="AD16" s="298" t="s">
        <v>40</v>
      </c>
      <c r="AE16" s="298" t="s">
        <v>41</v>
      </c>
      <c r="AF16" s="301" t="s">
        <v>42</v>
      </c>
      <c r="AG16" s="300" t="s">
        <v>43</v>
      </c>
      <c r="AH16" s="300" t="s">
        <v>44</v>
      </c>
      <c r="AI16" s="300" t="s">
        <v>45</v>
      </c>
      <c r="AJ16" s="300" t="s">
        <v>46</v>
      </c>
      <c r="AK16" s="298" t="s">
        <v>16</v>
      </c>
      <c r="AL16" s="298" t="s">
        <v>47</v>
      </c>
      <c r="AM16" s="298" t="s">
        <v>48</v>
      </c>
      <c r="AN16" s="298" t="s">
        <v>49</v>
      </c>
      <c r="AO16" s="302" t="s">
        <v>50</v>
      </c>
      <c r="AP16" s="302" t="s">
        <v>51</v>
      </c>
      <c r="AQ16" s="302" t="s">
        <v>52</v>
      </c>
      <c r="AR16" s="298" t="s">
        <v>53</v>
      </c>
      <c r="AS16" s="298"/>
      <c r="AT16" s="298"/>
      <c r="AU16" s="298" t="s">
        <v>52</v>
      </c>
      <c r="AV16" s="298" t="s">
        <v>54</v>
      </c>
    </row>
    <row r="17" spans="1:48" s="268" customFormat="1" ht="15.75" customHeight="1">
      <c r="A17" s="303"/>
      <c r="B17" s="304"/>
      <c r="C17" s="434"/>
      <c r="D17" s="305"/>
      <c r="E17" s="306"/>
      <c r="F17" s="305"/>
      <c r="G17" s="306"/>
      <c r="H17" s="303"/>
      <c r="I17" s="303"/>
      <c r="J17" s="303"/>
      <c r="K17" s="303"/>
      <c r="L17" s="303"/>
      <c r="M17" s="65" t="s">
        <v>55</v>
      </c>
      <c r="N17" s="303"/>
      <c r="O17" s="303"/>
      <c r="P17" s="303"/>
      <c r="Q17" s="303"/>
      <c r="R17" s="303"/>
      <c r="S17" s="303"/>
      <c r="T17" s="303"/>
      <c r="U17" s="303"/>
      <c r="V17" s="303"/>
      <c r="W17" s="303"/>
      <c r="X17" s="303"/>
      <c r="Y17" s="303"/>
      <c r="Z17" s="306"/>
      <c r="AA17" s="306"/>
      <c r="AB17" s="306"/>
      <c r="AC17" s="306"/>
      <c r="AD17" s="306"/>
      <c r="AE17" s="306"/>
      <c r="AF17" s="306"/>
      <c r="AG17" s="306"/>
      <c r="AH17" s="306"/>
      <c r="AI17" s="306"/>
      <c r="AJ17" s="306"/>
      <c r="AK17" s="307"/>
      <c r="AL17" s="306"/>
      <c r="AM17" s="306"/>
      <c r="AN17" s="306"/>
      <c r="AO17" s="306"/>
      <c r="AP17" s="306"/>
      <c r="AQ17" s="306"/>
      <c r="AR17" s="306"/>
      <c r="AS17" s="306"/>
      <c r="AT17" s="306"/>
      <c r="AU17" s="306" t="s">
        <v>56</v>
      </c>
    </row>
    <row r="18" spans="1:48" s="269" customFormat="1" ht="15.75" customHeight="1">
      <c r="A18" s="308"/>
      <c r="B18" s="309"/>
      <c r="C18" s="435"/>
      <c r="D18" s="310"/>
      <c r="E18" s="311"/>
      <c r="F18" s="310"/>
      <c r="G18" s="311"/>
      <c r="H18" s="308"/>
      <c r="I18" s="308"/>
      <c r="J18" s="308"/>
      <c r="K18" s="308"/>
      <c r="L18" s="308"/>
      <c r="M18" s="312" t="s">
        <v>57</v>
      </c>
      <c r="N18" s="313" t="s">
        <v>58</v>
      </c>
      <c r="O18" s="308" t="s">
        <v>59</v>
      </c>
      <c r="P18" s="308" t="s">
        <v>59</v>
      </c>
      <c r="Q18" s="308" t="s">
        <v>58</v>
      </c>
      <c r="R18" s="308" t="s">
        <v>59</v>
      </c>
      <c r="S18" s="308"/>
      <c r="T18" s="308" t="s">
        <v>58</v>
      </c>
      <c r="U18" s="308" t="s">
        <v>59</v>
      </c>
      <c r="V18" s="308" t="s">
        <v>59</v>
      </c>
      <c r="W18" s="308" t="s">
        <v>58</v>
      </c>
      <c r="X18" s="308" t="s">
        <v>58</v>
      </c>
      <c r="Y18" s="308" t="s">
        <v>58</v>
      </c>
      <c r="Z18" s="308" t="s">
        <v>58</v>
      </c>
      <c r="AA18" s="311" t="s">
        <v>58</v>
      </c>
      <c r="AB18" s="311" t="s">
        <v>59</v>
      </c>
      <c r="AC18" s="311"/>
      <c r="AD18" s="311"/>
      <c r="AE18" s="311"/>
      <c r="AF18" s="311"/>
      <c r="AG18" s="311"/>
      <c r="AH18" s="311"/>
      <c r="AI18" s="311"/>
      <c r="AJ18" s="311"/>
      <c r="AK18" s="314"/>
      <c r="AL18" s="311"/>
      <c r="AM18" s="311"/>
      <c r="AN18" s="311"/>
      <c r="AO18" s="311"/>
      <c r="AP18" s="311"/>
      <c r="AQ18" s="311"/>
      <c r="AR18" s="311"/>
      <c r="AS18" s="311"/>
      <c r="AT18" s="311"/>
      <c r="AU18" s="311"/>
    </row>
    <row r="19" spans="1:48" s="270" customFormat="1" ht="25.05" hidden="1" customHeight="1">
      <c r="A19" s="315">
        <v>1</v>
      </c>
      <c r="B19" s="263" t="s">
        <v>60</v>
      </c>
      <c r="C19" s="432" t="s">
        <v>61</v>
      </c>
      <c r="D19" s="316"/>
      <c r="E19" s="317"/>
      <c r="F19" s="318"/>
      <c r="G19" s="319"/>
      <c r="H19" s="320"/>
      <c r="I19" s="319" t="s">
        <v>62</v>
      </c>
      <c r="J19" s="263"/>
      <c r="K19" s="321"/>
      <c r="L19" s="263" t="s">
        <v>6</v>
      </c>
      <c r="M19" s="322" t="s">
        <v>63</v>
      </c>
      <c r="N19" s="323"/>
      <c r="O19" s="324">
        <v>46122</v>
      </c>
      <c r="P19" s="324">
        <v>46142</v>
      </c>
      <c r="Q19" s="324">
        <v>46142</v>
      </c>
      <c r="R19" s="324">
        <v>46142</v>
      </c>
      <c r="S19" s="324">
        <v>46145</v>
      </c>
      <c r="T19" s="324">
        <v>46157</v>
      </c>
      <c r="U19" s="324">
        <v>46184</v>
      </c>
      <c r="V19" s="324">
        <v>46198</v>
      </c>
      <c r="W19" s="324"/>
      <c r="X19" s="324">
        <v>46211</v>
      </c>
      <c r="Y19" s="324">
        <v>46213</v>
      </c>
      <c r="Z19" s="324">
        <v>46220</v>
      </c>
      <c r="AA19" s="324">
        <v>46248</v>
      </c>
      <c r="AB19" s="324">
        <v>46262</v>
      </c>
      <c r="AC19" s="324">
        <v>46307</v>
      </c>
      <c r="AD19" s="324">
        <v>46310</v>
      </c>
      <c r="AE19" s="324">
        <v>46313</v>
      </c>
      <c r="AF19" s="324">
        <v>46496</v>
      </c>
      <c r="AG19" s="324">
        <v>46526</v>
      </c>
      <c r="AH19" s="324">
        <v>46540</v>
      </c>
      <c r="AI19" s="324">
        <v>46554</v>
      </c>
      <c r="AJ19" s="324">
        <v>46570</v>
      </c>
      <c r="AK19" s="325">
        <v>47</v>
      </c>
      <c r="AL19" s="326">
        <f>AK19*7</f>
        <v>329</v>
      </c>
      <c r="AM19" s="324">
        <f>X19+AL19</f>
        <v>46540</v>
      </c>
      <c r="AN19" s="327">
        <f>AN20</f>
        <v>46540</v>
      </c>
      <c r="AO19" s="327"/>
      <c r="AP19" s="327"/>
      <c r="AQ19" s="327"/>
      <c r="AR19" s="319">
        <f>AN20-AM19</f>
        <v>0</v>
      </c>
      <c r="AS19" s="328" t="s">
        <v>64</v>
      </c>
      <c r="AT19" s="329" t="s">
        <v>65</v>
      </c>
      <c r="AU19" s="330">
        <v>46543</v>
      </c>
      <c r="AV19" s="331">
        <v>2</v>
      </c>
    </row>
    <row r="20" spans="1:48" s="271" customFormat="1" ht="25.05" hidden="1" customHeight="1">
      <c r="A20" s="315"/>
      <c r="B20" s="263" t="s">
        <v>60</v>
      </c>
      <c r="C20" s="432" t="s">
        <v>61</v>
      </c>
      <c r="D20" s="316"/>
      <c r="E20" s="317"/>
      <c r="F20" s="318"/>
      <c r="G20" s="319"/>
      <c r="H20" s="320" t="s">
        <v>66</v>
      </c>
      <c r="I20" s="319" t="s">
        <v>62</v>
      </c>
      <c r="J20" s="263" t="s">
        <v>67</v>
      </c>
      <c r="K20" s="263">
        <v>2</v>
      </c>
      <c r="L20" s="263" t="s">
        <v>6</v>
      </c>
      <c r="M20" s="322" t="s">
        <v>68</v>
      </c>
      <c r="N20" s="324"/>
      <c r="O20" s="324"/>
      <c r="P20" s="324"/>
      <c r="Q20" s="324"/>
      <c r="R20" s="324"/>
      <c r="S20" s="324"/>
      <c r="T20" s="324"/>
      <c r="U20" s="324"/>
      <c r="V20" s="324"/>
      <c r="W20" s="324"/>
      <c r="X20" s="324"/>
      <c r="Y20" s="324"/>
      <c r="Z20" s="324"/>
      <c r="AA20" s="324">
        <v>46248</v>
      </c>
      <c r="AB20" s="324">
        <f>WORKDAY.INTL(AA20,INDEX(AB$12:AB$15,MATCH($L20,$L$12:$L$15,0)),1,IF(AB$18="China",'China Holidays'!$A$2:$A$82,'Thai Holidays'!$A$2:$A$63))</f>
        <v>46262</v>
      </c>
      <c r="AC20" s="324">
        <f>AB20+45</f>
        <v>46307</v>
      </c>
      <c r="AD20" s="324">
        <f>AC20+3</f>
        <v>46310</v>
      </c>
      <c r="AE20" s="324">
        <f>AD20+3</f>
        <v>46313</v>
      </c>
      <c r="AF20" s="324">
        <f>AG20-30</f>
        <v>46482</v>
      </c>
      <c r="AG20" s="324">
        <f>AH20-14</f>
        <v>46512</v>
      </c>
      <c r="AH20" s="324">
        <f>AM20</f>
        <v>46526</v>
      </c>
      <c r="AI20" s="324">
        <f>AM20+14</f>
        <v>46540</v>
      </c>
      <c r="AJ20" s="324">
        <f>AM20+30</f>
        <v>46556</v>
      </c>
      <c r="AK20" s="325">
        <v>46</v>
      </c>
      <c r="AL20" s="326">
        <f>AK20*7</f>
        <v>322</v>
      </c>
      <c r="AM20" s="324">
        <f>W21+AL20</f>
        <v>46526</v>
      </c>
      <c r="AN20" s="327">
        <f>AU19-3</f>
        <v>46540</v>
      </c>
      <c r="AO20" s="327">
        <f>AP20-7</f>
        <v>46561</v>
      </c>
      <c r="AP20" s="327">
        <v>46568</v>
      </c>
      <c r="AQ20" s="327"/>
      <c r="AR20" s="319">
        <f>AN20-AM20</f>
        <v>14</v>
      </c>
      <c r="AS20" s="332" t="str">
        <f>AS19</f>
        <v>Long Lead</v>
      </c>
      <c r="AT20" s="329" t="s">
        <v>69</v>
      </c>
      <c r="AU20" s="330">
        <v>46553</v>
      </c>
    </row>
    <row r="21" spans="1:48" s="270" customFormat="1" ht="25.05" hidden="1" customHeight="1">
      <c r="A21" s="333"/>
      <c r="B21" s="334" t="s">
        <v>60</v>
      </c>
      <c r="C21" s="436" t="s">
        <v>61</v>
      </c>
      <c r="D21" s="335"/>
      <c r="E21" s="336"/>
      <c r="F21" s="337"/>
      <c r="G21" s="338"/>
      <c r="H21" s="339"/>
      <c r="I21" s="338" t="s">
        <v>62</v>
      </c>
      <c r="J21" s="334" t="s">
        <v>67</v>
      </c>
      <c r="K21" s="263">
        <v>2</v>
      </c>
      <c r="L21" s="334" t="s">
        <v>6</v>
      </c>
      <c r="M21" s="340" t="s">
        <v>70</v>
      </c>
      <c r="N21" s="341">
        <v>46120</v>
      </c>
      <c r="O21" s="341">
        <v>46122</v>
      </c>
      <c r="P21" s="341">
        <v>46139</v>
      </c>
      <c r="Q21" s="341">
        <f>P21</f>
        <v>46139</v>
      </c>
      <c r="R21" s="341">
        <f>Q21</f>
        <v>46139</v>
      </c>
      <c r="S21" s="341">
        <f>R21</f>
        <v>46139</v>
      </c>
      <c r="T21" s="341">
        <v>46143</v>
      </c>
      <c r="U21" s="341">
        <v>46185</v>
      </c>
      <c r="V21" s="341">
        <v>46190</v>
      </c>
      <c r="W21" s="341">
        <v>46204</v>
      </c>
      <c r="X21" s="341">
        <v>46240</v>
      </c>
      <c r="Y21" s="341">
        <v>46240</v>
      </c>
      <c r="Z21" s="341">
        <v>46213</v>
      </c>
      <c r="AA21" s="341"/>
      <c r="AB21" s="341"/>
      <c r="AC21" s="341"/>
      <c r="AD21" s="341"/>
      <c r="AE21" s="341"/>
      <c r="AF21" s="341"/>
      <c r="AG21" s="341"/>
      <c r="AH21" s="341"/>
      <c r="AI21" s="341"/>
      <c r="AJ21" s="341"/>
      <c r="AK21" s="342"/>
      <c r="AL21" s="343"/>
      <c r="AM21" s="341"/>
      <c r="AN21" s="344"/>
      <c r="AO21" s="344"/>
      <c r="AP21" s="344"/>
      <c r="AQ21" s="344" t="s">
        <v>71</v>
      </c>
      <c r="AR21" s="338"/>
      <c r="AS21" s="345" t="str">
        <f>AS19</f>
        <v>Long Lead</v>
      </c>
      <c r="AT21" s="346"/>
      <c r="AU21" s="347"/>
    </row>
    <row r="22" spans="1:48" s="270" customFormat="1" ht="25.05" hidden="1" customHeight="1">
      <c r="A22" s="315">
        <v>2</v>
      </c>
      <c r="B22" s="263" t="s">
        <v>72</v>
      </c>
      <c r="C22" s="432" t="s">
        <v>73</v>
      </c>
      <c r="D22" s="316"/>
      <c r="E22" s="317"/>
      <c r="F22" s="348"/>
      <c r="G22" s="319"/>
      <c r="H22" s="320"/>
      <c r="I22" s="319" t="s">
        <v>62</v>
      </c>
      <c r="J22" s="263"/>
      <c r="K22" s="321"/>
      <c r="L22" s="263" t="s">
        <v>8</v>
      </c>
      <c r="M22" s="322" t="s">
        <v>63</v>
      </c>
      <c r="N22" s="324"/>
      <c r="O22" s="324">
        <v>46203</v>
      </c>
      <c r="P22" s="324">
        <v>46217</v>
      </c>
      <c r="Q22" s="324">
        <v>46217</v>
      </c>
      <c r="R22" s="324">
        <v>46217</v>
      </c>
      <c r="S22" s="324">
        <v>46217</v>
      </c>
      <c r="T22" s="324">
        <v>46231</v>
      </c>
      <c r="U22" s="324">
        <v>46252</v>
      </c>
      <c r="V22" s="324">
        <v>46266</v>
      </c>
      <c r="W22" s="324"/>
      <c r="X22" s="324">
        <v>46279</v>
      </c>
      <c r="Y22" s="324">
        <v>46281</v>
      </c>
      <c r="Z22" s="324">
        <v>46288</v>
      </c>
      <c r="AA22" s="324">
        <v>46317</v>
      </c>
      <c r="AB22" s="324">
        <v>46332</v>
      </c>
      <c r="AC22" s="324">
        <v>46377</v>
      </c>
      <c r="AD22" s="324">
        <v>46380</v>
      </c>
      <c r="AE22" s="324">
        <v>46381</v>
      </c>
      <c r="AF22" s="324">
        <v>46410</v>
      </c>
      <c r="AG22" s="324">
        <v>46440</v>
      </c>
      <c r="AH22" s="324">
        <v>46454</v>
      </c>
      <c r="AI22" s="324">
        <v>46468</v>
      </c>
      <c r="AJ22" s="324">
        <v>46484</v>
      </c>
      <c r="AK22" s="325">
        <v>25</v>
      </c>
      <c r="AL22" s="326">
        <f>AK22*7</f>
        <v>175</v>
      </c>
      <c r="AM22" s="324">
        <f>X22+AL22</f>
        <v>46454</v>
      </c>
      <c r="AN22" s="327">
        <f>AN23</f>
        <v>46473</v>
      </c>
      <c r="AO22" s="327"/>
      <c r="AP22" s="327"/>
      <c r="AQ22" s="327"/>
      <c r="AR22" s="319">
        <f>AN23-AM22</f>
        <v>19</v>
      </c>
      <c r="AS22" s="328"/>
      <c r="AT22" s="329" t="s">
        <v>65</v>
      </c>
      <c r="AU22" s="330">
        <v>46476</v>
      </c>
      <c r="AV22" s="331">
        <v>90</v>
      </c>
    </row>
    <row r="23" spans="1:48" s="271" customFormat="1" ht="25.05" hidden="1" customHeight="1">
      <c r="A23" s="315"/>
      <c r="B23" s="263" t="s">
        <v>72</v>
      </c>
      <c r="C23" s="432" t="s">
        <v>73</v>
      </c>
      <c r="D23" s="316"/>
      <c r="E23" s="317"/>
      <c r="F23" s="348"/>
      <c r="G23" s="319"/>
      <c r="H23" s="320" t="s">
        <v>74</v>
      </c>
      <c r="I23" s="319" t="s">
        <v>62</v>
      </c>
      <c r="J23" s="263" t="s">
        <v>75</v>
      </c>
      <c r="K23" s="263">
        <v>4</v>
      </c>
      <c r="L23" s="263" t="s">
        <v>8</v>
      </c>
      <c r="M23" s="322" t="s">
        <v>68</v>
      </c>
      <c r="N23" s="324"/>
      <c r="O23" s="324"/>
      <c r="P23" s="324"/>
      <c r="Q23" s="324"/>
      <c r="R23" s="324"/>
      <c r="S23" s="324"/>
      <c r="T23" s="324"/>
      <c r="U23" s="324">
        <v>46252</v>
      </c>
      <c r="V23" s="324">
        <f>WORKDAY.INTL(U23,INDEX(V$8:V$11,MATCH($L23,$L$8:$L$11,0)),1,IF(V$18="China",'China Holidays'!$A$2:$A$82,'Thai Holidays'!$A$2:$A$63))</f>
        <v>46266</v>
      </c>
      <c r="W23" s="324"/>
      <c r="X23" s="324">
        <f>WORKDAY.INTL(V23,INDEX(X$8:X$11,MATCH($L23,$L$8:$L$11,0)),1,IF(X$18="China",'China Holidays'!$A$2:$A$82,'Thai Holidays'!$A$2:$A$63))</f>
        <v>46279</v>
      </c>
      <c r="Y23" s="324">
        <f>WORKDAY.INTL(X23,INDEX(Y$12:Y$15,MATCH($L23,$L$12:$L$15,0)),1,IF(Y$18="China",'China Holidays'!$A$2:$A$82,'Thai Holidays'!$A$2:$A$63))</f>
        <v>46281</v>
      </c>
      <c r="Z23" s="324">
        <f>WORKDAY.INTL(Y23,INDEX(Z$12:Z$15,MATCH($L23,$L$12:$L$15,0)),1,IF(Z$18="China",'China Holidays'!$A$2:$A$82,'Thai Holidays'!$A$2:$A$63))</f>
        <v>46288</v>
      </c>
      <c r="AA23" s="324">
        <f>WORKDAY.INTL(Z23,INDEX(AA$12:AA$15,MATCH($L23,$L$12:$L$15,0)),1,IF(AA$18="China",'China Holidays'!$A$2:$A$82,'Thai Holidays'!$A$2:$A$63))</f>
        <v>46317</v>
      </c>
      <c r="AB23" s="324">
        <f>WORKDAY.INTL(AA23,INDEX(AB$12:AB$15,MATCH($L23,$L$12:$L$15,0)),1,IF(AB$18="China",'China Holidays'!$A$2:$A$82,'Thai Holidays'!$A$2:$A$63))</f>
        <v>46332</v>
      </c>
      <c r="AC23" s="324">
        <f>AB23+45</f>
        <v>46377</v>
      </c>
      <c r="AD23" s="324">
        <f>AC23+3</f>
        <v>46380</v>
      </c>
      <c r="AE23" s="324">
        <f>AD23+1</f>
        <v>46381</v>
      </c>
      <c r="AF23" s="324">
        <f>AG23-30</f>
        <v>46410</v>
      </c>
      <c r="AG23" s="324">
        <f>AH23-14</f>
        <v>46440</v>
      </c>
      <c r="AH23" s="324">
        <f>AM23</f>
        <v>46454</v>
      </c>
      <c r="AI23" s="324">
        <f>AM23+14</f>
        <v>46468</v>
      </c>
      <c r="AJ23" s="324">
        <f>AM23+30</f>
        <v>46484</v>
      </c>
      <c r="AK23" s="325">
        <v>25</v>
      </c>
      <c r="AL23" s="326">
        <f>AK23*7</f>
        <v>175</v>
      </c>
      <c r="AM23" s="324">
        <f>IF(X23&lt;&gt;"",X23+AL23,X24+AL23)</f>
        <v>46454</v>
      </c>
      <c r="AN23" s="327">
        <f>AU22-3</f>
        <v>46473</v>
      </c>
      <c r="AO23" s="327"/>
      <c r="AP23" s="327"/>
      <c r="AQ23" s="327" t="s">
        <v>76</v>
      </c>
      <c r="AR23" s="319">
        <f>AN23-AM23</f>
        <v>19</v>
      </c>
      <c r="AS23" s="328"/>
      <c r="AT23" s="329" t="s">
        <v>69</v>
      </c>
      <c r="AU23" s="330">
        <v>46476</v>
      </c>
    </row>
    <row r="24" spans="1:48" s="270" customFormat="1" ht="25.05" hidden="1" customHeight="1">
      <c r="A24" s="333"/>
      <c r="B24" s="334" t="s">
        <v>72</v>
      </c>
      <c r="C24" s="436" t="s">
        <v>73</v>
      </c>
      <c r="D24" s="335"/>
      <c r="E24" s="336"/>
      <c r="F24" s="349"/>
      <c r="G24" s="338"/>
      <c r="H24" s="339"/>
      <c r="I24" s="338" t="s">
        <v>62</v>
      </c>
      <c r="J24" s="334" t="s">
        <v>75</v>
      </c>
      <c r="K24" s="263">
        <v>4</v>
      </c>
      <c r="L24" s="334" t="s">
        <v>8</v>
      </c>
      <c r="M24" s="340" t="s">
        <v>70</v>
      </c>
      <c r="N24" s="338"/>
      <c r="O24" s="341">
        <v>46170</v>
      </c>
      <c r="P24" s="341">
        <v>46188</v>
      </c>
      <c r="Q24" s="341">
        <v>46188</v>
      </c>
      <c r="R24" s="341">
        <v>46188</v>
      </c>
      <c r="S24" s="341">
        <v>46191</v>
      </c>
      <c r="T24" s="341">
        <v>46204</v>
      </c>
      <c r="U24" s="341">
        <v>46242</v>
      </c>
      <c r="V24" s="341"/>
      <c r="W24" s="341"/>
      <c r="X24" s="338"/>
      <c r="Y24" s="341"/>
      <c r="Z24" s="341"/>
      <c r="AA24" s="341"/>
      <c r="AB24" s="341"/>
      <c r="AC24" s="341"/>
      <c r="AD24" s="341"/>
      <c r="AE24" s="341"/>
      <c r="AF24" s="341"/>
      <c r="AG24" s="341"/>
      <c r="AH24" s="341"/>
      <c r="AI24" s="341"/>
      <c r="AJ24" s="341"/>
      <c r="AK24" s="342"/>
      <c r="AL24" s="343"/>
      <c r="AM24" s="341"/>
      <c r="AN24" s="344"/>
      <c r="AO24" s="344"/>
      <c r="AP24" s="344"/>
      <c r="AQ24" s="344"/>
      <c r="AR24" s="338"/>
      <c r="AS24" s="345"/>
      <c r="AT24" s="346"/>
      <c r="AU24" s="350"/>
    </row>
    <row r="25" spans="1:48" s="270" customFormat="1" ht="25.05" hidden="1" customHeight="1">
      <c r="A25" s="315">
        <v>3</v>
      </c>
      <c r="B25" s="263" t="s">
        <v>77</v>
      </c>
      <c r="C25" s="432" t="s">
        <v>78</v>
      </c>
      <c r="D25" s="351"/>
      <c r="E25" s="317"/>
      <c r="F25" s="318"/>
      <c r="G25" s="319"/>
      <c r="H25" s="320"/>
      <c r="I25" s="319" t="s">
        <v>62</v>
      </c>
      <c r="J25" s="263"/>
      <c r="K25" s="321"/>
      <c r="L25" s="263" t="s">
        <v>6</v>
      </c>
      <c r="M25" s="322" t="s">
        <v>63</v>
      </c>
      <c r="N25" s="324"/>
      <c r="O25" s="324">
        <v>46170</v>
      </c>
      <c r="P25" s="324">
        <v>46182</v>
      </c>
      <c r="Q25" s="324">
        <v>46182</v>
      </c>
      <c r="R25" s="324">
        <v>46182</v>
      </c>
      <c r="S25" s="324">
        <v>46190</v>
      </c>
      <c r="T25" s="324">
        <v>46204</v>
      </c>
      <c r="U25" s="324">
        <v>46224</v>
      </c>
      <c r="V25" s="324">
        <v>46240</v>
      </c>
      <c r="W25" s="324"/>
      <c r="X25" s="324">
        <v>46253</v>
      </c>
      <c r="Y25" s="324">
        <v>46255</v>
      </c>
      <c r="Z25" s="324">
        <v>46262</v>
      </c>
      <c r="AA25" s="324">
        <v>46293</v>
      </c>
      <c r="AB25" s="324">
        <v>46307</v>
      </c>
      <c r="AC25" s="324">
        <v>46367</v>
      </c>
      <c r="AD25" s="324">
        <v>46370</v>
      </c>
      <c r="AE25" s="324">
        <v>46371</v>
      </c>
      <c r="AF25" s="324">
        <v>46402</v>
      </c>
      <c r="AG25" s="324">
        <v>46432</v>
      </c>
      <c r="AH25" s="324">
        <v>46433</v>
      </c>
      <c r="AI25" s="324">
        <v>46447</v>
      </c>
      <c r="AJ25" s="324">
        <v>46463</v>
      </c>
      <c r="AK25" s="325">
        <v>25.714285714285701</v>
      </c>
      <c r="AL25" s="326">
        <f>AK25*7</f>
        <v>179.99999999999991</v>
      </c>
      <c r="AM25" s="324">
        <f>X25+AL25</f>
        <v>46433</v>
      </c>
      <c r="AN25" s="327">
        <f>AN26</f>
        <v>46444</v>
      </c>
      <c r="AO25" s="327"/>
      <c r="AP25" s="327"/>
      <c r="AQ25" s="327"/>
      <c r="AR25" s="319">
        <f>AN26-AM25</f>
        <v>11</v>
      </c>
      <c r="AS25" s="328"/>
      <c r="AT25" s="329" t="s">
        <v>65</v>
      </c>
      <c r="AU25" s="330">
        <v>46447</v>
      </c>
      <c r="AV25" s="331">
        <v>41</v>
      </c>
    </row>
    <row r="26" spans="1:48" s="270" customFormat="1" ht="25.05" hidden="1" customHeight="1">
      <c r="A26" s="315"/>
      <c r="B26" s="263" t="s">
        <v>77</v>
      </c>
      <c r="C26" s="432" t="s">
        <v>78</v>
      </c>
      <c r="D26" s="351"/>
      <c r="E26" s="317"/>
      <c r="F26" s="318"/>
      <c r="G26" s="319"/>
      <c r="H26" s="320" t="s">
        <v>79</v>
      </c>
      <c r="I26" s="319" t="s">
        <v>62</v>
      </c>
      <c r="J26" s="263" t="s">
        <v>67</v>
      </c>
      <c r="K26" s="263">
        <v>3</v>
      </c>
      <c r="L26" s="263" t="s">
        <v>6</v>
      </c>
      <c r="M26" s="322" t="s">
        <v>68</v>
      </c>
      <c r="N26" s="324"/>
      <c r="O26" s="324"/>
      <c r="P26" s="324"/>
      <c r="Q26" s="324"/>
      <c r="R26" s="324"/>
      <c r="S26" s="324"/>
      <c r="T26" s="324"/>
      <c r="U26" s="324"/>
      <c r="V26" s="324"/>
      <c r="W26" s="324"/>
      <c r="X26" s="324"/>
      <c r="Y26" s="324"/>
      <c r="Z26" s="324"/>
      <c r="AA26" s="324">
        <f>WORKDAY.INTL(Z27,INDEX(AA$12:AA$15,MATCH($L26,$L$12:$L$15,0)),1,IF(AA$18="China",'China Holidays'!$A$2:$A$82,'Thai Holidays'!$A$2:$A$63))</f>
        <v>46254</v>
      </c>
      <c r="AB26" s="324">
        <f>WORKDAY.INTL(AA26,INDEX(AB$12:AB$15,MATCH($L26,$L$12:$L$15,0)),1,IF(AB$18="China",'China Holidays'!$A$2:$A$82,'Thai Holidays'!$A$2:$A$63))</f>
        <v>46268</v>
      </c>
      <c r="AC26" s="324">
        <f>AB26+60</f>
        <v>46328</v>
      </c>
      <c r="AD26" s="324">
        <f>AC26+3</f>
        <v>46331</v>
      </c>
      <c r="AE26" s="324">
        <f>AD26+1</f>
        <v>46332</v>
      </c>
      <c r="AF26" s="324">
        <f>AG26-30</f>
        <v>46368</v>
      </c>
      <c r="AG26" s="324">
        <f>AH26-1</f>
        <v>46398</v>
      </c>
      <c r="AH26" s="324">
        <f>AM26</f>
        <v>46399</v>
      </c>
      <c r="AI26" s="324">
        <f>AM26+14</f>
        <v>46413</v>
      </c>
      <c r="AJ26" s="324">
        <f>AM26+30</f>
        <v>46429</v>
      </c>
      <c r="AK26" s="325">
        <v>25.714285714285701</v>
      </c>
      <c r="AL26" s="326">
        <f>AK26*7</f>
        <v>179.99999999999991</v>
      </c>
      <c r="AM26" s="324">
        <f>IF(X26&lt;&gt;"",X26+AL26,X27+AL26)</f>
        <v>46399</v>
      </c>
      <c r="AN26" s="327">
        <f>AU25-3</f>
        <v>46444</v>
      </c>
      <c r="AO26" s="327">
        <f>AP26-7</f>
        <v>46440</v>
      </c>
      <c r="AP26" s="327">
        <v>46447</v>
      </c>
      <c r="AQ26" s="327"/>
      <c r="AR26" s="319">
        <f>AN26-AM26</f>
        <v>45</v>
      </c>
      <c r="AS26" s="328"/>
      <c r="AT26" s="329" t="s">
        <v>69</v>
      </c>
      <c r="AU26" s="330">
        <v>46472</v>
      </c>
      <c r="AV26" s="271"/>
    </row>
    <row r="27" spans="1:48" s="270" customFormat="1" ht="25.05" hidden="1" customHeight="1">
      <c r="A27" s="333"/>
      <c r="B27" s="334" t="s">
        <v>77</v>
      </c>
      <c r="C27" s="436" t="s">
        <v>78</v>
      </c>
      <c r="D27" s="352"/>
      <c r="E27" s="336"/>
      <c r="F27" s="337"/>
      <c r="G27" s="338"/>
      <c r="H27" s="339"/>
      <c r="I27" s="338" t="s">
        <v>62</v>
      </c>
      <c r="J27" s="334" t="s">
        <v>67</v>
      </c>
      <c r="K27" s="263">
        <v>3</v>
      </c>
      <c r="L27" s="334" t="s">
        <v>6</v>
      </c>
      <c r="M27" s="340" t="s">
        <v>70</v>
      </c>
      <c r="N27" s="341">
        <v>46136</v>
      </c>
      <c r="O27" s="341">
        <v>46165</v>
      </c>
      <c r="P27" s="341">
        <v>46183</v>
      </c>
      <c r="Q27" s="341">
        <v>46183</v>
      </c>
      <c r="R27" s="341">
        <v>46183</v>
      </c>
      <c r="S27" s="341">
        <v>46183</v>
      </c>
      <c r="T27" s="341">
        <v>46192</v>
      </c>
      <c r="U27" s="341">
        <v>46220</v>
      </c>
      <c r="V27" s="341">
        <v>46224</v>
      </c>
      <c r="W27" s="341">
        <v>46219</v>
      </c>
      <c r="X27" s="341">
        <v>46219</v>
      </c>
      <c r="Y27" s="341">
        <v>46219</v>
      </c>
      <c r="Z27" s="341">
        <v>46226</v>
      </c>
      <c r="AA27" s="341"/>
      <c r="AB27" s="341"/>
      <c r="AC27" s="341"/>
      <c r="AD27" s="341"/>
      <c r="AE27" s="341"/>
      <c r="AF27" s="341"/>
      <c r="AG27" s="341"/>
      <c r="AH27" s="341"/>
      <c r="AI27" s="341"/>
      <c r="AJ27" s="341"/>
      <c r="AK27" s="342"/>
      <c r="AL27" s="343"/>
      <c r="AM27" s="341"/>
      <c r="AN27" s="344"/>
      <c r="AO27" s="344"/>
      <c r="AP27" s="344"/>
      <c r="AQ27" s="344" t="s">
        <v>80</v>
      </c>
      <c r="AR27" s="338"/>
      <c r="AS27" s="345"/>
      <c r="AT27" s="346"/>
      <c r="AU27" s="350"/>
    </row>
    <row r="28" spans="1:48" s="270" customFormat="1" ht="24" hidden="1" customHeight="1">
      <c r="A28" s="315">
        <v>4</v>
      </c>
      <c r="B28" s="263" t="s">
        <v>81</v>
      </c>
      <c r="C28" s="432" t="s">
        <v>82</v>
      </c>
      <c r="D28" s="316"/>
      <c r="E28" s="317"/>
      <c r="F28" s="318"/>
      <c r="G28" s="319"/>
      <c r="H28" s="320"/>
      <c r="I28" s="319" t="s">
        <v>62</v>
      </c>
      <c r="J28" s="263"/>
      <c r="K28" s="321"/>
      <c r="L28" s="263" t="s">
        <v>6</v>
      </c>
      <c r="M28" s="322" t="s">
        <v>63</v>
      </c>
      <c r="N28" s="323"/>
      <c r="O28" s="324">
        <v>46154</v>
      </c>
      <c r="P28" s="324">
        <v>46162</v>
      </c>
      <c r="Q28" s="324">
        <v>46162</v>
      </c>
      <c r="R28" s="324">
        <v>46162</v>
      </c>
      <c r="S28" s="324">
        <v>46170</v>
      </c>
      <c r="T28" s="324">
        <v>46183</v>
      </c>
      <c r="U28" s="324">
        <v>46211</v>
      </c>
      <c r="V28" s="324">
        <v>46216</v>
      </c>
      <c r="W28" s="324"/>
      <c r="X28" s="324">
        <v>46230</v>
      </c>
      <c r="Y28" s="324">
        <v>46232</v>
      </c>
      <c r="Z28" s="324">
        <v>46239</v>
      </c>
      <c r="AA28" s="324">
        <v>46267</v>
      </c>
      <c r="AB28" s="324">
        <v>46281</v>
      </c>
      <c r="AC28" s="324">
        <v>46341</v>
      </c>
      <c r="AD28" s="324">
        <v>46344</v>
      </c>
      <c r="AE28" s="324">
        <v>46345</v>
      </c>
      <c r="AF28" s="324">
        <v>46430</v>
      </c>
      <c r="AG28" s="324">
        <v>46433</v>
      </c>
      <c r="AH28" s="324">
        <v>46440</v>
      </c>
      <c r="AI28" s="324">
        <v>46454</v>
      </c>
      <c r="AJ28" s="324">
        <v>46470</v>
      </c>
      <c r="AK28" s="325">
        <v>30</v>
      </c>
      <c r="AL28" s="326">
        <f>AK28*7</f>
        <v>210</v>
      </c>
      <c r="AM28" s="324">
        <f>X28+AL28</f>
        <v>46440</v>
      </c>
      <c r="AN28" s="327">
        <f>AN29</f>
        <v>46448</v>
      </c>
      <c r="AO28" s="327"/>
      <c r="AP28" s="327"/>
      <c r="AQ28" s="327"/>
      <c r="AR28" s="319">
        <f>AN29-AM28</f>
        <v>8</v>
      </c>
      <c r="AS28" s="328" t="s">
        <v>64</v>
      </c>
      <c r="AT28" s="329" t="s">
        <v>65</v>
      </c>
      <c r="AU28" s="330">
        <v>46451</v>
      </c>
      <c r="AV28" s="331">
        <v>34</v>
      </c>
    </row>
    <row r="29" spans="1:48" s="270" customFormat="1" ht="25.05" hidden="1" customHeight="1">
      <c r="A29" s="315"/>
      <c r="B29" s="263" t="s">
        <v>81</v>
      </c>
      <c r="C29" s="432" t="s">
        <v>82</v>
      </c>
      <c r="D29" s="316"/>
      <c r="E29" s="317"/>
      <c r="F29" s="318"/>
      <c r="G29" s="319"/>
      <c r="H29" s="320" t="s">
        <v>83</v>
      </c>
      <c r="I29" s="319" t="s">
        <v>62</v>
      </c>
      <c r="J29" s="263" t="s">
        <v>67</v>
      </c>
      <c r="K29" s="263">
        <v>2</v>
      </c>
      <c r="L29" s="263" t="s">
        <v>6</v>
      </c>
      <c r="M29" s="322" t="s">
        <v>68</v>
      </c>
      <c r="N29" s="324"/>
      <c r="O29" s="324"/>
      <c r="P29" s="324"/>
      <c r="Q29" s="324"/>
      <c r="R29" s="324"/>
      <c r="S29" s="324"/>
      <c r="T29" s="324"/>
      <c r="U29" s="324"/>
      <c r="V29" s="324"/>
      <c r="W29" s="324"/>
      <c r="X29" s="324"/>
      <c r="Y29" s="324"/>
      <c r="Z29" s="324"/>
      <c r="AA29" s="324">
        <f>WORKDAY.INTL(Z30,INDEX(AA$12:AA$15,MATCH($L29,$L$12:$L$15,0)),1,IF(AA$18="China",'China Holidays'!$A$2:$A$82,'Thai Holidays'!$A$2:$A$63))</f>
        <v>46254</v>
      </c>
      <c r="AB29" s="324">
        <f>WORKDAY.INTL(AA29,INDEX(AB$12:AB$15,MATCH($L29,$L$12:$L$15,0)),1,IF(AB$18="China",'China Holidays'!$A$2:$A$82,'Thai Holidays'!$A$2:$A$63))</f>
        <v>46268</v>
      </c>
      <c r="AC29" s="324">
        <f>AB29+60</f>
        <v>46328</v>
      </c>
      <c r="AD29" s="324">
        <f>AC29+3</f>
        <v>46331</v>
      </c>
      <c r="AE29" s="324">
        <f>AD29+1</f>
        <v>46332</v>
      </c>
      <c r="AF29" s="324">
        <f>AG29-30</f>
        <v>46398</v>
      </c>
      <c r="AG29" s="324">
        <f>AH29-1</f>
        <v>46428</v>
      </c>
      <c r="AH29" s="324">
        <f>AM29</f>
        <v>46429</v>
      </c>
      <c r="AI29" s="324">
        <f>AM29+14</f>
        <v>46443</v>
      </c>
      <c r="AJ29" s="324">
        <f>AM29+30</f>
        <v>46459</v>
      </c>
      <c r="AK29" s="325">
        <v>30</v>
      </c>
      <c r="AL29" s="326">
        <f>AK29*7</f>
        <v>210</v>
      </c>
      <c r="AM29" s="324">
        <f>IF(X29&lt;&gt;"",X29+AL29,X30+AL29)</f>
        <v>46429</v>
      </c>
      <c r="AN29" s="327">
        <f>AU28-3</f>
        <v>46448</v>
      </c>
      <c r="AO29" s="327">
        <f>AP29-7</f>
        <v>46440</v>
      </c>
      <c r="AP29" s="327">
        <v>46447</v>
      </c>
      <c r="AQ29" s="327"/>
      <c r="AR29" s="319">
        <f>AN29-AM29</f>
        <v>19</v>
      </c>
      <c r="AS29" s="332" t="str">
        <f>AS28</f>
        <v>Long Lead</v>
      </c>
      <c r="AT29" s="329" t="s">
        <v>69</v>
      </c>
      <c r="AU29" s="330">
        <v>46472</v>
      </c>
      <c r="AV29" s="271"/>
    </row>
    <row r="30" spans="1:48" s="270" customFormat="1" ht="25.05" hidden="1" customHeight="1">
      <c r="A30" s="333"/>
      <c r="B30" s="334" t="s">
        <v>81</v>
      </c>
      <c r="C30" s="436" t="s">
        <v>82</v>
      </c>
      <c r="D30" s="335"/>
      <c r="E30" s="336"/>
      <c r="F30" s="337"/>
      <c r="G30" s="338"/>
      <c r="H30" s="339"/>
      <c r="I30" s="338" t="s">
        <v>62</v>
      </c>
      <c r="J30" s="334" t="s">
        <v>67</v>
      </c>
      <c r="K30" s="263">
        <v>2</v>
      </c>
      <c r="L30" s="334" t="s">
        <v>6</v>
      </c>
      <c r="M30" s="340" t="s">
        <v>70</v>
      </c>
      <c r="N30" s="341">
        <v>46136</v>
      </c>
      <c r="O30" s="341">
        <v>46157</v>
      </c>
      <c r="P30" s="341">
        <v>46182</v>
      </c>
      <c r="Q30" s="341">
        <v>46182</v>
      </c>
      <c r="R30" s="341">
        <v>46182</v>
      </c>
      <c r="S30" s="341">
        <v>46182</v>
      </c>
      <c r="T30" s="341">
        <v>46190</v>
      </c>
      <c r="U30" s="341">
        <v>46206</v>
      </c>
      <c r="V30" s="341">
        <v>46210</v>
      </c>
      <c r="W30" s="341">
        <v>46219</v>
      </c>
      <c r="X30" s="341">
        <v>46219</v>
      </c>
      <c r="Y30" s="341">
        <v>46219</v>
      </c>
      <c r="Z30" s="341">
        <v>46226</v>
      </c>
      <c r="AA30" s="353"/>
      <c r="AB30" s="341"/>
      <c r="AC30" s="341"/>
      <c r="AD30" s="341"/>
      <c r="AE30" s="341"/>
      <c r="AF30" s="341"/>
      <c r="AG30" s="341"/>
      <c r="AH30" s="341"/>
      <c r="AI30" s="341"/>
      <c r="AJ30" s="341"/>
      <c r="AK30" s="342"/>
      <c r="AL30" s="343"/>
      <c r="AM30" s="341"/>
      <c r="AN30" s="344"/>
      <c r="AO30" s="344"/>
      <c r="AP30" s="344"/>
      <c r="AQ30" s="344" t="s">
        <v>80</v>
      </c>
      <c r="AR30" s="338"/>
      <c r="AS30" s="345" t="str">
        <f>AS28</f>
        <v>Long Lead</v>
      </c>
      <c r="AT30" s="346"/>
      <c r="AU30" s="350"/>
    </row>
    <row r="31" spans="1:48" s="270" customFormat="1" ht="25.05" customHeight="1">
      <c r="A31" s="315">
        <v>5</v>
      </c>
      <c r="B31" s="263" t="s">
        <v>84</v>
      </c>
      <c r="C31" s="432" t="s">
        <v>85</v>
      </c>
      <c r="D31" s="316"/>
      <c r="E31" s="317"/>
      <c r="F31" s="318"/>
      <c r="G31" s="319"/>
      <c r="H31" s="320"/>
      <c r="I31" s="263" t="s">
        <v>86</v>
      </c>
      <c r="J31" s="263"/>
      <c r="K31" s="321"/>
      <c r="L31" s="263" t="s">
        <v>6</v>
      </c>
      <c r="M31" s="322" t="s">
        <v>63</v>
      </c>
      <c r="N31" s="323"/>
      <c r="O31" s="324">
        <v>46157</v>
      </c>
      <c r="P31" s="324">
        <v>46175</v>
      </c>
      <c r="Q31" s="324">
        <v>46175</v>
      </c>
      <c r="R31" s="324">
        <v>46175</v>
      </c>
      <c r="S31" s="324">
        <v>46176</v>
      </c>
      <c r="T31" s="324">
        <v>46189</v>
      </c>
      <c r="U31" s="324">
        <v>46217</v>
      </c>
      <c r="V31" s="324">
        <v>46227</v>
      </c>
      <c r="W31" s="324"/>
      <c r="X31" s="324">
        <v>46234</v>
      </c>
      <c r="Y31" s="324">
        <v>46238</v>
      </c>
      <c r="Z31" s="324">
        <v>46245</v>
      </c>
      <c r="AA31" s="324">
        <v>46273</v>
      </c>
      <c r="AB31" s="324">
        <v>46287</v>
      </c>
      <c r="AC31" s="324">
        <v>46347</v>
      </c>
      <c r="AD31" s="324">
        <v>46350</v>
      </c>
      <c r="AE31" s="324">
        <v>46351</v>
      </c>
      <c r="AF31" s="324">
        <v>46427</v>
      </c>
      <c r="AG31" s="324">
        <v>46457</v>
      </c>
      <c r="AH31" s="324">
        <v>46458</v>
      </c>
      <c r="AI31" s="324">
        <v>46472</v>
      </c>
      <c r="AJ31" s="324">
        <v>46488</v>
      </c>
      <c r="AK31" s="325">
        <v>32</v>
      </c>
      <c r="AL31" s="326">
        <f>AK31*7</f>
        <v>224</v>
      </c>
      <c r="AM31" s="324">
        <f>X31+AL31</f>
        <v>46458</v>
      </c>
      <c r="AN31" s="327">
        <f>AN32</f>
        <v>46466</v>
      </c>
      <c r="AO31" s="327"/>
      <c r="AP31" s="327"/>
      <c r="AQ31" s="327"/>
      <c r="AR31" s="319">
        <f>AN32-AM31</f>
        <v>8</v>
      </c>
      <c r="AS31" s="328"/>
      <c r="AT31" s="329" t="s">
        <v>65</v>
      </c>
      <c r="AU31" s="330">
        <v>46469</v>
      </c>
      <c r="AV31" s="331">
        <v>11</v>
      </c>
    </row>
    <row r="32" spans="1:48" s="270" customFormat="1" ht="25.05" customHeight="1">
      <c r="A32" s="315"/>
      <c r="B32" s="263" t="s">
        <v>84</v>
      </c>
      <c r="C32" s="432" t="s">
        <v>85</v>
      </c>
      <c r="D32" s="316"/>
      <c r="E32" s="317"/>
      <c r="F32" s="354"/>
      <c r="G32" s="263"/>
      <c r="H32" s="320" t="s">
        <v>87</v>
      </c>
      <c r="I32" s="263" t="s">
        <v>86</v>
      </c>
      <c r="J32" s="263" t="s">
        <v>67</v>
      </c>
      <c r="K32" s="263">
        <v>2</v>
      </c>
      <c r="L32" s="263" t="s">
        <v>6</v>
      </c>
      <c r="M32" s="322" t="s">
        <v>68</v>
      </c>
      <c r="N32" s="355"/>
      <c r="O32" s="355"/>
      <c r="P32" s="355"/>
      <c r="Q32" s="355"/>
      <c r="R32" s="355"/>
      <c r="S32" s="355"/>
      <c r="T32" s="355"/>
      <c r="U32" s="355"/>
      <c r="V32" s="355"/>
      <c r="W32" s="355"/>
      <c r="X32" s="355"/>
      <c r="Y32" s="355"/>
      <c r="Z32" s="355"/>
      <c r="AA32" s="355">
        <f>WORKDAY.INTL(Z33,INDEX(AA$12:AA$15,MATCH($L32,$L$12:$L$15,0)),1,IF(AA$18="China",'China Holidays'!$A$2:$A$82,'Thai Holidays'!$A$2:$A$63))</f>
        <v>46276</v>
      </c>
      <c r="AB32" s="355">
        <f>WORKDAY.INTL(AA32,INDEX(AB$12:AB$15,MATCH($L32,$L$12:$L$15,0)),1,IF(AB$18="China",'China Holidays'!$A$2:$A$82,'Thai Holidays'!$A$2:$A$63))</f>
        <v>46290</v>
      </c>
      <c r="AC32" s="355">
        <f>AB32+60</f>
        <v>46350</v>
      </c>
      <c r="AD32" s="355">
        <f>AC32+3</f>
        <v>46353</v>
      </c>
      <c r="AE32" s="355">
        <f>AD32+1</f>
        <v>46354</v>
      </c>
      <c r="AF32" s="355">
        <f>AG32-30</f>
        <v>46350</v>
      </c>
      <c r="AG32" s="355">
        <f>AH32-1</f>
        <v>46380</v>
      </c>
      <c r="AH32" s="355">
        <f>AM32</f>
        <v>46381</v>
      </c>
      <c r="AI32" s="355">
        <f>AM32+14</f>
        <v>46395</v>
      </c>
      <c r="AJ32" s="355">
        <f>AM32+30</f>
        <v>46411</v>
      </c>
      <c r="AK32" s="356">
        <v>20</v>
      </c>
      <c r="AL32" s="326">
        <f>AK32*7</f>
        <v>140</v>
      </c>
      <c r="AM32" s="324">
        <f>W33+AL32</f>
        <v>46381</v>
      </c>
      <c r="AN32" s="327">
        <f>AU31-3</f>
        <v>46466</v>
      </c>
      <c r="AO32" s="327">
        <f>AP32-7</f>
        <v>46464</v>
      </c>
      <c r="AP32" s="327">
        <v>46471</v>
      </c>
      <c r="AQ32" s="327" t="s">
        <v>80</v>
      </c>
      <c r="AR32" s="263">
        <f>AN32-AM32</f>
        <v>85</v>
      </c>
      <c r="AS32" s="357"/>
      <c r="AT32" s="329" t="s">
        <v>69</v>
      </c>
      <c r="AU32" s="330">
        <v>46472</v>
      </c>
      <c r="AV32" s="271"/>
    </row>
    <row r="33" spans="1:48" s="270" customFormat="1" ht="25.05" customHeight="1">
      <c r="A33" s="333"/>
      <c r="B33" s="334" t="s">
        <v>84</v>
      </c>
      <c r="C33" s="436" t="s">
        <v>85</v>
      </c>
      <c r="D33" s="335"/>
      <c r="E33" s="336"/>
      <c r="F33" s="358"/>
      <c r="G33" s="334"/>
      <c r="H33" s="339"/>
      <c r="I33" s="334" t="s">
        <v>86</v>
      </c>
      <c r="J33" s="334" t="s">
        <v>67</v>
      </c>
      <c r="K33" s="263">
        <v>2</v>
      </c>
      <c r="L33" s="334" t="s">
        <v>6</v>
      </c>
      <c r="M33" s="340" t="s">
        <v>70</v>
      </c>
      <c r="N33" s="359">
        <v>46136</v>
      </c>
      <c r="O33" s="359">
        <v>46163</v>
      </c>
      <c r="P33" s="341">
        <v>46182</v>
      </c>
      <c r="Q33" s="341">
        <v>46182</v>
      </c>
      <c r="R33" s="341">
        <v>46182</v>
      </c>
      <c r="S33" s="341">
        <v>46182</v>
      </c>
      <c r="T33" s="359">
        <v>46199</v>
      </c>
      <c r="U33" s="359">
        <v>46225</v>
      </c>
      <c r="V33" s="359">
        <v>46240</v>
      </c>
      <c r="W33" s="359">
        <v>46241</v>
      </c>
      <c r="X33" s="338">
        <v>1</v>
      </c>
      <c r="Y33" s="359"/>
      <c r="Z33" s="359">
        <v>46248</v>
      </c>
      <c r="AA33" s="359"/>
      <c r="AB33" s="359"/>
      <c r="AC33" s="359"/>
      <c r="AD33" s="359"/>
      <c r="AE33" s="359"/>
      <c r="AF33" s="359"/>
      <c r="AG33" s="359"/>
      <c r="AH33" s="359"/>
      <c r="AI33" s="359"/>
      <c r="AJ33" s="359"/>
      <c r="AK33" s="342"/>
      <c r="AL33" s="343"/>
      <c r="AM33" s="359"/>
      <c r="AN33" s="360"/>
      <c r="AO33" s="360"/>
      <c r="AP33" s="360"/>
      <c r="AQ33" s="360"/>
      <c r="AR33" s="334"/>
      <c r="AS33" s="339"/>
      <c r="AT33" s="347"/>
      <c r="AU33" s="350"/>
    </row>
    <row r="34" spans="1:48" s="270" customFormat="1" ht="25.05" hidden="1" customHeight="1">
      <c r="A34" s="315">
        <v>6</v>
      </c>
      <c r="B34" s="263" t="s">
        <v>88</v>
      </c>
      <c r="C34" s="432" t="s">
        <v>89</v>
      </c>
      <c r="D34" s="316"/>
      <c r="E34" s="317"/>
      <c r="F34" s="318"/>
      <c r="G34" s="319"/>
      <c r="H34" s="320"/>
      <c r="I34" s="319" t="s">
        <v>62</v>
      </c>
      <c r="J34" s="263"/>
      <c r="K34" s="321"/>
      <c r="L34" s="263" t="s">
        <v>6</v>
      </c>
      <c r="M34" s="322" t="s">
        <v>63</v>
      </c>
      <c r="N34" s="323"/>
      <c r="O34" s="324">
        <v>46153</v>
      </c>
      <c r="P34" s="324">
        <v>46182</v>
      </c>
      <c r="Q34" s="324">
        <v>46182</v>
      </c>
      <c r="R34" s="324">
        <v>46182</v>
      </c>
      <c r="S34" s="324">
        <v>46169</v>
      </c>
      <c r="T34" s="324">
        <v>46182</v>
      </c>
      <c r="U34" s="324">
        <v>46210</v>
      </c>
      <c r="V34" s="324">
        <v>46213</v>
      </c>
      <c r="W34" s="324"/>
      <c r="X34" s="324">
        <v>46227</v>
      </c>
      <c r="Y34" s="324">
        <v>46231</v>
      </c>
      <c r="Z34" s="324">
        <v>46238</v>
      </c>
      <c r="AA34" s="324">
        <v>46266</v>
      </c>
      <c r="AB34" s="324">
        <v>46280</v>
      </c>
      <c r="AC34" s="324">
        <v>46392</v>
      </c>
      <c r="AD34" s="324">
        <v>46395</v>
      </c>
      <c r="AE34" s="324">
        <v>46396</v>
      </c>
      <c r="AF34" s="324">
        <v>46421</v>
      </c>
      <c r="AG34" s="324">
        <v>46437</v>
      </c>
      <c r="AH34" s="324">
        <v>46451</v>
      </c>
      <c r="AI34" s="324">
        <v>46465</v>
      </c>
      <c r="AJ34" s="324">
        <v>46481</v>
      </c>
      <c r="AK34" s="325">
        <v>32</v>
      </c>
      <c r="AL34" s="326">
        <f>AK34*7</f>
        <v>224</v>
      </c>
      <c r="AM34" s="324">
        <f>X34+AL34</f>
        <v>46451</v>
      </c>
      <c r="AN34" s="327">
        <f>AN35</f>
        <v>46451</v>
      </c>
      <c r="AO34" s="327"/>
      <c r="AP34" s="327"/>
      <c r="AQ34" s="327"/>
      <c r="AR34" s="319">
        <f>AN35-AM34</f>
        <v>0</v>
      </c>
      <c r="AS34" s="328" t="s">
        <v>64</v>
      </c>
      <c r="AT34" s="329" t="s">
        <v>65</v>
      </c>
      <c r="AU34" s="330">
        <v>46454</v>
      </c>
      <c r="AV34" s="331">
        <v>34</v>
      </c>
    </row>
    <row r="35" spans="1:48" s="270" customFormat="1" ht="25.05" hidden="1" customHeight="1">
      <c r="A35" s="315"/>
      <c r="B35" s="263" t="s">
        <v>88</v>
      </c>
      <c r="C35" s="432" t="s">
        <v>89</v>
      </c>
      <c r="D35" s="316"/>
      <c r="E35" s="317"/>
      <c r="F35" s="318"/>
      <c r="G35" s="319"/>
      <c r="H35" s="320" t="s">
        <v>90</v>
      </c>
      <c r="I35" s="319" t="s">
        <v>62</v>
      </c>
      <c r="J35" s="263" t="s">
        <v>67</v>
      </c>
      <c r="K35" s="263">
        <v>3</v>
      </c>
      <c r="L35" s="263" t="s">
        <v>6</v>
      </c>
      <c r="M35" s="322" t="s">
        <v>68</v>
      </c>
      <c r="N35" s="324"/>
      <c r="O35" s="324"/>
      <c r="P35" s="355"/>
      <c r="Q35" s="324"/>
      <c r="R35" s="324"/>
      <c r="S35" s="324"/>
      <c r="T35" s="324"/>
      <c r="U35" s="324"/>
      <c r="V35" s="324"/>
      <c r="W35" s="324"/>
      <c r="X35" s="324"/>
      <c r="Y35" s="324"/>
      <c r="Z35" s="324"/>
      <c r="AA35" s="324">
        <v>46267</v>
      </c>
      <c r="AB35" s="324">
        <f>WORKDAY.INTL(AA35,INDEX(AB$12:AB$15,MATCH($L35,$L$12:$L$15,0)),1,IF(AB$18="China",'China Holidays'!$A$2:$A$82,'Thai Holidays'!$A$2:$A$63))</f>
        <v>46281</v>
      </c>
      <c r="AC35" s="324">
        <f>AB35+16*7</f>
        <v>46393</v>
      </c>
      <c r="AD35" s="324">
        <f>AC35+3</f>
        <v>46396</v>
      </c>
      <c r="AE35" s="324">
        <f>AD35+1</f>
        <v>46397</v>
      </c>
      <c r="AF35" s="324">
        <f>AG35-30</f>
        <v>160</v>
      </c>
      <c r="AG35" s="324">
        <f>AH35-14</f>
        <v>190</v>
      </c>
      <c r="AH35" s="324">
        <f>AM35</f>
        <v>204</v>
      </c>
      <c r="AI35" s="324">
        <f>AM35+14</f>
        <v>218</v>
      </c>
      <c r="AJ35" s="324">
        <f>AM35+30</f>
        <v>234</v>
      </c>
      <c r="AK35" s="356">
        <v>29</v>
      </c>
      <c r="AL35" s="326">
        <f>AK35*7</f>
        <v>203</v>
      </c>
      <c r="AM35" s="324">
        <f>IF(X35&lt;&gt;"",X35+AL35,X36+AL35)</f>
        <v>204</v>
      </c>
      <c r="AN35" s="327">
        <f>AU34-3</f>
        <v>46451</v>
      </c>
      <c r="AO35" s="327">
        <f>AP35-7</f>
        <v>46465</v>
      </c>
      <c r="AP35" s="327">
        <v>46472</v>
      </c>
      <c r="AQ35" s="327"/>
      <c r="AR35" s="319">
        <f>AN35-AM35</f>
        <v>46247</v>
      </c>
      <c r="AS35" s="332" t="str">
        <f>AS34</f>
        <v>Long Lead</v>
      </c>
      <c r="AT35" s="329" t="s">
        <v>69</v>
      </c>
      <c r="AU35" s="330">
        <v>46472</v>
      </c>
      <c r="AV35" s="271"/>
    </row>
    <row r="36" spans="1:48" s="270" customFormat="1" ht="25.05" hidden="1" customHeight="1">
      <c r="A36" s="333"/>
      <c r="B36" s="334" t="s">
        <v>88</v>
      </c>
      <c r="C36" s="436" t="s">
        <v>89</v>
      </c>
      <c r="D36" s="335"/>
      <c r="E36" s="336"/>
      <c r="F36" s="337"/>
      <c r="G36" s="338"/>
      <c r="H36" s="339"/>
      <c r="I36" s="338" t="s">
        <v>62</v>
      </c>
      <c r="J36" s="334" t="s">
        <v>67</v>
      </c>
      <c r="K36" s="263">
        <v>3</v>
      </c>
      <c r="L36" s="334" t="s">
        <v>6</v>
      </c>
      <c r="M36" s="340" t="s">
        <v>70</v>
      </c>
      <c r="N36" s="341">
        <v>46133</v>
      </c>
      <c r="O36" s="341">
        <v>46157</v>
      </c>
      <c r="P36" s="341">
        <v>46182</v>
      </c>
      <c r="Q36" s="341">
        <v>46182</v>
      </c>
      <c r="R36" s="341">
        <v>46182</v>
      </c>
      <c r="S36" s="341">
        <v>46182</v>
      </c>
      <c r="T36" s="341">
        <v>46183</v>
      </c>
      <c r="U36" s="341">
        <v>46206</v>
      </c>
      <c r="V36" s="341">
        <v>46210</v>
      </c>
      <c r="W36" s="341">
        <v>46230</v>
      </c>
      <c r="X36" s="338">
        <v>1</v>
      </c>
      <c r="Y36" s="341"/>
      <c r="Z36" s="341">
        <v>46237</v>
      </c>
      <c r="AA36" s="341"/>
      <c r="AB36" s="341"/>
      <c r="AC36" s="341"/>
      <c r="AD36" s="341"/>
      <c r="AE36" s="341"/>
      <c r="AF36" s="341"/>
      <c r="AG36" s="341"/>
      <c r="AH36" s="341"/>
      <c r="AI36" s="341"/>
      <c r="AJ36" s="341"/>
      <c r="AK36" s="342"/>
      <c r="AL36" s="343"/>
      <c r="AM36" s="341"/>
      <c r="AN36" s="344"/>
      <c r="AO36" s="344"/>
      <c r="AP36" s="344"/>
      <c r="AQ36" s="344" t="s">
        <v>80</v>
      </c>
      <c r="AR36" s="338"/>
      <c r="AS36" s="345" t="str">
        <f>AS34</f>
        <v>Long Lead</v>
      </c>
      <c r="AT36" s="346"/>
      <c r="AU36" s="350"/>
    </row>
    <row r="37" spans="1:48" s="270" customFormat="1" ht="25.05" hidden="1" customHeight="1">
      <c r="A37" s="315">
        <v>8</v>
      </c>
      <c r="B37" s="263" t="s">
        <v>91</v>
      </c>
      <c r="C37" s="432" t="s">
        <v>92</v>
      </c>
      <c r="D37" s="316"/>
      <c r="E37" s="317"/>
      <c r="F37" s="318"/>
      <c r="G37" s="319"/>
      <c r="H37" s="320"/>
      <c r="I37" s="319" t="s">
        <v>62</v>
      </c>
      <c r="J37" s="263"/>
      <c r="K37" s="321"/>
      <c r="L37" s="263" t="s">
        <v>6</v>
      </c>
      <c r="M37" s="322" t="s">
        <v>63</v>
      </c>
      <c r="N37" s="323"/>
      <c r="O37" s="324">
        <v>46141</v>
      </c>
      <c r="P37" s="324">
        <v>46153</v>
      </c>
      <c r="Q37" s="324">
        <v>46153</v>
      </c>
      <c r="R37" s="324">
        <v>46160</v>
      </c>
      <c r="S37" s="324">
        <v>46161</v>
      </c>
      <c r="T37" s="324">
        <v>46174</v>
      </c>
      <c r="U37" s="324">
        <v>46203</v>
      </c>
      <c r="V37" s="324">
        <v>46206</v>
      </c>
      <c r="W37" s="324"/>
      <c r="X37" s="324">
        <v>46220</v>
      </c>
      <c r="Y37" s="324">
        <v>46224</v>
      </c>
      <c r="Z37" s="324">
        <v>46231</v>
      </c>
      <c r="AA37" s="324">
        <v>46259</v>
      </c>
      <c r="AB37" s="324">
        <v>46273</v>
      </c>
      <c r="AC37" s="324">
        <v>46333</v>
      </c>
      <c r="AD37" s="324">
        <v>46336</v>
      </c>
      <c r="AE37" s="324">
        <v>46337</v>
      </c>
      <c r="AF37" s="324">
        <v>46371</v>
      </c>
      <c r="AG37" s="324">
        <v>46451</v>
      </c>
      <c r="AH37" s="324">
        <v>46458</v>
      </c>
      <c r="AI37" s="324">
        <v>46472</v>
      </c>
      <c r="AJ37" s="324">
        <v>46488</v>
      </c>
      <c r="AK37" s="325">
        <v>34</v>
      </c>
      <c r="AL37" s="326">
        <f>AK37*7</f>
        <v>238</v>
      </c>
      <c r="AM37" s="324">
        <f>X37+AL37</f>
        <v>46458</v>
      </c>
      <c r="AN37" s="327">
        <f>AN38</f>
        <v>46469</v>
      </c>
      <c r="AO37" s="327"/>
      <c r="AP37" s="327"/>
      <c r="AQ37" s="327"/>
      <c r="AR37" s="319">
        <f>AN38-AM37</f>
        <v>11</v>
      </c>
      <c r="AS37" s="328"/>
      <c r="AT37" s="329" t="s">
        <v>65</v>
      </c>
      <c r="AU37" s="330" t="s">
        <v>93</v>
      </c>
      <c r="AV37" s="331">
        <v>38</v>
      </c>
    </row>
    <row r="38" spans="1:48" s="270" customFormat="1" ht="25.05" hidden="1" customHeight="1">
      <c r="A38" s="315"/>
      <c r="B38" s="263" t="s">
        <v>91</v>
      </c>
      <c r="C38" s="432" t="s">
        <v>92</v>
      </c>
      <c r="D38" s="351"/>
      <c r="E38" s="317"/>
      <c r="F38" s="318"/>
      <c r="G38" s="319"/>
      <c r="H38" s="320" t="s">
        <v>94</v>
      </c>
      <c r="I38" s="319" t="s">
        <v>62</v>
      </c>
      <c r="J38" s="263" t="s">
        <v>67</v>
      </c>
      <c r="K38" s="263">
        <v>2</v>
      </c>
      <c r="L38" s="263" t="s">
        <v>6</v>
      </c>
      <c r="M38" s="322" t="s">
        <v>68</v>
      </c>
      <c r="N38" s="324"/>
      <c r="O38" s="324"/>
      <c r="P38" s="324"/>
      <c r="Q38" s="324"/>
      <c r="R38" s="324"/>
      <c r="S38" s="324"/>
      <c r="T38" s="324"/>
      <c r="U38" s="324"/>
      <c r="V38" s="324"/>
      <c r="W38" s="324"/>
      <c r="X38" s="324"/>
      <c r="Y38" s="324"/>
      <c r="Z38" s="324"/>
      <c r="AA38" s="324">
        <v>46254</v>
      </c>
      <c r="AB38" s="324">
        <f>WORKDAY.INTL(AA38,INDEX(AB$12:AB$15,MATCH($L38,$L$12:$L$15,0)),1,IF(AB$18="China",'China Holidays'!$A$2:$A$82,'Thai Holidays'!$A$2:$A$63))</f>
        <v>46268</v>
      </c>
      <c r="AC38" s="324">
        <f>AB38+60</f>
        <v>46328</v>
      </c>
      <c r="AD38" s="324">
        <f>AC38+3</f>
        <v>46331</v>
      </c>
      <c r="AE38" s="324">
        <f>AD38+1</f>
        <v>46332</v>
      </c>
      <c r="AF38" s="324">
        <f>AG38-30</f>
        <v>46426</v>
      </c>
      <c r="AG38" s="324">
        <f>AH38-1</f>
        <v>46456</v>
      </c>
      <c r="AH38" s="324">
        <f>AM38</f>
        <v>46457</v>
      </c>
      <c r="AI38" s="324">
        <f>AM38+14</f>
        <v>46471</v>
      </c>
      <c r="AJ38" s="324">
        <f>AM38+30</f>
        <v>46487</v>
      </c>
      <c r="AK38" s="325">
        <v>34</v>
      </c>
      <c r="AL38" s="326">
        <f>AK38*7</f>
        <v>238</v>
      </c>
      <c r="AM38" s="324">
        <f>IF(X38&lt;&gt;"",X38+AL38,X39+AL38)</f>
        <v>46457</v>
      </c>
      <c r="AN38" s="327">
        <f>AU38-3</f>
        <v>46469</v>
      </c>
      <c r="AO38" s="327">
        <f>AP38-7</f>
        <v>46463</v>
      </c>
      <c r="AP38" s="327">
        <v>46470</v>
      </c>
      <c r="AQ38" s="327" t="s">
        <v>95</v>
      </c>
      <c r="AR38" s="319">
        <f>AN38-AM38</f>
        <v>12</v>
      </c>
      <c r="AS38" s="328"/>
      <c r="AT38" s="329" t="s">
        <v>69</v>
      </c>
      <c r="AU38" s="330">
        <v>46472</v>
      </c>
      <c r="AV38" s="271"/>
    </row>
    <row r="39" spans="1:48" s="270" customFormat="1" ht="25.05" hidden="1" customHeight="1">
      <c r="A39" s="333"/>
      <c r="B39" s="334" t="s">
        <v>91</v>
      </c>
      <c r="C39" s="436" t="s">
        <v>92</v>
      </c>
      <c r="D39" s="352"/>
      <c r="E39" s="336"/>
      <c r="F39" s="337"/>
      <c r="G39" s="338"/>
      <c r="H39" s="339"/>
      <c r="I39" s="338" t="s">
        <v>62</v>
      </c>
      <c r="J39" s="334" t="s">
        <v>67</v>
      </c>
      <c r="K39" s="263">
        <v>2</v>
      </c>
      <c r="L39" s="334" t="s">
        <v>6</v>
      </c>
      <c r="M39" s="340" t="s">
        <v>70</v>
      </c>
      <c r="N39" s="341">
        <v>46136</v>
      </c>
      <c r="O39" s="341">
        <v>46139</v>
      </c>
      <c r="P39" s="341">
        <v>46153</v>
      </c>
      <c r="Q39" s="341">
        <v>46153</v>
      </c>
      <c r="R39" s="341">
        <f>P39</f>
        <v>46153</v>
      </c>
      <c r="S39" s="341">
        <f>P39</f>
        <v>46153</v>
      </c>
      <c r="T39" s="341">
        <v>46182</v>
      </c>
      <c r="U39" s="341">
        <v>46200</v>
      </c>
      <c r="V39" s="341">
        <v>46202</v>
      </c>
      <c r="W39" s="341">
        <v>46219</v>
      </c>
      <c r="X39" s="341">
        <v>46219</v>
      </c>
      <c r="Y39" s="341">
        <v>46219</v>
      </c>
      <c r="Z39" s="341">
        <v>46226</v>
      </c>
      <c r="AA39" s="341"/>
      <c r="AB39" s="341"/>
      <c r="AC39" s="341"/>
      <c r="AD39" s="341"/>
      <c r="AE39" s="341"/>
      <c r="AF39" s="341"/>
      <c r="AG39" s="341"/>
      <c r="AH39" s="341"/>
      <c r="AI39" s="341"/>
      <c r="AJ39" s="341"/>
      <c r="AK39" s="342"/>
      <c r="AL39" s="343"/>
      <c r="AM39" s="341"/>
      <c r="AN39" s="344"/>
      <c r="AO39" s="344"/>
      <c r="AP39" s="344"/>
      <c r="AQ39" s="344" t="s">
        <v>80</v>
      </c>
      <c r="AR39" s="338"/>
      <c r="AS39" s="345"/>
      <c r="AT39" s="346"/>
      <c r="AU39" s="350"/>
    </row>
    <row r="40" spans="1:48" s="270" customFormat="1" ht="25.05" hidden="1" customHeight="1">
      <c r="A40" s="315">
        <v>9</v>
      </c>
      <c r="B40" s="263" t="s">
        <v>96</v>
      </c>
      <c r="C40" s="432" t="s">
        <v>97</v>
      </c>
      <c r="D40" s="316"/>
      <c r="E40" s="317"/>
      <c r="F40" s="318"/>
      <c r="G40" s="319"/>
      <c r="H40" s="320"/>
      <c r="I40" s="319" t="s">
        <v>62</v>
      </c>
      <c r="J40" s="263"/>
      <c r="K40" s="321"/>
      <c r="L40" s="263" t="s">
        <v>6</v>
      </c>
      <c r="M40" s="322" t="s">
        <v>63</v>
      </c>
      <c r="N40" s="323"/>
      <c r="O40" s="324">
        <v>46134</v>
      </c>
      <c r="P40" s="324">
        <v>46153</v>
      </c>
      <c r="Q40" s="324">
        <v>46153</v>
      </c>
      <c r="R40" s="324">
        <v>46153</v>
      </c>
      <c r="S40" s="324">
        <v>46154</v>
      </c>
      <c r="T40" s="324">
        <v>46167</v>
      </c>
      <c r="U40" s="324">
        <v>46197</v>
      </c>
      <c r="V40" s="324">
        <v>46202</v>
      </c>
      <c r="W40" s="324"/>
      <c r="X40" s="324">
        <v>46216</v>
      </c>
      <c r="Y40" s="324">
        <v>46218</v>
      </c>
      <c r="Z40" s="324">
        <v>46225</v>
      </c>
      <c r="AA40" s="324">
        <v>46253</v>
      </c>
      <c r="AB40" s="324">
        <v>46267</v>
      </c>
      <c r="AC40" s="324">
        <v>46327</v>
      </c>
      <c r="AD40" s="324">
        <v>46330</v>
      </c>
      <c r="AE40" s="324">
        <v>46331</v>
      </c>
      <c r="AF40" s="324">
        <v>46380</v>
      </c>
      <c r="AG40" s="324">
        <v>46419</v>
      </c>
      <c r="AH40" s="324">
        <v>46426</v>
      </c>
      <c r="AI40" s="324">
        <v>46440</v>
      </c>
      <c r="AJ40" s="324">
        <v>46456</v>
      </c>
      <c r="AK40" s="325">
        <v>30</v>
      </c>
      <c r="AL40" s="326">
        <f>AK40*7</f>
        <v>210</v>
      </c>
      <c r="AM40" s="324">
        <f>X40+AL40</f>
        <v>46426</v>
      </c>
      <c r="AN40" s="327">
        <f>AN41</f>
        <v>46470</v>
      </c>
      <c r="AO40" s="327"/>
      <c r="AP40" s="327"/>
      <c r="AQ40" s="327"/>
      <c r="AR40" s="319">
        <f>AN41-AM40</f>
        <v>44</v>
      </c>
      <c r="AS40" s="328"/>
      <c r="AT40" s="329" t="s">
        <v>65</v>
      </c>
      <c r="AU40" s="330" t="s">
        <v>93</v>
      </c>
      <c r="AV40" s="331">
        <v>65</v>
      </c>
    </row>
    <row r="41" spans="1:48" s="270" customFormat="1" ht="25.05" hidden="1" customHeight="1">
      <c r="A41" s="315"/>
      <c r="B41" s="263" t="s">
        <v>96</v>
      </c>
      <c r="C41" s="432" t="s">
        <v>97</v>
      </c>
      <c r="D41" s="351"/>
      <c r="E41" s="317"/>
      <c r="F41" s="318"/>
      <c r="G41" s="319"/>
      <c r="H41" s="320" t="s">
        <v>98</v>
      </c>
      <c r="I41" s="319" t="s">
        <v>62</v>
      </c>
      <c r="J41" s="263" t="s">
        <v>67</v>
      </c>
      <c r="K41" s="263">
        <v>2</v>
      </c>
      <c r="L41" s="263" t="s">
        <v>6</v>
      </c>
      <c r="M41" s="322" t="s">
        <v>68</v>
      </c>
      <c r="N41" s="324"/>
      <c r="O41" s="324"/>
      <c r="P41" s="324"/>
      <c r="Q41" s="324"/>
      <c r="R41" s="324"/>
      <c r="S41" s="324"/>
      <c r="T41" s="324"/>
      <c r="U41" s="324"/>
      <c r="V41" s="324"/>
      <c r="W41" s="324"/>
      <c r="X41" s="324"/>
      <c r="Y41" s="324"/>
      <c r="Z41" s="324"/>
      <c r="AA41" s="324">
        <v>46254</v>
      </c>
      <c r="AB41" s="324">
        <f>WORKDAY.INTL(AA41,INDEX(AB$12:AB$15,MATCH($L41,$L$12:$L$15,0)),1,IF(AB$18="China",'China Holidays'!$A$2:$A$82,'Thai Holidays'!$A$2:$A$63))</f>
        <v>46268</v>
      </c>
      <c r="AC41" s="324">
        <f>AB41+60</f>
        <v>46328</v>
      </c>
      <c r="AD41" s="324">
        <f>AC41+3</f>
        <v>46331</v>
      </c>
      <c r="AE41" s="324">
        <f>AD41+1</f>
        <v>46332</v>
      </c>
      <c r="AF41" s="324">
        <f>AG41-30</f>
        <v>46398</v>
      </c>
      <c r="AG41" s="324">
        <f>AH41-1</f>
        <v>46428</v>
      </c>
      <c r="AH41" s="324">
        <f>AM41</f>
        <v>46429</v>
      </c>
      <c r="AI41" s="324">
        <f>AM41+14</f>
        <v>46443</v>
      </c>
      <c r="AJ41" s="324">
        <f>AM41+30</f>
        <v>46459</v>
      </c>
      <c r="AK41" s="325">
        <v>30</v>
      </c>
      <c r="AL41" s="326">
        <f>AK41*7</f>
        <v>210</v>
      </c>
      <c r="AM41" s="324">
        <f>IF(X41&lt;&gt;"",X41+AL41,X42+AL41)</f>
        <v>46429</v>
      </c>
      <c r="AN41" s="327">
        <f>AU41-3</f>
        <v>46470</v>
      </c>
      <c r="AO41" s="327">
        <f>AP41-7</f>
        <v>46457</v>
      </c>
      <c r="AP41" s="327">
        <v>46464</v>
      </c>
      <c r="AQ41" s="327" t="s">
        <v>95</v>
      </c>
      <c r="AR41" s="319">
        <f>AN41-AM41</f>
        <v>41</v>
      </c>
      <c r="AS41" s="328"/>
      <c r="AT41" s="329" t="s">
        <v>69</v>
      </c>
      <c r="AU41" s="330">
        <v>46473</v>
      </c>
      <c r="AV41" s="271"/>
    </row>
    <row r="42" spans="1:48" s="270" customFormat="1" ht="25.05" hidden="1" customHeight="1">
      <c r="A42" s="333"/>
      <c r="B42" s="334" t="s">
        <v>96</v>
      </c>
      <c r="C42" s="436" t="s">
        <v>97</v>
      </c>
      <c r="D42" s="352"/>
      <c r="E42" s="336"/>
      <c r="F42" s="337"/>
      <c r="G42" s="338"/>
      <c r="H42" s="339"/>
      <c r="I42" s="338" t="s">
        <v>62</v>
      </c>
      <c r="J42" s="334" t="s">
        <v>67</v>
      </c>
      <c r="K42" s="263">
        <v>2</v>
      </c>
      <c r="L42" s="334" t="s">
        <v>6</v>
      </c>
      <c r="M42" s="340" t="s">
        <v>70</v>
      </c>
      <c r="N42" s="341">
        <v>46135</v>
      </c>
      <c r="O42" s="341">
        <v>46135</v>
      </c>
      <c r="P42" s="341">
        <v>46151</v>
      </c>
      <c r="Q42" s="341">
        <v>46151</v>
      </c>
      <c r="R42" s="341">
        <f>P42</f>
        <v>46151</v>
      </c>
      <c r="S42" s="341">
        <f>P42</f>
        <v>46151</v>
      </c>
      <c r="T42" s="341">
        <v>46181</v>
      </c>
      <c r="U42" s="341">
        <v>46202</v>
      </c>
      <c r="V42" s="341">
        <v>46204</v>
      </c>
      <c r="W42" s="341">
        <v>46219</v>
      </c>
      <c r="X42" s="341">
        <v>46219</v>
      </c>
      <c r="Y42" s="341">
        <v>46219</v>
      </c>
      <c r="Z42" s="341">
        <v>46226</v>
      </c>
      <c r="AA42" s="341"/>
      <c r="AB42" s="341"/>
      <c r="AC42" s="341"/>
      <c r="AD42" s="341"/>
      <c r="AE42" s="341"/>
      <c r="AF42" s="341"/>
      <c r="AG42" s="341"/>
      <c r="AH42" s="341"/>
      <c r="AI42" s="341"/>
      <c r="AJ42" s="341"/>
      <c r="AK42" s="342"/>
      <c r="AL42" s="343"/>
      <c r="AM42" s="341"/>
      <c r="AN42" s="344"/>
      <c r="AO42" s="344"/>
      <c r="AP42" s="344"/>
      <c r="AQ42" s="344" t="s">
        <v>80</v>
      </c>
      <c r="AR42" s="338"/>
      <c r="AS42" s="345"/>
      <c r="AT42" s="346"/>
      <c r="AU42" s="345"/>
    </row>
    <row r="43" spans="1:48" s="270" customFormat="1" ht="25.05" hidden="1" customHeight="1">
      <c r="A43" s="315">
        <v>10</v>
      </c>
      <c r="B43" s="263" t="s">
        <v>99</v>
      </c>
      <c r="C43" s="432" t="s">
        <v>100</v>
      </c>
      <c r="D43" s="316"/>
      <c r="E43" s="317"/>
      <c r="F43" s="318"/>
      <c r="G43" s="319"/>
      <c r="H43" s="320"/>
      <c r="I43" s="319" t="s">
        <v>62</v>
      </c>
      <c r="J43" s="263"/>
      <c r="K43" s="321"/>
      <c r="L43" s="263" t="s">
        <v>6</v>
      </c>
      <c r="M43" s="322" t="s">
        <v>63</v>
      </c>
      <c r="N43" s="323"/>
      <c r="O43" s="324">
        <v>46147</v>
      </c>
      <c r="P43" s="324">
        <v>46167</v>
      </c>
      <c r="Q43" s="324">
        <v>46167</v>
      </c>
      <c r="R43" s="324">
        <v>46167</v>
      </c>
      <c r="S43" s="324">
        <v>46163</v>
      </c>
      <c r="T43" s="324">
        <v>46190</v>
      </c>
      <c r="U43" s="324">
        <v>46204</v>
      </c>
      <c r="V43" s="324">
        <v>46209</v>
      </c>
      <c r="W43" s="324"/>
      <c r="X43" s="324">
        <v>46223</v>
      </c>
      <c r="Y43" s="324">
        <v>46225</v>
      </c>
      <c r="Z43" s="324">
        <v>46232</v>
      </c>
      <c r="AA43" s="324">
        <v>46260</v>
      </c>
      <c r="AB43" s="324">
        <v>46274</v>
      </c>
      <c r="AC43" s="324">
        <v>46334</v>
      </c>
      <c r="AD43" s="324">
        <v>46337</v>
      </c>
      <c r="AE43" s="324">
        <v>46338</v>
      </c>
      <c r="AF43" s="324">
        <v>46374</v>
      </c>
      <c r="AG43" s="324">
        <v>46446</v>
      </c>
      <c r="AH43" s="324">
        <v>46447</v>
      </c>
      <c r="AI43" s="324">
        <v>46461</v>
      </c>
      <c r="AJ43" s="324">
        <v>46477</v>
      </c>
      <c r="AK43" s="325">
        <v>32</v>
      </c>
      <c r="AL43" s="326">
        <f>AK43*7</f>
        <v>224</v>
      </c>
      <c r="AM43" s="324">
        <f>X43+AL43</f>
        <v>46447</v>
      </c>
      <c r="AN43" s="327">
        <f>AN44</f>
        <v>46469</v>
      </c>
      <c r="AO43" s="327"/>
      <c r="AP43" s="327"/>
      <c r="AQ43" s="327"/>
      <c r="AR43" s="319">
        <f>AN44-AM43</f>
        <v>22</v>
      </c>
      <c r="AS43" s="328"/>
      <c r="AT43" s="329" t="s">
        <v>65</v>
      </c>
      <c r="AU43" s="330" t="s">
        <v>93</v>
      </c>
      <c r="AV43" s="331">
        <v>44</v>
      </c>
    </row>
    <row r="44" spans="1:48" s="270" customFormat="1" ht="25.05" hidden="1" customHeight="1">
      <c r="A44" s="315"/>
      <c r="B44" s="263" t="s">
        <v>99</v>
      </c>
      <c r="C44" s="432" t="s">
        <v>100</v>
      </c>
      <c r="D44" s="351"/>
      <c r="E44" s="317"/>
      <c r="F44" s="318"/>
      <c r="G44" s="319"/>
      <c r="H44" s="320" t="s">
        <v>101</v>
      </c>
      <c r="I44" s="319" t="s">
        <v>62</v>
      </c>
      <c r="J44" s="263" t="s">
        <v>67</v>
      </c>
      <c r="K44" s="263">
        <v>2</v>
      </c>
      <c r="L44" s="263" t="s">
        <v>6</v>
      </c>
      <c r="M44" s="322" t="s">
        <v>68</v>
      </c>
      <c r="N44" s="324"/>
      <c r="O44" s="324"/>
      <c r="P44" s="324"/>
      <c r="Q44" s="324"/>
      <c r="R44" s="324"/>
      <c r="S44" s="324"/>
      <c r="T44" s="324"/>
      <c r="U44" s="324"/>
      <c r="V44" s="324"/>
      <c r="W44" s="324"/>
      <c r="X44" s="324"/>
      <c r="Y44" s="324"/>
      <c r="Z44" s="324"/>
      <c r="AA44" s="324">
        <f>WORKDAY.INTL(Z45,INDEX(AA$12:AA$15,MATCH($L44,$L$12:$L$15,0)),1,IF(AA$18="China",'China Holidays'!$A$2:$A$82,'Thai Holidays'!$A$2:$A$63))</f>
        <v>46254</v>
      </c>
      <c r="AB44" s="324">
        <f>WORKDAY.INTL(AA44,INDEX(AB$12:AB$15,MATCH($L44,$L$12:$L$15,0)),1,IF(AB$18="China",'China Holidays'!$A$2:$A$82,'Thai Holidays'!$A$2:$A$63))</f>
        <v>46268</v>
      </c>
      <c r="AC44" s="324">
        <f>AB44+60</f>
        <v>46328</v>
      </c>
      <c r="AD44" s="324">
        <f>AC44+3</f>
        <v>46331</v>
      </c>
      <c r="AE44" s="324">
        <f>AD44+1</f>
        <v>46332</v>
      </c>
      <c r="AF44" s="324">
        <f>AG44-30</f>
        <v>46412</v>
      </c>
      <c r="AG44" s="324">
        <f>AH44-1</f>
        <v>46442</v>
      </c>
      <c r="AH44" s="324">
        <f>AM44</f>
        <v>46443</v>
      </c>
      <c r="AI44" s="324">
        <f>AM44+14</f>
        <v>46457</v>
      </c>
      <c r="AJ44" s="324">
        <f>AM44+30</f>
        <v>46473</v>
      </c>
      <c r="AK44" s="325">
        <v>32</v>
      </c>
      <c r="AL44" s="326">
        <f>AK44*7</f>
        <v>224</v>
      </c>
      <c r="AM44" s="324">
        <f>IF(X44&lt;&gt;"",X44+AL44,X45+AL44)</f>
        <v>46443</v>
      </c>
      <c r="AN44" s="327">
        <f>AU44-3</f>
        <v>46469</v>
      </c>
      <c r="AO44" s="327">
        <f>AP44-7</f>
        <v>46454</v>
      </c>
      <c r="AP44" s="327">
        <v>46461</v>
      </c>
      <c r="AQ44" s="327" t="s">
        <v>95</v>
      </c>
      <c r="AR44" s="319">
        <f>AN44-AM44</f>
        <v>26</v>
      </c>
      <c r="AS44" s="328"/>
      <c r="AT44" s="329" t="s">
        <v>69</v>
      </c>
      <c r="AU44" s="330">
        <v>46472</v>
      </c>
      <c r="AV44" s="271"/>
    </row>
    <row r="45" spans="1:48" s="270" customFormat="1" ht="25.05" hidden="1" customHeight="1">
      <c r="A45" s="333"/>
      <c r="B45" s="334" t="s">
        <v>99</v>
      </c>
      <c r="C45" s="436" t="s">
        <v>100</v>
      </c>
      <c r="D45" s="352"/>
      <c r="E45" s="336"/>
      <c r="F45" s="337"/>
      <c r="G45" s="338"/>
      <c r="H45" s="339"/>
      <c r="I45" s="338" t="s">
        <v>62</v>
      </c>
      <c r="J45" s="334" t="s">
        <v>67</v>
      </c>
      <c r="K45" s="263">
        <v>2</v>
      </c>
      <c r="L45" s="334" t="s">
        <v>6</v>
      </c>
      <c r="M45" s="340" t="s">
        <v>70</v>
      </c>
      <c r="N45" s="341">
        <v>46136</v>
      </c>
      <c r="O45" s="341">
        <v>46150</v>
      </c>
      <c r="P45" s="341">
        <v>46167</v>
      </c>
      <c r="Q45" s="341">
        <v>46167</v>
      </c>
      <c r="R45" s="341">
        <v>46167</v>
      </c>
      <c r="S45" s="341">
        <v>46167</v>
      </c>
      <c r="T45" s="341">
        <v>46190</v>
      </c>
      <c r="U45" s="341">
        <v>46206</v>
      </c>
      <c r="V45" s="341">
        <v>46210</v>
      </c>
      <c r="W45" s="341">
        <v>46219</v>
      </c>
      <c r="X45" s="341">
        <v>46219</v>
      </c>
      <c r="Y45" s="341">
        <v>46219</v>
      </c>
      <c r="Z45" s="341">
        <v>46226</v>
      </c>
      <c r="AA45" s="353"/>
      <c r="AB45" s="341"/>
      <c r="AC45" s="341"/>
      <c r="AD45" s="341"/>
      <c r="AE45" s="341"/>
      <c r="AF45" s="341"/>
      <c r="AG45" s="341"/>
      <c r="AH45" s="341"/>
      <c r="AI45" s="341"/>
      <c r="AJ45" s="341"/>
      <c r="AK45" s="342"/>
      <c r="AL45" s="343"/>
      <c r="AM45" s="341"/>
      <c r="AN45" s="344"/>
      <c r="AO45" s="344"/>
      <c r="AP45" s="344"/>
      <c r="AQ45" s="344" t="s">
        <v>80</v>
      </c>
      <c r="AR45" s="338"/>
      <c r="AS45" s="345"/>
      <c r="AT45" s="346"/>
      <c r="AU45" s="345"/>
    </row>
    <row r="46" spans="1:48" s="270" customFormat="1" ht="25.05" hidden="1" customHeight="1">
      <c r="A46" s="315">
        <v>11</v>
      </c>
      <c r="B46" s="263" t="s">
        <v>102</v>
      </c>
      <c r="C46" s="432" t="s">
        <v>103</v>
      </c>
      <c r="D46" s="316"/>
      <c r="E46" s="317"/>
      <c r="F46" s="318"/>
      <c r="G46" s="319"/>
      <c r="H46" s="320"/>
      <c r="I46" s="319" t="s">
        <v>62</v>
      </c>
      <c r="J46" s="263"/>
      <c r="K46" s="321"/>
      <c r="L46" s="263" t="s">
        <v>6</v>
      </c>
      <c r="M46" s="322" t="s">
        <v>63</v>
      </c>
      <c r="N46" s="323"/>
      <c r="O46" s="324">
        <v>46155</v>
      </c>
      <c r="P46" s="324">
        <v>46182</v>
      </c>
      <c r="Q46" s="324">
        <v>46182</v>
      </c>
      <c r="R46" s="324">
        <v>46182</v>
      </c>
      <c r="S46" s="324">
        <v>46171</v>
      </c>
      <c r="T46" s="324">
        <v>46185</v>
      </c>
      <c r="U46" s="324">
        <v>46212</v>
      </c>
      <c r="V46" s="324">
        <v>46217</v>
      </c>
      <c r="W46" s="324"/>
      <c r="X46" s="324">
        <v>46231</v>
      </c>
      <c r="Y46" s="324">
        <v>46233</v>
      </c>
      <c r="Z46" s="324">
        <v>46240</v>
      </c>
      <c r="AA46" s="324">
        <v>46268</v>
      </c>
      <c r="AB46" s="324">
        <v>46282</v>
      </c>
      <c r="AC46" s="324">
        <v>46342</v>
      </c>
      <c r="AD46" s="324">
        <v>46345</v>
      </c>
      <c r="AE46" s="324">
        <v>46346</v>
      </c>
      <c r="AF46" s="324">
        <v>46382</v>
      </c>
      <c r="AG46" s="324">
        <v>46412</v>
      </c>
      <c r="AH46" s="324">
        <v>46413</v>
      </c>
      <c r="AI46" s="324">
        <v>46427</v>
      </c>
      <c r="AJ46" s="324">
        <v>46443</v>
      </c>
      <c r="AK46" s="325">
        <v>26</v>
      </c>
      <c r="AL46" s="326">
        <f>AK46*7</f>
        <v>182</v>
      </c>
      <c r="AM46" s="324">
        <f>X46+AL46</f>
        <v>46413</v>
      </c>
      <c r="AN46" s="327">
        <f>AN47</f>
        <v>46430</v>
      </c>
      <c r="AO46" s="327"/>
      <c r="AP46" s="327"/>
      <c r="AQ46" s="327"/>
      <c r="AR46" s="319">
        <f>AN47-AM46</f>
        <v>17</v>
      </c>
      <c r="AS46" s="328" t="s">
        <v>64</v>
      </c>
      <c r="AT46" s="329" t="s">
        <v>65</v>
      </c>
      <c r="AU46" s="330">
        <v>46433</v>
      </c>
      <c r="AV46" s="331">
        <v>17</v>
      </c>
    </row>
    <row r="47" spans="1:48" s="270" customFormat="1" ht="25.05" hidden="1" customHeight="1">
      <c r="A47" s="315"/>
      <c r="B47" s="263" t="s">
        <v>102</v>
      </c>
      <c r="C47" s="432" t="s">
        <v>103</v>
      </c>
      <c r="D47" s="351"/>
      <c r="E47" s="317"/>
      <c r="F47" s="318"/>
      <c r="G47" s="319"/>
      <c r="H47" s="320" t="s">
        <v>104</v>
      </c>
      <c r="I47" s="319" t="s">
        <v>62</v>
      </c>
      <c r="J47" s="263" t="s">
        <v>67</v>
      </c>
      <c r="K47" s="263">
        <v>3</v>
      </c>
      <c r="L47" s="263" t="s">
        <v>6</v>
      </c>
      <c r="M47" s="322" t="s">
        <v>68</v>
      </c>
      <c r="N47" s="324"/>
      <c r="O47" s="324"/>
      <c r="P47" s="324"/>
      <c r="Q47" s="324"/>
      <c r="R47" s="324"/>
      <c r="S47" s="324"/>
      <c r="T47" s="324"/>
      <c r="U47" s="324"/>
      <c r="V47" s="324"/>
      <c r="W47" s="324"/>
      <c r="X47" s="324"/>
      <c r="Y47" s="324"/>
      <c r="Z47" s="324"/>
      <c r="AA47" s="324">
        <f>WORKDAY.INTL(Z48,INDEX(AA$12:AA$15,MATCH($L47,$L$12:$L$15,0)),1,IF(AA$18="China",'China Holidays'!$A$2:$A$82,'Thai Holidays'!$A$2:$A$63))</f>
        <v>46254</v>
      </c>
      <c r="AB47" s="324">
        <f>WORKDAY.INTL(AA47,INDEX(AB$12:AB$15,MATCH($L47,$L$12:$L$15,0)),1,IF(AB$18="China",'China Holidays'!$A$2:$A$82,'Thai Holidays'!$A$2:$A$63))</f>
        <v>46268</v>
      </c>
      <c r="AC47" s="324">
        <f>AB47+60</f>
        <v>46328</v>
      </c>
      <c r="AD47" s="324">
        <f>AC47+3</f>
        <v>46331</v>
      </c>
      <c r="AE47" s="324">
        <f>AD47+1</f>
        <v>46332</v>
      </c>
      <c r="AF47" s="324">
        <f>AG47-30</f>
        <v>46370</v>
      </c>
      <c r="AG47" s="324">
        <f>AH47-1</f>
        <v>46400</v>
      </c>
      <c r="AH47" s="324">
        <f>AM47</f>
        <v>46401</v>
      </c>
      <c r="AI47" s="324">
        <f>AM47+14</f>
        <v>46415</v>
      </c>
      <c r="AJ47" s="324">
        <f>AM47+30</f>
        <v>46431</v>
      </c>
      <c r="AK47" s="325">
        <v>26</v>
      </c>
      <c r="AL47" s="326">
        <f>AK47*7</f>
        <v>182</v>
      </c>
      <c r="AM47" s="324">
        <f>IF(X47&lt;&gt;"",X47+AL47,X48+AL47)</f>
        <v>46401</v>
      </c>
      <c r="AN47" s="327">
        <f>AU46-3</f>
        <v>46430</v>
      </c>
      <c r="AO47" s="327">
        <f>AP47-7</f>
        <v>46412</v>
      </c>
      <c r="AP47" s="327">
        <v>46419</v>
      </c>
      <c r="AQ47" s="327"/>
      <c r="AR47" s="319">
        <f>AN47-AM47</f>
        <v>29</v>
      </c>
      <c r="AS47" s="332" t="str">
        <f>AS46</f>
        <v>Long Lead</v>
      </c>
      <c r="AT47" s="329" t="s">
        <v>69</v>
      </c>
      <c r="AU47" s="330">
        <v>46450</v>
      </c>
      <c r="AV47" s="271"/>
    </row>
    <row r="48" spans="1:48" s="270" customFormat="1" ht="25.05" hidden="1" customHeight="1">
      <c r="A48" s="333"/>
      <c r="B48" s="334" t="s">
        <v>102</v>
      </c>
      <c r="C48" s="436" t="s">
        <v>103</v>
      </c>
      <c r="D48" s="352"/>
      <c r="E48" s="336"/>
      <c r="F48" s="337"/>
      <c r="G48" s="338"/>
      <c r="H48" s="339"/>
      <c r="I48" s="338" t="s">
        <v>62</v>
      </c>
      <c r="J48" s="334" t="s">
        <v>67</v>
      </c>
      <c r="K48" s="263">
        <v>3</v>
      </c>
      <c r="L48" s="334" t="s">
        <v>6</v>
      </c>
      <c r="M48" s="340" t="s">
        <v>70</v>
      </c>
      <c r="N48" s="341">
        <v>46136</v>
      </c>
      <c r="O48" s="341">
        <v>46157</v>
      </c>
      <c r="P48" s="341">
        <v>46182</v>
      </c>
      <c r="Q48" s="341">
        <v>46182</v>
      </c>
      <c r="R48" s="341">
        <v>46182</v>
      </c>
      <c r="S48" s="341">
        <v>46182</v>
      </c>
      <c r="T48" s="341">
        <v>46185</v>
      </c>
      <c r="U48" s="341">
        <v>46206</v>
      </c>
      <c r="V48" s="341">
        <v>46210</v>
      </c>
      <c r="W48" s="341">
        <v>46219</v>
      </c>
      <c r="X48" s="341">
        <v>46219</v>
      </c>
      <c r="Y48" s="341">
        <v>46219</v>
      </c>
      <c r="Z48" s="341">
        <v>46226</v>
      </c>
      <c r="AA48" s="353"/>
      <c r="AB48" s="341"/>
      <c r="AC48" s="341"/>
      <c r="AD48" s="341"/>
      <c r="AE48" s="341"/>
      <c r="AF48" s="341"/>
      <c r="AG48" s="341"/>
      <c r="AH48" s="341"/>
      <c r="AI48" s="341"/>
      <c r="AJ48" s="341"/>
      <c r="AK48" s="342"/>
      <c r="AL48" s="343"/>
      <c r="AM48" s="341"/>
      <c r="AN48" s="344"/>
      <c r="AO48" s="344"/>
      <c r="AP48" s="344"/>
      <c r="AQ48" s="344" t="s">
        <v>105</v>
      </c>
      <c r="AR48" s="338"/>
      <c r="AS48" s="345" t="str">
        <f>AS46</f>
        <v>Long Lead</v>
      </c>
      <c r="AT48" s="346"/>
      <c r="AU48" s="350"/>
    </row>
    <row r="49" spans="1:48" s="270" customFormat="1" ht="25.05" hidden="1" customHeight="1">
      <c r="A49" s="315">
        <v>13</v>
      </c>
      <c r="B49" s="263" t="s">
        <v>106</v>
      </c>
      <c r="C49" s="432" t="s">
        <v>107</v>
      </c>
      <c r="D49" s="316"/>
      <c r="E49" s="317"/>
      <c r="F49" s="318"/>
      <c r="G49" s="319"/>
      <c r="H49" s="320"/>
      <c r="I49" s="319" t="s">
        <v>62</v>
      </c>
      <c r="J49" s="263"/>
      <c r="K49" s="321"/>
      <c r="L49" s="263" t="s">
        <v>6</v>
      </c>
      <c r="M49" s="322" t="s">
        <v>63</v>
      </c>
      <c r="N49" s="323"/>
      <c r="O49" s="324">
        <v>46164</v>
      </c>
      <c r="P49" s="324">
        <v>46183</v>
      </c>
      <c r="Q49" s="324">
        <v>46183</v>
      </c>
      <c r="R49" s="324">
        <v>46183</v>
      </c>
      <c r="S49" s="324">
        <v>46183</v>
      </c>
      <c r="T49" s="324">
        <v>46197</v>
      </c>
      <c r="U49" s="324">
        <v>46225</v>
      </c>
      <c r="V49" s="324">
        <v>46241</v>
      </c>
      <c r="W49" s="324"/>
      <c r="X49" s="324">
        <v>46254</v>
      </c>
      <c r="Y49" s="324">
        <v>46258</v>
      </c>
      <c r="Z49" s="324">
        <v>46265</v>
      </c>
      <c r="AA49" s="324">
        <v>46294</v>
      </c>
      <c r="AB49" s="324">
        <v>46309</v>
      </c>
      <c r="AC49" s="324">
        <v>46369</v>
      </c>
      <c r="AD49" s="324">
        <v>46372</v>
      </c>
      <c r="AE49" s="324">
        <v>46373</v>
      </c>
      <c r="AF49" s="324">
        <v>46391</v>
      </c>
      <c r="AG49" s="324">
        <v>46421</v>
      </c>
      <c r="AH49" s="324">
        <v>46422</v>
      </c>
      <c r="AI49" s="324">
        <v>46436</v>
      </c>
      <c r="AJ49" s="324">
        <v>46452</v>
      </c>
      <c r="AK49" s="325">
        <v>24</v>
      </c>
      <c r="AL49" s="326">
        <f>AK49*7</f>
        <v>168</v>
      </c>
      <c r="AM49" s="324">
        <f>X49+AL49</f>
        <v>46422</v>
      </c>
      <c r="AN49" s="327">
        <f>AN50</f>
        <v>46470</v>
      </c>
      <c r="AO49" s="327"/>
      <c r="AP49" s="327"/>
      <c r="AQ49" s="327"/>
      <c r="AR49" s="319">
        <f>AN50-AM49</f>
        <v>48</v>
      </c>
      <c r="AS49" s="328"/>
      <c r="AT49" s="329" t="s">
        <v>65</v>
      </c>
      <c r="AU49" s="330">
        <v>46473</v>
      </c>
      <c r="AV49" s="331">
        <v>52</v>
      </c>
    </row>
    <row r="50" spans="1:48" s="270" customFormat="1" ht="25.05" hidden="1" customHeight="1">
      <c r="A50" s="315"/>
      <c r="B50" s="263" t="s">
        <v>106</v>
      </c>
      <c r="C50" s="432" t="s">
        <v>107</v>
      </c>
      <c r="D50" s="351"/>
      <c r="E50" s="317"/>
      <c r="F50" s="318"/>
      <c r="G50" s="319"/>
      <c r="H50" s="320" t="s">
        <v>108</v>
      </c>
      <c r="I50" s="319" t="s">
        <v>62</v>
      </c>
      <c r="J50" s="263" t="s">
        <v>67</v>
      </c>
      <c r="K50" s="263">
        <v>3</v>
      </c>
      <c r="L50" s="263" t="s">
        <v>6</v>
      </c>
      <c r="M50" s="322" t="s">
        <v>68</v>
      </c>
      <c r="N50" s="324"/>
      <c r="O50" s="324"/>
      <c r="P50" s="324"/>
      <c r="Q50" s="324"/>
      <c r="R50" s="324"/>
      <c r="S50" s="324"/>
      <c r="T50" s="324"/>
      <c r="U50" s="324"/>
      <c r="V50" s="324"/>
      <c r="W50" s="324"/>
      <c r="X50" s="324"/>
      <c r="Y50" s="324"/>
      <c r="Z50" s="324"/>
      <c r="AA50" s="324">
        <f>WORKDAY.INTL(Z51,INDEX(AA$12:AA$15,MATCH($L50,$L$12:$L$15,0)),1,IF(AA$18="China",'China Holidays'!$A$2:$A$82,'Thai Holidays'!$A$2:$A$63))</f>
        <v>46254</v>
      </c>
      <c r="AB50" s="324">
        <f>WORKDAY.INTL(AA50,INDEX(AB$12:AB$15,MATCH($L50,$L$12:$L$15,0)),1,IF(AB$18="China",'China Holidays'!$A$2:$A$82,'Thai Holidays'!$A$2:$A$63))</f>
        <v>46268</v>
      </c>
      <c r="AC50" s="324">
        <f>AB50+60</f>
        <v>46328</v>
      </c>
      <c r="AD50" s="324">
        <f>AC50+3</f>
        <v>46331</v>
      </c>
      <c r="AE50" s="324">
        <f>AD50+1</f>
        <v>46332</v>
      </c>
      <c r="AF50" s="324">
        <f>AG50-30</f>
        <v>46356</v>
      </c>
      <c r="AG50" s="324">
        <f>AH50-1</f>
        <v>46386</v>
      </c>
      <c r="AH50" s="324">
        <f>AM50</f>
        <v>46387</v>
      </c>
      <c r="AI50" s="324">
        <f>AM50+14</f>
        <v>46401</v>
      </c>
      <c r="AJ50" s="324">
        <f>AM50+30</f>
        <v>46417</v>
      </c>
      <c r="AK50" s="325">
        <v>24</v>
      </c>
      <c r="AL50" s="326">
        <f>AK50*7</f>
        <v>168</v>
      </c>
      <c r="AM50" s="324">
        <f>IF(X50&lt;&gt;"",X50+AL50,X51+AL50)</f>
        <v>46387</v>
      </c>
      <c r="AN50" s="327">
        <f>AU49-3</f>
        <v>46470</v>
      </c>
      <c r="AO50" s="327">
        <f>AP50-7</f>
        <v>46456</v>
      </c>
      <c r="AP50" s="327">
        <v>46463</v>
      </c>
      <c r="AQ50" s="327"/>
      <c r="AR50" s="319">
        <f>AN50-AM50</f>
        <v>83</v>
      </c>
      <c r="AS50" s="328"/>
      <c r="AT50" s="329" t="s">
        <v>69</v>
      </c>
      <c r="AU50" s="330">
        <v>46501</v>
      </c>
      <c r="AV50" s="271"/>
    </row>
    <row r="51" spans="1:48" s="270" customFormat="1" ht="25.05" hidden="1" customHeight="1">
      <c r="A51" s="333"/>
      <c r="B51" s="334" t="s">
        <v>106</v>
      </c>
      <c r="C51" s="436" t="s">
        <v>107</v>
      </c>
      <c r="D51" s="352"/>
      <c r="E51" s="336"/>
      <c r="F51" s="337"/>
      <c r="G51" s="338"/>
      <c r="H51" s="339"/>
      <c r="I51" s="338" t="s">
        <v>62</v>
      </c>
      <c r="J51" s="334" t="s">
        <v>67</v>
      </c>
      <c r="K51" s="263">
        <v>3</v>
      </c>
      <c r="L51" s="334" t="s">
        <v>6</v>
      </c>
      <c r="M51" s="340" t="s">
        <v>70</v>
      </c>
      <c r="N51" s="341">
        <v>46136</v>
      </c>
      <c r="O51" s="341">
        <v>46164</v>
      </c>
      <c r="P51" s="341">
        <v>46183</v>
      </c>
      <c r="Q51" s="341">
        <v>46183</v>
      </c>
      <c r="R51" s="341">
        <v>46183</v>
      </c>
      <c r="S51" s="341">
        <v>46183</v>
      </c>
      <c r="T51" s="341">
        <v>46183</v>
      </c>
      <c r="U51" s="341">
        <v>46212</v>
      </c>
      <c r="V51" s="341">
        <v>46219</v>
      </c>
      <c r="W51" s="341">
        <v>46219</v>
      </c>
      <c r="X51" s="341">
        <v>46219</v>
      </c>
      <c r="Y51" s="341">
        <v>46219</v>
      </c>
      <c r="Z51" s="341">
        <v>46226</v>
      </c>
      <c r="AA51" s="353"/>
      <c r="AB51" s="341"/>
      <c r="AC51" s="341"/>
      <c r="AD51" s="341"/>
      <c r="AE51" s="341"/>
      <c r="AF51" s="341"/>
      <c r="AG51" s="341"/>
      <c r="AH51" s="341"/>
      <c r="AI51" s="341"/>
      <c r="AJ51" s="341"/>
      <c r="AK51" s="342"/>
      <c r="AL51" s="343"/>
      <c r="AM51" s="341"/>
      <c r="AN51" s="344"/>
      <c r="AO51" s="344"/>
      <c r="AP51" s="344"/>
      <c r="AQ51" s="344" t="s">
        <v>109</v>
      </c>
      <c r="AR51" s="338"/>
      <c r="AS51" s="345"/>
      <c r="AT51" s="346"/>
      <c r="AU51" s="350"/>
    </row>
    <row r="52" spans="1:48" s="270" customFormat="1" ht="25.05" hidden="1" customHeight="1">
      <c r="A52" s="315">
        <v>14</v>
      </c>
      <c r="B52" s="263" t="s">
        <v>110</v>
      </c>
      <c r="C52" s="432" t="s">
        <v>111</v>
      </c>
      <c r="D52" s="316"/>
      <c r="E52" s="317"/>
      <c r="F52" s="318"/>
      <c r="G52" s="319"/>
      <c r="H52" s="320"/>
      <c r="I52" s="319" t="s">
        <v>62</v>
      </c>
      <c r="J52" s="263"/>
      <c r="K52" s="321"/>
      <c r="L52" s="263" t="s">
        <v>6</v>
      </c>
      <c r="M52" s="322" t="s">
        <v>63</v>
      </c>
      <c r="N52" s="323"/>
      <c r="O52" s="324">
        <v>46155</v>
      </c>
      <c r="P52" s="324">
        <v>46182</v>
      </c>
      <c r="Q52" s="324">
        <v>46182</v>
      </c>
      <c r="R52" s="324">
        <v>46182</v>
      </c>
      <c r="S52" s="324">
        <v>46171</v>
      </c>
      <c r="T52" s="324">
        <v>46185</v>
      </c>
      <c r="U52" s="324">
        <v>46212</v>
      </c>
      <c r="V52" s="324">
        <v>46217</v>
      </c>
      <c r="W52" s="324"/>
      <c r="X52" s="324">
        <v>46231</v>
      </c>
      <c r="Y52" s="324">
        <v>46233</v>
      </c>
      <c r="Z52" s="324">
        <v>46240</v>
      </c>
      <c r="AA52" s="324">
        <v>46268</v>
      </c>
      <c r="AB52" s="324">
        <v>46282</v>
      </c>
      <c r="AC52" s="324">
        <v>46394</v>
      </c>
      <c r="AD52" s="324">
        <v>46397</v>
      </c>
      <c r="AE52" s="324">
        <v>46398</v>
      </c>
      <c r="AF52" s="324">
        <v>46411</v>
      </c>
      <c r="AG52" s="324">
        <v>46441</v>
      </c>
      <c r="AH52" s="324">
        <v>46455</v>
      </c>
      <c r="AI52" s="324">
        <v>46469</v>
      </c>
      <c r="AJ52" s="324">
        <v>46485</v>
      </c>
      <c r="AK52" s="325">
        <v>32</v>
      </c>
      <c r="AL52" s="326">
        <f>AK52*7</f>
        <v>224</v>
      </c>
      <c r="AM52" s="324">
        <f>X52+AL52</f>
        <v>46455</v>
      </c>
      <c r="AN52" s="327">
        <f>AN53</f>
        <v>46477</v>
      </c>
      <c r="AO52" s="327"/>
      <c r="AP52" s="327"/>
      <c r="AQ52" s="327"/>
      <c r="AR52" s="319">
        <f>AN53-AM52</f>
        <v>22</v>
      </c>
      <c r="AS52" s="328" t="s">
        <v>64</v>
      </c>
      <c r="AT52" s="329" t="s">
        <v>65</v>
      </c>
      <c r="AU52" s="330">
        <v>46480</v>
      </c>
      <c r="AV52" s="331">
        <v>38</v>
      </c>
    </row>
    <row r="53" spans="1:48" s="270" customFormat="1" ht="25.05" hidden="1" customHeight="1">
      <c r="A53" s="315"/>
      <c r="B53" s="263" t="s">
        <v>110</v>
      </c>
      <c r="C53" s="432" t="s">
        <v>111</v>
      </c>
      <c r="D53" s="316"/>
      <c r="E53" s="317"/>
      <c r="F53" s="318"/>
      <c r="G53" s="319"/>
      <c r="H53" s="320" t="s">
        <v>112</v>
      </c>
      <c r="I53" s="319" t="s">
        <v>62</v>
      </c>
      <c r="J53" s="263" t="s">
        <v>67</v>
      </c>
      <c r="K53" s="263">
        <v>3</v>
      </c>
      <c r="L53" s="263" t="s">
        <v>6</v>
      </c>
      <c r="M53" s="322" t="s">
        <v>68</v>
      </c>
      <c r="N53" s="324"/>
      <c r="O53" s="324"/>
      <c r="P53" s="324"/>
      <c r="Q53" s="324"/>
      <c r="R53" s="324"/>
      <c r="S53" s="324"/>
      <c r="T53" s="324"/>
      <c r="U53" s="324"/>
      <c r="V53" s="324"/>
      <c r="W53" s="324"/>
      <c r="X53" s="324"/>
      <c r="Y53" s="324"/>
      <c r="Z53" s="324"/>
      <c r="AA53" s="324">
        <v>46268</v>
      </c>
      <c r="AB53" s="324">
        <f>WORKDAY.INTL(AA53,INDEX(AB$12:AB$15,MATCH($L53,$L$12:$L$15,0)),1,IF(AB$18="China",'China Holidays'!$A$2:$A$82,'Thai Holidays'!$A$2:$A$63))</f>
        <v>46282</v>
      </c>
      <c r="AC53" s="324">
        <f>AB53+16*7</f>
        <v>46394</v>
      </c>
      <c r="AD53" s="324">
        <f>AC53+3</f>
        <v>46397</v>
      </c>
      <c r="AE53" s="324">
        <f>AD53+1</f>
        <v>46398</v>
      </c>
      <c r="AF53" s="324">
        <f>AG53-30</f>
        <v>160</v>
      </c>
      <c r="AG53" s="324">
        <f>AH53-14</f>
        <v>190</v>
      </c>
      <c r="AH53" s="324">
        <f>AM53</f>
        <v>204</v>
      </c>
      <c r="AI53" s="324">
        <f>AM53+14</f>
        <v>218</v>
      </c>
      <c r="AJ53" s="324">
        <f>AM53+30</f>
        <v>234</v>
      </c>
      <c r="AK53" s="356">
        <v>29</v>
      </c>
      <c r="AL53" s="326">
        <f>AK53*7</f>
        <v>203</v>
      </c>
      <c r="AM53" s="324">
        <f>IF(X53&lt;&gt;"",X53+AL53,X54+AL53)</f>
        <v>204</v>
      </c>
      <c r="AN53" s="327">
        <f>AU52-3</f>
        <v>46477</v>
      </c>
      <c r="AO53" s="327">
        <f>AP53-7</f>
        <v>46461</v>
      </c>
      <c r="AP53" s="327">
        <v>46468</v>
      </c>
      <c r="AQ53" s="327"/>
      <c r="AR53" s="319">
        <f>AN53-AM53</f>
        <v>46273</v>
      </c>
      <c r="AS53" s="332" t="str">
        <f>AS52</f>
        <v>Long Lead</v>
      </c>
      <c r="AT53" s="329" t="s">
        <v>69</v>
      </c>
      <c r="AU53" s="330">
        <v>46480</v>
      </c>
      <c r="AV53" s="271"/>
    </row>
    <row r="54" spans="1:48" s="270" customFormat="1" ht="25.05" hidden="1" customHeight="1">
      <c r="A54" s="333"/>
      <c r="B54" s="334" t="s">
        <v>110</v>
      </c>
      <c r="C54" s="436" t="s">
        <v>111</v>
      </c>
      <c r="D54" s="335"/>
      <c r="E54" s="336"/>
      <c r="F54" s="337"/>
      <c r="G54" s="338"/>
      <c r="H54" s="339"/>
      <c r="I54" s="338" t="s">
        <v>62</v>
      </c>
      <c r="J54" s="334" t="s">
        <v>67</v>
      </c>
      <c r="K54" s="263">
        <v>3</v>
      </c>
      <c r="L54" s="334" t="s">
        <v>6</v>
      </c>
      <c r="M54" s="340" t="s">
        <v>70</v>
      </c>
      <c r="N54" s="341">
        <v>46133</v>
      </c>
      <c r="O54" s="341">
        <v>46157</v>
      </c>
      <c r="P54" s="341">
        <v>46182</v>
      </c>
      <c r="Q54" s="341">
        <v>46182</v>
      </c>
      <c r="R54" s="341">
        <v>46182</v>
      </c>
      <c r="S54" s="341">
        <v>46182</v>
      </c>
      <c r="T54" s="341">
        <v>46178</v>
      </c>
      <c r="U54" s="341">
        <v>46206</v>
      </c>
      <c r="V54" s="341">
        <v>46211</v>
      </c>
      <c r="W54" s="341">
        <v>46230</v>
      </c>
      <c r="X54" s="338">
        <v>1</v>
      </c>
      <c r="Y54" s="341">
        <v>46230</v>
      </c>
      <c r="Z54" s="341">
        <v>46240</v>
      </c>
      <c r="AA54" s="361"/>
      <c r="AB54" s="341"/>
      <c r="AC54" s="341"/>
      <c r="AD54" s="341"/>
      <c r="AE54" s="341"/>
      <c r="AF54" s="341"/>
      <c r="AG54" s="341"/>
      <c r="AH54" s="341"/>
      <c r="AI54" s="341"/>
      <c r="AJ54" s="341"/>
      <c r="AK54" s="342"/>
      <c r="AL54" s="343"/>
      <c r="AM54" s="341"/>
      <c r="AN54" s="344"/>
      <c r="AO54" s="344"/>
      <c r="AP54" s="344"/>
      <c r="AQ54" s="344" t="s">
        <v>105</v>
      </c>
      <c r="AR54" s="338"/>
      <c r="AS54" s="345" t="str">
        <f>AS52</f>
        <v>Long Lead</v>
      </c>
      <c r="AT54" s="346"/>
      <c r="AU54" s="350"/>
    </row>
    <row r="55" spans="1:48" s="270" customFormat="1" ht="25.05" hidden="1" customHeight="1">
      <c r="A55" s="315">
        <v>15</v>
      </c>
      <c r="B55" s="263" t="s">
        <v>113</v>
      </c>
      <c r="C55" s="432" t="s">
        <v>114</v>
      </c>
      <c r="D55" s="316"/>
      <c r="E55" s="317"/>
      <c r="F55" s="318"/>
      <c r="G55" s="319"/>
      <c r="H55" s="320"/>
      <c r="I55" s="319" t="s">
        <v>62</v>
      </c>
      <c r="J55" s="263"/>
      <c r="K55" s="321"/>
      <c r="L55" s="263" t="s">
        <v>6</v>
      </c>
      <c r="M55" s="322" t="s">
        <v>63</v>
      </c>
      <c r="N55" s="323"/>
      <c r="O55" s="324">
        <v>46177</v>
      </c>
      <c r="P55" s="324">
        <v>46185</v>
      </c>
      <c r="Q55" s="324">
        <v>46185</v>
      </c>
      <c r="R55" s="324">
        <v>46185</v>
      </c>
      <c r="S55" s="324">
        <v>46193</v>
      </c>
      <c r="T55" s="324">
        <v>46195</v>
      </c>
      <c r="U55" s="324">
        <v>46238</v>
      </c>
      <c r="V55" s="324">
        <v>46241</v>
      </c>
      <c r="W55" s="324"/>
      <c r="X55" s="324">
        <v>46255</v>
      </c>
      <c r="Y55" s="324">
        <v>46259</v>
      </c>
      <c r="Z55" s="362">
        <v>46266</v>
      </c>
      <c r="AA55" s="362">
        <v>46295</v>
      </c>
      <c r="AB55" s="324">
        <v>46310</v>
      </c>
      <c r="AC55" s="324">
        <v>46421</v>
      </c>
      <c r="AD55" s="324">
        <v>46424</v>
      </c>
      <c r="AE55" s="324">
        <v>46425</v>
      </c>
      <c r="AF55" s="324">
        <v>46435</v>
      </c>
      <c r="AG55" s="324">
        <v>46465</v>
      </c>
      <c r="AH55" s="324">
        <v>46479</v>
      </c>
      <c r="AI55" s="324">
        <v>46493</v>
      </c>
      <c r="AJ55" s="324">
        <v>46509</v>
      </c>
      <c r="AK55" s="325">
        <v>32</v>
      </c>
      <c r="AL55" s="326">
        <f>AK55*7</f>
        <v>224</v>
      </c>
      <c r="AM55" s="324">
        <f>X55+AL55</f>
        <v>46479</v>
      </c>
      <c r="AN55" s="327">
        <f>AN56</f>
        <v>46483</v>
      </c>
      <c r="AO55" s="327"/>
      <c r="AP55" s="327"/>
      <c r="AQ55" s="327"/>
      <c r="AR55" s="319">
        <f>AN56-AM55</f>
        <v>4</v>
      </c>
      <c r="AS55" s="328"/>
      <c r="AT55" s="329" t="s">
        <v>65</v>
      </c>
      <c r="AU55" s="330">
        <v>46486</v>
      </c>
      <c r="AV55" s="331">
        <v>4</v>
      </c>
    </row>
    <row r="56" spans="1:48" s="270" customFormat="1" ht="25.05" hidden="1" customHeight="1">
      <c r="A56" s="315"/>
      <c r="B56" s="263" t="s">
        <v>113</v>
      </c>
      <c r="C56" s="432" t="s">
        <v>114</v>
      </c>
      <c r="D56" s="316"/>
      <c r="E56" s="317"/>
      <c r="F56" s="318"/>
      <c r="G56" s="319"/>
      <c r="H56" s="320" t="s">
        <v>115</v>
      </c>
      <c r="I56" s="319" t="s">
        <v>62</v>
      </c>
      <c r="J56" s="263" t="s">
        <v>67</v>
      </c>
      <c r="K56" s="263">
        <v>3</v>
      </c>
      <c r="L56" s="263" t="s">
        <v>6</v>
      </c>
      <c r="M56" s="322" t="s">
        <v>68</v>
      </c>
      <c r="N56" s="324"/>
      <c r="O56" s="324"/>
      <c r="P56" s="324"/>
      <c r="Q56" s="324"/>
      <c r="R56" s="324"/>
      <c r="S56" s="324"/>
      <c r="T56" s="324"/>
      <c r="U56" s="324"/>
      <c r="V56" s="324"/>
      <c r="W56" s="324"/>
      <c r="X56" s="324"/>
      <c r="Y56" s="324"/>
      <c r="Z56" s="362"/>
      <c r="AA56" s="362">
        <v>46279</v>
      </c>
      <c r="AB56" s="324">
        <f>WORKDAY.INTL(AA56,INDEX(AB$12:AB$15,MATCH($L56,$L$12:$L$15,0)),1,IF(AB$18="China",'China Holidays'!$A$2:$A$82,'Thai Holidays'!$A$2:$A$63))</f>
        <v>46293</v>
      </c>
      <c r="AC56" s="324">
        <f>AB56+16*7</f>
        <v>46405</v>
      </c>
      <c r="AD56" s="324">
        <f>AC56+3</f>
        <v>46408</v>
      </c>
      <c r="AE56" s="324">
        <f>AD56+1</f>
        <v>46409</v>
      </c>
      <c r="AF56" s="324">
        <f>AG56-30</f>
        <v>160</v>
      </c>
      <c r="AG56" s="324">
        <f>AH56-14</f>
        <v>190</v>
      </c>
      <c r="AH56" s="324">
        <f>AM56</f>
        <v>204</v>
      </c>
      <c r="AI56" s="324">
        <f>AM56+14</f>
        <v>218</v>
      </c>
      <c r="AJ56" s="324">
        <f>AM56+30</f>
        <v>234</v>
      </c>
      <c r="AK56" s="356">
        <v>29</v>
      </c>
      <c r="AL56" s="326">
        <f>AK56*7</f>
        <v>203</v>
      </c>
      <c r="AM56" s="324">
        <f>IF(X56&lt;&gt;"",X56+AL56,X57+AL56)</f>
        <v>204</v>
      </c>
      <c r="AN56" s="327">
        <f>AU55-3</f>
        <v>46483</v>
      </c>
      <c r="AO56" s="327">
        <f>AP56-7</f>
        <v>46476</v>
      </c>
      <c r="AP56" s="327">
        <v>46483</v>
      </c>
      <c r="AQ56" s="327"/>
      <c r="AR56" s="319">
        <f>AN56-AM56</f>
        <v>46279</v>
      </c>
      <c r="AS56" s="328"/>
      <c r="AT56" s="329" t="s">
        <v>69</v>
      </c>
      <c r="AU56" s="330">
        <v>46487</v>
      </c>
      <c r="AV56" s="271"/>
    </row>
    <row r="57" spans="1:48" s="270" customFormat="1" ht="25.05" hidden="1" customHeight="1">
      <c r="A57" s="333"/>
      <c r="B57" s="334" t="s">
        <v>113</v>
      </c>
      <c r="C57" s="436" t="s">
        <v>114</v>
      </c>
      <c r="D57" s="335"/>
      <c r="E57" s="336"/>
      <c r="F57" s="337"/>
      <c r="G57" s="338"/>
      <c r="H57" s="339"/>
      <c r="I57" s="338" t="s">
        <v>62</v>
      </c>
      <c r="J57" s="334" t="s">
        <v>67</v>
      </c>
      <c r="K57" s="263">
        <v>3</v>
      </c>
      <c r="L57" s="334" t="s">
        <v>6</v>
      </c>
      <c r="M57" s="340" t="s">
        <v>70</v>
      </c>
      <c r="N57" s="341"/>
      <c r="O57" s="341">
        <v>46170</v>
      </c>
      <c r="P57" s="341">
        <v>46188</v>
      </c>
      <c r="Q57" s="341">
        <v>46188</v>
      </c>
      <c r="R57" s="341">
        <v>46188</v>
      </c>
      <c r="S57" s="341">
        <v>46188</v>
      </c>
      <c r="T57" s="341">
        <v>46191</v>
      </c>
      <c r="U57" s="341">
        <v>46213</v>
      </c>
      <c r="V57" s="341">
        <v>46217</v>
      </c>
      <c r="W57" s="341">
        <v>46230</v>
      </c>
      <c r="X57" s="338">
        <v>1</v>
      </c>
      <c r="Y57" s="341">
        <v>46230</v>
      </c>
      <c r="Z57" s="341">
        <v>46240</v>
      </c>
      <c r="AA57" s="361"/>
      <c r="AB57" s="341"/>
      <c r="AC57" s="341"/>
      <c r="AD57" s="341"/>
      <c r="AE57" s="341"/>
      <c r="AF57" s="341"/>
      <c r="AG57" s="341"/>
      <c r="AH57" s="341"/>
      <c r="AI57" s="341"/>
      <c r="AJ57" s="341"/>
      <c r="AK57" s="342"/>
      <c r="AL57" s="343"/>
      <c r="AM57" s="341"/>
      <c r="AN57" s="344"/>
      <c r="AO57" s="344"/>
      <c r="AP57" s="344"/>
      <c r="AQ57" s="344" t="s">
        <v>80</v>
      </c>
      <c r="AR57" s="338"/>
      <c r="AS57" s="345"/>
      <c r="AT57" s="346"/>
      <c r="AU57" s="350"/>
    </row>
    <row r="58" spans="1:48" s="270" customFormat="1" ht="25.05" hidden="1" customHeight="1">
      <c r="A58" s="315">
        <v>16</v>
      </c>
      <c r="B58" s="263" t="s">
        <v>116</v>
      </c>
      <c r="C58" s="432" t="s">
        <v>117</v>
      </c>
      <c r="D58" s="316"/>
      <c r="E58" s="317"/>
      <c r="F58" s="318"/>
      <c r="G58" s="319"/>
      <c r="H58" s="320"/>
      <c r="I58" s="319" t="s">
        <v>62</v>
      </c>
      <c r="J58" s="263"/>
      <c r="K58" s="321"/>
      <c r="L58" s="263" t="s">
        <v>6</v>
      </c>
      <c r="M58" s="322" t="s">
        <v>63</v>
      </c>
      <c r="N58" s="323"/>
      <c r="O58" s="324">
        <v>46150</v>
      </c>
      <c r="P58" s="324">
        <v>46167</v>
      </c>
      <c r="Q58" s="324">
        <v>46167</v>
      </c>
      <c r="R58" s="324">
        <v>46167</v>
      </c>
      <c r="S58" s="324">
        <v>46168</v>
      </c>
      <c r="T58" s="324">
        <v>46184</v>
      </c>
      <c r="U58" s="324">
        <v>46223</v>
      </c>
      <c r="V58" s="324">
        <v>46239</v>
      </c>
      <c r="W58" s="324"/>
      <c r="X58" s="324">
        <v>46252</v>
      </c>
      <c r="Y58" s="324">
        <v>46254</v>
      </c>
      <c r="Z58" s="362">
        <v>46261</v>
      </c>
      <c r="AA58" s="362">
        <v>46289</v>
      </c>
      <c r="AB58" s="324">
        <v>46303</v>
      </c>
      <c r="AC58" s="324">
        <v>46415</v>
      </c>
      <c r="AD58" s="324">
        <v>46394</v>
      </c>
      <c r="AE58" s="324">
        <v>46395</v>
      </c>
      <c r="AF58" s="324">
        <v>46445</v>
      </c>
      <c r="AG58" s="324">
        <v>46475</v>
      </c>
      <c r="AH58" s="324">
        <v>46476</v>
      </c>
      <c r="AI58" s="324">
        <v>46490</v>
      </c>
      <c r="AJ58" s="324">
        <v>46506</v>
      </c>
      <c r="AK58" s="325">
        <v>32</v>
      </c>
      <c r="AL58" s="326">
        <f>AK58*7</f>
        <v>224</v>
      </c>
      <c r="AM58" s="324">
        <f>X58+AL58</f>
        <v>46476</v>
      </c>
      <c r="AN58" s="327">
        <f>AN59</f>
        <v>46486</v>
      </c>
      <c r="AO58" s="327"/>
      <c r="AP58" s="327"/>
      <c r="AQ58" s="327"/>
      <c r="AR58" s="319">
        <f>AN59-AM58</f>
        <v>10</v>
      </c>
      <c r="AS58" s="328"/>
      <c r="AT58" s="329" t="s">
        <v>65</v>
      </c>
      <c r="AU58" s="330" t="s">
        <v>93</v>
      </c>
      <c r="AV58" s="331">
        <v>41</v>
      </c>
    </row>
    <row r="59" spans="1:48" s="270" customFormat="1" ht="25.05" hidden="1" customHeight="1">
      <c r="A59" s="315"/>
      <c r="B59" s="263" t="s">
        <v>116</v>
      </c>
      <c r="C59" s="432" t="s">
        <v>117</v>
      </c>
      <c r="D59" s="316"/>
      <c r="E59" s="317"/>
      <c r="F59" s="318"/>
      <c r="G59" s="319"/>
      <c r="H59" s="320" t="s">
        <v>118</v>
      </c>
      <c r="I59" s="319" t="s">
        <v>62</v>
      </c>
      <c r="J59" s="263" t="s">
        <v>67</v>
      </c>
      <c r="K59" s="263">
        <v>2</v>
      </c>
      <c r="L59" s="263" t="s">
        <v>6</v>
      </c>
      <c r="M59" s="322" t="s">
        <v>68</v>
      </c>
      <c r="N59" s="324"/>
      <c r="O59" s="324"/>
      <c r="P59" s="324"/>
      <c r="Q59" s="324"/>
      <c r="R59" s="324"/>
      <c r="S59" s="324"/>
      <c r="T59" s="324"/>
      <c r="U59" s="324"/>
      <c r="V59" s="324"/>
      <c r="W59" s="324"/>
      <c r="X59" s="324"/>
      <c r="Y59" s="324"/>
      <c r="Z59" s="362"/>
      <c r="AA59" s="362">
        <v>46279</v>
      </c>
      <c r="AB59" s="324">
        <f>WORKDAY.INTL(AA59,INDEX(AB$12:AB$15,MATCH($L59,$L$12:$L$15,0)),1,IF(AB$18="China",'China Holidays'!$A$2:$A$82,'Thai Holidays'!$A$2:$A$63))</f>
        <v>46293</v>
      </c>
      <c r="AC59" s="324">
        <f>AB59+16*7</f>
        <v>46405</v>
      </c>
      <c r="AD59" s="324">
        <f>AC59+3</f>
        <v>46408</v>
      </c>
      <c r="AE59" s="324">
        <f>AD59+1</f>
        <v>46409</v>
      </c>
      <c r="AF59" s="324">
        <f>AG59-30</f>
        <v>144</v>
      </c>
      <c r="AG59" s="324">
        <f>AH59-30</f>
        <v>174</v>
      </c>
      <c r="AH59" s="324">
        <f>AM59</f>
        <v>204</v>
      </c>
      <c r="AI59" s="324">
        <f>AM59+14</f>
        <v>218</v>
      </c>
      <c r="AJ59" s="324">
        <f>AM59+30</f>
        <v>234</v>
      </c>
      <c r="AK59" s="356">
        <v>29</v>
      </c>
      <c r="AL59" s="326">
        <f>AK59*7</f>
        <v>203</v>
      </c>
      <c r="AM59" s="324">
        <f>IF(X59&lt;&gt;"",X59+AL59,X60+AL59)</f>
        <v>204</v>
      </c>
      <c r="AN59" s="327">
        <f>AU59-3</f>
        <v>46486</v>
      </c>
      <c r="AO59" s="327">
        <f>AP59-7</f>
        <v>46479</v>
      </c>
      <c r="AP59" s="327">
        <v>46486</v>
      </c>
      <c r="AQ59" s="327"/>
      <c r="AR59" s="319">
        <f>AN59-AM59</f>
        <v>46282</v>
      </c>
      <c r="AS59" s="328"/>
      <c r="AT59" s="329" t="s">
        <v>69</v>
      </c>
      <c r="AU59" s="330">
        <v>46489</v>
      </c>
      <c r="AV59" s="271"/>
    </row>
    <row r="60" spans="1:48" s="270" customFormat="1" ht="25.05" hidden="1" customHeight="1">
      <c r="A60" s="333"/>
      <c r="B60" s="334" t="s">
        <v>116</v>
      </c>
      <c r="C60" s="436" t="s">
        <v>117</v>
      </c>
      <c r="D60" s="335"/>
      <c r="E60" s="336"/>
      <c r="F60" s="337"/>
      <c r="G60" s="338"/>
      <c r="H60" s="339"/>
      <c r="I60" s="338" t="s">
        <v>62</v>
      </c>
      <c r="J60" s="334" t="s">
        <v>67</v>
      </c>
      <c r="K60" s="363">
        <v>2</v>
      </c>
      <c r="L60" s="334" t="s">
        <v>6</v>
      </c>
      <c r="M60" s="340" t="s">
        <v>70</v>
      </c>
      <c r="N60" s="341">
        <v>46133</v>
      </c>
      <c r="O60" s="341">
        <v>46152</v>
      </c>
      <c r="P60" s="341">
        <v>46167</v>
      </c>
      <c r="Q60" s="341">
        <v>46167</v>
      </c>
      <c r="R60" s="341">
        <v>46167</v>
      </c>
      <c r="S60" s="341">
        <v>46167</v>
      </c>
      <c r="T60" s="341">
        <v>46184</v>
      </c>
      <c r="U60" s="341">
        <v>46213</v>
      </c>
      <c r="V60" s="341">
        <v>46219</v>
      </c>
      <c r="W60" s="341">
        <v>46230</v>
      </c>
      <c r="X60" s="338">
        <v>1</v>
      </c>
      <c r="Y60" s="341">
        <v>46230</v>
      </c>
      <c r="Z60" s="341">
        <v>46240</v>
      </c>
      <c r="AA60" s="361"/>
      <c r="AB60" s="341"/>
      <c r="AC60" s="341"/>
      <c r="AD60" s="341"/>
      <c r="AE60" s="341"/>
      <c r="AF60" s="341"/>
      <c r="AG60" s="341"/>
      <c r="AH60" s="341"/>
      <c r="AI60" s="341"/>
      <c r="AJ60" s="341"/>
      <c r="AK60" s="342"/>
      <c r="AL60" s="343"/>
      <c r="AM60" s="341"/>
      <c r="AN60" s="344"/>
      <c r="AO60" s="344"/>
      <c r="AP60" s="344"/>
      <c r="AQ60" s="344" t="s">
        <v>76</v>
      </c>
      <c r="AR60" s="338"/>
      <c r="AS60" s="345"/>
      <c r="AT60" s="346"/>
      <c r="AU60" s="350"/>
    </row>
    <row r="61" spans="1:48" s="270" customFormat="1" ht="25.05" hidden="1" customHeight="1">
      <c r="A61" s="315">
        <v>17</v>
      </c>
      <c r="B61" s="263" t="s">
        <v>119</v>
      </c>
      <c r="C61" s="432" t="s">
        <v>120</v>
      </c>
      <c r="D61" s="316"/>
      <c r="E61" s="317"/>
      <c r="F61" s="318"/>
      <c r="G61" s="319"/>
      <c r="H61" s="320"/>
      <c r="I61" s="319" t="s">
        <v>121</v>
      </c>
      <c r="J61" s="263"/>
      <c r="K61" s="321"/>
      <c r="L61" s="263" t="s">
        <v>7</v>
      </c>
      <c r="M61" s="322" t="s">
        <v>63</v>
      </c>
      <c r="N61" s="323"/>
      <c r="O61" s="324">
        <v>46139</v>
      </c>
      <c r="P61" s="324">
        <v>46156</v>
      </c>
      <c r="Q61" s="324">
        <v>46156</v>
      </c>
      <c r="R61" s="324">
        <v>46156</v>
      </c>
      <c r="S61" s="324">
        <v>46155</v>
      </c>
      <c r="T61" s="324">
        <v>46164</v>
      </c>
      <c r="U61" s="324">
        <v>46199</v>
      </c>
      <c r="V61" s="324">
        <v>46213</v>
      </c>
      <c r="W61" s="324"/>
      <c r="X61" s="324">
        <v>46226</v>
      </c>
      <c r="Y61" s="324">
        <v>46230</v>
      </c>
      <c r="Z61" s="362">
        <v>46237</v>
      </c>
      <c r="AA61" s="362">
        <v>46265</v>
      </c>
      <c r="AB61" s="324">
        <v>46279</v>
      </c>
      <c r="AC61" s="324">
        <v>46299</v>
      </c>
      <c r="AD61" s="324">
        <v>46302</v>
      </c>
      <c r="AE61" s="324">
        <v>46303</v>
      </c>
      <c r="AF61" s="324">
        <v>46458</v>
      </c>
      <c r="AG61" s="324">
        <v>46471</v>
      </c>
      <c r="AH61" s="324">
        <v>46478</v>
      </c>
      <c r="AI61" s="324">
        <v>46492</v>
      </c>
      <c r="AJ61" s="324">
        <v>46508</v>
      </c>
      <c r="AK61" s="325">
        <v>36</v>
      </c>
      <c r="AL61" s="326">
        <f>AK61*7</f>
        <v>252</v>
      </c>
      <c r="AM61" s="324">
        <f>X61+AL61</f>
        <v>46478</v>
      </c>
      <c r="AN61" s="327">
        <f>AN62</f>
        <v>46490</v>
      </c>
      <c r="AO61" s="327"/>
      <c r="AP61" s="327"/>
      <c r="AQ61" s="327"/>
      <c r="AR61" s="319">
        <f>AN62-AM61</f>
        <v>12</v>
      </c>
      <c r="AS61" s="328" t="s">
        <v>64</v>
      </c>
      <c r="AT61" s="329" t="s">
        <v>65</v>
      </c>
      <c r="AU61" s="330">
        <v>46497</v>
      </c>
      <c r="AV61" s="331">
        <v>29</v>
      </c>
    </row>
    <row r="62" spans="1:48" s="270" customFormat="1" ht="25.05" hidden="1" customHeight="1">
      <c r="A62" s="315"/>
      <c r="B62" s="263" t="s">
        <v>119</v>
      </c>
      <c r="C62" s="432" t="s">
        <v>120</v>
      </c>
      <c r="D62" s="316"/>
      <c r="E62" s="317"/>
      <c r="F62" s="318"/>
      <c r="G62" s="319"/>
      <c r="H62" s="320" t="s">
        <v>122</v>
      </c>
      <c r="I62" s="319" t="s">
        <v>121</v>
      </c>
      <c r="J62" s="263" t="s">
        <v>67</v>
      </c>
      <c r="K62" s="263">
        <v>3</v>
      </c>
      <c r="L62" s="263" t="s">
        <v>7</v>
      </c>
      <c r="M62" s="322" t="s">
        <v>68</v>
      </c>
      <c r="N62" s="324"/>
      <c r="O62" s="324"/>
      <c r="P62" s="324"/>
      <c r="Q62" s="324"/>
      <c r="R62" s="324"/>
      <c r="S62" s="324"/>
      <c r="T62" s="324"/>
      <c r="U62" s="324"/>
      <c r="V62" s="324"/>
      <c r="W62" s="324"/>
      <c r="X62" s="324"/>
      <c r="Y62" s="324"/>
      <c r="Z62" s="362"/>
      <c r="AA62" s="362">
        <v>46265</v>
      </c>
      <c r="AB62" s="324">
        <f>WORKDAY.INTL(AA62,INDEX(AB$12:AB$15,MATCH($L62,$L$12:$L$15,0)),1,IF(AB$18="China",'China Holidays'!$A$2:$A$82,'Thai Holidays'!$A$2:$A$63))</f>
        <v>46279</v>
      </c>
      <c r="AC62" s="324">
        <f>AB62+20</f>
        <v>46299</v>
      </c>
      <c r="AD62" s="324">
        <f>AC62+3</f>
        <v>46302</v>
      </c>
      <c r="AE62" s="324">
        <f>AD62+1</f>
        <v>46303</v>
      </c>
      <c r="AF62" s="324">
        <f>AG62-20</f>
        <v>46435</v>
      </c>
      <c r="AG62" s="324">
        <f>AH62-7</f>
        <v>46455</v>
      </c>
      <c r="AH62" s="324">
        <f>AM62</f>
        <v>46462</v>
      </c>
      <c r="AI62" s="324">
        <f>AM62+14</f>
        <v>46476</v>
      </c>
      <c r="AJ62" s="324">
        <f>AM62+30</f>
        <v>46492</v>
      </c>
      <c r="AK62" s="325">
        <v>32</v>
      </c>
      <c r="AL62" s="326">
        <f>AK62*7</f>
        <v>224</v>
      </c>
      <c r="AM62" s="364">
        <f>W63+AL62</f>
        <v>46462</v>
      </c>
      <c r="AN62" s="327">
        <f>AU61-7</f>
        <v>46490</v>
      </c>
      <c r="AO62" s="327">
        <f>AP62-7</f>
        <v>46498</v>
      </c>
      <c r="AP62" s="327">
        <v>46505</v>
      </c>
      <c r="AQ62" s="327"/>
      <c r="AR62" s="319">
        <f>AN62-AM62</f>
        <v>28</v>
      </c>
      <c r="AS62" s="332" t="str">
        <f>AS61</f>
        <v>Long Lead</v>
      </c>
      <c r="AT62" s="329" t="s">
        <v>69</v>
      </c>
      <c r="AU62" s="330">
        <v>46505</v>
      </c>
      <c r="AV62" s="271"/>
    </row>
    <row r="63" spans="1:48" s="270" customFormat="1" ht="25.05" hidden="1" customHeight="1">
      <c r="A63" s="333"/>
      <c r="B63" s="334" t="s">
        <v>119</v>
      </c>
      <c r="C63" s="436" t="s">
        <v>120</v>
      </c>
      <c r="D63" s="335"/>
      <c r="E63" s="336"/>
      <c r="F63" s="337"/>
      <c r="G63" s="338"/>
      <c r="H63" s="339"/>
      <c r="I63" s="338" t="s">
        <v>121</v>
      </c>
      <c r="J63" s="334" t="s">
        <v>67</v>
      </c>
      <c r="K63" s="363">
        <v>3</v>
      </c>
      <c r="L63" s="334" t="s">
        <v>7</v>
      </c>
      <c r="M63" s="340" t="s">
        <v>70</v>
      </c>
      <c r="N63" s="341">
        <v>46133</v>
      </c>
      <c r="O63" s="341">
        <v>46139</v>
      </c>
      <c r="P63" s="341">
        <v>46156</v>
      </c>
      <c r="Q63" s="341">
        <v>46156</v>
      </c>
      <c r="R63" s="341">
        <v>46156</v>
      </c>
      <c r="S63" s="341">
        <v>46156</v>
      </c>
      <c r="T63" s="341">
        <v>46164</v>
      </c>
      <c r="U63" s="341">
        <v>46206</v>
      </c>
      <c r="V63" s="341">
        <v>46213</v>
      </c>
      <c r="W63" s="341">
        <v>46238</v>
      </c>
      <c r="X63" s="338">
        <v>1</v>
      </c>
      <c r="Y63" s="341"/>
      <c r="Z63" s="341">
        <v>46241</v>
      </c>
      <c r="AA63" s="361"/>
      <c r="AB63" s="341"/>
      <c r="AC63" s="341"/>
      <c r="AD63" s="341"/>
      <c r="AE63" s="341"/>
      <c r="AF63" s="341"/>
      <c r="AG63" s="341"/>
      <c r="AH63" s="341"/>
      <c r="AI63" s="341"/>
      <c r="AJ63" s="341"/>
      <c r="AK63" s="342"/>
      <c r="AL63" s="343"/>
      <c r="AM63" s="341"/>
      <c r="AN63" s="344"/>
      <c r="AO63" s="344"/>
      <c r="AP63" s="344"/>
      <c r="AQ63" s="344"/>
      <c r="AR63" s="338"/>
      <c r="AS63" s="345" t="str">
        <f>AS61</f>
        <v>Long Lead</v>
      </c>
      <c r="AT63" s="346"/>
      <c r="AU63" s="365" t="s">
        <v>123</v>
      </c>
    </row>
    <row r="64" spans="1:48" s="270" customFormat="1" ht="25.05" hidden="1" customHeight="1">
      <c r="A64" s="315">
        <v>18</v>
      </c>
      <c r="B64" s="263" t="s">
        <v>124</v>
      </c>
      <c r="C64" s="432" t="s">
        <v>125</v>
      </c>
      <c r="D64" s="316"/>
      <c r="E64" s="317"/>
      <c r="F64" s="318"/>
      <c r="G64" s="319"/>
      <c r="H64" s="320"/>
      <c r="I64" s="319" t="s">
        <v>121</v>
      </c>
      <c r="J64" s="263"/>
      <c r="K64" s="321"/>
      <c r="L64" s="263" t="s">
        <v>6</v>
      </c>
      <c r="M64" s="322" t="s">
        <v>63</v>
      </c>
      <c r="N64" s="323"/>
      <c r="O64" s="324">
        <v>46139</v>
      </c>
      <c r="P64" s="324">
        <v>46156</v>
      </c>
      <c r="Q64" s="324">
        <v>46156</v>
      </c>
      <c r="R64" s="324">
        <v>46156</v>
      </c>
      <c r="S64" s="324">
        <v>46155</v>
      </c>
      <c r="T64" s="324">
        <v>46164</v>
      </c>
      <c r="U64" s="324">
        <v>46199</v>
      </c>
      <c r="V64" s="324">
        <v>46213</v>
      </c>
      <c r="W64" s="324"/>
      <c r="X64" s="324">
        <v>46226</v>
      </c>
      <c r="Y64" s="324">
        <v>46230</v>
      </c>
      <c r="Z64" s="362">
        <v>46237</v>
      </c>
      <c r="AA64" s="362">
        <v>46265</v>
      </c>
      <c r="AB64" s="324">
        <v>46279</v>
      </c>
      <c r="AC64" s="324">
        <v>46299</v>
      </c>
      <c r="AD64" s="324">
        <v>46302</v>
      </c>
      <c r="AE64" s="324">
        <v>46303</v>
      </c>
      <c r="AF64" s="324">
        <v>46458</v>
      </c>
      <c r="AG64" s="324">
        <v>46478</v>
      </c>
      <c r="AH64" s="324">
        <v>46485</v>
      </c>
      <c r="AI64" s="324">
        <v>46499</v>
      </c>
      <c r="AJ64" s="324">
        <v>46515</v>
      </c>
      <c r="AK64" s="325">
        <v>37</v>
      </c>
      <c r="AL64" s="326">
        <f>AK64*7</f>
        <v>259</v>
      </c>
      <c r="AM64" s="324">
        <f>X64+AL64</f>
        <v>46485</v>
      </c>
      <c r="AN64" s="327">
        <f>AN65</f>
        <v>46490</v>
      </c>
      <c r="AO64" s="327"/>
      <c r="AP64" s="327"/>
      <c r="AQ64" s="327"/>
      <c r="AR64" s="319">
        <f>AN65-AM64</f>
        <v>5</v>
      </c>
      <c r="AS64" s="328" t="s">
        <v>64</v>
      </c>
      <c r="AT64" s="329" t="s">
        <v>65</v>
      </c>
      <c r="AU64" s="330">
        <v>46497</v>
      </c>
      <c r="AV64" s="331">
        <v>59</v>
      </c>
    </row>
    <row r="65" spans="1:48" s="270" customFormat="1" ht="25.05" hidden="1" customHeight="1">
      <c r="A65" s="315"/>
      <c r="B65" s="263" t="s">
        <v>124</v>
      </c>
      <c r="C65" s="432" t="s">
        <v>125</v>
      </c>
      <c r="D65" s="316"/>
      <c r="E65" s="317"/>
      <c r="F65" s="318"/>
      <c r="G65" s="319"/>
      <c r="H65" s="320" t="s">
        <v>126</v>
      </c>
      <c r="I65" s="319" t="s">
        <v>121</v>
      </c>
      <c r="J65" s="263" t="s">
        <v>67</v>
      </c>
      <c r="K65" s="263">
        <v>2</v>
      </c>
      <c r="L65" s="263" t="s">
        <v>6</v>
      </c>
      <c r="M65" s="322" t="s">
        <v>68</v>
      </c>
      <c r="N65" s="324"/>
      <c r="O65" s="324"/>
      <c r="P65" s="324"/>
      <c r="Q65" s="324"/>
      <c r="R65" s="324"/>
      <c r="S65" s="324"/>
      <c r="T65" s="324"/>
      <c r="U65" s="324"/>
      <c r="V65" s="324"/>
      <c r="W65" s="324"/>
      <c r="X65" s="324"/>
      <c r="Y65" s="324"/>
      <c r="Z65" s="362"/>
      <c r="AA65" s="362">
        <v>46265</v>
      </c>
      <c r="AB65" s="324">
        <f>WORKDAY.INTL(AA65,INDEX(AB$12:AB$15,MATCH($L65,$L$12:$L$15,0)),1,IF(AB$18="China",'China Holidays'!$A$2:$A$82,'Thai Holidays'!$A$2:$A$63))</f>
        <v>46279</v>
      </c>
      <c r="AC65" s="324">
        <f>AB65+20</f>
        <v>46299</v>
      </c>
      <c r="AD65" s="324">
        <f>AC65+3</f>
        <v>46302</v>
      </c>
      <c r="AE65" s="324">
        <f>AD65+1</f>
        <v>46303</v>
      </c>
      <c r="AF65" s="324">
        <f>AG65-20</f>
        <v>46435</v>
      </c>
      <c r="AG65" s="324">
        <f>AH65-7</f>
        <v>46455</v>
      </c>
      <c r="AH65" s="324">
        <f>AM65</f>
        <v>46462</v>
      </c>
      <c r="AI65" s="324">
        <f>AM65+14</f>
        <v>46476</v>
      </c>
      <c r="AJ65" s="324">
        <f>AM65+30</f>
        <v>46492</v>
      </c>
      <c r="AK65" s="325">
        <v>32</v>
      </c>
      <c r="AL65" s="326">
        <f>AK65*7</f>
        <v>224</v>
      </c>
      <c r="AM65" s="364">
        <f>W66+AL65</f>
        <v>46462</v>
      </c>
      <c r="AN65" s="327">
        <f>AU64-7</f>
        <v>46490</v>
      </c>
      <c r="AO65" s="327">
        <f>AP65-7</f>
        <v>46498</v>
      </c>
      <c r="AP65" s="327">
        <v>46505</v>
      </c>
      <c r="AQ65" s="327"/>
      <c r="AR65" s="319">
        <f>AN65-AM65</f>
        <v>28</v>
      </c>
      <c r="AS65" s="332" t="str">
        <f>AS64</f>
        <v>Long Lead</v>
      </c>
      <c r="AT65" s="329" t="s">
        <v>69</v>
      </c>
      <c r="AU65" s="330">
        <v>46505</v>
      </c>
      <c r="AV65" s="271"/>
    </row>
    <row r="66" spans="1:48" s="270" customFormat="1" ht="25.05" hidden="1" customHeight="1">
      <c r="A66" s="333"/>
      <c r="B66" s="334" t="s">
        <v>124</v>
      </c>
      <c r="C66" s="436" t="s">
        <v>125</v>
      </c>
      <c r="D66" s="335"/>
      <c r="E66" s="336"/>
      <c r="F66" s="337"/>
      <c r="G66" s="338"/>
      <c r="H66" s="339"/>
      <c r="I66" s="338" t="s">
        <v>121</v>
      </c>
      <c r="J66" s="334" t="s">
        <v>67</v>
      </c>
      <c r="K66" s="363">
        <v>2</v>
      </c>
      <c r="L66" s="334" t="s">
        <v>6</v>
      </c>
      <c r="M66" s="340" t="s">
        <v>70</v>
      </c>
      <c r="N66" s="341">
        <v>46133</v>
      </c>
      <c r="O66" s="341">
        <v>46139</v>
      </c>
      <c r="P66" s="341">
        <v>46156</v>
      </c>
      <c r="Q66" s="341">
        <v>46156</v>
      </c>
      <c r="R66" s="341">
        <v>46156</v>
      </c>
      <c r="S66" s="341">
        <v>46156</v>
      </c>
      <c r="T66" s="341">
        <v>46164</v>
      </c>
      <c r="U66" s="341">
        <v>46206</v>
      </c>
      <c r="V66" s="341">
        <v>46213</v>
      </c>
      <c r="W66" s="341">
        <v>46238</v>
      </c>
      <c r="X66" s="338">
        <v>1</v>
      </c>
      <c r="Y66" s="341"/>
      <c r="Z66" s="341">
        <v>46241</v>
      </c>
      <c r="AA66" s="361"/>
      <c r="AB66" s="341"/>
      <c r="AC66" s="341"/>
      <c r="AD66" s="341"/>
      <c r="AE66" s="341"/>
      <c r="AF66" s="341"/>
      <c r="AG66" s="341"/>
      <c r="AH66" s="341"/>
      <c r="AI66" s="341"/>
      <c r="AJ66" s="341"/>
      <c r="AK66" s="342"/>
      <c r="AL66" s="343"/>
      <c r="AM66" s="341"/>
      <c r="AN66" s="344"/>
      <c r="AO66" s="344"/>
      <c r="AP66" s="344"/>
      <c r="AQ66" s="344"/>
      <c r="AR66" s="338"/>
      <c r="AS66" s="345" t="str">
        <f>AS64</f>
        <v>Long Lead</v>
      </c>
      <c r="AT66" s="346"/>
      <c r="AU66" s="350"/>
    </row>
    <row r="67" spans="1:48" s="270" customFormat="1" ht="25.05" hidden="1" customHeight="1">
      <c r="A67" s="315">
        <v>19</v>
      </c>
      <c r="B67" s="263" t="s">
        <v>127</v>
      </c>
      <c r="C67" s="432" t="s">
        <v>128</v>
      </c>
      <c r="D67" s="316"/>
      <c r="E67" s="317"/>
      <c r="F67" s="318"/>
      <c r="G67" s="319"/>
      <c r="H67" s="320"/>
      <c r="I67" s="319" t="s">
        <v>121</v>
      </c>
      <c r="J67" s="263"/>
      <c r="K67" s="321"/>
      <c r="L67" s="263" t="s">
        <v>7</v>
      </c>
      <c r="M67" s="322" t="s">
        <v>63</v>
      </c>
      <c r="N67" s="323"/>
      <c r="O67" s="324">
        <v>46150</v>
      </c>
      <c r="P67" s="324">
        <v>46170</v>
      </c>
      <c r="Q67" s="324">
        <v>46170</v>
      </c>
      <c r="R67" s="324">
        <v>46170</v>
      </c>
      <c r="S67" s="324">
        <v>46164</v>
      </c>
      <c r="T67" s="324">
        <v>46171</v>
      </c>
      <c r="U67" s="324">
        <v>46218</v>
      </c>
      <c r="V67" s="324">
        <v>46234</v>
      </c>
      <c r="W67" s="324"/>
      <c r="X67" s="324">
        <v>46247</v>
      </c>
      <c r="Y67" s="324">
        <v>46251</v>
      </c>
      <c r="Z67" s="362">
        <v>46258</v>
      </c>
      <c r="AA67" s="362">
        <v>46286</v>
      </c>
      <c r="AB67" s="324">
        <v>46300</v>
      </c>
      <c r="AC67" s="324">
        <v>46320</v>
      </c>
      <c r="AD67" s="324">
        <v>46320</v>
      </c>
      <c r="AE67" s="324">
        <v>46323</v>
      </c>
      <c r="AF67" s="324">
        <v>46472</v>
      </c>
      <c r="AG67" s="324">
        <v>46492</v>
      </c>
      <c r="AH67" s="324">
        <v>46499</v>
      </c>
      <c r="AI67" s="324">
        <v>46513</v>
      </c>
      <c r="AJ67" s="324">
        <v>46529</v>
      </c>
      <c r="AK67" s="325">
        <v>36</v>
      </c>
      <c r="AL67" s="326">
        <f>AK67*7</f>
        <v>252</v>
      </c>
      <c r="AM67" s="324">
        <f>X67+AL67</f>
        <v>46499</v>
      </c>
      <c r="AN67" s="327">
        <f>AN68</f>
        <v>46504</v>
      </c>
      <c r="AO67" s="327"/>
      <c r="AP67" s="327"/>
      <c r="AQ67" s="327"/>
      <c r="AR67" s="319">
        <f>AN68-AM67</f>
        <v>5</v>
      </c>
      <c r="AS67" s="328" t="s">
        <v>64</v>
      </c>
      <c r="AT67" s="329" t="s">
        <v>65</v>
      </c>
      <c r="AU67" s="330">
        <v>46511</v>
      </c>
      <c r="AV67" s="331">
        <v>23</v>
      </c>
    </row>
    <row r="68" spans="1:48" s="270" customFormat="1" ht="25.05" hidden="1" customHeight="1">
      <c r="A68" s="315"/>
      <c r="B68" s="263" t="s">
        <v>127</v>
      </c>
      <c r="C68" s="432" t="s">
        <v>128</v>
      </c>
      <c r="D68" s="316"/>
      <c r="E68" s="317"/>
      <c r="F68" s="318"/>
      <c r="G68" s="319"/>
      <c r="H68" s="320" t="s">
        <v>129</v>
      </c>
      <c r="I68" s="319" t="s">
        <v>121</v>
      </c>
      <c r="J68" s="263" t="s">
        <v>67</v>
      </c>
      <c r="K68" s="263">
        <v>4</v>
      </c>
      <c r="L68" s="263" t="s">
        <v>7</v>
      </c>
      <c r="M68" s="322" t="s">
        <v>68</v>
      </c>
      <c r="N68" s="324"/>
      <c r="O68" s="324"/>
      <c r="P68" s="324"/>
      <c r="Q68" s="324"/>
      <c r="R68" s="324"/>
      <c r="S68" s="324"/>
      <c r="T68" s="324"/>
      <c r="U68" s="324"/>
      <c r="V68" s="324"/>
      <c r="W68" s="324"/>
      <c r="X68" s="324"/>
      <c r="Y68" s="324"/>
      <c r="Z68" s="362"/>
      <c r="AA68" s="362">
        <v>46286</v>
      </c>
      <c r="AB68" s="324">
        <f>WORKDAY.INTL(AA68,INDEX(AB$12:AB$15,MATCH($L68,$L$12:$L$15,0)),1,IF(AB$18="China",'China Holidays'!$A$2:$A$82,'Thai Holidays'!$A$2:$A$63))</f>
        <v>46300</v>
      </c>
      <c r="AC68" s="324">
        <f>AB68+20</f>
        <v>46320</v>
      </c>
      <c r="AD68" s="324">
        <f>AC68</f>
        <v>46320</v>
      </c>
      <c r="AE68" s="324">
        <f>AD68+3</f>
        <v>46323</v>
      </c>
      <c r="AF68" s="324">
        <f>AG68-20</f>
        <v>46435</v>
      </c>
      <c r="AG68" s="324">
        <f>AH68-7</f>
        <v>46455</v>
      </c>
      <c r="AH68" s="324">
        <f>AM68</f>
        <v>46462</v>
      </c>
      <c r="AI68" s="324">
        <f>AM68+14</f>
        <v>46476</v>
      </c>
      <c r="AJ68" s="324">
        <f>AM68+30</f>
        <v>46492</v>
      </c>
      <c r="AK68" s="325">
        <v>32</v>
      </c>
      <c r="AL68" s="326">
        <f>AK68*7</f>
        <v>224</v>
      </c>
      <c r="AM68" s="364">
        <f>W69+AL68</f>
        <v>46462</v>
      </c>
      <c r="AN68" s="327">
        <f>AU67-7</f>
        <v>46504</v>
      </c>
      <c r="AO68" s="327">
        <f>AP68-7</f>
        <v>46530</v>
      </c>
      <c r="AP68" s="327">
        <v>46537</v>
      </c>
      <c r="AQ68" s="327"/>
      <c r="AR68" s="319">
        <f>AN68-AM68</f>
        <v>42</v>
      </c>
      <c r="AS68" s="332" t="str">
        <f>AS67</f>
        <v>Long Lead</v>
      </c>
      <c r="AT68" s="329" t="s">
        <v>69</v>
      </c>
      <c r="AU68" s="330">
        <v>46527</v>
      </c>
      <c r="AV68" s="271"/>
    </row>
    <row r="69" spans="1:48" s="270" customFormat="1" ht="25.05" hidden="1" customHeight="1">
      <c r="A69" s="333"/>
      <c r="B69" s="334" t="s">
        <v>127</v>
      </c>
      <c r="C69" s="436" t="s">
        <v>128</v>
      </c>
      <c r="D69" s="335"/>
      <c r="E69" s="336"/>
      <c r="F69" s="337"/>
      <c r="G69" s="338"/>
      <c r="H69" s="339"/>
      <c r="I69" s="338" t="s">
        <v>121</v>
      </c>
      <c r="J69" s="334" t="s">
        <v>67</v>
      </c>
      <c r="K69" s="363">
        <v>4</v>
      </c>
      <c r="L69" s="334" t="s">
        <v>7</v>
      </c>
      <c r="M69" s="340" t="s">
        <v>70</v>
      </c>
      <c r="N69" s="341">
        <v>46133</v>
      </c>
      <c r="O69" s="341">
        <v>46150</v>
      </c>
      <c r="P69" s="341">
        <v>46170</v>
      </c>
      <c r="Q69" s="341">
        <v>46170</v>
      </c>
      <c r="R69" s="341">
        <v>46170</v>
      </c>
      <c r="S69" s="341">
        <v>46170</v>
      </c>
      <c r="T69" s="341">
        <v>46171</v>
      </c>
      <c r="U69" s="341">
        <v>46215</v>
      </c>
      <c r="V69" s="341">
        <v>46224</v>
      </c>
      <c r="W69" s="341">
        <v>46238</v>
      </c>
      <c r="X69" s="338">
        <v>1</v>
      </c>
      <c r="Y69" s="341"/>
      <c r="Z69" s="341">
        <v>46241</v>
      </c>
      <c r="AA69" s="361"/>
      <c r="AB69" s="341"/>
      <c r="AC69" s="341"/>
      <c r="AD69" s="341"/>
      <c r="AE69" s="341"/>
      <c r="AF69" s="341"/>
      <c r="AG69" s="341"/>
      <c r="AH69" s="341"/>
      <c r="AI69" s="341"/>
      <c r="AJ69" s="341"/>
      <c r="AK69" s="342"/>
      <c r="AL69" s="343"/>
      <c r="AM69" s="341"/>
      <c r="AN69" s="344"/>
      <c r="AO69" s="344"/>
      <c r="AP69" s="344"/>
      <c r="AQ69" s="344"/>
      <c r="AR69" s="338"/>
      <c r="AS69" s="345" t="str">
        <f>AS67</f>
        <v>Long Lead</v>
      </c>
      <c r="AT69" s="346"/>
      <c r="AU69" s="345"/>
    </row>
    <row r="70" spans="1:48" s="270" customFormat="1" ht="25.05" hidden="1" customHeight="1">
      <c r="A70" s="315">
        <v>20</v>
      </c>
      <c r="B70" s="263" t="s">
        <v>130</v>
      </c>
      <c r="C70" s="432" t="s">
        <v>131</v>
      </c>
      <c r="D70" s="316"/>
      <c r="E70" s="317"/>
      <c r="F70" s="318"/>
      <c r="G70" s="319"/>
      <c r="H70" s="320"/>
      <c r="I70" s="319" t="s">
        <v>121</v>
      </c>
      <c r="J70" s="263"/>
      <c r="K70" s="321"/>
      <c r="L70" s="263" t="s">
        <v>8</v>
      </c>
      <c r="M70" s="322" t="s">
        <v>63</v>
      </c>
      <c r="N70" s="323"/>
      <c r="O70" s="324">
        <v>46136</v>
      </c>
      <c r="P70" s="324">
        <v>46148</v>
      </c>
      <c r="Q70" s="324">
        <v>46149</v>
      </c>
      <c r="R70" s="324">
        <v>46156</v>
      </c>
      <c r="S70" s="324">
        <v>46156</v>
      </c>
      <c r="T70" s="324">
        <v>46169</v>
      </c>
      <c r="U70" s="324">
        <v>46199</v>
      </c>
      <c r="V70" s="324">
        <v>46213</v>
      </c>
      <c r="W70" s="324"/>
      <c r="X70" s="324">
        <v>46226</v>
      </c>
      <c r="Y70" s="324">
        <v>46230</v>
      </c>
      <c r="Z70" s="362">
        <v>46237</v>
      </c>
      <c r="AA70" s="362">
        <v>46265</v>
      </c>
      <c r="AB70" s="324">
        <v>46279</v>
      </c>
      <c r="AC70" s="324">
        <v>46299</v>
      </c>
      <c r="AD70" s="324">
        <v>46458</v>
      </c>
      <c r="AE70" s="324">
        <v>46478</v>
      </c>
      <c r="AF70" s="324">
        <v>46458</v>
      </c>
      <c r="AG70" s="324">
        <v>46478</v>
      </c>
      <c r="AH70" s="324">
        <v>46485</v>
      </c>
      <c r="AI70" s="324">
        <v>46499</v>
      </c>
      <c r="AJ70" s="324">
        <v>46515</v>
      </c>
      <c r="AK70" s="325">
        <v>37</v>
      </c>
      <c r="AL70" s="326">
        <f>AK70*7</f>
        <v>259</v>
      </c>
      <c r="AM70" s="324">
        <f>X70+AL70</f>
        <v>46485</v>
      </c>
      <c r="AN70" s="327">
        <f>AN71</f>
        <v>46490</v>
      </c>
      <c r="AO70" s="327"/>
      <c r="AP70" s="327"/>
      <c r="AQ70" s="327"/>
      <c r="AR70" s="319">
        <f>AN71-AM70</f>
        <v>5</v>
      </c>
      <c r="AS70" s="328" t="s">
        <v>64</v>
      </c>
      <c r="AT70" s="329" t="s">
        <v>65</v>
      </c>
      <c r="AU70" s="330">
        <v>46497</v>
      </c>
      <c r="AV70" s="331">
        <v>5</v>
      </c>
    </row>
    <row r="71" spans="1:48" s="270" customFormat="1" ht="25.05" hidden="1" customHeight="1">
      <c r="A71" s="315"/>
      <c r="B71" s="263" t="s">
        <v>130</v>
      </c>
      <c r="C71" s="432" t="s">
        <v>131</v>
      </c>
      <c r="D71" s="316"/>
      <c r="E71" s="317"/>
      <c r="F71" s="318"/>
      <c r="G71" s="319"/>
      <c r="H71" s="320" t="s">
        <v>126</v>
      </c>
      <c r="I71" s="319" t="s">
        <v>121</v>
      </c>
      <c r="J71" s="263" t="s">
        <v>75</v>
      </c>
      <c r="K71" s="263">
        <v>3</v>
      </c>
      <c r="L71" s="263" t="s">
        <v>8</v>
      </c>
      <c r="M71" s="322" t="s">
        <v>68</v>
      </c>
      <c r="N71" s="324"/>
      <c r="O71" s="324"/>
      <c r="P71" s="324"/>
      <c r="Q71" s="324"/>
      <c r="R71" s="324"/>
      <c r="S71" s="324"/>
      <c r="T71" s="324"/>
      <c r="U71" s="324"/>
      <c r="V71" s="324"/>
      <c r="W71" s="324"/>
      <c r="X71" s="324"/>
      <c r="Y71" s="324"/>
      <c r="Z71" s="362"/>
      <c r="AA71" s="362">
        <v>46265</v>
      </c>
      <c r="AB71" s="324">
        <v>46279</v>
      </c>
      <c r="AC71" s="324">
        <v>46299</v>
      </c>
      <c r="AD71" s="324">
        <v>46458</v>
      </c>
      <c r="AE71" s="324">
        <v>46478</v>
      </c>
      <c r="AF71" s="324">
        <f>AG71-20</f>
        <v>46435</v>
      </c>
      <c r="AG71" s="324">
        <f>AH71-7</f>
        <v>46455</v>
      </c>
      <c r="AH71" s="324">
        <f>AM71</f>
        <v>46462</v>
      </c>
      <c r="AI71" s="324">
        <f>AM71+14</f>
        <v>46476</v>
      </c>
      <c r="AJ71" s="324">
        <f>AM71+30</f>
        <v>46492</v>
      </c>
      <c r="AK71" s="325">
        <v>32</v>
      </c>
      <c r="AL71" s="326">
        <f>AK71*7</f>
        <v>224</v>
      </c>
      <c r="AM71" s="364">
        <f>W72+AL71</f>
        <v>46462</v>
      </c>
      <c r="AN71" s="327">
        <f>AU70-7</f>
        <v>46490</v>
      </c>
      <c r="AO71" s="327">
        <f>AP71-7</f>
        <v>46498</v>
      </c>
      <c r="AP71" s="327">
        <v>46505</v>
      </c>
      <c r="AQ71" s="327"/>
      <c r="AR71" s="319">
        <f>AN71-AM71</f>
        <v>28</v>
      </c>
      <c r="AS71" s="332" t="str">
        <f>AS70</f>
        <v>Long Lead</v>
      </c>
      <c r="AT71" s="329" t="s">
        <v>69</v>
      </c>
      <c r="AU71" s="330">
        <v>46505</v>
      </c>
      <c r="AV71" s="271"/>
    </row>
    <row r="72" spans="1:48" s="270" customFormat="1" ht="25.05" hidden="1" customHeight="1">
      <c r="A72" s="333"/>
      <c r="B72" s="334" t="s">
        <v>130</v>
      </c>
      <c r="C72" s="436" t="s">
        <v>131</v>
      </c>
      <c r="D72" s="335"/>
      <c r="E72" s="336"/>
      <c r="F72" s="337"/>
      <c r="G72" s="338"/>
      <c r="H72" s="339"/>
      <c r="I72" s="338" t="s">
        <v>121</v>
      </c>
      <c r="J72" s="334" t="s">
        <v>75</v>
      </c>
      <c r="K72" s="363">
        <v>3</v>
      </c>
      <c r="L72" s="334" t="s">
        <v>8</v>
      </c>
      <c r="M72" s="340" t="s">
        <v>70</v>
      </c>
      <c r="N72" s="341">
        <v>46133</v>
      </c>
      <c r="O72" s="341">
        <v>46139</v>
      </c>
      <c r="P72" s="341">
        <v>46156</v>
      </c>
      <c r="Q72" s="341">
        <v>46156</v>
      </c>
      <c r="R72" s="341">
        <v>46156</v>
      </c>
      <c r="S72" s="341">
        <v>46156</v>
      </c>
      <c r="T72" s="341">
        <v>46164</v>
      </c>
      <c r="U72" s="341">
        <v>46210</v>
      </c>
      <c r="V72" s="341">
        <v>46219</v>
      </c>
      <c r="W72" s="341">
        <v>46238</v>
      </c>
      <c r="X72" s="338">
        <v>1</v>
      </c>
      <c r="Y72" s="341"/>
      <c r="Z72" s="341">
        <v>46241</v>
      </c>
      <c r="AA72" s="361"/>
      <c r="AB72" s="341"/>
      <c r="AC72" s="341"/>
      <c r="AD72" s="341"/>
      <c r="AE72" s="341"/>
      <c r="AF72" s="341"/>
      <c r="AG72" s="341"/>
      <c r="AH72" s="341"/>
      <c r="AI72" s="366"/>
      <c r="AJ72" s="341"/>
      <c r="AK72" s="342"/>
      <c r="AL72" s="343"/>
      <c r="AM72" s="341"/>
      <c r="AN72" s="344"/>
      <c r="AO72" s="344"/>
      <c r="AP72" s="344"/>
      <c r="AQ72" s="344"/>
      <c r="AR72" s="338"/>
      <c r="AS72" s="345" t="str">
        <f>AS70</f>
        <v>Long Lead</v>
      </c>
      <c r="AT72" s="346"/>
      <c r="AU72" s="365" t="s">
        <v>123</v>
      </c>
    </row>
    <row r="73" spans="1:48" s="270" customFormat="1" ht="25.05" hidden="1" customHeight="1">
      <c r="A73" s="315">
        <v>21</v>
      </c>
      <c r="B73" s="263" t="s">
        <v>132</v>
      </c>
      <c r="C73" s="432" t="s">
        <v>133</v>
      </c>
      <c r="D73" s="316"/>
      <c r="E73" s="317"/>
      <c r="F73" s="318"/>
      <c r="G73" s="319"/>
      <c r="H73" s="320"/>
      <c r="I73" s="319" t="s">
        <v>134</v>
      </c>
      <c r="J73" s="263"/>
      <c r="K73" s="321"/>
      <c r="L73" s="263" t="s">
        <v>7</v>
      </c>
      <c r="M73" s="322" t="s">
        <v>63</v>
      </c>
      <c r="N73" s="323"/>
      <c r="O73" s="324">
        <v>46164</v>
      </c>
      <c r="P73" s="324">
        <v>46182</v>
      </c>
      <c r="Q73" s="324">
        <v>46182</v>
      </c>
      <c r="R73" s="324">
        <v>46182</v>
      </c>
      <c r="S73" s="324">
        <v>46183</v>
      </c>
      <c r="T73" s="324">
        <v>46191</v>
      </c>
      <c r="U73" s="324">
        <v>46225</v>
      </c>
      <c r="V73" s="324">
        <v>46241</v>
      </c>
      <c r="W73" s="324"/>
      <c r="X73" s="324">
        <v>46254</v>
      </c>
      <c r="Y73" s="324">
        <v>46258</v>
      </c>
      <c r="Z73" s="324">
        <v>46265</v>
      </c>
      <c r="AA73" s="324">
        <v>46294</v>
      </c>
      <c r="AB73" s="324">
        <v>46309</v>
      </c>
      <c r="AC73" s="324">
        <v>46369</v>
      </c>
      <c r="AD73" s="324">
        <v>46372</v>
      </c>
      <c r="AE73" s="324">
        <v>46373</v>
      </c>
      <c r="AF73" s="324">
        <v>46443</v>
      </c>
      <c r="AG73" s="324">
        <v>46457</v>
      </c>
      <c r="AH73" s="324">
        <v>46464</v>
      </c>
      <c r="AI73" s="324">
        <v>46478</v>
      </c>
      <c r="AJ73" s="324">
        <v>46494</v>
      </c>
      <c r="AK73" s="325">
        <v>30</v>
      </c>
      <c r="AL73" s="326">
        <f>AK73*7</f>
        <v>210</v>
      </c>
      <c r="AM73" s="324">
        <f>X73+AL73</f>
        <v>46464</v>
      </c>
      <c r="AN73" s="327">
        <f>AN74</f>
        <v>46478</v>
      </c>
      <c r="AO73" s="327"/>
      <c r="AP73" s="327"/>
      <c r="AQ73" s="327"/>
      <c r="AR73" s="319">
        <f>AN74-AM73</f>
        <v>14</v>
      </c>
      <c r="AS73" s="328"/>
      <c r="AT73" s="329" t="s">
        <v>65</v>
      </c>
      <c r="AU73" s="330">
        <v>46485</v>
      </c>
      <c r="AV73" s="331">
        <v>25</v>
      </c>
    </row>
    <row r="74" spans="1:48" s="270" customFormat="1" ht="25.05" hidden="1" customHeight="1">
      <c r="A74" s="315"/>
      <c r="B74" s="263" t="s">
        <v>132</v>
      </c>
      <c r="C74" s="432" t="s">
        <v>133</v>
      </c>
      <c r="D74" s="316"/>
      <c r="E74" s="317"/>
      <c r="F74" s="348"/>
      <c r="G74" s="319"/>
      <c r="H74" s="320" t="s">
        <v>135</v>
      </c>
      <c r="I74" s="319" t="s">
        <v>134</v>
      </c>
      <c r="J74" s="263" t="s">
        <v>75</v>
      </c>
      <c r="K74" s="263">
        <v>2</v>
      </c>
      <c r="L74" s="263" t="s">
        <v>7</v>
      </c>
      <c r="M74" s="322" t="s">
        <v>68</v>
      </c>
      <c r="N74" s="324"/>
      <c r="O74" s="324"/>
      <c r="P74" s="324"/>
      <c r="Q74" s="324"/>
      <c r="R74" s="324"/>
      <c r="S74" s="324"/>
      <c r="T74" s="324"/>
      <c r="U74" s="324">
        <v>46244</v>
      </c>
      <c r="V74" s="324">
        <f>WORKDAY.INTL(U74,INDEX(V$8:V$11,MATCH($L74,$L$8:$L$11,0)),1,IF(V$18="China",'China Holidays'!$A$2:$A$82,'Thai Holidays'!$A$2:$A$63))</f>
        <v>46259</v>
      </c>
      <c r="W74" s="324"/>
      <c r="X74" s="324">
        <f>WORKDAY.INTL(V74,INDEX(X$8:X$11,MATCH($L74,$L$8:$L$11,0)),1,IF(X$18="China",'China Holidays'!$A$2:$A$82,'Thai Holidays'!$A$2:$A$63))</f>
        <v>46272</v>
      </c>
      <c r="Y74" s="324">
        <f>WORKDAY.INTL(X74,INDEX(Y$12:Y$15,MATCH($L74,$L$12:$L$15,0)),1,IF(Y$18="China",'China Holidays'!$A$2:$A$82,'Thai Holidays'!$A$2:$A$63))</f>
        <v>46274</v>
      </c>
      <c r="Z74" s="324">
        <f>WORKDAY.INTL(Y74,INDEX(Z$12:Z$15,MATCH($L74,$L$12:$L$15,0)),1,IF(Z$18="China",'China Holidays'!$A$2:$A$82,'Thai Holidays'!$A$2:$A$63))</f>
        <v>46281</v>
      </c>
      <c r="AA74" s="324">
        <f>WORKDAY.INTL(Z74,INDEX(AA$12:AA$15,MATCH($L74,$L$12:$L$15,0)),1,IF(AA$18="China",'China Holidays'!$A$2:$A$82,'Thai Holidays'!$A$2:$A$63))</f>
        <v>46317</v>
      </c>
      <c r="AB74" s="324">
        <f>WORKDAY.INTL(AA74,INDEX(AB$12:AB$15,MATCH($L74,$L$12:$L$15,0)),1,IF(AB$18="China",'China Holidays'!$A$2:$A$82,'Thai Holidays'!$A$2:$A$63))</f>
        <v>46332</v>
      </c>
      <c r="AC74" s="324">
        <f>AB74+60</f>
        <v>46392</v>
      </c>
      <c r="AD74" s="324">
        <f>AC74+3</f>
        <v>46395</v>
      </c>
      <c r="AE74" s="324">
        <f>AD74+1</f>
        <v>46396</v>
      </c>
      <c r="AF74" s="324">
        <f>AG74-14</f>
        <v>46461</v>
      </c>
      <c r="AG74" s="324">
        <f>AH74-7</f>
        <v>46475</v>
      </c>
      <c r="AH74" s="324">
        <f>AM74</f>
        <v>46482</v>
      </c>
      <c r="AI74" s="324">
        <f>AM74+14</f>
        <v>46496</v>
      </c>
      <c r="AJ74" s="324">
        <f>AM74+30</f>
        <v>46512</v>
      </c>
      <c r="AK74" s="325">
        <v>30</v>
      </c>
      <c r="AL74" s="326">
        <f>AK74*7</f>
        <v>210</v>
      </c>
      <c r="AM74" s="324">
        <f>IF(X74&lt;&gt;"",X74+AL74,X75+AL74)</f>
        <v>46482</v>
      </c>
      <c r="AN74" s="327">
        <f>AU73-7</f>
        <v>46478</v>
      </c>
      <c r="AO74" s="327">
        <f>AP74-7</f>
        <v>46498</v>
      </c>
      <c r="AP74" s="327">
        <v>46505</v>
      </c>
      <c r="AQ74" s="327" t="s">
        <v>136</v>
      </c>
      <c r="AR74" s="319">
        <f>AN74-AM74</f>
        <v>-4</v>
      </c>
      <c r="AS74" s="328"/>
      <c r="AT74" s="329" t="s">
        <v>69</v>
      </c>
      <c r="AU74" s="330">
        <v>46485</v>
      </c>
      <c r="AV74" s="271"/>
    </row>
    <row r="75" spans="1:48" s="270" customFormat="1" ht="25.05" hidden="1" customHeight="1">
      <c r="A75" s="333"/>
      <c r="B75" s="334" t="s">
        <v>132</v>
      </c>
      <c r="C75" s="436" t="s">
        <v>133</v>
      </c>
      <c r="D75" s="335"/>
      <c r="E75" s="336"/>
      <c r="F75" s="349"/>
      <c r="G75" s="338"/>
      <c r="H75" s="339"/>
      <c r="I75" s="338" t="s">
        <v>134</v>
      </c>
      <c r="J75" s="334" t="s">
        <v>75</v>
      </c>
      <c r="K75" s="263">
        <v>2</v>
      </c>
      <c r="L75" s="334" t="s">
        <v>7</v>
      </c>
      <c r="M75" s="340" t="s">
        <v>70</v>
      </c>
      <c r="N75" s="341">
        <v>46133</v>
      </c>
      <c r="O75" s="341">
        <v>46165</v>
      </c>
      <c r="P75" s="341">
        <v>46182</v>
      </c>
      <c r="Q75" s="341">
        <v>46182</v>
      </c>
      <c r="R75" s="341">
        <v>46182</v>
      </c>
      <c r="S75" s="341">
        <v>46182</v>
      </c>
      <c r="T75" s="341">
        <v>46188</v>
      </c>
      <c r="U75" s="367">
        <v>46248</v>
      </c>
      <c r="V75" s="341"/>
      <c r="W75" s="341"/>
      <c r="X75" s="338"/>
      <c r="Y75" s="341"/>
      <c r="Z75" s="341"/>
      <c r="AA75" s="341"/>
      <c r="AB75" s="341"/>
      <c r="AC75" s="341"/>
      <c r="AD75" s="341"/>
      <c r="AE75" s="341"/>
      <c r="AF75" s="341"/>
      <c r="AG75" s="341"/>
      <c r="AH75" s="341"/>
      <c r="AI75" s="341"/>
      <c r="AJ75" s="341"/>
      <c r="AK75" s="342"/>
      <c r="AL75" s="343"/>
      <c r="AM75" s="341"/>
      <c r="AN75" s="344"/>
      <c r="AO75" s="344"/>
      <c r="AP75" s="344"/>
      <c r="AQ75" s="344"/>
      <c r="AR75" s="338"/>
      <c r="AS75" s="345"/>
      <c r="AT75" s="346"/>
      <c r="AU75" s="345"/>
    </row>
    <row r="76" spans="1:48" s="270" customFormat="1" ht="24" hidden="1" customHeight="1">
      <c r="A76" s="315">
        <v>22</v>
      </c>
      <c r="B76" s="263" t="s">
        <v>137</v>
      </c>
      <c r="C76" s="432" t="s">
        <v>138</v>
      </c>
      <c r="D76" s="316"/>
      <c r="E76" s="317"/>
      <c r="F76" s="318"/>
      <c r="G76" s="319"/>
      <c r="H76" s="320"/>
      <c r="I76" s="319" t="s">
        <v>134</v>
      </c>
      <c r="J76" s="263"/>
      <c r="K76" s="321"/>
      <c r="L76" s="263" t="s">
        <v>7</v>
      </c>
      <c r="M76" s="322" t="s">
        <v>63</v>
      </c>
      <c r="N76" s="323"/>
      <c r="O76" s="324">
        <v>46164</v>
      </c>
      <c r="P76" s="324">
        <v>46182</v>
      </c>
      <c r="Q76" s="324">
        <v>46182</v>
      </c>
      <c r="R76" s="324">
        <v>46182</v>
      </c>
      <c r="S76" s="324">
        <v>46183</v>
      </c>
      <c r="T76" s="324">
        <v>46188</v>
      </c>
      <c r="U76" s="324">
        <v>46225</v>
      </c>
      <c r="V76" s="324">
        <v>46241</v>
      </c>
      <c r="W76" s="324"/>
      <c r="X76" s="324">
        <v>46254</v>
      </c>
      <c r="Y76" s="324">
        <v>46258</v>
      </c>
      <c r="Z76" s="324">
        <v>46265</v>
      </c>
      <c r="AA76" s="324">
        <v>46294</v>
      </c>
      <c r="AB76" s="324">
        <v>46309</v>
      </c>
      <c r="AC76" s="324">
        <v>46369</v>
      </c>
      <c r="AD76" s="324">
        <v>46372</v>
      </c>
      <c r="AE76" s="324">
        <v>46373</v>
      </c>
      <c r="AF76" s="324">
        <v>46457</v>
      </c>
      <c r="AG76" s="324">
        <v>46471</v>
      </c>
      <c r="AH76" s="324">
        <v>46478</v>
      </c>
      <c r="AI76" s="324">
        <v>46492</v>
      </c>
      <c r="AJ76" s="324">
        <v>46508</v>
      </c>
      <c r="AK76" s="325">
        <v>32</v>
      </c>
      <c r="AL76" s="326">
        <f>AK76*7</f>
        <v>224</v>
      </c>
      <c r="AM76" s="324">
        <f>X76+AL76</f>
        <v>46478</v>
      </c>
      <c r="AN76" s="327">
        <f>AN77</f>
        <v>46478</v>
      </c>
      <c r="AO76" s="327"/>
      <c r="AP76" s="327"/>
      <c r="AQ76" s="327"/>
      <c r="AR76" s="319">
        <f>AN77-AM76</f>
        <v>0</v>
      </c>
      <c r="AS76" s="328"/>
      <c r="AT76" s="329" t="s">
        <v>65</v>
      </c>
      <c r="AU76" s="330">
        <v>46485</v>
      </c>
      <c r="AV76" s="331">
        <v>15</v>
      </c>
    </row>
    <row r="77" spans="1:48" s="270" customFormat="1" ht="25.05" hidden="1" customHeight="1">
      <c r="A77" s="315"/>
      <c r="B77" s="263" t="s">
        <v>137</v>
      </c>
      <c r="C77" s="432" t="s">
        <v>138</v>
      </c>
      <c r="D77" s="316"/>
      <c r="E77" s="317"/>
      <c r="F77" s="318"/>
      <c r="G77" s="319"/>
      <c r="H77" s="320" t="s">
        <v>139</v>
      </c>
      <c r="I77" s="319" t="s">
        <v>134</v>
      </c>
      <c r="J77" s="263" t="s">
        <v>75</v>
      </c>
      <c r="K77" s="263">
        <v>4</v>
      </c>
      <c r="L77" s="263" t="s">
        <v>7</v>
      </c>
      <c r="M77" s="322" t="s">
        <v>68</v>
      </c>
      <c r="N77" s="324"/>
      <c r="O77" s="324"/>
      <c r="P77" s="324"/>
      <c r="Q77" s="324"/>
      <c r="R77" s="324"/>
      <c r="S77" s="324"/>
      <c r="T77" s="324"/>
      <c r="U77" s="324"/>
      <c r="V77" s="324"/>
      <c r="W77" s="324"/>
      <c r="X77" s="324">
        <v>46254</v>
      </c>
      <c r="Y77" s="324">
        <f>WORKDAY.INTL(X77,INDEX(Y$12:Y$15,MATCH($L77,$L$12:$L$15,0)),1,IF(Y$18="China",'China Holidays'!$A$2:$A$82,'Thai Holidays'!$A$2:$A$63))</f>
        <v>46258</v>
      </c>
      <c r="Z77" s="324">
        <f>WORKDAY.INTL(Y77,INDEX(Z$12:Z$15,MATCH($L77,$L$12:$L$15,0)),1,IF(Z$18="China",'China Holidays'!$A$2:$A$82,'Thai Holidays'!$A$2:$A$63))</f>
        <v>46265</v>
      </c>
      <c r="AA77" s="324">
        <f>WORKDAY.INTL(Z77,INDEX(AA$12:AA$15,MATCH($L77,$L$12:$L$15,0)),1,IF(AA$18="China",'China Holidays'!$A$2:$A$82,'Thai Holidays'!$A$2:$A$63))</f>
        <v>46294</v>
      </c>
      <c r="AB77" s="324">
        <f>WORKDAY.INTL(AA77,INDEX(AB$12:AB$15,MATCH($L77,$L$12:$L$15,0)),1,IF(AB$18="China",'China Holidays'!$A$2:$A$82,'Thai Holidays'!$A$2:$A$63))</f>
        <v>46309</v>
      </c>
      <c r="AC77" s="324">
        <f>AB77+60</f>
        <v>46369</v>
      </c>
      <c r="AD77" s="324">
        <f>AC77+3</f>
        <v>46372</v>
      </c>
      <c r="AE77" s="324">
        <f>AD77+1</f>
        <v>46373</v>
      </c>
      <c r="AF77" s="324">
        <f>AG77-14</f>
        <v>46457</v>
      </c>
      <c r="AG77" s="324">
        <f>AH77-7</f>
        <v>46471</v>
      </c>
      <c r="AH77" s="324">
        <f>AM77</f>
        <v>46478</v>
      </c>
      <c r="AI77" s="324">
        <f>AM77+14</f>
        <v>46492</v>
      </c>
      <c r="AJ77" s="324">
        <f>AM77+30</f>
        <v>46508</v>
      </c>
      <c r="AK77" s="325">
        <v>32</v>
      </c>
      <c r="AL77" s="326">
        <f>AK77*7</f>
        <v>224</v>
      </c>
      <c r="AM77" s="324">
        <f>IF(X77&lt;&gt;"",X77+AL77,X78+AL77)</f>
        <v>46478</v>
      </c>
      <c r="AN77" s="327">
        <f>AU76-7</f>
        <v>46478</v>
      </c>
      <c r="AO77" s="327">
        <f>AP77-7</f>
        <v>46498</v>
      </c>
      <c r="AP77" s="327">
        <v>46505</v>
      </c>
      <c r="AQ77" s="327" t="s">
        <v>136</v>
      </c>
      <c r="AR77" s="319">
        <f>AN77-AM77</f>
        <v>0</v>
      </c>
      <c r="AS77" s="328"/>
      <c r="AT77" s="329" t="s">
        <v>69</v>
      </c>
      <c r="AU77" s="330">
        <v>46485</v>
      </c>
      <c r="AV77" s="271"/>
    </row>
    <row r="78" spans="1:48" s="270" customFormat="1" ht="25.05" hidden="1" customHeight="1">
      <c r="A78" s="333"/>
      <c r="B78" s="334" t="s">
        <v>137</v>
      </c>
      <c r="C78" s="436" t="s">
        <v>138</v>
      </c>
      <c r="D78" s="368"/>
      <c r="E78" s="336"/>
      <c r="F78" s="337"/>
      <c r="G78" s="338"/>
      <c r="H78" s="339"/>
      <c r="I78" s="338" t="s">
        <v>134</v>
      </c>
      <c r="J78" s="334" t="s">
        <v>75</v>
      </c>
      <c r="K78" s="263">
        <v>4</v>
      </c>
      <c r="L78" s="334" t="s">
        <v>7</v>
      </c>
      <c r="M78" s="340" t="s">
        <v>70</v>
      </c>
      <c r="N78" s="341">
        <v>46133</v>
      </c>
      <c r="O78" s="341">
        <v>46165</v>
      </c>
      <c r="P78" s="341">
        <v>46182</v>
      </c>
      <c r="Q78" s="341">
        <v>46182</v>
      </c>
      <c r="R78" s="341">
        <v>46182</v>
      </c>
      <c r="S78" s="341">
        <v>46182</v>
      </c>
      <c r="T78" s="341">
        <v>46188</v>
      </c>
      <c r="U78" s="341">
        <v>46227</v>
      </c>
      <c r="V78" s="341">
        <v>46233</v>
      </c>
      <c r="W78" s="341"/>
      <c r="X78" s="338"/>
      <c r="Y78" s="341"/>
      <c r="Z78" s="341"/>
      <c r="AA78" s="341"/>
      <c r="AB78" s="341"/>
      <c r="AC78" s="341"/>
      <c r="AD78" s="341"/>
      <c r="AE78" s="341"/>
      <c r="AF78" s="341"/>
      <c r="AG78" s="341"/>
      <c r="AH78" s="341"/>
      <c r="AI78" s="341"/>
      <c r="AJ78" s="341"/>
      <c r="AK78" s="342"/>
      <c r="AL78" s="343"/>
      <c r="AM78" s="341"/>
      <c r="AN78" s="344"/>
      <c r="AO78" s="344"/>
      <c r="AP78" s="344"/>
      <c r="AQ78" s="344"/>
      <c r="AR78" s="338"/>
      <c r="AS78" s="345"/>
      <c r="AT78" s="346"/>
      <c r="AU78" s="345"/>
    </row>
    <row r="79" spans="1:48" s="270" customFormat="1" ht="24.75" hidden="1" customHeight="1">
      <c r="A79" s="315">
        <v>23</v>
      </c>
      <c r="B79" s="263" t="s">
        <v>140</v>
      </c>
      <c r="C79" s="438" t="s">
        <v>141</v>
      </c>
      <c r="D79" s="316"/>
      <c r="E79" s="317"/>
      <c r="F79" s="318"/>
      <c r="G79" s="319"/>
      <c r="H79" s="320"/>
      <c r="I79" s="319" t="s">
        <v>134</v>
      </c>
      <c r="J79" s="263"/>
      <c r="K79" s="321"/>
      <c r="L79" s="263" t="s">
        <v>6</v>
      </c>
      <c r="M79" s="322" t="s">
        <v>63</v>
      </c>
      <c r="N79" s="323"/>
      <c r="O79" s="324">
        <v>46164</v>
      </c>
      <c r="P79" s="324">
        <v>46182</v>
      </c>
      <c r="Q79" s="324">
        <v>46182</v>
      </c>
      <c r="R79" s="324">
        <v>46182</v>
      </c>
      <c r="S79" s="324">
        <v>46183</v>
      </c>
      <c r="T79" s="324">
        <v>46191</v>
      </c>
      <c r="U79" s="324">
        <v>46225</v>
      </c>
      <c r="V79" s="324">
        <v>46241</v>
      </c>
      <c r="W79" s="324"/>
      <c r="X79" s="324">
        <v>46254</v>
      </c>
      <c r="Y79" s="324">
        <v>46258</v>
      </c>
      <c r="Z79" s="324">
        <v>46265</v>
      </c>
      <c r="AA79" s="324">
        <v>46294</v>
      </c>
      <c r="AB79" s="324">
        <v>46309</v>
      </c>
      <c r="AC79" s="324">
        <v>46369</v>
      </c>
      <c r="AD79" s="324">
        <v>46372</v>
      </c>
      <c r="AE79" s="324">
        <v>46373</v>
      </c>
      <c r="AF79" s="324">
        <v>46490</v>
      </c>
      <c r="AG79" s="324">
        <v>46504</v>
      </c>
      <c r="AH79" s="324">
        <v>46534</v>
      </c>
      <c r="AI79" s="324">
        <v>46548</v>
      </c>
      <c r="AJ79" s="324">
        <v>46564</v>
      </c>
      <c r="AK79" s="325">
        <v>40</v>
      </c>
      <c r="AL79" s="326">
        <f>AK79*7</f>
        <v>280</v>
      </c>
      <c r="AM79" s="324">
        <f>X79+AL79</f>
        <v>46534</v>
      </c>
      <c r="AN79" s="327">
        <f>AN80</f>
        <v>46550</v>
      </c>
      <c r="AO79" s="327"/>
      <c r="AP79" s="327"/>
      <c r="AQ79" s="327"/>
      <c r="AR79" s="319">
        <f>AN80-AM79</f>
        <v>16</v>
      </c>
      <c r="AS79" s="328" t="s">
        <v>64</v>
      </c>
      <c r="AT79" s="329" t="s">
        <v>65</v>
      </c>
      <c r="AU79" s="330">
        <v>46553</v>
      </c>
      <c r="AV79" s="331">
        <v>22</v>
      </c>
    </row>
    <row r="80" spans="1:48" s="270" customFormat="1" ht="25.05" hidden="1" customHeight="1">
      <c r="A80" s="315"/>
      <c r="B80" s="263" t="s">
        <v>140</v>
      </c>
      <c r="C80" s="432" t="s">
        <v>141</v>
      </c>
      <c r="D80" s="316"/>
      <c r="E80" s="317"/>
      <c r="F80" s="318"/>
      <c r="G80" s="319"/>
      <c r="H80" s="320" t="s">
        <v>142</v>
      </c>
      <c r="I80" s="319" t="s">
        <v>134</v>
      </c>
      <c r="J80" s="263" t="s">
        <v>67</v>
      </c>
      <c r="K80" s="263">
        <v>2</v>
      </c>
      <c r="L80" s="263" t="s">
        <v>6</v>
      </c>
      <c r="M80" s="322" t="s">
        <v>68</v>
      </c>
      <c r="N80" s="324"/>
      <c r="O80" s="324"/>
      <c r="P80" s="324"/>
      <c r="Q80" s="324"/>
      <c r="R80" s="324"/>
      <c r="S80" s="324"/>
      <c r="T80" s="324"/>
      <c r="U80" s="324"/>
      <c r="V80" s="324"/>
      <c r="W80" s="324"/>
      <c r="X80" s="324">
        <v>46254</v>
      </c>
      <c r="Y80" s="324">
        <f>WORKDAY.INTL(X80,INDEX(Y$12:Y$15,MATCH($L80,$L$12:$L$15,0)),1,IF(Y$18="China",'China Holidays'!$A$2:$A$82,'Thai Holidays'!$A$2:$A$63))</f>
        <v>46258</v>
      </c>
      <c r="Z80" s="324">
        <f>WORKDAY.INTL(Y80,INDEX(Z$12:Z$15,MATCH($L80,$L$12:$L$15,0)),1,IF(Z$18="China",'China Holidays'!$A$2:$A$82,'Thai Holidays'!$A$2:$A$63))</f>
        <v>46265</v>
      </c>
      <c r="AA80" s="324">
        <f>WORKDAY.INTL(Z80,INDEX(AA$12:AA$15,MATCH($L80,$L$12:$L$15,0)),1,IF(AA$18="China",'China Holidays'!$A$2:$A$82,'Thai Holidays'!$A$2:$A$63))</f>
        <v>46294</v>
      </c>
      <c r="AB80" s="324">
        <f>WORKDAY.INTL(AA80,INDEX(AB$12:AB$15,MATCH($L80,$L$12:$L$15,0)),1,IF(AB$18="China",'China Holidays'!$A$2:$A$82,'Thai Holidays'!$A$2:$A$63))</f>
        <v>46309</v>
      </c>
      <c r="AC80" s="324">
        <f>AB80+60</f>
        <v>46369</v>
      </c>
      <c r="AD80" s="324">
        <f>AC80+3</f>
        <v>46372</v>
      </c>
      <c r="AE80" s="324">
        <f>AD80+1</f>
        <v>46373</v>
      </c>
      <c r="AF80" s="324">
        <f>AG80-14</f>
        <v>46441</v>
      </c>
      <c r="AG80" s="324">
        <f>AH80-30</f>
        <v>46455</v>
      </c>
      <c r="AH80" s="324">
        <f>AM80</f>
        <v>46485</v>
      </c>
      <c r="AI80" s="324">
        <f>AM80+14</f>
        <v>46499</v>
      </c>
      <c r="AJ80" s="324">
        <f>AM80+30</f>
        <v>46515</v>
      </c>
      <c r="AK80" s="325">
        <v>34</v>
      </c>
      <c r="AL80" s="326">
        <f>AK80*7</f>
        <v>238</v>
      </c>
      <c r="AM80" s="324">
        <f>IF(W81&lt;&gt;"",W81+AL80,W81+AL80)</f>
        <v>46485</v>
      </c>
      <c r="AN80" s="327">
        <f>AU79-3</f>
        <v>46550</v>
      </c>
      <c r="AO80" s="327">
        <f>AP80-7</f>
        <v>46551</v>
      </c>
      <c r="AP80" s="327">
        <v>46558</v>
      </c>
      <c r="AQ80" s="327" t="s">
        <v>136</v>
      </c>
      <c r="AR80" s="319">
        <f>AN80-AM80</f>
        <v>65</v>
      </c>
      <c r="AS80" s="332" t="str">
        <f>AS79</f>
        <v>Long Lead</v>
      </c>
      <c r="AT80" s="329" t="s">
        <v>69</v>
      </c>
      <c r="AU80" s="330">
        <v>46553</v>
      </c>
      <c r="AV80" s="271"/>
    </row>
    <row r="81" spans="1:48" s="270" customFormat="1" ht="25.05" hidden="1" customHeight="1">
      <c r="A81" s="333"/>
      <c r="B81" s="334" t="s">
        <v>140</v>
      </c>
      <c r="C81" s="436" t="s">
        <v>141</v>
      </c>
      <c r="D81" s="368"/>
      <c r="E81" s="336"/>
      <c r="F81" s="337"/>
      <c r="G81" s="338"/>
      <c r="H81" s="339"/>
      <c r="I81" s="338" t="s">
        <v>134</v>
      </c>
      <c r="J81" s="334" t="s">
        <v>67</v>
      </c>
      <c r="K81" s="263">
        <v>2</v>
      </c>
      <c r="L81" s="334" t="s">
        <v>6</v>
      </c>
      <c r="M81" s="340" t="s">
        <v>70</v>
      </c>
      <c r="N81" s="341">
        <v>46133</v>
      </c>
      <c r="O81" s="341">
        <v>46165</v>
      </c>
      <c r="P81" s="341">
        <v>46182</v>
      </c>
      <c r="Q81" s="341">
        <v>46182</v>
      </c>
      <c r="R81" s="341">
        <v>46182</v>
      </c>
      <c r="S81" s="341">
        <v>46182</v>
      </c>
      <c r="T81" s="341">
        <v>46191</v>
      </c>
      <c r="U81" s="341">
        <v>46227</v>
      </c>
      <c r="V81" s="341">
        <v>46236</v>
      </c>
      <c r="W81" s="341">
        <v>46247</v>
      </c>
      <c r="X81" s="338"/>
      <c r="Y81" s="341"/>
      <c r="Z81" s="341"/>
      <c r="AA81" s="341"/>
      <c r="AB81" s="341"/>
      <c r="AC81" s="341"/>
      <c r="AD81" s="341"/>
      <c r="AE81" s="341"/>
      <c r="AF81" s="341"/>
      <c r="AG81" s="341"/>
      <c r="AH81" s="341"/>
      <c r="AI81" s="341"/>
      <c r="AJ81" s="341"/>
      <c r="AK81" s="342"/>
      <c r="AL81" s="343"/>
      <c r="AM81" s="341"/>
      <c r="AN81" s="344"/>
      <c r="AO81" s="344"/>
      <c r="AP81" s="344"/>
      <c r="AQ81" s="344"/>
      <c r="AR81" s="338"/>
      <c r="AS81" s="345" t="str">
        <f>AS79</f>
        <v>Long Lead</v>
      </c>
      <c r="AT81" s="346"/>
      <c r="AU81" s="345"/>
    </row>
    <row r="82" spans="1:48" s="270" customFormat="1" ht="25.05" hidden="1" customHeight="1">
      <c r="A82" s="315">
        <v>24</v>
      </c>
      <c r="B82" s="263" t="s">
        <v>143</v>
      </c>
      <c r="C82" s="432" t="s">
        <v>144</v>
      </c>
      <c r="D82" s="316"/>
      <c r="E82" s="317"/>
      <c r="F82" s="318"/>
      <c r="G82" s="319"/>
      <c r="H82" s="320"/>
      <c r="I82" s="319" t="s">
        <v>134</v>
      </c>
      <c r="J82" s="263"/>
      <c r="K82" s="321"/>
      <c r="L82" s="263" t="s">
        <v>7</v>
      </c>
      <c r="M82" s="322" t="s">
        <v>63</v>
      </c>
      <c r="N82" s="323"/>
      <c r="O82" s="324">
        <v>46178</v>
      </c>
      <c r="P82" s="324">
        <v>46185</v>
      </c>
      <c r="Q82" s="324">
        <v>46188</v>
      </c>
      <c r="R82" s="324">
        <v>46188</v>
      </c>
      <c r="S82" s="324">
        <v>46188</v>
      </c>
      <c r="T82" s="324">
        <v>46190</v>
      </c>
      <c r="U82" s="324">
        <v>46239</v>
      </c>
      <c r="V82" s="324">
        <v>46254</v>
      </c>
      <c r="W82" s="324"/>
      <c r="X82" s="324">
        <v>46267</v>
      </c>
      <c r="Y82" s="324">
        <v>46269</v>
      </c>
      <c r="Z82" s="324">
        <v>46276</v>
      </c>
      <c r="AA82" s="324">
        <v>46314</v>
      </c>
      <c r="AB82" s="324">
        <v>46329</v>
      </c>
      <c r="AC82" s="324">
        <v>46389</v>
      </c>
      <c r="AD82" s="324">
        <v>46392</v>
      </c>
      <c r="AE82" s="324">
        <v>46393</v>
      </c>
      <c r="AF82" s="324">
        <v>46475</v>
      </c>
      <c r="AG82" s="324">
        <v>46489</v>
      </c>
      <c r="AH82" s="324">
        <v>46519</v>
      </c>
      <c r="AI82" s="324">
        <v>46533</v>
      </c>
      <c r="AJ82" s="324">
        <v>46549</v>
      </c>
      <c r="AK82" s="325">
        <v>36</v>
      </c>
      <c r="AL82" s="326">
        <f>AK82*7</f>
        <v>252</v>
      </c>
      <c r="AM82" s="324">
        <f>X82+AL82</f>
        <v>46519</v>
      </c>
      <c r="AN82" s="327">
        <f>AN83</f>
        <v>46530</v>
      </c>
      <c r="AO82" s="327"/>
      <c r="AP82" s="327"/>
      <c r="AQ82" s="327"/>
      <c r="AR82" s="319">
        <f>AN83-AM82</f>
        <v>11</v>
      </c>
      <c r="AS82" s="328" t="s">
        <v>64</v>
      </c>
      <c r="AT82" s="329" t="s">
        <v>65</v>
      </c>
      <c r="AU82" s="330">
        <v>46537</v>
      </c>
      <c r="AV82" s="331">
        <v>13</v>
      </c>
    </row>
    <row r="83" spans="1:48" s="270" customFormat="1" ht="25.05" hidden="1" customHeight="1">
      <c r="A83" s="315"/>
      <c r="B83" s="263" t="s">
        <v>143</v>
      </c>
      <c r="C83" s="432" t="s">
        <v>144</v>
      </c>
      <c r="D83" s="316"/>
      <c r="E83" s="317"/>
      <c r="F83" s="318"/>
      <c r="G83" s="319"/>
      <c r="H83" s="320" t="s">
        <v>145</v>
      </c>
      <c r="I83" s="319" t="s">
        <v>134</v>
      </c>
      <c r="J83" s="263" t="s">
        <v>75</v>
      </c>
      <c r="K83" s="263">
        <v>2</v>
      </c>
      <c r="L83" s="263" t="s">
        <v>7</v>
      </c>
      <c r="M83" s="322" t="s">
        <v>68</v>
      </c>
      <c r="N83" s="324"/>
      <c r="O83" s="324"/>
      <c r="P83" s="324"/>
      <c r="Q83" s="324"/>
      <c r="R83" s="324"/>
      <c r="S83" s="324"/>
      <c r="T83" s="324"/>
      <c r="U83" s="324">
        <v>46241</v>
      </c>
      <c r="V83" s="324">
        <f>WORKDAY.INTL(U83,INDEX(V$8:V$11,MATCH($L83,$L$8:$L$11,0)),1,IF(V$18="China",'China Holidays'!$A$2:$A$82,'Thai Holidays'!$A$2:$A$63))</f>
        <v>46258</v>
      </c>
      <c r="W83" s="324"/>
      <c r="X83" s="324">
        <f>WORKDAY.INTL(V83,INDEX(X$8:X$11,MATCH($L83,$L$8:$L$11,0)),1,IF(X$18="China",'China Holidays'!$A$2:$A$82,'Thai Holidays'!$A$2:$A$63))</f>
        <v>46269</v>
      </c>
      <c r="Y83" s="324">
        <f>WORKDAY.INTL(X83,INDEX(Y$12:Y$15,MATCH($L83,$L$12:$L$15,0)),1,IF(Y$18="China",'China Holidays'!$A$2:$A$82,'Thai Holidays'!$A$2:$A$63))</f>
        <v>46273</v>
      </c>
      <c r="Z83" s="324">
        <f>WORKDAY.INTL(Y83,INDEX(Z$12:Z$15,MATCH($L83,$L$12:$L$15,0)),1,IF(Z$18="China",'China Holidays'!$A$2:$A$82,'Thai Holidays'!$A$2:$A$63))</f>
        <v>46280</v>
      </c>
      <c r="AA83" s="324">
        <f>WORKDAY.INTL(Z83,INDEX(AA$12:AA$15,MATCH($L83,$L$12:$L$15,0)),1,IF(AA$18="China",'China Holidays'!$A$2:$A$82,'Thai Holidays'!$A$2:$A$63))</f>
        <v>46316</v>
      </c>
      <c r="AB83" s="324">
        <f>WORKDAY.INTL(AA83,INDEX(AB$12:AB$15,MATCH($L83,$L$12:$L$15,0)),1,IF(AB$18="China",'China Holidays'!$A$2:$A$82,'Thai Holidays'!$A$2:$A$63))</f>
        <v>46331</v>
      </c>
      <c r="AC83" s="324">
        <f>AB83+60</f>
        <v>46391</v>
      </c>
      <c r="AD83" s="324">
        <f>AC83+3</f>
        <v>46394</v>
      </c>
      <c r="AE83" s="324">
        <f>AD83+1</f>
        <v>46395</v>
      </c>
      <c r="AF83" s="324">
        <f>AG83-14</f>
        <v>46477</v>
      </c>
      <c r="AG83" s="324">
        <f>AH83-30</f>
        <v>46491</v>
      </c>
      <c r="AH83" s="324">
        <f>AM83</f>
        <v>46521</v>
      </c>
      <c r="AI83" s="324">
        <f>AM83+14</f>
        <v>46535</v>
      </c>
      <c r="AJ83" s="324">
        <f>AM83+30</f>
        <v>46551</v>
      </c>
      <c r="AK83" s="325">
        <v>36</v>
      </c>
      <c r="AL83" s="326">
        <f>AK83*7</f>
        <v>252</v>
      </c>
      <c r="AM83" s="324">
        <f>IF(X83&lt;&gt;"",X83+AL83,X84+AL83)</f>
        <v>46521</v>
      </c>
      <c r="AN83" s="327">
        <f>AU82-7</f>
        <v>46530</v>
      </c>
      <c r="AO83" s="327">
        <f>AP83-7</f>
        <v>46530</v>
      </c>
      <c r="AP83" s="327">
        <v>46537</v>
      </c>
      <c r="AQ83" s="327" t="s">
        <v>136</v>
      </c>
      <c r="AR83" s="319">
        <f>AN83-AM83</f>
        <v>9</v>
      </c>
      <c r="AS83" s="332" t="str">
        <f>AS82</f>
        <v>Long Lead</v>
      </c>
      <c r="AT83" s="329" t="s">
        <v>69</v>
      </c>
      <c r="AU83" s="330">
        <v>46537</v>
      </c>
      <c r="AV83" s="271"/>
    </row>
    <row r="84" spans="1:48" s="270" customFormat="1" ht="25.05" hidden="1" customHeight="1">
      <c r="A84" s="333"/>
      <c r="B84" s="334" t="s">
        <v>143</v>
      </c>
      <c r="C84" s="436" t="s">
        <v>144</v>
      </c>
      <c r="D84" s="335"/>
      <c r="E84" s="336"/>
      <c r="F84" s="337"/>
      <c r="G84" s="338"/>
      <c r="H84" s="339"/>
      <c r="I84" s="338" t="s">
        <v>134</v>
      </c>
      <c r="J84" s="334" t="s">
        <v>75</v>
      </c>
      <c r="K84" s="263">
        <v>2</v>
      </c>
      <c r="L84" s="334" t="s">
        <v>7</v>
      </c>
      <c r="M84" s="340" t="s">
        <v>70</v>
      </c>
      <c r="N84" s="341"/>
      <c r="O84" s="341">
        <v>46178</v>
      </c>
      <c r="P84" s="341">
        <v>46186</v>
      </c>
      <c r="Q84" s="341">
        <v>46186</v>
      </c>
      <c r="R84" s="341">
        <v>46186</v>
      </c>
      <c r="S84" s="341">
        <v>46186</v>
      </c>
      <c r="T84" s="341">
        <v>46196</v>
      </c>
      <c r="U84" s="367">
        <v>46248</v>
      </c>
      <c r="V84" s="341"/>
      <c r="W84" s="341"/>
      <c r="X84" s="338"/>
      <c r="Y84" s="341"/>
      <c r="Z84" s="341"/>
      <c r="AA84" s="341"/>
      <c r="AB84" s="341"/>
      <c r="AC84" s="341"/>
      <c r="AD84" s="341"/>
      <c r="AE84" s="341"/>
      <c r="AF84" s="341"/>
      <c r="AG84" s="341"/>
      <c r="AH84" s="341"/>
      <c r="AI84" s="341"/>
      <c r="AJ84" s="341"/>
      <c r="AK84" s="342"/>
      <c r="AL84" s="343"/>
      <c r="AM84" s="341"/>
      <c r="AN84" s="344"/>
      <c r="AO84" s="344"/>
      <c r="AP84" s="344"/>
      <c r="AQ84" s="344"/>
      <c r="AR84" s="338"/>
      <c r="AS84" s="345" t="str">
        <f>AS82</f>
        <v>Long Lead</v>
      </c>
      <c r="AT84" s="346"/>
      <c r="AU84" s="345"/>
    </row>
    <row r="85" spans="1:48" s="270" customFormat="1" ht="25.05" hidden="1" customHeight="1">
      <c r="A85" s="315">
        <v>25</v>
      </c>
      <c r="B85" s="263" t="s">
        <v>146</v>
      </c>
      <c r="C85" s="432" t="s">
        <v>147</v>
      </c>
      <c r="D85" s="316"/>
      <c r="E85" s="317"/>
      <c r="F85" s="318"/>
      <c r="G85" s="319"/>
      <c r="H85" s="320"/>
      <c r="I85" s="319" t="s">
        <v>134</v>
      </c>
      <c r="J85" s="263"/>
      <c r="K85" s="321"/>
      <c r="L85" s="263" t="s">
        <v>7</v>
      </c>
      <c r="M85" s="322" t="s">
        <v>63</v>
      </c>
      <c r="N85" s="323"/>
      <c r="O85" s="324">
        <v>46162</v>
      </c>
      <c r="P85" s="324">
        <v>46182</v>
      </c>
      <c r="Q85" s="324">
        <v>46183</v>
      </c>
      <c r="R85" s="324">
        <v>46183</v>
      </c>
      <c r="S85" s="324">
        <v>46183</v>
      </c>
      <c r="T85" s="324">
        <v>46188</v>
      </c>
      <c r="U85" s="324">
        <v>46224</v>
      </c>
      <c r="V85" s="324">
        <v>46230</v>
      </c>
      <c r="W85" s="324"/>
      <c r="X85" s="324">
        <v>46241</v>
      </c>
      <c r="Y85" s="324">
        <v>46245</v>
      </c>
      <c r="Z85" s="324">
        <v>46252</v>
      </c>
      <c r="AA85" s="324">
        <v>46280</v>
      </c>
      <c r="AB85" s="324">
        <v>46294</v>
      </c>
      <c r="AC85" s="324">
        <v>46354</v>
      </c>
      <c r="AD85" s="324">
        <v>46357</v>
      </c>
      <c r="AE85" s="324">
        <v>46358</v>
      </c>
      <c r="AF85" s="324">
        <v>46477</v>
      </c>
      <c r="AG85" s="324">
        <v>46491</v>
      </c>
      <c r="AH85" s="324">
        <v>46521</v>
      </c>
      <c r="AI85" s="324">
        <v>46535</v>
      </c>
      <c r="AJ85" s="324">
        <v>46551</v>
      </c>
      <c r="AK85" s="325">
        <v>40</v>
      </c>
      <c r="AL85" s="326">
        <f>AK85*7</f>
        <v>280</v>
      </c>
      <c r="AM85" s="324">
        <f>X85+AL85</f>
        <v>46521</v>
      </c>
      <c r="AN85" s="327">
        <f>AN86</f>
        <v>46530</v>
      </c>
      <c r="AO85" s="327"/>
      <c r="AP85" s="327"/>
      <c r="AQ85" s="327"/>
      <c r="AR85" s="319">
        <f>AN86-AM85</f>
        <v>9</v>
      </c>
      <c r="AS85" s="328" t="s">
        <v>64</v>
      </c>
      <c r="AT85" s="329" t="s">
        <v>65</v>
      </c>
      <c r="AU85" s="330">
        <v>46537</v>
      </c>
      <c r="AV85" s="331">
        <v>15</v>
      </c>
    </row>
    <row r="86" spans="1:48" s="270" customFormat="1" ht="25.05" hidden="1" customHeight="1">
      <c r="A86" s="315"/>
      <c r="B86" s="263" t="s">
        <v>146</v>
      </c>
      <c r="C86" s="432" t="s">
        <v>147</v>
      </c>
      <c r="D86" s="316"/>
      <c r="E86" s="317"/>
      <c r="F86" s="348"/>
      <c r="G86" s="319"/>
      <c r="H86" s="320" t="s">
        <v>145</v>
      </c>
      <c r="I86" s="319" t="s">
        <v>134</v>
      </c>
      <c r="J86" s="263" t="s">
        <v>67</v>
      </c>
      <c r="K86" s="263">
        <v>2</v>
      </c>
      <c r="L86" s="263" t="s">
        <v>7</v>
      </c>
      <c r="M86" s="322" t="s">
        <v>68</v>
      </c>
      <c r="N86" s="324"/>
      <c r="O86" s="324"/>
      <c r="P86" s="324"/>
      <c r="Q86" s="324"/>
      <c r="R86" s="324"/>
      <c r="S86" s="324"/>
      <c r="T86" s="324"/>
      <c r="U86" s="324">
        <v>46244</v>
      </c>
      <c r="V86" s="324">
        <f>WORKDAY.INTL(U86,INDEX(V$8:V$11,MATCH($L86,$L$8:$L$11,0)),1,IF(V$18="China",'China Holidays'!$A$2:$A$82,'Thai Holidays'!$A$2:$A$63))</f>
        <v>46259</v>
      </c>
      <c r="W86" s="324"/>
      <c r="X86" s="324">
        <f>WORKDAY.INTL(V86,INDEX(X$8:X$11,MATCH($L86,$L$8:$L$11,0)),1,IF(X$18="China",'China Holidays'!$A$2:$A$82,'Thai Holidays'!$A$2:$A$63))</f>
        <v>46272</v>
      </c>
      <c r="Y86" s="324">
        <f>WORKDAY.INTL(X86,INDEX(Y$12:Y$15,MATCH($L86,$L$12:$L$15,0)),1,IF(Y$18="China",'China Holidays'!$A$2:$A$82,'Thai Holidays'!$A$2:$A$63))</f>
        <v>46274</v>
      </c>
      <c r="Z86" s="324">
        <f>WORKDAY.INTL(Y86,INDEX(Z$12:Z$15,MATCH($L86,$L$12:$L$15,0)),1,IF(Z$18="China",'China Holidays'!$A$2:$A$82,'Thai Holidays'!$A$2:$A$63))</f>
        <v>46281</v>
      </c>
      <c r="AA86" s="324">
        <f>WORKDAY.INTL(Z86,INDEX(AA$12:AA$15,MATCH($L86,$L$12:$L$15,0)),1,IF(AA$18="China",'China Holidays'!$A$2:$A$82,'Thai Holidays'!$A$2:$A$63))</f>
        <v>46317</v>
      </c>
      <c r="AB86" s="324">
        <f>WORKDAY.INTL(AA86,INDEX(AB$12:AB$15,MATCH($L86,$L$12:$L$15,0)),1,IF(AB$18="China",'China Holidays'!$A$2:$A$82,'Thai Holidays'!$A$2:$A$63))</f>
        <v>46332</v>
      </c>
      <c r="AC86" s="324">
        <f>AB86+60</f>
        <v>46392</v>
      </c>
      <c r="AD86" s="324">
        <f>AC86+3</f>
        <v>46395</v>
      </c>
      <c r="AE86" s="324">
        <f>AD86+1</f>
        <v>46396</v>
      </c>
      <c r="AF86" s="324">
        <f>AG86-14</f>
        <v>46508</v>
      </c>
      <c r="AG86" s="324">
        <f>AH86-30</f>
        <v>46522</v>
      </c>
      <c r="AH86" s="324">
        <f>AM86</f>
        <v>46552</v>
      </c>
      <c r="AI86" s="324">
        <f>AM86+14</f>
        <v>46566</v>
      </c>
      <c r="AJ86" s="324">
        <f>AM86+30</f>
        <v>46582</v>
      </c>
      <c r="AK86" s="325">
        <v>40</v>
      </c>
      <c r="AL86" s="326">
        <f>AK86*7</f>
        <v>280</v>
      </c>
      <c r="AM86" s="324">
        <f>IF(X86&lt;&gt;"",X86+AL86,X87+AL86)</f>
        <v>46552</v>
      </c>
      <c r="AN86" s="327">
        <f>AU85-7</f>
        <v>46530</v>
      </c>
      <c r="AO86" s="327">
        <f>AP86-7</f>
        <v>46530</v>
      </c>
      <c r="AP86" s="327">
        <v>46537</v>
      </c>
      <c r="AQ86" s="327" t="s">
        <v>136</v>
      </c>
      <c r="AR86" s="319">
        <f>AN86-AM86</f>
        <v>-22</v>
      </c>
      <c r="AS86" s="332" t="str">
        <f>AS85</f>
        <v>Long Lead</v>
      </c>
      <c r="AT86" s="329" t="s">
        <v>69</v>
      </c>
      <c r="AU86" s="330">
        <v>46537</v>
      </c>
      <c r="AV86" s="271"/>
    </row>
    <row r="87" spans="1:48" s="270" customFormat="1" ht="25.05" hidden="1" customHeight="1">
      <c r="A87" s="333"/>
      <c r="B87" s="334" t="s">
        <v>146</v>
      </c>
      <c r="C87" s="436" t="s">
        <v>147</v>
      </c>
      <c r="D87" s="335"/>
      <c r="E87" s="336"/>
      <c r="F87" s="349"/>
      <c r="G87" s="338"/>
      <c r="H87" s="339"/>
      <c r="I87" s="338" t="s">
        <v>134</v>
      </c>
      <c r="J87" s="334" t="s">
        <v>67</v>
      </c>
      <c r="K87" s="263">
        <v>2</v>
      </c>
      <c r="L87" s="334" t="s">
        <v>7</v>
      </c>
      <c r="M87" s="340" t="s">
        <v>70</v>
      </c>
      <c r="N87" s="341">
        <v>46133</v>
      </c>
      <c r="O87" s="341">
        <v>46169</v>
      </c>
      <c r="P87" s="341">
        <v>46183</v>
      </c>
      <c r="Q87" s="341">
        <v>46183</v>
      </c>
      <c r="R87" s="341">
        <v>46183</v>
      </c>
      <c r="S87" s="341">
        <v>46183</v>
      </c>
      <c r="T87" s="341">
        <v>46191</v>
      </c>
      <c r="U87" s="367">
        <v>46248</v>
      </c>
      <c r="V87" s="341"/>
      <c r="W87" s="341"/>
      <c r="X87" s="338"/>
      <c r="Y87" s="341"/>
      <c r="Z87" s="341"/>
      <c r="AA87" s="341"/>
      <c r="AB87" s="341"/>
      <c r="AC87" s="341"/>
      <c r="AD87" s="341"/>
      <c r="AE87" s="341"/>
      <c r="AF87" s="341"/>
      <c r="AG87" s="341"/>
      <c r="AH87" s="341"/>
      <c r="AI87" s="341"/>
      <c r="AJ87" s="341"/>
      <c r="AK87" s="342"/>
      <c r="AL87" s="343"/>
      <c r="AM87" s="341"/>
      <c r="AN87" s="344"/>
      <c r="AO87" s="344"/>
      <c r="AP87" s="344"/>
      <c r="AQ87" s="344"/>
      <c r="AR87" s="338"/>
      <c r="AS87" s="345" t="str">
        <f>AS85</f>
        <v>Long Lead</v>
      </c>
      <c r="AT87" s="346"/>
      <c r="AU87" s="345"/>
    </row>
    <row r="88" spans="1:48" s="270" customFormat="1" ht="25.05" hidden="1" customHeight="1">
      <c r="A88" s="315">
        <v>26</v>
      </c>
      <c r="B88" s="263" t="s">
        <v>148</v>
      </c>
      <c r="C88" s="432" t="s">
        <v>149</v>
      </c>
      <c r="D88" s="316"/>
      <c r="E88" s="317"/>
      <c r="F88" s="318"/>
      <c r="G88" s="319"/>
      <c r="H88" s="320"/>
      <c r="I88" s="319" t="s">
        <v>134</v>
      </c>
      <c r="J88" s="263"/>
      <c r="K88" s="321"/>
      <c r="L88" s="263" t="s">
        <v>7</v>
      </c>
      <c r="M88" s="322" t="s">
        <v>63</v>
      </c>
      <c r="N88" s="323"/>
      <c r="O88" s="324">
        <v>46185</v>
      </c>
      <c r="P88" s="324">
        <v>46192</v>
      </c>
      <c r="Q88" s="324">
        <v>46195</v>
      </c>
      <c r="R88" s="324">
        <v>46202</v>
      </c>
      <c r="S88" s="324">
        <v>46203</v>
      </c>
      <c r="T88" s="324">
        <v>46216</v>
      </c>
      <c r="U88" s="324">
        <v>46247</v>
      </c>
      <c r="V88" s="324">
        <v>46261</v>
      </c>
      <c r="W88" s="324"/>
      <c r="X88" s="324">
        <v>46274</v>
      </c>
      <c r="Y88" s="324">
        <v>46276</v>
      </c>
      <c r="Z88" s="324">
        <v>46283</v>
      </c>
      <c r="AA88" s="324">
        <v>46321</v>
      </c>
      <c r="AB88" s="324">
        <v>46335</v>
      </c>
      <c r="AC88" s="324">
        <v>46395</v>
      </c>
      <c r="AD88" s="324">
        <v>46398</v>
      </c>
      <c r="AE88" s="324">
        <v>46399</v>
      </c>
      <c r="AF88" s="324">
        <v>46477</v>
      </c>
      <c r="AG88" s="324">
        <v>46491</v>
      </c>
      <c r="AH88" s="324">
        <v>46498</v>
      </c>
      <c r="AI88" s="324">
        <v>46512</v>
      </c>
      <c r="AJ88" s="324">
        <v>46528</v>
      </c>
      <c r="AK88" s="325">
        <v>32</v>
      </c>
      <c r="AL88" s="326">
        <f>AK88*7</f>
        <v>224</v>
      </c>
      <c r="AM88" s="324">
        <f>X88+AL88</f>
        <v>46498</v>
      </c>
      <c r="AN88" s="327">
        <f>AN89</f>
        <v>46530</v>
      </c>
      <c r="AO88" s="327"/>
      <c r="AP88" s="327"/>
      <c r="AQ88" s="327"/>
      <c r="AR88" s="319">
        <f>AN89-AM88</f>
        <v>32</v>
      </c>
      <c r="AS88" s="328"/>
      <c r="AT88" s="329" t="s">
        <v>65</v>
      </c>
      <c r="AU88" s="330">
        <v>46537</v>
      </c>
      <c r="AV88" s="331">
        <v>32</v>
      </c>
    </row>
    <row r="89" spans="1:48" s="270" customFormat="1" ht="25.05" hidden="1" customHeight="1">
      <c r="A89" s="315"/>
      <c r="B89" s="263" t="s">
        <v>148</v>
      </c>
      <c r="C89" s="432" t="s">
        <v>149</v>
      </c>
      <c r="D89" s="316"/>
      <c r="E89" s="317"/>
      <c r="F89" s="348"/>
      <c r="G89" s="319"/>
      <c r="H89" s="320" t="s">
        <v>150</v>
      </c>
      <c r="I89" s="319" t="s">
        <v>134</v>
      </c>
      <c r="J89" s="263" t="s">
        <v>75</v>
      </c>
      <c r="K89" s="263">
        <v>2</v>
      </c>
      <c r="L89" s="263" t="s">
        <v>7</v>
      </c>
      <c r="M89" s="322" t="s">
        <v>68</v>
      </c>
      <c r="N89" s="324"/>
      <c r="O89" s="324"/>
      <c r="P89" s="324"/>
      <c r="Q89" s="324"/>
      <c r="R89" s="324"/>
      <c r="S89" s="324"/>
      <c r="T89" s="324">
        <v>46216</v>
      </c>
      <c r="U89" s="324">
        <v>46247</v>
      </c>
      <c r="V89" s="324">
        <f>WORKDAY.INTL(U89,INDEX(V$8:V$11,MATCH($L89,$L$8:$L$11,0)),1,IF(V$18="China",'China Holidays'!$A$2:$A$82,'Thai Holidays'!$A$2:$A$63))</f>
        <v>46261</v>
      </c>
      <c r="W89" s="324"/>
      <c r="X89" s="324">
        <f>WORKDAY.INTL(V89,INDEX(X$8:X$11,MATCH($L89,$L$8:$L$11,0)),1,IF(X$18="China",'China Holidays'!$A$2:$A$82,'Thai Holidays'!$A$2:$A$63))</f>
        <v>46274</v>
      </c>
      <c r="Y89" s="324">
        <f>WORKDAY.INTL(X89,INDEX(Y$12:Y$15,MATCH($L89,$L$12:$L$15,0)),1,IF(Y$18="China",'China Holidays'!$A$2:$A$82,'Thai Holidays'!$A$2:$A$63))</f>
        <v>46276</v>
      </c>
      <c r="Z89" s="324">
        <f>WORKDAY.INTL(Y89,INDEX(Z$12:Z$15,MATCH($L89,$L$12:$L$15,0)),1,IF(Z$18="China",'China Holidays'!$A$2:$A$82,'Thai Holidays'!$A$2:$A$63))</f>
        <v>46283</v>
      </c>
      <c r="AA89" s="324">
        <f>WORKDAY.INTL(Z89,INDEX(AA$12:AA$15,MATCH($L89,$L$12:$L$15,0)),1,IF(AA$18="China",'China Holidays'!$A$2:$A$82,'Thai Holidays'!$A$2:$A$63))</f>
        <v>46321</v>
      </c>
      <c r="AB89" s="324">
        <f>WORKDAY.INTL(AA89,INDEX(AB$12:AB$15,MATCH($L89,$L$12:$L$15,0)),1,IF(AB$18="China",'China Holidays'!$A$2:$A$82,'Thai Holidays'!$A$2:$A$63))</f>
        <v>46335</v>
      </c>
      <c r="AC89" s="324">
        <f>AB89+60</f>
        <v>46395</v>
      </c>
      <c r="AD89" s="324">
        <f>AC89+3</f>
        <v>46398</v>
      </c>
      <c r="AE89" s="324">
        <f>AD89+1</f>
        <v>46399</v>
      </c>
      <c r="AF89" s="324">
        <f>AG89-14</f>
        <v>46477</v>
      </c>
      <c r="AG89" s="324">
        <f>AH89-7</f>
        <v>46491</v>
      </c>
      <c r="AH89" s="324">
        <f>AM89</f>
        <v>46498</v>
      </c>
      <c r="AI89" s="324">
        <f>AM89+14</f>
        <v>46512</v>
      </c>
      <c r="AJ89" s="324">
        <f>AM89+30</f>
        <v>46528</v>
      </c>
      <c r="AK89" s="325">
        <v>32</v>
      </c>
      <c r="AL89" s="326">
        <f>AK89*7</f>
        <v>224</v>
      </c>
      <c r="AM89" s="324">
        <f>IF(X89&lt;&gt;"",X89+AL89,X90+AL89)</f>
        <v>46498</v>
      </c>
      <c r="AN89" s="327">
        <f>AU88-7</f>
        <v>46530</v>
      </c>
      <c r="AO89" s="327">
        <f>AP89-7</f>
        <v>46530</v>
      </c>
      <c r="AP89" s="327">
        <v>46537</v>
      </c>
      <c r="AQ89" s="327" t="s">
        <v>136</v>
      </c>
      <c r="AR89" s="319">
        <f>AN89-AM89</f>
        <v>32</v>
      </c>
      <c r="AS89" s="328"/>
      <c r="AT89" s="329" t="s">
        <v>69</v>
      </c>
      <c r="AU89" s="330">
        <v>46537</v>
      </c>
      <c r="AV89" s="271"/>
    </row>
    <row r="90" spans="1:48" s="270" customFormat="1" ht="25.05" hidden="1" customHeight="1">
      <c r="A90" s="333"/>
      <c r="B90" s="334" t="s">
        <v>148</v>
      </c>
      <c r="C90" s="436" t="s">
        <v>149</v>
      </c>
      <c r="D90" s="335"/>
      <c r="E90" s="336"/>
      <c r="F90" s="349"/>
      <c r="G90" s="338"/>
      <c r="H90" s="339"/>
      <c r="I90" s="338" t="s">
        <v>134</v>
      </c>
      <c r="J90" s="334" t="s">
        <v>75</v>
      </c>
      <c r="K90" s="263">
        <v>2</v>
      </c>
      <c r="L90" s="334" t="s">
        <v>7</v>
      </c>
      <c r="M90" s="340" t="s">
        <v>70</v>
      </c>
      <c r="N90" s="341"/>
      <c r="O90" s="341">
        <v>46189</v>
      </c>
      <c r="P90" s="341">
        <v>46203</v>
      </c>
      <c r="Q90" s="341">
        <v>46203</v>
      </c>
      <c r="R90" s="341">
        <v>46203</v>
      </c>
      <c r="S90" s="341">
        <v>46203</v>
      </c>
      <c r="T90" s="341">
        <f>S90+1</f>
        <v>46204</v>
      </c>
      <c r="U90" s="341"/>
      <c r="V90" s="341"/>
      <c r="W90" s="341"/>
      <c r="X90" s="338"/>
      <c r="Y90" s="341"/>
      <c r="Z90" s="341"/>
      <c r="AA90" s="341"/>
      <c r="AB90" s="341"/>
      <c r="AC90" s="341"/>
      <c r="AD90" s="341"/>
      <c r="AE90" s="341"/>
      <c r="AF90" s="341"/>
      <c r="AG90" s="341"/>
      <c r="AH90" s="341"/>
      <c r="AI90" s="341"/>
      <c r="AJ90" s="341"/>
      <c r="AK90" s="342"/>
      <c r="AL90" s="343"/>
      <c r="AM90" s="341"/>
      <c r="AN90" s="344"/>
      <c r="AO90" s="344"/>
      <c r="AP90" s="344"/>
      <c r="AQ90" s="344"/>
      <c r="AR90" s="338"/>
      <c r="AS90" s="345"/>
      <c r="AT90" s="346"/>
      <c r="AU90" s="345"/>
    </row>
    <row r="91" spans="1:48" s="270" customFormat="1" ht="25.05" hidden="1" customHeight="1">
      <c r="A91" s="315">
        <v>27</v>
      </c>
      <c r="B91" s="263" t="s">
        <v>151</v>
      </c>
      <c r="C91" s="432" t="s">
        <v>152</v>
      </c>
      <c r="D91" s="369"/>
      <c r="E91" s="317"/>
      <c r="F91" s="370"/>
      <c r="G91" s="319"/>
      <c r="H91" s="320"/>
      <c r="I91" s="319" t="s">
        <v>134</v>
      </c>
      <c r="J91" s="263"/>
      <c r="K91" s="321"/>
      <c r="L91" s="263" t="s">
        <v>8</v>
      </c>
      <c r="M91" s="322" t="s">
        <v>63</v>
      </c>
      <c r="N91" s="323"/>
      <c r="O91" s="324">
        <v>46227</v>
      </c>
      <c r="P91" s="324">
        <v>46209</v>
      </c>
      <c r="Q91" s="324">
        <v>46209</v>
      </c>
      <c r="R91" s="324">
        <v>46245</v>
      </c>
      <c r="S91" s="324">
        <v>46245</v>
      </c>
      <c r="T91" s="324">
        <v>46259</v>
      </c>
      <c r="U91" s="324">
        <v>46276</v>
      </c>
      <c r="V91" s="324">
        <v>46290</v>
      </c>
      <c r="W91" s="324"/>
      <c r="X91" s="324">
        <v>46310</v>
      </c>
      <c r="Y91" s="324">
        <v>46314</v>
      </c>
      <c r="Z91" s="324">
        <v>46321</v>
      </c>
      <c r="AA91" s="324">
        <v>46342</v>
      </c>
      <c r="AB91" s="324">
        <v>46356</v>
      </c>
      <c r="AC91" s="324">
        <v>46371</v>
      </c>
      <c r="AD91" s="324">
        <v>46371</v>
      </c>
      <c r="AE91" s="324">
        <v>46373</v>
      </c>
      <c r="AF91" s="324">
        <v>46434</v>
      </c>
      <c r="AG91" s="324">
        <v>46448</v>
      </c>
      <c r="AH91" s="324">
        <v>46455</v>
      </c>
      <c r="AI91" s="324">
        <v>46469</v>
      </c>
      <c r="AJ91" s="324">
        <v>46485</v>
      </c>
      <c r="AK91" s="325">
        <v>20.714285714285701</v>
      </c>
      <c r="AL91" s="326">
        <f>AK91*7</f>
        <v>144.99999999999991</v>
      </c>
      <c r="AM91" s="324">
        <f>X91+AL91</f>
        <v>46455</v>
      </c>
      <c r="AN91" s="327">
        <f>AN92</f>
        <v>46478</v>
      </c>
      <c r="AO91" s="327"/>
      <c r="AP91" s="327"/>
      <c r="AQ91" s="327"/>
      <c r="AR91" s="319">
        <f>AN92-AM91</f>
        <v>23</v>
      </c>
      <c r="AS91" s="328"/>
      <c r="AT91" s="329" t="s">
        <v>65</v>
      </c>
      <c r="AU91" s="330">
        <v>46485</v>
      </c>
      <c r="AV91" s="331">
        <v>34</v>
      </c>
    </row>
    <row r="92" spans="1:48" s="270" customFormat="1" ht="25.05" hidden="1" customHeight="1">
      <c r="A92" s="315"/>
      <c r="B92" s="263" t="s">
        <v>151</v>
      </c>
      <c r="C92" s="432" t="s">
        <v>152</v>
      </c>
      <c r="D92" s="371"/>
      <c r="E92" s="317"/>
      <c r="F92" s="371"/>
      <c r="G92" s="319"/>
      <c r="H92" s="320" t="s">
        <v>153</v>
      </c>
      <c r="I92" s="319" t="s">
        <v>134</v>
      </c>
      <c r="J92" s="263" t="s">
        <v>75</v>
      </c>
      <c r="K92" s="263">
        <v>3</v>
      </c>
      <c r="L92" s="263" t="s">
        <v>8</v>
      </c>
      <c r="M92" s="322" t="s">
        <v>68</v>
      </c>
      <c r="N92" s="324"/>
      <c r="O92" s="324"/>
      <c r="P92" s="324"/>
      <c r="Q92" s="324"/>
      <c r="R92" s="324"/>
      <c r="S92" s="324"/>
      <c r="T92" s="324">
        <v>46259</v>
      </c>
      <c r="U92" s="324">
        <f>WORKDAY.INTL(T92,INDEX(U$8:U$11,MATCH($L92,$L$8:$L$11,0)),1,IF(U$18="China",'China Holidays'!$A$2:$A$82,'Thai Holidays'!$A$2:$A$63))</f>
        <v>46276</v>
      </c>
      <c r="V92" s="324">
        <f>WORKDAY.INTL(U92,INDEX(V$8:V$11,MATCH($L92,$L$8:$L$11,0)),1,IF(V$18="China",'China Holidays'!$A$2:$A$82,'Thai Holidays'!$A$2:$A$63))</f>
        <v>46290</v>
      </c>
      <c r="W92" s="324"/>
      <c r="X92" s="324">
        <f>WORKDAY.INTL(V92,INDEX(X$8:X$11,MATCH($L92,$L$8:$L$11,0)),1,IF(X$18="China",'China Holidays'!$A$2:$A$82,'Thai Holidays'!$A$2:$A$63))</f>
        <v>46310</v>
      </c>
      <c r="Y92" s="324">
        <f>WORKDAY.INTL(X92,INDEX(Y$12:Y$15,MATCH($L92,$L$12:$L$15,0)),1,IF(Y$18="China",'China Holidays'!$A$2:$A$82,'Thai Holidays'!$A$2:$A$63))</f>
        <v>46314</v>
      </c>
      <c r="Z92" s="324">
        <f>WORKDAY.INTL(Y92,INDEX(Z$12:Z$15,MATCH($L92,$L$12:$L$15,0)),1,IF(Z$18="China",'China Holidays'!$A$2:$A$82,'Thai Holidays'!$A$2:$A$63))</f>
        <v>46321</v>
      </c>
      <c r="AA92" s="324">
        <f>WORKDAY.INTL(Z92,INDEX(AA$12:AA$15,MATCH($L92,$L$12:$L$15,0)),1,IF(AA$18="China",'China Holidays'!$A$2:$A$82,'Thai Holidays'!$A$2:$A$63))</f>
        <v>46342</v>
      </c>
      <c r="AB92" s="324">
        <f>WORKDAY.INTL(AA92,INDEX(AB$12:AB$15,MATCH($L92,$L$12:$L$15,0)),1,IF(AB$18="China",'China Holidays'!$A$2:$A$82,'Thai Holidays'!$A$2:$A$63))</f>
        <v>46356</v>
      </c>
      <c r="AC92" s="324">
        <f>AB92+15</f>
        <v>46371</v>
      </c>
      <c r="AD92" s="324">
        <f>AC92</f>
        <v>46371</v>
      </c>
      <c r="AE92" s="324">
        <f>AD92+2</f>
        <v>46373</v>
      </c>
      <c r="AF92" s="324">
        <f>AG92-14</f>
        <v>46434</v>
      </c>
      <c r="AG92" s="324">
        <f>AH92-7</f>
        <v>46448</v>
      </c>
      <c r="AH92" s="324">
        <f>AM92</f>
        <v>46455</v>
      </c>
      <c r="AI92" s="324">
        <f>AM92+14</f>
        <v>46469</v>
      </c>
      <c r="AJ92" s="324">
        <f>AM92+30</f>
        <v>46485</v>
      </c>
      <c r="AK92" s="325">
        <v>20.714285714285701</v>
      </c>
      <c r="AL92" s="326">
        <f>AK92*7</f>
        <v>144.99999999999991</v>
      </c>
      <c r="AM92" s="324">
        <f>IF(X92&lt;&gt;"",X92+AL92,X93+AL92)</f>
        <v>46455</v>
      </c>
      <c r="AN92" s="327">
        <f>AU91-7</f>
        <v>46478</v>
      </c>
      <c r="AO92" s="327">
        <f>AP92-7</f>
        <v>46498</v>
      </c>
      <c r="AP92" s="327">
        <v>46505</v>
      </c>
      <c r="AQ92" s="327" t="s">
        <v>136</v>
      </c>
      <c r="AR92" s="319">
        <f>AN92-AM92</f>
        <v>23</v>
      </c>
      <c r="AS92" s="328"/>
      <c r="AT92" s="329" t="s">
        <v>69</v>
      </c>
      <c r="AU92" s="330">
        <v>46485</v>
      </c>
      <c r="AV92" s="271"/>
    </row>
    <row r="93" spans="1:48" s="270" customFormat="1" ht="25.05" hidden="1" customHeight="1">
      <c r="A93" s="333"/>
      <c r="B93" s="334" t="s">
        <v>151</v>
      </c>
      <c r="C93" s="436" t="s">
        <v>152</v>
      </c>
      <c r="D93" s="372"/>
      <c r="E93" s="336"/>
      <c r="F93" s="372"/>
      <c r="G93" s="338"/>
      <c r="H93" s="339"/>
      <c r="I93" s="338" t="s">
        <v>134</v>
      </c>
      <c r="J93" s="334" t="s">
        <v>75</v>
      </c>
      <c r="K93" s="263">
        <v>3</v>
      </c>
      <c r="L93" s="334" t="s">
        <v>8</v>
      </c>
      <c r="M93" s="340" t="s">
        <v>70</v>
      </c>
      <c r="N93" s="341"/>
      <c r="O93" s="341">
        <v>46198</v>
      </c>
      <c r="P93" s="341">
        <v>46219</v>
      </c>
      <c r="Q93" s="341">
        <v>46219</v>
      </c>
      <c r="R93" s="341">
        <f>Q93</f>
        <v>46219</v>
      </c>
      <c r="S93" s="341">
        <v>46241</v>
      </c>
      <c r="T93" s="341"/>
      <c r="U93" s="341"/>
      <c r="V93" s="341"/>
      <c r="W93" s="341"/>
      <c r="X93" s="338"/>
      <c r="Y93" s="341"/>
      <c r="Z93" s="341"/>
      <c r="AA93" s="341"/>
      <c r="AB93" s="341"/>
      <c r="AC93" s="341"/>
      <c r="AD93" s="341"/>
      <c r="AE93" s="341"/>
      <c r="AF93" s="341"/>
      <c r="AG93" s="341"/>
      <c r="AH93" s="341"/>
      <c r="AI93" s="341"/>
      <c r="AJ93" s="341"/>
      <c r="AK93" s="342"/>
      <c r="AL93" s="343"/>
      <c r="AM93" s="341"/>
      <c r="AN93" s="344"/>
      <c r="AO93" s="344"/>
      <c r="AP93" s="344"/>
      <c r="AQ93" s="344"/>
      <c r="AR93" s="338"/>
      <c r="AS93" s="345"/>
      <c r="AT93" s="346"/>
      <c r="AU93" s="345"/>
    </row>
    <row r="94" spans="1:48" s="270" customFormat="1" ht="25.05" hidden="1" customHeight="1">
      <c r="A94" s="315">
        <v>28</v>
      </c>
      <c r="B94" s="263" t="s">
        <v>154</v>
      </c>
      <c r="C94" s="432" t="s">
        <v>155</v>
      </c>
      <c r="D94" s="316"/>
      <c r="E94" s="317"/>
      <c r="F94" s="318"/>
      <c r="G94" s="319"/>
      <c r="H94" s="320"/>
      <c r="I94" s="319" t="s">
        <v>134</v>
      </c>
      <c r="J94" s="263"/>
      <c r="K94" s="321"/>
      <c r="L94" s="263" t="s">
        <v>6</v>
      </c>
      <c r="M94" s="322" t="s">
        <v>63</v>
      </c>
      <c r="N94" s="323"/>
      <c r="O94" s="324">
        <v>46136</v>
      </c>
      <c r="P94" s="324">
        <v>46148</v>
      </c>
      <c r="Q94" s="324">
        <v>46148</v>
      </c>
      <c r="R94" s="324">
        <v>46155</v>
      </c>
      <c r="S94" s="324">
        <v>46156</v>
      </c>
      <c r="T94" s="324">
        <v>46162</v>
      </c>
      <c r="U94" s="324">
        <v>46199</v>
      </c>
      <c r="V94" s="324">
        <v>46204</v>
      </c>
      <c r="W94" s="324"/>
      <c r="X94" s="324">
        <v>46218</v>
      </c>
      <c r="Y94" s="324">
        <v>46220</v>
      </c>
      <c r="Z94" s="324">
        <v>46227</v>
      </c>
      <c r="AA94" s="324">
        <v>46255</v>
      </c>
      <c r="AB94" s="324">
        <v>46269</v>
      </c>
      <c r="AC94" s="324">
        <v>46309</v>
      </c>
      <c r="AD94" s="324">
        <v>46309</v>
      </c>
      <c r="AE94" s="324">
        <v>46311</v>
      </c>
      <c r="AF94" s="324">
        <v>46433</v>
      </c>
      <c r="AG94" s="324">
        <v>46463</v>
      </c>
      <c r="AH94" s="324">
        <v>46470</v>
      </c>
      <c r="AI94" s="324">
        <v>46484</v>
      </c>
      <c r="AJ94" s="324">
        <v>46500</v>
      </c>
      <c r="AK94" s="325">
        <v>36</v>
      </c>
      <c r="AL94" s="326">
        <f>AK94*7</f>
        <v>252</v>
      </c>
      <c r="AM94" s="324">
        <f>X94+AL94</f>
        <v>46470</v>
      </c>
      <c r="AN94" s="327">
        <f>AN95</f>
        <v>46478</v>
      </c>
      <c r="AO94" s="327"/>
      <c r="AP94" s="327"/>
      <c r="AQ94" s="327"/>
      <c r="AR94" s="319">
        <f>AN95-AM94</f>
        <v>8</v>
      </c>
      <c r="AS94" s="328" t="s">
        <v>64</v>
      </c>
      <c r="AT94" s="329" t="s">
        <v>65</v>
      </c>
      <c r="AU94" s="330">
        <v>46485</v>
      </c>
      <c r="AV94" s="331">
        <v>35</v>
      </c>
    </row>
    <row r="95" spans="1:48" s="270" customFormat="1" ht="25.05" hidden="1" customHeight="1">
      <c r="A95" s="315"/>
      <c r="B95" s="263" t="s">
        <v>154</v>
      </c>
      <c r="C95" s="432" t="s">
        <v>155</v>
      </c>
      <c r="D95" s="316"/>
      <c r="E95" s="317"/>
      <c r="F95" s="348"/>
      <c r="G95" s="319"/>
      <c r="H95" s="320" t="s">
        <v>156</v>
      </c>
      <c r="I95" s="319" t="s">
        <v>134</v>
      </c>
      <c r="J95" s="263" t="s">
        <v>67</v>
      </c>
      <c r="K95" s="263">
        <v>2</v>
      </c>
      <c r="L95" s="263" t="s">
        <v>6</v>
      </c>
      <c r="M95" s="322" t="s">
        <v>68</v>
      </c>
      <c r="N95" s="324"/>
      <c r="O95" s="324"/>
      <c r="P95" s="324"/>
      <c r="Q95" s="324"/>
      <c r="R95" s="324"/>
      <c r="S95" s="324"/>
      <c r="T95" s="324"/>
      <c r="U95" s="324"/>
      <c r="V95" s="324"/>
      <c r="W95" s="324"/>
      <c r="X95" s="324"/>
      <c r="Y95" s="324"/>
      <c r="Z95" s="324"/>
      <c r="AA95" s="324">
        <v>46265</v>
      </c>
      <c r="AB95" s="324">
        <f>WORKDAY.INTL(AA95,INDEX(AB$12:AB$15,MATCH($L95,$L$12:$L$15,0)),1,IF(AB$18="China",'China Holidays'!$A$2:$A$82,'Thai Holidays'!$A$2:$A$63))</f>
        <v>46279</v>
      </c>
      <c r="AC95" s="324">
        <f>AB95+40</f>
        <v>46319</v>
      </c>
      <c r="AD95" s="324">
        <f>AC95</f>
        <v>46319</v>
      </c>
      <c r="AE95" s="324">
        <f>AD95+2</f>
        <v>46321</v>
      </c>
      <c r="AF95" s="324">
        <f>AG95-30</f>
        <v>46427</v>
      </c>
      <c r="AG95" s="324">
        <f>AH95-7</f>
        <v>46457</v>
      </c>
      <c r="AH95" s="324">
        <f>AM95</f>
        <v>46464</v>
      </c>
      <c r="AI95" s="324">
        <f>AM95+14</f>
        <v>46478</v>
      </c>
      <c r="AJ95" s="324">
        <f>AM95+30</f>
        <v>46494</v>
      </c>
      <c r="AK95" s="325">
        <v>34</v>
      </c>
      <c r="AL95" s="326">
        <f>AK95*7</f>
        <v>238</v>
      </c>
      <c r="AM95" s="324">
        <f>IF(W96&lt;&gt;"",W96+AL95,W96+AL95)</f>
        <v>46464</v>
      </c>
      <c r="AN95" s="327">
        <f>AU94-7</f>
        <v>46478</v>
      </c>
      <c r="AO95" s="327">
        <f>AP95-7</f>
        <v>46498</v>
      </c>
      <c r="AP95" s="327">
        <v>46505</v>
      </c>
      <c r="AQ95" s="327" t="s">
        <v>136</v>
      </c>
      <c r="AR95" s="319">
        <f>AN95-AM95</f>
        <v>14</v>
      </c>
      <c r="AS95" s="332" t="str">
        <f>AS94</f>
        <v>Long Lead</v>
      </c>
      <c r="AT95" s="329" t="s">
        <v>69</v>
      </c>
      <c r="AU95" s="330">
        <v>46485</v>
      </c>
      <c r="AV95" s="271"/>
    </row>
    <row r="96" spans="1:48" s="270" customFormat="1" ht="25.05" hidden="1" customHeight="1">
      <c r="A96" s="333"/>
      <c r="B96" s="334" t="s">
        <v>154</v>
      </c>
      <c r="C96" s="436" t="s">
        <v>155</v>
      </c>
      <c r="D96" s="335"/>
      <c r="E96" s="336"/>
      <c r="F96" s="349"/>
      <c r="G96" s="338"/>
      <c r="H96" s="339"/>
      <c r="I96" s="338" t="s">
        <v>134</v>
      </c>
      <c r="J96" s="334" t="s">
        <v>67</v>
      </c>
      <c r="K96" s="263">
        <v>2</v>
      </c>
      <c r="L96" s="334" t="s">
        <v>6</v>
      </c>
      <c r="M96" s="340" t="s">
        <v>70</v>
      </c>
      <c r="N96" s="341">
        <v>46133</v>
      </c>
      <c r="O96" s="341">
        <v>46140</v>
      </c>
      <c r="P96" s="341">
        <v>46157</v>
      </c>
      <c r="Q96" s="341">
        <v>46157</v>
      </c>
      <c r="R96" s="341">
        <v>46157</v>
      </c>
      <c r="S96" s="341">
        <v>46157</v>
      </c>
      <c r="T96" s="341">
        <v>46162</v>
      </c>
      <c r="U96" s="341">
        <v>46206</v>
      </c>
      <c r="V96" s="341">
        <v>46210</v>
      </c>
      <c r="W96" s="341">
        <v>46226</v>
      </c>
      <c r="X96" s="338">
        <v>1</v>
      </c>
      <c r="Y96" s="341"/>
      <c r="Z96" s="341">
        <v>46234</v>
      </c>
      <c r="AA96" s="353"/>
      <c r="AB96" s="341"/>
      <c r="AC96" s="341"/>
      <c r="AD96" s="341"/>
      <c r="AE96" s="341"/>
      <c r="AF96" s="341"/>
      <c r="AG96" s="341"/>
      <c r="AH96" s="341"/>
      <c r="AI96" s="341"/>
      <c r="AJ96" s="341"/>
      <c r="AK96" s="342"/>
      <c r="AL96" s="343"/>
      <c r="AM96" s="341"/>
      <c r="AN96" s="344"/>
      <c r="AO96" s="344"/>
      <c r="AP96" s="344"/>
      <c r="AQ96" s="344"/>
      <c r="AR96" s="338"/>
      <c r="AS96" s="345" t="str">
        <f>AS94</f>
        <v>Long Lead</v>
      </c>
      <c r="AT96" s="346"/>
      <c r="AU96" s="345"/>
    </row>
    <row r="97" spans="1:48" s="270" customFormat="1" ht="25.05" hidden="1" customHeight="1">
      <c r="A97" s="315">
        <v>29</v>
      </c>
      <c r="B97" s="263" t="s">
        <v>157</v>
      </c>
      <c r="C97" s="432" t="s">
        <v>158</v>
      </c>
      <c r="D97" s="369"/>
      <c r="E97" s="317"/>
      <c r="F97" s="370"/>
      <c r="G97" s="319"/>
      <c r="H97" s="320"/>
      <c r="I97" s="319" t="s">
        <v>134</v>
      </c>
      <c r="J97" s="263"/>
      <c r="K97" s="321"/>
      <c r="L97" s="263" t="s">
        <v>8</v>
      </c>
      <c r="M97" s="322" t="s">
        <v>63</v>
      </c>
      <c r="N97" s="323"/>
      <c r="O97" s="324">
        <v>46239</v>
      </c>
      <c r="P97" s="324">
        <v>46254</v>
      </c>
      <c r="Q97" s="324">
        <v>46254</v>
      </c>
      <c r="R97" s="324">
        <v>46254</v>
      </c>
      <c r="S97" s="324">
        <v>46254</v>
      </c>
      <c r="T97" s="324">
        <v>46268</v>
      </c>
      <c r="U97" s="324">
        <v>46287</v>
      </c>
      <c r="V97" s="324">
        <v>46301</v>
      </c>
      <c r="W97" s="324"/>
      <c r="X97" s="324">
        <v>46316</v>
      </c>
      <c r="Y97" s="324">
        <v>46318</v>
      </c>
      <c r="Z97" s="324">
        <v>46325</v>
      </c>
      <c r="AA97" s="324">
        <v>46346</v>
      </c>
      <c r="AB97" s="324">
        <v>46360</v>
      </c>
      <c r="AC97" s="324">
        <v>46375</v>
      </c>
      <c r="AD97" s="324">
        <v>46375</v>
      </c>
      <c r="AE97" s="324">
        <v>46377</v>
      </c>
      <c r="AF97" s="324">
        <v>46421</v>
      </c>
      <c r="AG97" s="324">
        <v>46435</v>
      </c>
      <c r="AH97" s="324">
        <v>46442</v>
      </c>
      <c r="AI97" s="324">
        <v>46456</v>
      </c>
      <c r="AJ97" s="324">
        <v>46472</v>
      </c>
      <c r="AK97" s="325">
        <v>18</v>
      </c>
      <c r="AL97" s="326">
        <f>AK97*7</f>
        <v>126</v>
      </c>
      <c r="AM97" s="324">
        <f>X97+AL97</f>
        <v>46442</v>
      </c>
      <c r="AN97" s="327">
        <f>AN98</f>
        <v>46478</v>
      </c>
      <c r="AO97" s="327"/>
      <c r="AP97" s="327"/>
      <c r="AQ97" s="327"/>
      <c r="AR97" s="319">
        <f>AN98-AM97</f>
        <v>36</v>
      </c>
      <c r="AS97" s="328"/>
      <c r="AT97" s="329" t="s">
        <v>65</v>
      </c>
      <c r="AU97" s="330">
        <v>46485</v>
      </c>
      <c r="AV97" s="331">
        <v>47</v>
      </c>
    </row>
    <row r="98" spans="1:48" s="270" customFormat="1" ht="25.05" hidden="1" customHeight="1">
      <c r="A98" s="315"/>
      <c r="B98" s="263" t="s">
        <v>157</v>
      </c>
      <c r="C98" s="432" t="s">
        <v>158</v>
      </c>
      <c r="D98" s="371"/>
      <c r="E98" s="317"/>
      <c r="F98" s="371"/>
      <c r="G98" s="319"/>
      <c r="H98" s="320" t="s">
        <v>159</v>
      </c>
      <c r="I98" s="319" t="s">
        <v>134</v>
      </c>
      <c r="J98" s="263" t="s">
        <v>75</v>
      </c>
      <c r="K98" s="263">
        <v>4</v>
      </c>
      <c r="L98" s="263" t="s">
        <v>8</v>
      </c>
      <c r="M98" s="322" t="s">
        <v>68</v>
      </c>
      <c r="N98" s="324"/>
      <c r="O98" s="324">
        <v>46239</v>
      </c>
      <c r="P98" s="324"/>
      <c r="Q98" s="324"/>
      <c r="R98" s="324">
        <v>46254</v>
      </c>
      <c r="S98" s="324">
        <f>WORKDAY.INTL(R98,INDEX(S$8:S$11,MATCH($L98,$L$8:$L$11,0)),1,IF(S$18="China",'China Holidays'!$A$2:$A$82,'Thai Holidays'!$A$2:$A$63))</f>
        <v>46254</v>
      </c>
      <c r="T98" s="324">
        <f>WORKDAY.INTL(S98,INDEX(T$8:T$11,MATCH($L98,$L$8:$L$11,0)),1,IF(T$18="China",'China Holidays'!$A$2:$A$82,'Thai Holidays'!$A$2:$A$63))</f>
        <v>46268</v>
      </c>
      <c r="U98" s="324">
        <f>WORKDAY.INTL(T98,INDEX(U$8:U$11,MATCH($L98,$L$8:$L$11,0)),1,IF(U$18="China",'China Holidays'!$A$2:$A$82,'Thai Holidays'!$A$2:$A$63))</f>
        <v>46287</v>
      </c>
      <c r="V98" s="324">
        <f>WORKDAY.INTL(U98,INDEX(V$8:V$11,MATCH($L98,$L$8:$L$11,0)),1,IF(V$18="China",'China Holidays'!$A$2:$A$82,'Thai Holidays'!$A$2:$A$63))</f>
        <v>46301</v>
      </c>
      <c r="W98" s="324"/>
      <c r="X98" s="324">
        <f>WORKDAY.INTL(V98,INDEX(X$8:X$11,MATCH($L98,$L$8:$L$11,0)),1,IF(X$18="China",'China Holidays'!$A$2:$A$82,'Thai Holidays'!$A$2:$A$63))</f>
        <v>46315</v>
      </c>
      <c r="Y98" s="324">
        <f>WORKDAY.INTL(X98,INDEX(Y$12:Y$15,MATCH($L98,$L$12:$L$15,0)),1,IF(Y$18="China",'China Holidays'!$A$2:$A$82,'Thai Holidays'!$A$2:$A$63))</f>
        <v>46317</v>
      </c>
      <c r="Z98" s="324">
        <f>WORKDAY.INTL(Y98,INDEX(Z$12:Z$15,MATCH($L98,$L$12:$L$15,0)),1,IF(Z$18="China",'China Holidays'!$A$2:$A$82,'Thai Holidays'!$A$2:$A$63))</f>
        <v>46324</v>
      </c>
      <c r="AA98" s="324">
        <f>WORKDAY.INTL(Z98,INDEX(AA$12:AA$15,MATCH($L98,$L$12:$L$15,0)),1,IF(AA$18="China",'China Holidays'!$A$2:$A$82,'Thai Holidays'!$A$2:$A$63))</f>
        <v>46345</v>
      </c>
      <c r="AB98" s="324">
        <f>WORKDAY.INTL(AA98,INDEX(AB$12:AB$15,MATCH($L98,$L$12:$L$15,0)),1,IF(AB$18="China",'China Holidays'!$A$2:$A$82,'Thai Holidays'!$A$2:$A$63))</f>
        <v>46359</v>
      </c>
      <c r="AC98" s="324">
        <f>AB98+15</f>
        <v>46374</v>
      </c>
      <c r="AD98" s="324">
        <f>AC98</f>
        <v>46374</v>
      </c>
      <c r="AE98" s="324">
        <f>AD98+2</f>
        <v>46376</v>
      </c>
      <c r="AF98" s="324">
        <f>AG98-14</f>
        <v>46420</v>
      </c>
      <c r="AG98" s="324">
        <f>AH98-7</f>
        <v>46434</v>
      </c>
      <c r="AH98" s="324">
        <f>AM98</f>
        <v>46441</v>
      </c>
      <c r="AI98" s="324">
        <f>AM98+14</f>
        <v>46455</v>
      </c>
      <c r="AJ98" s="324">
        <f>AM98+30</f>
        <v>46471</v>
      </c>
      <c r="AK98" s="325">
        <v>18</v>
      </c>
      <c r="AL98" s="326">
        <f>AK98*7</f>
        <v>126</v>
      </c>
      <c r="AM98" s="324">
        <f>IF(X98&lt;&gt;"",X98+AL98,X99+AL98)</f>
        <v>46441</v>
      </c>
      <c r="AN98" s="327">
        <f>AU97-7</f>
        <v>46478</v>
      </c>
      <c r="AO98" s="327">
        <f>AP98-7</f>
        <v>46498</v>
      </c>
      <c r="AP98" s="327">
        <v>46505</v>
      </c>
      <c r="AQ98" s="327" t="s">
        <v>136</v>
      </c>
      <c r="AR98" s="319">
        <f>AN98-AM98</f>
        <v>37</v>
      </c>
      <c r="AS98" s="328"/>
      <c r="AT98" s="329" t="s">
        <v>69</v>
      </c>
      <c r="AU98" s="330">
        <v>46485</v>
      </c>
      <c r="AV98" s="271"/>
    </row>
    <row r="99" spans="1:48" s="270" customFormat="1" ht="25.05" hidden="1" customHeight="1">
      <c r="A99" s="333"/>
      <c r="B99" s="334" t="s">
        <v>157</v>
      </c>
      <c r="C99" s="436" t="s">
        <v>158</v>
      </c>
      <c r="D99" s="372"/>
      <c r="E99" s="336"/>
      <c r="F99" s="372"/>
      <c r="G99" s="338"/>
      <c r="H99" s="339"/>
      <c r="I99" s="338" t="s">
        <v>134</v>
      </c>
      <c r="J99" s="334" t="s">
        <v>75</v>
      </c>
      <c r="K99" s="263">
        <v>4</v>
      </c>
      <c r="L99" s="334" t="s">
        <v>8</v>
      </c>
      <c r="M99" s="340" t="s">
        <v>70</v>
      </c>
      <c r="N99" s="338"/>
      <c r="O99" s="341">
        <v>46233</v>
      </c>
      <c r="P99" s="341">
        <v>46237</v>
      </c>
      <c r="Q99" s="341">
        <v>46237</v>
      </c>
      <c r="R99" s="341">
        <f>Q99</f>
        <v>46237</v>
      </c>
      <c r="S99" s="437" t="s">
        <v>4995</v>
      </c>
      <c r="T99" s="341"/>
      <c r="U99" s="341"/>
      <c r="V99" s="341"/>
      <c r="W99" s="341"/>
      <c r="X99" s="338"/>
      <c r="Y99" s="341"/>
      <c r="Z99" s="341"/>
      <c r="AA99" s="341"/>
      <c r="AB99" s="341"/>
      <c r="AC99" s="341"/>
      <c r="AD99" s="341"/>
      <c r="AE99" s="341"/>
      <c r="AF99" s="341"/>
      <c r="AG99" s="341"/>
      <c r="AH99" s="341"/>
      <c r="AI99" s="341"/>
      <c r="AJ99" s="341"/>
      <c r="AK99" s="342"/>
      <c r="AL99" s="343"/>
      <c r="AM99" s="341"/>
      <c r="AN99" s="344"/>
      <c r="AO99" s="344"/>
      <c r="AP99" s="344"/>
      <c r="AQ99" s="344"/>
      <c r="AR99" s="338"/>
      <c r="AS99" s="345"/>
      <c r="AT99" s="346"/>
      <c r="AU99" s="345"/>
    </row>
    <row r="100" spans="1:48" s="270" customFormat="1" ht="25.05" hidden="1" customHeight="1">
      <c r="A100" s="315">
        <v>30</v>
      </c>
      <c r="B100" s="263" t="s">
        <v>160</v>
      </c>
      <c r="C100" s="432" t="s">
        <v>161</v>
      </c>
      <c r="D100" s="369"/>
      <c r="E100" s="317"/>
      <c r="F100" s="370"/>
      <c r="G100" s="319"/>
      <c r="H100" s="320"/>
      <c r="I100" s="319" t="s">
        <v>134</v>
      </c>
      <c r="J100" s="263"/>
      <c r="K100" s="321"/>
      <c r="L100" s="263" t="s">
        <v>8</v>
      </c>
      <c r="M100" s="322" t="s">
        <v>63</v>
      </c>
      <c r="N100" s="323"/>
      <c r="O100" s="324">
        <v>46239</v>
      </c>
      <c r="P100" s="324">
        <v>46254</v>
      </c>
      <c r="Q100" s="324">
        <v>46254</v>
      </c>
      <c r="R100" s="324">
        <v>46254</v>
      </c>
      <c r="S100" s="324">
        <v>46254</v>
      </c>
      <c r="T100" s="324">
        <v>46268</v>
      </c>
      <c r="U100" s="324">
        <v>46287</v>
      </c>
      <c r="V100" s="324">
        <v>46301</v>
      </c>
      <c r="W100" s="324"/>
      <c r="X100" s="324">
        <v>46316</v>
      </c>
      <c r="Y100" s="324">
        <v>46318</v>
      </c>
      <c r="Z100" s="324">
        <v>46325</v>
      </c>
      <c r="AA100" s="324">
        <v>46346</v>
      </c>
      <c r="AB100" s="324">
        <v>46360</v>
      </c>
      <c r="AC100" s="324">
        <v>46375</v>
      </c>
      <c r="AD100" s="324">
        <v>46375</v>
      </c>
      <c r="AE100" s="324">
        <v>46377</v>
      </c>
      <c r="AF100" s="324">
        <v>46421</v>
      </c>
      <c r="AG100" s="324">
        <v>46435</v>
      </c>
      <c r="AH100" s="324">
        <v>46442</v>
      </c>
      <c r="AI100" s="324">
        <v>46456</v>
      </c>
      <c r="AJ100" s="324">
        <v>46472</v>
      </c>
      <c r="AK100" s="325">
        <v>18</v>
      </c>
      <c r="AL100" s="326">
        <f>AK100*7</f>
        <v>126</v>
      </c>
      <c r="AM100" s="324">
        <f>X100+AL100</f>
        <v>46442</v>
      </c>
      <c r="AN100" s="327">
        <f>AN101</f>
        <v>46478</v>
      </c>
      <c r="AO100" s="327"/>
      <c r="AP100" s="327"/>
      <c r="AQ100" s="327"/>
      <c r="AR100" s="319">
        <f>AN101-AM100</f>
        <v>36</v>
      </c>
      <c r="AS100" s="328"/>
      <c r="AT100" s="329" t="s">
        <v>65</v>
      </c>
      <c r="AU100" s="330">
        <v>46485</v>
      </c>
      <c r="AV100" s="331">
        <v>47</v>
      </c>
    </row>
    <row r="101" spans="1:48" s="270" customFormat="1" ht="25.05" hidden="1" customHeight="1">
      <c r="A101" s="315"/>
      <c r="B101" s="263" t="s">
        <v>160</v>
      </c>
      <c r="C101" s="432" t="s">
        <v>161</v>
      </c>
      <c r="D101" s="371"/>
      <c r="E101" s="317"/>
      <c r="F101" s="371"/>
      <c r="G101" s="319"/>
      <c r="H101" s="320" t="s">
        <v>159</v>
      </c>
      <c r="I101" s="319" t="s">
        <v>134</v>
      </c>
      <c r="J101" s="263" t="s">
        <v>75</v>
      </c>
      <c r="K101" s="263">
        <v>4</v>
      </c>
      <c r="L101" s="263" t="s">
        <v>8</v>
      </c>
      <c r="M101" s="322" t="s">
        <v>68</v>
      </c>
      <c r="N101" s="324"/>
      <c r="O101" s="324"/>
      <c r="P101" s="324">
        <v>46254</v>
      </c>
      <c r="Q101" s="324">
        <f>WORKDAY.INTL(P101,INDEX(Q$8:Q$11,MATCH($L101,$L$8:$L$11,0)),1,IF(Q$18="China",'China Holidays'!$A$2:$A$82,'Thai Holidays'!$A$2:$A$63))</f>
        <v>46254</v>
      </c>
      <c r="R101" s="324">
        <f>WORKDAY.INTL(Q101,INDEX(R$8:R$11,MATCH($L101,$L$8:$L$11,0)),1,IF(R$18="China",'China Holidays'!$A$2:$A$82,'Thai Holidays'!$A$2:$A$63))</f>
        <v>46254</v>
      </c>
      <c r="S101" s="324">
        <f>WORKDAY.INTL(R101,INDEX(S$8:S$11,MATCH($L101,$L$8:$L$11,0)),1,IF(S$18="China",'China Holidays'!$A$2:$A$82,'Thai Holidays'!$A$2:$A$63))</f>
        <v>46254</v>
      </c>
      <c r="T101" s="324">
        <f>WORKDAY.INTL(S101,INDEX(T$8:T$11,MATCH($L101,$L$8:$L$11,0)),1,IF(T$18="China",'China Holidays'!$A$2:$A$82,'Thai Holidays'!$A$2:$A$63))</f>
        <v>46268</v>
      </c>
      <c r="U101" s="324">
        <f>WORKDAY.INTL(T101,INDEX(U$8:U$11,MATCH($L101,$L$8:$L$11,0)),1,IF(U$18="China",'China Holidays'!$A$2:$A$82,'Thai Holidays'!$A$2:$A$63))</f>
        <v>46287</v>
      </c>
      <c r="V101" s="324">
        <f>WORKDAY.INTL(U101,INDEX(V$8:V$11,MATCH($L101,$L$8:$L$11,0)),1,IF(V$18="China",'China Holidays'!$A$2:$A$82,'Thai Holidays'!$A$2:$A$63))</f>
        <v>46301</v>
      </c>
      <c r="W101" s="324"/>
      <c r="X101" s="324">
        <f>WORKDAY.INTL(V101,INDEX(X$8:X$11,MATCH($L101,$L$8:$L$11,0)),1,IF(X$18="China",'China Holidays'!$A$2:$A$82,'Thai Holidays'!$A$2:$A$63))</f>
        <v>46315</v>
      </c>
      <c r="Y101" s="324">
        <f>WORKDAY.INTL(X101,INDEX(Y$12:Y$15,MATCH($L101,$L$12:$L$15,0)),1,IF(Y$18="China",'China Holidays'!$A$2:$A$82,'Thai Holidays'!$A$2:$A$63))</f>
        <v>46317</v>
      </c>
      <c r="Z101" s="324">
        <f>WORKDAY.INTL(Y101,INDEX(Z$12:Z$15,MATCH($L101,$L$12:$L$15,0)),1,IF(Z$18="China",'China Holidays'!$A$2:$A$82,'Thai Holidays'!$A$2:$A$63))</f>
        <v>46324</v>
      </c>
      <c r="AA101" s="324">
        <f>WORKDAY.INTL(Z101,INDEX(AA$12:AA$15,MATCH($L101,$L$12:$L$15,0)),1,IF(AA$18="China",'China Holidays'!$A$2:$A$82,'Thai Holidays'!$A$2:$A$63))</f>
        <v>46345</v>
      </c>
      <c r="AB101" s="324">
        <f>WORKDAY.INTL(AA101,INDEX(AB$12:AB$15,MATCH($L101,$L$12:$L$15,0)),1,IF(AB$18="China",'China Holidays'!$A$2:$A$82,'Thai Holidays'!$A$2:$A$63))</f>
        <v>46359</v>
      </c>
      <c r="AC101" s="324">
        <f>AB101+15</f>
        <v>46374</v>
      </c>
      <c r="AD101" s="324">
        <f>AC101</f>
        <v>46374</v>
      </c>
      <c r="AE101" s="324">
        <f>AD101+2</f>
        <v>46376</v>
      </c>
      <c r="AF101" s="324">
        <f>AG101-14</f>
        <v>46420</v>
      </c>
      <c r="AG101" s="324">
        <f>AH101-7</f>
        <v>46434</v>
      </c>
      <c r="AH101" s="324">
        <f>AM101</f>
        <v>46441</v>
      </c>
      <c r="AI101" s="324">
        <f>AM101+14</f>
        <v>46455</v>
      </c>
      <c r="AJ101" s="324">
        <f>AM101+30</f>
        <v>46471</v>
      </c>
      <c r="AK101" s="325">
        <v>18</v>
      </c>
      <c r="AL101" s="326">
        <f>AK101*7</f>
        <v>126</v>
      </c>
      <c r="AM101" s="324">
        <f>IF(X101&lt;&gt;"",X101+AL101,X102+AL101)</f>
        <v>46441</v>
      </c>
      <c r="AN101" s="327">
        <f>AU100-7</f>
        <v>46478</v>
      </c>
      <c r="AO101" s="327">
        <f>AP101-7</f>
        <v>46498</v>
      </c>
      <c r="AP101" s="327">
        <v>46505</v>
      </c>
      <c r="AQ101" s="327" t="s">
        <v>136</v>
      </c>
      <c r="AR101" s="319">
        <f>AN101-AM101</f>
        <v>37</v>
      </c>
      <c r="AS101" s="328"/>
      <c r="AT101" s="329" t="s">
        <v>69</v>
      </c>
      <c r="AU101" s="330">
        <v>46485</v>
      </c>
      <c r="AV101" s="271"/>
    </row>
    <row r="102" spans="1:48" s="270" customFormat="1" ht="25.05" hidden="1" customHeight="1">
      <c r="A102" s="333"/>
      <c r="B102" s="334" t="s">
        <v>160</v>
      </c>
      <c r="C102" s="436" t="s">
        <v>161</v>
      </c>
      <c r="D102" s="372"/>
      <c r="E102" s="336"/>
      <c r="F102" s="372"/>
      <c r="G102" s="338"/>
      <c r="H102" s="339"/>
      <c r="I102" s="338" t="s">
        <v>134</v>
      </c>
      <c r="J102" s="334" t="s">
        <v>75</v>
      </c>
      <c r="K102" s="263">
        <v>4</v>
      </c>
      <c r="L102" s="334" t="s">
        <v>8</v>
      </c>
      <c r="M102" s="340" t="s">
        <v>70</v>
      </c>
      <c r="N102" s="338"/>
      <c r="O102" s="341">
        <v>46239</v>
      </c>
      <c r="P102" s="341"/>
      <c r="Q102" s="341"/>
      <c r="R102" s="341"/>
      <c r="S102" s="341"/>
      <c r="T102" s="341"/>
      <c r="U102" s="341"/>
      <c r="V102" s="341"/>
      <c r="W102" s="341"/>
      <c r="X102" s="338"/>
      <c r="Y102" s="341"/>
      <c r="Z102" s="341"/>
      <c r="AA102" s="341"/>
      <c r="AB102" s="341"/>
      <c r="AC102" s="341"/>
      <c r="AD102" s="341"/>
      <c r="AE102" s="341"/>
      <c r="AF102" s="341"/>
      <c r="AG102" s="341"/>
      <c r="AH102" s="341"/>
      <c r="AI102" s="341"/>
      <c r="AJ102" s="341"/>
      <c r="AK102" s="342"/>
      <c r="AL102" s="343"/>
      <c r="AM102" s="341"/>
      <c r="AN102" s="344"/>
      <c r="AO102" s="344"/>
      <c r="AP102" s="344"/>
      <c r="AQ102" s="344"/>
      <c r="AR102" s="338"/>
      <c r="AS102" s="345"/>
      <c r="AT102" s="346"/>
      <c r="AU102" s="345"/>
    </row>
    <row r="103" spans="1:48" s="270" customFormat="1" ht="25.05" hidden="1" customHeight="1">
      <c r="A103" s="315">
        <v>31</v>
      </c>
      <c r="B103" s="263" t="s">
        <v>162</v>
      </c>
      <c r="C103" s="432" t="s">
        <v>163</v>
      </c>
      <c r="D103" s="369"/>
      <c r="E103" s="317"/>
      <c r="F103" s="370"/>
      <c r="G103" s="319"/>
      <c r="H103" s="320"/>
      <c r="I103" s="319" t="s">
        <v>134</v>
      </c>
      <c r="J103" s="263"/>
      <c r="K103" s="321"/>
      <c r="L103" s="263" t="s">
        <v>8</v>
      </c>
      <c r="M103" s="322" t="s">
        <v>63</v>
      </c>
      <c r="N103" s="323"/>
      <c r="O103" s="324">
        <v>46239</v>
      </c>
      <c r="P103" s="324">
        <v>46254</v>
      </c>
      <c r="Q103" s="324">
        <v>46254</v>
      </c>
      <c r="R103" s="324">
        <v>46254</v>
      </c>
      <c r="S103" s="324">
        <v>46254</v>
      </c>
      <c r="T103" s="324">
        <v>46268</v>
      </c>
      <c r="U103" s="324">
        <v>46287</v>
      </c>
      <c r="V103" s="324">
        <v>46301</v>
      </c>
      <c r="W103" s="324"/>
      <c r="X103" s="324">
        <v>46316</v>
      </c>
      <c r="Y103" s="324">
        <v>46318</v>
      </c>
      <c r="Z103" s="324">
        <v>46325</v>
      </c>
      <c r="AA103" s="324">
        <v>46346</v>
      </c>
      <c r="AB103" s="324">
        <v>46360</v>
      </c>
      <c r="AC103" s="324">
        <v>46375</v>
      </c>
      <c r="AD103" s="324">
        <v>46375</v>
      </c>
      <c r="AE103" s="324">
        <v>46377</v>
      </c>
      <c r="AF103" s="324">
        <v>46421</v>
      </c>
      <c r="AG103" s="324">
        <v>46435</v>
      </c>
      <c r="AH103" s="324">
        <v>46442</v>
      </c>
      <c r="AI103" s="324">
        <v>46456</v>
      </c>
      <c r="AJ103" s="324">
        <v>46472</v>
      </c>
      <c r="AK103" s="325">
        <v>18</v>
      </c>
      <c r="AL103" s="326">
        <f>AK103*7</f>
        <v>126</v>
      </c>
      <c r="AM103" s="324">
        <f>X103+AL103</f>
        <v>46442</v>
      </c>
      <c r="AN103" s="327">
        <f>AN104</f>
        <v>46478</v>
      </c>
      <c r="AO103" s="327"/>
      <c r="AP103" s="327"/>
      <c r="AQ103" s="327"/>
      <c r="AR103" s="319">
        <f>AN104-AM103</f>
        <v>36</v>
      </c>
      <c r="AS103" s="328"/>
      <c r="AT103" s="329" t="s">
        <v>65</v>
      </c>
      <c r="AU103" s="330">
        <v>46485</v>
      </c>
      <c r="AV103" s="331">
        <v>47</v>
      </c>
    </row>
    <row r="104" spans="1:48" s="270" customFormat="1" ht="25.05" hidden="1" customHeight="1">
      <c r="A104" s="315"/>
      <c r="B104" s="263" t="s">
        <v>162</v>
      </c>
      <c r="C104" s="432" t="s">
        <v>163</v>
      </c>
      <c r="D104" s="371"/>
      <c r="E104" s="317"/>
      <c r="F104" s="371"/>
      <c r="G104" s="319"/>
      <c r="H104" s="320" t="s">
        <v>159</v>
      </c>
      <c r="I104" s="319" t="s">
        <v>134</v>
      </c>
      <c r="J104" s="263" t="s">
        <v>75</v>
      </c>
      <c r="K104" s="263">
        <v>4</v>
      </c>
      <c r="L104" s="263" t="s">
        <v>8</v>
      </c>
      <c r="M104" s="322" t="s">
        <v>68</v>
      </c>
      <c r="N104" s="324"/>
      <c r="O104" s="324"/>
      <c r="P104" s="324">
        <v>46254</v>
      </c>
      <c r="Q104" s="324">
        <f>WORKDAY.INTL(P104,INDEX(Q$8:Q$11,MATCH($L104,$L$8:$L$11,0)),1,IF(Q$18="China",'China Holidays'!$A$2:$A$82,'Thai Holidays'!$A$2:$A$63))</f>
        <v>46254</v>
      </c>
      <c r="R104" s="324">
        <f>WORKDAY.INTL(Q104,INDEX(R$8:R$11,MATCH($L104,$L$8:$L$11,0)),1,IF(R$18="China",'China Holidays'!$A$2:$A$82,'Thai Holidays'!$A$2:$A$63))</f>
        <v>46254</v>
      </c>
      <c r="S104" s="324">
        <f>WORKDAY.INTL(R104,INDEX(S$8:S$11,MATCH($L104,$L$8:$L$11,0)),1,IF(S$18="China",'China Holidays'!$A$2:$A$82,'Thai Holidays'!$A$2:$A$63))</f>
        <v>46254</v>
      </c>
      <c r="T104" s="324">
        <f>WORKDAY.INTL(S104,INDEX(T$8:T$11,MATCH($L104,$L$8:$L$11,0)),1,IF(T$18="China",'China Holidays'!$A$2:$A$82,'Thai Holidays'!$A$2:$A$63))</f>
        <v>46268</v>
      </c>
      <c r="U104" s="324">
        <f>WORKDAY.INTL(T104,INDEX(U$8:U$11,MATCH($L104,$L$8:$L$11,0)),1,IF(U$18="China",'China Holidays'!$A$2:$A$82,'Thai Holidays'!$A$2:$A$63))</f>
        <v>46287</v>
      </c>
      <c r="V104" s="324">
        <f>WORKDAY.INTL(U104,INDEX(V$8:V$11,MATCH($L104,$L$8:$L$11,0)),1,IF(V$18="China",'China Holidays'!$A$2:$A$82,'Thai Holidays'!$A$2:$A$63))</f>
        <v>46301</v>
      </c>
      <c r="W104" s="324"/>
      <c r="X104" s="324">
        <f>WORKDAY.INTL(V104,INDEX(X$8:X$11,MATCH($L104,$L$8:$L$11,0)),1,IF(X$18="China",'China Holidays'!$A$2:$A$82,'Thai Holidays'!$A$2:$A$63))</f>
        <v>46315</v>
      </c>
      <c r="Y104" s="324">
        <f>WORKDAY.INTL(X104,INDEX(Y$12:Y$15,MATCH($L104,$L$12:$L$15,0)),1,IF(Y$18="China",'China Holidays'!$A$2:$A$82,'Thai Holidays'!$A$2:$A$63))</f>
        <v>46317</v>
      </c>
      <c r="Z104" s="324">
        <f>WORKDAY.INTL(Y104,INDEX(Z$12:Z$15,MATCH($L104,$L$12:$L$15,0)),1,IF(Z$18="China",'China Holidays'!$A$2:$A$82,'Thai Holidays'!$A$2:$A$63))</f>
        <v>46324</v>
      </c>
      <c r="AA104" s="324">
        <f>WORKDAY.INTL(Z104,INDEX(AA$12:AA$15,MATCH($L104,$L$12:$L$15,0)),1,IF(AA$18="China",'China Holidays'!$A$2:$A$82,'Thai Holidays'!$A$2:$A$63))</f>
        <v>46345</v>
      </c>
      <c r="AB104" s="324">
        <f>WORKDAY.INTL(AA104,INDEX(AB$12:AB$15,MATCH($L104,$L$12:$L$15,0)),1,IF(AB$18="China",'China Holidays'!$A$2:$A$82,'Thai Holidays'!$A$2:$A$63))</f>
        <v>46359</v>
      </c>
      <c r="AC104" s="324">
        <f>AB104+15</f>
        <v>46374</v>
      </c>
      <c r="AD104" s="324">
        <f>AC104</f>
        <v>46374</v>
      </c>
      <c r="AE104" s="324">
        <f>AD104+2</f>
        <v>46376</v>
      </c>
      <c r="AF104" s="324">
        <f>AG104-14</f>
        <v>46420</v>
      </c>
      <c r="AG104" s="324">
        <f>AH104-7</f>
        <v>46434</v>
      </c>
      <c r="AH104" s="324">
        <f>AM104</f>
        <v>46441</v>
      </c>
      <c r="AI104" s="324">
        <f>AM104+14</f>
        <v>46455</v>
      </c>
      <c r="AJ104" s="324">
        <f>AM104+30</f>
        <v>46471</v>
      </c>
      <c r="AK104" s="325">
        <v>18</v>
      </c>
      <c r="AL104" s="326">
        <f>AK104*7</f>
        <v>126</v>
      </c>
      <c r="AM104" s="324">
        <f>IF(X104&lt;&gt;"",X104+AL104,X105+AL104)</f>
        <v>46441</v>
      </c>
      <c r="AN104" s="327">
        <f>AU103-7</f>
        <v>46478</v>
      </c>
      <c r="AO104" s="327">
        <f>AP104-7</f>
        <v>46498</v>
      </c>
      <c r="AP104" s="327">
        <v>46505</v>
      </c>
      <c r="AQ104" s="327" t="s">
        <v>136</v>
      </c>
      <c r="AR104" s="319">
        <f>AN104-AM104</f>
        <v>37</v>
      </c>
      <c r="AS104" s="328"/>
      <c r="AT104" s="329" t="s">
        <v>69</v>
      </c>
      <c r="AU104" s="330">
        <v>46485</v>
      </c>
      <c r="AV104" s="271"/>
    </row>
    <row r="105" spans="1:48" s="270" customFormat="1" ht="25.05" hidden="1" customHeight="1">
      <c r="A105" s="333"/>
      <c r="B105" s="334" t="s">
        <v>162</v>
      </c>
      <c r="C105" s="436" t="s">
        <v>163</v>
      </c>
      <c r="D105" s="372"/>
      <c r="E105" s="336"/>
      <c r="F105" s="372"/>
      <c r="G105" s="338"/>
      <c r="H105" s="339"/>
      <c r="I105" s="338" t="s">
        <v>134</v>
      </c>
      <c r="J105" s="334" t="s">
        <v>75</v>
      </c>
      <c r="K105" s="263">
        <v>4</v>
      </c>
      <c r="L105" s="334" t="s">
        <v>8</v>
      </c>
      <c r="M105" s="340" t="s">
        <v>70</v>
      </c>
      <c r="N105" s="338"/>
      <c r="O105" s="341">
        <v>46240</v>
      </c>
      <c r="P105" s="341"/>
      <c r="Q105" s="341"/>
      <c r="R105" s="341"/>
      <c r="S105" s="341"/>
      <c r="T105" s="341"/>
      <c r="U105" s="341"/>
      <c r="V105" s="341"/>
      <c r="W105" s="341"/>
      <c r="X105" s="338"/>
      <c r="Y105" s="341"/>
      <c r="Z105" s="341"/>
      <c r="AA105" s="341"/>
      <c r="AB105" s="341"/>
      <c r="AC105" s="341"/>
      <c r="AD105" s="341"/>
      <c r="AE105" s="341"/>
      <c r="AF105" s="341"/>
      <c r="AG105" s="341"/>
      <c r="AH105" s="341"/>
      <c r="AI105" s="341"/>
      <c r="AJ105" s="341"/>
      <c r="AK105" s="342"/>
      <c r="AL105" s="343"/>
      <c r="AM105" s="341"/>
      <c r="AN105" s="344"/>
      <c r="AO105" s="344"/>
      <c r="AP105" s="344"/>
      <c r="AQ105" s="344"/>
      <c r="AR105" s="338"/>
      <c r="AS105" s="345"/>
      <c r="AT105" s="346"/>
      <c r="AU105" s="345"/>
    </row>
    <row r="106" spans="1:48" s="270" customFormat="1" ht="25.05" hidden="1" customHeight="1">
      <c r="A106" s="315">
        <v>32</v>
      </c>
      <c r="B106" s="263" t="s">
        <v>164</v>
      </c>
      <c r="C106" s="432" t="s">
        <v>165</v>
      </c>
      <c r="D106" s="369"/>
      <c r="E106" s="317"/>
      <c r="F106" s="370"/>
      <c r="G106" s="319"/>
      <c r="H106" s="320"/>
      <c r="I106" s="319" t="s">
        <v>134</v>
      </c>
      <c r="J106" s="263"/>
      <c r="K106" s="321"/>
      <c r="L106" s="263" t="s">
        <v>8</v>
      </c>
      <c r="M106" s="322" t="s">
        <v>63</v>
      </c>
      <c r="N106" s="323"/>
      <c r="O106" s="324">
        <v>46239</v>
      </c>
      <c r="P106" s="324">
        <v>46254</v>
      </c>
      <c r="Q106" s="324">
        <v>46254</v>
      </c>
      <c r="R106" s="324">
        <v>46254</v>
      </c>
      <c r="S106" s="324">
        <v>46254</v>
      </c>
      <c r="T106" s="324">
        <v>46268</v>
      </c>
      <c r="U106" s="324">
        <v>46287</v>
      </c>
      <c r="V106" s="324">
        <v>46301</v>
      </c>
      <c r="W106" s="324"/>
      <c r="X106" s="324">
        <v>46316</v>
      </c>
      <c r="Y106" s="324">
        <v>46318</v>
      </c>
      <c r="Z106" s="324">
        <v>46325</v>
      </c>
      <c r="AA106" s="324">
        <v>46346</v>
      </c>
      <c r="AB106" s="324">
        <v>46360</v>
      </c>
      <c r="AC106" s="324">
        <v>46375</v>
      </c>
      <c r="AD106" s="324">
        <v>46375</v>
      </c>
      <c r="AE106" s="324">
        <v>46377</v>
      </c>
      <c r="AF106" s="324">
        <v>46421</v>
      </c>
      <c r="AG106" s="324">
        <v>46435</v>
      </c>
      <c r="AH106" s="324">
        <v>46442</v>
      </c>
      <c r="AI106" s="324">
        <v>46456</v>
      </c>
      <c r="AJ106" s="324">
        <v>46472</v>
      </c>
      <c r="AK106" s="325">
        <v>18</v>
      </c>
      <c r="AL106" s="326">
        <f>AK106*7</f>
        <v>126</v>
      </c>
      <c r="AM106" s="324">
        <f>X106+AL106</f>
        <v>46442</v>
      </c>
      <c r="AN106" s="327">
        <f>AN107</f>
        <v>46478</v>
      </c>
      <c r="AO106" s="327"/>
      <c r="AP106" s="327"/>
      <c r="AQ106" s="327"/>
      <c r="AR106" s="319">
        <f>AN107-AM106</f>
        <v>36</v>
      </c>
      <c r="AS106" s="328"/>
      <c r="AT106" s="329" t="s">
        <v>65</v>
      </c>
      <c r="AU106" s="330">
        <v>46485</v>
      </c>
      <c r="AV106" s="331">
        <v>47</v>
      </c>
    </row>
    <row r="107" spans="1:48" s="270" customFormat="1" ht="25.05" hidden="1" customHeight="1">
      <c r="A107" s="315"/>
      <c r="B107" s="263" t="s">
        <v>164</v>
      </c>
      <c r="C107" s="432" t="s">
        <v>165</v>
      </c>
      <c r="D107" s="371"/>
      <c r="E107" s="317"/>
      <c r="F107" s="371"/>
      <c r="G107" s="319"/>
      <c r="H107" s="320" t="s">
        <v>159</v>
      </c>
      <c r="I107" s="319" t="s">
        <v>134</v>
      </c>
      <c r="J107" s="263" t="s">
        <v>75</v>
      </c>
      <c r="K107" s="263">
        <v>4</v>
      </c>
      <c r="L107" s="263" t="s">
        <v>8</v>
      </c>
      <c r="M107" s="322" t="s">
        <v>68</v>
      </c>
      <c r="N107" s="324"/>
      <c r="O107" s="324"/>
      <c r="P107" s="324">
        <v>46254</v>
      </c>
      <c r="Q107" s="324">
        <f>WORKDAY.INTL(P107,INDEX(Q$8:Q$11,MATCH($L107,$L$8:$L$11,0)),1,IF(Q$18="China",'China Holidays'!$A$2:$A$82,'Thai Holidays'!$A$2:$A$63))</f>
        <v>46254</v>
      </c>
      <c r="R107" s="324">
        <f>WORKDAY.INTL(Q107,INDEX(R$8:R$11,MATCH($L107,$L$8:$L$11,0)),1,IF(R$18="China",'China Holidays'!$A$2:$A$82,'Thai Holidays'!$A$2:$A$63))</f>
        <v>46254</v>
      </c>
      <c r="S107" s="324">
        <f>WORKDAY.INTL(R107,INDEX(S$8:S$11,MATCH($L107,$L$8:$L$11,0)),1,IF(S$18="China",'China Holidays'!$A$2:$A$82,'Thai Holidays'!$A$2:$A$63))</f>
        <v>46254</v>
      </c>
      <c r="T107" s="324">
        <f>WORKDAY.INTL(S107,INDEX(T$8:T$11,MATCH($L107,$L$8:$L$11,0)),1,IF(T$18="China",'China Holidays'!$A$2:$A$82,'Thai Holidays'!$A$2:$A$63))</f>
        <v>46268</v>
      </c>
      <c r="U107" s="324">
        <f>WORKDAY.INTL(T107,INDEX(U$8:U$11,MATCH($L107,$L$8:$L$11,0)),1,IF(U$18="China",'China Holidays'!$A$2:$A$82,'Thai Holidays'!$A$2:$A$63))</f>
        <v>46287</v>
      </c>
      <c r="V107" s="324">
        <f>WORKDAY.INTL(U107,INDEX(V$8:V$11,MATCH($L107,$L$8:$L$11,0)),1,IF(V$18="China",'China Holidays'!$A$2:$A$82,'Thai Holidays'!$A$2:$A$63))</f>
        <v>46301</v>
      </c>
      <c r="W107" s="324"/>
      <c r="X107" s="324">
        <f>WORKDAY.INTL(V107,INDEX(X$8:X$11,MATCH($L107,$L$8:$L$11,0)),1,IF(X$18="China",'China Holidays'!$A$2:$A$82,'Thai Holidays'!$A$2:$A$63))</f>
        <v>46315</v>
      </c>
      <c r="Y107" s="324">
        <f>WORKDAY.INTL(X107,INDEX(Y$12:Y$15,MATCH($L107,$L$12:$L$15,0)),1,IF(Y$18="China",'China Holidays'!$A$2:$A$82,'Thai Holidays'!$A$2:$A$63))</f>
        <v>46317</v>
      </c>
      <c r="Z107" s="324">
        <f>WORKDAY.INTL(Y107,INDEX(Z$12:Z$15,MATCH($L107,$L$12:$L$15,0)),1,IF(Z$18="China",'China Holidays'!$A$2:$A$82,'Thai Holidays'!$A$2:$A$63))</f>
        <v>46324</v>
      </c>
      <c r="AA107" s="324">
        <f>WORKDAY.INTL(Z107,INDEX(AA$12:AA$15,MATCH($L107,$L$12:$L$15,0)),1,IF(AA$18="China",'China Holidays'!$A$2:$A$82,'Thai Holidays'!$A$2:$A$63))</f>
        <v>46345</v>
      </c>
      <c r="AB107" s="324">
        <f>WORKDAY.INTL(AA107,INDEX(AB$12:AB$15,MATCH($L107,$L$12:$L$15,0)),1,IF(AB$18="China",'China Holidays'!$A$2:$A$82,'Thai Holidays'!$A$2:$A$63))</f>
        <v>46359</v>
      </c>
      <c r="AC107" s="324">
        <f>AB107+15</f>
        <v>46374</v>
      </c>
      <c r="AD107" s="324">
        <f>AC107</f>
        <v>46374</v>
      </c>
      <c r="AE107" s="324">
        <f>AD107+2</f>
        <v>46376</v>
      </c>
      <c r="AF107" s="324">
        <f>AG107-14</f>
        <v>46420</v>
      </c>
      <c r="AG107" s="324">
        <f>AH107-7</f>
        <v>46434</v>
      </c>
      <c r="AH107" s="324">
        <f>AM107</f>
        <v>46441</v>
      </c>
      <c r="AI107" s="324">
        <f>AM107+14</f>
        <v>46455</v>
      </c>
      <c r="AJ107" s="324">
        <f>AM107+30</f>
        <v>46471</v>
      </c>
      <c r="AK107" s="325">
        <v>18</v>
      </c>
      <c r="AL107" s="326">
        <f>AK107*7</f>
        <v>126</v>
      </c>
      <c r="AM107" s="324">
        <f>IF(X107&lt;&gt;"",X107+AL107,X108+AL107)</f>
        <v>46441</v>
      </c>
      <c r="AN107" s="327">
        <f>AU106-7</f>
        <v>46478</v>
      </c>
      <c r="AO107" s="327">
        <f>AP107-7</f>
        <v>46498</v>
      </c>
      <c r="AP107" s="327">
        <v>46505</v>
      </c>
      <c r="AQ107" s="327" t="s">
        <v>136</v>
      </c>
      <c r="AR107" s="319">
        <f>AN107-AM107</f>
        <v>37</v>
      </c>
      <c r="AS107" s="328"/>
      <c r="AT107" s="329" t="s">
        <v>69</v>
      </c>
      <c r="AU107" s="330">
        <v>46485</v>
      </c>
      <c r="AV107" s="271"/>
    </row>
    <row r="108" spans="1:48" s="270" customFormat="1" ht="25.05" hidden="1" customHeight="1">
      <c r="A108" s="333"/>
      <c r="B108" s="334" t="s">
        <v>164</v>
      </c>
      <c r="C108" s="436" t="s">
        <v>165</v>
      </c>
      <c r="D108" s="372"/>
      <c r="E108" s="336"/>
      <c r="F108" s="372"/>
      <c r="G108" s="338"/>
      <c r="H108" s="339"/>
      <c r="I108" s="338" t="s">
        <v>134</v>
      </c>
      <c r="J108" s="334" t="s">
        <v>75</v>
      </c>
      <c r="K108" s="263">
        <v>4</v>
      </c>
      <c r="L108" s="334" t="s">
        <v>8</v>
      </c>
      <c r="M108" s="340" t="s">
        <v>70</v>
      </c>
      <c r="N108" s="338"/>
      <c r="O108" s="341">
        <v>46238</v>
      </c>
      <c r="P108" s="341"/>
      <c r="Q108" s="341"/>
      <c r="R108" s="341"/>
      <c r="S108" s="341"/>
      <c r="T108" s="341"/>
      <c r="U108" s="341"/>
      <c r="V108" s="341"/>
      <c r="W108" s="341"/>
      <c r="X108" s="338"/>
      <c r="Y108" s="341"/>
      <c r="Z108" s="341"/>
      <c r="AA108" s="341"/>
      <c r="AB108" s="341"/>
      <c r="AC108" s="341"/>
      <c r="AD108" s="341"/>
      <c r="AE108" s="341"/>
      <c r="AF108" s="341"/>
      <c r="AG108" s="341"/>
      <c r="AH108" s="341"/>
      <c r="AI108" s="341"/>
      <c r="AJ108" s="341"/>
      <c r="AK108" s="342"/>
      <c r="AL108" s="343"/>
      <c r="AM108" s="341"/>
      <c r="AN108" s="344"/>
      <c r="AO108" s="344"/>
      <c r="AP108" s="344"/>
      <c r="AQ108" s="344"/>
      <c r="AR108" s="338"/>
      <c r="AS108" s="345"/>
      <c r="AT108" s="346"/>
      <c r="AU108" s="345"/>
    </row>
    <row r="109" spans="1:48" s="270" customFormat="1" ht="25.05" hidden="1" customHeight="1">
      <c r="A109" s="315">
        <v>33</v>
      </c>
      <c r="B109" s="263" t="s">
        <v>166</v>
      </c>
      <c r="C109" s="432" t="s">
        <v>167</v>
      </c>
      <c r="D109" s="369"/>
      <c r="E109" s="317"/>
      <c r="F109" s="370"/>
      <c r="G109" s="319"/>
      <c r="H109" s="320"/>
      <c r="I109" s="319" t="s">
        <v>134</v>
      </c>
      <c r="J109" s="263"/>
      <c r="K109" s="321"/>
      <c r="L109" s="263" t="s">
        <v>8</v>
      </c>
      <c r="M109" s="322" t="s">
        <v>63</v>
      </c>
      <c r="N109" s="323"/>
      <c r="O109" s="324">
        <v>46227</v>
      </c>
      <c r="P109" s="324">
        <v>46209</v>
      </c>
      <c r="Q109" s="324">
        <v>46209</v>
      </c>
      <c r="R109" s="324">
        <v>46245</v>
      </c>
      <c r="S109" s="324">
        <v>46245</v>
      </c>
      <c r="T109" s="324">
        <v>46259</v>
      </c>
      <c r="U109" s="324">
        <v>46276</v>
      </c>
      <c r="V109" s="324">
        <v>46290</v>
      </c>
      <c r="W109" s="324"/>
      <c r="X109" s="324">
        <v>46310</v>
      </c>
      <c r="Y109" s="324">
        <v>46314</v>
      </c>
      <c r="Z109" s="324">
        <v>46321</v>
      </c>
      <c r="AA109" s="324">
        <v>46342</v>
      </c>
      <c r="AB109" s="324">
        <v>46356</v>
      </c>
      <c r="AC109" s="324">
        <v>46371</v>
      </c>
      <c r="AD109" s="324">
        <v>46371</v>
      </c>
      <c r="AE109" s="324">
        <v>46373</v>
      </c>
      <c r="AF109" s="324">
        <v>46415</v>
      </c>
      <c r="AG109" s="324">
        <v>46429</v>
      </c>
      <c r="AH109" s="324">
        <v>46436</v>
      </c>
      <c r="AI109" s="324">
        <v>46450</v>
      </c>
      <c r="AJ109" s="324">
        <v>46466</v>
      </c>
      <c r="AK109" s="325">
        <v>18</v>
      </c>
      <c r="AL109" s="326">
        <f>AK109*7</f>
        <v>126</v>
      </c>
      <c r="AM109" s="324">
        <f>X109+AL109</f>
        <v>46436</v>
      </c>
      <c r="AN109" s="327">
        <f>AN110</f>
        <v>46478</v>
      </c>
      <c r="AO109" s="327"/>
      <c r="AP109" s="327"/>
      <c r="AQ109" s="327"/>
      <c r="AR109" s="319">
        <f>AN110-AM109</f>
        <v>42</v>
      </c>
      <c r="AS109" s="328"/>
      <c r="AT109" s="329" t="s">
        <v>65</v>
      </c>
      <c r="AU109" s="330">
        <v>46485</v>
      </c>
      <c r="AV109" s="331">
        <v>53</v>
      </c>
    </row>
    <row r="110" spans="1:48" s="270" customFormat="1" ht="25.05" hidden="1" customHeight="1">
      <c r="A110" s="315"/>
      <c r="B110" s="263" t="s">
        <v>166</v>
      </c>
      <c r="C110" s="432" t="s">
        <v>167</v>
      </c>
      <c r="D110" s="371"/>
      <c r="E110" s="317"/>
      <c r="F110" s="371"/>
      <c r="G110" s="319"/>
      <c r="H110" s="320" t="s">
        <v>168</v>
      </c>
      <c r="I110" s="319" t="s">
        <v>134</v>
      </c>
      <c r="J110" s="263" t="s">
        <v>75</v>
      </c>
      <c r="K110" s="263">
        <v>3</v>
      </c>
      <c r="L110" s="263" t="s">
        <v>8</v>
      </c>
      <c r="M110" s="322" t="s">
        <v>68</v>
      </c>
      <c r="N110" s="324"/>
      <c r="O110" s="324"/>
      <c r="P110" s="324"/>
      <c r="Q110" s="324"/>
      <c r="R110" s="324"/>
      <c r="S110" s="324"/>
      <c r="T110" s="324">
        <v>46259</v>
      </c>
      <c r="U110" s="324">
        <f>WORKDAY.INTL(T110,INDEX(U$8:U$11,MATCH($L110,$L$8:$L$11,0)),1,IF(U$18="China",'China Holidays'!$A$2:$A$82,'Thai Holidays'!$A$2:$A$63))</f>
        <v>46276</v>
      </c>
      <c r="V110" s="324">
        <f>WORKDAY.INTL(U110,INDEX(V$8:V$11,MATCH($L110,$L$8:$L$11,0)),1,IF(V$18="China",'China Holidays'!$A$2:$A$82,'Thai Holidays'!$A$2:$A$63))</f>
        <v>46290</v>
      </c>
      <c r="W110" s="324"/>
      <c r="X110" s="324">
        <f>WORKDAY.INTL(V110,INDEX(X$8:X$11,MATCH($L110,$L$8:$L$11,0)),1,IF(X$18="China",'China Holidays'!$A$2:$A$82,'Thai Holidays'!$A$2:$A$63))</f>
        <v>46310</v>
      </c>
      <c r="Y110" s="324">
        <f>WORKDAY.INTL(X110,INDEX(Y$12:Y$15,MATCH($L110,$L$12:$L$15,0)),1,IF(Y$18="China",'China Holidays'!$A$2:$A$82,'Thai Holidays'!$A$2:$A$63))</f>
        <v>46314</v>
      </c>
      <c r="Z110" s="324">
        <f>WORKDAY.INTL(Y110,INDEX(Z$12:Z$15,MATCH($L110,$L$12:$L$15,0)),1,IF(Z$18="China",'China Holidays'!$A$2:$A$82,'Thai Holidays'!$A$2:$A$63))</f>
        <v>46321</v>
      </c>
      <c r="AA110" s="324">
        <f>WORKDAY.INTL(Z110,INDEX(AA$12:AA$15,MATCH($L110,$L$12:$L$15,0)),1,IF(AA$18="China",'China Holidays'!$A$2:$A$82,'Thai Holidays'!$A$2:$A$63))</f>
        <v>46342</v>
      </c>
      <c r="AB110" s="324">
        <f>WORKDAY.INTL(AA110,INDEX(AB$12:AB$15,MATCH($L110,$L$12:$L$15,0)),1,IF(AB$18="China",'China Holidays'!$A$2:$A$82,'Thai Holidays'!$A$2:$A$63))</f>
        <v>46356</v>
      </c>
      <c r="AC110" s="324">
        <f>AB110+15</f>
        <v>46371</v>
      </c>
      <c r="AD110" s="324">
        <f>AC110</f>
        <v>46371</v>
      </c>
      <c r="AE110" s="324">
        <f>AD110+2</f>
        <v>46373</v>
      </c>
      <c r="AF110" s="324">
        <f>AG110-14</f>
        <v>46415</v>
      </c>
      <c r="AG110" s="324">
        <f>AH110-7</f>
        <v>46429</v>
      </c>
      <c r="AH110" s="324">
        <f>AM110</f>
        <v>46436</v>
      </c>
      <c r="AI110" s="324">
        <f>AM110+14</f>
        <v>46450</v>
      </c>
      <c r="AJ110" s="324">
        <f>AM110+30</f>
        <v>46466</v>
      </c>
      <c r="AK110" s="325">
        <v>18</v>
      </c>
      <c r="AL110" s="326">
        <f>AK110*7</f>
        <v>126</v>
      </c>
      <c r="AM110" s="324">
        <f>IF(X110&lt;&gt;"",X110+AL110,X111+AL110)</f>
        <v>46436</v>
      </c>
      <c r="AN110" s="327">
        <f>AU109-7</f>
        <v>46478</v>
      </c>
      <c r="AO110" s="327">
        <f>AP110-7</f>
        <v>46498</v>
      </c>
      <c r="AP110" s="327">
        <v>46505</v>
      </c>
      <c r="AQ110" s="327" t="s">
        <v>136</v>
      </c>
      <c r="AR110" s="319">
        <f>AN110-AM110</f>
        <v>42</v>
      </c>
      <c r="AS110" s="328"/>
      <c r="AT110" s="329" t="s">
        <v>69</v>
      </c>
      <c r="AU110" s="330">
        <v>46485</v>
      </c>
      <c r="AV110" s="271"/>
    </row>
    <row r="111" spans="1:48" s="270" customFormat="1" ht="25.05" hidden="1" customHeight="1">
      <c r="A111" s="333"/>
      <c r="B111" s="334" t="s">
        <v>166</v>
      </c>
      <c r="C111" s="436" t="s">
        <v>167</v>
      </c>
      <c r="D111" s="372"/>
      <c r="E111" s="336"/>
      <c r="F111" s="372"/>
      <c r="G111" s="338"/>
      <c r="H111" s="339"/>
      <c r="I111" s="338" t="s">
        <v>134</v>
      </c>
      <c r="J111" s="334" t="s">
        <v>75</v>
      </c>
      <c r="K111" s="263">
        <v>3</v>
      </c>
      <c r="L111" s="334" t="s">
        <v>8</v>
      </c>
      <c r="M111" s="340" t="s">
        <v>70</v>
      </c>
      <c r="N111" s="341"/>
      <c r="O111" s="341">
        <v>46197</v>
      </c>
      <c r="P111" s="341">
        <v>46211</v>
      </c>
      <c r="Q111" s="341">
        <v>46211</v>
      </c>
      <c r="R111" s="341">
        <v>46211</v>
      </c>
      <c r="S111" s="341">
        <v>46241</v>
      </c>
      <c r="T111" s="341"/>
      <c r="U111" s="341"/>
      <c r="V111" s="341"/>
      <c r="W111" s="341"/>
      <c r="X111" s="338"/>
      <c r="Y111" s="341"/>
      <c r="Z111" s="341"/>
      <c r="AA111" s="341"/>
      <c r="AB111" s="341"/>
      <c r="AC111" s="341"/>
      <c r="AD111" s="341"/>
      <c r="AE111" s="341"/>
      <c r="AF111" s="341"/>
      <c r="AG111" s="341"/>
      <c r="AH111" s="341"/>
      <c r="AI111" s="341"/>
      <c r="AJ111" s="341"/>
      <c r="AK111" s="342"/>
      <c r="AL111" s="343"/>
      <c r="AM111" s="341"/>
      <c r="AN111" s="344"/>
      <c r="AO111" s="344"/>
      <c r="AP111" s="344"/>
      <c r="AQ111" s="344"/>
      <c r="AR111" s="338"/>
      <c r="AS111" s="345"/>
      <c r="AT111" s="346"/>
      <c r="AU111" s="345"/>
    </row>
    <row r="112" spans="1:48" s="270" customFormat="1" ht="25.05" hidden="1" customHeight="1">
      <c r="A112" s="315">
        <v>34</v>
      </c>
      <c r="B112" s="263" t="s">
        <v>169</v>
      </c>
      <c r="C112" s="432" t="s">
        <v>170</v>
      </c>
      <c r="D112" s="369"/>
      <c r="E112" s="317"/>
      <c r="F112" s="370"/>
      <c r="G112" s="319"/>
      <c r="H112" s="320"/>
      <c r="I112" s="319" t="s">
        <v>134</v>
      </c>
      <c r="J112" s="263"/>
      <c r="K112" s="321"/>
      <c r="L112" s="263" t="s">
        <v>8</v>
      </c>
      <c r="M112" s="322" t="s">
        <v>63</v>
      </c>
      <c r="N112" s="323"/>
      <c r="O112" s="324">
        <v>46227</v>
      </c>
      <c r="P112" s="324">
        <v>46209</v>
      </c>
      <c r="Q112" s="324">
        <v>46209</v>
      </c>
      <c r="R112" s="324">
        <v>46245</v>
      </c>
      <c r="S112" s="324">
        <v>46245</v>
      </c>
      <c r="T112" s="324">
        <v>46259</v>
      </c>
      <c r="U112" s="324">
        <v>46276</v>
      </c>
      <c r="V112" s="324">
        <v>46290</v>
      </c>
      <c r="W112" s="324"/>
      <c r="X112" s="324">
        <v>46310</v>
      </c>
      <c r="Y112" s="324">
        <v>46275</v>
      </c>
      <c r="Z112" s="324">
        <v>46282</v>
      </c>
      <c r="AA112" s="324">
        <v>46342</v>
      </c>
      <c r="AB112" s="324">
        <v>46356</v>
      </c>
      <c r="AC112" s="324">
        <v>46371</v>
      </c>
      <c r="AD112" s="324">
        <v>46340</v>
      </c>
      <c r="AE112" s="324">
        <v>46342</v>
      </c>
      <c r="AF112" s="324">
        <v>46415</v>
      </c>
      <c r="AG112" s="324">
        <v>46429</v>
      </c>
      <c r="AH112" s="324">
        <v>46436</v>
      </c>
      <c r="AI112" s="324">
        <v>46450</v>
      </c>
      <c r="AJ112" s="324">
        <v>46466</v>
      </c>
      <c r="AK112" s="325">
        <v>18</v>
      </c>
      <c r="AL112" s="326">
        <f>AK112*7</f>
        <v>126</v>
      </c>
      <c r="AM112" s="324">
        <f>X112+AL112</f>
        <v>46436</v>
      </c>
      <c r="AN112" s="327">
        <f>AN113</f>
        <v>46478</v>
      </c>
      <c r="AO112" s="327"/>
      <c r="AP112" s="327"/>
      <c r="AQ112" s="327"/>
      <c r="AR112" s="319">
        <f>AN113-AM112</f>
        <v>42</v>
      </c>
      <c r="AS112" s="328"/>
      <c r="AT112" s="329" t="s">
        <v>65</v>
      </c>
      <c r="AU112" s="330">
        <v>46485</v>
      </c>
      <c r="AV112" s="331">
        <v>53</v>
      </c>
    </row>
    <row r="113" spans="1:48" s="270" customFormat="1" ht="25.05" hidden="1" customHeight="1">
      <c r="A113" s="315"/>
      <c r="B113" s="263" t="s">
        <v>169</v>
      </c>
      <c r="C113" s="432" t="s">
        <v>170</v>
      </c>
      <c r="D113" s="371"/>
      <c r="E113" s="317"/>
      <c r="F113" s="371"/>
      <c r="G113" s="319"/>
      <c r="H113" s="320" t="s">
        <v>159</v>
      </c>
      <c r="I113" s="319" t="s">
        <v>134</v>
      </c>
      <c r="J113" s="263" t="s">
        <v>75</v>
      </c>
      <c r="K113" s="263">
        <v>4</v>
      </c>
      <c r="L113" s="263" t="s">
        <v>8</v>
      </c>
      <c r="M113" s="322" t="s">
        <v>68</v>
      </c>
      <c r="N113" s="324"/>
      <c r="O113" s="324"/>
      <c r="P113" s="324"/>
      <c r="Q113" s="324"/>
      <c r="R113" s="324"/>
      <c r="S113" s="324"/>
      <c r="T113" s="324">
        <v>46259</v>
      </c>
      <c r="U113" s="324">
        <f>WORKDAY.INTL(T113,INDEX(U$8:U$11,MATCH($L113,$L$8:$L$11,0)),1,IF(U$18="China",'China Holidays'!$A$2:$A$82,'Thai Holidays'!$A$2:$A$63))</f>
        <v>46276</v>
      </c>
      <c r="V113" s="324">
        <f>WORKDAY.INTL(U113,INDEX(V$8:V$11,MATCH($L113,$L$8:$L$11,0)),1,IF(V$18="China",'China Holidays'!$A$2:$A$82,'Thai Holidays'!$A$2:$A$63))</f>
        <v>46290</v>
      </c>
      <c r="W113" s="324"/>
      <c r="X113" s="324">
        <f>WORKDAY.INTL(V113,INDEX(X$8:X$11,MATCH($L113,$L$8:$L$11,0)),1,IF(X$18="China",'China Holidays'!$A$2:$A$82,'Thai Holidays'!$A$2:$A$63))</f>
        <v>46310</v>
      </c>
      <c r="Y113" s="324">
        <f>WORKDAY.INTL(X113,INDEX(Y$12:Y$15,MATCH($L113,$L$12:$L$15,0)),1,IF(Y$18="China",'China Holidays'!$A$2:$A$82,'Thai Holidays'!$A$2:$A$63))</f>
        <v>46314</v>
      </c>
      <c r="Z113" s="324">
        <f>WORKDAY.INTL(Y113,INDEX(Z$12:Z$15,MATCH($L113,$L$12:$L$15,0)),1,IF(Z$18="China",'China Holidays'!$A$2:$A$82,'Thai Holidays'!$A$2:$A$63))</f>
        <v>46321</v>
      </c>
      <c r="AA113" s="324">
        <f>WORKDAY.INTL(Z113,INDEX(AA$12:AA$15,MATCH($L113,$L$12:$L$15,0)),1,IF(AA$18="China",'China Holidays'!$A$2:$A$82,'Thai Holidays'!$A$2:$A$63))</f>
        <v>46342</v>
      </c>
      <c r="AB113" s="324">
        <f>WORKDAY.INTL(AA113,INDEX(AB$12:AB$15,MATCH($L113,$L$12:$L$15,0)),1,IF(AB$18="China",'China Holidays'!$A$2:$A$82,'Thai Holidays'!$A$2:$A$63))</f>
        <v>46356</v>
      </c>
      <c r="AC113" s="324">
        <f>AB113+15</f>
        <v>46371</v>
      </c>
      <c r="AD113" s="324">
        <f>AC113</f>
        <v>46371</v>
      </c>
      <c r="AE113" s="324">
        <f>AD113+2</f>
        <v>46373</v>
      </c>
      <c r="AF113" s="324">
        <f>AG113-14</f>
        <v>46415</v>
      </c>
      <c r="AG113" s="324">
        <f>AH113-7</f>
        <v>46429</v>
      </c>
      <c r="AH113" s="324">
        <f>AM113</f>
        <v>46436</v>
      </c>
      <c r="AI113" s="324">
        <f>AM113+14</f>
        <v>46450</v>
      </c>
      <c r="AJ113" s="324">
        <f>AM113+30</f>
        <v>46466</v>
      </c>
      <c r="AK113" s="325">
        <v>18</v>
      </c>
      <c r="AL113" s="326">
        <f>AK113*7</f>
        <v>126</v>
      </c>
      <c r="AM113" s="324">
        <f>IF(X113&lt;&gt;"",X113+AL113,X114+AL113)</f>
        <v>46436</v>
      </c>
      <c r="AN113" s="327">
        <f>AU112-7</f>
        <v>46478</v>
      </c>
      <c r="AO113" s="327">
        <f>AP113-7</f>
        <v>46498</v>
      </c>
      <c r="AP113" s="327">
        <v>46505</v>
      </c>
      <c r="AQ113" s="327" t="s">
        <v>136</v>
      </c>
      <c r="AR113" s="319">
        <f>AN113-AM113</f>
        <v>42</v>
      </c>
      <c r="AS113" s="328"/>
      <c r="AT113" s="329" t="s">
        <v>69</v>
      </c>
      <c r="AU113" s="330">
        <v>46485</v>
      </c>
      <c r="AV113" s="271"/>
    </row>
    <row r="114" spans="1:48" s="270" customFormat="1" ht="25.05" hidden="1" customHeight="1">
      <c r="A114" s="333"/>
      <c r="B114" s="334" t="s">
        <v>169</v>
      </c>
      <c r="C114" s="436" t="s">
        <v>170</v>
      </c>
      <c r="D114" s="372"/>
      <c r="E114" s="336"/>
      <c r="F114" s="372"/>
      <c r="G114" s="338"/>
      <c r="H114" s="339"/>
      <c r="I114" s="338" t="s">
        <v>134</v>
      </c>
      <c r="J114" s="334" t="s">
        <v>75</v>
      </c>
      <c r="K114" s="263">
        <v>4</v>
      </c>
      <c r="L114" s="334" t="s">
        <v>8</v>
      </c>
      <c r="M114" s="340" t="s">
        <v>70</v>
      </c>
      <c r="N114" s="341"/>
      <c r="O114" s="341">
        <v>46203</v>
      </c>
      <c r="P114" s="341">
        <v>46225</v>
      </c>
      <c r="Q114" s="341">
        <v>46225</v>
      </c>
      <c r="R114" s="341">
        <f>Q114</f>
        <v>46225</v>
      </c>
      <c r="S114" s="341">
        <v>46225</v>
      </c>
      <c r="T114" s="341"/>
      <c r="U114" s="341"/>
      <c r="V114" s="341"/>
      <c r="W114" s="341"/>
      <c r="X114" s="338"/>
      <c r="Y114" s="341"/>
      <c r="Z114" s="341"/>
      <c r="AA114" s="341"/>
      <c r="AB114" s="341"/>
      <c r="AC114" s="341"/>
      <c r="AD114" s="341"/>
      <c r="AE114" s="341"/>
      <c r="AF114" s="341"/>
      <c r="AG114" s="341"/>
      <c r="AH114" s="341"/>
      <c r="AI114" s="341"/>
      <c r="AJ114" s="341"/>
      <c r="AK114" s="342"/>
      <c r="AL114" s="343"/>
      <c r="AM114" s="341"/>
      <c r="AN114" s="344"/>
      <c r="AO114" s="344"/>
      <c r="AP114" s="344"/>
      <c r="AQ114" s="344"/>
      <c r="AR114" s="338"/>
      <c r="AS114" s="345"/>
      <c r="AT114" s="346"/>
      <c r="AU114" s="345"/>
    </row>
    <row r="115" spans="1:48" s="270" customFormat="1" ht="25.05" hidden="1" customHeight="1">
      <c r="A115" s="315">
        <v>35</v>
      </c>
      <c r="B115" s="263" t="s">
        <v>171</v>
      </c>
      <c r="C115" s="432" t="s">
        <v>172</v>
      </c>
      <c r="D115" s="369"/>
      <c r="E115" s="317"/>
      <c r="F115" s="370"/>
      <c r="G115" s="319"/>
      <c r="H115" s="320"/>
      <c r="I115" s="319" t="s">
        <v>134</v>
      </c>
      <c r="J115" s="263"/>
      <c r="K115" s="321"/>
      <c r="L115" s="263" t="s">
        <v>8</v>
      </c>
      <c r="M115" s="322" t="s">
        <v>63</v>
      </c>
      <c r="N115" s="323"/>
      <c r="O115" s="324">
        <v>46239</v>
      </c>
      <c r="P115" s="324">
        <v>46254</v>
      </c>
      <c r="Q115" s="324">
        <v>46254</v>
      </c>
      <c r="R115" s="324">
        <v>46254</v>
      </c>
      <c r="S115" s="324">
        <v>46254</v>
      </c>
      <c r="T115" s="324">
        <v>46268</v>
      </c>
      <c r="U115" s="324">
        <v>46287</v>
      </c>
      <c r="V115" s="324">
        <v>46301</v>
      </c>
      <c r="W115" s="324"/>
      <c r="X115" s="324">
        <v>46316</v>
      </c>
      <c r="Y115" s="324">
        <v>46318</v>
      </c>
      <c r="Z115" s="324">
        <v>46325</v>
      </c>
      <c r="AA115" s="324">
        <v>46346</v>
      </c>
      <c r="AB115" s="324">
        <v>46360</v>
      </c>
      <c r="AC115" s="324">
        <v>46375</v>
      </c>
      <c r="AD115" s="324">
        <v>46375</v>
      </c>
      <c r="AE115" s="324">
        <v>46377</v>
      </c>
      <c r="AF115" s="324">
        <v>46421</v>
      </c>
      <c r="AG115" s="324">
        <v>46435</v>
      </c>
      <c r="AH115" s="324">
        <v>46442</v>
      </c>
      <c r="AI115" s="324">
        <v>46456</v>
      </c>
      <c r="AJ115" s="324">
        <v>46472</v>
      </c>
      <c r="AK115" s="325">
        <v>18</v>
      </c>
      <c r="AL115" s="326">
        <f>AK115*7</f>
        <v>126</v>
      </c>
      <c r="AM115" s="324">
        <f>X115+AL115</f>
        <v>46442</v>
      </c>
      <c r="AN115" s="327">
        <f>AN116</f>
        <v>46478</v>
      </c>
      <c r="AO115" s="327"/>
      <c r="AP115" s="327"/>
      <c r="AQ115" s="327"/>
      <c r="AR115" s="319">
        <f>AN116-AM115</f>
        <v>36</v>
      </c>
      <c r="AS115" s="328"/>
      <c r="AT115" s="329" t="s">
        <v>65</v>
      </c>
      <c r="AU115" s="330">
        <v>46485</v>
      </c>
      <c r="AV115" s="331">
        <v>36</v>
      </c>
    </row>
    <row r="116" spans="1:48" s="270" customFormat="1" ht="25.05" hidden="1" customHeight="1">
      <c r="A116" s="315"/>
      <c r="B116" s="263" t="s">
        <v>171</v>
      </c>
      <c r="C116" s="432" t="s">
        <v>172</v>
      </c>
      <c r="D116" s="371"/>
      <c r="E116" s="317"/>
      <c r="F116" s="371"/>
      <c r="G116" s="319"/>
      <c r="H116" s="320" t="s">
        <v>173</v>
      </c>
      <c r="I116" s="319" t="s">
        <v>134</v>
      </c>
      <c r="J116" s="263" t="s">
        <v>75</v>
      </c>
      <c r="K116" s="263">
        <v>4</v>
      </c>
      <c r="L116" s="263" t="s">
        <v>8</v>
      </c>
      <c r="M116" s="322" t="s">
        <v>68</v>
      </c>
      <c r="N116" s="324"/>
      <c r="O116" s="324"/>
      <c r="P116" s="324">
        <v>46254</v>
      </c>
      <c r="Q116" s="324">
        <f>WORKDAY.INTL(P116,INDEX(Q$8:Q$11,MATCH($L116,$L$8:$L$11,0)),1,IF(Q$18="China",'China Holidays'!$A$2:$A$82,'Thai Holidays'!$A$2:$A$63))</f>
        <v>46254</v>
      </c>
      <c r="R116" s="324">
        <f>WORKDAY.INTL(Q116,INDEX(R$8:R$11,MATCH($L116,$L$8:$L$11,0)),1,IF(R$18="China",'China Holidays'!$A$2:$A$82,'Thai Holidays'!$A$2:$A$63))</f>
        <v>46254</v>
      </c>
      <c r="S116" s="324">
        <f>WORKDAY.INTL(R116,INDEX(S$8:S$11,MATCH($L116,$L$8:$L$11,0)),1,IF(S$18="China",'China Holidays'!$A$2:$A$82,'Thai Holidays'!$A$2:$A$63))</f>
        <v>46254</v>
      </c>
      <c r="T116" s="324">
        <f>WORKDAY.INTL(S116,INDEX(T$8:T$11,MATCH($L116,$L$8:$L$11,0)),1,IF(T$18="China",'China Holidays'!$A$2:$A$82,'Thai Holidays'!$A$2:$A$63))</f>
        <v>46268</v>
      </c>
      <c r="U116" s="324">
        <f>WORKDAY.INTL(T116,INDEX(U$8:U$11,MATCH($L116,$L$8:$L$11,0)),1,IF(U$18="China",'China Holidays'!$A$2:$A$82,'Thai Holidays'!$A$2:$A$63))</f>
        <v>46287</v>
      </c>
      <c r="V116" s="324">
        <f>WORKDAY.INTL(U116,INDEX(V$8:V$11,MATCH($L116,$L$8:$L$11,0)),1,IF(V$18="China",'China Holidays'!$A$2:$A$82,'Thai Holidays'!$A$2:$A$63))</f>
        <v>46301</v>
      </c>
      <c r="W116" s="324"/>
      <c r="X116" s="324">
        <f>WORKDAY.INTL(V116,INDEX(X$8:X$11,MATCH($L116,$L$8:$L$11,0)),1,IF(X$18="China",'China Holidays'!$A$2:$A$82,'Thai Holidays'!$A$2:$A$63))</f>
        <v>46315</v>
      </c>
      <c r="Y116" s="324">
        <f>WORKDAY.INTL(X116,INDEX(Y$12:Y$15,MATCH($L116,$L$12:$L$15,0)),1,IF(Y$18="China",'China Holidays'!$A$2:$A$82,'Thai Holidays'!$A$2:$A$63))</f>
        <v>46317</v>
      </c>
      <c r="Z116" s="324">
        <f>WORKDAY.INTL(Y116,INDEX(Z$12:Z$15,MATCH($L116,$L$12:$L$15,0)),1,IF(Z$18="China",'China Holidays'!$A$2:$A$82,'Thai Holidays'!$A$2:$A$63))</f>
        <v>46324</v>
      </c>
      <c r="AA116" s="324">
        <f>WORKDAY.INTL(Z116,INDEX(AA$12:AA$15,MATCH($L116,$L$12:$L$15,0)),1,IF(AA$18="China",'China Holidays'!$A$2:$A$82,'Thai Holidays'!$A$2:$A$63))</f>
        <v>46345</v>
      </c>
      <c r="AB116" s="324">
        <f>WORKDAY.INTL(AA116,INDEX(AB$12:AB$15,MATCH($L116,$L$12:$L$15,0)),1,IF(AB$18="China",'China Holidays'!$A$2:$A$82,'Thai Holidays'!$A$2:$A$63))</f>
        <v>46359</v>
      </c>
      <c r="AC116" s="324">
        <f>AB116+15</f>
        <v>46374</v>
      </c>
      <c r="AD116" s="324">
        <f>AC116</f>
        <v>46374</v>
      </c>
      <c r="AE116" s="324">
        <f>AD116+2</f>
        <v>46376</v>
      </c>
      <c r="AF116" s="324">
        <f>AG116-14</f>
        <v>46420</v>
      </c>
      <c r="AG116" s="324">
        <f>AH116-7</f>
        <v>46434</v>
      </c>
      <c r="AH116" s="324">
        <f>AM116</f>
        <v>46441</v>
      </c>
      <c r="AI116" s="324">
        <f>AM116+14</f>
        <v>46455</v>
      </c>
      <c r="AJ116" s="324">
        <f>AM116+30</f>
        <v>46471</v>
      </c>
      <c r="AK116" s="325">
        <v>18</v>
      </c>
      <c r="AL116" s="326">
        <f>AK116*7</f>
        <v>126</v>
      </c>
      <c r="AM116" s="324">
        <f>IF(X116&lt;&gt;"",X116+AL116,X117+AL116)</f>
        <v>46441</v>
      </c>
      <c r="AN116" s="327">
        <f>AU115-7</f>
        <v>46478</v>
      </c>
      <c r="AO116" s="327">
        <f>AP116-7</f>
        <v>46498</v>
      </c>
      <c r="AP116" s="327">
        <v>46505</v>
      </c>
      <c r="AQ116" s="327" t="s">
        <v>136</v>
      </c>
      <c r="AR116" s="319">
        <f>AN116-AM116</f>
        <v>37</v>
      </c>
      <c r="AS116" s="328"/>
      <c r="AT116" s="329" t="s">
        <v>69</v>
      </c>
      <c r="AU116" s="330">
        <v>46485</v>
      </c>
      <c r="AV116" s="271"/>
    </row>
    <row r="117" spans="1:48" s="270" customFormat="1" ht="25.05" hidden="1" customHeight="1">
      <c r="A117" s="333"/>
      <c r="B117" s="334" t="s">
        <v>171</v>
      </c>
      <c r="C117" s="436" t="s">
        <v>172</v>
      </c>
      <c r="D117" s="372"/>
      <c r="E117" s="336"/>
      <c r="F117" s="372"/>
      <c r="G117" s="338"/>
      <c r="H117" s="339"/>
      <c r="I117" s="338" t="s">
        <v>134</v>
      </c>
      <c r="J117" s="334" t="s">
        <v>75</v>
      </c>
      <c r="K117" s="263">
        <v>4</v>
      </c>
      <c r="L117" s="334" t="s">
        <v>8</v>
      </c>
      <c r="M117" s="340" t="s">
        <v>70</v>
      </c>
      <c r="N117" s="338"/>
      <c r="O117" s="341">
        <v>46240</v>
      </c>
      <c r="P117" s="341"/>
      <c r="Q117" s="341"/>
      <c r="R117" s="341"/>
      <c r="S117" s="437" t="s">
        <v>4995</v>
      </c>
      <c r="T117" s="341"/>
      <c r="U117" s="341"/>
      <c r="V117" s="341"/>
      <c r="W117" s="341"/>
      <c r="X117" s="338"/>
      <c r="Y117" s="341"/>
      <c r="Z117" s="341"/>
      <c r="AA117" s="341"/>
      <c r="AB117" s="341"/>
      <c r="AC117" s="341"/>
      <c r="AD117" s="341"/>
      <c r="AE117" s="341"/>
      <c r="AF117" s="341"/>
      <c r="AG117" s="341"/>
      <c r="AH117" s="341"/>
      <c r="AI117" s="341"/>
      <c r="AJ117" s="341"/>
      <c r="AK117" s="342"/>
      <c r="AL117" s="343"/>
      <c r="AM117" s="341"/>
      <c r="AN117" s="344"/>
      <c r="AO117" s="344"/>
      <c r="AP117" s="344"/>
      <c r="AQ117" s="344"/>
      <c r="AR117" s="338"/>
      <c r="AS117" s="345"/>
      <c r="AT117" s="346"/>
      <c r="AU117" s="345"/>
    </row>
    <row r="118" spans="1:48" s="270" customFormat="1" ht="25.05" hidden="1" customHeight="1">
      <c r="A118" s="315">
        <v>36</v>
      </c>
      <c r="B118" s="263" t="s">
        <v>174</v>
      </c>
      <c r="C118" s="432" t="s">
        <v>175</v>
      </c>
      <c r="D118" s="369"/>
      <c r="E118" s="317"/>
      <c r="F118" s="370"/>
      <c r="G118" s="319"/>
      <c r="H118" s="320"/>
      <c r="I118" s="319" t="s">
        <v>134</v>
      </c>
      <c r="J118" s="263"/>
      <c r="K118" s="321"/>
      <c r="L118" s="263" t="s">
        <v>8</v>
      </c>
      <c r="M118" s="322" t="s">
        <v>63</v>
      </c>
      <c r="N118" s="323"/>
      <c r="O118" s="324">
        <v>46227</v>
      </c>
      <c r="P118" s="324">
        <v>46245</v>
      </c>
      <c r="Q118" s="324">
        <v>46245</v>
      </c>
      <c r="R118" s="324">
        <v>46245</v>
      </c>
      <c r="S118" s="324">
        <v>46245</v>
      </c>
      <c r="T118" s="324">
        <v>46251</v>
      </c>
      <c r="U118" s="324">
        <v>46276</v>
      </c>
      <c r="V118" s="324">
        <v>46290</v>
      </c>
      <c r="W118" s="324"/>
      <c r="X118" s="324">
        <v>46310</v>
      </c>
      <c r="Y118" s="324">
        <v>46294</v>
      </c>
      <c r="Z118" s="324">
        <v>46308</v>
      </c>
      <c r="AA118" s="324">
        <v>46342</v>
      </c>
      <c r="AB118" s="324">
        <v>46356</v>
      </c>
      <c r="AC118" s="324">
        <v>46371</v>
      </c>
      <c r="AD118" s="324">
        <v>46357</v>
      </c>
      <c r="AE118" s="324">
        <v>46359</v>
      </c>
      <c r="AF118" s="324">
        <v>46443</v>
      </c>
      <c r="AG118" s="324">
        <v>46457</v>
      </c>
      <c r="AH118" s="324">
        <v>46464</v>
      </c>
      <c r="AI118" s="324">
        <v>46478</v>
      </c>
      <c r="AJ118" s="324">
        <v>46494</v>
      </c>
      <c r="AK118" s="325">
        <v>22</v>
      </c>
      <c r="AL118" s="326">
        <f>AK118*7</f>
        <v>154</v>
      </c>
      <c r="AM118" s="324">
        <f>X118+AL118</f>
        <v>46464</v>
      </c>
      <c r="AN118" s="327">
        <f>AN119</f>
        <v>46478</v>
      </c>
      <c r="AO118" s="327"/>
      <c r="AP118" s="327"/>
      <c r="AQ118" s="327"/>
      <c r="AR118" s="319">
        <f>AN119-AM118</f>
        <v>14</v>
      </c>
      <c r="AS118" s="328"/>
      <c r="AT118" s="329" t="s">
        <v>65</v>
      </c>
      <c r="AU118" s="330">
        <v>46485</v>
      </c>
      <c r="AV118" s="331">
        <v>14</v>
      </c>
    </row>
    <row r="119" spans="1:48" s="270" customFormat="1" ht="25.05" hidden="1" customHeight="1">
      <c r="A119" s="315"/>
      <c r="B119" s="263" t="s">
        <v>174</v>
      </c>
      <c r="C119" s="432" t="s">
        <v>175</v>
      </c>
      <c r="D119" s="371"/>
      <c r="E119" s="317"/>
      <c r="F119" s="371"/>
      <c r="G119" s="319"/>
      <c r="H119" s="320" t="s">
        <v>159</v>
      </c>
      <c r="I119" s="319" t="s">
        <v>134</v>
      </c>
      <c r="J119" s="263" t="s">
        <v>75</v>
      </c>
      <c r="K119" s="263">
        <v>4</v>
      </c>
      <c r="L119" s="263" t="s">
        <v>8</v>
      </c>
      <c r="M119" s="322" t="s">
        <v>68</v>
      </c>
      <c r="N119" s="324"/>
      <c r="O119" s="324"/>
      <c r="P119" s="324"/>
      <c r="Q119" s="324"/>
      <c r="R119" s="324"/>
      <c r="S119" s="324"/>
      <c r="T119" s="324">
        <v>46259</v>
      </c>
      <c r="U119" s="324">
        <f>WORKDAY.INTL(T119,INDEX(U$8:U$11,MATCH($L119,$L$8:$L$11,0)),1,IF(U$18="China",'China Holidays'!$A$2:$A$82,'Thai Holidays'!$A$2:$A$63))</f>
        <v>46276</v>
      </c>
      <c r="V119" s="324">
        <f>WORKDAY.INTL(U119,INDEX(V$8:V$11,MATCH($L119,$L$8:$L$11,0)),1,IF(V$18="China",'China Holidays'!$A$2:$A$82,'Thai Holidays'!$A$2:$A$63))</f>
        <v>46290</v>
      </c>
      <c r="W119" s="324"/>
      <c r="X119" s="324">
        <f>WORKDAY.INTL(V119,INDEX(X$8:X$11,MATCH($L119,$L$8:$L$11,0)),1,IF(X$18="China",'China Holidays'!$A$2:$A$82,'Thai Holidays'!$A$2:$A$63))</f>
        <v>46310</v>
      </c>
      <c r="Y119" s="324">
        <f>WORKDAY.INTL(X119,INDEX(Y$12:Y$15,MATCH($L119,$L$12:$L$15,0)),1,IF(Y$18="China",'China Holidays'!$A$2:$A$82,'Thai Holidays'!$A$2:$A$63))</f>
        <v>46314</v>
      </c>
      <c r="Z119" s="324">
        <f>WORKDAY.INTL(Y119,INDEX(Z$12:Z$15,MATCH($L119,$L$12:$L$15,0)),1,IF(Z$18="China",'China Holidays'!$A$2:$A$82,'Thai Holidays'!$A$2:$A$63))</f>
        <v>46321</v>
      </c>
      <c r="AA119" s="324">
        <f>WORKDAY.INTL(Z119,INDEX(AA$12:AA$15,MATCH($L119,$L$12:$L$15,0)),1,IF(AA$18="China",'China Holidays'!$A$2:$A$82,'Thai Holidays'!$A$2:$A$63))</f>
        <v>46342</v>
      </c>
      <c r="AB119" s="324">
        <f>WORKDAY.INTL(AA119,INDEX(AB$12:AB$15,MATCH($L119,$L$12:$L$15,0)),1,IF(AB$18="China",'China Holidays'!$A$2:$A$82,'Thai Holidays'!$A$2:$A$63))</f>
        <v>46356</v>
      </c>
      <c r="AC119" s="324">
        <f>AB119+15</f>
        <v>46371</v>
      </c>
      <c r="AD119" s="324">
        <f>AC119</f>
        <v>46371</v>
      </c>
      <c r="AE119" s="324">
        <f>AD119+2</f>
        <v>46373</v>
      </c>
      <c r="AF119" s="324">
        <f>AG119-14</f>
        <v>46443</v>
      </c>
      <c r="AG119" s="324">
        <f>AH119-7</f>
        <v>46457</v>
      </c>
      <c r="AH119" s="324">
        <f>AM119</f>
        <v>46464</v>
      </c>
      <c r="AI119" s="324">
        <f>AM119+14</f>
        <v>46478</v>
      </c>
      <c r="AJ119" s="324">
        <f>AM119+30</f>
        <v>46494</v>
      </c>
      <c r="AK119" s="325">
        <v>22</v>
      </c>
      <c r="AL119" s="326">
        <f>AK119*7</f>
        <v>154</v>
      </c>
      <c r="AM119" s="324">
        <f>IF(X119&lt;&gt;"",X119+AL119,X120+AL119)</f>
        <v>46464</v>
      </c>
      <c r="AN119" s="327">
        <f>AU118-7</f>
        <v>46478</v>
      </c>
      <c r="AO119" s="327">
        <f>AP119-7</f>
        <v>46498</v>
      </c>
      <c r="AP119" s="327">
        <v>46505</v>
      </c>
      <c r="AQ119" s="327" t="s">
        <v>136</v>
      </c>
      <c r="AR119" s="319">
        <f>AN119-AM119</f>
        <v>14</v>
      </c>
      <c r="AS119" s="328"/>
      <c r="AT119" s="329" t="s">
        <v>69</v>
      </c>
      <c r="AU119" s="330">
        <v>46485</v>
      </c>
      <c r="AV119" s="271"/>
    </row>
    <row r="120" spans="1:48" s="270" customFormat="1" ht="25.05" hidden="1" customHeight="1">
      <c r="A120" s="333"/>
      <c r="B120" s="334" t="s">
        <v>174</v>
      </c>
      <c r="C120" s="436" t="s">
        <v>175</v>
      </c>
      <c r="D120" s="372"/>
      <c r="E120" s="336"/>
      <c r="F120" s="372"/>
      <c r="G120" s="338"/>
      <c r="H120" s="339"/>
      <c r="I120" s="338" t="s">
        <v>134</v>
      </c>
      <c r="J120" s="334" t="s">
        <v>75</v>
      </c>
      <c r="K120" s="263">
        <v>4</v>
      </c>
      <c r="L120" s="334" t="s">
        <v>8</v>
      </c>
      <c r="M120" s="340" t="s">
        <v>70</v>
      </c>
      <c r="N120" s="338"/>
      <c r="O120" s="341">
        <v>46206</v>
      </c>
      <c r="P120" s="341">
        <v>46225</v>
      </c>
      <c r="Q120" s="341">
        <v>46225</v>
      </c>
      <c r="R120" s="341">
        <f>Q120</f>
        <v>46225</v>
      </c>
      <c r="S120" s="341">
        <v>46241</v>
      </c>
      <c r="T120" s="341"/>
      <c r="U120" s="341"/>
      <c r="V120" s="341"/>
      <c r="W120" s="341"/>
      <c r="X120" s="338"/>
      <c r="Y120" s="341"/>
      <c r="Z120" s="341"/>
      <c r="AA120" s="341"/>
      <c r="AB120" s="341"/>
      <c r="AC120" s="341"/>
      <c r="AD120" s="341"/>
      <c r="AE120" s="341"/>
      <c r="AF120" s="341"/>
      <c r="AG120" s="341"/>
      <c r="AH120" s="341"/>
      <c r="AI120" s="341"/>
      <c r="AJ120" s="341"/>
      <c r="AK120" s="342"/>
      <c r="AL120" s="343"/>
      <c r="AM120" s="341"/>
      <c r="AN120" s="344"/>
      <c r="AO120" s="344"/>
      <c r="AP120" s="344"/>
      <c r="AQ120" s="344"/>
      <c r="AR120" s="338"/>
      <c r="AS120" s="345"/>
      <c r="AT120" s="346"/>
      <c r="AU120" s="345"/>
    </row>
    <row r="121" spans="1:48" s="270" customFormat="1" ht="25.05" hidden="1" customHeight="1">
      <c r="A121" s="315">
        <v>37</v>
      </c>
      <c r="B121" s="263" t="s">
        <v>176</v>
      </c>
      <c r="C121" s="432" t="s">
        <v>177</v>
      </c>
      <c r="D121" s="316"/>
      <c r="E121" s="317"/>
      <c r="F121" s="318"/>
      <c r="G121" s="319"/>
      <c r="H121" s="320"/>
      <c r="I121" s="319" t="s">
        <v>134</v>
      </c>
      <c r="J121" s="263"/>
      <c r="K121" s="321"/>
      <c r="L121" s="263" t="s">
        <v>7</v>
      </c>
      <c r="M121" s="322" t="s">
        <v>63</v>
      </c>
      <c r="N121" s="323"/>
      <c r="O121" s="324">
        <v>46161</v>
      </c>
      <c r="P121" s="324">
        <v>46169</v>
      </c>
      <c r="Q121" s="324">
        <v>46169</v>
      </c>
      <c r="R121" s="324">
        <v>46178</v>
      </c>
      <c r="S121" s="324">
        <v>46179</v>
      </c>
      <c r="T121" s="324">
        <v>46195</v>
      </c>
      <c r="U121" s="324">
        <v>46223</v>
      </c>
      <c r="V121" s="324">
        <v>46226</v>
      </c>
      <c r="W121" s="324"/>
      <c r="X121" s="324">
        <v>46240</v>
      </c>
      <c r="Y121" s="324">
        <v>46244</v>
      </c>
      <c r="Z121" s="324">
        <v>46251</v>
      </c>
      <c r="AA121" s="324">
        <v>46279</v>
      </c>
      <c r="AB121" s="324">
        <v>46293</v>
      </c>
      <c r="AC121" s="324">
        <v>46308</v>
      </c>
      <c r="AD121" s="324">
        <v>46308</v>
      </c>
      <c r="AE121" s="324">
        <v>46310</v>
      </c>
      <c r="AF121" s="324">
        <v>46448</v>
      </c>
      <c r="AG121" s="324">
        <v>46478</v>
      </c>
      <c r="AH121" s="324">
        <v>46492</v>
      </c>
      <c r="AI121" s="324">
        <v>46506</v>
      </c>
      <c r="AJ121" s="324">
        <v>46522</v>
      </c>
      <c r="AK121" s="325">
        <v>36</v>
      </c>
      <c r="AL121" s="326">
        <f>AK121*7</f>
        <v>252</v>
      </c>
      <c r="AM121" s="324">
        <f>X121+AL121</f>
        <v>46492</v>
      </c>
      <c r="AN121" s="327">
        <f>AN122</f>
        <v>46500</v>
      </c>
      <c r="AO121" s="327"/>
      <c r="AP121" s="327"/>
      <c r="AQ121" s="327"/>
      <c r="AR121" s="319">
        <f>AN122-AM121</f>
        <v>8</v>
      </c>
      <c r="AS121" s="328"/>
      <c r="AT121" s="329" t="s">
        <v>65</v>
      </c>
      <c r="AU121" s="330">
        <v>46507</v>
      </c>
      <c r="AV121" s="331">
        <v>30</v>
      </c>
    </row>
    <row r="122" spans="1:48" s="270" customFormat="1" ht="25.05" hidden="1" customHeight="1">
      <c r="A122" s="315"/>
      <c r="B122" s="263" t="s">
        <v>176</v>
      </c>
      <c r="C122" s="432" t="s">
        <v>177</v>
      </c>
      <c r="D122" s="316"/>
      <c r="E122" s="317"/>
      <c r="F122" s="348"/>
      <c r="G122" s="319"/>
      <c r="H122" s="320" t="s">
        <v>178</v>
      </c>
      <c r="I122" s="319" t="s">
        <v>134</v>
      </c>
      <c r="J122" s="263" t="s">
        <v>75</v>
      </c>
      <c r="K122" s="263">
        <v>2</v>
      </c>
      <c r="L122" s="263" t="s">
        <v>7</v>
      </c>
      <c r="M122" s="322" t="s">
        <v>68</v>
      </c>
      <c r="N122" s="324"/>
      <c r="O122" s="324"/>
      <c r="P122" s="324"/>
      <c r="Q122" s="324"/>
      <c r="R122" s="324"/>
      <c r="S122" s="324"/>
      <c r="T122" s="324"/>
      <c r="U122" s="324"/>
      <c r="V122" s="324"/>
      <c r="W122" s="324"/>
      <c r="X122" s="324">
        <v>46240</v>
      </c>
      <c r="Y122" s="324">
        <f>WORKDAY.INTL(X122,INDEX(Y$12:Y$15,MATCH($L122,$L$12:$L$15,0)),1,IF(Y$18="China",'China Holidays'!$A$2:$A$82,'Thai Holidays'!$A$2:$A$63))</f>
        <v>46244</v>
      </c>
      <c r="Z122" s="324">
        <f>WORKDAY.INTL(Y122,INDEX(Z$12:Z$15,MATCH($L122,$L$12:$L$15,0)),1,IF(Z$18="China",'China Holidays'!$A$2:$A$82,'Thai Holidays'!$A$2:$A$63))</f>
        <v>46251</v>
      </c>
      <c r="AA122" s="324">
        <f>WORKDAY.INTL(Z122,INDEX(AA$12:AA$15,MATCH($L122,$L$12:$L$15,0)),1,IF(AA$18="China",'China Holidays'!$A$2:$A$82,'Thai Holidays'!$A$2:$A$63))</f>
        <v>46279</v>
      </c>
      <c r="AB122" s="324">
        <f>WORKDAY.INTL(AA122,INDEX(AB$12:AB$15,MATCH($L122,$L$12:$L$15,0)),1,IF(AB$18="China",'China Holidays'!$A$2:$A$82,'Thai Holidays'!$A$2:$A$63))</f>
        <v>46293</v>
      </c>
      <c r="AC122" s="324">
        <f>AB122+15</f>
        <v>46308</v>
      </c>
      <c r="AD122" s="324">
        <f>AC122</f>
        <v>46308</v>
      </c>
      <c r="AE122" s="324">
        <f>AD122+2</f>
        <v>46310</v>
      </c>
      <c r="AF122" s="324">
        <f>AG122-30</f>
        <v>46448</v>
      </c>
      <c r="AG122" s="324">
        <f>AH122-14</f>
        <v>46478</v>
      </c>
      <c r="AH122" s="324">
        <f>AM122</f>
        <v>46492</v>
      </c>
      <c r="AI122" s="324">
        <f>AM122+14</f>
        <v>46506</v>
      </c>
      <c r="AJ122" s="324">
        <f>AM122+30</f>
        <v>46522</v>
      </c>
      <c r="AK122" s="325">
        <v>36</v>
      </c>
      <c r="AL122" s="326">
        <f>AK122*7</f>
        <v>252</v>
      </c>
      <c r="AM122" s="324">
        <f>IF(X122&lt;&gt;"",X122+AL122,X123+AL122)</f>
        <v>46492</v>
      </c>
      <c r="AN122" s="327">
        <f>AU121-7</f>
        <v>46500</v>
      </c>
      <c r="AO122" s="327">
        <f>AP122-7</f>
        <v>46498</v>
      </c>
      <c r="AP122" s="327">
        <v>46505</v>
      </c>
      <c r="AQ122" s="327"/>
      <c r="AR122" s="319">
        <f>AN122-AM122</f>
        <v>8</v>
      </c>
      <c r="AS122" s="328"/>
      <c r="AT122" s="329" t="s">
        <v>69</v>
      </c>
      <c r="AU122" s="330">
        <v>46507</v>
      </c>
      <c r="AV122" s="271"/>
    </row>
    <row r="123" spans="1:48" s="270" customFormat="1" ht="25.05" hidden="1" customHeight="1">
      <c r="A123" s="333"/>
      <c r="B123" s="334" t="s">
        <v>176</v>
      </c>
      <c r="C123" s="436" t="s">
        <v>177</v>
      </c>
      <c r="D123" s="335"/>
      <c r="E123" s="336"/>
      <c r="F123" s="349"/>
      <c r="G123" s="338"/>
      <c r="H123" s="339"/>
      <c r="I123" s="338" t="s">
        <v>134</v>
      </c>
      <c r="J123" s="334" t="s">
        <v>75</v>
      </c>
      <c r="K123" s="263">
        <v>2</v>
      </c>
      <c r="L123" s="334" t="s">
        <v>7</v>
      </c>
      <c r="M123" s="340" t="s">
        <v>70</v>
      </c>
      <c r="N123" s="341">
        <v>46133</v>
      </c>
      <c r="O123" s="341">
        <v>46165</v>
      </c>
      <c r="P123" s="341">
        <v>46182</v>
      </c>
      <c r="Q123" s="341">
        <v>46182</v>
      </c>
      <c r="R123" s="341">
        <v>46182</v>
      </c>
      <c r="S123" s="341">
        <v>46182</v>
      </c>
      <c r="T123" s="341">
        <v>46188</v>
      </c>
      <c r="U123" s="341">
        <v>46213</v>
      </c>
      <c r="V123" s="341">
        <v>46219</v>
      </c>
      <c r="W123" s="341"/>
      <c r="X123" s="338"/>
      <c r="Y123" s="341"/>
      <c r="Z123" s="341"/>
      <c r="AA123" s="341"/>
      <c r="AB123" s="341"/>
      <c r="AC123" s="341"/>
      <c r="AD123" s="341"/>
      <c r="AE123" s="341"/>
      <c r="AF123" s="341"/>
      <c r="AG123" s="341"/>
      <c r="AH123" s="341"/>
      <c r="AI123" s="341"/>
      <c r="AJ123" s="341"/>
      <c r="AK123" s="342"/>
      <c r="AL123" s="343"/>
      <c r="AM123" s="341"/>
      <c r="AN123" s="344"/>
      <c r="AO123" s="344"/>
      <c r="AP123" s="344"/>
      <c r="AQ123" s="344"/>
      <c r="AR123" s="338"/>
      <c r="AS123" s="345"/>
      <c r="AT123" s="346"/>
      <c r="AU123" s="345"/>
    </row>
    <row r="124" spans="1:48" s="270" customFormat="1" ht="25.05" hidden="1" customHeight="1">
      <c r="A124" s="315">
        <v>38</v>
      </c>
      <c r="B124" s="263" t="s">
        <v>179</v>
      </c>
      <c r="C124" s="432" t="s">
        <v>180</v>
      </c>
      <c r="D124" s="369"/>
      <c r="E124" s="317"/>
      <c r="F124" s="370"/>
      <c r="G124" s="319"/>
      <c r="H124" s="320"/>
      <c r="I124" s="319" t="s">
        <v>134</v>
      </c>
      <c r="J124" s="263"/>
      <c r="K124" s="321"/>
      <c r="L124" s="263" t="s">
        <v>8</v>
      </c>
      <c r="M124" s="322" t="s">
        <v>63</v>
      </c>
      <c r="N124" s="323"/>
      <c r="O124" s="324">
        <v>46244</v>
      </c>
      <c r="P124" s="324">
        <v>46258</v>
      </c>
      <c r="Q124" s="324">
        <v>46258</v>
      </c>
      <c r="R124" s="324">
        <v>46260</v>
      </c>
      <c r="S124" s="324">
        <v>46261</v>
      </c>
      <c r="T124" s="324">
        <v>46274</v>
      </c>
      <c r="U124" s="324">
        <v>46289</v>
      </c>
      <c r="V124" s="324">
        <v>46303</v>
      </c>
      <c r="W124" s="324"/>
      <c r="X124" s="324">
        <v>46316</v>
      </c>
      <c r="Y124" s="324">
        <v>46318</v>
      </c>
      <c r="Z124" s="324">
        <v>46325</v>
      </c>
      <c r="AA124" s="324">
        <v>46346</v>
      </c>
      <c r="AB124" s="324">
        <v>46360</v>
      </c>
      <c r="AC124" s="324">
        <v>46375</v>
      </c>
      <c r="AD124" s="324">
        <v>46375</v>
      </c>
      <c r="AE124" s="324">
        <v>46377</v>
      </c>
      <c r="AF124" s="324">
        <v>46426</v>
      </c>
      <c r="AG124" s="324">
        <v>46440</v>
      </c>
      <c r="AH124" s="324">
        <v>46447</v>
      </c>
      <c r="AI124" s="324">
        <v>46461</v>
      </c>
      <c r="AJ124" s="324">
        <v>46477</v>
      </c>
      <c r="AK124" s="325">
        <v>18.714285714285701</v>
      </c>
      <c r="AL124" s="326">
        <f>AK124*7</f>
        <v>130.99999999999991</v>
      </c>
      <c r="AM124" s="324">
        <f>X124+AL124</f>
        <v>46447</v>
      </c>
      <c r="AN124" s="327">
        <f>AN125</f>
        <v>46478</v>
      </c>
      <c r="AO124" s="327"/>
      <c r="AP124" s="327"/>
      <c r="AQ124" s="327"/>
      <c r="AR124" s="319">
        <f>AN125-AM124</f>
        <v>31</v>
      </c>
      <c r="AS124" s="328"/>
      <c r="AT124" s="329" t="s">
        <v>65</v>
      </c>
      <c r="AU124" s="330">
        <v>46485</v>
      </c>
      <c r="AV124" s="331">
        <v>31</v>
      </c>
    </row>
    <row r="125" spans="1:48" s="270" customFormat="1" ht="25.05" hidden="1" customHeight="1">
      <c r="A125" s="315"/>
      <c r="B125" s="263" t="s">
        <v>179</v>
      </c>
      <c r="C125" s="432" t="s">
        <v>180</v>
      </c>
      <c r="D125" s="371"/>
      <c r="E125" s="317"/>
      <c r="F125" s="371"/>
      <c r="G125" s="319"/>
      <c r="H125" s="320" t="s">
        <v>181</v>
      </c>
      <c r="I125" s="319" t="s">
        <v>134</v>
      </c>
      <c r="J125" s="263" t="s">
        <v>75</v>
      </c>
      <c r="K125" s="263">
        <v>4</v>
      </c>
      <c r="L125" s="263" t="s">
        <v>8</v>
      </c>
      <c r="M125" s="322" t="s">
        <v>68</v>
      </c>
      <c r="N125" s="324"/>
      <c r="O125" s="324"/>
      <c r="P125" s="324">
        <v>46258</v>
      </c>
      <c r="Q125" s="324">
        <f>WORKDAY.INTL(P125,INDEX(Q$8:Q$11,MATCH($L125,$L$8:$L$11,0)),1,IF(Q$18="China",'China Holidays'!$A$2:$A$82,'Thai Holidays'!$A$2:$A$63))</f>
        <v>46258</v>
      </c>
      <c r="R125" s="324">
        <f>WORKDAY.INTL(Q125,INDEX(R$8:R$11,MATCH($L125,$L$8:$L$11,0)),1,IF(R$18="China",'China Holidays'!$A$2:$A$82,'Thai Holidays'!$A$2:$A$63))</f>
        <v>46258</v>
      </c>
      <c r="S125" s="324">
        <f>WORKDAY.INTL(R125,INDEX(S$8:S$11,MATCH($L125,$L$8:$L$11,0)),1,IF(S$18="China",'China Holidays'!$A$2:$A$82,'Thai Holidays'!$A$2:$A$63))</f>
        <v>46258</v>
      </c>
      <c r="T125" s="324">
        <f>WORKDAY.INTL(S125,INDEX(T$8:T$11,MATCH($L125,$L$8:$L$11,0)),1,IF(T$18="China",'China Holidays'!$A$2:$A$82,'Thai Holidays'!$A$2:$A$63))</f>
        <v>46272</v>
      </c>
      <c r="U125" s="324">
        <f>WORKDAY.INTL(T125,INDEX(U$8:U$11,MATCH($L125,$L$8:$L$11,0)),1,IF(U$18="China",'China Holidays'!$A$2:$A$82,'Thai Holidays'!$A$2:$A$63))</f>
        <v>46289</v>
      </c>
      <c r="V125" s="324">
        <f>WORKDAY.INTL(U125,INDEX(V$8:V$11,MATCH($L125,$L$8:$L$11,0)),1,IF(V$18="China",'China Holidays'!$A$2:$A$82,'Thai Holidays'!$A$2:$A$63))</f>
        <v>46303</v>
      </c>
      <c r="W125" s="324"/>
      <c r="X125" s="324">
        <f>WORKDAY.INTL(V125,INDEX(X$8:X$11,MATCH($L125,$L$8:$L$11,0)),1,IF(X$18="China",'China Holidays'!$A$2:$A$82,'Thai Holidays'!$A$2:$A$63))</f>
        <v>46316</v>
      </c>
      <c r="Y125" s="324">
        <f>WORKDAY.INTL(X125,INDEX(Y$12:Y$15,MATCH($L125,$L$12:$L$15,0)),1,IF(Y$18="China",'China Holidays'!$A$2:$A$82,'Thai Holidays'!$A$2:$A$63))</f>
        <v>46318</v>
      </c>
      <c r="Z125" s="324">
        <f>WORKDAY.INTL(Y125,INDEX(Z$12:Z$15,MATCH($L125,$L$12:$L$15,0)),1,IF(Z$18="China",'China Holidays'!$A$2:$A$82,'Thai Holidays'!$A$2:$A$63))</f>
        <v>46325</v>
      </c>
      <c r="AA125" s="324">
        <f>WORKDAY.INTL(Z125,INDEX(AA$12:AA$15,MATCH($L125,$L$12:$L$15,0)),1,IF(AA$18="China",'China Holidays'!$A$2:$A$82,'Thai Holidays'!$A$2:$A$63))</f>
        <v>46346</v>
      </c>
      <c r="AB125" s="324">
        <f>WORKDAY.INTL(AA125,INDEX(AB$12:AB$15,MATCH($L125,$L$12:$L$15,0)),1,IF(AB$18="China",'China Holidays'!$A$2:$A$82,'Thai Holidays'!$A$2:$A$63))</f>
        <v>46360</v>
      </c>
      <c r="AC125" s="324">
        <f>AB125+15</f>
        <v>46375</v>
      </c>
      <c r="AD125" s="324">
        <f>AC125</f>
        <v>46375</v>
      </c>
      <c r="AE125" s="324">
        <f>AD125+2</f>
        <v>46377</v>
      </c>
      <c r="AF125" s="324">
        <f>AG125-14</f>
        <v>46426</v>
      </c>
      <c r="AG125" s="324">
        <f>AH125-7</f>
        <v>46440</v>
      </c>
      <c r="AH125" s="324">
        <f>AM125</f>
        <v>46447</v>
      </c>
      <c r="AI125" s="324">
        <f>AM125+14</f>
        <v>46461</v>
      </c>
      <c r="AJ125" s="324">
        <f>AM125+30</f>
        <v>46477</v>
      </c>
      <c r="AK125" s="325">
        <v>18.714285714285701</v>
      </c>
      <c r="AL125" s="326">
        <f>AK125*7</f>
        <v>130.99999999999991</v>
      </c>
      <c r="AM125" s="324">
        <f>IF(X125&lt;&gt;"",X125+AL125,X126+AL125)</f>
        <v>46447</v>
      </c>
      <c r="AN125" s="327">
        <f>AU124-7</f>
        <v>46478</v>
      </c>
      <c r="AO125" s="327">
        <f>AP125-7</f>
        <v>46485</v>
      </c>
      <c r="AP125" s="327">
        <v>46492</v>
      </c>
      <c r="AQ125" s="327"/>
      <c r="AR125" s="319">
        <f>AN125-AM125</f>
        <v>31</v>
      </c>
      <c r="AS125" s="328"/>
      <c r="AT125" s="329" t="s">
        <v>69</v>
      </c>
      <c r="AU125" s="330">
        <v>46485</v>
      </c>
      <c r="AV125" s="271"/>
    </row>
    <row r="126" spans="1:48" s="270" customFormat="1" ht="25.05" hidden="1" customHeight="1">
      <c r="A126" s="333"/>
      <c r="B126" s="334" t="s">
        <v>179</v>
      </c>
      <c r="C126" s="436" t="s">
        <v>180</v>
      </c>
      <c r="D126" s="372"/>
      <c r="E126" s="336"/>
      <c r="F126" s="372"/>
      <c r="G126" s="338"/>
      <c r="H126" s="339"/>
      <c r="I126" s="338" t="s">
        <v>134</v>
      </c>
      <c r="J126" s="334" t="s">
        <v>75</v>
      </c>
      <c r="K126" s="263">
        <v>4</v>
      </c>
      <c r="L126" s="334" t="s">
        <v>8</v>
      </c>
      <c r="M126" s="340" t="s">
        <v>70</v>
      </c>
      <c r="N126" s="338"/>
      <c r="O126" s="341">
        <v>46240</v>
      </c>
      <c r="P126" s="341"/>
      <c r="Q126" s="341"/>
      <c r="R126" s="341"/>
      <c r="S126" s="341"/>
      <c r="T126" s="341"/>
      <c r="U126" s="341"/>
      <c r="V126" s="341"/>
      <c r="W126" s="341"/>
      <c r="X126" s="338"/>
      <c r="Y126" s="341"/>
      <c r="Z126" s="341"/>
      <c r="AA126" s="341"/>
      <c r="AB126" s="341"/>
      <c r="AC126" s="341"/>
      <c r="AD126" s="341"/>
      <c r="AE126" s="341"/>
      <c r="AF126" s="341"/>
      <c r="AG126" s="341"/>
      <c r="AH126" s="341"/>
      <c r="AI126" s="341"/>
      <c r="AJ126" s="341"/>
      <c r="AK126" s="342"/>
      <c r="AL126" s="343"/>
      <c r="AM126" s="341"/>
      <c r="AN126" s="344"/>
      <c r="AO126" s="344"/>
      <c r="AP126" s="344"/>
      <c r="AQ126" s="344"/>
      <c r="AR126" s="338"/>
      <c r="AS126" s="345"/>
      <c r="AT126" s="346"/>
      <c r="AU126" s="345"/>
    </row>
    <row r="127" spans="1:48" s="270" customFormat="1" ht="25.05" hidden="1" customHeight="1">
      <c r="A127" s="315">
        <v>40</v>
      </c>
      <c r="B127" s="263" t="s">
        <v>184</v>
      </c>
      <c r="C127" s="432" t="s">
        <v>185</v>
      </c>
      <c r="D127" s="369"/>
      <c r="E127" s="317"/>
      <c r="F127" s="370"/>
      <c r="G127" s="319"/>
      <c r="H127" s="320"/>
      <c r="I127" s="319" t="s">
        <v>134</v>
      </c>
      <c r="J127" s="263"/>
      <c r="K127" s="321"/>
      <c r="L127" s="263" t="s">
        <v>8</v>
      </c>
      <c r="M127" s="322" t="s">
        <v>63</v>
      </c>
      <c r="N127" s="323"/>
      <c r="O127" s="324">
        <v>46244</v>
      </c>
      <c r="P127" s="324">
        <v>46258</v>
      </c>
      <c r="Q127" s="324">
        <v>46258</v>
      </c>
      <c r="R127" s="324">
        <v>46258</v>
      </c>
      <c r="S127" s="324">
        <v>46258</v>
      </c>
      <c r="T127" s="324">
        <v>46274</v>
      </c>
      <c r="U127" s="324">
        <v>46289</v>
      </c>
      <c r="V127" s="324">
        <v>46303</v>
      </c>
      <c r="W127" s="324"/>
      <c r="X127" s="324">
        <v>46316</v>
      </c>
      <c r="Y127" s="324">
        <v>46318</v>
      </c>
      <c r="Z127" s="324">
        <v>46325</v>
      </c>
      <c r="AA127" s="324">
        <v>46346</v>
      </c>
      <c r="AB127" s="324">
        <v>46360</v>
      </c>
      <c r="AC127" s="324">
        <v>46375</v>
      </c>
      <c r="AD127" s="324">
        <v>46375</v>
      </c>
      <c r="AE127" s="324">
        <v>46377</v>
      </c>
      <c r="AF127" s="324">
        <v>46421</v>
      </c>
      <c r="AG127" s="324">
        <v>46435</v>
      </c>
      <c r="AH127" s="324">
        <v>46442</v>
      </c>
      <c r="AI127" s="324">
        <v>46456</v>
      </c>
      <c r="AJ127" s="324">
        <v>46472</v>
      </c>
      <c r="AK127" s="325">
        <v>18</v>
      </c>
      <c r="AL127" s="326">
        <f>AK127*7</f>
        <v>126</v>
      </c>
      <c r="AM127" s="324">
        <f>X127+AL127</f>
        <v>46442</v>
      </c>
      <c r="AN127" s="327">
        <f>AN128</f>
        <v>46478</v>
      </c>
      <c r="AO127" s="327"/>
      <c r="AP127" s="327"/>
      <c r="AQ127" s="327"/>
      <c r="AR127" s="319">
        <f>AN128-AM127</f>
        <v>36</v>
      </c>
      <c r="AS127" s="328"/>
      <c r="AT127" s="329" t="s">
        <v>65</v>
      </c>
      <c r="AU127" s="330">
        <v>46485</v>
      </c>
      <c r="AV127" s="331">
        <v>47</v>
      </c>
    </row>
    <row r="128" spans="1:48" s="270" customFormat="1" ht="25.05" hidden="1" customHeight="1">
      <c r="A128" s="315"/>
      <c r="B128" s="263" t="s">
        <v>184</v>
      </c>
      <c r="C128" s="432" t="s">
        <v>185</v>
      </c>
      <c r="D128" s="371"/>
      <c r="E128" s="317"/>
      <c r="F128" s="371"/>
      <c r="G128" s="319"/>
      <c r="H128" s="320" t="s">
        <v>186</v>
      </c>
      <c r="I128" s="319" t="s">
        <v>134</v>
      </c>
      <c r="J128" s="263" t="s">
        <v>75</v>
      </c>
      <c r="K128" s="263">
        <v>4</v>
      </c>
      <c r="L128" s="263" t="s">
        <v>8</v>
      </c>
      <c r="M128" s="322" t="s">
        <v>68</v>
      </c>
      <c r="N128" s="324"/>
      <c r="O128" s="324">
        <v>46243</v>
      </c>
      <c r="P128" s="324">
        <f>WORKDAY.INTL(O128,INDEX(P$8:P$11,MATCH($L128,$L$8:$L$11,0)),1,IF(P$18="China",'China Holidays'!$A$2:$A$82,'Thai Holidays'!$A$2:$A$63))</f>
        <v>46258</v>
      </c>
      <c r="Q128" s="324">
        <f>WORKDAY.INTL(P128,INDEX(Q$8:Q$11,MATCH($L128,$L$8:$L$11,0)),1,IF(Q$18="China",'China Holidays'!$A$2:$A$82,'Thai Holidays'!$A$2:$A$63))</f>
        <v>46258</v>
      </c>
      <c r="R128" s="324">
        <f>WORKDAY.INTL(Q128,INDEX(R$8:R$11,MATCH($L128,$L$8:$L$11,0)),1,IF(R$18="China",'China Holidays'!$A$2:$A$82,'Thai Holidays'!$A$2:$A$63))</f>
        <v>46258</v>
      </c>
      <c r="S128" s="324">
        <f>WORKDAY.INTL(R128,INDEX(S$8:S$11,MATCH($L128,$L$8:$L$11,0)),1,IF(S$18="China",'China Holidays'!$A$2:$A$82,'Thai Holidays'!$A$2:$A$63))</f>
        <v>46258</v>
      </c>
      <c r="T128" s="324">
        <f>WORKDAY.INTL(S128,INDEX(T$8:T$11,MATCH($L128,$L$8:$L$11,0)),1,IF(T$18="China",'China Holidays'!$A$2:$A$82,'Thai Holidays'!$A$2:$A$63))</f>
        <v>46272</v>
      </c>
      <c r="U128" s="324">
        <f>WORKDAY.INTL(T128,INDEX(U$8:U$11,MATCH($L128,$L$8:$L$11,0)),1,IF(U$18="China",'China Holidays'!$A$2:$A$82,'Thai Holidays'!$A$2:$A$63))</f>
        <v>46289</v>
      </c>
      <c r="V128" s="324">
        <f>WORKDAY.INTL(U128,INDEX(V$8:V$11,MATCH($L128,$L$8:$L$11,0)),1,IF(V$18="China",'China Holidays'!$A$2:$A$82,'Thai Holidays'!$A$2:$A$63))</f>
        <v>46303</v>
      </c>
      <c r="W128" s="324"/>
      <c r="X128" s="324">
        <f>WORKDAY.INTL(V128,INDEX(X$8:X$11,MATCH($L128,$L$8:$L$11,0)),1,IF(X$18="China",'China Holidays'!$A$2:$A$82,'Thai Holidays'!$A$2:$A$63))</f>
        <v>46316</v>
      </c>
      <c r="Y128" s="324">
        <f>WORKDAY.INTL(X128,INDEX(Y$12:Y$15,MATCH($L128,$L$12:$L$15,0)),1,IF(Y$18="China",'China Holidays'!$A$2:$A$82,'Thai Holidays'!$A$2:$A$63))</f>
        <v>46318</v>
      </c>
      <c r="Z128" s="324">
        <f>WORKDAY.INTL(Y128,INDEX(Z$12:Z$15,MATCH($L128,$L$12:$L$15,0)),1,IF(Z$18="China",'China Holidays'!$A$2:$A$82,'Thai Holidays'!$A$2:$A$63))</f>
        <v>46325</v>
      </c>
      <c r="AA128" s="324">
        <f>WORKDAY.INTL(Z128,INDEX(AA$12:AA$15,MATCH($L128,$L$12:$L$15,0)),1,IF(AA$18="China",'China Holidays'!$A$2:$A$82,'Thai Holidays'!$A$2:$A$63))</f>
        <v>46346</v>
      </c>
      <c r="AB128" s="324">
        <f>WORKDAY.INTL(AA128,INDEX(AB$12:AB$15,MATCH($L128,$L$12:$L$15,0)),1,IF(AB$18="China",'China Holidays'!$A$2:$A$82,'Thai Holidays'!$A$2:$A$63))</f>
        <v>46360</v>
      </c>
      <c r="AC128" s="324">
        <f>AB128+15</f>
        <v>46375</v>
      </c>
      <c r="AD128" s="324">
        <f>AC128</f>
        <v>46375</v>
      </c>
      <c r="AE128" s="324">
        <f>AD128+2</f>
        <v>46377</v>
      </c>
      <c r="AF128" s="324">
        <f>AG128-14</f>
        <v>46421</v>
      </c>
      <c r="AG128" s="324">
        <f>AH128-7</f>
        <v>46435</v>
      </c>
      <c r="AH128" s="324">
        <f>AM128</f>
        <v>46442</v>
      </c>
      <c r="AI128" s="324">
        <f>AM128+14</f>
        <v>46456</v>
      </c>
      <c r="AJ128" s="324">
        <f>AM128+30</f>
        <v>46472</v>
      </c>
      <c r="AK128" s="325">
        <v>18</v>
      </c>
      <c r="AL128" s="326">
        <f>AK128*7</f>
        <v>126</v>
      </c>
      <c r="AM128" s="324">
        <f>IF(X128&lt;&gt;"",X128+AL128,X129+AL128)</f>
        <v>46442</v>
      </c>
      <c r="AN128" s="327">
        <f>AU127-7</f>
        <v>46478</v>
      </c>
      <c r="AO128" s="327">
        <f>AP128-7</f>
        <v>46485</v>
      </c>
      <c r="AP128" s="327">
        <v>46492</v>
      </c>
      <c r="AQ128" s="327"/>
      <c r="AR128" s="319">
        <f>AN128-AM128</f>
        <v>36</v>
      </c>
      <c r="AS128" s="328"/>
      <c r="AT128" s="329" t="s">
        <v>69</v>
      </c>
      <c r="AU128" s="330">
        <v>46485</v>
      </c>
      <c r="AV128" s="271"/>
    </row>
    <row r="129" spans="1:48" s="270" customFormat="1" ht="25.05" hidden="1" customHeight="1">
      <c r="A129" s="333"/>
      <c r="B129" s="334" t="s">
        <v>184</v>
      </c>
      <c r="C129" s="436" t="s">
        <v>185</v>
      </c>
      <c r="D129" s="372"/>
      <c r="E129" s="336"/>
      <c r="F129" s="372"/>
      <c r="G129" s="338"/>
      <c r="H129" s="339"/>
      <c r="I129" s="338" t="s">
        <v>134</v>
      </c>
      <c r="J129" s="334" t="s">
        <v>75</v>
      </c>
      <c r="K129" s="263">
        <v>4</v>
      </c>
      <c r="L129" s="334" t="s">
        <v>8</v>
      </c>
      <c r="M129" s="340" t="s">
        <v>70</v>
      </c>
      <c r="N129" s="338"/>
      <c r="O129" s="367">
        <v>46248</v>
      </c>
      <c r="P129" s="341"/>
      <c r="Q129" s="341"/>
      <c r="R129" s="341"/>
      <c r="S129" s="341"/>
      <c r="T129" s="341"/>
      <c r="U129" s="341"/>
      <c r="V129" s="341"/>
      <c r="W129" s="341"/>
      <c r="X129" s="338"/>
      <c r="Y129" s="341"/>
      <c r="Z129" s="341"/>
      <c r="AA129" s="341"/>
      <c r="AB129" s="341"/>
      <c r="AC129" s="341"/>
      <c r="AD129" s="341"/>
      <c r="AE129" s="341"/>
      <c r="AF129" s="341"/>
      <c r="AG129" s="341"/>
      <c r="AH129" s="341"/>
      <c r="AI129" s="341"/>
      <c r="AJ129" s="341"/>
      <c r="AK129" s="342"/>
      <c r="AL129" s="343"/>
      <c r="AM129" s="341"/>
      <c r="AN129" s="344"/>
      <c r="AO129" s="344"/>
      <c r="AP129" s="344"/>
      <c r="AQ129" s="344"/>
      <c r="AR129" s="338"/>
      <c r="AS129" s="345"/>
      <c r="AT129" s="346"/>
      <c r="AU129" s="345"/>
    </row>
    <row r="130" spans="1:48" s="270" customFormat="1" ht="25.05" hidden="1" customHeight="1">
      <c r="A130" s="315">
        <v>41</v>
      </c>
      <c r="B130" s="263" t="s">
        <v>187</v>
      </c>
      <c r="C130" s="432" t="s">
        <v>188</v>
      </c>
      <c r="D130" s="369"/>
      <c r="E130" s="317"/>
      <c r="F130" s="370"/>
      <c r="G130" s="319"/>
      <c r="H130" s="320"/>
      <c r="I130" s="319" t="s">
        <v>134</v>
      </c>
      <c r="J130" s="263"/>
      <c r="K130" s="321"/>
      <c r="L130" s="263" t="s">
        <v>8</v>
      </c>
      <c r="M130" s="322" t="s">
        <v>63</v>
      </c>
      <c r="N130" s="323"/>
      <c r="O130" s="324">
        <v>46220</v>
      </c>
      <c r="P130" s="324">
        <v>46230</v>
      </c>
      <c r="Q130" s="324">
        <v>46230</v>
      </c>
      <c r="R130" s="324">
        <v>46237</v>
      </c>
      <c r="S130" s="324">
        <v>46238</v>
      </c>
      <c r="T130" s="324">
        <v>46244</v>
      </c>
      <c r="U130" s="324">
        <v>46265</v>
      </c>
      <c r="V130" s="324">
        <v>46270</v>
      </c>
      <c r="W130" s="324"/>
      <c r="X130" s="324">
        <v>46283</v>
      </c>
      <c r="Y130" s="324">
        <v>46286</v>
      </c>
      <c r="Z130" s="324">
        <v>46293</v>
      </c>
      <c r="AA130" s="324">
        <v>46322</v>
      </c>
      <c r="AB130" s="324">
        <v>46339</v>
      </c>
      <c r="AC130" s="324">
        <v>46351</v>
      </c>
      <c r="AD130" s="324">
        <v>46351</v>
      </c>
      <c r="AE130" s="324">
        <v>46353</v>
      </c>
      <c r="AF130" s="324">
        <v>46473</v>
      </c>
      <c r="AG130" s="324">
        <v>46487</v>
      </c>
      <c r="AH130" s="324">
        <v>46494</v>
      </c>
      <c r="AI130" s="324">
        <v>46508</v>
      </c>
      <c r="AJ130" s="324">
        <v>46524</v>
      </c>
      <c r="AK130" s="325">
        <v>30</v>
      </c>
      <c r="AL130" s="326">
        <f>AK130*7</f>
        <v>210</v>
      </c>
      <c r="AM130" s="324">
        <f>X130+AL130</f>
        <v>46493</v>
      </c>
      <c r="AN130" s="327">
        <f>AN131</f>
        <v>46500</v>
      </c>
      <c r="AO130" s="327"/>
      <c r="AP130" s="327"/>
      <c r="AQ130" s="327"/>
      <c r="AR130" s="319">
        <f>AN131-AM130</f>
        <v>7</v>
      </c>
      <c r="AS130" s="328"/>
      <c r="AT130" s="329" t="s">
        <v>65</v>
      </c>
      <c r="AU130" s="330">
        <v>46507</v>
      </c>
      <c r="AV130" s="331">
        <v>38</v>
      </c>
    </row>
    <row r="131" spans="1:48" s="270" customFormat="1" ht="25.05" hidden="1" customHeight="1">
      <c r="A131" s="315"/>
      <c r="B131" s="263" t="s">
        <v>187</v>
      </c>
      <c r="C131" s="432" t="s">
        <v>188</v>
      </c>
      <c r="D131" s="371"/>
      <c r="E131" s="317"/>
      <c r="F131" s="371"/>
      <c r="G131" s="319"/>
      <c r="H131" s="320" t="s">
        <v>159</v>
      </c>
      <c r="I131" s="319" t="s">
        <v>134</v>
      </c>
      <c r="J131" s="263" t="s">
        <v>75</v>
      </c>
      <c r="K131" s="263">
        <v>4</v>
      </c>
      <c r="L131" s="263" t="s">
        <v>8</v>
      </c>
      <c r="M131" s="322" t="s">
        <v>68</v>
      </c>
      <c r="N131" s="324"/>
      <c r="O131" s="324"/>
      <c r="P131" s="324"/>
      <c r="Q131" s="324"/>
      <c r="R131" s="324"/>
      <c r="S131" s="324"/>
      <c r="T131" s="324">
        <v>46244</v>
      </c>
      <c r="U131" s="324">
        <f>WORKDAY.INTL(T131,INDEX(U$8:U$11,MATCH($L131,$L$8:$L$11,0)),1,IF(U$18="China",'China Holidays'!$A$2:$A$82,'Thai Holidays'!$A$2:$A$63))</f>
        <v>46262</v>
      </c>
      <c r="V131" s="324">
        <f>WORKDAY.INTL(U131,INDEX(V$8:V$11,MATCH($L131,$L$8:$L$11,0)),1,IF(V$18="China",'China Holidays'!$A$2:$A$82,'Thai Holidays'!$A$2:$A$63))</f>
        <v>46276</v>
      </c>
      <c r="W131" s="324"/>
      <c r="X131" s="324">
        <f>WORKDAY.INTL(V131,INDEX(X$8:X$11,MATCH($L131,$L$8:$L$11,0)),1,IF(X$18="China",'China Holidays'!$A$2:$A$82,'Thai Holidays'!$A$2:$A$63))</f>
        <v>46289</v>
      </c>
      <c r="Y131" s="324">
        <f>WORKDAY.INTL(X131,INDEX(Y$12:Y$15,MATCH($L131,$L$12:$L$15,0)),1,IF(Y$18="China",'China Holidays'!$A$2:$A$82,'Thai Holidays'!$A$2:$A$63))</f>
        <v>46294</v>
      </c>
      <c r="Z131" s="324">
        <f>WORKDAY.INTL(Y131,INDEX(Z$12:Z$15,MATCH($L131,$L$12:$L$15,0)),1,IF(Z$18="China",'China Holidays'!$A$2:$A$82,'Thai Holidays'!$A$2:$A$63))</f>
        <v>46308</v>
      </c>
      <c r="AA131" s="324">
        <f>WORKDAY.INTL(Z131,INDEX(AA$12:AA$15,MATCH($L131,$L$12:$L$15,0)),1,IF(AA$18="China",'China Holidays'!$A$2:$A$82,'Thai Holidays'!$A$2:$A$63))</f>
        <v>46329</v>
      </c>
      <c r="AB131" s="324">
        <f>WORKDAY.INTL(AA131,INDEX(AB$12:AB$15,MATCH($L131,$L$12:$L$15,0)),1,IF(AB$18="China",'China Holidays'!$A$2:$A$82,'Thai Holidays'!$A$2:$A$63))</f>
        <v>46343</v>
      </c>
      <c r="AC131" s="324">
        <f>AB131+15</f>
        <v>46358</v>
      </c>
      <c r="AD131" s="324">
        <f>AC131</f>
        <v>46358</v>
      </c>
      <c r="AE131" s="324">
        <f>AD131+2</f>
        <v>46360</v>
      </c>
      <c r="AF131" s="324">
        <f>AG131-14</f>
        <v>46478</v>
      </c>
      <c r="AG131" s="324">
        <f>AH131-7</f>
        <v>46492</v>
      </c>
      <c r="AH131" s="324">
        <f>AM131</f>
        <v>46499</v>
      </c>
      <c r="AI131" s="324">
        <f>AM131+14</f>
        <v>46513</v>
      </c>
      <c r="AJ131" s="324">
        <f>AM131+30</f>
        <v>46529</v>
      </c>
      <c r="AK131" s="325">
        <v>30</v>
      </c>
      <c r="AL131" s="326">
        <f>AK131*7</f>
        <v>210</v>
      </c>
      <c r="AM131" s="324">
        <f>IF(X131&lt;&gt;"",X131+AL131,X132+AL131)</f>
        <v>46499</v>
      </c>
      <c r="AN131" s="327">
        <f>AU130-7</f>
        <v>46500</v>
      </c>
      <c r="AO131" s="327">
        <f>AP131-7</f>
        <v>46498</v>
      </c>
      <c r="AP131" s="327">
        <v>46505</v>
      </c>
      <c r="AQ131" s="327"/>
      <c r="AR131" s="319">
        <f>AN131-AM131</f>
        <v>1</v>
      </c>
      <c r="AS131" s="328"/>
      <c r="AT131" s="329" t="s">
        <v>69</v>
      </c>
      <c r="AU131" s="330">
        <v>46507</v>
      </c>
      <c r="AV131" s="271"/>
    </row>
    <row r="132" spans="1:48" s="270" customFormat="1" ht="25.05" hidden="1" customHeight="1">
      <c r="A132" s="333"/>
      <c r="B132" s="334" t="s">
        <v>187</v>
      </c>
      <c r="C132" s="436" t="s">
        <v>188</v>
      </c>
      <c r="D132" s="372"/>
      <c r="E132" s="336"/>
      <c r="F132" s="372"/>
      <c r="G132" s="338"/>
      <c r="H132" s="339"/>
      <c r="I132" s="338" t="s">
        <v>134</v>
      </c>
      <c r="J132" s="334" t="s">
        <v>75</v>
      </c>
      <c r="K132" s="263">
        <v>4</v>
      </c>
      <c r="L132" s="334" t="s">
        <v>8</v>
      </c>
      <c r="M132" s="340" t="s">
        <v>70</v>
      </c>
      <c r="N132" s="341"/>
      <c r="O132" s="341">
        <v>46204</v>
      </c>
      <c r="P132" s="341">
        <v>46225</v>
      </c>
      <c r="Q132" s="341">
        <v>46225</v>
      </c>
      <c r="R132" s="341">
        <f>Q132</f>
        <v>46225</v>
      </c>
      <c r="S132" s="341">
        <v>46241</v>
      </c>
      <c r="T132" s="341"/>
      <c r="U132" s="341"/>
      <c r="V132" s="341"/>
      <c r="W132" s="341"/>
      <c r="X132" s="341"/>
      <c r="Y132" s="341"/>
      <c r="Z132" s="341"/>
      <c r="AA132" s="341"/>
      <c r="AB132" s="341"/>
      <c r="AC132" s="341"/>
      <c r="AD132" s="341"/>
      <c r="AE132" s="341"/>
      <c r="AF132" s="341"/>
      <c r="AG132" s="341"/>
      <c r="AH132" s="341"/>
      <c r="AI132" s="341"/>
      <c r="AJ132" s="341"/>
      <c r="AK132" s="362"/>
      <c r="AL132" s="343"/>
      <c r="AM132" s="324"/>
      <c r="AN132" s="344"/>
      <c r="AO132" s="344"/>
      <c r="AP132" s="344"/>
      <c r="AQ132" s="344"/>
      <c r="AR132" s="338"/>
      <c r="AS132" s="345"/>
      <c r="AT132" s="346"/>
      <c r="AU132" s="345"/>
    </row>
    <row r="133" spans="1:48" s="270" customFormat="1" ht="25.05" hidden="1" customHeight="1">
      <c r="A133" s="315">
        <v>42</v>
      </c>
      <c r="B133" s="263" t="s">
        <v>189</v>
      </c>
      <c r="C133" s="432" t="s">
        <v>190</v>
      </c>
      <c r="D133" s="369"/>
      <c r="E133" s="317"/>
      <c r="F133" s="370"/>
      <c r="G133" s="319"/>
      <c r="H133" s="320"/>
      <c r="I133" s="319" t="s">
        <v>134</v>
      </c>
      <c r="J133" s="263"/>
      <c r="K133" s="321"/>
      <c r="L133" s="263" t="s">
        <v>8</v>
      </c>
      <c r="M133" s="322" t="s">
        <v>63</v>
      </c>
      <c r="N133" s="323"/>
      <c r="O133" s="324">
        <v>46220</v>
      </c>
      <c r="P133" s="324">
        <v>46230</v>
      </c>
      <c r="Q133" s="324">
        <v>46230</v>
      </c>
      <c r="R133" s="324">
        <v>46230</v>
      </c>
      <c r="S133" s="324">
        <v>46238</v>
      </c>
      <c r="T133" s="324">
        <v>46251</v>
      </c>
      <c r="U133" s="324">
        <v>46275</v>
      </c>
      <c r="V133" s="324">
        <v>46280</v>
      </c>
      <c r="W133" s="324"/>
      <c r="X133" s="324">
        <v>46294</v>
      </c>
      <c r="Y133" s="324">
        <v>46296</v>
      </c>
      <c r="Z133" s="324">
        <v>46303</v>
      </c>
      <c r="AA133" s="324">
        <v>46332</v>
      </c>
      <c r="AB133" s="324">
        <v>46349</v>
      </c>
      <c r="AC133" s="324">
        <v>46361</v>
      </c>
      <c r="AD133" s="324">
        <v>46361</v>
      </c>
      <c r="AE133" s="324">
        <v>46363</v>
      </c>
      <c r="AF133" s="324">
        <v>46441</v>
      </c>
      <c r="AG133" s="324">
        <v>46455</v>
      </c>
      <c r="AH133" s="324">
        <v>46462</v>
      </c>
      <c r="AI133" s="324">
        <v>46476</v>
      </c>
      <c r="AJ133" s="324">
        <v>46492</v>
      </c>
      <c r="AK133" s="325">
        <v>24</v>
      </c>
      <c r="AL133" s="326">
        <f>AK133*7</f>
        <v>168</v>
      </c>
      <c r="AM133" s="324">
        <f>X133+AL133</f>
        <v>46462</v>
      </c>
      <c r="AN133" s="327">
        <f>AN134</f>
        <v>46478</v>
      </c>
      <c r="AO133" s="327"/>
      <c r="AP133" s="327"/>
      <c r="AQ133" s="327"/>
      <c r="AR133" s="319">
        <f>AN134-AM133</f>
        <v>16</v>
      </c>
      <c r="AS133" s="328"/>
      <c r="AT133" s="329" t="s">
        <v>65</v>
      </c>
      <c r="AU133" s="330">
        <v>46485</v>
      </c>
      <c r="AV133" s="331">
        <v>27</v>
      </c>
    </row>
    <row r="134" spans="1:48" s="270" customFormat="1" ht="25.05" hidden="1" customHeight="1">
      <c r="A134" s="315"/>
      <c r="B134" s="263" t="s">
        <v>189</v>
      </c>
      <c r="C134" s="432" t="s">
        <v>190</v>
      </c>
      <c r="D134" s="371"/>
      <c r="E134" s="317"/>
      <c r="F134" s="371"/>
      <c r="G134" s="319"/>
      <c r="H134" s="320" t="s">
        <v>191</v>
      </c>
      <c r="I134" s="319" t="s">
        <v>134</v>
      </c>
      <c r="J134" s="263" t="s">
        <v>75</v>
      </c>
      <c r="K134" s="263">
        <v>3</v>
      </c>
      <c r="L134" s="263" t="s">
        <v>8</v>
      </c>
      <c r="M134" s="322" t="s">
        <v>68</v>
      </c>
      <c r="N134" s="324"/>
      <c r="O134" s="324"/>
      <c r="P134" s="324"/>
      <c r="Q134" s="324"/>
      <c r="R134" s="324"/>
      <c r="S134" s="324">
        <v>46241</v>
      </c>
      <c r="T134" s="324">
        <f>WORKDAY.INTL(S134,INDEX(T$8:T$11,MATCH($L134,$L$8:$L$11,0)),1,IF(T$18="China",'China Holidays'!$A$2:$A$82,'Thai Holidays'!$A$2:$A$63))</f>
        <v>46255</v>
      </c>
      <c r="U134" s="324">
        <f>WORKDAY.INTL(T134,INDEX(U$8:U$11,MATCH($L134,$L$8:$L$11,0)),1,IF(U$18="China",'China Holidays'!$A$2:$A$82,'Thai Holidays'!$A$2:$A$63))</f>
        <v>46274</v>
      </c>
      <c r="V134" s="324">
        <f>WORKDAY.INTL(U134,INDEX(V$8:V$11,MATCH($L134,$L$8:$L$11,0)),1,IF(V$18="China",'China Holidays'!$A$2:$A$82,'Thai Holidays'!$A$2:$A$63))</f>
        <v>46288</v>
      </c>
      <c r="W134" s="324"/>
      <c r="X134" s="324">
        <f>WORKDAY.INTL(V134,INDEX(X$8:X$11,MATCH($L134,$L$8:$L$11,0)),1,IF(X$18="China",'China Holidays'!$A$2:$A$82,'Thai Holidays'!$A$2:$A$63))</f>
        <v>46309</v>
      </c>
      <c r="Y134" s="324">
        <f>WORKDAY.INTL(X134,INDEX(Y$12:Y$15,MATCH($L134,$L$12:$L$15,0)),1,IF(Y$18="China",'China Holidays'!$A$2:$A$82,'Thai Holidays'!$A$2:$A$63))</f>
        <v>46311</v>
      </c>
      <c r="Z134" s="324">
        <f>WORKDAY.INTL(Y134,INDEX(Z$12:Z$15,MATCH($L134,$L$12:$L$15,0)),1,IF(Z$18="China",'China Holidays'!$A$2:$A$82,'Thai Holidays'!$A$2:$A$63))</f>
        <v>46318</v>
      </c>
      <c r="AA134" s="324">
        <f>WORKDAY.INTL(Z134,INDEX(AA$12:AA$15,MATCH($L134,$L$12:$L$15,0)),1,IF(AA$18="China",'China Holidays'!$A$2:$A$82,'Thai Holidays'!$A$2:$A$63))</f>
        <v>46339</v>
      </c>
      <c r="AB134" s="324">
        <f>WORKDAY.INTL(AA134,INDEX(AB$12:AB$15,MATCH($L134,$L$12:$L$15,0)),1,IF(AB$18="China",'China Holidays'!$A$2:$A$82,'Thai Holidays'!$A$2:$A$63))</f>
        <v>46353</v>
      </c>
      <c r="AC134" s="324">
        <f>AB134+15</f>
        <v>46368</v>
      </c>
      <c r="AD134" s="324">
        <f>AC134</f>
        <v>46368</v>
      </c>
      <c r="AE134" s="324">
        <f>AD134+2</f>
        <v>46370</v>
      </c>
      <c r="AF134" s="324">
        <f>AG134-14</f>
        <v>46456</v>
      </c>
      <c r="AG134" s="324">
        <f>AH134-7</f>
        <v>46470</v>
      </c>
      <c r="AH134" s="324">
        <f>AM134</f>
        <v>46477</v>
      </c>
      <c r="AI134" s="324">
        <f>AM134+14</f>
        <v>46491</v>
      </c>
      <c r="AJ134" s="324">
        <f>AM134+30</f>
        <v>46507</v>
      </c>
      <c r="AK134" s="325">
        <v>24</v>
      </c>
      <c r="AL134" s="326">
        <f>AK134*7</f>
        <v>168</v>
      </c>
      <c r="AM134" s="324">
        <f>IF(X134&lt;&gt;"",X134+AL134,X135+AL134)</f>
        <v>46477</v>
      </c>
      <c r="AN134" s="327">
        <f>AU133-7</f>
        <v>46478</v>
      </c>
      <c r="AO134" s="327">
        <f>AP134-7</f>
        <v>46485</v>
      </c>
      <c r="AP134" s="327">
        <v>46492</v>
      </c>
      <c r="AQ134" s="327"/>
      <c r="AR134" s="319">
        <f>AN134-AM134</f>
        <v>1</v>
      </c>
      <c r="AS134" s="328"/>
      <c r="AT134" s="329" t="s">
        <v>69</v>
      </c>
      <c r="AU134" s="330">
        <v>46485</v>
      </c>
      <c r="AV134" s="271"/>
    </row>
    <row r="135" spans="1:48" s="270" customFormat="1" ht="25.05" hidden="1" customHeight="1">
      <c r="A135" s="333"/>
      <c r="B135" s="334" t="s">
        <v>189</v>
      </c>
      <c r="C135" s="436" t="s">
        <v>190</v>
      </c>
      <c r="D135" s="372"/>
      <c r="E135" s="336"/>
      <c r="F135" s="372"/>
      <c r="G135" s="338"/>
      <c r="H135" s="339"/>
      <c r="I135" s="338" t="s">
        <v>134</v>
      </c>
      <c r="J135" s="334" t="s">
        <v>75</v>
      </c>
      <c r="K135" s="263">
        <v>3</v>
      </c>
      <c r="L135" s="334" t="s">
        <v>8</v>
      </c>
      <c r="M135" s="340" t="s">
        <v>70</v>
      </c>
      <c r="N135" s="341"/>
      <c r="O135" s="341">
        <v>46204</v>
      </c>
      <c r="P135" s="341">
        <v>46225</v>
      </c>
      <c r="Q135" s="341">
        <v>46225</v>
      </c>
      <c r="R135" s="341">
        <f>Q135</f>
        <v>46225</v>
      </c>
      <c r="S135" s="341">
        <v>46241</v>
      </c>
      <c r="T135" s="341"/>
      <c r="U135" s="341"/>
      <c r="V135" s="341"/>
      <c r="W135" s="341"/>
      <c r="X135" s="341"/>
      <c r="Y135" s="341"/>
      <c r="Z135" s="341"/>
      <c r="AA135" s="341"/>
      <c r="AB135" s="341"/>
      <c r="AC135" s="341"/>
      <c r="AD135" s="341"/>
      <c r="AE135" s="341"/>
      <c r="AF135" s="341"/>
      <c r="AG135" s="341"/>
      <c r="AH135" s="341"/>
      <c r="AI135" s="341"/>
      <c r="AJ135" s="341"/>
      <c r="AK135" s="373"/>
      <c r="AL135" s="343"/>
      <c r="AM135" s="324"/>
      <c r="AN135" s="344"/>
      <c r="AO135" s="344"/>
      <c r="AP135" s="344"/>
      <c r="AQ135" s="344"/>
      <c r="AR135" s="338"/>
      <c r="AS135" s="345"/>
      <c r="AT135" s="346"/>
      <c r="AU135" s="345"/>
    </row>
    <row r="136" spans="1:48" s="270" customFormat="1" ht="25.05" hidden="1" customHeight="1">
      <c r="A136" s="315">
        <v>43</v>
      </c>
      <c r="B136" s="263" t="s">
        <v>192</v>
      </c>
      <c r="C136" s="432" t="s">
        <v>193</v>
      </c>
      <c r="D136" s="369"/>
      <c r="E136" s="317"/>
      <c r="F136" s="370"/>
      <c r="G136" s="319"/>
      <c r="H136" s="320"/>
      <c r="I136" s="319" t="s">
        <v>134</v>
      </c>
      <c r="J136" s="263"/>
      <c r="K136" s="321"/>
      <c r="L136" s="263" t="s">
        <v>8</v>
      </c>
      <c r="M136" s="322" t="s">
        <v>63</v>
      </c>
      <c r="N136" s="323"/>
      <c r="O136" s="324">
        <v>46244</v>
      </c>
      <c r="P136" s="324">
        <v>46258</v>
      </c>
      <c r="Q136" s="324">
        <v>46258</v>
      </c>
      <c r="R136" s="324">
        <v>46260</v>
      </c>
      <c r="S136" s="324">
        <v>46261</v>
      </c>
      <c r="T136" s="324">
        <v>46274</v>
      </c>
      <c r="U136" s="324">
        <v>46289</v>
      </c>
      <c r="V136" s="324">
        <v>46303</v>
      </c>
      <c r="W136" s="324"/>
      <c r="X136" s="324">
        <v>46316</v>
      </c>
      <c r="Y136" s="324">
        <v>46318</v>
      </c>
      <c r="Z136" s="324">
        <v>46323</v>
      </c>
      <c r="AA136" s="324">
        <v>46335</v>
      </c>
      <c r="AB136" s="324">
        <v>46343</v>
      </c>
      <c r="AC136" s="324">
        <v>46350</v>
      </c>
      <c r="AD136" s="324">
        <v>46375</v>
      </c>
      <c r="AE136" s="324">
        <v>46377</v>
      </c>
      <c r="AF136" s="324">
        <v>46355</v>
      </c>
      <c r="AG136" s="324">
        <v>46369</v>
      </c>
      <c r="AH136" s="324">
        <v>46376</v>
      </c>
      <c r="AI136" s="324">
        <v>46390</v>
      </c>
      <c r="AJ136" s="324">
        <v>46406</v>
      </c>
      <c r="AK136" s="325">
        <v>8.5714285714285694</v>
      </c>
      <c r="AL136" s="326">
        <f>AK136*7</f>
        <v>59.999999999999986</v>
      </c>
      <c r="AM136" s="324">
        <f>X136+AL136</f>
        <v>46376</v>
      </c>
      <c r="AN136" s="327">
        <f>AN137</f>
        <v>46478</v>
      </c>
      <c r="AO136" s="327"/>
      <c r="AP136" s="327"/>
      <c r="AQ136" s="327"/>
      <c r="AR136" s="319">
        <f>AN137-AM136</f>
        <v>102</v>
      </c>
      <c r="AS136" s="328"/>
      <c r="AT136" s="329" t="s">
        <v>65</v>
      </c>
      <c r="AU136" s="330">
        <v>46485</v>
      </c>
      <c r="AV136" s="331">
        <v>113</v>
      </c>
    </row>
    <row r="137" spans="1:48" s="270" customFormat="1" ht="25.05" hidden="1" customHeight="1">
      <c r="A137" s="315"/>
      <c r="B137" s="263" t="s">
        <v>192</v>
      </c>
      <c r="C137" s="432" t="s">
        <v>193</v>
      </c>
      <c r="D137" s="371"/>
      <c r="E137" s="317"/>
      <c r="F137" s="371"/>
      <c r="G137" s="319"/>
      <c r="H137" s="320" t="s">
        <v>194</v>
      </c>
      <c r="I137" s="319" t="s">
        <v>134</v>
      </c>
      <c r="J137" s="263" t="s">
        <v>75</v>
      </c>
      <c r="K137" s="263">
        <v>4</v>
      </c>
      <c r="L137" s="263" t="s">
        <v>8</v>
      </c>
      <c r="M137" s="322" t="s">
        <v>68</v>
      </c>
      <c r="N137" s="324"/>
      <c r="O137" s="324">
        <v>46243</v>
      </c>
      <c r="P137" s="324">
        <f>WORKDAY.INTL(O137,INDEX(P$8:P$11,MATCH($L137,$L$8:$L$11,0)),1,IF(P$18="China",'China Holidays'!$A$2:$A$82,'Thai Holidays'!$A$2:$A$63))</f>
        <v>46258</v>
      </c>
      <c r="Q137" s="324">
        <f>WORKDAY.INTL(P137,INDEX(Q$8:Q$11,MATCH($L137,$L$8:$L$11,0)),1,IF(Q$18="China",'China Holidays'!$A$2:$A$82,'Thai Holidays'!$A$2:$A$63))</f>
        <v>46258</v>
      </c>
      <c r="R137" s="324">
        <f>WORKDAY.INTL(Q137,INDEX(R$8:R$11,MATCH($L137,$L$8:$L$11,0)),1,IF(R$18="China",'China Holidays'!$A$2:$A$82,'Thai Holidays'!$A$2:$A$63))</f>
        <v>46258</v>
      </c>
      <c r="S137" s="324">
        <f>WORKDAY.INTL(R137,INDEX(S$8:S$11,MATCH($L137,$L$8:$L$11,0)),1,IF(S$18="China",'China Holidays'!$A$2:$A$82,'Thai Holidays'!$A$2:$A$63))</f>
        <v>46258</v>
      </c>
      <c r="T137" s="324">
        <f>WORKDAY.INTL(S137,INDEX(T$8:T$11,MATCH($L137,$L$8:$L$11,0)),1,IF(T$18="China",'China Holidays'!$A$2:$A$82,'Thai Holidays'!$A$2:$A$63))</f>
        <v>46272</v>
      </c>
      <c r="U137" s="324">
        <f>WORKDAY.INTL(T137,INDEX(U$8:U$11,MATCH($L137,$L$8:$L$11,0)),1,IF(U$18="China",'China Holidays'!$A$2:$A$82,'Thai Holidays'!$A$2:$A$63))</f>
        <v>46289</v>
      </c>
      <c r="V137" s="324">
        <f>WORKDAY.INTL(U137,INDEX(V$8:V$11,MATCH($L137,$L$8:$L$11,0)),1,IF(V$18="China",'China Holidays'!$A$2:$A$82,'Thai Holidays'!$A$2:$A$63))</f>
        <v>46303</v>
      </c>
      <c r="W137" s="324"/>
      <c r="X137" s="324">
        <f>WORKDAY.INTL(V137,INDEX(X$8:X$11,MATCH($L137,$L$8:$L$11,0)),1,IF(X$18="China",'China Holidays'!$A$2:$A$82,'Thai Holidays'!$A$2:$A$63))</f>
        <v>46316</v>
      </c>
      <c r="Y137" s="324">
        <f>X137+2</f>
        <v>46318</v>
      </c>
      <c r="Z137" s="324">
        <f>Y137+5</f>
        <v>46323</v>
      </c>
      <c r="AA137" s="324">
        <f>Z137+10</f>
        <v>46333</v>
      </c>
      <c r="AB137" s="324">
        <f>AA137+10</f>
        <v>46343</v>
      </c>
      <c r="AC137" s="324">
        <f>AB137+7</f>
        <v>46350</v>
      </c>
      <c r="AD137" s="324">
        <f>AC137</f>
        <v>46350</v>
      </c>
      <c r="AE137" s="324">
        <f>AD137+2</f>
        <v>46352</v>
      </c>
      <c r="AF137" s="324">
        <f>AG137-14</f>
        <v>46355</v>
      </c>
      <c r="AG137" s="324">
        <f>AH137-7</f>
        <v>46369</v>
      </c>
      <c r="AH137" s="324">
        <f>AM137</f>
        <v>46376</v>
      </c>
      <c r="AI137" s="324">
        <f>AM137+14</f>
        <v>46390</v>
      </c>
      <c r="AJ137" s="324">
        <f>AM137+30</f>
        <v>46406</v>
      </c>
      <c r="AK137" s="325">
        <v>8.5714285714285694</v>
      </c>
      <c r="AL137" s="326">
        <f>AK137*7</f>
        <v>59.999999999999986</v>
      </c>
      <c r="AM137" s="324">
        <f>IF(X137&lt;&gt;"",X137+AL137,X138+AL137)</f>
        <v>46376</v>
      </c>
      <c r="AN137" s="327">
        <f>AU136-7</f>
        <v>46478</v>
      </c>
      <c r="AO137" s="327">
        <f>AP137-7</f>
        <v>46485</v>
      </c>
      <c r="AP137" s="327">
        <v>46492</v>
      </c>
      <c r="AQ137" s="327"/>
      <c r="AR137" s="319">
        <f>AN137-AM137</f>
        <v>102</v>
      </c>
      <c r="AS137" s="328"/>
      <c r="AT137" s="329" t="s">
        <v>69</v>
      </c>
      <c r="AU137" s="330">
        <v>46485</v>
      </c>
      <c r="AV137" s="271"/>
    </row>
    <row r="138" spans="1:48" s="270" customFormat="1" ht="25.05" hidden="1" customHeight="1">
      <c r="A138" s="333"/>
      <c r="B138" s="334" t="s">
        <v>192</v>
      </c>
      <c r="C138" s="436" t="s">
        <v>193</v>
      </c>
      <c r="D138" s="372"/>
      <c r="E138" s="336"/>
      <c r="F138" s="372"/>
      <c r="G138" s="338"/>
      <c r="H138" s="339"/>
      <c r="I138" s="338" t="s">
        <v>134</v>
      </c>
      <c r="J138" s="334" t="s">
        <v>75</v>
      </c>
      <c r="K138" s="263">
        <v>4</v>
      </c>
      <c r="L138" s="334" t="s">
        <v>8</v>
      </c>
      <c r="M138" s="340" t="s">
        <v>70</v>
      </c>
      <c r="N138" s="341"/>
      <c r="O138" s="367">
        <v>46248</v>
      </c>
      <c r="P138" s="341"/>
      <c r="Q138" s="341"/>
      <c r="R138" s="341"/>
      <c r="S138" s="341"/>
      <c r="T138" s="341"/>
      <c r="U138" s="341"/>
      <c r="V138" s="341"/>
      <c r="W138" s="341"/>
      <c r="X138" s="338"/>
      <c r="Y138" s="341"/>
      <c r="Z138" s="341"/>
      <c r="AA138" s="341"/>
      <c r="AB138" s="341"/>
      <c r="AC138" s="341"/>
      <c r="AD138" s="341"/>
      <c r="AE138" s="341"/>
      <c r="AF138" s="341"/>
      <c r="AG138" s="341"/>
      <c r="AH138" s="341"/>
      <c r="AI138" s="341"/>
      <c r="AJ138" s="341"/>
      <c r="AK138" s="342"/>
      <c r="AL138" s="343"/>
      <c r="AM138" s="341"/>
      <c r="AN138" s="344"/>
      <c r="AO138" s="344"/>
      <c r="AP138" s="344"/>
      <c r="AQ138" s="344"/>
      <c r="AR138" s="338"/>
      <c r="AS138" s="345"/>
      <c r="AT138" s="346"/>
      <c r="AU138" s="345"/>
    </row>
    <row r="139" spans="1:48" s="270" customFormat="1" ht="25.05" hidden="1" customHeight="1">
      <c r="A139" s="315">
        <v>44</v>
      </c>
      <c r="B139" s="263" t="s">
        <v>195</v>
      </c>
      <c r="C139" s="432" t="s">
        <v>196</v>
      </c>
      <c r="D139" s="369"/>
      <c r="E139" s="317"/>
      <c r="F139" s="370"/>
      <c r="G139" s="319"/>
      <c r="H139" s="320"/>
      <c r="I139" s="319" t="s">
        <v>134</v>
      </c>
      <c r="J139" s="263"/>
      <c r="K139" s="321"/>
      <c r="L139" s="263" t="s">
        <v>8</v>
      </c>
      <c r="M139" s="322" t="s">
        <v>63</v>
      </c>
      <c r="N139" s="323"/>
      <c r="O139" s="324">
        <v>46244</v>
      </c>
      <c r="P139" s="324">
        <v>46258</v>
      </c>
      <c r="Q139" s="324">
        <v>46258</v>
      </c>
      <c r="R139" s="324">
        <v>46260</v>
      </c>
      <c r="S139" s="324">
        <v>46261</v>
      </c>
      <c r="T139" s="324">
        <v>46274</v>
      </c>
      <c r="U139" s="324">
        <v>46289</v>
      </c>
      <c r="V139" s="324">
        <v>46303</v>
      </c>
      <c r="W139" s="324"/>
      <c r="X139" s="324">
        <v>46316</v>
      </c>
      <c r="Y139" s="324">
        <v>46318</v>
      </c>
      <c r="Z139" s="324">
        <v>46323</v>
      </c>
      <c r="AA139" s="324">
        <v>46335</v>
      </c>
      <c r="AB139" s="324">
        <v>46345</v>
      </c>
      <c r="AC139" s="324">
        <v>46352</v>
      </c>
      <c r="AD139" s="324">
        <v>46375</v>
      </c>
      <c r="AE139" s="324">
        <v>46377</v>
      </c>
      <c r="AF139" s="324">
        <v>46355</v>
      </c>
      <c r="AG139" s="324">
        <v>46369</v>
      </c>
      <c r="AH139" s="324">
        <v>46376</v>
      </c>
      <c r="AI139" s="324">
        <v>46390</v>
      </c>
      <c r="AJ139" s="324">
        <v>46406</v>
      </c>
      <c r="AK139" s="325">
        <v>8.5714285714285694</v>
      </c>
      <c r="AL139" s="326">
        <f>AK139*7</f>
        <v>59.999999999999986</v>
      </c>
      <c r="AM139" s="324">
        <f>X139+AL139</f>
        <v>46376</v>
      </c>
      <c r="AN139" s="327">
        <f>AN140</f>
        <v>46478</v>
      </c>
      <c r="AO139" s="327"/>
      <c r="AP139" s="327"/>
      <c r="AQ139" s="327"/>
      <c r="AR139" s="319">
        <f>AN140-AM139</f>
        <v>102</v>
      </c>
      <c r="AS139" s="328"/>
      <c r="AT139" s="329" t="s">
        <v>65</v>
      </c>
      <c r="AU139" s="330">
        <v>46485</v>
      </c>
      <c r="AV139" s="331">
        <v>113</v>
      </c>
    </row>
    <row r="140" spans="1:48" s="270" customFormat="1" ht="25.05" hidden="1" customHeight="1">
      <c r="A140" s="315"/>
      <c r="B140" s="263" t="s">
        <v>195</v>
      </c>
      <c r="C140" s="432" t="s">
        <v>196</v>
      </c>
      <c r="D140" s="371"/>
      <c r="E140" s="317"/>
      <c r="F140" s="371"/>
      <c r="G140" s="319"/>
      <c r="H140" s="320" t="s">
        <v>194</v>
      </c>
      <c r="I140" s="319" t="s">
        <v>134</v>
      </c>
      <c r="J140" s="263" t="s">
        <v>75</v>
      </c>
      <c r="K140" s="263">
        <v>4</v>
      </c>
      <c r="L140" s="263" t="s">
        <v>8</v>
      </c>
      <c r="M140" s="322" t="s">
        <v>68</v>
      </c>
      <c r="N140" s="324"/>
      <c r="O140" s="324">
        <v>46243</v>
      </c>
      <c r="P140" s="324">
        <f>WORKDAY.INTL(O140,INDEX(P$8:P$11,MATCH($L140,$L$8:$L$11,0)),1,IF(P$18="China",'China Holidays'!$A$2:$A$82,'Thai Holidays'!$A$2:$A$63))</f>
        <v>46258</v>
      </c>
      <c r="Q140" s="324">
        <f>WORKDAY.INTL(P140,INDEX(Q$8:Q$11,MATCH($L140,$L$8:$L$11,0)),1,IF(Q$18="China",'China Holidays'!$A$2:$A$82,'Thai Holidays'!$A$2:$A$63))</f>
        <v>46258</v>
      </c>
      <c r="R140" s="324">
        <f>WORKDAY.INTL(Q140,INDEX(R$8:R$11,MATCH($L140,$L$8:$L$11,0)),1,IF(R$18="China",'China Holidays'!$A$2:$A$82,'Thai Holidays'!$A$2:$A$63))</f>
        <v>46258</v>
      </c>
      <c r="S140" s="324">
        <f>WORKDAY.INTL(R140,INDEX(S$8:S$11,MATCH($L140,$L$8:$L$11,0)),1,IF(S$18="China",'China Holidays'!$A$2:$A$82,'Thai Holidays'!$A$2:$A$63))</f>
        <v>46258</v>
      </c>
      <c r="T140" s="324">
        <f>WORKDAY.INTL(S140,INDEX(T$8:T$11,MATCH($L140,$L$8:$L$11,0)),1,IF(T$18="China",'China Holidays'!$A$2:$A$82,'Thai Holidays'!$A$2:$A$63))</f>
        <v>46272</v>
      </c>
      <c r="U140" s="324">
        <f>WORKDAY.INTL(T140,INDEX(U$8:U$11,MATCH($L140,$L$8:$L$11,0)),1,IF(U$18="China",'China Holidays'!$A$2:$A$82,'Thai Holidays'!$A$2:$A$63))</f>
        <v>46289</v>
      </c>
      <c r="V140" s="324">
        <f>WORKDAY.INTL(U140,INDEX(V$8:V$11,MATCH($L140,$L$8:$L$11,0)),1,IF(V$18="China",'China Holidays'!$A$2:$A$82,'Thai Holidays'!$A$2:$A$63))</f>
        <v>46303</v>
      </c>
      <c r="W140" s="324"/>
      <c r="X140" s="324">
        <f>WORKDAY.INTL(V140,INDEX(X$8:X$11,MATCH($L140,$L$8:$L$11,0)),1,IF(X$18="China",'China Holidays'!$A$2:$A$82,'Thai Holidays'!$A$2:$A$63))</f>
        <v>46316</v>
      </c>
      <c r="Y140" s="324">
        <f>WORKDAY.INTL(X140,INDEX(Y$12:Y$15,MATCH($L140,$L$12:$L$15,0)),1,IF(Y$18="China",'China Holidays'!$A$2:$A$82,'Thai Holidays'!$A$2:$A$63))</f>
        <v>46318</v>
      </c>
      <c r="Z140" s="324">
        <f>WORKDAY.INTL(Y140,INDEX(Z$12:Z$15,MATCH($L140,$L$12:$L$15,0)),1,IF(Z$18="China",'China Holidays'!$A$2:$A$82,'Thai Holidays'!$A$2:$A$63))</f>
        <v>46325</v>
      </c>
      <c r="AA140" s="324">
        <f>WORKDAY.INTL(Z140,INDEX(AA$12:AA$15,MATCH($L140,$L$12:$L$15,0)),1,IF(AA$18="China",'China Holidays'!$A$2:$A$82,'Thai Holidays'!$A$2:$A$63))</f>
        <v>46346</v>
      </c>
      <c r="AB140" s="324">
        <f>WORKDAY.INTL(AA140,INDEX(AB$12:AB$15,MATCH($L140,$L$12:$L$15,0)),1,IF(AB$18="China",'China Holidays'!$A$2:$A$82,'Thai Holidays'!$A$2:$A$63))</f>
        <v>46360</v>
      </c>
      <c r="AC140" s="324">
        <f>AB140+15</f>
        <v>46375</v>
      </c>
      <c r="AD140" s="324">
        <f>AC140</f>
        <v>46375</v>
      </c>
      <c r="AE140" s="324">
        <f>AD140+2</f>
        <v>46377</v>
      </c>
      <c r="AF140" s="324">
        <f>AG140-14</f>
        <v>46355</v>
      </c>
      <c r="AG140" s="324">
        <f>AH140-7</f>
        <v>46369</v>
      </c>
      <c r="AH140" s="324">
        <f>AM140</f>
        <v>46376</v>
      </c>
      <c r="AI140" s="324">
        <f>AM140+14</f>
        <v>46390</v>
      </c>
      <c r="AJ140" s="324">
        <f>AM140+30</f>
        <v>46406</v>
      </c>
      <c r="AK140" s="325">
        <v>8.5714285714285694</v>
      </c>
      <c r="AL140" s="326">
        <f>AK140*7</f>
        <v>59.999999999999986</v>
      </c>
      <c r="AM140" s="324">
        <f>IF(X140&lt;&gt;"",X140+AL140,X141+AL140)</f>
        <v>46376</v>
      </c>
      <c r="AN140" s="327">
        <f>AU139-7</f>
        <v>46478</v>
      </c>
      <c r="AO140" s="327">
        <f>AP140-7</f>
        <v>46485</v>
      </c>
      <c r="AP140" s="327">
        <v>46492</v>
      </c>
      <c r="AQ140" s="327"/>
      <c r="AR140" s="319">
        <f>AN140-AM140</f>
        <v>102</v>
      </c>
      <c r="AS140" s="328"/>
      <c r="AT140" s="329" t="s">
        <v>69</v>
      </c>
      <c r="AU140" s="330">
        <v>46485</v>
      </c>
      <c r="AV140" s="271"/>
    </row>
    <row r="141" spans="1:48" s="270" customFormat="1" ht="25.05" hidden="1" customHeight="1">
      <c r="A141" s="333"/>
      <c r="B141" s="334" t="s">
        <v>195</v>
      </c>
      <c r="C141" s="436" t="s">
        <v>196</v>
      </c>
      <c r="D141" s="372"/>
      <c r="E141" s="336"/>
      <c r="F141" s="372"/>
      <c r="G141" s="338"/>
      <c r="H141" s="339"/>
      <c r="I141" s="338" t="s">
        <v>134</v>
      </c>
      <c r="J141" s="334" t="s">
        <v>75</v>
      </c>
      <c r="K141" s="263">
        <v>4</v>
      </c>
      <c r="L141" s="334" t="s">
        <v>8</v>
      </c>
      <c r="M141" s="340" t="s">
        <v>70</v>
      </c>
      <c r="N141" s="338"/>
      <c r="O141" s="341"/>
      <c r="P141" s="341"/>
      <c r="Q141" s="341"/>
      <c r="R141" s="341"/>
      <c r="S141" s="341"/>
      <c r="T141" s="341"/>
      <c r="U141" s="341"/>
      <c r="V141" s="341"/>
      <c r="W141" s="341"/>
      <c r="X141" s="338"/>
      <c r="Y141" s="341"/>
      <c r="Z141" s="341"/>
      <c r="AA141" s="341"/>
      <c r="AB141" s="341"/>
      <c r="AC141" s="341"/>
      <c r="AD141" s="341"/>
      <c r="AE141" s="341"/>
      <c r="AF141" s="341"/>
      <c r="AG141" s="341"/>
      <c r="AH141" s="341"/>
      <c r="AI141" s="341"/>
      <c r="AJ141" s="341"/>
      <c r="AK141" s="342"/>
      <c r="AL141" s="343"/>
      <c r="AM141" s="341"/>
      <c r="AN141" s="344"/>
      <c r="AO141" s="344"/>
      <c r="AP141" s="344"/>
      <c r="AQ141" s="344"/>
      <c r="AR141" s="338"/>
      <c r="AS141" s="345"/>
      <c r="AT141" s="346"/>
      <c r="AU141" s="345"/>
    </row>
    <row r="142" spans="1:48" s="270" customFormat="1" ht="25.05" hidden="1" customHeight="1">
      <c r="A142" s="315">
        <v>45</v>
      </c>
      <c r="B142" s="263" t="s">
        <v>197</v>
      </c>
      <c r="C142" s="432" t="s">
        <v>198</v>
      </c>
      <c r="D142" s="316"/>
      <c r="E142" s="317"/>
      <c r="F142" s="318"/>
      <c r="G142" s="319"/>
      <c r="H142" s="320"/>
      <c r="I142" s="319" t="s">
        <v>134</v>
      </c>
      <c r="J142" s="263"/>
      <c r="K142" s="321"/>
      <c r="L142" s="263" t="s">
        <v>7</v>
      </c>
      <c r="M142" s="322" t="s">
        <v>63</v>
      </c>
      <c r="N142" s="323"/>
      <c r="O142" s="324">
        <v>46161</v>
      </c>
      <c r="P142" s="324">
        <v>46182</v>
      </c>
      <c r="Q142" s="324">
        <v>46182</v>
      </c>
      <c r="R142" s="324">
        <v>46182</v>
      </c>
      <c r="S142" s="324">
        <v>46179</v>
      </c>
      <c r="T142" s="324">
        <v>46199</v>
      </c>
      <c r="U142" s="324">
        <v>46266</v>
      </c>
      <c r="V142" s="324">
        <v>46280</v>
      </c>
      <c r="W142" s="324"/>
      <c r="X142" s="324">
        <v>46294</v>
      </c>
      <c r="Y142" s="324">
        <v>46303</v>
      </c>
      <c r="Z142" s="324">
        <v>46310</v>
      </c>
      <c r="AA142" s="324">
        <v>46338</v>
      </c>
      <c r="AB142" s="324">
        <v>46352</v>
      </c>
      <c r="AC142" s="324">
        <v>46367</v>
      </c>
      <c r="AD142" s="324">
        <v>46308</v>
      </c>
      <c r="AE142" s="324">
        <v>46310</v>
      </c>
      <c r="AF142" s="324">
        <v>46502</v>
      </c>
      <c r="AG142" s="324">
        <v>46532</v>
      </c>
      <c r="AH142" s="324">
        <v>46546</v>
      </c>
      <c r="AI142" s="324">
        <v>46560</v>
      </c>
      <c r="AJ142" s="324">
        <v>46576</v>
      </c>
      <c r="AK142" s="325">
        <v>36</v>
      </c>
      <c r="AL142" s="326">
        <f>AK142*7</f>
        <v>252</v>
      </c>
      <c r="AM142" s="324">
        <f>X142+AL142</f>
        <v>46546</v>
      </c>
      <c r="AN142" s="327">
        <f>AN143</f>
        <v>46591</v>
      </c>
      <c r="AO142" s="327"/>
      <c r="AP142" s="327"/>
      <c r="AQ142" s="327"/>
      <c r="AR142" s="319">
        <f>AN143-AM142</f>
        <v>45</v>
      </c>
      <c r="AS142" s="328"/>
      <c r="AT142" s="329" t="s">
        <v>65</v>
      </c>
      <c r="AU142" s="330">
        <v>46598</v>
      </c>
      <c r="AV142" s="331">
        <v>67</v>
      </c>
    </row>
    <row r="143" spans="1:48" s="270" customFormat="1" ht="25.05" hidden="1" customHeight="1">
      <c r="A143" s="315"/>
      <c r="B143" s="263" t="s">
        <v>197</v>
      </c>
      <c r="C143" s="432" t="s">
        <v>198</v>
      </c>
      <c r="D143" s="316"/>
      <c r="E143" s="317"/>
      <c r="F143" s="348"/>
      <c r="G143" s="319"/>
      <c r="H143" s="320" t="s">
        <v>199</v>
      </c>
      <c r="I143" s="319" t="s">
        <v>134</v>
      </c>
      <c r="J143" s="263" t="s">
        <v>75</v>
      </c>
      <c r="K143" s="263">
        <v>2</v>
      </c>
      <c r="L143" s="263" t="s">
        <v>7</v>
      </c>
      <c r="M143" s="322" t="s">
        <v>68</v>
      </c>
      <c r="N143" s="324"/>
      <c r="O143" s="324"/>
      <c r="P143" s="324"/>
      <c r="Q143" s="324"/>
      <c r="R143" s="324"/>
      <c r="S143" s="324"/>
      <c r="T143" s="324"/>
      <c r="U143" s="324"/>
      <c r="V143" s="324"/>
      <c r="W143" s="324"/>
      <c r="X143" s="324">
        <v>46294</v>
      </c>
      <c r="Y143" s="324">
        <f>WORKDAY.INTL(X143,INDEX(Y$12:Y$15,MATCH($L143,$L$12:$L$15,0)),1,IF(Y$18="China",'China Holidays'!$A$2:$A$82,'Thai Holidays'!$A$2:$A$63))</f>
        <v>46303</v>
      </c>
      <c r="Z143" s="324">
        <f>WORKDAY.INTL(Y143,INDEX(Z$12:Z$15,MATCH($L143,$L$12:$L$15,0)),1,IF(Z$18="China",'China Holidays'!$A$2:$A$82,'Thai Holidays'!$A$2:$A$63))</f>
        <v>46310</v>
      </c>
      <c r="AA143" s="324">
        <f>WORKDAY.INTL(Z143,INDEX(AA$12:AA$15,MATCH($L143,$L$12:$L$15,0)),1,IF(AA$18="China",'China Holidays'!$A$2:$A$82,'Thai Holidays'!$A$2:$A$63))</f>
        <v>46338</v>
      </c>
      <c r="AB143" s="324">
        <f>WORKDAY.INTL(AA143,INDEX(AB$12:AB$15,MATCH($L143,$L$12:$L$15,0)),1,IF(AB$18="China",'China Holidays'!$A$2:$A$82,'Thai Holidays'!$A$2:$A$63))</f>
        <v>46352</v>
      </c>
      <c r="AC143" s="324">
        <f>AB143+15</f>
        <v>46367</v>
      </c>
      <c r="AD143" s="324">
        <f>AC143</f>
        <v>46367</v>
      </c>
      <c r="AE143" s="324">
        <f>AD143+2</f>
        <v>46369</v>
      </c>
      <c r="AF143" s="324">
        <f>AG143-30</f>
        <v>46502</v>
      </c>
      <c r="AG143" s="324">
        <f>AH143-14</f>
        <v>46532</v>
      </c>
      <c r="AH143" s="324">
        <f>AM143</f>
        <v>46546</v>
      </c>
      <c r="AI143" s="324">
        <f>AM143+14</f>
        <v>46560</v>
      </c>
      <c r="AJ143" s="324">
        <f>AM143+30</f>
        <v>46576</v>
      </c>
      <c r="AK143" s="325">
        <v>36</v>
      </c>
      <c r="AL143" s="326">
        <f>AK143*7</f>
        <v>252</v>
      </c>
      <c r="AM143" s="324">
        <f>IF(X143&lt;&gt;"",X143+AL143,X144+AL143)</f>
        <v>46546</v>
      </c>
      <c r="AN143" s="327">
        <f>AU142-7</f>
        <v>46591</v>
      </c>
      <c r="AO143" s="327">
        <f>AP143-7</f>
        <v>46498</v>
      </c>
      <c r="AP143" s="327">
        <v>46505</v>
      </c>
      <c r="AQ143" s="327"/>
      <c r="AR143" s="319">
        <f>AN143-AM143</f>
        <v>45</v>
      </c>
      <c r="AS143" s="328"/>
      <c r="AT143" s="329" t="s">
        <v>69</v>
      </c>
      <c r="AU143" s="374">
        <v>46598</v>
      </c>
      <c r="AV143" s="271"/>
    </row>
    <row r="144" spans="1:48" s="270" customFormat="1" ht="25.05" hidden="1" customHeight="1">
      <c r="A144" s="333"/>
      <c r="B144" s="334" t="s">
        <v>197</v>
      </c>
      <c r="C144" s="436" t="s">
        <v>198</v>
      </c>
      <c r="D144" s="335"/>
      <c r="E144" s="336"/>
      <c r="F144" s="349"/>
      <c r="G144" s="338"/>
      <c r="H144" s="339"/>
      <c r="I144" s="338" t="s">
        <v>134</v>
      </c>
      <c r="J144" s="334" t="s">
        <v>75</v>
      </c>
      <c r="K144" s="263">
        <v>2</v>
      </c>
      <c r="L144" s="334" t="s">
        <v>7</v>
      </c>
      <c r="M144" s="340" t="s">
        <v>70</v>
      </c>
      <c r="N144" s="341">
        <v>46133</v>
      </c>
      <c r="O144" s="341">
        <v>46165</v>
      </c>
      <c r="P144" s="341">
        <v>46182</v>
      </c>
      <c r="Q144" s="341">
        <v>46182</v>
      </c>
      <c r="R144" s="341">
        <v>46182</v>
      </c>
      <c r="S144" s="341">
        <v>46182</v>
      </c>
      <c r="T144" s="341">
        <v>46190</v>
      </c>
      <c r="U144" s="341">
        <v>46233</v>
      </c>
      <c r="V144" s="341">
        <v>46236</v>
      </c>
      <c r="W144" s="341"/>
      <c r="X144" s="338"/>
      <c r="Y144" s="341"/>
      <c r="Z144" s="341"/>
      <c r="AA144" s="341"/>
      <c r="AB144" s="341"/>
      <c r="AC144" s="341"/>
      <c r="AD144" s="341"/>
      <c r="AE144" s="341"/>
      <c r="AF144" s="341"/>
      <c r="AG144" s="341"/>
      <c r="AH144" s="341"/>
      <c r="AI144" s="341"/>
      <c r="AJ144" s="341"/>
      <c r="AK144" s="342"/>
      <c r="AL144" s="343"/>
      <c r="AM144" s="341"/>
      <c r="AN144" s="344"/>
      <c r="AO144" s="344"/>
      <c r="AP144" s="344"/>
      <c r="AQ144" s="344"/>
      <c r="AR144" s="338"/>
      <c r="AS144" s="345"/>
      <c r="AT144" s="346"/>
      <c r="AU144" s="345"/>
    </row>
    <row r="145" spans="1:48" s="270" customFormat="1" ht="25.05" hidden="1" customHeight="1">
      <c r="A145" s="315">
        <v>46</v>
      </c>
      <c r="B145" s="263" t="s">
        <v>200</v>
      </c>
      <c r="C145" s="432" t="s">
        <v>201</v>
      </c>
      <c r="D145" s="369"/>
      <c r="E145" s="317"/>
      <c r="F145" s="370"/>
      <c r="G145" s="319"/>
      <c r="H145" s="320"/>
      <c r="I145" s="319" t="s">
        <v>202</v>
      </c>
      <c r="J145" s="263"/>
      <c r="K145" s="321"/>
      <c r="L145" s="263" t="s">
        <v>8</v>
      </c>
      <c r="M145" s="322" t="s">
        <v>63</v>
      </c>
      <c r="N145" s="323"/>
      <c r="O145" s="324">
        <v>46189</v>
      </c>
      <c r="P145" s="324">
        <v>46198</v>
      </c>
      <c r="Q145" s="324">
        <v>46199</v>
      </c>
      <c r="R145" s="324">
        <v>46206</v>
      </c>
      <c r="S145" s="324">
        <v>46207</v>
      </c>
      <c r="T145" s="324">
        <v>46223</v>
      </c>
      <c r="U145" s="324">
        <v>46248</v>
      </c>
      <c r="V145" s="324">
        <v>46262</v>
      </c>
      <c r="W145" s="324"/>
      <c r="X145" s="324">
        <v>46275</v>
      </c>
      <c r="Y145" s="324">
        <v>46279</v>
      </c>
      <c r="Z145" s="324">
        <v>46286</v>
      </c>
      <c r="AA145" s="324">
        <v>46315</v>
      </c>
      <c r="AB145" s="324">
        <v>46330</v>
      </c>
      <c r="AC145" s="324">
        <v>46345</v>
      </c>
      <c r="AD145" s="324">
        <v>46345</v>
      </c>
      <c r="AE145" s="324">
        <v>46347</v>
      </c>
      <c r="AF145" s="324">
        <v>46434</v>
      </c>
      <c r="AG145" s="324">
        <v>46448</v>
      </c>
      <c r="AH145" s="324">
        <v>46455</v>
      </c>
      <c r="AI145" s="324">
        <v>46469</v>
      </c>
      <c r="AJ145" s="324">
        <v>46485</v>
      </c>
      <c r="AK145" s="325">
        <v>25.714285714285701</v>
      </c>
      <c r="AL145" s="326">
        <f>AK145*7</f>
        <v>179.99999999999991</v>
      </c>
      <c r="AM145" s="324">
        <f>X145+AL145</f>
        <v>46455</v>
      </c>
      <c r="AN145" s="327">
        <f>AN146</f>
        <v>46462</v>
      </c>
      <c r="AO145" s="327"/>
      <c r="AP145" s="327"/>
      <c r="AQ145" s="327"/>
      <c r="AR145" s="319">
        <f>AN146-AM145</f>
        <v>7</v>
      </c>
      <c r="AS145" s="328"/>
      <c r="AT145" s="329" t="s">
        <v>65</v>
      </c>
      <c r="AU145" s="330">
        <v>46469</v>
      </c>
      <c r="AV145" s="331">
        <v>23</v>
      </c>
    </row>
    <row r="146" spans="1:48" s="270" customFormat="1" ht="25.05" hidden="1" customHeight="1">
      <c r="A146" s="315"/>
      <c r="B146" s="263" t="s">
        <v>200</v>
      </c>
      <c r="C146" s="432" t="s">
        <v>201</v>
      </c>
      <c r="D146" s="371"/>
      <c r="E146" s="317"/>
      <c r="F146" s="371"/>
      <c r="G146" s="319"/>
      <c r="H146" s="320" t="s">
        <v>203</v>
      </c>
      <c r="I146" s="319" t="s">
        <v>202</v>
      </c>
      <c r="J146" s="263" t="s">
        <v>75</v>
      </c>
      <c r="K146" s="263">
        <v>3</v>
      </c>
      <c r="L146" s="263" t="s">
        <v>8</v>
      </c>
      <c r="M146" s="322" t="s">
        <v>68</v>
      </c>
      <c r="N146" s="324"/>
      <c r="O146" s="324"/>
      <c r="P146" s="324"/>
      <c r="Q146" s="324"/>
      <c r="R146" s="324"/>
      <c r="S146" s="324"/>
      <c r="T146" s="324">
        <v>46223</v>
      </c>
      <c r="U146" s="324">
        <v>46249</v>
      </c>
      <c r="V146" s="324">
        <f>WORKDAY.INTL(U146,INDEX(V$8:V$11,MATCH($L146,$L$8:$L$11,0)),1,IF(V$18="China",'China Holidays'!$A$2:$A$82,'Thai Holidays'!$A$2:$A$63))</f>
        <v>46262</v>
      </c>
      <c r="W146" s="324"/>
      <c r="X146" s="324">
        <f>WORKDAY.INTL(V146,INDEX(X$8:X$11,MATCH($L146,$L$8:$L$11,0)),1,IF(X$18="China",'China Holidays'!$A$2:$A$82,'Thai Holidays'!$A$2:$A$63))</f>
        <v>46275</v>
      </c>
      <c r="Y146" s="324">
        <f>WORKDAY.INTL(X146,INDEX(Y$12:Y$15,MATCH($L146,$L$12:$L$15,0)),1,IF(Y$18="China",'China Holidays'!$A$2:$A$82,'Thai Holidays'!$A$2:$A$63))</f>
        <v>46279</v>
      </c>
      <c r="Z146" s="324">
        <f>WORKDAY.INTL(Y146,INDEX(Z$12:Z$15,MATCH($L146,$L$12:$L$15,0)),1,IF(Z$18="China",'China Holidays'!$A$2:$A$82,'Thai Holidays'!$A$2:$A$63))</f>
        <v>46286</v>
      </c>
      <c r="AA146" s="324">
        <f>WORKDAY.INTL(Z146,INDEX(AA$12:AA$15,MATCH($L146,$L$12:$L$15,0)),1,IF(AA$18="China",'China Holidays'!$A$2:$A$82,'Thai Holidays'!$A$2:$A$63))</f>
        <v>46315</v>
      </c>
      <c r="AB146" s="324">
        <f>WORKDAY.INTL(AA146,INDEX(AB$12:AB$15,MATCH($L146,$L$12:$L$15,0)),1,IF(AB$18="China",'China Holidays'!$A$2:$A$82,'Thai Holidays'!$A$2:$A$63))</f>
        <v>46330</v>
      </c>
      <c r="AC146" s="324">
        <f>AB146+15</f>
        <v>46345</v>
      </c>
      <c r="AD146" s="324">
        <f>AC146</f>
        <v>46345</v>
      </c>
      <c r="AE146" s="324">
        <f>AD146+2</f>
        <v>46347</v>
      </c>
      <c r="AF146" s="324">
        <f>AG146-14</f>
        <v>46434</v>
      </c>
      <c r="AG146" s="324">
        <f>AH146-7</f>
        <v>46448</v>
      </c>
      <c r="AH146" s="324">
        <f>AM146</f>
        <v>46455</v>
      </c>
      <c r="AI146" s="324">
        <f>AM146+14</f>
        <v>46469</v>
      </c>
      <c r="AJ146" s="324">
        <f>AM146+30</f>
        <v>46485</v>
      </c>
      <c r="AK146" s="325">
        <v>25.714285714285701</v>
      </c>
      <c r="AL146" s="326">
        <f>AK146*7</f>
        <v>179.99999999999991</v>
      </c>
      <c r="AM146" s="324">
        <f>IF(X146&lt;&gt;"",X146+AL146,X147+AL146)</f>
        <v>46455</v>
      </c>
      <c r="AN146" s="327">
        <f>AU145-7</f>
        <v>46462</v>
      </c>
      <c r="AO146" s="327">
        <f>AP146-7</f>
        <v>46454</v>
      </c>
      <c r="AP146" s="327">
        <v>46461</v>
      </c>
      <c r="AQ146" s="327"/>
      <c r="AR146" s="319">
        <f>AN146-AM146</f>
        <v>7</v>
      </c>
      <c r="AS146" s="328"/>
      <c r="AT146" s="329" t="s">
        <v>69</v>
      </c>
      <c r="AU146" s="330">
        <v>46480</v>
      </c>
      <c r="AV146" s="271"/>
    </row>
    <row r="147" spans="1:48" s="270" customFormat="1" ht="25.05" hidden="1" customHeight="1">
      <c r="A147" s="333"/>
      <c r="B147" s="334" t="s">
        <v>200</v>
      </c>
      <c r="C147" s="436" t="s">
        <v>201</v>
      </c>
      <c r="D147" s="372"/>
      <c r="E147" s="336"/>
      <c r="F147" s="372"/>
      <c r="G147" s="338"/>
      <c r="H147" s="339"/>
      <c r="I147" s="338" t="s">
        <v>202</v>
      </c>
      <c r="J147" s="334" t="s">
        <v>75</v>
      </c>
      <c r="K147" s="263">
        <v>3</v>
      </c>
      <c r="L147" s="334" t="s">
        <v>8</v>
      </c>
      <c r="M147" s="340" t="s">
        <v>70</v>
      </c>
      <c r="N147" s="341"/>
      <c r="O147" s="341">
        <v>46169</v>
      </c>
      <c r="P147" s="341">
        <v>46188</v>
      </c>
      <c r="Q147" s="341">
        <v>46188</v>
      </c>
      <c r="R147" s="341">
        <v>46188</v>
      </c>
      <c r="S147" s="341">
        <v>46212</v>
      </c>
      <c r="T147" s="341"/>
      <c r="U147" s="341"/>
      <c r="V147" s="341"/>
      <c r="W147" s="341"/>
      <c r="X147" s="338"/>
      <c r="Y147" s="341"/>
      <c r="Z147" s="341"/>
      <c r="AA147" s="341"/>
      <c r="AB147" s="341"/>
      <c r="AC147" s="341"/>
      <c r="AD147" s="341"/>
      <c r="AE147" s="341"/>
      <c r="AF147" s="341"/>
      <c r="AG147" s="341"/>
      <c r="AH147" s="341"/>
      <c r="AI147" s="341"/>
      <c r="AJ147" s="341"/>
      <c r="AK147" s="342"/>
      <c r="AL147" s="343"/>
      <c r="AM147" s="341"/>
      <c r="AN147" s="344"/>
      <c r="AO147" s="344"/>
      <c r="AP147" s="344"/>
      <c r="AQ147" s="344"/>
      <c r="AR147" s="338"/>
      <c r="AS147" s="345"/>
      <c r="AT147" s="346"/>
      <c r="AU147" s="345"/>
    </row>
    <row r="148" spans="1:48" s="270" customFormat="1" ht="25.05" hidden="1" customHeight="1">
      <c r="A148" s="315">
        <v>47</v>
      </c>
      <c r="B148" s="263" t="s">
        <v>204</v>
      </c>
      <c r="C148" s="432" t="s">
        <v>205</v>
      </c>
      <c r="D148" s="369"/>
      <c r="E148" s="317"/>
      <c r="F148" s="370"/>
      <c r="G148" s="319"/>
      <c r="H148" s="320"/>
      <c r="I148" s="319" t="s">
        <v>202</v>
      </c>
      <c r="J148" s="263"/>
      <c r="K148" s="321"/>
      <c r="L148" s="263" t="s">
        <v>8</v>
      </c>
      <c r="M148" s="322" t="s">
        <v>63</v>
      </c>
      <c r="N148" s="323"/>
      <c r="O148" s="324">
        <v>46189</v>
      </c>
      <c r="P148" s="324">
        <v>46198</v>
      </c>
      <c r="Q148" s="324">
        <v>46199</v>
      </c>
      <c r="R148" s="324">
        <v>46206</v>
      </c>
      <c r="S148" s="324">
        <v>46207</v>
      </c>
      <c r="T148" s="324">
        <v>46223</v>
      </c>
      <c r="U148" s="324">
        <v>46248</v>
      </c>
      <c r="V148" s="324">
        <v>46262</v>
      </c>
      <c r="W148" s="324"/>
      <c r="X148" s="324">
        <v>46275</v>
      </c>
      <c r="Y148" s="324">
        <v>46279</v>
      </c>
      <c r="Z148" s="324">
        <v>46286</v>
      </c>
      <c r="AA148" s="324">
        <v>46315</v>
      </c>
      <c r="AB148" s="324">
        <v>46330</v>
      </c>
      <c r="AC148" s="324">
        <v>46345</v>
      </c>
      <c r="AD148" s="324">
        <v>46345</v>
      </c>
      <c r="AE148" s="324">
        <v>46347</v>
      </c>
      <c r="AF148" s="324">
        <v>46366</v>
      </c>
      <c r="AG148" s="324">
        <v>46380</v>
      </c>
      <c r="AH148" s="324">
        <v>46387</v>
      </c>
      <c r="AI148" s="324">
        <v>46401</v>
      </c>
      <c r="AJ148" s="324">
        <v>46417</v>
      </c>
      <c r="AK148" s="325">
        <v>16</v>
      </c>
      <c r="AL148" s="326">
        <f>AK148*7</f>
        <v>112</v>
      </c>
      <c r="AM148" s="324">
        <f>X148+AL148</f>
        <v>46387</v>
      </c>
      <c r="AN148" s="327">
        <f>AN149</f>
        <v>46462</v>
      </c>
      <c r="AO148" s="327"/>
      <c r="AP148" s="327"/>
      <c r="AQ148" s="327"/>
      <c r="AR148" s="319">
        <f>AN149-AM148</f>
        <v>75</v>
      </c>
      <c r="AS148" s="328"/>
      <c r="AT148" s="329" t="s">
        <v>65</v>
      </c>
      <c r="AU148" s="330">
        <v>46469</v>
      </c>
      <c r="AV148" s="331">
        <v>102</v>
      </c>
    </row>
    <row r="149" spans="1:48" s="270" customFormat="1" ht="25.05" hidden="1" customHeight="1">
      <c r="A149" s="315"/>
      <c r="B149" s="263" t="s">
        <v>204</v>
      </c>
      <c r="C149" s="432" t="s">
        <v>205</v>
      </c>
      <c r="D149" s="371"/>
      <c r="E149" s="317"/>
      <c r="F149" s="371"/>
      <c r="G149" s="319"/>
      <c r="H149" s="320" t="s">
        <v>206</v>
      </c>
      <c r="I149" s="319" t="s">
        <v>202</v>
      </c>
      <c r="J149" s="263" t="s">
        <v>75</v>
      </c>
      <c r="K149" s="263">
        <v>3</v>
      </c>
      <c r="L149" s="263" t="s">
        <v>8</v>
      </c>
      <c r="M149" s="322" t="s">
        <v>68</v>
      </c>
      <c r="N149" s="324"/>
      <c r="O149" s="324"/>
      <c r="P149" s="324"/>
      <c r="Q149" s="324"/>
      <c r="R149" s="324"/>
      <c r="S149" s="324"/>
      <c r="T149" s="324">
        <v>46223</v>
      </c>
      <c r="U149" s="324">
        <v>46249</v>
      </c>
      <c r="V149" s="324">
        <f>WORKDAY.INTL(U149,INDEX(V$8:V$11,MATCH($L149,$L$8:$L$11,0)),1,IF(V$18="China",'China Holidays'!$A$2:$A$82,'Thai Holidays'!$A$2:$A$63))</f>
        <v>46262</v>
      </c>
      <c r="W149" s="324"/>
      <c r="X149" s="324">
        <f>WORKDAY.INTL(V149,INDEX(X$8:X$11,MATCH($L149,$L$8:$L$11,0)),1,IF(X$18="China",'China Holidays'!$A$2:$A$82,'Thai Holidays'!$A$2:$A$63))</f>
        <v>46275</v>
      </c>
      <c r="Y149" s="324">
        <f>WORKDAY.INTL(X149,INDEX(Y$12:Y$15,MATCH($L149,$L$12:$L$15,0)),1,IF(Y$18="China",'China Holidays'!$A$2:$A$82,'Thai Holidays'!$A$2:$A$63))</f>
        <v>46279</v>
      </c>
      <c r="Z149" s="324">
        <f>WORKDAY.INTL(Y149,INDEX(Z$12:Z$15,MATCH($L149,$L$12:$L$15,0)),1,IF(Z$18="China",'China Holidays'!$A$2:$A$82,'Thai Holidays'!$A$2:$A$63))</f>
        <v>46286</v>
      </c>
      <c r="AA149" s="324">
        <f>WORKDAY.INTL(Z149,INDEX(AA$12:AA$15,MATCH($L149,$L$12:$L$15,0)),1,IF(AA$18="China",'China Holidays'!$A$2:$A$82,'Thai Holidays'!$A$2:$A$63))</f>
        <v>46315</v>
      </c>
      <c r="AB149" s="324">
        <f>WORKDAY.INTL(AA149,INDEX(AB$12:AB$15,MATCH($L149,$L$12:$L$15,0)),1,IF(AB$18="China",'China Holidays'!$A$2:$A$82,'Thai Holidays'!$A$2:$A$63))</f>
        <v>46330</v>
      </c>
      <c r="AC149" s="324">
        <f>AB149+15</f>
        <v>46345</v>
      </c>
      <c r="AD149" s="324">
        <f>AC149</f>
        <v>46345</v>
      </c>
      <c r="AE149" s="324">
        <f>AD149+2</f>
        <v>46347</v>
      </c>
      <c r="AF149" s="324">
        <f>AG149-14</f>
        <v>46366</v>
      </c>
      <c r="AG149" s="324">
        <f>AH149-7</f>
        <v>46380</v>
      </c>
      <c r="AH149" s="324">
        <f>AM149</f>
        <v>46387</v>
      </c>
      <c r="AI149" s="324">
        <f>AH149+14</f>
        <v>46401</v>
      </c>
      <c r="AJ149" s="324">
        <f>AH149+30</f>
        <v>46417</v>
      </c>
      <c r="AK149" s="325">
        <v>16</v>
      </c>
      <c r="AL149" s="326">
        <f>AK149*7</f>
        <v>112</v>
      </c>
      <c r="AM149" s="324">
        <f>IF(X149&lt;&gt;"",X149+AL149,X150+AL149)</f>
        <v>46387</v>
      </c>
      <c r="AN149" s="327">
        <f>AU148-7</f>
        <v>46462</v>
      </c>
      <c r="AO149" s="327">
        <f>AP149-7</f>
        <v>46530</v>
      </c>
      <c r="AP149" s="327">
        <v>46537</v>
      </c>
      <c r="AQ149" s="327"/>
      <c r="AR149" s="319">
        <f>AN149-AM149</f>
        <v>75</v>
      </c>
      <c r="AS149" s="328"/>
      <c r="AT149" s="329" t="s">
        <v>69</v>
      </c>
      <c r="AU149" s="330">
        <v>46480</v>
      </c>
      <c r="AV149" s="271"/>
    </row>
    <row r="150" spans="1:48" s="270" customFormat="1" ht="25.05" hidden="1" customHeight="1">
      <c r="A150" s="333"/>
      <c r="B150" s="334" t="s">
        <v>204</v>
      </c>
      <c r="C150" s="436" t="s">
        <v>205</v>
      </c>
      <c r="D150" s="372"/>
      <c r="E150" s="336"/>
      <c r="F150" s="372"/>
      <c r="G150" s="338"/>
      <c r="H150" s="339"/>
      <c r="I150" s="338" t="s">
        <v>202</v>
      </c>
      <c r="J150" s="334" t="s">
        <v>75</v>
      </c>
      <c r="K150" s="263">
        <v>3</v>
      </c>
      <c r="L150" s="334" t="s">
        <v>8</v>
      </c>
      <c r="M150" s="340" t="s">
        <v>70</v>
      </c>
      <c r="N150" s="341"/>
      <c r="O150" s="341">
        <v>46169</v>
      </c>
      <c r="P150" s="341">
        <v>46188</v>
      </c>
      <c r="Q150" s="341">
        <v>46188</v>
      </c>
      <c r="R150" s="341">
        <v>46188</v>
      </c>
      <c r="S150" s="341">
        <v>46212</v>
      </c>
      <c r="T150" s="341"/>
      <c r="U150" s="341"/>
      <c r="V150" s="341"/>
      <c r="W150" s="341"/>
      <c r="X150" s="338"/>
      <c r="Y150" s="341"/>
      <c r="Z150" s="341"/>
      <c r="AA150" s="341"/>
      <c r="AB150" s="341"/>
      <c r="AC150" s="341"/>
      <c r="AD150" s="341"/>
      <c r="AE150" s="341"/>
      <c r="AF150" s="341"/>
      <c r="AG150" s="341"/>
      <c r="AH150" s="341"/>
      <c r="AI150" s="341"/>
      <c r="AJ150" s="341"/>
      <c r="AK150" s="342"/>
      <c r="AL150" s="343"/>
      <c r="AM150" s="341"/>
      <c r="AN150" s="344"/>
      <c r="AO150" s="344"/>
      <c r="AP150" s="344"/>
      <c r="AQ150" s="344"/>
      <c r="AR150" s="338"/>
      <c r="AS150" s="345"/>
      <c r="AT150" s="346"/>
      <c r="AU150" s="345"/>
    </row>
    <row r="151" spans="1:48" s="270" customFormat="1" ht="25.05" customHeight="1">
      <c r="A151" s="315">
        <v>48</v>
      </c>
      <c r="B151" s="263" t="s">
        <v>207</v>
      </c>
      <c r="C151" s="432" t="s">
        <v>208</v>
      </c>
      <c r="D151" s="316"/>
      <c r="E151" s="317"/>
      <c r="F151" s="318"/>
      <c r="G151" s="319"/>
      <c r="H151" s="320"/>
      <c r="I151" s="319" t="s">
        <v>86</v>
      </c>
      <c r="J151" s="263"/>
      <c r="K151" s="321"/>
      <c r="L151" s="263" t="s">
        <v>8</v>
      </c>
      <c r="M151" s="322" t="s">
        <v>63</v>
      </c>
      <c r="N151" s="323"/>
      <c r="O151" s="324">
        <v>46163</v>
      </c>
      <c r="P151" s="324">
        <v>46170</v>
      </c>
      <c r="Q151" s="324">
        <v>46171</v>
      </c>
      <c r="R151" s="324">
        <v>46182</v>
      </c>
      <c r="S151" s="324">
        <v>46183</v>
      </c>
      <c r="T151" s="324">
        <v>46197</v>
      </c>
      <c r="U151" s="324">
        <v>46218</v>
      </c>
      <c r="V151" s="324">
        <v>46234</v>
      </c>
      <c r="W151" s="324"/>
      <c r="X151" s="324">
        <v>46247</v>
      </c>
      <c r="Y151" s="324">
        <v>46251</v>
      </c>
      <c r="Z151" s="324">
        <v>46258</v>
      </c>
      <c r="AA151" s="324">
        <v>46279</v>
      </c>
      <c r="AB151" s="324">
        <v>46293</v>
      </c>
      <c r="AC151" s="324">
        <v>46353</v>
      </c>
      <c r="AD151" s="324">
        <v>46356</v>
      </c>
      <c r="AE151" s="324">
        <v>46357</v>
      </c>
      <c r="AF151" s="324">
        <v>46406</v>
      </c>
      <c r="AG151" s="324">
        <v>46420</v>
      </c>
      <c r="AH151" s="324">
        <v>46427</v>
      </c>
      <c r="AI151" s="324">
        <v>46441</v>
      </c>
      <c r="AJ151" s="324">
        <v>46457</v>
      </c>
      <c r="AK151" s="325">
        <v>25.714285714285701</v>
      </c>
      <c r="AL151" s="326">
        <f>AK151*7</f>
        <v>179.99999999999991</v>
      </c>
      <c r="AM151" s="324">
        <f>X151+AL151</f>
        <v>46427</v>
      </c>
      <c r="AN151" s="327">
        <f>AN152</f>
        <v>46452</v>
      </c>
      <c r="AO151" s="327"/>
      <c r="AP151" s="327"/>
      <c r="AQ151" s="327"/>
      <c r="AR151" s="319">
        <f>AN152-AM151</f>
        <v>25</v>
      </c>
      <c r="AS151" s="328"/>
      <c r="AT151" s="329" t="s">
        <v>65</v>
      </c>
      <c r="AU151" s="330">
        <v>46459</v>
      </c>
      <c r="AV151" s="331">
        <v>62</v>
      </c>
    </row>
    <row r="152" spans="1:48" s="270" customFormat="1" ht="25.05" customHeight="1">
      <c r="A152" s="315"/>
      <c r="B152" s="263" t="s">
        <v>207</v>
      </c>
      <c r="C152" s="432" t="s">
        <v>208</v>
      </c>
      <c r="D152" s="316"/>
      <c r="E152" s="317"/>
      <c r="F152" s="348"/>
      <c r="G152" s="319"/>
      <c r="H152" s="320" t="s">
        <v>209</v>
      </c>
      <c r="I152" s="319" t="s">
        <v>86</v>
      </c>
      <c r="J152" s="263" t="s">
        <v>67</v>
      </c>
      <c r="K152" s="263" t="s">
        <v>210</v>
      </c>
      <c r="L152" s="263" t="s">
        <v>8</v>
      </c>
      <c r="M152" s="322" t="s">
        <v>68</v>
      </c>
      <c r="N152" s="324"/>
      <c r="O152" s="324"/>
      <c r="P152" s="324"/>
      <c r="Q152" s="324"/>
      <c r="R152" s="324"/>
      <c r="S152" s="324"/>
      <c r="T152" s="324"/>
      <c r="U152" s="324"/>
      <c r="V152" s="324">
        <v>46244</v>
      </c>
      <c r="W152" s="324"/>
      <c r="X152" s="324">
        <f>WORKDAY.INTL(V152,INDEX(X$8:X$11,MATCH($L152,$L$8:$L$11,0)),1,IF(X$18="China",'China Holidays'!$A$2:$A$82,'Thai Holidays'!$A$2:$A$63))</f>
        <v>46255</v>
      </c>
      <c r="Y152" s="324">
        <f>WORKDAY.INTL(X152,INDEX(Y$12:Y$15,MATCH($L152,$L$12:$L$15,0)),1,IF(Y$18="China",'China Holidays'!$A$2:$A$82,'Thai Holidays'!$A$2:$A$63))</f>
        <v>46259</v>
      </c>
      <c r="Z152" s="324">
        <f>WORKDAY.INTL(Y152,INDEX(Z$12:Z$15,MATCH($L152,$L$12:$L$15,0)),1,IF(Z$18="China",'China Holidays'!$A$2:$A$82,'Thai Holidays'!$A$2:$A$63))</f>
        <v>46266</v>
      </c>
      <c r="AA152" s="324">
        <f>WORKDAY.INTL(Z152,INDEX(AA$12:AA$15,MATCH($L152,$L$12:$L$15,0)),1,IF(AA$18="China",'China Holidays'!$A$2:$A$82,'Thai Holidays'!$A$2:$A$63))</f>
        <v>46287</v>
      </c>
      <c r="AB152" s="324">
        <f>WORKDAY.INTL(AA152,INDEX(AB$12:AB$15,MATCH($L152,$L$12:$L$15,0)),1,IF(AB$18="China",'China Holidays'!$A$2:$A$82,'Thai Holidays'!$A$2:$A$63))</f>
        <v>46301</v>
      </c>
      <c r="AC152" s="324">
        <f>AB152+60</f>
        <v>46361</v>
      </c>
      <c r="AD152" s="324">
        <f>AC152+3</f>
        <v>46364</v>
      </c>
      <c r="AE152" s="324">
        <f>AD152+1</f>
        <v>46365</v>
      </c>
      <c r="AF152" s="324">
        <f>AG152-14</f>
        <v>46414</v>
      </c>
      <c r="AG152" s="324">
        <f>AH152-7</f>
        <v>46428</v>
      </c>
      <c r="AH152" s="324">
        <f>AM152</f>
        <v>46435</v>
      </c>
      <c r="AI152" s="324">
        <f>AM152+14</f>
        <v>46449</v>
      </c>
      <c r="AJ152" s="324">
        <f>AM152+30</f>
        <v>46465</v>
      </c>
      <c r="AK152" s="325">
        <v>25.714285714285701</v>
      </c>
      <c r="AL152" s="326">
        <f>AK152*7</f>
        <v>179.99999999999991</v>
      </c>
      <c r="AM152" s="324">
        <f>IF(X152&lt;&gt;"",X152+AL152,X153+AL152)</f>
        <v>46435</v>
      </c>
      <c r="AN152" s="327">
        <f>AU151-7</f>
        <v>46452</v>
      </c>
      <c r="AO152" s="327">
        <f>AP152-7</f>
        <v>46469</v>
      </c>
      <c r="AP152" s="327">
        <v>46476</v>
      </c>
      <c r="AQ152" s="327"/>
      <c r="AR152" s="319">
        <f>AN152-AM152</f>
        <v>17</v>
      </c>
      <c r="AS152" s="328"/>
      <c r="AT152" s="329" t="s">
        <v>69</v>
      </c>
      <c r="AU152" s="330">
        <v>46476</v>
      </c>
      <c r="AV152" s="271"/>
    </row>
    <row r="153" spans="1:48" s="270" customFormat="1" ht="25.05" customHeight="1">
      <c r="A153" s="333"/>
      <c r="B153" s="334" t="s">
        <v>207</v>
      </c>
      <c r="C153" s="436" t="s">
        <v>208</v>
      </c>
      <c r="D153" s="335"/>
      <c r="E153" s="336"/>
      <c r="F153" s="349"/>
      <c r="G153" s="338"/>
      <c r="H153" s="339"/>
      <c r="I153" s="338" t="s">
        <v>86</v>
      </c>
      <c r="J153" s="334" t="s">
        <v>67</v>
      </c>
      <c r="K153" s="431" t="s">
        <v>210</v>
      </c>
      <c r="L153" s="334" t="s">
        <v>8</v>
      </c>
      <c r="M153" s="340" t="s">
        <v>70</v>
      </c>
      <c r="N153" s="341">
        <v>46174</v>
      </c>
      <c r="O153" s="341">
        <v>46167</v>
      </c>
      <c r="P153" s="341">
        <v>46183</v>
      </c>
      <c r="Q153" s="341">
        <v>46183</v>
      </c>
      <c r="R153" s="341">
        <v>46183</v>
      </c>
      <c r="S153" s="341">
        <v>46188</v>
      </c>
      <c r="T153" s="341">
        <v>46198</v>
      </c>
      <c r="U153" s="341">
        <v>46227</v>
      </c>
      <c r="V153" s="341"/>
      <c r="W153" s="341"/>
      <c r="X153" s="338"/>
      <c r="Y153" s="341"/>
      <c r="Z153" s="341"/>
      <c r="AA153" s="341"/>
      <c r="AB153" s="341"/>
      <c r="AC153" s="341"/>
      <c r="AD153" s="341"/>
      <c r="AE153" s="341"/>
      <c r="AF153" s="341"/>
      <c r="AG153" s="341"/>
      <c r="AH153" s="341"/>
      <c r="AI153" s="341"/>
      <c r="AJ153" s="341"/>
      <c r="AK153" s="342"/>
      <c r="AL153" s="343"/>
      <c r="AM153" s="341"/>
      <c r="AN153" s="344"/>
      <c r="AO153" s="344"/>
      <c r="AP153" s="344"/>
      <c r="AQ153" s="344" t="s">
        <v>211</v>
      </c>
      <c r="AR153" s="338"/>
      <c r="AS153" s="345"/>
      <c r="AT153" s="346"/>
      <c r="AU153" s="345"/>
    </row>
    <row r="154" spans="1:48" s="270" customFormat="1" ht="25.05" customHeight="1">
      <c r="A154" s="315">
        <v>49</v>
      </c>
      <c r="B154" s="263" t="s">
        <v>212</v>
      </c>
      <c r="C154" s="432" t="s">
        <v>213</v>
      </c>
      <c r="D154" s="316"/>
      <c r="E154" s="317"/>
      <c r="F154" s="318"/>
      <c r="G154" s="319"/>
      <c r="H154" s="320"/>
      <c r="I154" s="319" t="s">
        <v>86</v>
      </c>
      <c r="J154" s="263"/>
      <c r="K154" s="321"/>
      <c r="L154" s="263" t="s">
        <v>8</v>
      </c>
      <c r="M154" s="322" t="s">
        <v>63</v>
      </c>
      <c r="N154" s="323"/>
      <c r="O154" s="324">
        <v>46163</v>
      </c>
      <c r="P154" s="324">
        <v>46170</v>
      </c>
      <c r="Q154" s="324">
        <v>46171</v>
      </c>
      <c r="R154" s="324">
        <v>46182</v>
      </c>
      <c r="S154" s="324">
        <v>46183</v>
      </c>
      <c r="T154" s="324">
        <v>46197</v>
      </c>
      <c r="U154" s="324">
        <v>46218</v>
      </c>
      <c r="V154" s="324">
        <v>46234</v>
      </c>
      <c r="W154" s="324"/>
      <c r="X154" s="324">
        <v>46247</v>
      </c>
      <c r="Y154" s="324">
        <v>46251</v>
      </c>
      <c r="Z154" s="324">
        <v>46258</v>
      </c>
      <c r="AA154" s="324">
        <v>46279</v>
      </c>
      <c r="AB154" s="324">
        <v>46293</v>
      </c>
      <c r="AC154" s="324">
        <v>46353</v>
      </c>
      <c r="AD154" s="324">
        <v>46356</v>
      </c>
      <c r="AE154" s="324">
        <v>46357</v>
      </c>
      <c r="AF154" s="324">
        <v>46406</v>
      </c>
      <c r="AG154" s="324">
        <v>46420</v>
      </c>
      <c r="AH154" s="324">
        <v>46427</v>
      </c>
      <c r="AI154" s="324">
        <v>46441</v>
      </c>
      <c r="AJ154" s="324">
        <v>46457</v>
      </c>
      <c r="AK154" s="325">
        <v>25.714285714285701</v>
      </c>
      <c r="AL154" s="326">
        <f>AK154*7</f>
        <v>179.99999999999991</v>
      </c>
      <c r="AM154" s="324">
        <f>X154+AL154</f>
        <v>46427</v>
      </c>
      <c r="AN154" s="327">
        <f>AN155</f>
        <v>46452</v>
      </c>
      <c r="AO154" s="327"/>
      <c r="AP154" s="327"/>
      <c r="AQ154" s="327"/>
      <c r="AR154" s="319">
        <f>AN155-AM154</f>
        <v>25</v>
      </c>
      <c r="AS154" s="328"/>
      <c r="AT154" s="329" t="s">
        <v>65</v>
      </c>
      <c r="AU154" s="330">
        <v>46459</v>
      </c>
      <c r="AV154" s="331">
        <v>62</v>
      </c>
    </row>
    <row r="155" spans="1:48" s="270" customFormat="1" ht="25.05" customHeight="1">
      <c r="A155" s="315"/>
      <c r="B155" s="263" t="s">
        <v>212</v>
      </c>
      <c r="C155" s="432" t="s">
        <v>213</v>
      </c>
      <c r="D155" s="316"/>
      <c r="E155" s="317"/>
      <c r="F155" s="348"/>
      <c r="G155" s="319"/>
      <c r="H155" s="320" t="s">
        <v>209</v>
      </c>
      <c r="I155" s="319" t="s">
        <v>86</v>
      </c>
      <c r="J155" s="263" t="s">
        <v>67</v>
      </c>
      <c r="K155" s="263" t="s">
        <v>210</v>
      </c>
      <c r="L155" s="263" t="s">
        <v>8</v>
      </c>
      <c r="M155" s="322" t="s">
        <v>68</v>
      </c>
      <c r="N155" s="324"/>
      <c r="O155" s="324"/>
      <c r="P155" s="324"/>
      <c r="Q155" s="324"/>
      <c r="R155" s="324"/>
      <c r="S155" s="324"/>
      <c r="T155" s="324"/>
      <c r="U155" s="324"/>
      <c r="V155" s="324">
        <v>46244</v>
      </c>
      <c r="W155" s="324"/>
      <c r="X155" s="324">
        <f>WORKDAY.INTL(V155,INDEX(X$8:X$11,MATCH($L155,$L$8:$L$11,0)),1,IF(X$18="China",'China Holidays'!$A$2:$A$82,'Thai Holidays'!$A$2:$A$63))</f>
        <v>46255</v>
      </c>
      <c r="Y155" s="324">
        <f>WORKDAY.INTL(X155,INDEX(Y$12:Y$15,MATCH($L155,$L$12:$L$15,0)),1,IF(Y$18="China",'China Holidays'!$A$2:$A$82,'Thai Holidays'!$A$2:$A$63))</f>
        <v>46259</v>
      </c>
      <c r="Z155" s="324">
        <f>WORKDAY.INTL(Y155,INDEX(Z$12:Z$15,MATCH($L155,$L$12:$L$15,0)),1,IF(Z$18="China",'China Holidays'!$A$2:$A$82,'Thai Holidays'!$A$2:$A$63))</f>
        <v>46266</v>
      </c>
      <c r="AA155" s="324">
        <f>WORKDAY.INTL(Z155,INDEX(AA$12:AA$15,MATCH($L155,$L$12:$L$15,0)),1,IF(AA$18="China",'China Holidays'!$A$2:$A$82,'Thai Holidays'!$A$2:$A$63))</f>
        <v>46287</v>
      </c>
      <c r="AB155" s="324">
        <f>WORKDAY.INTL(AA155,INDEX(AB$12:AB$15,MATCH($L155,$L$12:$L$15,0)),1,IF(AB$18="China",'China Holidays'!$A$2:$A$82,'Thai Holidays'!$A$2:$A$63))</f>
        <v>46301</v>
      </c>
      <c r="AC155" s="324">
        <f>AB155+60</f>
        <v>46361</v>
      </c>
      <c r="AD155" s="324">
        <f>AC155+3</f>
        <v>46364</v>
      </c>
      <c r="AE155" s="324">
        <f>AD155+1</f>
        <v>46365</v>
      </c>
      <c r="AF155" s="324">
        <f>AG155-14</f>
        <v>46414</v>
      </c>
      <c r="AG155" s="324">
        <f>AH155-7</f>
        <v>46428</v>
      </c>
      <c r="AH155" s="324">
        <f>AM155</f>
        <v>46435</v>
      </c>
      <c r="AI155" s="324">
        <f>AM155+14</f>
        <v>46449</v>
      </c>
      <c r="AJ155" s="324">
        <f>AM155+30</f>
        <v>46465</v>
      </c>
      <c r="AK155" s="325">
        <v>25.714285714285701</v>
      </c>
      <c r="AL155" s="326">
        <f>AK155*7</f>
        <v>179.99999999999991</v>
      </c>
      <c r="AM155" s="324">
        <f>IF(X155&lt;&gt;"",X155+AL155,X156+AL155)</f>
        <v>46435</v>
      </c>
      <c r="AN155" s="327">
        <f>AU154-7</f>
        <v>46452</v>
      </c>
      <c r="AO155" s="327">
        <f>AP155-7</f>
        <v>46454</v>
      </c>
      <c r="AP155" s="327">
        <v>46461</v>
      </c>
      <c r="AQ155" s="327"/>
      <c r="AR155" s="319">
        <f>AN155-AM155</f>
        <v>17</v>
      </c>
      <c r="AS155" s="328"/>
      <c r="AT155" s="329" t="s">
        <v>69</v>
      </c>
      <c r="AU155" s="330">
        <v>46476</v>
      </c>
      <c r="AV155" s="271"/>
    </row>
    <row r="156" spans="1:48" s="270" customFormat="1" ht="25.05" customHeight="1">
      <c r="A156" s="333"/>
      <c r="B156" s="334" t="s">
        <v>212</v>
      </c>
      <c r="C156" s="436" t="s">
        <v>213</v>
      </c>
      <c r="D156" s="335"/>
      <c r="E156" s="336"/>
      <c r="F156" s="349"/>
      <c r="G156" s="338"/>
      <c r="H156" s="339"/>
      <c r="I156" s="338" t="s">
        <v>86</v>
      </c>
      <c r="J156" s="334" t="s">
        <v>67</v>
      </c>
      <c r="K156" s="431" t="s">
        <v>210</v>
      </c>
      <c r="L156" s="334" t="s">
        <v>8</v>
      </c>
      <c r="M156" s="340" t="s">
        <v>70</v>
      </c>
      <c r="N156" s="341">
        <v>46174</v>
      </c>
      <c r="O156" s="341">
        <v>46167</v>
      </c>
      <c r="P156" s="341">
        <v>46183</v>
      </c>
      <c r="Q156" s="341">
        <v>46183</v>
      </c>
      <c r="R156" s="341">
        <v>46183</v>
      </c>
      <c r="S156" s="341">
        <v>46188</v>
      </c>
      <c r="T156" s="341">
        <v>46198</v>
      </c>
      <c r="U156" s="341">
        <v>46227</v>
      </c>
      <c r="V156" s="341"/>
      <c r="W156" s="341"/>
      <c r="X156" s="338"/>
      <c r="Y156" s="341"/>
      <c r="Z156" s="341"/>
      <c r="AA156" s="341"/>
      <c r="AB156" s="341"/>
      <c r="AC156" s="341"/>
      <c r="AD156" s="341"/>
      <c r="AE156" s="341"/>
      <c r="AF156" s="341"/>
      <c r="AG156" s="341"/>
      <c r="AH156" s="341"/>
      <c r="AI156" s="341"/>
      <c r="AJ156" s="341"/>
      <c r="AK156" s="342"/>
      <c r="AL156" s="343"/>
      <c r="AM156" s="341"/>
      <c r="AN156" s="344"/>
      <c r="AO156" s="344"/>
      <c r="AP156" s="344"/>
      <c r="AQ156" s="344"/>
      <c r="AR156" s="338"/>
      <c r="AS156" s="345"/>
      <c r="AT156" s="346"/>
      <c r="AU156" s="345"/>
    </row>
    <row r="157" spans="1:48" s="270" customFormat="1" ht="25.05" customHeight="1">
      <c r="A157" s="315">
        <v>50</v>
      </c>
      <c r="B157" s="263" t="s">
        <v>214</v>
      </c>
      <c r="C157" s="432" t="s">
        <v>215</v>
      </c>
      <c r="D157" s="316"/>
      <c r="E157" s="317"/>
      <c r="F157" s="318"/>
      <c r="G157" s="319"/>
      <c r="H157" s="320"/>
      <c r="I157" s="319" t="s">
        <v>86</v>
      </c>
      <c r="J157" s="263"/>
      <c r="K157" s="321"/>
      <c r="L157" s="263" t="s">
        <v>8</v>
      </c>
      <c r="M157" s="322" t="s">
        <v>63</v>
      </c>
      <c r="N157" s="323"/>
      <c r="O157" s="324">
        <v>46163</v>
      </c>
      <c r="P157" s="324">
        <v>46170</v>
      </c>
      <c r="Q157" s="324">
        <v>46171</v>
      </c>
      <c r="R157" s="324">
        <v>46182</v>
      </c>
      <c r="S157" s="324">
        <v>46183</v>
      </c>
      <c r="T157" s="324">
        <v>46197</v>
      </c>
      <c r="U157" s="324">
        <v>46225</v>
      </c>
      <c r="V157" s="324">
        <v>46241</v>
      </c>
      <c r="W157" s="324"/>
      <c r="X157" s="324">
        <v>46254</v>
      </c>
      <c r="Y157" s="324">
        <v>46258</v>
      </c>
      <c r="Z157" s="324">
        <v>46265</v>
      </c>
      <c r="AA157" s="324">
        <v>46286</v>
      </c>
      <c r="AB157" s="324">
        <v>46300</v>
      </c>
      <c r="AC157" s="324">
        <v>46360</v>
      </c>
      <c r="AD157" s="324">
        <v>46363</v>
      </c>
      <c r="AE157" s="324">
        <v>46364</v>
      </c>
      <c r="AF157" s="324">
        <v>46413</v>
      </c>
      <c r="AG157" s="324">
        <v>46427</v>
      </c>
      <c r="AH157" s="324">
        <v>46434</v>
      </c>
      <c r="AI157" s="324">
        <v>46448</v>
      </c>
      <c r="AJ157" s="324">
        <v>46464</v>
      </c>
      <c r="AK157" s="325">
        <v>25.714285714285701</v>
      </c>
      <c r="AL157" s="326">
        <f>AK157*7</f>
        <v>179.99999999999991</v>
      </c>
      <c r="AM157" s="324">
        <f>X157+AL157</f>
        <v>46434</v>
      </c>
      <c r="AN157" s="327">
        <f>AN158</f>
        <v>46452</v>
      </c>
      <c r="AO157" s="327"/>
      <c r="AP157" s="327"/>
      <c r="AQ157" s="327"/>
      <c r="AR157" s="319">
        <f>AN158-AM157</f>
        <v>18</v>
      </c>
      <c r="AS157" s="328"/>
      <c r="AT157" s="329" t="s">
        <v>65</v>
      </c>
      <c r="AU157" s="330">
        <v>46459</v>
      </c>
      <c r="AV157" s="331">
        <v>55</v>
      </c>
    </row>
    <row r="158" spans="1:48" s="270" customFormat="1" ht="25.05" customHeight="1">
      <c r="A158" s="315"/>
      <c r="B158" s="263" t="s">
        <v>214</v>
      </c>
      <c r="C158" s="432" t="s">
        <v>215</v>
      </c>
      <c r="D158" s="316"/>
      <c r="E158" s="317"/>
      <c r="F158" s="348"/>
      <c r="G158" s="319"/>
      <c r="H158" s="320" t="s">
        <v>209</v>
      </c>
      <c r="I158" s="319" t="s">
        <v>86</v>
      </c>
      <c r="J158" s="263" t="s">
        <v>67</v>
      </c>
      <c r="K158" s="263" t="s">
        <v>210</v>
      </c>
      <c r="L158" s="263" t="s">
        <v>8</v>
      </c>
      <c r="M158" s="322" t="s">
        <v>68</v>
      </c>
      <c r="N158" s="324"/>
      <c r="O158" s="324"/>
      <c r="P158" s="324"/>
      <c r="Q158" s="324"/>
      <c r="R158" s="324"/>
      <c r="S158" s="324"/>
      <c r="T158" s="324"/>
      <c r="U158" s="324"/>
      <c r="V158" s="324">
        <f>WORKDAY.INTL(U159,INDEX(V$8:V$11,MATCH($L158,$L$8:$L$11,0)),1,IF(V$18="China",'China Holidays'!$A$2:$A$82,'Thai Holidays'!$A$2:$A$63))</f>
        <v>46245</v>
      </c>
      <c r="W158" s="324"/>
      <c r="X158" s="324">
        <f>WORKDAY.INTL(V158,INDEX(X$8:X$11,MATCH($L158,$L$8:$L$11,0)),1,IF(X$18="China",'China Holidays'!$A$2:$A$82,'Thai Holidays'!$A$2:$A$63))</f>
        <v>46258</v>
      </c>
      <c r="Y158" s="324">
        <f>WORKDAY.INTL(X158,INDEX(Y$12:Y$15,MATCH($L158,$L$12:$L$15,0)),1,IF(Y$18="China",'China Holidays'!$A$2:$A$82,'Thai Holidays'!$A$2:$A$63))</f>
        <v>46260</v>
      </c>
      <c r="Z158" s="324">
        <f>WORKDAY.INTL(Y158,INDEX(Z$12:Z$15,MATCH($L158,$L$12:$L$15,0)),1,IF(Z$18="China",'China Holidays'!$A$2:$A$82,'Thai Holidays'!$A$2:$A$63))</f>
        <v>46267</v>
      </c>
      <c r="AA158" s="324">
        <f>WORKDAY.INTL(Z158,INDEX(AA$12:AA$15,MATCH($L158,$L$12:$L$15,0)),1,IF(AA$18="China",'China Holidays'!$A$2:$A$82,'Thai Holidays'!$A$2:$A$63))</f>
        <v>46288</v>
      </c>
      <c r="AB158" s="324">
        <f>WORKDAY.INTL(AA158,INDEX(AB$12:AB$15,MATCH($L158,$L$12:$L$15,0)),1,IF(AB$18="China",'China Holidays'!$A$2:$A$82,'Thai Holidays'!$A$2:$A$63))</f>
        <v>46302</v>
      </c>
      <c r="AC158" s="324">
        <f>AB158+60</f>
        <v>46362</v>
      </c>
      <c r="AD158" s="324">
        <f>AC158+3</f>
        <v>46365</v>
      </c>
      <c r="AE158" s="324">
        <f>AD158+1</f>
        <v>46366</v>
      </c>
      <c r="AF158" s="324">
        <f>AG158-14</f>
        <v>46417</v>
      </c>
      <c r="AG158" s="324">
        <f>AH158-7</f>
        <v>46431</v>
      </c>
      <c r="AH158" s="324">
        <f>AM158</f>
        <v>46438</v>
      </c>
      <c r="AI158" s="324">
        <f>AM158+14</f>
        <v>46452</v>
      </c>
      <c r="AJ158" s="324">
        <f>AM158+30</f>
        <v>46468</v>
      </c>
      <c r="AK158" s="325">
        <v>25.714285714285701</v>
      </c>
      <c r="AL158" s="326">
        <f>AK158*7</f>
        <v>179.99999999999991</v>
      </c>
      <c r="AM158" s="324">
        <f>IF(X158&lt;&gt;"",X158+AL158,X159+AL158)</f>
        <v>46438</v>
      </c>
      <c r="AN158" s="327">
        <f>AU157-7</f>
        <v>46452</v>
      </c>
      <c r="AO158" s="327">
        <f>AP158-7</f>
        <v>46469</v>
      </c>
      <c r="AP158" s="327">
        <v>46476</v>
      </c>
      <c r="AQ158" s="327"/>
      <c r="AR158" s="319">
        <f>AN158-AM158</f>
        <v>14</v>
      </c>
      <c r="AS158" s="328"/>
      <c r="AT158" s="329" t="s">
        <v>69</v>
      </c>
      <c r="AU158" s="330">
        <v>46476</v>
      </c>
      <c r="AV158" s="271"/>
    </row>
    <row r="159" spans="1:48" s="270" customFormat="1" ht="25.05" customHeight="1">
      <c r="A159" s="333"/>
      <c r="B159" s="334" t="s">
        <v>214</v>
      </c>
      <c r="C159" s="436" t="s">
        <v>215</v>
      </c>
      <c r="D159" s="316"/>
      <c r="E159" s="336"/>
      <c r="F159" s="348"/>
      <c r="G159" s="338"/>
      <c r="H159" s="339"/>
      <c r="I159" s="338" t="s">
        <v>86</v>
      </c>
      <c r="J159" s="334" t="s">
        <v>67</v>
      </c>
      <c r="K159" s="431" t="s">
        <v>210</v>
      </c>
      <c r="L159" s="334" t="s">
        <v>8</v>
      </c>
      <c r="M159" s="340" t="s">
        <v>70</v>
      </c>
      <c r="N159" s="341">
        <v>46174</v>
      </c>
      <c r="O159" s="341">
        <v>46167</v>
      </c>
      <c r="P159" s="341">
        <v>46183</v>
      </c>
      <c r="Q159" s="341">
        <v>46183</v>
      </c>
      <c r="R159" s="341">
        <v>46183</v>
      </c>
      <c r="S159" s="341">
        <v>46188</v>
      </c>
      <c r="T159" s="341">
        <v>46198</v>
      </c>
      <c r="U159" s="341">
        <v>46227</v>
      </c>
      <c r="V159" s="341"/>
      <c r="W159" s="341"/>
      <c r="X159" s="338"/>
      <c r="Y159" s="341"/>
      <c r="Z159" s="341"/>
      <c r="AA159" s="341"/>
      <c r="AB159" s="341"/>
      <c r="AC159" s="341"/>
      <c r="AD159" s="341"/>
      <c r="AE159" s="341"/>
      <c r="AF159" s="341"/>
      <c r="AG159" s="341"/>
      <c r="AH159" s="341"/>
      <c r="AI159" s="341"/>
      <c r="AJ159" s="341"/>
      <c r="AK159" s="342"/>
      <c r="AL159" s="343"/>
      <c r="AM159" s="341"/>
      <c r="AN159" s="344"/>
      <c r="AO159" s="344"/>
      <c r="AP159" s="344"/>
      <c r="AQ159" s="344" t="s">
        <v>211</v>
      </c>
      <c r="AR159" s="338"/>
      <c r="AS159" s="345"/>
      <c r="AT159" s="346"/>
      <c r="AU159" s="345"/>
    </row>
    <row r="160" spans="1:48" s="270" customFormat="1" ht="25.05" customHeight="1">
      <c r="A160" s="315">
        <v>51</v>
      </c>
      <c r="B160" s="263" t="s">
        <v>216</v>
      </c>
      <c r="C160" s="432" t="s">
        <v>217</v>
      </c>
      <c r="D160" s="316"/>
      <c r="E160" s="317"/>
      <c r="F160" s="318"/>
      <c r="G160" s="319"/>
      <c r="H160" s="320"/>
      <c r="I160" s="319" t="s">
        <v>86</v>
      </c>
      <c r="J160" s="263"/>
      <c r="K160" s="321"/>
      <c r="L160" s="263" t="s">
        <v>8</v>
      </c>
      <c r="M160" s="322" t="s">
        <v>63</v>
      </c>
      <c r="N160" s="323"/>
      <c r="O160" s="324">
        <v>46163</v>
      </c>
      <c r="P160" s="324">
        <v>46170</v>
      </c>
      <c r="Q160" s="324">
        <v>46171</v>
      </c>
      <c r="R160" s="324">
        <v>46182</v>
      </c>
      <c r="S160" s="324">
        <v>46183</v>
      </c>
      <c r="T160" s="324">
        <v>46197</v>
      </c>
      <c r="U160" s="324">
        <v>46225</v>
      </c>
      <c r="V160" s="324">
        <v>46241</v>
      </c>
      <c r="W160" s="324"/>
      <c r="X160" s="324">
        <v>46254</v>
      </c>
      <c r="Y160" s="324">
        <v>46258</v>
      </c>
      <c r="Z160" s="324">
        <v>46265</v>
      </c>
      <c r="AA160" s="324">
        <v>46286</v>
      </c>
      <c r="AB160" s="324">
        <v>46300</v>
      </c>
      <c r="AC160" s="324">
        <v>46360</v>
      </c>
      <c r="AD160" s="324">
        <v>46363</v>
      </c>
      <c r="AE160" s="324">
        <v>46364</v>
      </c>
      <c r="AF160" s="324">
        <v>46413</v>
      </c>
      <c r="AG160" s="324">
        <v>46427</v>
      </c>
      <c r="AH160" s="324">
        <v>46434</v>
      </c>
      <c r="AI160" s="324">
        <v>46448</v>
      </c>
      <c r="AJ160" s="324">
        <v>46464</v>
      </c>
      <c r="AK160" s="325">
        <v>25.714285714285701</v>
      </c>
      <c r="AL160" s="326">
        <f>AK160*7</f>
        <v>179.99999999999991</v>
      </c>
      <c r="AM160" s="324">
        <f>X160+AL160</f>
        <v>46434</v>
      </c>
      <c r="AN160" s="327">
        <f>AN161</f>
        <v>46452</v>
      </c>
      <c r="AO160" s="327"/>
      <c r="AP160" s="327"/>
      <c r="AQ160" s="327"/>
      <c r="AR160" s="319">
        <f>AN161-AM160</f>
        <v>18</v>
      </c>
      <c r="AS160" s="328"/>
      <c r="AT160" s="329" t="s">
        <v>65</v>
      </c>
      <c r="AU160" s="330">
        <v>46459</v>
      </c>
      <c r="AV160" s="331">
        <v>55</v>
      </c>
    </row>
    <row r="161" spans="1:48" s="270" customFormat="1" ht="25.05" customHeight="1">
      <c r="A161" s="315"/>
      <c r="B161" s="263" t="s">
        <v>216</v>
      </c>
      <c r="C161" s="432" t="s">
        <v>217</v>
      </c>
      <c r="D161" s="316"/>
      <c r="E161" s="317"/>
      <c r="F161" s="348"/>
      <c r="G161" s="319"/>
      <c r="H161" s="320" t="s">
        <v>209</v>
      </c>
      <c r="I161" s="319" t="s">
        <v>86</v>
      </c>
      <c r="J161" s="263" t="s">
        <v>67</v>
      </c>
      <c r="K161" s="263" t="s">
        <v>210</v>
      </c>
      <c r="L161" s="263" t="s">
        <v>8</v>
      </c>
      <c r="M161" s="322" t="s">
        <v>68</v>
      </c>
      <c r="N161" s="324"/>
      <c r="O161" s="324"/>
      <c r="P161" s="324"/>
      <c r="Q161" s="324"/>
      <c r="R161" s="324"/>
      <c r="S161" s="324"/>
      <c r="T161" s="324"/>
      <c r="U161" s="324"/>
      <c r="V161" s="324">
        <f>WORKDAY.INTL(U162,INDEX(V$8:V$11,MATCH($L161,$L$8:$L$11,0)),1,IF(V$18="China",'China Holidays'!$A$2:$A$82,'Thai Holidays'!$A$2:$A$63))</f>
        <v>46245</v>
      </c>
      <c r="W161" s="324"/>
      <c r="X161" s="324">
        <f>WORKDAY.INTL(V161,INDEX(X$8:X$11,MATCH($L161,$L$8:$L$11,0)),1,IF(X$18="China",'China Holidays'!$A$2:$A$82,'Thai Holidays'!$A$2:$A$63))</f>
        <v>46258</v>
      </c>
      <c r="Y161" s="324">
        <f>WORKDAY.INTL(X161,INDEX(Y$12:Y$15,MATCH($L161,$L$12:$L$15,0)),1,IF(Y$18="China",'China Holidays'!$A$2:$A$82,'Thai Holidays'!$A$2:$A$63))</f>
        <v>46260</v>
      </c>
      <c r="Z161" s="324">
        <f>WORKDAY.INTL(Y161,INDEX(Z$12:Z$15,MATCH($L161,$L$12:$L$15,0)),1,IF(Z$18="China",'China Holidays'!$A$2:$A$82,'Thai Holidays'!$A$2:$A$63))</f>
        <v>46267</v>
      </c>
      <c r="AA161" s="324">
        <f>WORKDAY.INTL(Z161,INDEX(AA$12:AA$15,MATCH($L161,$L$12:$L$15,0)),1,IF(AA$18="China",'China Holidays'!$A$2:$A$82,'Thai Holidays'!$A$2:$A$63))</f>
        <v>46288</v>
      </c>
      <c r="AB161" s="324">
        <f>WORKDAY.INTL(AA161,INDEX(AB$12:AB$15,MATCH($L161,$L$12:$L$15,0)),1,IF(AB$18="China",'China Holidays'!$A$2:$A$82,'Thai Holidays'!$A$2:$A$63))</f>
        <v>46302</v>
      </c>
      <c r="AC161" s="324">
        <f>AB161+60</f>
        <v>46362</v>
      </c>
      <c r="AD161" s="324">
        <f>AC161+3</f>
        <v>46365</v>
      </c>
      <c r="AE161" s="324">
        <f>AD161+1</f>
        <v>46366</v>
      </c>
      <c r="AF161" s="324">
        <f>AG161-14</f>
        <v>46417</v>
      </c>
      <c r="AG161" s="324">
        <f>AH161-7</f>
        <v>46431</v>
      </c>
      <c r="AH161" s="324">
        <f>AM161</f>
        <v>46438</v>
      </c>
      <c r="AI161" s="324">
        <f>AM161+14</f>
        <v>46452</v>
      </c>
      <c r="AJ161" s="324">
        <f>AM161+30</f>
        <v>46468</v>
      </c>
      <c r="AK161" s="325">
        <v>25.714285714285701</v>
      </c>
      <c r="AL161" s="326">
        <f>AK161*7</f>
        <v>179.99999999999991</v>
      </c>
      <c r="AM161" s="324">
        <f>IF(X161&lt;&gt;"",X161+AL161,X162+AL161)</f>
        <v>46438</v>
      </c>
      <c r="AN161" s="327">
        <f>AU160-7</f>
        <v>46452</v>
      </c>
      <c r="AO161" s="327">
        <f>AP161-7</f>
        <v>46454</v>
      </c>
      <c r="AP161" s="327">
        <v>46461</v>
      </c>
      <c r="AQ161" s="327"/>
      <c r="AR161" s="319">
        <f>AN161-AM161</f>
        <v>14</v>
      </c>
      <c r="AS161" s="328"/>
      <c r="AT161" s="329" t="s">
        <v>69</v>
      </c>
      <c r="AU161" s="330">
        <v>46476</v>
      </c>
      <c r="AV161" s="271"/>
    </row>
    <row r="162" spans="1:48" s="270" customFormat="1" ht="25.05" customHeight="1">
      <c r="A162" s="333"/>
      <c r="B162" s="334" t="s">
        <v>216</v>
      </c>
      <c r="C162" s="436" t="s">
        <v>217</v>
      </c>
      <c r="D162" s="335"/>
      <c r="E162" s="336"/>
      <c r="F162" s="349"/>
      <c r="G162" s="338"/>
      <c r="H162" s="339"/>
      <c r="I162" s="338" t="s">
        <v>86</v>
      </c>
      <c r="J162" s="334" t="s">
        <v>67</v>
      </c>
      <c r="K162" s="431" t="s">
        <v>210</v>
      </c>
      <c r="L162" s="334" t="s">
        <v>8</v>
      </c>
      <c r="M162" s="340" t="s">
        <v>70</v>
      </c>
      <c r="N162" s="341">
        <v>46174</v>
      </c>
      <c r="O162" s="341">
        <v>46167</v>
      </c>
      <c r="P162" s="341">
        <v>46183</v>
      </c>
      <c r="Q162" s="341">
        <v>46183</v>
      </c>
      <c r="R162" s="341">
        <v>46183</v>
      </c>
      <c r="S162" s="341">
        <v>46188</v>
      </c>
      <c r="T162" s="341">
        <v>46198</v>
      </c>
      <c r="U162" s="341">
        <v>46227</v>
      </c>
      <c r="V162" s="341"/>
      <c r="W162" s="341"/>
      <c r="X162" s="338"/>
      <c r="Y162" s="341"/>
      <c r="Z162" s="341"/>
      <c r="AA162" s="341"/>
      <c r="AB162" s="341"/>
      <c r="AC162" s="341"/>
      <c r="AD162" s="341"/>
      <c r="AE162" s="341"/>
      <c r="AF162" s="341"/>
      <c r="AG162" s="341"/>
      <c r="AH162" s="341"/>
      <c r="AI162" s="341"/>
      <c r="AJ162" s="341"/>
      <c r="AK162" s="342"/>
      <c r="AL162" s="343"/>
      <c r="AM162" s="341"/>
      <c r="AN162" s="344"/>
      <c r="AO162" s="344"/>
      <c r="AP162" s="344"/>
      <c r="AQ162" s="344"/>
      <c r="AR162" s="338"/>
      <c r="AS162" s="345"/>
      <c r="AT162" s="346"/>
      <c r="AU162" s="345"/>
    </row>
    <row r="163" spans="1:48" s="270" customFormat="1" ht="25.05" customHeight="1">
      <c r="A163" s="315">
        <v>52</v>
      </c>
      <c r="B163" s="263" t="s">
        <v>218</v>
      </c>
      <c r="C163" s="432" t="s">
        <v>219</v>
      </c>
      <c r="D163" s="316"/>
      <c r="E163" s="317"/>
      <c r="F163" s="318"/>
      <c r="G163" s="319"/>
      <c r="H163" s="320"/>
      <c r="I163" s="319" t="s">
        <v>86</v>
      </c>
      <c r="J163" s="263"/>
      <c r="K163" s="321"/>
      <c r="L163" s="263" t="s">
        <v>8</v>
      </c>
      <c r="M163" s="322" t="s">
        <v>63</v>
      </c>
      <c r="N163" s="323"/>
      <c r="O163" s="324">
        <v>46163</v>
      </c>
      <c r="P163" s="324">
        <v>46170</v>
      </c>
      <c r="Q163" s="324">
        <v>46171</v>
      </c>
      <c r="R163" s="324">
        <v>46182</v>
      </c>
      <c r="S163" s="324">
        <v>46183</v>
      </c>
      <c r="T163" s="324">
        <v>46197</v>
      </c>
      <c r="U163" s="324">
        <v>46225</v>
      </c>
      <c r="V163" s="324">
        <v>46241</v>
      </c>
      <c r="W163" s="324"/>
      <c r="X163" s="324">
        <v>46254</v>
      </c>
      <c r="Y163" s="324">
        <v>46258</v>
      </c>
      <c r="Z163" s="324">
        <v>46265</v>
      </c>
      <c r="AA163" s="324">
        <v>46286</v>
      </c>
      <c r="AB163" s="324">
        <v>46300</v>
      </c>
      <c r="AC163" s="324">
        <v>46360</v>
      </c>
      <c r="AD163" s="324">
        <v>46363</v>
      </c>
      <c r="AE163" s="324">
        <v>46364</v>
      </c>
      <c r="AF163" s="324">
        <v>46429</v>
      </c>
      <c r="AG163" s="324">
        <v>46443</v>
      </c>
      <c r="AH163" s="324">
        <v>46450</v>
      </c>
      <c r="AI163" s="324">
        <v>46464</v>
      </c>
      <c r="AJ163" s="324">
        <v>46480</v>
      </c>
      <c r="AK163" s="325">
        <v>28</v>
      </c>
      <c r="AL163" s="326">
        <f>AK163*7</f>
        <v>196</v>
      </c>
      <c r="AM163" s="324">
        <f>X163+AL163</f>
        <v>46450</v>
      </c>
      <c r="AN163" s="327">
        <f>AN164</f>
        <v>46452</v>
      </c>
      <c r="AO163" s="327"/>
      <c r="AP163" s="327"/>
      <c r="AQ163" s="327"/>
      <c r="AR163" s="319">
        <f>AN164-AM163</f>
        <v>2</v>
      </c>
      <c r="AS163" s="328"/>
      <c r="AT163" s="329" t="s">
        <v>65</v>
      </c>
      <c r="AU163" s="330">
        <v>46459</v>
      </c>
      <c r="AV163" s="331">
        <v>39</v>
      </c>
    </row>
    <row r="164" spans="1:48" s="270" customFormat="1" ht="25.05" customHeight="1">
      <c r="A164" s="315"/>
      <c r="B164" s="263" t="s">
        <v>218</v>
      </c>
      <c r="C164" s="432" t="s">
        <v>219</v>
      </c>
      <c r="D164" s="316"/>
      <c r="E164" s="317"/>
      <c r="F164" s="348"/>
      <c r="G164" s="319"/>
      <c r="H164" s="320" t="s">
        <v>209</v>
      </c>
      <c r="I164" s="319" t="s">
        <v>86</v>
      </c>
      <c r="J164" s="263" t="s">
        <v>67</v>
      </c>
      <c r="K164" s="263" t="s">
        <v>210</v>
      </c>
      <c r="L164" s="263" t="s">
        <v>8</v>
      </c>
      <c r="M164" s="322" t="s">
        <v>68</v>
      </c>
      <c r="N164" s="324"/>
      <c r="O164" s="324"/>
      <c r="P164" s="324"/>
      <c r="Q164" s="324"/>
      <c r="R164" s="324"/>
      <c r="S164" s="324"/>
      <c r="T164" s="324"/>
      <c r="U164" s="324"/>
      <c r="V164" s="324">
        <v>46244</v>
      </c>
      <c r="W164" s="324"/>
      <c r="X164" s="324">
        <f>WORKDAY.INTL(V164,INDEX(X$8:X$11,MATCH($L164,$L$8:$L$11,0)),1,IF(X$18="China",'China Holidays'!$A$2:$A$82,'Thai Holidays'!$A$2:$A$63))</f>
        <v>46255</v>
      </c>
      <c r="Y164" s="324">
        <f>WORKDAY.INTL(X164,INDEX(Y$12:Y$15,MATCH($L164,$L$12:$L$15,0)),1,IF(Y$18="China",'China Holidays'!$A$2:$A$82,'Thai Holidays'!$A$2:$A$63))</f>
        <v>46259</v>
      </c>
      <c r="Z164" s="324">
        <f>WORKDAY.INTL(Y164,INDEX(Z$12:Z$15,MATCH($L164,$L$12:$L$15,0)),1,IF(Z$18="China",'China Holidays'!$A$2:$A$82,'Thai Holidays'!$A$2:$A$63))</f>
        <v>46266</v>
      </c>
      <c r="AA164" s="324">
        <f>WORKDAY.INTL(Z164,INDEX(AA$12:AA$15,MATCH($L164,$L$12:$L$15,0)),1,IF(AA$18="China",'China Holidays'!$A$2:$A$82,'Thai Holidays'!$A$2:$A$63))</f>
        <v>46287</v>
      </c>
      <c r="AB164" s="324">
        <f>WORKDAY.INTL(AA164,INDEX(AB$12:AB$15,MATCH($L164,$L$12:$L$15,0)),1,IF(AB$18="China",'China Holidays'!$A$2:$A$82,'Thai Holidays'!$A$2:$A$63))</f>
        <v>46301</v>
      </c>
      <c r="AC164" s="324">
        <f>AB164+60</f>
        <v>46361</v>
      </c>
      <c r="AD164" s="324">
        <f>AC164+3</f>
        <v>46364</v>
      </c>
      <c r="AE164" s="324">
        <f>AD164+1</f>
        <v>46365</v>
      </c>
      <c r="AF164" s="324">
        <f>AG164-14</f>
        <v>46430</v>
      </c>
      <c r="AG164" s="324">
        <f>AH164-7</f>
        <v>46444</v>
      </c>
      <c r="AH164" s="324">
        <f>AM164</f>
        <v>46451</v>
      </c>
      <c r="AI164" s="324">
        <f>AM164+14</f>
        <v>46465</v>
      </c>
      <c r="AJ164" s="324">
        <f>AM164+30</f>
        <v>46481</v>
      </c>
      <c r="AK164" s="325">
        <v>28</v>
      </c>
      <c r="AL164" s="326">
        <f>AK164*7</f>
        <v>196</v>
      </c>
      <c r="AM164" s="324">
        <f>IF(X164&lt;&gt;"",X164+AL164,X165+AL164)</f>
        <v>46451</v>
      </c>
      <c r="AN164" s="327">
        <f>AU163-7</f>
        <v>46452</v>
      </c>
      <c r="AO164" s="327">
        <f>AP164-7</f>
        <v>46469</v>
      </c>
      <c r="AP164" s="327">
        <v>46476</v>
      </c>
      <c r="AQ164" s="327"/>
      <c r="AR164" s="319">
        <f>AN164-AM164</f>
        <v>1</v>
      </c>
      <c r="AS164" s="328"/>
      <c r="AT164" s="329" t="s">
        <v>69</v>
      </c>
      <c r="AU164" s="330">
        <v>46476</v>
      </c>
      <c r="AV164" s="271"/>
    </row>
    <row r="165" spans="1:48" s="270" customFormat="1" ht="25.05" customHeight="1">
      <c r="A165" s="333"/>
      <c r="B165" s="334" t="s">
        <v>218</v>
      </c>
      <c r="C165" s="436" t="s">
        <v>219</v>
      </c>
      <c r="D165" s="316"/>
      <c r="E165" s="336"/>
      <c r="F165" s="348"/>
      <c r="G165" s="338"/>
      <c r="H165" s="339"/>
      <c r="I165" s="338" t="s">
        <v>86</v>
      </c>
      <c r="J165" s="334" t="s">
        <v>67</v>
      </c>
      <c r="K165" s="431" t="s">
        <v>210</v>
      </c>
      <c r="L165" s="334" t="s">
        <v>8</v>
      </c>
      <c r="M165" s="340" t="s">
        <v>70</v>
      </c>
      <c r="N165" s="341">
        <v>46174</v>
      </c>
      <c r="O165" s="341">
        <v>46167</v>
      </c>
      <c r="P165" s="341">
        <v>46183</v>
      </c>
      <c r="Q165" s="341">
        <v>46183</v>
      </c>
      <c r="R165" s="341">
        <v>46183</v>
      </c>
      <c r="S165" s="341">
        <v>46188</v>
      </c>
      <c r="T165" s="341">
        <v>46198</v>
      </c>
      <c r="U165" s="341">
        <v>46227</v>
      </c>
      <c r="V165" s="341"/>
      <c r="W165" s="341"/>
      <c r="X165" s="338"/>
      <c r="Y165" s="341"/>
      <c r="Z165" s="341"/>
      <c r="AA165" s="341"/>
      <c r="AB165" s="341"/>
      <c r="AC165" s="341"/>
      <c r="AD165" s="341"/>
      <c r="AE165" s="341"/>
      <c r="AF165" s="341"/>
      <c r="AG165" s="341"/>
      <c r="AH165" s="341"/>
      <c r="AI165" s="341"/>
      <c r="AJ165" s="341"/>
      <c r="AK165" s="342"/>
      <c r="AL165" s="343"/>
      <c r="AM165" s="341"/>
      <c r="AN165" s="344"/>
      <c r="AO165" s="344"/>
      <c r="AP165" s="344"/>
      <c r="AQ165" s="344" t="s">
        <v>211</v>
      </c>
      <c r="AR165" s="338"/>
      <c r="AS165" s="345"/>
      <c r="AT165" s="346"/>
      <c r="AU165" s="345"/>
    </row>
    <row r="166" spans="1:48" s="270" customFormat="1" ht="25.05" customHeight="1">
      <c r="A166" s="315">
        <v>53</v>
      </c>
      <c r="B166" s="263" t="s">
        <v>220</v>
      </c>
      <c r="C166" s="432" t="s">
        <v>221</v>
      </c>
      <c r="D166" s="316"/>
      <c r="E166" s="317"/>
      <c r="F166" s="318"/>
      <c r="G166" s="319"/>
      <c r="H166" s="320"/>
      <c r="I166" s="319" t="s">
        <v>86</v>
      </c>
      <c r="J166" s="263"/>
      <c r="K166" s="321"/>
      <c r="L166" s="263" t="s">
        <v>8</v>
      </c>
      <c r="M166" s="322" t="s">
        <v>63</v>
      </c>
      <c r="N166" s="323"/>
      <c r="O166" s="324">
        <v>46163</v>
      </c>
      <c r="P166" s="324">
        <v>46170</v>
      </c>
      <c r="Q166" s="324">
        <v>46171</v>
      </c>
      <c r="R166" s="324">
        <v>46182</v>
      </c>
      <c r="S166" s="324">
        <v>46183</v>
      </c>
      <c r="T166" s="324">
        <v>46197</v>
      </c>
      <c r="U166" s="324">
        <v>46225</v>
      </c>
      <c r="V166" s="324">
        <v>46241</v>
      </c>
      <c r="W166" s="324"/>
      <c r="X166" s="324">
        <v>46254</v>
      </c>
      <c r="Y166" s="324">
        <v>46258</v>
      </c>
      <c r="Z166" s="324">
        <v>46265</v>
      </c>
      <c r="AA166" s="324">
        <v>46286</v>
      </c>
      <c r="AB166" s="324">
        <v>46300</v>
      </c>
      <c r="AC166" s="324">
        <v>46360</v>
      </c>
      <c r="AD166" s="324">
        <v>46363</v>
      </c>
      <c r="AE166" s="324">
        <v>46364</v>
      </c>
      <c r="AF166" s="324">
        <v>46429</v>
      </c>
      <c r="AG166" s="324">
        <v>46443</v>
      </c>
      <c r="AH166" s="324">
        <v>46450</v>
      </c>
      <c r="AI166" s="324">
        <v>46464</v>
      </c>
      <c r="AJ166" s="324">
        <v>46480</v>
      </c>
      <c r="AK166" s="325">
        <v>28</v>
      </c>
      <c r="AL166" s="326">
        <f>AK166*7</f>
        <v>196</v>
      </c>
      <c r="AM166" s="324">
        <f>X166+AL166</f>
        <v>46450</v>
      </c>
      <c r="AN166" s="327">
        <f>AN167</f>
        <v>46452</v>
      </c>
      <c r="AO166" s="327"/>
      <c r="AP166" s="327"/>
      <c r="AQ166" s="327"/>
      <c r="AR166" s="319">
        <f>AN167-AM166</f>
        <v>2</v>
      </c>
      <c r="AS166" s="328"/>
      <c r="AT166" s="329" t="s">
        <v>65</v>
      </c>
      <c r="AU166" s="330">
        <v>46459</v>
      </c>
      <c r="AV166" s="331">
        <v>39</v>
      </c>
    </row>
    <row r="167" spans="1:48" s="270" customFormat="1" ht="25.05" customHeight="1">
      <c r="A167" s="315"/>
      <c r="B167" s="263" t="s">
        <v>220</v>
      </c>
      <c r="C167" s="432" t="s">
        <v>221</v>
      </c>
      <c r="D167" s="316"/>
      <c r="E167" s="317"/>
      <c r="F167" s="348"/>
      <c r="G167" s="319"/>
      <c r="H167" s="320" t="s">
        <v>209</v>
      </c>
      <c r="I167" s="319" t="s">
        <v>86</v>
      </c>
      <c r="J167" s="263" t="s">
        <v>67</v>
      </c>
      <c r="K167" s="263" t="s">
        <v>210</v>
      </c>
      <c r="L167" s="263" t="s">
        <v>8</v>
      </c>
      <c r="M167" s="322" t="s">
        <v>68</v>
      </c>
      <c r="N167" s="324"/>
      <c r="O167" s="324"/>
      <c r="P167" s="324"/>
      <c r="Q167" s="324"/>
      <c r="R167" s="324"/>
      <c r="S167" s="324"/>
      <c r="T167" s="324"/>
      <c r="U167" s="324"/>
      <c r="V167" s="324">
        <v>46244</v>
      </c>
      <c r="W167" s="324"/>
      <c r="X167" s="324">
        <f>WORKDAY.INTL(V167,INDEX(X$8:X$11,MATCH($L167,$L$8:$L$11,0)),1,IF(X$18="China",'China Holidays'!$A$2:$A$82,'Thai Holidays'!$A$2:$A$63))</f>
        <v>46255</v>
      </c>
      <c r="Y167" s="324">
        <f>WORKDAY.INTL(X167,INDEX(Y$12:Y$15,MATCH($L167,$L$12:$L$15,0)),1,IF(Y$18="China",'China Holidays'!$A$2:$A$82,'Thai Holidays'!$A$2:$A$63))</f>
        <v>46259</v>
      </c>
      <c r="Z167" s="324">
        <f>WORKDAY.INTL(Y167,INDEX(Z$12:Z$15,MATCH($L167,$L$12:$L$15,0)),1,IF(Z$18="China",'China Holidays'!$A$2:$A$82,'Thai Holidays'!$A$2:$A$63))</f>
        <v>46266</v>
      </c>
      <c r="AA167" s="324">
        <f>WORKDAY.INTL(Z167,INDEX(AA$12:AA$15,MATCH($L167,$L$12:$L$15,0)),1,IF(AA$18="China",'China Holidays'!$A$2:$A$82,'Thai Holidays'!$A$2:$A$63))</f>
        <v>46287</v>
      </c>
      <c r="AB167" s="324">
        <f>WORKDAY.INTL(AA167,INDEX(AB$12:AB$15,MATCH($L167,$L$12:$L$15,0)),1,IF(AB$18="China",'China Holidays'!$A$2:$A$82,'Thai Holidays'!$A$2:$A$63))</f>
        <v>46301</v>
      </c>
      <c r="AC167" s="324">
        <f>AB167+60</f>
        <v>46361</v>
      </c>
      <c r="AD167" s="324">
        <f>AC167+3</f>
        <v>46364</v>
      </c>
      <c r="AE167" s="324">
        <f>AD167+1</f>
        <v>46365</v>
      </c>
      <c r="AF167" s="324">
        <f>AG167-14</f>
        <v>46430</v>
      </c>
      <c r="AG167" s="324">
        <f>AH167-7</f>
        <v>46444</v>
      </c>
      <c r="AH167" s="324">
        <f>AM167</f>
        <v>46451</v>
      </c>
      <c r="AI167" s="324">
        <f>AM167+14</f>
        <v>46465</v>
      </c>
      <c r="AJ167" s="324">
        <f>AM167+30</f>
        <v>46481</v>
      </c>
      <c r="AK167" s="325">
        <v>28</v>
      </c>
      <c r="AL167" s="326">
        <f>AK167*7</f>
        <v>196</v>
      </c>
      <c r="AM167" s="324">
        <f>IF(X167&lt;&gt;"",X167+AL167,X168+AL167)</f>
        <v>46451</v>
      </c>
      <c r="AN167" s="327">
        <f>AU166-7</f>
        <v>46452</v>
      </c>
      <c r="AO167" s="327">
        <f>AP167-7</f>
        <v>46454</v>
      </c>
      <c r="AP167" s="327">
        <v>46461</v>
      </c>
      <c r="AQ167" s="327"/>
      <c r="AR167" s="319">
        <f>AN167-AM167</f>
        <v>1</v>
      </c>
      <c r="AS167" s="328"/>
      <c r="AT167" s="329" t="s">
        <v>69</v>
      </c>
      <c r="AU167" s="330">
        <v>46476</v>
      </c>
      <c r="AV167" s="271"/>
    </row>
    <row r="168" spans="1:48" s="270" customFormat="1" ht="25.05" customHeight="1">
      <c r="A168" s="333"/>
      <c r="B168" s="334" t="s">
        <v>220</v>
      </c>
      <c r="C168" s="436" t="s">
        <v>221</v>
      </c>
      <c r="D168" s="335"/>
      <c r="E168" s="336"/>
      <c r="F168" s="349"/>
      <c r="G168" s="338"/>
      <c r="H168" s="339"/>
      <c r="I168" s="338" t="s">
        <v>86</v>
      </c>
      <c r="J168" s="334" t="s">
        <v>67</v>
      </c>
      <c r="K168" s="431" t="s">
        <v>210</v>
      </c>
      <c r="L168" s="334" t="s">
        <v>8</v>
      </c>
      <c r="M168" s="340" t="s">
        <v>70</v>
      </c>
      <c r="N168" s="341">
        <v>46174</v>
      </c>
      <c r="O168" s="341">
        <v>46167</v>
      </c>
      <c r="P168" s="341">
        <v>46183</v>
      </c>
      <c r="Q168" s="341">
        <v>46183</v>
      </c>
      <c r="R168" s="341">
        <v>46183</v>
      </c>
      <c r="S168" s="341">
        <v>46188</v>
      </c>
      <c r="T168" s="341">
        <v>46198</v>
      </c>
      <c r="U168" s="341">
        <v>46227</v>
      </c>
      <c r="V168" s="341"/>
      <c r="W168" s="341"/>
      <c r="X168" s="338"/>
      <c r="Y168" s="341"/>
      <c r="Z168" s="341"/>
      <c r="AA168" s="341"/>
      <c r="AB168" s="341"/>
      <c r="AC168" s="341"/>
      <c r="AD168" s="341"/>
      <c r="AE168" s="341"/>
      <c r="AF168" s="341"/>
      <c r="AG168" s="341"/>
      <c r="AH168" s="341"/>
      <c r="AI168" s="341"/>
      <c r="AJ168" s="341"/>
      <c r="AK168" s="342"/>
      <c r="AL168" s="343"/>
      <c r="AM168" s="341"/>
      <c r="AN168" s="344"/>
      <c r="AO168" s="344"/>
      <c r="AP168" s="344"/>
      <c r="AQ168" s="344"/>
      <c r="AR168" s="338"/>
      <c r="AS168" s="345"/>
      <c r="AT168" s="346"/>
      <c r="AU168" s="345"/>
    </row>
    <row r="169" spans="1:48" s="270" customFormat="1" ht="25.05" customHeight="1">
      <c r="A169" s="315">
        <v>54</v>
      </c>
      <c r="B169" s="263" t="s">
        <v>222</v>
      </c>
      <c r="C169" s="432" t="s">
        <v>223</v>
      </c>
      <c r="D169" s="316"/>
      <c r="E169" s="317"/>
      <c r="F169" s="318"/>
      <c r="G169" s="319"/>
      <c r="H169" s="320"/>
      <c r="I169" s="319" t="s">
        <v>86</v>
      </c>
      <c r="J169" s="263"/>
      <c r="K169" s="321"/>
      <c r="L169" s="263" t="s">
        <v>7</v>
      </c>
      <c r="M169" s="322" t="s">
        <v>63</v>
      </c>
      <c r="N169" s="323"/>
      <c r="O169" s="324">
        <v>46163</v>
      </c>
      <c r="P169" s="324">
        <v>46170</v>
      </c>
      <c r="Q169" s="324">
        <v>46171</v>
      </c>
      <c r="R169" s="324">
        <v>46182</v>
      </c>
      <c r="S169" s="324">
        <v>46183</v>
      </c>
      <c r="T169" s="324">
        <v>46197</v>
      </c>
      <c r="U169" s="324">
        <v>46225</v>
      </c>
      <c r="V169" s="324">
        <v>46241</v>
      </c>
      <c r="W169" s="324"/>
      <c r="X169" s="324">
        <v>46254</v>
      </c>
      <c r="Y169" s="324">
        <v>46258</v>
      </c>
      <c r="Z169" s="324">
        <v>46265</v>
      </c>
      <c r="AA169" s="324">
        <v>46286</v>
      </c>
      <c r="AB169" s="324">
        <v>46300</v>
      </c>
      <c r="AC169" s="324">
        <v>46360</v>
      </c>
      <c r="AD169" s="324">
        <v>46363</v>
      </c>
      <c r="AE169" s="324">
        <v>46364</v>
      </c>
      <c r="AF169" s="324">
        <v>46429</v>
      </c>
      <c r="AG169" s="324">
        <v>46443</v>
      </c>
      <c r="AH169" s="324">
        <v>46450</v>
      </c>
      <c r="AI169" s="324">
        <v>46464</v>
      </c>
      <c r="AJ169" s="324">
        <v>46480</v>
      </c>
      <c r="AK169" s="325">
        <v>28</v>
      </c>
      <c r="AL169" s="326">
        <f>AK169*7</f>
        <v>196</v>
      </c>
      <c r="AM169" s="324">
        <f>X169+AL169</f>
        <v>46450</v>
      </c>
      <c r="AN169" s="327">
        <f>AN170</f>
        <v>46452</v>
      </c>
      <c r="AO169" s="327"/>
      <c r="AP169" s="327"/>
      <c r="AQ169" s="327"/>
      <c r="AR169" s="319">
        <f>AN170-AM169</f>
        <v>2</v>
      </c>
      <c r="AS169" s="328"/>
      <c r="AT169" s="329" t="s">
        <v>65</v>
      </c>
      <c r="AU169" s="330">
        <v>46459</v>
      </c>
      <c r="AV169" s="331">
        <v>39</v>
      </c>
    </row>
    <row r="170" spans="1:48" s="270" customFormat="1" ht="25.05" customHeight="1">
      <c r="A170" s="315"/>
      <c r="B170" s="263" t="s">
        <v>222</v>
      </c>
      <c r="C170" s="432" t="s">
        <v>223</v>
      </c>
      <c r="D170" s="316"/>
      <c r="E170" s="317"/>
      <c r="F170" s="348"/>
      <c r="G170" s="319"/>
      <c r="H170" s="320" t="s">
        <v>209</v>
      </c>
      <c r="I170" s="319" t="s">
        <v>86</v>
      </c>
      <c r="J170" s="263" t="s">
        <v>67</v>
      </c>
      <c r="K170" s="263" t="s">
        <v>210</v>
      </c>
      <c r="L170" s="263" t="s">
        <v>7</v>
      </c>
      <c r="M170" s="322" t="s">
        <v>68</v>
      </c>
      <c r="N170" s="324"/>
      <c r="O170" s="324"/>
      <c r="P170" s="324"/>
      <c r="Q170" s="324"/>
      <c r="R170" s="324"/>
      <c r="S170" s="324"/>
      <c r="T170" s="324"/>
      <c r="U170" s="324"/>
      <c r="V170" s="324"/>
      <c r="W170" s="324"/>
      <c r="X170" s="324">
        <v>46254</v>
      </c>
      <c r="Y170" s="324">
        <f>WORKDAY.INTL(X170,INDEX(Y$12:Y$15,MATCH($L170,$L$12:$L$15,0)),1,IF(Y$18="China",'China Holidays'!$A$2:$A$82,'Thai Holidays'!$A$2:$A$63))</f>
        <v>46258</v>
      </c>
      <c r="Z170" s="324">
        <f>WORKDAY.INTL(Y170,INDEX(Z$12:Z$15,MATCH($L170,$L$12:$L$15,0)),1,IF(Z$18="China",'China Holidays'!$A$2:$A$82,'Thai Holidays'!$A$2:$A$63))</f>
        <v>46265</v>
      </c>
      <c r="AA170" s="324">
        <f>WORKDAY.INTL(Z170,INDEX(AA$12:AA$15,MATCH($L170,$L$12:$L$15,0)),1,IF(AA$18="China",'China Holidays'!$A$2:$A$82,'Thai Holidays'!$A$2:$A$63))</f>
        <v>46294</v>
      </c>
      <c r="AB170" s="324">
        <f>WORKDAY.INTL(AA170,INDEX(AB$12:AB$15,MATCH($L170,$L$12:$L$15,0)),1,IF(AB$18="China",'China Holidays'!$A$2:$A$82,'Thai Holidays'!$A$2:$A$63))</f>
        <v>46309</v>
      </c>
      <c r="AC170" s="324">
        <f>AB170+60</f>
        <v>46369</v>
      </c>
      <c r="AD170" s="324">
        <f>AC170+3</f>
        <v>46372</v>
      </c>
      <c r="AE170" s="324">
        <f>AD170+1</f>
        <v>46373</v>
      </c>
      <c r="AF170" s="324">
        <f>AG170-14</f>
        <v>46415</v>
      </c>
      <c r="AG170" s="324">
        <f>AH170-7</f>
        <v>46429</v>
      </c>
      <c r="AH170" s="324">
        <f>AM170</f>
        <v>46436</v>
      </c>
      <c r="AI170" s="324">
        <f>AM170+14</f>
        <v>46450</v>
      </c>
      <c r="AJ170" s="324">
        <f>AM170+30</f>
        <v>46466</v>
      </c>
      <c r="AK170" s="325">
        <v>27</v>
      </c>
      <c r="AL170" s="326">
        <f>AK170*7</f>
        <v>189</v>
      </c>
      <c r="AM170" s="324">
        <f>IF(W171&lt;&gt;"",W171+AL170,W171+AL170)</f>
        <v>46436</v>
      </c>
      <c r="AN170" s="327">
        <f>AU169-7</f>
        <v>46452</v>
      </c>
      <c r="AO170" s="327">
        <f>AP170-7</f>
        <v>46454</v>
      </c>
      <c r="AP170" s="327">
        <v>46461</v>
      </c>
      <c r="AQ170" s="327"/>
      <c r="AR170" s="319">
        <f>AN170-AM170</f>
        <v>16</v>
      </c>
      <c r="AS170" s="328"/>
      <c r="AT170" s="329" t="s">
        <v>69</v>
      </c>
      <c r="AU170" s="330">
        <v>46476</v>
      </c>
      <c r="AV170" s="271"/>
    </row>
    <row r="171" spans="1:48" s="270" customFormat="1" ht="25.05" customHeight="1">
      <c r="A171" s="333"/>
      <c r="B171" s="334" t="s">
        <v>222</v>
      </c>
      <c r="C171" s="436" t="s">
        <v>223</v>
      </c>
      <c r="D171" s="335"/>
      <c r="E171" s="336"/>
      <c r="F171" s="349"/>
      <c r="G171" s="338"/>
      <c r="H171" s="339"/>
      <c r="I171" s="338" t="s">
        <v>86</v>
      </c>
      <c r="J171" s="334" t="s">
        <v>67</v>
      </c>
      <c r="K171" s="431" t="s">
        <v>210</v>
      </c>
      <c r="L171" s="334" t="s">
        <v>7</v>
      </c>
      <c r="M171" s="340" t="s">
        <v>70</v>
      </c>
      <c r="N171" s="341">
        <v>46174</v>
      </c>
      <c r="O171" s="341">
        <v>46167</v>
      </c>
      <c r="P171" s="341">
        <v>46183</v>
      </c>
      <c r="Q171" s="341">
        <v>46183</v>
      </c>
      <c r="R171" s="341">
        <v>46183</v>
      </c>
      <c r="S171" s="341">
        <v>46188</v>
      </c>
      <c r="T171" s="341">
        <v>46198</v>
      </c>
      <c r="U171" s="341">
        <v>46226</v>
      </c>
      <c r="V171" s="341">
        <v>46240</v>
      </c>
      <c r="W171" s="341">
        <v>46247</v>
      </c>
      <c r="X171" s="338"/>
      <c r="Y171" s="341"/>
      <c r="Z171" s="341"/>
      <c r="AA171" s="341"/>
      <c r="AB171" s="341"/>
      <c r="AC171" s="341"/>
      <c r="AD171" s="341"/>
      <c r="AE171" s="341"/>
      <c r="AF171" s="341"/>
      <c r="AG171" s="341"/>
      <c r="AH171" s="341"/>
      <c r="AI171" s="341"/>
      <c r="AJ171" s="341"/>
      <c r="AK171" s="342"/>
      <c r="AL171" s="343"/>
      <c r="AM171" s="341"/>
      <c r="AN171" s="344"/>
      <c r="AO171" s="344"/>
      <c r="AP171" s="344"/>
      <c r="AQ171" s="344"/>
      <c r="AR171" s="338"/>
      <c r="AS171" s="345"/>
      <c r="AT171" s="346"/>
      <c r="AU171" s="345"/>
    </row>
    <row r="172" spans="1:48" s="270" customFormat="1" ht="25.05" hidden="1" customHeight="1">
      <c r="A172" s="315">
        <v>55</v>
      </c>
      <c r="B172" s="263" t="s">
        <v>224</v>
      </c>
      <c r="C172" s="432" t="s">
        <v>225</v>
      </c>
      <c r="D172" s="369"/>
      <c r="E172" s="317"/>
      <c r="F172" s="370"/>
      <c r="G172" s="319">
        <v>328.5</v>
      </c>
      <c r="H172" s="320"/>
      <c r="I172" s="319" t="s">
        <v>226</v>
      </c>
      <c r="J172" s="263"/>
      <c r="K172" s="321"/>
      <c r="L172" s="263" t="s">
        <v>6</v>
      </c>
      <c r="M172" s="322" t="s">
        <v>63</v>
      </c>
      <c r="N172" s="323"/>
      <c r="O172" s="324">
        <v>46167</v>
      </c>
      <c r="P172" s="324">
        <v>46167</v>
      </c>
      <c r="Q172" s="324">
        <v>46168</v>
      </c>
      <c r="R172" s="324">
        <v>46171</v>
      </c>
      <c r="S172" s="324">
        <v>46172</v>
      </c>
      <c r="T172" s="324">
        <v>46175</v>
      </c>
      <c r="U172" s="324">
        <v>46178</v>
      </c>
      <c r="V172" s="324">
        <v>46182</v>
      </c>
      <c r="W172" s="324"/>
      <c r="X172" s="324">
        <v>46183</v>
      </c>
      <c r="Y172" s="324">
        <v>46185</v>
      </c>
      <c r="Z172" s="324">
        <v>46190</v>
      </c>
      <c r="AA172" s="324">
        <v>46202</v>
      </c>
      <c r="AB172" s="324">
        <v>46212</v>
      </c>
      <c r="AC172" s="324">
        <v>46219</v>
      </c>
      <c r="AD172" s="324">
        <v>46195</v>
      </c>
      <c r="AE172" s="324">
        <v>46197</v>
      </c>
      <c r="AF172" s="324">
        <v>46233</v>
      </c>
      <c r="AG172" s="324">
        <v>46240</v>
      </c>
      <c r="AH172" s="324">
        <v>46243</v>
      </c>
      <c r="AI172" s="324">
        <v>46257</v>
      </c>
      <c r="AJ172" s="324">
        <v>46273</v>
      </c>
      <c r="AK172" s="325">
        <v>8.5714285714285694</v>
      </c>
      <c r="AL172" s="326">
        <f>AK172*7</f>
        <v>59.999999999999986</v>
      </c>
      <c r="AM172" s="324">
        <f>X172+AL172</f>
        <v>46243</v>
      </c>
      <c r="AN172" s="327">
        <f>AN173</f>
        <v>46251</v>
      </c>
      <c r="AO172" s="327"/>
      <c r="AP172" s="327"/>
      <c r="AQ172" s="327"/>
      <c r="AR172" s="319">
        <f>AN173-AM172</f>
        <v>8</v>
      </c>
      <c r="AS172" s="328" t="s">
        <v>64</v>
      </c>
      <c r="AT172" s="329" t="s">
        <v>65</v>
      </c>
      <c r="AU172" s="330">
        <v>46258</v>
      </c>
      <c r="AV172" s="331">
        <v>0</v>
      </c>
    </row>
    <row r="173" spans="1:48" s="270" customFormat="1" ht="25.05" hidden="1" customHeight="1">
      <c r="A173" s="315"/>
      <c r="B173" s="263" t="s">
        <v>224</v>
      </c>
      <c r="C173" s="432" t="s">
        <v>225</v>
      </c>
      <c r="D173" s="371"/>
      <c r="E173" s="317"/>
      <c r="F173" s="371"/>
      <c r="G173" s="319">
        <v>328.5</v>
      </c>
      <c r="H173" s="320" t="s">
        <v>227</v>
      </c>
      <c r="I173" s="319" t="s">
        <v>226</v>
      </c>
      <c r="J173" s="263" t="s">
        <v>67</v>
      </c>
      <c r="K173" s="263">
        <v>2</v>
      </c>
      <c r="L173" s="263" t="s">
        <v>6</v>
      </c>
      <c r="M173" s="322" t="s">
        <v>68</v>
      </c>
      <c r="N173" s="324">
        <v>46120</v>
      </c>
      <c r="O173" s="324"/>
      <c r="P173" s="324"/>
      <c r="Q173" s="324"/>
      <c r="R173" s="324"/>
      <c r="S173" s="324"/>
      <c r="T173" s="324"/>
      <c r="U173" s="324"/>
      <c r="V173" s="324"/>
      <c r="W173" s="324"/>
      <c r="X173" s="324"/>
      <c r="Y173" s="324"/>
      <c r="Z173" s="324"/>
      <c r="AA173" s="324"/>
      <c r="AB173" s="324">
        <v>46227</v>
      </c>
      <c r="AC173" s="324">
        <f>AB173+7</f>
        <v>46234</v>
      </c>
      <c r="AD173" s="324">
        <f>AB173+5</f>
        <v>46232</v>
      </c>
      <c r="AE173" s="324">
        <f>AD173+2</f>
        <v>46234</v>
      </c>
      <c r="AF173" s="324">
        <f>AG173-7</f>
        <v>46235</v>
      </c>
      <c r="AG173" s="324">
        <f>AH173-3</f>
        <v>46242</v>
      </c>
      <c r="AH173" s="324">
        <f>AM173</f>
        <v>46245</v>
      </c>
      <c r="AI173" s="324">
        <f>AM173+14</f>
        <v>46259</v>
      </c>
      <c r="AJ173" s="324">
        <f>AM173+30</f>
        <v>46275</v>
      </c>
      <c r="AK173" s="325">
        <v>8.5714285714285694</v>
      </c>
      <c r="AL173" s="326">
        <f>AK173*7</f>
        <v>59.999999999999986</v>
      </c>
      <c r="AM173" s="324">
        <f>IF(X173&lt;&gt;"",X173+AL173,X174+AL173)</f>
        <v>46245</v>
      </c>
      <c r="AN173" s="327">
        <f>AU172-7</f>
        <v>46251</v>
      </c>
      <c r="AO173" s="327">
        <f>AP173-3</f>
        <v>46247</v>
      </c>
      <c r="AP173" s="327">
        <v>46250</v>
      </c>
      <c r="AQ173" s="327" t="s">
        <v>228</v>
      </c>
      <c r="AR173" s="319">
        <f>AN173-AM173</f>
        <v>6</v>
      </c>
      <c r="AS173" s="332" t="str">
        <f>AS172</f>
        <v>Long Lead</v>
      </c>
      <c r="AT173" s="329" t="s">
        <v>69</v>
      </c>
      <c r="AU173" s="330">
        <v>46275</v>
      </c>
      <c r="AV173" s="271"/>
    </row>
    <row r="174" spans="1:48" s="270" customFormat="1" ht="25.05" hidden="1" customHeight="1">
      <c r="A174" s="333"/>
      <c r="B174" s="334" t="s">
        <v>224</v>
      </c>
      <c r="C174" s="436" t="s">
        <v>225</v>
      </c>
      <c r="D174" s="372"/>
      <c r="E174" s="336"/>
      <c r="F174" s="372"/>
      <c r="G174" s="338">
        <v>328.5</v>
      </c>
      <c r="H174" s="339"/>
      <c r="I174" s="338" t="s">
        <v>226</v>
      </c>
      <c r="J174" s="334" t="s">
        <v>67</v>
      </c>
      <c r="K174" s="263">
        <v>2</v>
      </c>
      <c r="L174" s="334" t="s">
        <v>6</v>
      </c>
      <c r="M174" s="340" t="s">
        <v>70</v>
      </c>
      <c r="N174" s="341">
        <v>46120</v>
      </c>
      <c r="O174" s="341">
        <v>46162</v>
      </c>
      <c r="P174" s="341">
        <v>46175</v>
      </c>
      <c r="Q174" s="341">
        <v>46175</v>
      </c>
      <c r="R174" s="341">
        <v>46179</v>
      </c>
      <c r="S174" s="341">
        <v>46179</v>
      </c>
      <c r="T174" s="341">
        <v>46179</v>
      </c>
      <c r="U174" s="341">
        <v>46185</v>
      </c>
      <c r="V174" s="341">
        <v>46185</v>
      </c>
      <c r="W174" s="341">
        <v>46185</v>
      </c>
      <c r="X174" s="341">
        <v>46185</v>
      </c>
      <c r="Y174" s="341">
        <v>46185</v>
      </c>
      <c r="Z174" s="341">
        <v>46190</v>
      </c>
      <c r="AA174" s="341">
        <v>46190</v>
      </c>
      <c r="AB174" s="341"/>
      <c r="AC174" s="341"/>
      <c r="AD174" s="341"/>
      <c r="AE174" s="341"/>
      <c r="AF174" s="341"/>
      <c r="AG174" s="341"/>
      <c r="AH174" s="341"/>
      <c r="AI174" s="341"/>
      <c r="AJ174" s="341"/>
      <c r="AK174" s="342"/>
      <c r="AL174" s="343"/>
      <c r="AM174" s="341"/>
      <c r="AN174" s="344"/>
      <c r="AO174" s="344"/>
      <c r="AP174" s="344"/>
      <c r="AQ174" s="344"/>
      <c r="AR174" s="338"/>
      <c r="AS174" s="345" t="str">
        <f>AS172</f>
        <v>Long Lead</v>
      </c>
      <c r="AT174" s="346"/>
      <c r="AU174" s="345"/>
    </row>
    <row r="175" spans="1:48" s="270" customFormat="1" ht="25.05" hidden="1" customHeight="1">
      <c r="A175" s="315">
        <v>56</v>
      </c>
      <c r="B175" s="263" t="s">
        <v>229</v>
      </c>
      <c r="C175" s="432" t="s">
        <v>230</v>
      </c>
      <c r="D175" s="369"/>
      <c r="E175" s="317"/>
      <c r="F175" s="370"/>
      <c r="G175" s="319">
        <v>557.69000000000005</v>
      </c>
      <c r="H175" s="320"/>
      <c r="I175" s="319" t="s">
        <v>226</v>
      </c>
      <c r="J175" s="263"/>
      <c r="K175" s="321"/>
      <c r="L175" s="263" t="s">
        <v>6</v>
      </c>
      <c r="M175" s="322" t="s">
        <v>63</v>
      </c>
      <c r="N175" s="323"/>
      <c r="O175" s="324">
        <v>46186</v>
      </c>
      <c r="P175" s="324">
        <v>46191</v>
      </c>
      <c r="Q175" s="324">
        <v>46191</v>
      </c>
      <c r="R175" s="324">
        <v>46191</v>
      </c>
      <c r="S175" s="324">
        <v>46191</v>
      </c>
      <c r="T175" s="324">
        <v>46199</v>
      </c>
      <c r="U175" s="324">
        <v>46202</v>
      </c>
      <c r="V175" s="324">
        <v>46205</v>
      </c>
      <c r="W175" s="324"/>
      <c r="X175" s="324">
        <v>46209</v>
      </c>
      <c r="Y175" s="324">
        <v>46209</v>
      </c>
      <c r="Z175" s="324">
        <v>46214</v>
      </c>
      <c r="AA175" s="324">
        <v>46224</v>
      </c>
      <c r="AB175" s="324">
        <v>46234</v>
      </c>
      <c r="AC175" s="324">
        <v>46241</v>
      </c>
      <c r="AD175" s="324">
        <v>46239</v>
      </c>
      <c r="AE175" s="324">
        <v>46241</v>
      </c>
      <c r="AF175" s="324">
        <v>46287</v>
      </c>
      <c r="AG175" s="324">
        <v>46294</v>
      </c>
      <c r="AH175" s="324">
        <v>46297</v>
      </c>
      <c r="AI175" s="324">
        <v>46311</v>
      </c>
      <c r="AJ175" s="324">
        <v>46327</v>
      </c>
      <c r="AK175" s="325">
        <v>12.8571428571429</v>
      </c>
      <c r="AL175" s="326">
        <f>AK175*7</f>
        <v>90.000000000000298</v>
      </c>
      <c r="AM175" s="324">
        <f>X175+AL175</f>
        <v>46299</v>
      </c>
      <c r="AN175" s="327">
        <f>AN176</f>
        <v>46299</v>
      </c>
      <c r="AO175" s="327"/>
      <c r="AP175" s="327"/>
      <c r="AQ175" s="327"/>
      <c r="AR175" s="319">
        <f>AN176-AM175</f>
        <v>0</v>
      </c>
      <c r="AS175" s="328" t="s">
        <v>64</v>
      </c>
      <c r="AT175" s="329" t="s">
        <v>65</v>
      </c>
      <c r="AU175" s="330">
        <v>46290</v>
      </c>
      <c r="AV175" s="331">
        <v>24</v>
      </c>
    </row>
    <row r="176" spans="1:48" s="270" customFormat="1" ht="25.05" hidden="1" customHeight="1">
      <c r="A176" s="375"/>
      <c r="B176" s="263" t="s">
        <v>229</v>
      </c>
      <c r="C176" s="432" t="s">
        <v>230</v>
      </c>
      <c r="D176" s="371"/>
      <c r="E176" s="317"/>
      <c r="F176" s="371"/>
      <c r="G176" s="319">
        <v>557.69000000000005</v>
      </c>
      <c r="H176" s="320" t="s">
        <v>227</v>
      </c>
      <c r="I176" s="319" t="s">
        <v>226</v>
      </c>
      <c r="J176" s="263" t="s">
        <v>67</v>
      </c>
      <c r="K176" s="263">
        <v>2</v>
      </c>
      <c r="L176" s="263" t="s">
        <v>6</v>
      </c>
      <c r="M176" s="322" t="s">
        <v>68</v>
      </c>
      <c r="N176" s="324">
        <v>46137</v>
      </c>
      <c r="O176" s="324"/>
      <c r="P176" s="324"/>
      <c r="Q176" s="324"/>
      <c r="R176" s="324"/>
      <c r="S176" s="324"/>
      <c r="T176" s="324"/>
      <c r="U176" s="324"/>
      <c r="V176" s="324"/>
      <c r="W176" s="324"/>
      <c r="X176" s="324"/>
      <c r="Y176" s="324"/>
      <c r="Z176" s="324"/>
      <c r="AA176" s="324">
        <v>46224</v>
      </c>
      <c r="AB176" s="324">
        <f>AA176+10</f>
        <v>46234</v>
      </c>
      <c r="AC176" s="324">
        <f>AB176+7</f>
        <v>46241</v>
      </c>
      <c r="AD176" s="324">
        <f>AB176+5</f>
        <v>46239</v>
      </c>
      <c r="AE176" s="324">
        <f>AD176+2</f>
        <v>46241</v>
      </c>
      <c r="AF176" s="324">
        <f>AG176-7</f>
        <v>46299</v>
      </c>
      <c r="AG176" s="324">
        <f>AH176-3</f>
        <v>46306</v>
      </c>
      <c r="AH176" s="324">
        <f>AM176</f>
        <v>46309</v>
      </c>
      <c r="AI176" s="324">
        <f>AM176+14</f>
        <v>46323</v>
      </c>
      <c r="AJ176" s="324">
        <f>AM176+30</f>
        <v>46339</v>
      </c>
      <c r="AK176" s="325">
        <v>12.8571428571429</v>
      </c>
      <c r="AL176" s="326">
        <f>AK176*7</f>
        <v>90.000000000000298</v>
      </c>
      <c r="AM176" s="324">
        <f>IF(X176&lt;&gt;"",X176+AL176,X177+AL176)</f>
        <v>46309</v>
      </c>
      <c r="AN176" s="327">
        <f>AU176-6</f>
        <v>46299</v>
      </c>
      <c r="AO176" s="327">
        <f>AP176-3</f>
        <v>46288</v>
      </c>
      <c r="AP176" s="327">
        <v>46291</v>
      </c>
      <c r="AQ176" s="327" t="s">
        <v>231</v>
      </c>
      <c r="AR176" s="319">
        <f>AN176-AM176</f>
        <v>-10</v>
      </c>
      <c r="AS176" s="332" t="str">
        <f>AS175</f>
        <v>Long Lead</v>
      </c>
      <c r="AT176" s="329" t="s">
        <v>69</v>
      </c>
      <c r="AU176" s="330">
        <f>AU173+30</f>
        <v>46305</v>
      </c>
      <c r="AV176" s="271"/>
    </row>
    <row r="177" spans="1:48" s="270" customFormat="1" ht="24.75" hidden="1" customHeight="1">
      <c r="A177" s="376"/>
      <c r="B177" s="334" t="s">
        <v>229</v>
      </c>
      <c r="C177" s="436" t="s">
        <v>230</v>
      </c>
      <c r="D177" s="372"/>
      <c r="E177" s="336"/>
      <c r="F177" s="372"/>
      <c r="G177" s="338">
        <v>557.69000000000005</v>
      </c>
      <c r="H177" s="339"/>
      <c r="I177" s="338" t="s">
        <v>4994</v>
      </c>
      <c r="J177" s="334" t="s">
        <v>67</v>
      </c>
      <c r="K177" s="263">
        <v>2</v>
      </c>
      <c r="L177" s="334" t="s">
        <v>6</v>
      </c>
      <c r="M177" s="340" t="s">
        <v>70</v>
      </c>
      <c r="N177" s="341">
        <v>46137</v>
      </c>
      <c r="O177" s="341">
        <v>46162</v>
      </c>
      <c r="P177" s="341">
        <v>46175</v>
      </c>
      <c r="Q177" s="341">
        <v>46175</v>
      </c>
      <c r="R177" s="341">
        <v>46179</v>
      </c>
      <c r="S177" s="341">
        <v>46179</v>
      </c>
      <c r="T177" s="341">
        <v>46179</v>
      </c>
      <c r="U177" s="341">
        <v>46213</v>
      </c>
      <c r="V177" s="341">
        <v>46217</v>
      </c>
      <c r="W177" s="341">
        <v>46219</v>
      </c>
      <c r="X177" s="341">
        <v>46219</v>
      </c>
      <c r="Y177" s="341">
        <f>X177</f>
        <v>46219</v>
      </c>
      <c r="Z177" s="341">
        <v>46202</v>
      </c>
      <c r="AA177" s="341"/>
      <c r="AB177" s="341"/>
      <c r="AC177" s="341"/>
      <c r="AD177" s="341"/>
      <c r="AE177" s="341"/>
      <c r="AF177" s="341"/>
      <c r="AG177" s="341"/>
      <c r="AH177" s="341"/>
      <c r="AI177" s="341"/>
      <c r="AJ177" s="341"/>
      <c r="AK177" s="342"/>
      <c r="AL177" s="343"/>
      <c r="AM177" s="341"/>
      <c r="AN177" s="344"/>
      <c r="AO177" s="344"/>
      <c r="AP177" s="344"/>
      <c r="AQ177" s="344"/>
      <c r="AR177" s="338"/>
      <c r="AS177" s="345" t="str">
        <f>AS175</f>
        <v>Long Lead</v>
      </c>
      <c r="AT177" s="346"/>
      <c r="AU177" s="345"/>
    </row>
    <row r="178" spans="1:48" s="272" customFormat="1" ht="25.05" hidden="1" customHeight="1">
      <c r="A178" s="315">
        <v>57</v>
      </c>
      <c r="B178" s="263" t="s">
        <v>232</v>
      </c>
      <c r="C178" s="432" t="s">
        <v>233</v>
      </c>
      <c r="D178" s="369"/>
      <c r="E178" s="317"/>
      <c r="F178" s="370"/>
      <c r="G178" s="319">
        <v>191.8</v>
      </c>
      <c r="H178" s="320">
        <v>3</v>
      </c>
      <c r="I178" s="319" t="s">
        <v>226</v>
      </c>
      <c r="J178" s="263"/>
      <c r="K178" s="321"/>
      <c r="L178" s="263" t="s">
        <v>6</v>
      </c>
      <c r="M178" s="322" t="s">
        <v>63</v>
      </c>
      <c r="N178" s="323"/>
      <c r="O178" s="324">
        <v>46188</v>
      </c>
      <c r="P178" s="324">
        <v>46195</v>
      </c>
      <c r="Q178" s="324">
        <v>46195</v>
      </c>
      <c r="R178" s="324">
        <v>46195</v>
      </c>
      <c r="S178" s="324">
        <v>46193</v>
      </c>
      <c r="T178" s="324">
        <v>46202</v>
      </c>
      <c r="U178" s="324">
        <v>46204</v>
      </c>
      <c r="V178" s="324">
        <v>46207</v>
      </c>
      <c r="W178" s="324"/>
      <c r="X178" s="324">
        <v>46209</v>
      </c>
      <c r="Y178" s="324">
        <v>46211</v>
      </c>
      <c r="Z178" s="324">
        <v>46216</v>
      </c>
      <c r="AA178" s="324">
        <v>46226</v>
      </c>
      <c r="AB178" s="324">
        <v>46237</v>
      </c>
      <c r="AC178" s="324">
        <v>46243</v>
      </c>
      <c r="AD178" s="324">
        <v>46241</v>
      </c>
      <c r="AE178" s="324">
        <v>46243</v>
      </c>
      <c r="AF178" s="324">
        <v>46289</v>
      </c>
      <c r="AG178" s="324">
        <v>46296</v>
      </c>
      <c r="AH178" s="324">
        <v>46299</v>
      </c>
      <c r="AI178" s="324">
        <v>46313</v>
      </c>
      <c r="AJ178" s="324">
        <v>46329</v>
      </c>
      <c r="AK178" s="325">
        <v>12.8571428571429</v>
      </c>
      <c r="AL178" s="326">
        <f>AK178*7</f>
        <v>90.000000000000298</v>
      </c>
      <c r="AM178" s="324">
        <f>X178+AL178</f>
        <v>46299</v>
      </c>
      <c r="AN178" s="327">
        <f>AN179</f>
        <v>46300</v>
      </c>
      <c r="AO178" s="327"/>
      <c r="AP178" s="327"/>
      <c r="AQ178" s="327"/>
      <c r="AR178" s="319">
        <f>AN179-AM178</f>
        <v>1</v>
      </c>
      <c r="AS178" s="328"/>
      <c r="AT178" s="329" t="s">
        <v>65</v>
      </c>
      <c r="AU178" s="330">
        <v>46307</v>
      </c>
      <c r="AV178" s="331">
        <v>50</v>
      </c>
    </row>
    <row r="179" spans="1:48" s="270" customFormat="1" ht="25.05" hidden="1" customHeight="1">
      <c r="A179" s="375"/>
      <c r="B179" s="263" t="s">
        <v>232</v>
      </c>
      <c r="C179" s="432" t="str">
        <f>C178</f>
        <v>Secondary Steel – Beam for topside (W-Type)</v>
      </c>
      <c r="D179" s="371"/>
      <c r="E179" s="317"/>
      <c r="F179" s="371"/>
      <c r="G179" s="319">
        <f>G178</f>
        <v>191.8</v>
      </c>
      <c r="H179" s="320" t="s">
        <v>234</v>
      </c>
      <c r="I179" s="319" t="s">
        <v>226</v>
      </c>
      <c r="J179" s="263" t="s">
        <v>67</v>
      </c>
      <c r="K179" s="263">
        <v>2</v>
      </c>
      <c r="L179" s="263" t="s">
        <v>6</v>
      </c>
      <c r="M179" s="322" t="s">
        <v>68</v>
      </c>
      <c r="N179" s="324">
        <v>46137</v>
      </c>
      <c r="O179" s="324"/>
      <c r="P179" s="324"/>
      <c r="Q179" s="324"/>
      <c r="R179" s="324"/>
      <c r="S179" s="324"/>
      <c r="T179" s="324"/>
      <c r="U179" s="324">
        <v>46204</v>
      </c>
      <c r="V179" s="324">
        <f>U179+3</f>
        <v>46207</v>
      </c>
      <c r="W179" s="324"/>
      <c r="X179" s="324">
        <f>V179+2</f>
        <v>46209</v>
      </c>
      <c r="Y179" s="324">
        <f>X179+2</f>
        <v>46211</v>
      </c>
      <c r="Z179" s="324">
        <f>Y179+5</f>
        <v>46216</v>
      </c>
      <c r="AA179" s="324">
        <f>Z179+10</f>
        <v>46226</v>
      </c>
      <c r="AB179" s="324">
        <f>AA179+10</f>
        <v>46236</v>
      </c>
      <c r="AC179" s="324">
        <f>AB179+7</f>
        <v>46243</v>
      </c>
      <c r="AD179" s="324">
        <f>AB179+5</f>
        <v>46241</v>
      </c>
      <c r="AE179" s="324">
        <f>AD179+2</f>
        <v>46243</v>
      </c>
      <c r="AF179" s="324">
        <f>AG179-7</f>
        <v>46289</v>
      </c>
      <c r="AG179" s="324">
        <f>AH179-3</f>
        <v>46296</v>
      </c>
      <c r="AH179" s="324">
        <f>AM179</f>
        <v>46299</v>
      </c>
      <c r="AI179" s="324">
        <f>AM179+14</f>
        <v>46313</v>
      </c>
      <c r="AJ179" s="324">
        <f>AM179+30</f>
        <v>46329</v>
      </c>
      <c r="AK179" s="325">
        <v>12.8571428571429</v>
      </c>
      <c r="AL179" s="326">
        <f>AK179*7</f>
        <v>90.000000000000298</v>
      </c>
      <c r="AM179" s="324">
        <f>IF(X179&lt;&gt;"",X179+AL179,X180+AL179)</f>
        <v>46299</v>
      </c>
      <c r="AN179" s="327">
        <f>AU178-7</f>
        <v>46300</v>
      </c>
      <c r="AO179" s="327">
        <f>AP179-3</f>
        <v>46292</v>
      </c>
      <c r="AP179" s="327">
        <v>46295</v>
      </c>
      <c r="AQ179" s="327" t="s">
        <v>231</v>
      </c>
      <c r="AR179" s="319">
        <f>AN179-AM179</f>
        <v>1</v>
      </c>
      <c r="AS179" s="328"/>
      <c r="AT179" s="329" t="s">
        <v>69</v>
      </c>
      <c r="AU179" s="330">
        <v>46318</v>
      </c>
      <c r="AV179" s="271"/>
    </row>
    <row r="180" spans="1:48" s="270" customFormat="1" ht="25.05" hidden="1" customHeight="1">
      <c r="A180" s="376"/>
      <c r="B180" s="334" t="s">
        <v>232</v>
      </c>
      <c r="C180" s="436" t="str">
        <f>C179</f>
        <v>Secondary Steel – Beam for topside (W-Type)</v>
      </c>
      <c r="D180" s="372"/>
      <c r="E180" s="336"/>
      <c r="F180" s="372"/>
      <c r="G180" s="338">
        <f>G178</f>
        <v>191.8</v>
      </c>
      <c r="H180" s="339"/>
      <c r="I180" s="338" t="s">
        <v>226</v>
      </c>
      <c r="J180" s="334" t="s">
        <v>67</v>
      </c>
      <c r="K180" s="263">
        <v>2</v>
      </c>
      <c r="L180" s="334" t="s">
        <v>6</v>
      </c>
      <c r="M180" s="340" t="s">
        <v>70</v>
      </c>
      <c r="N180" s="341">
        <v>46137</v>
      </c>
      <c r="O180" s="341">
        <v>46204</v>
      </c>
      <c r="P180" s="341">
        <v>46216</v>
      </c>
      <c r="Q180" s="341">
        <v>46216</v>
      </c>
      <c r="R180" s="341">
        <f>Q180</f>
        <v>46216</v>
      </c>
      <c r="S180" s="341">
        <f>R180</f>
        <v>46216</v>
      </c>
      <c r="T180" s="341">
        <f>S180+2</f>
        <v>46218</v>
      </c>
      <c r="U180" s="341"/>
      <c r="V180" s="341"/>
      <c r="W180" s="341"/>
      <c r="X180" s="338"/>
      <c r="Y180" s="341"/>
      <c r="Z180" s="341">
        <v>46202</v>
      </c>
      <c r="AA180" s="341"/>
      <c r="AB180" s="341"/>
      <c r="AC180" s="341"/>
      <c r="AD180" s="341"/>
      <c r="AE180" s="341"/>
      <c r="AF180" s="341"/>
      <c r="AG180" s="341"/>
      <c r="AH180" s="341"/>
      <c r="AI180" s="341"/>
      <c r="AJ180" s="341"/>
      <c r="AK180" s="342"/>
      <c r="AL180" s="343"/>
      <c r="AM180" s="341"/>
      <c r="AN180" s="344"/>
      <c r="AO180" s="344"/>
      <c r="AP180" s="344"/>
      <c r="AQ180" s="344"/>
      <c r="AR180" s="338"/>
      <c r="AS180" s="345"/>
      <c r="AT180" s="346"/>
      <c r="AU180" s="345"/>
    </row>
    <row r="181" spans="1:48" s="272" customFormat="1" ht="25.05" hidden="1" customHeight="1">
      <c r="A181" s="315">
        <v>102</v>
      </c>
      <c r="B181" s="263" t="s">
        <v>235</v>
      </c>
      <c r="C181" s="432" t="s">
        <v>236</v>
      </c>
      <c r="D181" s="369"/>
      <c r="E181" s="317"/>
      <c r="F181" s="370"/>
      <c r="G181" s="319"/>
      <c r="H181" s="320">
        <v>4</v>
      </c>
      <c r="I181" s="319" t="s">
        <v>226</v>
      </c>
      <c r="J181" s="263"/>
      <c r="K181" s="321"/>
      <c r="L181" s="263" t="s">
        <v>6</v>
      </c>
      <c r="M181" s="322" t="s">
        <v>63</v>
      </c>
      <c r="N181" s="323"/>
      <c r="O181" s="324">
        <v>46188</v>
      </c>
      <c r="P181" s="324">
        <v>46195</v>
      </c>
      <c r="Q181" s="324">
        <v>46195</v>
      </c>
      <c r="R181" s="324">
        <v>46195</v>
      </c>
      <c r="S181" s="324">
        <v>46193</v>
      </c>
      <c r="T181" s="324">
        <v>46202</v>
      </c>
      <c r="U181" s="324">
        <v>46204</v>
      </c>
      <c r="V181" s="324">
        <v>46207</v>
      </c>
      <c r="W181" s="324"/>
      <c r="X181" s="324">
        <v>46209</v>
      </c>
      <c r="Y181" s="324">
        <v>46211</v>
      </c>
      <c r="Z181" s="324">
        <v>46216</v>
      </c>
      <c r="AA181" s="324">
        <v>46226</v>
      </c>
      <c r="AB181" s="324">
        <v>46237</v>
      </c>
      <c r="AC181" s="324">
        <v>46243</v>
      </c>
      <c r="AD181" s="324">
        <v>46241</v>
      </c>
      <c r="AE181" s="324">
        <v>46243</v>
      </c>
      <c r="AF181" s="324">
        <v>46289</v>
      </c>
      <c r="AG181" s="324">
        <v>46296</v>
      </c>
      <c r="AH181" s="324">
        <v>46299</v>
      </c>
      <c r="AI181" s="324">
        <v>46313</v>
      </c>
      <c r="AJ181" s="324">
        <v>46329</v>
      </c>
      <c r="AK181" s="325">
        <v>12.8571428571429</v>
      </c>
      <c r="AL181" s="326">
        <f>AK181*7</f>
        <v>90.000000000000298</v>
      </c>
      <c r="AM181" s="324">
        <f>X181+AL181</f>
        <v>46299</v>
      </c>
      <c r="AN181" s="327">
        <f>AN182</f>
        <v>46300</v>
      </c>
      <c r="AO181" s="327"/>
      <c r="AP181" s="327"/>
      <c r="AQ181" s="327"/>
      <c r="AR181" s="319">
        <f>AN182-AM181</f>
        <v>1</v>
      </c>
      <c r="AS181" s="328"/>
      <c r="AT181" s="329" t="s">
        <v>65</v>
      </c>
      <c r="AU181" s="330">
        <v>46307</v>
      </c>
      <c r="AV181" s="331">
        <v>53</v>
      </c>
    </row>
    <row r="182" spans="1:48" s="270" customFormat="1" ht="25.05" hidden="1" customHeight="1">
      <c r="A182" s="375"/>
      <c r="B182" s="263" t="s">
        <v>235</v>
      </c>
      <c r="C182" s="432" t="s">
        <v>236</v>
      </c>
      <c r="D182" s="371"/>
      <c r="E182" s="317"/>
      <c r="F182" s="371"/>
      <c r="G182" s="319">
        <f>G181</f>
        <v>0</v>
      </c>
      <c r="H182" s="320" t="s">
        <v>234</v>
      </c>
      <c r="I182" s="319" t="s">
        <v>226</v>
      </c>
      <c r="J182" s="263" t="s">
        <v>67</v>
      </c>
      <c r="K182" s="263">
        <v>2</v>
      </c>
      <c r="L182" s="263" t="s">
        <v>6</v>
      </c>
      <c r="M182" s="322" t="s">
        <v>68</v>
      </c>
      <c r="N182" s="324">
        <v>46137</v>
      </c>
      <c r="O182" s="324"/>
      <c r="P182" s="324"/>
      <c r="Q182" s="324"/>
      <c r="R182" s="324"/>
      <c r="S182" s="324"/>
      <c r="T182" s="324"/>
      <c r="U182" s="324">
        <v>46204</v>
      </c>
      <c r="V182" s="324">
        <f>U182+3</f>
        <v>46207</v>
      </c>
      <c r="W182" s="324"/>
      <c r="X182" s="324">
        <f>V182+2</f>
        <v>46209</v>
      </c>
      <c r="Y182" s="324">
        <f>X182+2</f>
        <v>46211</v>
      </c>
      <c r="Z182" s="324">
        <f>Y182+5</f>
        <v>46216</v>
      </c>
      <c r="AA182" s="324">
        <f>Z182+10</f>
        <v>46226</v>
      </c>
      <c r="AB182" s="324">
        <f>AA182+10</f>
        <v>46236</v>
      </c>
      <c r="AC182" s="324">
        <f>AB182+7</f>
        <v>46243</v>
      </c>
      <c r="AD182" s="324">
        <f>AB182+5</f>
        <v>46241</v>
      </c>
      <c r="AE182" s="324">
        <f>AD182+2</f>
        <v>46243</v>
      </c>
      <c r="AF182" s="324">
        <f>AG182-7</f>
        <v>46289</v>
      </c>
      <c r="AG182" s="324">
        <f>AH182-3</f>
        <v>46296</v>
      </c>
      <c r="AH182" s="324">
        <f>AM182</f>
        <v>46299</v>
      </c>
      <c r="AI182" s="324">
        <f>AM182+14</f>
        <v>46313</v>
      </c>
      <c r="AJ182" s="324">
        <f>AM182+30</f>
        <v>46329</v>
      </c>
      <c r="AK182" s="325">
        <v>12.8571428571429</v>
      </c>
      <c r="AL182" s="326">
        <f>AK182*7</f>
        <v>90.000000000000298</v>
      </c>
      <c r="AM182" s="324">
        <f>IF(X182&lt;&gt;"",X182+AL182,X183+AL182)</f>
        <v>46299</v>
      </c>
      <c r="AN182" s="327">
        <f>AU181-7</f>
        <v>46300</v>
      </c>
      <c r="AO182" s="327">
        <f>AP182-3</f>
        <v>46292</v>
      </c>
      <c r="AP182" s="327">
        <v>46295</v>
      </c>
      <c r="AQ182" s="327" t="s">
        <v>231</v>
      </c>
      <c r="AR182" s="319">
        <f>AN182-AM182</f>
        <v>1</v>
      </c>
      <c r="AS182" s="328"/>
      <c r="AT182" s="329" t="s">
        <v>69</v>
      </c>
      <c r="AU182" s="330">
        <v>46318</v>
      </c>
      <c r="AV182" s="271"/>
    </row>
    <row r="183" spans="1:48" s="270" customFormat="1" ht="25.05" hidden="1" customHeight="1">
      <c r="A183" s="376"/>
      <c r="B183" s="334" t="s">
        <v>235</v>
      </c>
      <c r="C183" s="436" t="s">
        <v>236</v>
      </c>
      <c r="D183" s="372"/>
      <c r="E183" s="336"/>
      <c r="F183" s="372"/>
      <c r="G183" s="338">
        <f>G181</f>
        <v>0</v>
      </c>
      <c r="H183" s="339"/>
      <c r="I183" s="338" t="s">
        <v>226</v>
      </c>
      <c r="J183" s="334" t="s">
        <v>67</v>
      </c>
      <c r="K183" s="263">
        <v>2</v>
      </c>
      <c r="L183" s="334" t="s">
        <v>6</v>
      </c>
      <c r="M183" s="340" t="s">
        <v>70</v>
      </c>
      <c r="N183" s="341">
        <v>46137</v>
      </c>
      <c r="O183" s="341">
        <v>46204</v>
      </c>
      <c r="P183" s="341">
        <v>46216</v>
      </c>
      <c r="Q183" s="341">
        <v>46216</v>
      </c>
      <c r="R183" s="341">
        <v>46216</v>
      </c>
      <c r="S183" s="341">
        <v>46216</v>
      </c>
      <c r="T183" s="341">
        <v>46218</v>
      </c>
      <c r="U183" s="341"/>
      <c r="V183" s="341"/>
      <c r="W183" s="341"/>
      <c r="X183" s="338"/>
      <c r="Y183" s="341"/>
      <c r="Z183" s="341"/>
      <c r="AA183" s="341"/>
      <c r="AB183" s="341"/>
      <c r="AC183" s="341"/>
      <c r="AD183" s="341"/>
      <c r="AE183" s="341"/>
      <c r="AF183" s="341"/>
      <c r="AG183" s="341"/>
      <c r="AH183" s="341"/>
      <c r="AI183" s="341"/>
      <c r="AJ183" s="341"/>
      <c r="AK183" s="342"/>
      <c r="AL183" s="343"/>
      <c r="AM183" s="324"/>
      <c r="AN183" s="344"/>
      <c r="AO183" s="344"/>
      <c r="AP183" s="344"/>
      <c r="AQ183" s="344"/>
      <c r="AR183" s="338"/>
      <c r="AS183" s="345"/>
      <c r="AT183" s="346"/>
      <c r="AU183" s="345"/>
    </row>
    <row r="184" spans="1:48" s="270" customFormat="1" ht="25.05" hidden="1" customHeight="1">
      <c r="A184" s="315">
        <v>58</v>
      </c>
      <c r="B184" s="263" t="s">
        <v>237</v>
      </c>
      <c r="C184" s="432" t="s">
        <v>238</v>
      </c>
      <c r="D184" s="369"/>
      <c r="E184" s="317"/>
      <c r="F184" s="370"/>
      <c r="G184" s="319"/>
      <c r="H184" s="320"/>
      <c r="I184" s="319" t="s">
        <v>226</v>
      </c>
      <c r="J184" s="263"/>
      <c r="K184" s="321"/>
      <c r="L184" s="263" t="s">
        <v>6</v>
      </c>
      <c r="M184" s="322" t="s">
        <v>63</v>
      </c>
      <c r="N184" s="323"/>
      <c r="O184" s="324">
        <v>46208</v>
      </c>
      <c r="P184" s="324">
        <v>46220</v>
      </c>
      <c r="Q184" s="324">
        <v>46220</v>
      </c>
      <c r="R184" s="324">
        <v>46220</v>
      </c>
      <c r="S184" s="324">
        <v>46220</v>
      </c>
      <c r="T184" s="324">
        <v>46223</v>
      </c>
      <c r="U184" s="324">
        <v>46224</v>
      </c>
      <c r="V184" s="324">
        <v>46227</v>
      </c>
      <c r="W184" s="324"/>
      <c r="X184" s="324">
        <v>46230</v>
      </c>
      <c r="Y184" s="324">
        <v>46231</v>
      </c>
      <c r="Z184" s="324">
        <v>46236</v>
      </c>
      <c r="AA184" s="324">
        <v>46246</v>
      </c>
      <c r="AB184" s="324">
        <v>46258</v>
      </c>
      <c r="AC184" s="324">
        <v>46263</v>
      </c>
      <c r="AD184" s="324">
        <v>46261</v>
      </c>
      <c r="AE184" s="324">
        <v>46263</v>
      </c>
      <c r="AF184" s="324">
        <v>46309</v>
      </c>
      <c r="AG184" s="324">
        <v>46316</v>
      </c>
      <c r="AH184" s="324">
        <v>46319</v>
      </c>
      <c r="AI184" s="324">
        <v>46333</v>
      </c>
      <c r="AJ184" s="324">
        <v>46349</v>
      </c>
      <c r="AK184" s="325">
        <v>12.8571428571429</v>
      </c>
      <c r="AL184" s="326">
        <f>AK184*7</f>
        <v>90.000000000000298</v>
      </c>
      <c r="AM184" s="324">
        <f>X184+AL184</f>
        <v>46320</v>
      </c>
      <c r="AN184" s="327">
        <f>AN185</f>
        <v>46322</v>
      </c>
      <c r="AO184" s="327"/>
      <c r="AP184" s="327"/>
      <c r="AQ184" s="327"/>
      <c r="AR184" s="319">
        <f>AN185-AM184</f>
        <v>2</v>
      </c>
      <c r="AS184" s="328"/>
      <c r="AT184" s="329" t="s">
        <v>65</v>
      </c>
      <c r="AU184" s="330">
        <v>46329</v>
      </c>
      <c r="AV184" s="331">
        <v>24</v>
      </c>
    </row>
    <row r="185" spans="1:48" s="270" customFormat="1" ht="25.05" hidden="1" customHeight="1">
      <c r="A185" s="375"/>
      <c r="B185" s="263" t="s">
        <v>237</v>
      </c>
      <c r="C185" s="432" t="s">
        <v>238</v>
      </c>
      <c r="D185" s="371"/>
      <c r="E185" s="317"/>
      <c r="F185" s="371"/>
      <c r="G185" s="319">
        <f>G184</f>
        <v>0</v>
      </c>
      <c r="H185" s="320" t="s">
        <v>234</v>
      </c>
      <c r="I185" s="319" t="s">
        <v>226</v>
      </c>
      <c r="J185" s="263" t="s">
        <v>67</v>
      </c>
      <c r="K185" s="263">
        <v>3</v>
      </c>
      <c r="L185" s="263" t="s">
        <v>6</v>
      </c>
      <c r="M185" s="322" t="s">
        <v>68</v>
      </c>
      <c r="N185" s="324" t="e">
        <f>#REF!</f>
        <v>#REF!</v>
      </c>
      <c r="O185" s="324">
        <v>46208</v>
      </c>
      <c r="P185" s="324">
        <f>WORKDAY.INTL(O185,INDEX(P$8:P$11,MATCH($L185,$L$8:$L$11,0)),1,IF(P$18="China",'China Holidays'!$A$2:$A$82,'Thai Holidays'!$A$2:$A$63))</f>
        <v>46220</v>
      </c>
      <c r="Q185" s="324">
        <f>WORKDAY.INTL(P185,INDEX(Q$8:Q$11,MATCH($L185,$L$8:$L$11,0)),1,IF(Q$18="China",'China Holidays'!$A$2:$A$82,'Thai Holidays'!$A$2:$A$63))</f>
        <v>46220</v>
      </c>
      <c r="R185" s="324">
        <f>WORKDAY.INTL(Q185,INDEX(R$8:R$11,MATCH($L185,$L$8:$L$11,0)),1,IF(R$18="China",'China Holidays'!$A$2:$A$82,'Thai Holidays'!$A$2:$A$63))</f>
        <v>46220</v>
      </c>
      <c r="S185" s="324">
        <f>WORKDAY.INTL(R185,INDEX(S$8:S$11,MATCH($L185,$L$8:$L$11,0)),1,IF(S$18="China",'China Holidays'!$A$2:$A$82,'Thai Holidays'!$A$2:$A$63))</f>
        <v>46220</v>
      </c>
      <c r="T185" s="324">
        <f>O185+14</f>
        <v>46222</v>
      </c>
      <c r="U185" s="324">
        <f>T185+2</f>
        <v>46224</v>
      </c>
      <c r="V185" s="324">
        <f>U185+3</f>
        <v>46227</v>
      </c>
      <c r="W185" s="324"/>
      <c r="X185" s="324">
        <f>V185+2</f>
        <v>46229</v>
      </c>
      <c r="Y185" s="324">
        <f>X185+2</f>
        <v>46231</v>
      </c>
      <c r="Z185" s="324">
        <f>Y185+5</f>
        <v>46236</v>
      </c>
      <c r="AA185" s="324">
        <f>Z185+10</f>
        <v>46246</v>
      </c>
      <c r="AB185" s="324">
        <f>AA185+10</f>
        <v>46256</v>
      </c>
      <c r="AC185" s="324">
        <f>AB185+7</f>
        <v>46263</v>
      </c>
      <c r="AD185" s="324">
        <f>AB185+5</f>
        <v>46261</v>
      </c>
      <c r="AE185" s="324">
        <f>AD185+2</f>
        <v>46263</v>
      </c>
      <c r="AF185" s="324">
        <f>AG185-7</f>
        <v>46309</v>
      </c>
      <c r="AG185" s="324">
        <f>AH185-3</f>
        <v>46316</v>
      </c>
      <c r="AH185" s="324">
        <f>AM185</f>
        <v>46319</v>
      </c>
      <c r="AI185" s="324">
        <f>AM185+14</f>
        <v>46333</v>
      </c>
      <c r="AJ185" s="324">
        <f>AM185+30</f>
        <v>46349</v>
      </c>
      <c r="AK185" s="325">
        <v>12.8571428571429</v>
      </c>
      <c r="AL185" s="326">
        <f>AK185*7</f>
        <v>90.000000000000298</v>
      </c>
      <c r="AM185" s="324">
        <f>IF(X185&lt;&gt;"",X185+AL185,X186+AL185)</f>
        <v>46319</v>
      </c>
      <c r="AN185" s="327">
        <f>AU184-7</f>
        <v>46322</v>
      </c>
      <c r="AO185" s="327">
        <f>AP185-3</f>
        <v>46332</v>
      </c>
      <c r="AP185" s="327">
        <v>46335</v>
      </c>
      <c r="AQ185" s="327"/>
      <c r="AR185" s="319">
        <f>AN185-AM185</f>
        <v>3</v>
      </c>
      <c r="AS185" s="328"/>
      <c r="AT185" s="329" t="s">
        <v>69</v>
      </c>
      <c r="AU185" s="330">
        <v>46365</v>
      </c>
      <c r="AV185" s="271"/>
    </row>
    <row r="186" spans="1:48" s="270" customFormat="1" ht="25.05" hidden="1" customHeight="1">
      <c r="A186" s="376"/>
      <c r="B186" s="334" t="s">
        <v>237</v>
      </c>
      <c r="C186" s="436" t="s">
        <v>238</v>
      </c>
      <c r="D186" s="372"/>
      <c r="E186" s="336"/>
      <c r="F186" s="372"/>
      <c r="G186" s="338">
        <f>G184</f>
        <v>0</v>
      </c>
      <c r="H186" s="339"/>
      <c r="I186" s="338" t="s">
        <v>226</v>
      </c>
      <c r="J186" s="334" t="s">
        <v>67</v>
      </c>
      <c r="K186" s="263">
        <v>3</v>
      </c>
      <c r="L186" s="334" t="s">
        <v>6</v>
      </c>
      <c r="M186" s="340" t="s">
        <v>70</v>
      </c>
      <c r="N186" s="338"/>
      <c r="O186" s="341"/>
      <c r="P186" s="341"/>
      <c r="Q186" s="341"/>
      <c r="R186" s="341"/>
      <c r="S186" s="341"/>
      <c r="T186" s="341"/>
      <c r="U186" s="341"/>
      <c r="V186" s="341"/>
      <c r="W186" s="341"/>
      <c r="X186" s="338"/>
      <c r="Y186" s="341"/>
      <c r="Z186" s="341"/>
      <c r="AA186" s="341"/>
      <c r="AB186" s="341"/>
      <c r="AC186" s="341"/>
      <c r="AD186" s="341"/>
      <c r="AE186" s="341"/>
      <c r="AF186" s="341"/>
      <c r="AG186" s="341"/>
      <c r="AH186" s="341"/>
      <c r="AI186" s="341"/>
      <c r="AJ186" s="341"/>
      <c r="AK186" s="342"/>
      <c r="AL186" s="343"/>
      <c r="AM186" s="341"/>
      <c r="AN186" s="344"/>
      <c r="AO186" s="344"/>
      <c r="AP186" s="344"/>
      <c r="AQ186" s="344"/>
      <c r="AR186" s="338"/>
      <c r="AS186" s="345"/>
      <c r="AT186" s="346"/>
      <c r="AU186" s="345"/>
    </row>
    <row r="187" spans="1:48" s="270" customFormat="1" ht="25.05" hidden="1" customHeight="1">
      <c r="A187" s="315">
        <v>59</v>
      </c>
      <c r="B187" s="263" t="s">
        <v>239</v>
      </c>
      <c r="C187" s="432" t="s">
        <v>240</v>
      </c>
      <c r="D187" s="369"/>
      <c r="E187" s="317"/>
      <c r="F187" s="370"/>
      <c r="G187" s="319">
        <v>20.399999999999999</v>
      </c>
      <c r="H187" s="320"/>
      <c r="I187" s="319" t="s">
        <v>226</v>
      </c>
      <c r="J187" s="263"/>
      <c r="K187" s="321"/>
      <c r="L187" s="263" t="s">
        <v>6</v>
      </c>
      <c r="M187" s="322" t="s">
        <v>63</v>
      </c>
      <c r="N187" s="323"/>
      <c r="O187" s="324">
        <v>46212</v>
      </c>
      <c r="P187" s="324">
        <v>46226</v>
      </c>
      <c r="Q187" s="324">
        <v>46226</v>
      </c>
      <c r="R187" s="324">
        <v>46226</v>
      </c>
      <c r="S187" s="324">
        <v>46226</v>
      </c>
      <c r="T187" s="324">
        <v>46226</v>
      </c>
      <c r="U187" s="324">
        <v>46230</v>
      </c>
      <c r="V187" s="324">
        <v>46231</v>
      </c>
      <c r="W187" s="324"/>
      <c r="X187" s="324">
        <v>46233</v>
      </c>
      <c r="Y187" s="324">
        <v>46234</v>
      </c>
      <c r="Z187" s="324">
        <v>46239</v>
      </c>
      <c r="AA187" s="324">
        <v>46247</v>
      </c>
      <c r="AB187" s="324">
        <v>46258</v>
      </c>
      <c r="AC187" s="324">
        <v>46264</v>
      </c>
      <c r="AD187" s="324">
        <v>46264</v>
      </c>
      <c r="AE187" s="324">
        <v>46269</v>
      </c>
      <c r="AF187" s="324">
        <v>46279</v>
      </c>
      <c r="AG187" s="324">
        <v>46286</v>
      </c>
      <c r="AH187" s="324">
        <v>46289</v>
      </c>
      <c r="AI187" s="324">
        <v>46303</v>
      </c>
      <c r="AJ187" s="324">
        <v>46319</v>
      </c>
      <c r="AK187" s="325">
        <v>8</v>
      </c>
      <c r="AL187" s="326">
        <f>AK187*7</f>
        <v>56</v>
      </c>
      <c r="AM187" s="324">
        <f>X187+AL187</f>
        <v>46289</v>
      </c>
      <c r="AN187" s="327">
        <f>AN188</f>
        <v>46311</v>
      </c>
      <c r="AO187" s="327"/>
      <c r="AP187" s="327"/>
      <c r="AQ187" s="327"/>
      <c r="AR187" s="319">
        <f>AN188-AM187</f>
        <v>22</v>
      </c>
      <c r="AS187" s="328" t="s">
        <v>64</v>
      </c>
      <c r="AT187" s="329" t="s">
        <v>65</v>
      </c>
      <c r="AU187" s="330">
        <v>46318</v>
      </c>
      <c r="AV187" s="331">
        <v>147</v>
      </c>
    </row>
    <row r="188" spans="1:48" s="270" customFormat="1" ht="25.05" hidden="1" customHeight="1">
      <c r="A188" s="375"/>
      <c r="B188" s="263" t="s">
        <v>239</v>
      </c>
      <c r="C188" s="432" t="s">
        <v>240</v>
      </c>
      <c r="D188" s="371"/>
      <c r="E188" s="317"/>
      <c r="F188" s="371"/>
      <c r="G188" s="319">
        <f>G187</f>
        <v>20.399999999999999</v>
      </c>
      <c r="H188" s="320" t="s">
        <v>227</v>
      </c>
      <c r="I188" s="319" t="s">
        <v>226</v>
      </c>
      <c r="J188" s="263" t="s">
        <v>67</v>
      </c>
      <c r="K188" s="263">
        <v>2</v>
      </c>
      <c r="L188" s="263" t="s">
        <v>6</v>
      </c>
      <c r="M188" s="322" t="s">
        <v>68</v>
      </c>
      <c r="N188" s="324"/>
      <c r="O188" s="324"/>
      <c r="P188" s="324"/>
      <c r="Q188" s="324"/>
      <c r="R188" s="324"/>
      <c r="S188" s="324"/>
      <c r="T188" s="324"/>
      <c r="U188" s="324"/>
      <c r="V188" s="324"/>
      <c r="W188" s="324"/>
      <c r="X188" s="324"/>
      <c r="Y188" s="324"/>
      <c r="Z188" s="324">
        <v>46244</v>
      </c>
      <c r="AA188" s="324">
        <f>AB188-10</f>
        <v>46247</v>
      </c>
      <c r="AB188" s="324">
        <f>AC188-7</f>
        <v>46257</v>
      </c>
      <c r="AC188" s="324">
        <v>46264</v>
      </c>
      <c r="AD188" s="324">
        <f>AB188+7</f>
        <v>46264</v>
      </c>
      <c r="AE188" s="324">
        <f>AD188+5</f>
        <v>46269</v>
      </c>
      <c r="AF188" s="324">
        <f>AE188+5</f>
        <v>46274</v>
      </c>
      <c r="AG188" s="324">
        <f>AH188-3</f>
        <v>46294</v>
      </c>
      <c r="AH188" s="324">
        <f>AM188</f>
        <v>46297</v>
      </c>
      <c r="AI188" s="324">
        <f>AM188+14</f>
        <v>46311</v>
      </c>
      <c r="AJ188" s="324">
        <f>AM188+30</f>
        <v>46327</v>
      </c>
      <c r="AK188" s="325">
        <v>8</v>
      </c>
      <c r="AL188" s="326">
        <f>AK188*7</f>
        <v>56</v>
      </c>
      <c r="AM188" s="324">
        <f>IF(X188&lt;&gt;"",X188+AL188,X189+AL188)</f>
        <v>46297</v>
      </c>
      <c r="AN188" s="327">
        <f>AU187-7</f>
        <v>46311</v>
      </c>
      <c r="AO188" s="327">
        <f>AP188-3</f>
        <v>46317</v>
      </c>
      <c r="AP188" s="327">
        <v>46320</v>
      </c>
      <c r="AQ188" s="327" t="s">
        <v>241</v>
      </c>
      <c r="AR188" s="319">
        <f>AN188-AM188</f>
        <v>14</v>
      </c>
      <c r="AS188" s="332" t="str">
        <f>AS187</f>
        <v>Long Lead</v>
      </c>
      <c r="AT188" s="329" t="s">
        <v>69</v>
      </c>
      <c r="AU188" s="330">
        <v>46349</v>
      </c>
      <c r="AV188" s="271"/>
    </row>
    <row r="189" spans="1:48" s="270" customFormat="1" ht="25.05" hidden="1" customHeight="1">
      <c r="A189" s="376"/>
      <c r="B189" s="334" t="s">
        <v>239</v>
      </c>
      <c r="C189" s="436" t="s">
        <v>240</v>
      </c>
      <c r="D189" s="372"/>
      <c r="E189" s="336"/>
      <c r="F189" s="372"/>
      <c r="G189" s="338">
        <f>G187</f>
        <v>20.399999999999999</v>
      </c>
      <c r="H189" s="339"/>
      <c r="I189" s="338" t="s">
        <v>226</v>
      </c>
      <c r="J189" s="334" t="s">
        <v>67</v>
      </c>
      <c r="K189" s="263">
        <v>2</v>
      </c>
      <c r="L189" s="334" t="s">
        <v>6</v>
      </c>
      <c r="M189" s="340" t="s">
        <v>70</v>
      </c>
      <c r="N189" s="341">
        <v>46137</v>
      </c>
      <c r="O189" s="341">
        <v>46163</v>
      </c>
      <c r="P189" s="341">
        <v>46175</v>
      </c>
      <c r="Q189" s="341">
        <v>46175</v>
      </c>
      <c r="R189" s="341">
        <v>46179</v>
      </c>
      <c r="S189" s="341">
        <v>46179</v>
      </c>
      <c r="T189" s="341">
        <v>46179</v>
      </c>
      <c r="U189" s="341">
        <v>46237</v>
      </c>
      <c r="V189" s="341">
        <v>46237</v>
      </c>
      <c r="W189" s="341">
        <v>46237</v>
      </c>
      <c r="X189" s="341">
        <v>46241</v>
      </c>
      <c r="Y189" s="341">
        <v>46241</v>
      </c>
      <c r="Z189" s="341"/>
      <c r="AA189" s="341"/>
      <c r="AB189" s="341"/>
      <c r="AC189" s="341"/>
      <c r="AD189" s="341"/>
      <c r="AE189" s="341"/>
      <c r="AF189" s="341"/>
      <c r="AG189" s="341"/>
      <c r="AH189" s="341"/>
      <c r="AI189" s="341"/>
      <c r="AJ189" s="341"/>
      <c r="AK189" s="342"/>
      <c r="AL189" s="343"/>
      <c r="AM189" s="341"/>
      <c r="AN189" s="344"/>
      <c r="AO189" s="344"/>
      <c r="AP189" s="344"/>
      <c r="AQ189" s="344"/>
      <c r="AR189" s="338"/>
      <c r="AS189" s="345" t="str">
        <f>AS187</f>
        <v>Long Lead</v>
      </c>
      <c r="AT189" s="346"/>
      <c r="AU189" s="345"/>
    </row>
    <row r="190" spans="1:48" s="270" customFormat="1" ht="25.05" hidden="1" customHeight="1">
      <c r="A190" s="315">
        <v>60</v>
      </c>
      <c r="B190" s="263" t="s">
        <v>242</v>
      </c>
      <c r="C190" s="432" t="s">
        <v>243</v>
      </c>
      <c r="D190" s="369"/>
      <c r="E190" s="317"/>
      <c r="F190" s="370"/>
      <c r="G190" s="319">
        <v>560</v>
      </c>
      <c r="H190" s="320"/>
      <c r="I190" s="319" t="s">
        <v>226</v>
      </c>
      <c r="J190" s="263"/>
      <c r="K190" s="321"/>
      <c r="L190" s="263" t="s">
        <v>6</v>
      </c>
      <c r="M190" s="322" t="s">
        <v>63</v>
      </c>
      <c r="N190" s="323"/>
      <c r="O190" s="324">
        <v>46204</v>
      </c>
      <c r="P190" s="324">
        <v>46206</v>
      </c>
      <c r="Q190" s="324">
        <v>46206</v>
      </c>
      <c r="R190" s="324">
        <v>46206</v>
      </c>
      <c r="S190" s="324">
        <v>46206</v>
      </c>
      <c r="T190" s="324">
        <v>46219</v>
      </c>
      <c r="U190" s="324">
        <v>46223</v>
      </c>
      <c r="V190" s="324">
        <v>46231</v>
      </c>
      <c r="W190" s="324"/>
      <c r="X190" s="324">
        <v>46233</v>
      </c>
      <c r="Y190" s="324">
        <v>46235</v>
      </c>
      <c r="Z190" s="324">
        <v>46240</v>
      </c>
      <c r="AA190" s="324">
        <v>46251</v>
      </c>
      <c r="AB190" s="324">
        <v>46260</v>
      </c>
      <c r="AC190" s="324">
        <v>46267</v>
      </c>
      <c r="AD190" s="324">
        <v>46265</v>
      </c>
      <c r="AE190" s="324">
        <v>46267</v>
      </c>
      <c r="AF190" s="324">
        <v>46283</v>
      </c>
      <c r="AG190" s="324">
        <v>46290</v>
      </c>
      <c r="AH190" s="324">
        <v>46293</v>
      </c>
      <c r="AI190" s="324">
        <v>46314</v>
      </c>
      <c r="AJ190" s="324">
        <v>46330</v>
      </c>
      <c r="AK190" s="325">
        <v>8.5714285714285694</v>
      </c>
      <c r="AL190" s="326">
        <f>AK190*7</f>
        <v>59.999999999999986</v>
      </c>
      <c r="AM190" s="324">
        <f>X190+AL190</f>
        <v>46293</v>
      </c>
      <c r="AN190" s="327">
        <f>AN191</f>
        <v>46314</v>
      </c>
      <c r="AO190" s="327"/>
      <c r="AP190" s="327"/>
      <c r="AQ190" s="327"/>
      <c r="AR190" s="319">
        <f>AN191-AM190</f>
        <v>21</v>
      </c>
      <c r="AS190" s="328" t="s">
        <v>64</v>
      </c>
      <c r="AT190" s="329" t="s">
        <v>65</v>
      </c>
      <c r="AU190" s="330">
        <v>46346</v>
      </c>
      <c r="AV190" s="331">
        <v>21</v>
      </c>
    </row>
    <row r="191" spans="1:48" s="270" customFormat="1" ht="25.05" hidden="1" customHeight="1">
      <c r="A191" s="375"/>
      <c r="B191" s="263" t="s">
        <v>242</v>
      </c>
      <c r="C191" s="432" t="s">
        <v>243</v>
      </c>
      <c r="D191" s="371"/>
      <c r="E191" s="317"/>
      <c r="F191" s="371"/>
      <c r="G191" s="319">
        <f>G190</f>
        <v>560</v>
      </c>
      <c r="H191" s="320" t="s">
        <v>227</v>
      </c>
      <c r="I191" s="319" t="s">
        <v>226</v>
      </c>
      <c r="J191" s="263" t="s">
        <v>67</v>
      </c>
      <c r="K191" s="263">
        <v>2</v>
      </c>
      <c r="L191" s="263" t="s">
        <v>6</v>
      </c>
      <c r="M191" s="322" t="s">
        <v>68</v>
      </c>
      <c r="N191" s="324">
        <v>46120</v>
      </c>
      <c r="O191" s="324"/>
      <c r="P191" s="324"/>
      <c r="Q191" s="324"/>
      <c r="R191" s="324"/>
      <c r="S191" s="324"/>
      <c r="T191" s="324"/>
      <c r="U191" s="324"/>
      <c r="V191" s="324"/>
      <c r="W191" s="324"/>
      <c r="X191" s="324"/>
      <c r="Y191" s="324"/>
      <c r="Z191" s="324"/>
      <c r="AA191" s="324"/>
      <c r="AB191" s="324">
        <v>46260</v>
      </c>
      <c r="AC191" s="324">
        <f>AB191+7</f>
        <v>46267</v>
      </c>
      <c r="AD191" s="324">
        <f>AB191+5</f>
        <v>46265</v>
      </c>
      <c r="AE191" s="324">
        <f>AD191+2</f>
        <v>46267</v>
      </c>
      <c r="AF191" s="324">
        <f>AG191-7</f>
        <v>46280</v>
      </c>
      <c r="AG191" s="324">
        <f>AH191-3</f>
        <v>46287</v>
      </c>
      <c r="AH191" s="324">
        <f>AM191</f>
        <v>46290</v>
      </c>
      <c r="AI191" s="324">
        <f>AM191+14</f>
        <v>46304</v>
      </c>
      <c r="AJ191" s="324">
        <f>AM191+30</f>
        <v>46320</v>
      </c>
      <c r="AK191" s="325">
        <v>8.5714285714285694</v>
      </c>
      <c r="AL191" s="326">
        <f>AK191*7</f>
        <v>59.999999999999986</v>
      </c>
      <c r="AM191" s="324">
        <f>IF(X191&lt;&gt;"",X191+AL191,X192+AL191)</f>
        <v>46290</v>
      </c>
      <c r="AN191" s="327">
        <v>46314</v>
      </c>
      <c r="AO191" s="327">
        <v>46314</v>
      </c>
      <c r="AP191" s="327">
        <v>46291</v>
      </c>
      <c r="AQ191" s="327"/>
      <c r="AR191" s="319">
        <f>AN191-AM191</f>
        <v>24</v>
      </c>
      <c r="AS191" s="332" t="str">
        <f>AS190</f>
        <v>Long Lead</v>
      </c>
      <c r="AT191" s="329" t="s">
        <v>69</v>
      </c>
      <c r="AU191" s="330">
        <v>46368</v>
      </c>
      <c r="AV191" s="271"/>
    </row>
    <row r="192" spans="1:48" s="270" customFormat="1" ht="25.05" hidden="1" customHeight="1">
      <c r="A192" s="376"/>
      <c r="B192" s="334" t="s">
        <v>242</v>
      </c>
      <c r="C192" s="436" t="s">
        <v>243</v>
      </c>
      <c r="D192" s="372"/>
      <c r="E192" s="336"/>
      <c r="F192" s="372"/>
      <c r="G192" s="338">
        <f>G190</f>
        <v>560</v>
      </c>
      <c r="H192" s="339"/>
      <c r="I192" s="338" t="s">
        <v>226</v>
      </c>
      <c r="J192" s="334" t="s">
        <v>67</v>
      </c>
      <c r="K192" s="263">
        <v>2</v>
      </c>
      <c r="L192" s="334" t="s">
        <v>6</v>
      </c>
      <c r="M192" s="340" t="s">
        <v>70</v>
      </c>
      <c r="N192" s="341">
        <v>46137</v>
      </c>
      <c r="O192" s="341">
        <v>46162</v>
      </c>
      <c r="P192" s="341">
        <v>46175</v>
      </c>
      <c r="Q192" s="341">
        <v>46175</v>
      </c>
      <c r="R192" s="341">
        <v>46179</v>
      </c>
      <c r="S192" s="341">
        <v>46179</v>
      </c>
      <c r="T192" s="341">
        <v>46179</v>
      </c>
      <c r="U192" s="341">
        <v>46185</v>
      </c>
      <c r="V192" s="341">
        <v>46190</v>
      </c>
      <c r="W192" s="341">
        <v>46223</v>
      </c>
      <c r="X192" s="341">
        <v>46230</v>
      </c>
      <c r="Y192" s="341">
        <v>46230</v>
      </c>
      <c r="Z192" s="341">
        <v>46223</v>
      </c>
      <c r="AA192" s="341">
        <v>46223</v>
      </c>
      <c r="AB192" s="341"/>
      <c r="AC192" s="341"/>
      <c r="AD192" s="341"/>
      <c r="AE192" s="341"/>
      <c r="AF192" s="341"/>
      <c r="AG192" s="341"/>
      <c r="AH192" s="341"/>
      <c r="AI192" s="341"/>
      <c r="AJ192" s="341"/>
      <c r="AK192" s="342"/>
      <c r="AL192" s="343"/>
      <c r="AM192" s="324"/>
      <c r="AN192" s="344"/>
      <c r="AO192" s="344"/>
      <c r="AP192" s="344"/>
      <c r="AQ192" s="344"/>
      <c r="AR192" s="338"/>
      <c r="AS192" s="345" t="str">
        <f>AS190</f>
        <v>Long Lead</v>
      </c>
      <c r="AT192" s="346"/>
      <c r="AU192" s="345"/>
    </row>
    <row r="193" spans="1:48" s="270" customFormat="1" ht="25.05" hidden="1" customHeight="1">
      <c r="A193" s="315">
        <v>61</v>
      </c>
      <c r="B193" s="263" t="s">
        <v>244</v>
      </c>
      <c r="C193" s="432" t="s">
        <v>245</v>
      </c>
      <c r="D193" s="369"/>
      <c r="E193" s="317"/>
      <c r="F193" s="370"/>
      <c r="G193" s="319"/>
      <c r="H193" s="320">
        <v>5</v>
      </c>
      <c r="I193" s="319" t="s">
        <v>226</v>
      </c>
      <c r="J193" s="263"/>
      <c r="K193" s="321"/>
      <c r="L193" s="263" t="s">
        <v>6</v>
      </c>
      <c r="M193" s="322" t="s">
        <v>63</v>
      </c>
      <c r="N193" s="323"/>
      <c r="O193" s="324">
        <v>46213</v>
      </c>
      <c r="P193" s="324">
        <v>46218</v>
      </c>
      <c r="Q193" s="324">
        <v>46218</v>
      </c>
      <c r="R193" s="324">
        <v>46218</v>
      </c>
      <c r="S193" s="324">
        <v>46218</v>
      </c>
      <c r="T193" s="324">
        <v>46227</v>
      </c>
      <c r="U193" s="324">
        <v>46230</v>
      </c>
      <c r="V193" s="324">
        <v>46232</v>
      </c>
      <c r="W193" s="324"/>
      <c r="X193" s="324">
        <v>46234</v>
      </c>
      <c r="Y193" s="324">
        <v>46236</v>
      </c>
      <c r="Z193" s="324">
        <v>46241</v>
      </c>
      <c r="AA193" s="324">
        <v>46251</v>
      </c>
      <c r="AB193" s="324">
        <v>46261</v>
      </c>
      <c r="AC193" s="324">
        <v>46268</v>
      </c>
      <c r="AD193" s="324">
        <v>46266</v>
      </c>
      <c r="AE193" s="324">
        <v>46268</v>
      </c>
      <c r="AF193" s="324">
        <v>46324</v>
      </c>
      <c r="AG193" s="324">
        <v>46331</v>
      </c>
      <c r="AH193" s="324">
        <v>46334</v>
      </c>
      <c r="AI193" s="324">
        <v>46348</v>
      </c>
      <c r="AJ193" s="324">
        <v>46364</v>
      </c>
      <c r="AK193" s="325">
        <v>14.285714285714301</v>
      </c>
      <c r="AL193" s="326">
        <f>AK193*7</f>
        <v>100.0000000000001</v>
      </c>
      <c r="AM193" s="324">
        <f>X193+AL193</f>
        <v>46334</v>
      </c>
      <c r="AN193" s="327">
        <f>AN194</f>
        <v>46339</v>
      </c>
      <c r="AO193" s="327"/>
      <c r="AP193" s="327"/>
      <c r="AQ193" s="327"/>
      <c r="AR193" s="319">
        <f>AN194-AM193</f>
        <v>5</v>
      </c>
      <c r="AS193" s="328"/>
      <c r="AT193" s="329" t="s">
        <v>65</v>
      </c>
      <c r="AU193" s="330">
        <v>46346</v>
      </c>
      <c r="AV193" s="331">
        <v>65</v>
      </c>
    </row>
    <row r="194" spans="1:48" s="270" customFormat="1" ht="25.05" hidden="1" customHeight="1">
      <c r="A194" s="375"/>
      <c r="B194" s="263" t="s">
        <v>244</v>
      </c>
      <c r="C194" s="432" t="s">
        <v>245</v>
      </c>
      <c r="D194" s="371"/>
      <c r="E194" s="317"/>
      <c r="F194" s="371"/>
      <c r="G194" s="319">
        <f>G193</f>
        <v>0</v>
      </c>
      <c r="H194" s="320" t="s">
        <v>234</v>
      </c>
      <c r="I194" s="319" t="s">
        <v>226</v>
      </c>
      <c r="J194" s="263" t="s">
        <v>67</v>
      </c>
      <c r="K194" s="263">
        <v>3</v>
      </c>
      <c r="L194" s="263" t="s">
        <v>6</v>
      </c>
      <c r="M194" s="322" t="s">
        <v>68</v>
      </c>
      <c r="N194" s="324">
        <v>46137</v>
      </c>
      <c r="O194" s="324"/>
      <c r="P194" s="324"/>
      <c r="Q194" s="324"/>
      <c r="R194" s="324"/>
      <c r="S194" s="324"/>
      <c r="T194" s="324"/>
      <c r="U194" s="324">
        <v>46229</v>
      </c>
      <c r="V194" s="324">
        <f>U194+3</f>
        <v>46232</v>
      </c>
      <c r="W194" s="324"/>
      <c r="X194" s="324">
        <f>V194+2</f>
        <v>46234</v>
      </c>
      <c r="Y194" s="324">
        <f>X194+2</f>
        <v>46236</v>
      </c>
      <c r="Z194" s="324">
        <f>Y194+5</f>
        <v>46241</v>
      </c>
      <c r="AA194" s="324">
        <f>Z194+10</f>
        <v>46251</v>
      </c>
      <c r="AB194" s="324">
        <f>AA194+10</f>
        <v>46261</v>
      </c>
      <c r="AC194" s="324">
        <f>AB194+7</f>
        <v>46268</v>
      </c>
      <c r="AD194" s="324">
        <f>AB194+5</f>
        <v>46266</v>
      </c>
      <c r="AE194" s="324">
        <f>AD194+2</f>
        <v>46268</v>
      </c>
      <c r="AF194" s="324">
        <f>AG194-7</f>
        <v>46324</v>
      </c>
      <c r="AG194" s="324">
        <f>AH194-3</f>
        <v>46331</v>
      </c>
      <c r="AH194" s="324">
        <f>AM194</f>
        <v>46334</v>
      </c>
      <c r="AI194" s="324">
        <f>AM194+14</f>
        <v>46348</v>
      </c>
      <c r="AJ194" s="324">
        <f>AM194+30</f>
        <v>46364</v>
      </c>
      <c r="AK194" s="325">
        <v>14.285714285714301</v>
      </c>
      <c r="AL194" s="326">
        <f>AK194*7</f>
        <v>100.0000000000001</v>
      </c>
      <c r="AM194" s="324">
        <f>IF(X194&lt;&gt;"",X194+AL194,X195+AL194)</f>
        <v>46334</v>
      </c>
      <c r="AN194" s="327">
        <f>AU193-7</f>
        <v>46339</v>
      </c>
      <c r="AO194" s="327">
        <v>46331</v>
      </c>
      <c r="AP194" s="327">
        <v>46325</v>
      </c>
      <c r="AQ194" s="327"/>
      <c r="AR194" s="319">
        <f>AN194-AM194</f>
        <v>5</v>
      </c>
      <c r="AS194" s="328"/>
      <c r="AT194" s="329" t="s">
        <v>69</v>
      </c>
      <c r="AU194" s="330">
        <v>46368</v>
      </c>
      <c r="AV194" s="271"/>
    </row>
    <row r="195" spans="1:48" s="270" customFormat="1" ht="25.05" hidden="1" customHeight="1">
      <c r="A195" s="376"/>
      <c r="B195" s="334" t="s">
        <v>244</v>
      </c>
      <c r="C195" s="436" t="s">
        <v>245</v>
      </c>
      <c r="D195" s="372"/>
      <c r="E195" s="336"/>
      <c r="F195" s="372"/>
      <c r="G195" s="338">
        <f>G193</f>
        <v>0</v>
      </c>
      <c r="H195" s="339"/>
      <c r="I195" s="338" t="s">
        <v>226</v>
      </c>
      <c r="J195" s="334" t="s">
        <v>67</v>
      </c>
      <c r="K195" s="263">
        <v>3</v>
      </c>
      <c r="L195" s="334" t="s">
        <v>6</v>
      </c>
      <c r="M195" s="340" t="s">
        <v>70</v>
      </c>
      <c r="N195" s="324">
        <v>46137</v>
      </c>
      <c r="O195" s="341">
        <v>46204</v>
      </c>
      <c r="P195" s="341">
        <v>46223</v>
      </c>
      <c r="Q195" s="341">
        <v>46223</v>
      </c>
      <c r="R195" s="341">
        <v>46223</v>
      </c>
      <c r="S195" s="341">
        <v>46223</v>
      </c>
      <c r="T195" s="341">
        <v>46223</v>
      </c>
      <c r="U195" s="341"/>
      <c r="V195" s="341"/>
      <c r="W195" s="341"/>
      <c r="X195" s="341"/>
      <c r="Y195" s="341"/>
      <c r="Z195" s="341"/>
      <c r="AA195" s="341"/>
      <c r="AB195" s="341"/>
      <c r="AC195" s="341"/>
      <c r="AD195" s="341"/>
      <c r="AE195" s="341"/>
      <c r="AF195" s="341"/>
      <c r="AG195" s="341"/>
      <c r="AH195" s="341"/>
      <c r="AI195" s="341"/>
      <c r="AJ195" s="341"/>
      <c r="AK195" s="342"/>
      <c r="AL195" s="343"/>
      <c r="AM195" s="324"/>
      <c r="AN195" s="344"/>
      <c r="AO195" s="344"/>
      <c r="AP195" s="344"/>
      <c r="AQ195" s="344"/>
      <c r="AR195" s="338"/>
      <c r="AS195" s="345"/>
      <c r="AT195" s="346"/>
      <c r="AU195" s="345" t="s">
        <v>246</v>
      </c>
    </row>
    <row r="196" spans="1:48" s="270" customFormat="1" ht="25.05" hidden="1" customHeight="1">
      <c r="A196" s="315">
        <v>62</v>
      </c>
      <c r="B196" s="263" t="s">
        <v>247</v>
      </c>
      <c r="C196" s="432" t="s">
        <v>248</v>
      </c>
      <c r="D196" s="369"/>
      <c r="E196" s="317"/>
      <c r="F196" s="370"/>
      <c r="G196" s="319">
        <v>27.3</v>
      </c>
      <c r="H196" s="320"/>
      <c r="I196" s="319" t="s">
        <v>226</v>
      </c>
      <c r="J196" s="263"/>
      <c r="K196" s="321"/>
      <c r="L196" s="263" t="s">
        <v>6</v>
      </c>
      <c r="M196" s="322" t="s">
        <v>63</v>
      </c>
      <c r="N196" s="323"/>
      <c r="O196" s="324">
        <v>46204</v>
      </c>
      <c r="P196" s="324">
        <v>46206</v>
      </c>
      <c r="Q196" s="324">
        <v>46206</v>
      </c>
      <c r="R196" s="324">
        <v>46206</v>
      </c>
      <c r="S196" s="324">
        <v>46206</v>
      </c>
      <c r="T196" s="324">
        <v>46219</v>
      </c>
      <c r="U196" s="324">
        <v>46223</v>
      </c>
      <c r="V196" s="324">
        <v>46231</v>
      </c>
      <c r="W196" s="324"/>
      <c r="X196" s="324">
        <v>46233</v>
      </c>
      <c r="Y196" s="324">
        <v>46235</v>
      </c>
      <c r="Z196" s="324">
        <v>46240</v>
      </c>
      <c r="AA196" s="324">
        <v>46251</v>
      </c>
      <c r="AB196" s="324">
        <v>46260</v>
      </c>
      <c r="AC196" s="324">
        <v>46267</v>
      </c>
      <c r="AD196" s="324">
        <v>46265</v>
      </c>
      <c r="AE196" s="324">
        <v>46267</v>
      </c>
      <c r="AF196" s="324">
        <v>46279</v>
      </c>
      <c r="AG196" s="324">
        <v>46286</v>
      </c>
      <c r="AH196" s="324">
        <v>46289</v>
      </c>
      <c r="AI196" s="324">
        <v>46303</v>
      </c>
      <c r="AJ196" s="324">
        <v>46319</v>
      </c>
      <c r="AK196" s="325">
        <v>8</v>
      </c>
      <c r="AL196" s="326">
        <f>AK196*7</f>
        <v>56</v>
      </c>
      <c r="AM196" s="324">
        <f>X196+AL196</f>
        <v>46289</v>
      </c>
      <c r="AN196" s="327">
        <f>AN197</f>
        <v>46305</v>
      </c>
      <c r="AO196" s="327"/>
      <c r="AP196" s="327"/>
      <c r="AQ196" s="327"/>
      <c r="AR196" s="319">
        <f>AN197-AM196</f>
        <v>16</v>
      </c>
      <c r="AS196" s="328" t="s">
        <v>64</v>
      </c>
      <c r="AT196" s="329" t="s">
        <v>65</v>
      </c>
      <c r="AU196" s="330">
        <v>46314</v>
      </c>
      <c r="AV196" s="331">
        <v>43</v>
      </c>
    </row>
    <row r="197" spans="1:48" s="270" customFormat="1" ht="25.05" hidden="1" customHeight="1">
      <c r="A197" s="375"/>
      <c r="B197" s="263" t="s">
        <v>247</v>
      </c>
      <c r="C197" s="432" t="s">
        <v>248</v>
      </c>
      <c r="D197" s="371"/>
      <c r="E197" s="317"/>
      <c r="F197" s="371"/>
      <c r="G197" s="319">
        <f>G196</f>
        <v>27.3</v>
      </c>
      <c r="H197" s="320" t="s">
        <v>227</v>
      </c>
      <c r="I197" s="319" t="s">
        <v>226</v>
      </c>
      <c r="J197" s="263" t="s">
        <v>67</v>
      </c>
      <c r="K197" s="263">
        <v>2</v>
      </c>
      <c r="L197" s="263" t="s">
        <v>6</v>
      </c>
      <c r="M197" s="322" t="s">
        <v>68</v>
      </c>
      <c r="N197" s="324"/>
      <c r="O197" s="324"/>
      <c r="P197" s="324"/>
      <c r="Q197" s="324"/>
      <c r="R197" s="324"/>
      <c r="S197" s="324"/>
      <c r="T197" s="324"/>
      <c r="U197" s="324"/>
      <c r="V197" s="324"/>
      <c r="W197" s="324"/>
      <c r="X197" s="324"/>
      <c r="Y197" s="324"/>
      <c r="Z197" s="324">
        <v>46244</v>
      </c>
      <c r="AA197" s="324">
        <f>AB197-10</f>
        <v>46250</v>
      </c>
      <c r="AB197" s="324">
        <f>AC197-7</f>
        <v>46260</v>
      </c>
      <c r="AC197" s="324">
        <v>46267</v>
      </c>
      <c r="AD197" s="324">
        <f>AB197+5</f>
        <v>46265</v>
      </c>
      <c r="AE197" s="324">
        <f>AD197+2</f>
        <v>46267</v>
      </c>
      <c r="AF197" s="324">
        <f>AE197+3</f>
        <v>46270</v>
      </c>
      <c r="AG197" s="324">
        <f>AH197-3</f>
        <v>46294</v>
      </c>
      <c r="AH197" s="324">
        <f>AM197</f>
        <v>46297</v>
      </c>
      <c r="AI197" s="324">
        <f>AM197+14</f>
        <v>46311</v>
      </c>
      <c r="AJ197" s="324">
        <f>AM197+30</f>
        <v>46327</v>
      </c>
      <c r="AK197" s="325">
        <v>8</v>
      </c>
      <c r="AL197" s="326">
        <f>AK197*7</f>
        <v>56</v>
      </c>
      <c r="AM197" s="324">
        <f>IF(X197&lt;&gt;"",X197+AL197,X198+AL197)</f>
        <v>46297</v>
      </c>
      <c r="AN197" s="327">
        <v>46305</v>
      </c>
      <c r="AO197" s="327">
        <v>46305</v>
      </c>
      <c r="AP197" s="327">
        <v>46295</v>
      </c>
      <c r="AQ197" s="327"/>
      <c r="AR197" s="319">
        <f>AN197-AM197</f>
        <v>8</v>
      </c>
      <c r="AS197" s="332" t="str">
        <f>AS196</f>
        <v>Long Lead</v>
      </c>
      <c r="AT197" s="329" t="s">
        <v>69</v>
      </c>
      <c r="AU197" s="330">
        <v>46340</v>
      </c>
      <c r="AV197" s="271"/>
    </row>
    <row r="198" spans="1:48" s="270" customFormat="1" ht="25.05" hidden="1" customHeight="1">
      <c r="A198" s="376"/>
      <c r="B198" s="334" t="s">
        <v>247</v>
      </c>
      <c r="C198" s="436" t="s">
        <v>248</v>
      </c>
      <c r="D198" s="372"/>
      <c r="E198" s="336"/>
      <c r="F198" s="372"/>
      <c r="G198" s="338">
        <f>G196</f>
        <v>27.3</v>
      </c>
      <c r="H198" s="339"/>
      <c r="I198" s="338" t="s">
        <v>226</v>
      </c>
      <c r="J198" s="334" t="s">
        <v>67</v>
      </c>
      <c r="K198" s="263">
        <v>2</v>
      </c>
      <c r="L198" s="334" t="s">
        <v>6</v>
      </c>
      <c r="M198" s="340" t="s">
        <v>70</v>
      </c>
      <c r="N198" s="341">
        <v>46137</v>
      </c>
      <c r="O198" s="341">
        <v>46163</v>
      </c>
      <c r="P198" s="341">
        <v>46175</v>
      </c>
      <c r="Q198" s="341">
        <v>46175</v>
      </c>
      <c r="R198" s="341">
        <f>Q198</f>
        <v>46175</v>
      </c>
      <c r="S198" s="341">
        <v>46179</v>
      </c>
      <c r="T198" s="341">
        <v>46179</v>
      </c>
      <c r="U198" s="341">
        <v>46237</v>
      </c>
      <c r="V198" s="341">
        <v>46237</v>
      </c>
      <c r="W198" s="341">
        <v>46237</v>
      </c>
      <c r="X198" s="341">
        <v>46241</v>
      </c>
      <c r="Y198" s="341">
        <v>46241</v>
      </c>
      <c r="Z198" s="341"/>
      <c r="AA198" s="341"/>
      <c r="AB198" s="341"/>
      <c r="AC198" s="341"/>
      <c r="AD198" s="341"/>
      <c r="AE198" s="341"/>
      <c r="AF198" s="341"/>
      <c r="AG198" s="341"/>
      <c r="AH198" s="341"/>
      <c r="AI198" s="341"/>
      <c r="AJ198" s="341"/>
      <c r="AK198" s="342"/>
      <c r="AL198" s="343"/>
      <c r="AM198" s="324"/>
      <c r="AN198" s="344"/>
      <c r="AO198" s="344"/>
      <c r="AP198" s="344"/>
      <c r="AQ198" s="344"/>
      <c r="AR198" s="338"/>
      <c r="AS198" s="345" t="str">
        <f>AS196</f>
        <v>Long Lead</v>
      </c>
      <c r="AT198" s="346"/>
      <c r="AU198" s="345"/>
    </row>
    <row r="199" spans="1:48" s="270" customFormat="1" ht="25.05" hidden="1" customHeight="1">
      <c r="A199" s="315">
        <v>64</v>
      </c>
      <c r="B199" s="263" t="s">
        <v>249</v>
      </c>
      <c r="C199" s="432" t="s">
        <v>250</v>
      </c>
      <c r="D199" s="369"/>
      <c r="E199" s="317"/>
      <c r="F199" s="370"/>
      <c r="G199" s="319"/>
      <c r="H199" s="320"/>
      <c r="I199" s="319" t="s">
        <v>226</v>
      </c>
      <c r="J199" s="263"/>
      <c r="K199" s="321"/>
      <c r="L199" s="263" t="s">
        <v>6</v>
      </c>
      <c r="M199" s="322" t="s">
        <v>63</v>
      </c>
      <c r="N199" s="323"/>
      <c r="O199" s="324">
        <v>46300</v>
      </c>
      <c r="P199" s="362">
        <v>46304</v>
      </c>
      <c r="Q199" s="362">
        <v>46304</v>
      </c>
      <c r="R199" s="362">
        <v>46304</v>
      </c>
      <c r="S199" s="362">
        <v>46309</v>
      </c>
      <c r="T199" s="362">
        <v>46309</v>
      </c>
      <c r="U199" s="362">
        <v>46316</v>
      </c>
      <c r="V199" s="362">
        <v>46331</v>
      </c>
      <c r="W199" s="362"/>
      <c r="X199" s="362">
        <v>46335</v>
      </c>
      <c r="Y199" s="362">
        <v>46335</v>
      </c>
      <c r="Z199" s="324">
        <v>46340</v>
      </c>
      <c r="AA199" s="324">
        <v>46350</v>
      </c>
      <c r="AB199" s="324">
        <v>46360</v>
      </c>
      <c r="AC199" s="324">
        <v>46367</v>
      </c>
      <c r="AD199" s="324">
        <v>46365</v>
      </c>
      <c r="AE199" s="324">
        <v>46367</v>
      </c>
      <c r="AF199" s="324">
        <v>46383</v>
      </c>
      <c r="AG199" s="324">
        <v>46390</v>
      </c>
      <c r="AH199" s="324">
        <v>46393</v>
      </c>
      <c r="AI199" s="324">
        <v>46407</v>
      </c>
      <c r="AJ199" s="324">
        <v>46423</v>
      </c>
      <c r="AK199" s="325">
        <v>8.5714285714285694</v>
      </c>
      <c r="AL199" s="326">
        <f>AK199*7</f>
        <v>59.999999999999986</v>
      </c>
      <c r="AM199" s="324">
        <f>X199+AL199</f>
        <v>46395</v>
      </c>
      <c r="AN199" s="327">
        <f>AN200</f>
        <v>46457</v>
      </c>
      <c r="AO199" s="327"/>
      <c r="AP199" s="327"/>
      <c r="AQ199" s="327"/>
      <c r="AR199" s="319">
        <f>AN200-AM199</f>
        <v>62</v>
      </c>
      <c r="AS199" s="328" t="s">
        <v>64</v>
      </c>
      <c r="AT199" s="329" t="s">
        <v>65</v>
      </c>
      <c r="AU199" s="330">
        <v>46464</v>
      </c>
      <c r="AV199" s="331">
        <v>111</v>
      </c>
    </row>
    <row r="200" spans="1:48" s="270" customFormat="1" ht="25.05" hidden="1" customHeight="1">
      <c r="A200" s="315"/>
      <c r="B200" s="263" t="s">
        <v>249</v>
      </c>
      <c r="C200" s="432" t="s">
        <v>250</v>
      </c>
      <c r="D200" s="371"/>
      <c r="E200" s="317"/>
      <c r="F200" s="371"/>
      <c r="G200" s="319">
        <f>G199</f>
        <v>0</v>
      </c>
      <c r="H200" s="320" t="s">
        <v>251</v>
      </c>
      <c r="I200" s="319" t="s">
        <v>226</v>
      </c>
      <c r="J200" s="263" t="s">
        <v>67</v>
      </c>
      <c r="K200" s="263">
        <v>2</v>
      </c>
      <c r="L200" s="263" t="s">
        <v>6</v>
      </c>
      <c r="M200" s="322" t="s">
        <v>68</v>
      </c>
      <c r="N200" s="324">
        <v>46120</v>
      </c>
      <c r="O200" s="324"/>
      <c r="P200" s="362"/>
      <c r="Q200" s="362"/>
      <c r="R200" s="362"/>
      <c r="S200" s="362"/>
      <c r="T200" s="362"/>
      <c r="U200" s="362"/>
      <c r="V200" s="362"/>
      <c r="W200" s="362"/>
      <c r="X200" s="362">
        <v>46333</v>
      </c>
      <c r="Y200" s="362">
        <f>X200+2</f>
        <v>46335</v>
      </c>
      <c r="Z200" s="324">
        <f>Y200+5</f>
        <v>46340</v>
      </c>
      <c r="AA200" s="324">
        <f>Z200+10</f>
        <v>46350</v>
      </c>
      <c r="AB200" s="324">
        <f>AA200+10</f>
        <v>46360</v>
      </c>
      <c r="AC200" s="324">
        <f>AB200+7</f>
        <v>46367</v>
      </c>
      <c r="AD200" s="324">
        <f>AB200+5</f>
        <v>46365</v>
      </c>
      <c r="AE200" s="324">
        <f>AD200+2</f>
        <v>46367</v>
      </c>
      <c r="AF200" s="324">
        <f>AG200-7</f>
        <v>46383</v>
      </c>
      <c r="AG200" s="324">
        <f>AH200-3</f>
        <v>46390</v>
      </c>
      <c r="AH200" s="324">
        <f>AM200</f>
        <v>46393</v>
      </c>
      <c r="AI200" s="324">
        <f>AM200+14</f>
        <v>46407</v>
      </c>
      <c r="AJ200" s="324">
        <f>AM200+30</f>
        <v>46423</v>
      </c>
      <c r="AK200" s="325">
        <v>8.5714285714285694</v>
      </c>
      <c r="AL200" s="326">
        <f>AK200*7</f>
        <v>59.999999999999986</v>
      </c>
      <c r="AM200" s="324">
        <f>IF(X200&lt;&gt;"",X200+AL200,X201+AL200)</f>
        <v>46393</v>
      </c>
      <c r="AN200" s="327">
        <f>AU199-7</f>
        <v>46457</v>
      </c>
      <c r="AO200" s="327">
        <f>AP200-3</f>
        <v>46432</v>
      </c>
      <c r="AP200" s="327">
        <v>46435</v>
      </c>
      <c r="AQ200" s="327"/>
      <c r="AR200" s="319">
        <f>AN200-AM200</f>
        <v>64</v>
      </c>
      <c r="AS200" s="332" t="str">
        <f>AS199</f>
        <v>Long Lead</v>
      </c>
      <c r="AT200" s="329" t="s">
        <v>69</v>
      </c>
      <c r="AU200" s="330">
        <v>46521</v>
      </c>
      <c r="AV200" s="271"/>
    </row>
    <row r="201" spans="1:48" s="270" customFormat="1" ht="25.05" hidden="1" customHeight="1">
      <c r="A201" s="333"/>
      <c r="B201" s="334" t="s">
        <v>249</v>
      </c>
      <c r="C201" s="436" t="s">
        <v>250</v>
      </c>
      <c r="D201" s="372"/>
      <c r="E201" s="336"/>
      <c r="F201" s="372"/>
      <c r="G201" s="338">
        <f>G199</f>
        <v>0</v>
      </c>
      <c r="H201" s="339"/>
      <c r="I201" s="338" t="s">
        <v>226</v>
      </c>
      <c r="J201" s="334" t="s">
        <v>67</v>
      </c>
      <c r="K201" s="263">
        <v>2</v>
      </c>
      <c r="L201" s="334" t="s">
        <v>6</v>
      </c>
      <c r="M201" s="340" t="s">
        <v>70</v>
      </c>
      <c r="N201" s="324">
        <v>46120</v>
      </c>
      <c r="O201" s="341">
        <v>46162</v>
      </c>
      <c r="P201" s="341">
        <v>46175</v>
      </c>
      <c r="Q201" s="341">
        <v>46175</v>
      </c>
      <c r="R201" s="341">
        <v>46179</v>
      </c>
      <c r="S201" s="341">
        <v>46179</v>
      </c>
      <c r="T201" s="341">
        <v>46179</v>
      </c>
      <c r="U201" s="341">
        <v>46185</v>
      </c>
      <c r="V201" s="341">
        <v>46190</v>
      </c>
      <c r="W201" s="341"/>
      <c r="X201" s="338"/>
      <c r="Y201" s="341"/>
      <c r="Z201" s="341">
        <v>46223</v>
      </c>
      <c r="AA201" s="341">
        <v>46223</v>
      </c>
      <c r="AB201" s="341"/>
      <c r="AC201" s="341"/>
      <c r="AD201" s="341"/>
      <c r="AE201" s="341"/>
      <c r="AF201" s="341"/>
      <c r="AG201" s="341"/>
      <c r="AH201" s="341"/>
      <c r="AI201" s="341"/>
      <c r="AJ201" s="341"/>
      <c r="AK201" s="342"/>
      <c r="AL201" s="343"/>
      <c r="AM201" s="341"/>
      <c r="AN201" s="344"/>
      <c r="AO201" s="344"/>
      <c r="AP201" s="344"/>
      <c r="AQ201" s="344"/>
      <c r="AR201" s="338"/>
      <c r="AS201" s="345" t="str">
        <f>AS199</f>
        <v>Long Lead</v>
      </c>
      <c r="AT201" s="346"/>
      <c r="AU201" s="345"/>
    </row>
    <row r="202" spans="1:48" s="270" customFormat="1" ht="25.05" hidden="1" customHeight="1">
      <c r="A202" s="315">
        <v>65</v>
      </c>
      <c r="B202" s="263" t="s">
        <v>252</v>
      </c>
      <c r="C202" s="432" t="s">
        <v>253</v>
      </c>
      <c r="D202" s="369"/>
      <c r="E202" s="317"/>
      <c r="F202" s="370"/>
      <c r="G202" s="319"/>
      <c r="H202" s="320"/>
      <c r="I202" s="319" t="s">
        <v>226</v>
      </c>
      <c r="J202" s="263"/>
      <c r="K202" s="321"/>
      <c r="L202" s="263" t="s">
        <v>6</v>
      </c>
      <c r="M202" s="322" t="s">
        <v>63</v>
      </c>
      <c r="N202" s="323"/>
      <c r="O202" s="324">
        <v>46302</v>
      </c>
      <c r="P202" s="362">
        <v>46304</v>
      </c>
      <c r="Q202" s="362">
        <v>46304</v>
      </c>
      <c r="R202" s="362">
        <v>46304</v>
      </c>
      <c r="S202" s="362">
        <v>46309</v>
      </c>
      <c r="T202" s="362">
        <v>46309</v>
      </c>
      <c r="U202" s="362">
        <v>46318</v>
      </c>
      <c r="V202" s="362">
        <v>46330</v>
      </c>
      <c r="W202" s="362"/>
      <c r="X202" s="362">
        <v>46332</v>
      </c>
      <c r="Y202" s="362">
        <v>46334</v>
      </c>
      <c r="Z202" s="324">
        <v>46339</v>
      </c>
      <c r="AA202" s="324">
        <v>46349</v>
      </c>
      <c r="AB202" s="324">
        <v>46359</v>
      </c>
      <c r="AC202" s="324">
        <v>46366</v>
      </c>
      <c r="AD202" s="324">
        <v>46364</v>
      </c>
      <c r="AE202" s="324">
        <v>46381</v>
      </c>
      <c r="AF202" s="324">
        <v>46412</v>
      </c>
      <c r="AG202" s="324">
        <v>46419</v>
      </c>
      <c r="AH202" s="324">
        <v>46422</v>
      </c>
      <c r="AI202" s="324">
        <v>46436</v>
      </c>
      <c r="AJ202" s="324">
        <v>46452</v>
      </c>
      <c r="AK202" s="325">
        <v>12.8571428571429</v>
      </c>
      <c r="AL202" s="326">
        <f>AK202*7</f>
        <v>90.000000000000298</v>
      </c>
      <c r="AM202" s="324">
        <f>X202+AL202</f>
        <v>46422</v>
      </c>
      <c r="AN202" s="327">
        <f>AN203</f>
        <v>46457</v>
      </c>
      <c r="AO202" s="327"/>
      <c r="AP202" s="327"/>
      <c r="AQ202" s="327"/>
      <c r="AR202" s="319">
        <f>AN203-AM202</f>
        <v>35</v>
      </c>
      <c r="AS202" s="328" t="s">
        <v>64</v>
      </c>
      <c r="AT202" s="329" t="s">
        <v>65</v>
      </c>
      <c r="AU202" s="330">
        <v>46464</v>
      </c>
      <c r="AV202" s="331">
        <v>82</v>
      </c>
    </row>
    <row r="203" spans="1:48" s="270" customFormat="1" ht="25.05" hidden="1" customHeight="1">
      <c r="A203" s="315"/>
      <c r="B203" s="263" t="s">
        <v>252</v>
      </c>
      <c r="C203" s="432" t="s">
        <v>253</v>
      </c>
      <c r="D203" s="371"/>
      <c r="E203" s="317"/>
      <c r="F203" s="371"/>
      <c r="G203" s="319">
        <f>G202</f>
        <v>0</v>
      </c>
      <c r="H203" s="320" t="s">
        <v>251</v>
      </c>
      <c r="I203" s="319" t="s">
        <v>226</v>
      </c>
      <c r="J203" s="263" t="s">
        <v>67</v>
      </c>
      <c r="K203" s="263">
        <v>2</v>
      </c>
      <c r="L203" s="263" t="s">
        <v>6</v>
      </c>
      <c r="M203" s="322" t="s">
        <v>68</v>
      </c>
      <c r="N203" s="324"/>
      <c r="O203" s="324"/>
      <c r="P203" s="362"/>
      <c r="Q203" s="362"/>
      <c r="R203" s="362"/>
      <c r="S203" s="362"/>
      <c r="T203" s="362"/>
      <c r="U203" s="362"/>
      <c r="V203" s="362"/>
      <c r="W203" s="362"/>
      <c r="X203" s="362"/>
      <c r="Y203" s="362"/>
      <c r="Z203" s="324">
        <v>46339</v>
      </c>
      <c r="AA203" s="324">
        <f>AB203-10</f>
        <v>46349</v>
      </c>
      <c r="AB203" s="324">
        <f>AC203-7</f>
        <v>46359</v>
      </c>
      <c r="AC203" s="324">
        <v>46366</v>
      </c>
      <c r="AD203" s="324">
        <f>AB203+5</f>
        <v>46364</v>
      </c>
      <c r="AE203" s="324">
        <f>AH200</f>
        <v>46393</v>
      </c>
      <c r="AF203" s="324">
        <f>AG203-7</f>
        <v>46321</v>
      </c>
      <c r="AG203" s="324">
        <f>AH203-3</f>
        <v>46328</v>
      </c>
      <c r="AH203" s="324">
        <f>AM203</f>
        <v>46331</v>
      </c>
      <c r="AI203" s="324">
        <f>AM203+14</f>
        <v>46345</v>
      </c>
      <c r="AJ203" s="324">
        <f>AM203+30</f>
        <v>46361</v>
      </c>
      <c r="AK203" s="325">
        <v>12.8571428571429</v>
      </c>
      <c r="AL203" s="326">
        <f>AK203*7</f>
        <v>90.000000000000298</v>
      </c>
      <c r="AM203" s="324">
        <f>IF(X203&lt;&gt;"",X203+AL203,X204+AL203)</f>
        <v>46331</v>
      </c>
      <c r="AN203" s="327">
        <f>AU202-7</f>
        <v>46457</v>
      </c>
      <c r="AO203" s="327">
        <f>AP203-3</f>
        <v>46440</v>
      </c>
      <c r="AP203" s="327">
        <v>46443</v>
      </c>
      <c r="AQ203" s="327"/>
      <c r="AR203" s="319">
        <f>AN203-AM203</f>
        <v>126</v>
      </c>
      <c r="AS203" s="332" t="str">
        <f>AS202</f>
        <v>Long Lead</v>
      </c>
      <c r="AT203" s="329" t="s">
        <v>69</v>
      </c>
      <c r="AU203" s="330">
        <v>46521</v>
      </c>
      <c r="AV203" s="271"/>
    </row>
    <row r="204" spans="1:48" s="270" customFormat="1" ht="25.05" hidden="1" customHeight="1">
      <c r="A204" s="333"/>
      <c r="B204" s="334" t="s">
        <v>252</v>
      </c>
      <c r="C204" s="436" t="s">
        <v>253</v>
      </c>
      <c r="D204" s="372"/>
      <c r="E204" s="336"/>
      <c r="F204" s="372"/>
      <c r="G204" s="338">
        <f>G202</f>
        <v>0</v>
      </c>
      <c r="H204" s="339"/>
      <c r="I204" s="338" t="s">
        <v>226</v>
      </c>
      <c r="J204" s="334" t="s">
        <v>67</v>
      </c>
      <c r="K204" s="263">
        <v>2</v>
      </c>
      <c r="L204" s="334" t="s">
        <v>6</v>
      </c>
      <c r="M204" s="340" t="s">
        <v>70</v>
      </c>
      <c r="N204" s="338"/>
      <c r="O204" s="341">
        <v>46163</v>
      </c>
      <c r="P204" s="341">
        <v>46237</v>
      </c>
      <c r="Q204" s="341">
        <v>46237</v>
      </c>
      <c r="R204" s="341">
        <v>46237</v>
      </c>
      <c r="S204" s="341">
        <v>46237</v>
      </c>
      <c r="T204" s="341">
        <v>46237</v>
      </c>
      <c r="U204" s="341">
        <v>46237</v>
      </c>
      <c r="V204" s="341">
        <v>46237</v>
      </c>
      <c r="W204" s="341">
        <v>46237</v>
      </c>
      <c r="X204" s="341">
        <v>46241</v>
      </c>
      <c r="Y204" s="341">
        <v>46241</v>
      </c>
      <c r="Z204" s="341"/>
      <c r="AA204" s="341"/>
      <c r="AB204" s="341"/>
      <c r="AC204" s="341"/>
      <c r="AD204" s="341"/>
      <c r="AE204" s="341"/>
      <c r="AF204" s="341"/>
      <c r="AG204" s="341"/>
      <c r="AH204" s="341"/>
      <c r="AI204" s="341"/>
      <c r="AJ204" s="341"/>
      <c r="AK204" s="342"/>
      <c r="AL204" s="343"/>
      <c r="AM204" s="341"/>
      <c r="AN204" s="344"/>
      <c r="AO204" s="344"/>
      <c r="AP204" s="344"/>
      <c r="AQ204" s="344"/>
      <c r="AR204" s="338"/>
      <c r="AS204" s="345" t="str">
        <f>AS202</f>
        <v>Long Lead</v>
      </c>
      <c r="AT204" s="346"/>
      <c r="AU204" s="345"/>
    </row>
    <row r="205" spans="1:48" s="270" customFormat="1" ht="25.05" customHeight="1">
      <c r="A205" s="315">
        <v>67</v>
      </c>
      <c r="B205" s="263" t="s">
        <v>254</v>
      </c>
      <c r="C205" s="432" t="s">
        <v>255</v>
      </c>
      <c r="D205" s="369"/>
      <c r="E205" s="317"/>
      <c r="F205" s="370"/>
      <c r="G205" s="319"/>
      <c r="H205" s="320"/>
      <c r="I205" s="319" t="s">
        <v>86</v>
      </c>
      <c r="J205" s="263"/>
      <c r="K205" s="321"/>
      <c r="L205" s="263" t="s">
        <v>9</v>
      </c>
      <c r="M205" s="322" t="s">
        <v>63</v>
      </c>
      <c r="N205" s="323"/>
      <c r="O205" s="324">
        <v>46223</v>
      </c>
      <c r="P205" s="324">
        <v>46239</v>
      </c>
      <c r="Q205" s="324">
        <v>46239</v>
      </c>
      <c r="R205" s="324">
        <v>46239</v>
      </c>
      <c r="S205" s="324">
        <v>46239</v>
      </c>
      <c r="T205" s="324">
        <v>46240</v>
      </c>
      <c r="U205" s="324">
        <v>46244</v>
      </c>
      <c r="V205" s="324">
        <v>46258</v>
      </c>
      <c r="W205" s="324"/>
      <c r="X205" s="324">
        <v>46265</v>
      </c>
      <c r="Y205" s="324">
        <v>46267</v>
      </c>
      <c r="Z205" s="324">
        <v>46274</v>
      </c>
      <c r="AA205" s="324">
        <v>46288</v>
      </c>
      <c r="AB205" s="324">
        <v>46302</v>
      </c>
      <c r="AC205" s="324">
        <v>46332</v>
      </c>
      <c r="AD205" s="324">
        <v>46332</v>
      </c>
      <c r="AE205" s="324">
        <v>46334</v>
      </c>
      <c r="AF205" s="324">
        <v>46341</v>
      </c>
      <c r="AG205" s="324">
        <v>46348</v>
      </c>
      <c r="AH205" s="324">
        <v>46355</v>
      </c>
      <c r="AI205" s="324">
        <v>46369</v>
      </c>
      <c r="AJ205" s="324">
        <v>46385</v>
      </c>
      <c r="AK205" s="325">
        <v>12.8571428571429</v>
      </c>
      <c r="AL205" s="326">
        <f>AK205*7</f>
        <v>90.000000000000298</v>
      </c>
      <c r="AM205" s="324">
        <f>X205+AL205</f>
        <v>46355</v>
      </c>
      <c r="AN205" s="327">
        <f>AN206</f>
        <v>46360</v>
      </c>
      <c r="AO205" s="327"/>
      <c r="AP205" s="327"/>
      <c r="AQ205" s="327"/>
      <c r="AR205" s="319">
        <f>AN206-AM205</f>
        <v>5</v>
      </c>
      <c r="AS205" s="328"/>
      <c r="AT205" s="329" t="s">
        <v>65</v>
      </c>
      <c r="AU205" s="330">
        <v>46367</v>
      </c>
      <c r="AV205" s="331">
        <v>33</v>
      </c>
    </row>
    <row r="206" spans="1:48" s="270" customFormat="1" ht="25.05" customHeight="1">
      <c r="A206" s="315"/>
      <c r="B206" s="263" t="s">
        <v>254</v>
      </c>
      <c r="C206" s="432" t="s">
        <v>255</v>
      </c>
      <c r="D206" s="371"/>
      <c r="E206" s="317"/>
      <c r="F206" s="371"/>
      <c r="G206" s="319"/>
      <c r="H206" s="320" t="s">
        <v>256</v>
      </c>
      <c r="I206" s="319" t="s">
        <v>86</v>
      </c>
      <c r="J206" s="263" t="s">
        <v>67</v>
      </c>
      <c r="K206" s="263">
        <v>3</v>
      </c>
      <c r="L206" s="263" t="s">
        <v>9</v>
      </c>
      <c r="M206" s="322" t="s">
        <v>68</v>
      </c>
      <c r="N206" s="324">
        <v>46208</v>
      </c>
      <c r="O206" s="324"/>
      <c r="P206" s="324"/>
      <c r="Q206" s="324"/>
      <c r="R206" s="324"/>
      <c r="S206" s="324"/>
      <c r="T206" s="324"/>
      <c r="U206" s="324">
        <f>T207+2</f>
        <v>46246</v>
      </c>
      <c r="V206" s="324">
        <f>WORKDAY.INTL(U206,INDEX(V$8:V$11,MATCH($L206,$L$8:$L$11,0)),1,IF(V$18="China",'China Holidays'!$A$2:$A$82,'Thai Holidays'!$A$2:$A$63))</f>
        <v>46260</v>
      </c>
      <c r="W206" s="324"/>
      <c r="X206" s="324">
        <f>WORKDAY.INTL(V206,INDEX(X$8:X$11,MATCH($L206,$L$8:$L$11,0)),1,IF(X$18="China",'China Holidays'!$A$2:$A$82,'Thai Holidays'!$A$2:$A$63))</f>
        <v>46267</v>
      </c>
      <c r="Y206" s="324">
        <f>WORKDAY.INTL(X206,INDEX(Y$12:Y$15,MATCH($L206,$L$12:$L$15,0)),1,IF(Y$18="China",'China Holidays'!$A$2:$A$82,'Thai Holidays'!$A$2:$A$63))</f>
        <v>46269</v>
      </c>
      <c r="Z206" s="324">
        <f>WORKDAY.INTL(Y206,INDEX(Z$12:Z$15,MATCH($L206,$L$12:$L$15,0)),1,IF(Z$18="China",'China Holidays'!$A$2:$A$82,'Thai Holidays'!$A$2:$A$63))</f>
        <v>46276</v>
      </c>
      <c r="AA206" s="324">
        <f>WORKDAY.INTL(Z206,INDEX(AA$12:AA$15,MATCH($L206,$L$12:$L$15,0)),1,IF(AA$18="China",'China Holidays'!$A$2:$A$82,'Thai Holidays'!$A$2:$A$63))</f>
        <v>46293</v>
      </c>
      <c r="AB206" s="324">
        <f>WORKDAY.INTL(AA206,INDEX(AB$12:AB$15,MATCH($L206,$L$12:$L$15,0)),1,IF(AB$18="China",'China Holidays'!$A$2:$A$82,'Thai Holidays'!$A$2:$A$63))</f>
        <v>46307</v>
      </c>
      <c r="AC206" s="324">
        <f>AB206+30</f>
        <v>46337</v>
      </c>
      <c r="AD206" s="324">
        <f>AC206</f>
        <v>46337</v>
      </c>
      <c r="AE206" s="324">
        <f>AD206+2</f>
        <v>46339</v>
      </c>
      <c r="AF206" s="324">
        <f>AG206-7</f>
        <v>46343</v>
      </c>
      <c r="AG206" s="324">
        <f>AH206-7</f>
        <v>46350</v>
      </c>
      <c r="AH206" s="324">
        <f>AM206</f>
        <v>46357</v>
      </c>
      <c r="AI206" s="324">
        <f>AM206+14</f>
        <v>46371</v>
      </c>
      <c r="AJ206" s="324">
        <f>AM206+30</f>
        <v>46387</v>
      </c>
      <c r="AK206" s="325">
        <v>12.8571428571429</v>
      </c>
      <c r="AL206" s="326">
        <f>AK206*7</f>
        <v>90.000000000000298</v>
      </c>
      <c r="AM206" s="324">
        <f>IF(X206&lt;&gt;"",X206+AL206,X207+AL206)</f>
        <v>46357</v>
      </c>
      <c r="AN206" s="327">
        <f>AU205-7</f>
        <v>46360</v>
      </c>
      <c r="AO206" s="327">
        <f>AP206-7</f>
        <v>46360</v>
      </c>
      <c r="AP206" s="327">
        <v>46367</v>
      </c>
      <c r="AQ206" s="327"/>
      <c r="AR206" s="319">
        <f>AN206-AM206</f>
        <v>3</v>
      </c>
      <c r="AS206" s="328"/>
      <c r="AT206" s="329" t="s">
        <v>69</v>
      </c>
      <c r="AU206" s="330">
        <v>46367</v>
      </c>
      <c r="AV206" s="271"/>
    </row>
    <row r="207" spans="1:48" s="270" customFormat="1" ht="25.05" customHeight="1">
      <c r="A207" s="333"/>
      <c r="B207" s="334" t="s">
        <v>254</v>
      </c>
      <c r="C207" s="436" t="s">
        <v>255</v>
      </c>
      <c r="D207" s="372"/>
      <c r="E207" s="336"/>
      <c r="F207" s="372"/>
      <c r="G207" s="338"/>
      <c r="H207" s="339"/>
      <c r="I207" s="338" t="s">
        <v>86</v>
      </c>
      <c r="J207" s="334" t="s">
        <v>67</v>
      </c>
      <c r="K207" s="263">
        <v>3</v>
      </c>
      <c r="L207" s="334" t="s">
        <v>9</v>
      </c>
      <c r="M207" s="340" t="s">
        <v>70</v>
      </c>
      <c r="N207" s="341"/>
      <c r="O207" s="341">
        <v>46227</v>
      </c>
      <c r="P207" s="367">
        <f>IF(P225&lt;&gt;"",P225,"")</f>
        <v>46244</v>
      </c>
      <c r="Q207" s="367">
        <f t="shared" ref="Q207:V207" si="0">IF(Q225&lt;&gt;"",Q225,"")</f>
        <v>46244</v>
      </c>
      <c r="R207" s="367">
        <f t="shared" si="0"/>
        <v>46244</v>
      </c>
      <c r="S207" s="367">
        <f>R207+1</f>
        <v>46245</v>
      </c>
      <c r="T207" s="341">
        <v>46244</v>
      </c>
      <c r="U207" s="341"/>
      <c r="V207" s="341" t="str">
        <f t="shared" si="0"/>
        <v/>
      </c>
      <c r="W207" s="341"/>
      <c r="X207" s="338"/>
      <c r="Y207" s="341"/>
      <c r="Z207" s="341"/>
      <c r="AA207" s="341"/>
      <c r="AB207" s="341"/>
      <c r="AC207" s="341"/>
      <c r="AD207" s="341"/>
      <c r="AE207" s="341"/>
      <c r="AF207" s="341"/>
      <c r="AG207" s="341"/>
      <c r="AH207" s="341"/>
      <c r="AI207" s="341"/>
      <c r="AJ207" s="341"/>
      <c r="AK207" s="342"/>
      <c r="AL207" s="343"/>
      <c r="AM207" s="341"/>
      <c r="AN207" s="344"/>
      <c r="AO207" s="344"/>
      <c r="AP207" s="344"/>
      <c r="AQ207" s="344"/>
      <c r="AR207" s="338"/>
      <c r="AS207" s="345"/>
      <c r="AT207" s="346"/>
      <c r="AU207" s="345"/>
    </row>
    <row r="208" spans="1:48" s="270" customFormat="1" ht="25.05" customHeight="1">
      <c r="A208" s="315">
        <v>68</v>
      </c>
      <c r="B208" s="263" t="s">
        <v>257</v>
      </c>
      <c r="C208" s="432" t="s">
        <v>258</v>
      </c>
      <c r="D208" s="369"/>
      <c r="E208" s="317"/>
      <c r="F208" s="370"/>
      <c r="G208" s="319"/>
      <c r="H208" s="320"/>
      <c r="I208" s="319" t="s">
        <v>86</v>
      </c>
      <c r="J208" s="263"/>
      <c r="K208" s="321"/>
      <c r="L208" s="263" t="s">
        <v>9</v>
      </c>
      <c r="M208" s="322" t="s">
        <v>63</v>
      </c>
      <c r="N208" s="323"/>
      <c r="O208" s="324">
        <v>46216</v>
      </c>
      <c r="P208" s="324">
        <v>46230</v>
      </c>
      <c r="Q208" s="324">
        <v>46230</v>
      </c>
      <c r="R208" s="324">
        <v>46230</v>
      </c>
      <c r="S208" s="324">
        <v>46230</v>
      </c>
      <c r="T208" s="324">
        <v>46237</v>
      </c>
      <c r="U208" s="324">
        <v>46244</v>
      </c>
      <c r="V208" s="324">
        <v>46258</v>
      </c>
      <c r="W208" s="324"/>
      <c r="X208" s="324">
        <v>46265</v>
      </c>
      <c r="Y208" s="324">
        <v>46267</v>
      </c>
      <c r="Z208" s="324">
        <v>46274</v>
      </c>
      <c r="AA208" s="324">
        <v>46288</v>
      </c>
      <c r="AB208" s="324">
        <v>46302</v>
      </c>
      <c r="AC208" s="324">
        <v>46332</v>
      </c>
      <c r="AD208" s="324">
        <v>46332</v>
      </c>
      <c r="AE208" s="324">
        <v>46334</v>
      </c>
      <c r="AF208" s="324">
        <v>46419</v>
      </c>
      <c r="AG208" s="324">
        <v>46426</v>
      </c>
      <c r="AH208" s="324">
        <v>46433</v>
      </c>
      <c r="AI208" s="324">
        <v>46447</v>
      </c>
      <c r="AJ208" s="324">
        <v>46463</v>
      </c>
      <c r="AK208" s="325">
        <v>24</v>
      </c>
      <c r="AL208" s="326">
        <f>AK208*7</f>
        <v>168</v>
      </c>
      <c r="AM208" s="324">
        <f>X208+AL208</f>
        <v>46433</v>
      </c>
      <c r="AN208" s="327">
        <f>AN209</f>
        <v>46439</v>
      </c>
      <c r="AO208" s="327"/>
      <c r="AP208" s="327"/>
      <c r="AQ208" s="327"/>
      <c r="AR208" s="319">
        <f>AN209-AM208</f>
        <v>6</v>
      </c>
      <c r="AS208" s="328"/>
      <c r="AT208" s="329" t="s">
        <v>65</v>
      </c>
      <c r="AU208" s="330">
        <v>46446</v>
      </c>
      <c r="AV208" s="331">
        <v>27</v>
      </c>
    </row>
    <row r="209" spans="1:48" s="270" customFormat="1" ht="25.05" customHeight="1">
      <c r="A209" s="315"/>
      <c r="B209" s="263" t="s">
        <v>257</v>
      </c>
      <c r="C209" s="432" t="s">
        <v>258</v>
      </c>
      <c r="D209" s="371"/>
      <c r="E209" s="317"/>
      <c r="F209" s="371"/>
      <c r="G209" s="319"/>
      <c r="H209" s="320" t="s">
        <v>256</v>
      </c>
      <c r="I209" s="319" t="s">
        <v>86</v>
      </c>
      <c r="J209" s="263" t="s">
        <v>67</v>
      </c>
      <c r="K209" s="263">
        <v>3</v>
      </c>
      <c r="L209" s="263" t="s">
        <v>9</v>
      </c>
      <c r="M209" s="322" t="s">
        <v>68</v>
      </c>
      <c r="N209" s="324">
        <v>46208</v>
      </c>
      <c r="O209" s="324"/>
      <c r="P209" s="324"/>
      <c r="Q209" s="324"/>
      <c r="R209" s="324"/>
      <c r="S209" s="324"/>
      <c r="T209" s="324"/>
      <c r="U209" s="324">
        <f>WORKDAY.INTL(T210,INDEX(U$8:U$11,MATCH($L209,$L$8:$L$11,0)),1,IF(U$18="China",'China Holidays'!$A$2:$A$82,'Thai Holidays'!$A$2:$A$63))</f>
        <v>46258</v>
      </c>
      <c r="V209" s="324">
        <f>WORKDAY.INTL(U209,INDEX(V$8:V$11,MATCH($L209,$L$8:$L$11,0)),1,IF(V$18="China",'China Holidays'!$A$2:$A$82,'Thai Holidays'!$A$2:$A$63))</f>
        <v>46272</v>
      </c>
      <c r="W209" s="324"/>
      <c r="X209" s="324">
        <f>WORKDAY.INTL(V209,INDEX(X$8:X$11,MATCH($L209,$L$8:$L$11,0)),1,IF(X$18="China",'China Holidays'!$A$2:$A$82,'Thai Holidays'!$A$2:$A$63))</f>
        <v>46279</v>
      </c>
      <c r="Y209" s="324">
        <f>WORKDAY.INTL(X209,INDEX(Y$12:Y$15,MATCH($L209,$L$12:$L$15,0)),1,IF(Y$18="China",'China Holidays'!$A$2:$A$82,'Thai Holidays'!$A$2:$A$63))</f>
        <v>46281</v>
      </c>
      <c r="Z209" s="324">
        <f>WORKDAY.INTL(Y209,INDEX(Z$12:Z$15,MATCH($L209,$L$12:$L$15,0)),1,IF(Z$18="China",'China Holidays'!$A$2:$A$82,'Thai Holidays'!$A$2:$A$63))</f>
        <v>46288</v>
      </c>
      <c r="AA209" s="324">
        <f>WORKDAY.INTL(Z209,INDEX(AA$12:AA$15,MATCH($L209,$L$12:$L$15,0)),1,IF(AA$18="China",'China Holidays'!$A$2:$A$82,'Thai Holidays'!$A$2:$A$63))</f>
        <v>46310</v>
      </c>
      <c r="AB209" s="324">
        <f>WORKDAY.INTL(AA209,INDEX(AB$12:AB$15,MATCH($L209,$L$12:$L$15,0)),1,IF(AB$18="China",'China Holidays'!$A$2:$A$82,'Thai Holidays'!$A$2:$A$63))</f>
        <v>46325</v>
      </c>
      <c r="AC209" s="324">
        <f>AB209+30</f>
        <v>46355</v>
      </c>
      <c r="AD209" s="324">
        <f>AC209</f>
        <v>46355</v>
      </c>
      <c r="AE209" s="324">
        <f>AD209+2</f>
        <v>46357</v>
      </c>
      <c r="AF209" s="324">
        <f>AG209-7</f>
        <v>46433</v>
      </c>
      <c r="AG209" s="324">
        <f>AH209-7</f>
        <v>46440</v>
      </c>
      <c r="AH209" s="324">
        <f>AM209</f>
        <v>46447</v>
      </c>
      <c r="AI209" s="324">
        <f>AM209+14</f>
        <v>46461</v>
      </c>
      <c r="AJ209" s="324">
        <f>AM209+30</f>
        <v>46477</v>
      </c>
      <c r="AK209" s="325">
        <v>24</v>
      </c>
      <c r="AL209" s="326">
        <f>AK209*7</f>
        <v>168</v>
      </c>
      <c r="AM209" s="324">
        <f>IF(X209&lt;&gt;"",X209+AL209,X210+AL209)</f>
        <v>46447</v>
      </c>
      <c r="AN209" s="327">
        <f>AU208-7</f>
        <v>46439</v>
      </c>
      <c r="AO209" s="327">
        <f>AP209-7</f>
        <v>46436</v>
      </c>
      <c r="AP209" s="327">
        <v>46443</v>
      </c>
      <c r="AQ209" s="327"/>
      <c r="AR209" s="319">
        <f>AN209-AM209</f>
        <v>-8</v>
      </c>
      <c r="AS209" s="328"/>
      <c r="AT209" s="329" t="s">
        <v>69</v>
      </c>
      <c r="AU209" s="330">
        <v>46446</v>
      </c>
      <c r="AV209" s="271"/>
    </row>
    <row r="210" spans="1:48" s="270" customFormat="1" ht="25.05" customHeight="1">
      <c r="A210" s="333"/>
      <c r="B210" s="377" t="s">
        <v>257</v>
      </c>
      <c r="C210" s="436" t="s">
        <v>258</v>
      </c>
      <c r="D210" s="372"/>
      <c r="E210" s="336"/>
      <c r="F210" s="372"/>
      <c r="G210" s="338"/>
      <c r="H210" s="339"/>
      <c r="I210" s="338" t="s">
        <v>86</v>
      </c>
      <c r="J210" s="334" t="s">
        <v>67</v>
      </c>
      <c r="K210" s="263">
        <v>3</v>
      </c>
      <c r="L210" s="334" t="s">
        <v>9</v>
      </c>
      <c r="M210" s="340" t="s">
        <v>70</v>
      </c>
      <c r="N210" s="341"/>
      <c r="O210" s="341">
        <v>46220</v>
      </c>
      <c r="P210" s="341">
        <v>46229</v>
      </c>
      <c r="Q210" s="341">
        <v>46229</v>
      </c>
      <c r="R210" s="341">
        <v>46229</v>
      </c>
      <c r="S210" s="341">
        <f>R210+1</f>
        <v>46230</v>
      </c>
      <c r="T210" s="341">
        <v>46247</v>
      </c>
      <c r="U210" s="341" t="str">
        <f t="shared" ref="U210" ca="1" si="1">IF(U$210&lt;&gt;"",U$210,"")</f>
        <v/>
      </c>
      <c r="V210" s="341"/>
      <c r="W210" s="341"/>
      <c r="X210" s="341"/>
      <c r="Y210" s="341"/>
      <c r="Z210" s="341"/>
      <c r="AA210" s="341"/>
      <c r="AB210" s="341"/>
      <c r="AC210" s="341"/>
      <c r="AD210" s="341"/>
      <c r="AE210" s="341"/>
      <c r="AF210" s="341"/>
      <c r="AG210" s="341"/>
      <c r="AH210" s="341"/>
      <c r="AI210" s="341"/>
      <c r="AJ210" s="341"/>
      <c r="AK210" s="342"/>
      <c r="AL210" s="343"/>
      <c r="AM210" s="341"/>
      <c r="AN210" s="344"/>
      <c r="AO210" s="344"/>
      <c r="AP210" s="344"/>
      <c r="AQ210" s="344"/>
      <c r="AR210" s="338"/>
      <c r="AS210" s="345"/>
      <c r="AT210" s="346"/>
      <c r="AU210" s="345"/>
    </row>
    <row r="211" spans="1:48" s="270" customFormat="1" ht="25.05" customHeight="1">
      <c r="A211" s="315">
        <v>103</v>
      </c>
      <c r="B211" s="263" t="s">
        <v>259</v>
      </c>
      <c r="C211" s="432" t="s">
        <v>260</v>
      </c>
      <c r="D211" s="369"/>
      <c r="E211" s="317"/>
      <c r="F211" s="370"/>
      <c r="G211" s="319"/>
      <c r="H211" s="320"/>
      <c r="I211" s="319" t="s">
        <v>86</v>
      </c>
      <c r="J211" s="263"/>
      <c r="K211" s="321"/>
      <c r="L211" s="263" t="s">
        <v>9</v>
      </c>
      <c r="M211" s="322" t="s">
        <v>63</v>
      </c>
      <c r="N211" s="323"/>
      <c r="O211" s="324">
        <v>46216</v>
      </c>
      <c r="P211" s="324">
        <v>46230</v>
      </c>
      <c r="Q211" s="324">
        <v>46230</v>
      </c>
      <c r="R211" s="324">
        <v>46230</v>
      </c>
      <c r="S211" s="324">
        <v>46230</v>
      </c>
      <c r="T211" s="324">
        <v>46237</v>
      </c>
      <c r="U211" s="324">
        <v>46244</v>
      </c>
      <c r="V211" s="324">
        <v>46258</v>
      </c>
      <c r="W211" s="324"/>
      <c r="X211" s="324">
        <v>46265</v>
      </c>
      <c r="Y211" s="324">
        <v>46267</v>
      </c>
      <c r="Z211" s="324">
        <v>46274</v>
      </c>
      <c r="AA211" s="324">
        <v>46288</v>
      </c>
      <c r="AB211" s="324">
        <v>46302</v>
      </c>
      <c r="AC211" s="324">
        <v>46332</v>
      </c>
      <c r="AD211" s="324">
        <v>46332</v>
      </c>
      <c r="AE211" s="324">
        <v>46334</v>
      </c>
      <c r="AF211" s="324">
        <v>46419</v>
      </c>
      <c r="AG211" s="324">
        <v>46426</v>
      </c>
      <c r="AH211" s="324">
        <v>46433</v>
      </c>
      <c r="AI211" s="324">
        <v>46447</v>
      </c>
      <c r="AJ211" s="324">
        <v>46463</v>
      </c>
      <c r="AK211" s="325">
        <v>24</v>
      </c>
      <c r="AL211" s="326">
        <f>AK211*7</f>
        <v>168</v>
      </c>
      <c r="AM211" s="324">
        <f>X211+AL211</f>
        <v>46433</v>
      </c>
      <c r="AN211" s="327">
        <f>AN212</f>
        <v>46439</v>
      </c>
      <c r="AO211" s="327"/>
      <c r="AP211" s="327"/>
      <c r="AQ211" s="327"/>
      <c r="AR211" s="319">
        <f>AN212-AM211</f>
        <v>6</v>
      </c>
      <c r="AS211" s="328"/>
      <c r="AT211" s="329" t="s">
        <v>65</v>
      </c>
      <c r="AU211" s="330">
        <v>46446</v>
      </c>
      <c r="AV211" s="331">
        <v>27</v>
      </c>
    </row>
    <row r="212" spans="1:48" s="270" customFormat="1" ht="25.05" customHeight="1">
      <c r="A212" s="315"/>
      <c r="B212" s="263" t="s">
        <v>259</v>
      </c>
      <c r="C212" s="432" t="s">
        <v>260</v>
      </c>
      <c r="D212" s="371"/>
      <c r="E212" s="317"/>
      <c r="F212" s="371"/>
      <c r="G212" s="319"/>
      <c r="H212" s="320" t="s">
        <v>256</v>
      </c>
      <c r="I212" s="319" t="s">
        <v>86</v>
      </c>
      <c r="J212" s="263" t="s">
        <v>67</v>
      </c>
      <c r="K212" s="263">
        <v>3</v>
      </c>
      <c r="L212" s="263" t="s">
        <v>9</v>
      </c>
      <c r="M212" s="322" t="s">
        <v>68</v>
      </c>
      <c r="N212" s="324">
        <v>46208</v>
      </c>
      <c r="O212" s="324"/>
      <c r="P212" s="324"/>
      <c r="Q212" s="324"/>
      <c r="R212" s="324"/>
      <c r="S212" s="324"/>
      <c r="T212" s="324"/>
      <c r="U212" s="324">
        <f>WORKDAY.INTL(T213,INDEX(U$8:U$11,MATCH($L212,$L$8:$L$11,0)),1,IF(U$18="China",'China Holidays'!$A$2:$A$82,'Thai Holidays'!$A$2:$A$63))</f>
        <v>46258</v>
      </c>
      <c r="V212" s="324">
        <f>WORKDAY.INTL(U212,INDEX(V$8:V$11,MATCH($L212,$L$8:$L$11,0)),1,IF(V$18="China",'China Holidays'!$A$2:$A$82,'Thai Holidays'!$A$2:$A$63))</f>
        <v>46272</v>
      </c>
      <c r="W212" s="324"/>
      <c r="X212" s="324">
        <f>WORKDAY.INTL(V212,INDEX(X$8:X$11,MATCH($L212,$L$8:$L$11,0)),1,IF(X$18="China",'China Holidays'!$A$2:$A$82,'Thai Holidays'!$A$2:$A$63))</f>
        <v>46279</v>
      </c>
      <c r="Y212" s="324">
        <f>WORKDAY.INTL(X212,INDEX(Y$12:Y$15,MATCH($L212,$L$12:$L$15,0)),1,IF(Y$18="China",'China Holidays'!$A$2:$A$82,'Thai Holidays'!$A$2:$A$63))</f>
        <v>46281</v>
      </c>
      <c r="Z212" s="324">
        <f>WORKDAY.INTL(Y212,INDEX(Z$12:Z$15,MATCH($L212,$L$12:$L$15,0)),1,IF(Z$18="China",'China Holidays'!$A$2:$A$82,'Thai Holidays'!$A$2:$A$63))</f>
        <v>46288</v>
      </c>
      <c r="AA212" s="324">
        <f>WORKDAY.INTL(Z212,INDEX(AA$12:AA$15,MATCH($L212,$L$12:$L$15,0)),1,IF(AA$18="China",'China Holidays'!$A$2:$A$82,'Thai Holidays'!$A$2:$A$63))</f>
        <v>46310</v>
      </c>
      <c r="AB212" s="324">
        <f>WORKDAY.INTL(AA212,INDEX(AB$12:AB$15,MATCH($L212,$L$12:$L$15,0)),1,IF(AB$18="China",'China Holidays'!$A$2:$A$82,'Thai Holidays'!$A$2:$A$63))</f>
        <v>46325</v>
      </c>
      <c r="AC212" s="324">
        <f>AB212+30</f>
        <v>46355</v>
      </c>
      <c r="AD212" s="324">
        <f>AC212</f>
        <v>46355</v>
      </c>
      <c r="AE212" s="324">
        <f>AD212+2</f>
        <v>46357</v>
      </c>
      <c r="AF212" s="324">
        <f>AG212-7</f>
        <v>46433</v>
      </c>
      <c r="AG212" s="324">
        <f>AH212-7</f>
        <v>46440</v>
      </c>
      <c r="AH212" s="324">
        <f>AM212</f>
        <v>46447</v>
      </c>
      <c r="AI212" s="324">
        <f>AM212+14</f>
        <v>46461</v>
      </c>
      <c r="AJ212" s="324">
        <f>AM212+30</f>
        <v>46477</v>
      </c>
      <c r="AK212" s="325">
        <v>24</v>
      </c>
      <c r="AL212" s="326">
        <f>AK212*7</f>
        <v>168</v>
      </c>
      <c r="AM212" s="324">
        <f>IF(X212&lt;&gt;"",X212+AL212,X213+AL212)</f>
        <v>46447</v>
      </c>
      <c r="AN212" s="327">
        <f>AU211-7</f>
        <v>46439</v>
      </c>
      <c r="AO212" s="327">
        <f>AP212-7</f>
        <v>46436</v>
      </c>
      <c r="AP212" s="327">
        <v>46443</v>
      </c>
      <c r="AQ212" s="327"/>
      <c r="AR212" s="319">
        <f>AN212-AM212</f>
        <v>-8</v>
      </c>
      <c r="AS212" s="328"/>
      <c r="AT212" s="329" t="s">
        <v>69</v>
      </c>
      <c r="AU212" s="330">
        <v>46446</v>
      </c>
      <c r="AV212" s="271"/>
    </row>
    <row r="213" spans="1:48" s="270" customFormat="1" ht="25.05" customHeight="1">
      <c r="A213" s="333"/>
      <c r="B213" s="377" t="s">
        <v>259</v>
      </c>
      <c r="C213" s="436" t="s">
        <v>260</v>
      </c>
      <c r="D213" s="372"/>
      <c r="E213" s="336"/>
      <c r="F213" s="372"/>
      <c r="G213" s="338"/>
      <c r="H213" s="339"/>
      <c r="I213" s="338" t="s">
        <v>86</v>
      </c>
      <c r="J213" s="334" t="s">
        <v>67</v>
      </c>
      <c r="K213" s="263">
        <v>3</v>
      </c>
      <c r="L213" s="334" t="s">
        <v>9</v>
      </c>
      <c r="M213" s="340" t="s">
        <v>70</v>
      </c>
      <c r="N213" s="341"/>
      <c r="O213" s="341">
        <v>46220</v>
      </c>
      <c r="P213" s="341">
        <v>46229</v>
      </c>
      <c r="Q213" s="341">
        <v>46229</v>
      </c>
      <c r="R213" s="341">
        <f t="shared" ref="R213:V213" si="2">IF(R$210&lt;&gt;"",R$210,"")</f>
        <v>46229</v>
      </c>
      <c r="S213" s="341">
        <f t="shared" si="2"/>
        <v>46230</v>
      </c>
      <c r="T213" s="341">
        <v>46247</v>
      </c>
      <c r="U213" s="341" t="str">
        <f t="shared" ca="1" si="2"/>
        <v/>
      </c>
      <c r="V213" s="341" t="str">
        <f t="shared" si="2"/>
        <v/>
      </c>
      <c r="W213" s="341"/>
      <c r="X213" s="341"/>
      <c r="Y213" s="341"/>
      <c r="Z213" s="341"/>
      <c r="AA213" s="341"/>
      <c r="AB213" s="341"/>
      <c r="AC213" s="341"/>
      <c r="AD213" s="341"/>
      <c r="AE213" s="341"/>
      <c r="AF213" s="341"/>
      <c r="AG213" s="341"/>
      <c r="AH213" s="341"/>
      <c r="AI213" s="341"/>
      <c r="AJ213" s="341"/>
      <c r="AK213" s="342"/>
      <c r="AL213" s="343"/>
      <c r="AM213" s="341"/>
      <c r="AN213" s="344"/>
      <c r="AO213" s="344"/>
      <c r="AP213" s="344"/>
      <c r="AQ213" s="344"/>
      <c r="AR213" s="338"/>
      <c r="AS213" s="345"/>
      <c r="AT213" s="346"/>
      <c r="AU213" s="345"/>
    </row>
    <row r="214" spans="1:48" s="270" customFormat="1" ht="25.05" customHeight="1">
      <c r="A214" s="315">
        <v>69</v>
      </c>
      <c r="B214" s="263" t="s">
        <v>261</v>
      </c>
      <c r="C214" s="432" t="s">
        <v>262</v>
      </c>
      <c r="D214" s="369"/>
      <c r="E214" s="317"/>
      <c r="F214" s="370"/>
      <c r="G214" s="319"/>
      <c r="H214" s="320"/>
      <c r="I214" s="319" t="s">
        <v>86</v>
      </c>
      <c r="J214" s="263"/>
      <c r="K214" s="321"/>
      <c r="L214" s="263" t="s">
        <v>9</v>
      </c>
      <c r="M214" s="322" t="s">
        <v>63</v>
      </c>
      <c r="N214" s="323"/>
      <c r="O214" s="324">
        <v>46223</v>
      </c>
      <c r="P214" s="324">
        <v>46239</v>
      </c>
      <c r="Q214" s="324">
        <v>46239</v>
      </c>
      <c r="R214" s="324">
        <v>46239</v>
      </c>
      <c r="S214" s="324">
        <v>46239</v>
      </c>
      <c r="T214" s="324">
        <v>46240</v>
      </c>
      <c r="U214" s="324">
        <v>46244</v>
      </c>
      <c r="V214" s="324">
        <v>46258</v>
      </c>
      <c r="W214" s="324"/>
      <c r="X214" s="324">
        <v>46265</v>
      </c>
      <c r="Y214" s="324">
        <v>46267</v>
      </c>
      <c r="Z214" s="324">
        <v>46274</v>
      </c>
      <c r="AA214" s="324">
        <v>46288</v>
      </c>
      <c r="AB214" s="324">
        <v>46302</v>
      </c>
      <c r="AC214" s="324">
        <v>46332</v>
      </c>
      <c r="AD214" s="324">
        <v>46332</v>
      </c>
      <c r="AE214" s="324">
        <v>46334</v>
      </c>
      <c r="AF214" s="324">
        <v>46341</v>
      </c>
      <c r="AG214" s="324">
        <v>46348</v>
      </c>
      <c r="AH214" s="324">
        <v>46355</v>
      </c>
      <c r="AI214" s="324">
        <v>46369</v>
      </c>
      <c r="AJ214" s="324">
        <v>46385</v>
      </c>
      <c r="AK214" s="325">
        <v>12.8571428571429</v>
      </c>
      <c r="AL214" s="326">
        <f>AK214*7</f>
        <v>90.000000000000298</v>
      </c>
      <c r="AM214" s="324">
        <f>X214+AL214</f>
        <v>46355</v>
      </c>
      <c r="AN214" s="327">
        <f>AN215</f>
        <v>46360</v>
      </c>
      <c r="AO214" s="327"/>
      <c r="AP214" s="327"/>
      <c r="AQ214" s="327"/>
      <c r="AR214" s="319">
        <f>AN215-AM214</f>
        <v>5</v>
      </c>
      <c r="AS214" s="328"/>
      <c r="AT214" s="329" t="s">
        <v>65</v>
      </c>
      <c r="AU214" s="330">
        <v>46367</v>
      </c>
      <c r="AV214" s="331">
        <v>33</v>
      </c>
    </row>
    <row r="215" spans="1:48" s="270" customFormat="1" ht="25.05" customHeight="1">
      <c r="A215" s="315"/>
      <c r="B215" s="263" t="s">
        <v>261</v>
      </c>
      <c r="C215" s="432" t="s">
        <v>262</v>
      </c>
      <c r="D215" s="371"/>
      <c r="E215" s="317"/>
      <c r="F215" s="371"/>
      <c r="G215" s="319"/>
      <c r="H215" s="320" t="s">
        <v>256</v>
      </c>
      <c r="I215" s="319" t="s">
        <v>86</v>
      </c>
      <c r="J215" s="263" t="s">
        <v>67</v>
      </c>
      <c r="K215" s="263">
        <v>3</v>
      </c>
      <c r="L215" s="263" t="s">
        <v>9</v>
      </c>
      <c r="M215" s="322" t="s">
        <v>68</v>
      </c>
      <c r="N215" s="324">
        <v>46208</v>
      </c>
      <c r="O215" s="324"/>
      <c r="P215" s="324"/>
      <c r="Q215" s="324"/>
      <c r="R215" s="324"/>
      <c r="S215" s="324"/>
      <c r="T215" s="324"/>
      <c r="U215" s="324">
        <f>T216+2</f>
        <v>46246</v>
      </c>
      <c r="V215" s="324">
        <f>WORKDAY.INTL(U215,INDEX(V$8:V$11,MATCH($L215,$L$8:$L$11,0)),1,IF(V$18="China",'China Holidays'!$A$2:$A$82,'Thai Holidays'!$A$2:$A$63))</f>
        <v>46260</v>
      </c>
      <c r="W215" s="324"/>
      <c r="X215" s="324">
        <f>WORKDAY.INTL(V215,INDEX(X$8:X$11,MATCH($L215,$L$8:$L$11,0)),1,IF(X$18="China",'China Holidays'!$A$2:$A$82,'Thai Holidays'!$A$2:$A$63))</f>
        <v>46267</v>
      </c>
      <c r="Y215" s="324">
        <f>WORKDAY.INTL(X215,INDEX(Y$12:Y$15,MATCH($L215,$L$12:$L$15,0)),1,IF(Y$18="China",'China Holidays'!$A$2:$A$82,'Thai Holidays'!$A$2:$A$63))</f>
        <v>46269</v>
      </c>
      <c r="Z215" s="324">
        <f>WORKDAY.INTL(Y215,INDEX(Z$12:Z$15,MATCH($L215,$L$12:$L$15,0)),1,IF(Z$18="China",'China Holidays'!$A$2:$A$82,'Thai Holidays'!$A$2:$A$63))</f>
        <v>46276</v>
      </c>
      <c r="AA215" s="324">
        <f>WORKDAY.INTL(Z215,INDEX(AA$12:AA$15,MATCH($L215,$L$12:$L$15,0)),1,IF(AA$18="China",'China Holidays'!$A$2:$A$82,'Thai Holidays'!$A$2:$A$63))</f>
        <v>46293</v>
      </c>
      <c r="AB215" s="324">
        <f>WORKDAY.INTL(AA215,INDEX(AB$12:AB$15,MATCH($L215,$L$12:$L$15,0)),1,IF(AB$18="China",'China Holidays'!$A$2:$A$82,'Thai Holidays'!$A$2:$A$63))</f>
        <v>46307</v>
      </c>
      <c r="AC215" s="324">
        <f>AB215+30</f>
        <v>46337</v>
      </c>
      <c r="AD215" s="324">
        <f>AC215</f>
        <v>46337</v>
      </c>
      <c r="AE215" s="324">
        <f>AD215+2</f>
        <v>46339</v>
      </c>
      <c r="AF215" s="324">
        <f>AG215-7</f>
        <v>46343</v>
      </c>
      <c r="AG215" s="324">
        <f>AH215-7</f>
        <v>46350</v>
      </c>
      <c r="AH215" s="324">
        <f>AM215</f>
        <v>46357</v>
      </c>
      <c r="AI215" s="324">
        <f>AM215+14</f>
        <v>46371</v>
      </c>
      <c r="AJ215" s="324">
        <f>AM215+30</f>
        <v>46387</v>
      </c>
      <c r="AK215" s="325">
        <v>12.8571428571429</v>
      </c>
      <c r="AL215" s="326">
        <f>AK215*7</f>
        <v>90.000000000000298</v>
      </c>
      <c r="AM215" s="324">
        <f>IF(X215&lt;&gt;"",X215+AL215,X216+AL215)</f>
        <v>46357</v>
      </c>
      <c r="AN215" s="327">
        <f>AU214-7</f>
        <v>46360</v>
      </c>
      <c r="AO215" s="327">
        <f>AP215-7</f>
        <v>46379</v>
      </c>
      <c r="AP215" s="327">
        <v>46386</v>
      </c>
      <c r="AQ215" s="327"/>
      <c r="AR215" s="319">
        <f>AN215-AM215</f>
        <v>3</v>
      </c>
      <c r="AS215" s="328"/>
      <c r="AT215" s="329" t="s">
        <v>69</v>
      </c>
      <c r="AU215" s="330">
        <v>46367</v>
      </c>
      <c r="AV215" s="271"/>
    </row>
    <row r="216" spans="1:48" s="270" customFormat="1" ht="25.05" customHeight="1">
      <c r="A216" s="333"/>
      <c r="B216" s="334" t="s">
        <v>261</v>
      </c>
      <c r="C216" s="436" t="s">
        <v>262</v>
      </c>
      <c r="D216" s="372"/>
      <c r="E216" s="336"/>
      <c r="F216" s="372"/>
      <c r="G216" s="338"/>
      <c r="H216" s="339"/>
      <c r="I216" s="338" t="s">
        <v>86</v>
      </c>
      <c r="J216" s="334" t="s">
        <v>67</v>
      </c>
      <c r="K216" s="263">
        <v>3</v>
      </c>
      <c r="L216" s="334" t="s">
        <v>9</v>
      </c>
      <c r="M216" s="340" t="s">
        <v>70</v>
      </c>
      <c r="N216" s="341"/>
      <c r="O216" s="341">
        <v>46227</v>
      </c>
      <c r="P216" s="367">
        <f>IF(P225&lt;&gt;"",P225,"")</f>
        <v>46244</v>
      </c>
      <c r="Q216" s="367">
        <f t="shared" ref="Q216:V216" si="3">IF(Q225&lt;&gt;"",Q225,"")</f>
        <v>46244</v>
      </c>
      <c r="R216" s="367">
        <f t="shared" si="3"/>
        <v>46244</v>
      </c>
      <c r="S216" s="367">
        <f>R216+1</f>
        <v>46245</v>
      </c>
      <c r="T216" s="341">
        <v>46244</v>
      </c>
      <c r="U216" s="341"/>
      <c r="V216" s="341" t="str">
        <f t="shared" si="3"/>
        <v/>
      </c>
      <c r="W216" s="341"/>
      <c r="X216" s="338"/>
      <c r="Y216" s="341"/>
      <c r="Z216" s="341"/>
      <c r="AA216" s="341"/>
      <c r="AB216" s="341"/>
      <c r="AC216" s="341"/>
      <c r="AD216" s="341"/>
      <c r="AE216" s="341"/>
      <c r="AF216" s="341"/>
      <c r="AG216" s="341"/>
      <c r="AH216" s="341"/>
      <c r="AI216" s="341"/>
      <c r="AJ216" s="341"/>
      <c r="AK216" s="342"/>
      <c r="AL216" s="343"/>
      <c r="AM216" s="341"/>
      <c r="AN216" s="344"/>
      <c r="AO216" s="344"/>
      <c r="AP216" s="344"/>
      <c r="AQ216" s="344"/>
      <c r="AR216" s="338"/>
      <c r="AS216" s="345"/>
      <c r="AT216" s="346"/>
      <c r="AU216" s="345"/>
    </row>
    <row r="217" spans="1:48" s="270" customFormat="1" ht="25.05" customHeight="1">
      <c r="A217" s="315">
        <v>70</v>
      </c>
      <c r="B217" s="263" t="s">
        <v>263</v>
      </c>
      <c r="C217" s="432" t="s">
        <v>264</v>
      </c>
      <c r="D217" s="369"/>
      <c r="E217" s="317"/>
      <c r="F217" s="370"/>
      <c r="G217" s="319"/>
      <c r="H217" s="320"/>
      <c r="I217" s="319" t="s">
        <v>86</v>
      </c>
      <c r="J217" s="263"/>
      <c r="K217" s="321"/>
      <c r="L217" s="263" t="s">
        <v>9</v>
      </c>
      <c r="M217" s="322" t="s">
        <v>63</v>
      </c>
      <c r="N217" s="323"/>
      <c r="O217" s="324">
        <v>46216</v>
      </c>
      <c r="P217" s="324">
        <v>46230</v>
      </c>
      <c r="Q217" s="324">
        <v>46230</v>
      </c>
      <c r="R217" s="324">
        <v>46230</v>
      </c>
      <c r="S217" s="324">
        <v>46230</v>
      </c>
      <c r="T217" s="324">
        <v>46237</v>
      </c>
      <c r="U217" s="324">
        <v>46244</v>
      </c>
      <c r="V217" s="324">
        <v>46258</v>
      </c>
      <c r="W217" s="324"/>
      <c r="X217" s="324">
        <v>46265</v>
      </c>
      <c r="Y217" s="324">
        <v>46267</v>
      </c>
      <c r="Z217" s="324">
        <v>46274</v>
      </c>
      <c r="AA217" s="324">
        <v>46288</v>
      </c>
      <c r="AB217" s="324">
        <v>46302</v>
      </c>
      <c r="AC217" s="324">
        <v>46332</v>
      </c>
      <c r="AD217" s="324">
        <v>46332</v>
      </c>
      <c r="AE217" s="324">
        <v>46334</v>
      </c>
      <c r="AF217" s="324">
        <v>46419</v>
      </c>
      <c r="AG217" s="324">
        <v>46426</v>
      </c>
      <c r="AH217" s="324">
        <v>46433</v>
      </c>
      <c r="AI217" s="324">
        <v>46447</v>
      </c>
      <c r="AJ217" s="324">
        <v>46463</v>
      </c>
      <c r="AK217" s="325">
        <v>24</v>
      </c>
      <c r="AL217" s="326">
        <f>AK217*7</f>
        <v>168</v>
      </c>
      <c r="AM217" s="324">
        <f>X217+AL217</f>
        <v>46433</v>
      </c>
      <c r="AN217" s="327">
        <f>AN218</f>
        <v>46439</v>
      </c>
      <c r="AO217" s="327"/>
      <c r="AP217" s="327"/>
      <c r="AQ217" s="327"/>
      <c r="AR217" s="319">
        <f>AN218-AM217</f>
        <v>6</v>
      </c>
      <c r="AS217" s="328"/>
      <c r="AT217" s="329" t="s">
        <v>65</v>
      </c>
      <c r="AU217" s="330">
        <v>46446</v>
      </c>
      <c r="AV217" s="331">
        <v>27</v>
      </c>
    </row>
    <row r="218" spans="1:48" s="270" customFormat="1" ht="25.05" customHeight="1">
      <c r="A218" s="315"/>
      <c r="B218" s="263" t="s">
        <v>263</v>
      </c>
      <c r="C218" s="432" t="s">
        <v>264</v>
      </c>
      <c r="D218" s="371"/>
      <c r="E218" s="317"/>
      <c r="F218" s="371"/>
      <c r="G218" s="319"/>
      <c r="H218" s="320" t="s">
        <v>256</v>
      </c>
      <c r="I218" s="319" t="s">
        <v>86</v>
      </c>
      <c r="J218" s="263" t="s">
        <v>67</v>
      </c>
      <c r="K218" s="263">
        <v>3</v>
      </c>
      <c r="L218" s="263" t="s">
        <v>9</v>
      </c>
      <c r="M218" s="322" t="s">
        <v>68</v>
      </c>
      <c r="N218" s="324">
        <v>46208</v>
      </c>
      <c r="O218" s="324"/>
      <c r="P218" s="324"/>
      <c r="Q218" s="324"/>
      <c r="R218" s="324"/>
      <c r="S218" s="324"/>
      <c r="T218" s="324"/>
      <c r="U218" s="324">
        <f>WORKDAY.INTL(T219,INDEX(U$8:U$11,MATCH($L218,$L$8:$L$11,0)),1,IF(U$18="China",'China Holidays'!$A$2:$A$82,'Thai Holidays'!$A$2:$A$63))</f>
        <v>46258</v>
      </c>
      <c r="V218" s="324">
        <f>WORKDAY.INTL(U218,INDEX(V$8:V$11,MATCH($L218,$L$8:$L$11,0)),1,IF(V$18="China",'China Holidays'!$A$2:$A$82,'Thai Holidays'!$A$2:$A$63))</f>
        <v>46272</v>
      </c>
      <c r="W218" s="324"/>
      <c r="X218" s="324">
        <f>WORKDAY.INTL(V218,INDEX(X$8:X$11,MATCH($L218,$L$8:$L$11,0)),1,IF(X$18="China",'China Holidays'!$A$2:$A$82,'Thai Holidays'!$A$2:$A$63))</f>
        <v>46279</v>
      </c>
      <c r="Y218" s="324">
        <f>WORKDAY.INTL(X218,INDEX(Y$12:Y$15,MATCH($L218,$L$12:$L$15,0)),1,IF(Y$18="China",'China Holidays'!$A$2:$A$82,'Thai Holidays'!$A$2:$A$63))</f>
        <v>46281</v>
      </c>
      <c r="Z218" s="324">
        <f>WORKDAY.INTL(Y218,INDEX(Z$12:Z$15,MATCH($L218,$L$12:$L$15,0)),1,IF(Z$18="China",'China Holidays'!$A$2:$A$82,'Thai Holidays'!$A$2:$A$63))</f>
        <v>46288</v>
      </c>
      <c r="AA218" s="324">
        <f>WORKDAY.INTL(Z218,INDEX(AA$12:AA$15,MATCH($L218,$L$12:$L$15,0)),1,IF(AA$18="China",'China Holidays'!$A$2:$A$82,'Thai Holidays'!$A$2:$A$63))</f>
        <v>46310</v>
      </c>
      <c r="AB218" s="324">
        <f>WORKDAY.INTL(AA218,INDEX(AB$12:AB$15,MATCH($L218,$L$12:$L$15,0)),1,IF(AB$18="China",'China Holidays'!$A$2:$A$82,'Thai Holidays'!$A$2:$A$63))</f>
        <v>46325</v>
      </c>
      <c r="AC218" s="324">
        <f>AB218+30</f>
        <v>46355</v>
      </c>
      <c r="AD218" s="324">
        <f>AC218</f>
        <v>46355</v>
      </c>
      <c r="AE218" s="324">
        <f>AD218+2</f>
        <v>46357</v>
      </c>
      <c r="AF218" s="324">
        <f>AG218-7</f>
        <v>46433</v>
      </c>
      <c r="AG218" s="324">
        <f>AH218-7</f>
        <v>46440</v>
      </c>
      <c r="AH218" s="324">
        <f>AM218</f>
        <v>46447</v>
      </c>
      <c r="AI218" s="324">
        <f>AM218+14</f>
        <v>46461</v>
      </c>
      <c r="AJ218" s="324">
        <f>AM218+30</f>
        <v>46477</v>
      </c>
      <c r="AK218" s="325">
        <v>24</v>
      </c>
      <c r="AL218" s="326">
        <f>AK218*7</f>
        <v>168</v>
      </c>
      <c r="AM218" s="324">
        <f>IF(X218&lt;&gt;"",X218+AL218,X219+AL218)</f>
        <v>46447</v>
      </c>
      <c r="AN218" s="327">
        <f>AU217-7</f>
        <v>46439</v>
      </c>
      <c r="AO218" s="327">
        <f>AP218-7</f>
        <v>46454</v>
      </c>
      <c r="AP218" s="327">
        <v>46461</v>
      </c>
      <c r="AQ218" s="327"/>
      <c r="AR218" s="319">
        <f>AN218-AM218</f>
        <v>-8</v>
      </c>
      <c r="AS218" s="328"/>
      <c r="AT218" s="329" t="s">
        <v>69</v>
      </c>
      <c r="AU218" s="330">
        <v>46446</v>
      </c>
      <c r="AV218" s="271"/>
    </row>
    <row r="219" spans="1:48" s="270" customFormat="1" ht="25.05" customHeight="1">
      <c r="A219" s="333"/>
      <c r="B219" s="377" t="s">
        <v>263</v>
      </c>
      <c r="C219" s="436" t="s">
        <v>264</v>
      </c>
      <c r="D219" s="372"/>
      <c r="E219" s="336"/>
      <c r="F219" s="372"/>
      <c r="G219" s="338"/>
      <c r="H219" s="339"/>
      <c r="I219" s="338" t="s">
        <v>86</v>
      </c>
      <c r="J219" s="334" t="s">
        <v>67</v>
      </c>
      <c r="K219" s="263">
        <v>3</v>
      </c>
      <c r="L219" s="334" t="s">
        <v>9</v>
      </c>
      <c r="M219" s="340" t="s">
        <v>70</v>
      </c>
      <c r="N219" s="341"/>
      <c r="O219" s="341">
        <v>46220</v>
      </c>
      <c r="P219" s="341">
        <v>46229</v>
      </c>
      <c r="Q219" s="341">
        <v>46229</v>
      </c>
      <c r="R219" s="341">
        <f>IF(R$210&lt;&gt;"",R$210,"")</f>
        <v>46229</v>
      </c>
      <c r="S219" s="341">
        <f>IF(S$210&lt;&gt;"",S$210,"")</f>
        <v>46230</v>
      </c>
      <c r="T219" s="341">
        <v>46247</v>
      </c>
      <c r="U219" s="341" t="str">
        <f t="shared" ref="U219" ca="1" si="4">IF(U$210&lt;&gt;"",U$210,"")</f>
        <v/>
      </c>
      <c r="V219" s="341" t="str">
        <f>IF(V$210&lt;&gt;"",V$210,"")</f>
        <v/>
      </c>
      <c r="W219" s="341"/>
      <c r="X219" s="341"/>
      <c r="Y219" s="341"/>
      <c r="Z219" s="341"/>
      <c r="AA219" s="341"/>
      <c r="AB219" s="341"/>
      <c r="AC219" s="341"/>
      <c r="AD219" s="341"/>
      <c r="AE219" s="341"/>
      <c r="AF219" s="341"/>
      <c r="AG219" s="341"/>
      <c r="AH219" s="341"/>
      <c r="AI219" s="341"/>
      <c r="AJ219" s="341"/>
      <c r="AK219" s="342"/>
      <c r="AL219" s="343"/>
      <c r="AM219" s="341"/>
      <c r="AN219" s="344"/>
      <c r="AO219" s="344"/>
      <c r="AP219" s="344"/>
      <c r="AQ219" s="344"/>
      <c r="AR219" s="338"/>
      <c r="AS219" s="345"/>
      <c r="AT219" s="346"/>
      <c r="AU219" s="345"/>
    </row>
    <row r="220" spans="1:48" s="270" customFormat="1" ht="25.05" customHeight="1">
      <c r="A220" s="315">
        <v>104</v>
      </c>
      <c r="B220" s="263" t="s">
        <v>265</v>
      </c>
      <c r="C220" s="432" t="s">
        <v>266</v>
      </c>
      <c r="D220" s="369"/>
      <c r="E220" s="317"/>
      <c r="F220" s="370"/>
      <c r="G220" s="319"/>
      <c r="H220" s="320"/>
      <c r="I220" s="319" t="s">
        <v>86</v>
      </c>
      <c r="J220" s="263"/>
      <c r="K220" s="321"/>
      <c r="L220" s="263" t="s">
        <v>9</v>
      </c>
      <c r="M220" s="322" t="s">
        <v>63</v>
      </c>
      <c r="N220" s="323"/>
      <c r="O220" s="324">
        <v>46216</v>
      </c>
      <c r="P220" s="324">
        <v>46230</v>
      </c>
      <c r="Q220" s="324">
        <v>46230</v>
      </c>
      <c r="R220" s="324">
        <v>46230</v>
      </c>
      <c r="S220" s="324">
        <v>46230</v>
      </c>
      <c r="T220" s="324">
        <v>46237</v>
      </c>
      <c r="U220" s="324">
        <v>46244</v>
      </c>
      <c r="V220" s="324">
        <v>46258</v>
      </c>
      <c r="W220" s="324"/>
      <c r="X220" s="324">
        <v>46265</v>
      </c>
      <c r="Y220" s="324">
        <v>46267</v>
      </c>
      <c r="Z220" s="324">
        <v>46274</v>
      </c>
      <c r="AA220" s="324">
        <v>46288</v>
      </c>
      <c r="AB220" s="324">
        <v>46302</v>
      </c>
      <c r="AC220" s="324">
        <v>46332</v>
      </c>
      <c r="AD220" s="324">
        <v>46332</v>
      </c>
      <c r="AE220" s="324">
        <v>46334</v>
      </c>
      <c r="AF220" s="324">
        <v>46419</v>
      </c>
      <c r="AG220" s="324">
        <v>46426</v>
      </c>
      <c r="AH220" s="324">
        <v>46433</v>
      </c>
      <c r="AI220" s="324">
        <v>46447</v>
      </c>
      <c r="AJ220" s="324">
        <v>46463</v>
      </c>
      <c r="AK220" s="325">
        <v>24</v>
      </c>
      <c r="AL220" s="326">
        <f>AK220*7</f>
        <v>168</v>
      </c>
      <c r="AM220" s="324">
        <f>X220+AL220</f>
        <v>46433</v>
      </c>
      <c r="AN220" s="327">
        <f>AN221</f>
        <v>46439</v>
      </c>
      <c r="AO220" s="327"/>
      <c r="AP220" s="327"/>
      <c r="AQ220" s="327"/>
      <c r="AR220" s="319">
        <f>AN221-AM220</f>
        <v>6</v>
      </c>
      <c r="AS220" s="328"/>
      <c r="AT220" s="329" t="s">
        <v>65</v>
      </c>
      <c r="AU220" s="330">
        <v>46446</v>
      </c>
      <c r="AV220" s="331">
        <v>27</v>
      </c>
    </row>
    <row r="221" spans="1:48" s="270" customFormat="1" ht="25.05" customHeight="1">
      <c r="A221" s="315"/>
      <c r="B221" s="263" t="s">
        <v>265</v>
      </c>
      <c r="C221" s="432" t="s">
        <v>266</v>
      </c>
      <c r="D221" s="371"/>
      <c r="E221" s="317"/>
      <c r="F221" s="371"/>
      <c r="G221" s="319"/>
      <c r="H221" s="320" t="s">
        <v>256</v>
      </c>
      <c r="I221" s="319" t="s">
        <v>86</v>
      </c>
      <c r="J221" s="263" t="s">
        <v>67</v>
      </c>
      <c r="K221" s="263">
        <v>3</v>
      </c>
      <c r="L221" s="263" t="s">
        <v>9</v>
      </c>
      <c r="M221" s="322" t="s">
        <v>68</v>
      </c>
      <c r="N221" s="324">
        <v>46208</v>
      </c>
      <c r="O221" s="324"/>
      <c r="P221" s="324"/>
      <c r="Q221" s="324"/>
      <c r="R221" s="324"/>
      <c r="S221" s="324"/>
      <c r="T221" s="324"/>
      <c r="U221" s="324">
        <f>WORKDAY.INTL(T222,INDEX(U$8:U$11,MATCH($L221,$L$8:$L$11,0)),1,IF(U$18="China",'China Holidays'!$A$2:$A$82,'Thai Holidays'!$A$2:$A$63))</f>
        <v>46258</v>
      </c>
      <c r="V221" s="324">
        <f>WORKDAY.INTL(U221,INDEX(V$8:V$11,MATCH($L221,$L$8:$L$11,0)),1,IF(V$18="China",'China Holidays'!$A$2:$A$82,'Thai Holidays'!$A$2:$A$63))</f>
        <v>46272</v>
      </c>
      <c r="W221" s="324"/>
      <c r="X221" s="324">
        <f>WORKDAY.INTL(V221,INDEX(X$8:X$11,MATCH($L221,$L$8:$L$11,0)),1,IF(X$18="China",'China Holidays'!$A$2:$A$82,'Thai Holidays'!$A$2:$A$63))</f>
        <v>46279</v>
      </c>
      <c r="Y221" s="324">
        <f>WORKDAY.INTL(X221,INDEX(Y$12:Y$15,MATCH($L221,$L$12:$L$15,0)),1,IF(Y$18="China",'China Holidays'!$A$2:$A$82,'Thai Holidays'!$A$2:$A$63))</f>
        <v>46281</v>
      </c>
      <c r="Z221" s="324">
        <f>WORKDAY.INTL(Y221,INDEX(Z$12:Z$15,MATCH($L221,$L$12:$L$15,0)),1,IF(Z$18="China",'China Holidays'!$A$2:$A$82,'Thai Holidays'!$A$2:$A$63))</f>
        <v>46288</v>
      </c>
      <c r="AA221" s="324">
        <f>WORKDAY.INTL(Z221,INDEX(AA$12:AA$15,MATCH($L221,$L$12:$L$15,0)),1,IF(AA$18="China",'China Holidays'!$A$2:$A$82,'Thai Holidays'!$A$2:$A$63))</f>
        <v>46310</v>
      </c>
      <c r="AB221" s="324">
        <f>WORKDAY.INTL(AA221,INDEX(AB$12:AB$15,MATCH($L221,$L$12:$L$15,0)),1,IF(AB$18="China",'China Holidays'!$A$2:$A$82,'Thai Holidays'!$A$2:$A$63))</f>
        <v>46325</v>
      </c>
      <c r="AC221" s="324">
        <f>AB221+30</f>
        <v>46355</v>
      </c>
      <c r="AD221" s="324">
        <f>AC221</f>
        <v>46355</v>
      </c>
      <c r="AE221" s="324">
        <f>AD221+2</f>
        <v>46357</v>
      </c>
      <c r="AF221" s="324">
        <f>AG221-7</f>
        <v>46433</v>
      </c>
      <c r="AG221" s="324">
        <f>AH221-7</f>
        <v>46440</v>
      </c>
      <c r="AH221" s="324">
        <f>AM221</f>
        <v>46447</v>
      </c>
      <c r="AI221" s="324">
        <f>AM221+14</f>
        <v>46461</v>
      </c>
      <c r="AJ221" s="324">
        <f>AM221+30</f>
        <v>46477</v>
      </c>
      <c r="AK221" s="325">
        <v>24</v>
      </c>
      <c r="AL221" s="326">
        <f>AK221*7</f>
        <v>168</v>
      </c>
      <c r="AM221" s="324">
        <f>IF(X221&lt;&gt;"",X221+AL221,X222+AL221)</f>
        <v>46447</v>
      </c>
      <c r="AN221" s="327">
        <f>AU220-7</f>
        <v>46439</v>
      </c>
      <c r="AO221" s="327">
        <f>AP221-7</f>
        <v>46454</v>
      </c>
      <c r="AP221" s="327">
        <v>46461</v>
      </c>
      <c r="AQ221" s="327"/>
      <c r="AR221" s="319">
        <f>AN221-AM221</f>
        <v>-8</v>
      </c>
      <c r="AS221" s="328"/>
      <c r="AT221" s="329" t="s">
        <v>69</v>
      </c>
      <c r="AU221" s="330">
        <v>46446</v>
      </c>
      <c r="AV221" s="271"/>
    </row>
    <row r="222" spans="1:48" s="270" customFormat="1" ht="25.05" customHeight="1">
      <c r="A222" s="333"/>
      <c r="B222" s="377" t="s">
        <v>265</v>
      </c>
      <c r="C222" s="436" t="s">
        <v>266</v>
      </c>
      <c r="D222" s="372"/>
      <c r="E222" s="336"/>
      <c r="F222" s="372"/>
      <c r="G222" s="338"/>
      <c r="H222" s="339"/>
      <c r="I222" s="338" t="s">
        <v>86</v>
      </c>
      <c r="J222" s="334" t="s">
        <v>67</v>
      </c>
      <c r="K222" s="263">
        <v>3</v>
      </c>
      <c r="L222" s="334" t="s">
        <v>9</v>
      </c>
      <c r="M222" s="340" t="s">
        <v>70</v>
      </c>
      <c r="N222" s="341"/>
      <c r="O222" s="341">
        <v>46220</v>
      </c>
      <c r="P222" s="341">
        <v>46229</v>
      </c>
      <c r="Q222" s="341">
        <v>46229</v>
      </c>
      <c r="R222" s="341">
        <f t="shared" ref="R222:V222" si="5">IF(R$210&lt;&gt;"",R$210,"")</f>
        <v>46229</v>
      </c>
      <c r="S222" s="341">
        <f t="shared" si="5"/>
        <v>46230</v>
      </c>
      <c r="T222" s="341">
        <v>46247</v>
      </c>
      <c r="U222" s="341" t="str">
        <f t="shared" ref="U222" ca="1" si="6">IF(U$210&lt;&gt;"",U$210,"")</f>
        <v/>
      </c>
      <c r="V222" s="341" t="str">
        <f t="shared" si="5"/>
        <v/>
      </c>
      <c r="W222" s="341"/>
      <c r="X222" s="341"/>
      <c r="Y222" s="341"/>
      <c r="Z222" s="341"/>
      <c r="AA222" s="341"/>
      <c r="AB222" s="341"/>
      <c r="AC222" s="341"/>
      <c r="AD222" s="341"/>
      <c r="AE222" s="341"/>
      <c r="AF222" s="341"/>
      <c r="AG222" s="341"/>
      <c r="AH222" s="341"/>
      <c r="AI222" s="341"/>
      <c r="AJ222" s="341"/>
      <c r="AK222" s="342"/>
      <c r="AL222" s="343"/>
      <c r="AM222" s="341"/>
      <c r="AN222" s="344"/>
      <c r="AO222" s="344"/>
      <c r="AP222" s="344"/>
      <c r="AQ222" s="344"/>
      <c r="AR222" s="338"/>
      <c r="AS222" s="345"/>
      <c r="AT222" s="346"/>
      <c r="AU222" s="345"/>
    </row>
    <row r="223" spans="1:48" s="270" customFormat="1" ht="25.05" customHeight="1">
      <c r="A223" s="315">
        <v>72</v>
      </c>
      <c r="B223" s="263" t="s">
        <v>267</v>
      </c>
      <c r="C223" s="432" t="s">
        <v>268</v>
      </c>
      <c r="D223" s="369"/>
      <c r="E223" s="317"/>
      <c r="F223" s="370"/>
      <c r="G223" s="319"/>
      <c r="H223" s="320"/>
      <c r="I223" s="319" t="s">
        <v>86</v>
      </c>
      <c r="J223" s="263"/>
      <c r="K223" s="321"/>
      <c r="L223" s="263" t="s">
        <v>9</v>
      </c>
      <c r="M223" s="322" t="s">
        <v>63</v>
      </c>
      <c r="N223" s="323"/>
      <c r="O223" s="324">
        <v>46223</v>
      </c>
      <c r="P223" s="324">
        <v>46239</v>
      </c>
      <c r="Q223" s="324">
        <v>46239</v>
      </c>
      <c r="R223" s="324">
        <v>46239</v>
      </c>
      <c r="S223" s="324">
        <v>46239</v>
      </c>
      <c r="T223" s="324">
        <v>46240</v>
      </c>
      <c r="U223" s="324">
        <v>46244</v>
      </c>
      <c r="V223" s="324">
        <v>46258</v>
      </c>
      <c r="W223" s="324"/>
      <c r="X223" s="324">
        <v>46265</v>
      </c>
      <c r="Y223" s="324">
        <v>46267</v>
      </c>
      <c r="Z223" s="324">
        <v>46274</v>
      </c>
      <c r="AA223" s="324">
        <v>46288</v>
      </c>
      <c r="AB223" s="324">
        <v>46302</v>
      </c>
      <c r="AC223" s="324">
        <v>46332</v>
      </c>
      <c r="AD223" s="324">
        <v>46332</v>
      </c>
      <c r="AE223" s="324">
        <v>46334</v>
      </c>
      <c r="AF223" s="324">
        <v>46341</v>
      </c>
      <c r="AG223" s="324">
        <v>46348</v>
      </c>
      <c r="AH223" s="324">
        <v>46355</v>
      </c>
      <c r="AI223" s="324">
        <v>46369</v>
      </c>
      <c r="AJ223" s="324">
        <v>46385</v>
      </c>
      <c r="AK223" s="325">
        <v>12.8571428571429</v>
      </c>
      <c r="AL223" s="326">
        <f>AK223*7</f>
        <v>90.000000000000298</v>
      </c>
      <c r="AM223" s="324">
        <f>X223+AL223</f>
        <v>46355</v>
      </c>
      <c r="AN223" s="327">
        <f>AN224</f>
        <v>46360</v>
      </c>
      <c r="AO223" s="327"/>
      <c r="AP223" s="327"/>
      <c r="AQ223" s="327"/>
      <c r="AR223" s="319">
        <f>AN224-AM223</f>
        <v>5</v>
      </c>
      <c r="AS223" s="328"/>
      <c r="AT223" s="329" t="s">
        <v>65</v>
      </c>
      <c r="AU223" s="330">
        <v>46367</v>
      </c>
      <c r="AV223" s="331">
        <v>33</v>
      </c>
    </row>
    <row r="224" spans="1:48" s="270" customFormat="1" ht="25.05" customHeight="1">
      <c r="A224" s="315"/>
      <c r="B224" s="263" t="s">
        <v>267</v>
      </c>
      <c r="C224" s="432" t="s">
        <v>268</v>
      </c>
      <c r="D224" s="371"/>
      <c r="E224" s="317"/>
      <c r="F224" s="371"/>
      <c r="G224" s="319"/>
      <c r="H224" s="320" t="s">
        <v>256</v>
      </c>
      <c r="I224" s="319" t="s">
        <v>86</v>
      </c>
      <c r="J224" s="263" t="s">
        <v>67</v>
      </c>
      <c r="K224" s="263">
        <v>3</v>
      </c>
      <c r="L224" s="263" t="s">
        <v>9</v>
      </c>
      <c r="M224" s="322" t="s">
        <v>68</v>
      </c>
      <c r="N224" s="324">
        <v>46208</v>
      </c>
      <c r="O224" s="324"/>
      <c r="P224" s="324"/>
      <c r="Q224" s="324"/>
      <c r="R224" s="324"/>
      <c r="S224" s="324"/>
      <c r="T224" s="324"/>
      <c r="U224" s="324">
        <f>T225+2</f>
        <v>46246</v>
      </c>
      <c r="V224" s="324">
        <f>WORKDAY.INTL(U224,INDEX(V$8:V$11,MATCH($L224,$L$8:$L$11,0)),1,IF(V$18="China",'China Holidays'!$A$2:$A$82,'Thai Holidays'!$A$2:$A$63))</f>
        <v>46260</v>
      </c>
      <c r="W224" s="324"/>
      <c r="X224" s="324">
        <f>WORKDAY.INTL(V224,INDEX(X$8:X$11,MATCH($L224,$L$8:$L$11,0)),1,IF(X$18="China",'China Holidays'!$A$2:$A$82,'Thai Holidays'!$A$2:$A$63))</f>
        <v>46267</v>
      </c>
      <c r="Y224" s="324">
        <f>WORKDAY.INTL(X224,INDEX(Y$12:Y$15,MATCH($L224,$L$12:$L$15,0)),1,IF(Y$18="China",'China Holidays'!$A$2:$A$82,'Thai Holidays'!$A$2:$A$63))</f>
        <v>46269</v>
      </c>
      <c r="Z224" s="324">
        <f>WORKDAY.INTL(Y224,INDEX(Z$12:Z$15,MATCH($L224,$L$12:$L$15,0)),1,IF(Z$18="China",'China Holidays'!$A$2:$A$82,'Thai Holidays'!$A$2:$A$63))</f>
        <v>46276</v>
      </c>
      <c r="AA224" s="324">
        <f>WORKDAY.INTL(Z224,INDEX(AA$12:AA$15,MATCH($L224,$L$12:$L$15,0)),1,IF(AA$18="China",'China Holidays'!$A$2:$A$82,'Thai Holidays'!$A$2:$A$63))</f>
        <v>46293</v>
      </c>
      <c r="AB224" s="324">
        <f>WORKDAY.INTL(AA224,INDEX(AB$12:AB$15,MATCH($L224,$L$12:$L$15,0)),1,IF(AB$18="China",'China Holidays'!$A$2:$A$82,'Thai Holidays'!$A$2:$A$63))</f>
        <v>46307</v>
      </c>
      <c r="AC224" s="324">
        <f>AB224+30</f>
        <v>46337</v>
      </c>
      <c r="AD224" s="324">
        <f>AC224</f>
        <v>46337</v>
      </c>
      <c r="AE224" s="324">
        <f>AD224+2</f>
        <v>46339</v>
      </c>
      <c r="AF224" s="324">
        <f>AG224-7</f>
        <v>46343</v>
      </c>
      <c r="AG224" s="324">
        <f>AH224-7</f>
        <v>46350</v>
      </c>
      <c r="AH224" s="324">
        <f>AM224</f>
        <v>46357</v>
      </c>
      <c r="AI224" s="324">
        <f>AM224+14</f>
        <v>46371</v>
      </c>
      <c r="AJ224" s="324">
        <f>AM224+30</f>
        <v>46387</v>
      </c>
      <c r="AK224" s="325">
        <v>12.8571428571429</v>
      </c>
      <c r="AL224" s="326">
        <f>AK224*7</f>
        <v>90.000000000000298</v>
      </c>
      <c r="AM224" s="324">
        <f>IF(X224&lt;&gt;"",X224+AL224,X225+AL224)</f>
        <v>46357</v>
      </c>
      <c r="AN224" s="327">
        <f>AU223-7</f>
        <v>46360</v>
      </c>
      <c r="AO224" s="327">
        <f>AP224-7</f>
        <v>46360</v>
      </c>
      <c r="AP224" s="327">
        <v>46367</v>
      </c>
      <c r="AQ224" s="327"/>
      <c r="AR224" s="319">
        <f>AN224-AM224</f>
        <v>3</v>
      </c>
      <c r="AS224" s="328"/>
      <c r="AT224" s="329" t="s">
        <v>69</v>
      </c>
      <c r="AU224" s="330">
        <v>46367</v>
      </c>
      <c r="AV224" s="271"/>
    </row>
    <row r="225" spans="1:48" s="270" customFormat="1" ht="25.05" customHeight="1">
      <c r="A225" s="333"/>
      <c r="B225" s="334" t="s">
        <v>267</v>
      </c>
      <c r="C225" s="436" t="s">
        <v>268</v>
      </c>
      <c r="D225" s="378"/>
      <c r="E225" s="379"/>
      <c r="F225" s="378"/>
      <c r="G225" s="338"/>
      <c r="H225" s="339"/>
      <c r="I225" s="338" t="s">
        <v>86</v>
      </c>
      <c r="J225" s="334" t="s">
        <v>67</v>
      </c>
      <c r="K225" s="263">
        <v>3</v>
      </c>
      <c r="L225" s="334" t="s">
        <v>9</v>
      </c>
      <c r="M225" s="340" t="s">
        <v>70</v>
      </c>
      <c r="N225" s="341"/>
      <c r="O225" s="341">
        <v>46227</v>
      </c>
      <c r="P225" s="367">
        <v>46244</v>
      </c>
      <c r="Q225" s="367">
        <v>46244</v>
      </c>
      <c r="R225" s="367">
        <v>46244</v>
      </c>
      <c r="S225" s="367">
        <f>R225+1</f>
        <v>46245</v>
      </c>
      <c r="T225" s="341">
        <v>46244</v>
      </c>
      <c r="U225" s="341"/>
      <c r="V225" s="341"/>
      <c r="W225" s="341"/>
      <c r="X225" s="338"/>
      <c r="Y225" s="341"/>
      <c r="Z225" s="341"/>
      <c r="AA225" s="341"/>
      <c r="AB225" s="341"/>
      <c r="AC225" s="341"/>
      <c r="AD225" s="341"/>
      <c r="AE225" s="341"/>
      <c r="AF225" s="341"/>
      <c r="AG225" s="341"/>
      <c r="AH225" s="341"/>
      <c r="AI225" s="341"/>
      <c r="AJ225" s="341"/>
      <c r="AK225" s="342"/>
      <c r="AL225" s="343"/>
      <c r="AM225" s="341"/>
      <c r="AN225" s="344"/>
      <c r="AO225" s="344"/>
      <c r="AP225" s="344"/>
      <c r="AQ225" s="344"/>
      <c r="AR225" s="338"/>
      <c r="AS225" s="345"/>
      <c r="AT225" s="346"/>
      <c r="AU225" s="345"/>
    </row>
    <row r="226" spans="1:48" s="270" customFormat="1" ht="25.05" customHeight="1">
      <c r="A226" s="315">
        <v>73</v>
      </c>
      <c r="B226" s="263" t="s">
        <v>269</v>
      </c>
      <c r="C226" s="432" t="s">
        <v>270</v>
      </c>
      <c r="D226" s="369"/>
      <c r="E226" s="317"/>
      <c r="F226" s="370"/>
      <c r="G226" s="319"/>
      <c r="H226" s="320"/>
      <c r="I226" s="319" t="s">
        <v>86</v>
      </c>
      <c r="J226" s="263"/>
      <c r="K226" s="321"/>
      <c r="L226" s="263" t="s">
        <v>9</v>
      </c>
      <c r="M226" s="322" t="s">
        <v>63</v>
      </c>
      <c r="N226" s="323"/>
      <c r="O226" s="324">
        <v>46216</v>
      </c>
      <c r="P226" s="324">
        <v>46230</v>
      </c>
      <c r="Q226" s="324">
        <v>46230</v>
      </c>
      <c r="R226" s="324">
        <v>46230</v>
      </c>
      <c r="S226" s="324">
        <v>46230</v>
      </c>
      <c r="T226" s="324">
        <v>46237</v>
      </c>
      <c r="U226" s="324">
        <v>46244</v>
      </c>
      <c r="V226" s="324">
        <v>46251</v>
      </c>
      <c r="W226" s="324"/>
      <c r="X226" s="324">
        <v>46258</v>
      </c>
      <c r="Y226" s="324">
        <v>46260</v>
      </c>
      <c r="Z226" s="324">
        <v>46267</v>
      </c>
      <c r="AA226" s="324">
        <v>46281</v>
      </c>
      <c r="AB226" s="324">
        <v>46295</v>
      </c>
      <c r="AC226" s="324">
        <v>46325</v>
      </c>
      <c r="AD226" s="324">
        <v>46325</v>
      </c>
      <c r="AE226" s="324">
        <v>46327</v>
      </c>
      <c r="AF226" s="324">
        <v>46412</v>
      </c>
      <c r="AG226" s="324">
        <v>46419</v>
      </c>
      <c r="AH226" s="324">
        <v>46426</v>
      </c>
      <c r="AI226" s="324">
        <v>46440</v>
      </c>
      <c r="AJ226" s="324">
        <v>46456</v>
      </c>
      <c r="AK226" s="325">
        <v>24</v>
      </c>
      <c r="AL226" s="326">
        <f>AK226*7</f>
        <v>168</v>
      </c>
      <c r="AM226" s="324">
        <f>X226+AL226</f>
        <v>46426</v>
      </c>
      <c r="AN226" s="327">
        <f>AN227</f>
        <v>46429</v>
      </c>
      <c r="AO226" s="327"/>
      <c r="AP226" s="327"/>
      <c r="AQ226" s="327"/>
      <c r="AR226" s="319">
        <f>AN227-AM226</f>
        <v>3</v>
      </c>
      <c r="AS226" s="328"/>
      <c r="AT226" s="329" t="s">
        <v>65</v>
      </c>
      <c r="AU226" s="330">
        <v>46451</v>
      </c>
      <c r="AV226" s="331">
        <v>34</v>
      </c>
    </row>
    <row r="227" spans="1:48" s="270" customFormat="1" ht="25.05" customHeight="1">
      <c r="A227" s="315"/>
      <c r="B227" s="263" t="s">
        <v>269</v>
      </c>
      <c r="C227" s="432" t="s">
        <v>270</v>
      </c>
      <c r="D227" s="380"/>
      <c r="E227" s="381"/>
      <c r="F227" s="380"/>
      <c r="G227" s="319"/>
      <c r="H227" s="320" t="s">
        <v>256</v>
      </c>
      <c r="I227" s="319" t="s">
        <v>86</v>
      </c>
      <c r="J227" s="263" t="s">
        <v>67</v>
      </c>
      <c r="K227" s="263">
        <v>3</v>
      </c>
      <c r="L227" s="263" t="s">
        <v>9</v>
      </c>
      <c r="M227" s="322" t="s">
        <v>68</v>
      </c>
      <c r="N227" s="324">
        <v>46218</v>
      </c>
      <c r="O227" s="324"/>
      <c r="P227" s="324"/>
      <c r="Q227" s="324"/>
      <c r="R227" s="324"/>
      <c r="S227" s="324"/>
      <c r="T227" s="362">
        <v>46246</v>
      </c>
      <c r="U227" s="324">
        <f>WORKDAY.INTL(T227,INDEX(U$8:U$11,MATCH($L227,$L$8:$L$11,0)),1,IF(U$18="China",'China Holidays'!$A$2:$A$82,'Thai Holidays'!$A$2:$A$63))</f>
        <v>46255</v>
      </c>
      <c r="V227" s="324">
        <f>WORKDAY.INTL(U227,INDEX(V$8:V$11,MATCH($L227,$L$8:$L$11,0)),1,IF(V$18="China",'China Holidays'!$A$2:$A$82,'Thai Holidays'!$A$2:$A$63))</f>
        <v>46269</v>
      </c>
      <c r="W227" s="324"/>
      <c r="X227" s="324">
        <f>WORKDAY.INTL(V227,INDEX(X$8:X$11,MATCH($L227,$L$8:$L$11,0)),1,IF(X$18="China",'China Holidays'!$A$2:$A$82,'Thai Holidays'!$A$2:$A$63))</f>
        <v>46276</v>
      </c>
      <c r="Y227" s="324">
        <f>WORKDAY.INTL(X227,INDEX(Y$12:Y$15,MATCH($L227,$L$12:$L$15,0)),1,IF(Y$18="China",'China Holidays'!$A$2:$A$82,'Thai Holidays'!$A$2:$A$63))</f>
        <v>46280</v>
      </c>
      <c r="Z227" s="324">
        <f>WORKDAY.INTL(Y227,INDEX(Z$12:Z$15,MATCH($L227,$L$12:$L$15,0)),1,IF(Z$18="China",'China Holidays'!$A$2:$A$82,'Thai Holidays'!$A$2:$A$63))</f>
        <v>46287</v>
      </c>
      <c r="AA227" s="324">
        <f>WORKDAY.INTL(Z227,INDEX(AA$12:AA$15,MATCH($L227,$L$12:$L$15,0)),1,IF(AA$18="China",'China Holidays'!$A$2:$A$82,'Thai Holidays'!$A$2:$A$63))</f>
        <v>46309</v>
      </c>
      <c r="AB227" s="324">
        <f>WORKDAY.INTL(AA227,INDEX(AB$12:AB$15,MATCH($L227,$L$12:$L$15,0)),1,IF(AB$18="China",'China Holidays'!$A$2:$A$82,'Thai Holidays'!$A$2:$A$63))</f>
        <v>46324</v>
      </c>
      <c r="AC227" s="324">
        <f>AB227+30</f>
        <v>46354</v>
      </c>
      <c r="AD227" s="324">
        <f>AC227</f>
        <v>46354</v>
      </c>
      <c r="AE227" s="324">
        <f>AD227+2</f>
        <v>46356</v>
      </c>
      <c r="AF227" s="324">
        <f>AG227-7</f>
        <v>46430</v>
      </c>
      <c r="AG227" s="324">
        <f>AH227-7</f>
        <v>46437</v>
      </c>
      <c r="AH227" s="324">
        <f>AM227</f>
        <v>46444</v>
      </c>
      <c r="AI227" s="324">
        <f>AM227+14</f>
        <v>46458</v>
      </c>
      <c r="AJ227" s="324">
        <f>AM227+30</f>
        <v>46474</v>
      </c>
      <c r="AK227" s="325">
        <v>24</v>
      </c>
      <c r="AL227" s="326">
        <f>AK227*7</f>
        <v>168</v>
      </c>
      <c r="AM227" s="324">
        <f>IF(X227&lt;&gt;"",X227+AL227,X228+AL227)</f>
        <v>46444</v>
      </c>
      <c r="AN227" s="382">
        <f>AO227-7</f>
        <v>46429</v>
      </c>
      <c r="AO227" s="327">
        <f>AP227-7</f>
        <v>46436</v>
      </c>
      <c r="AP227" s="327">
        <v>46443</v>
      </c>
      <c r="AQ227" s="327"/>
      <c r="AR227" s="319">
        <f>AN227-AM227</f>
        <v>-15</v>
      </c>
      <c r="AS227" s="328"/>
      <c r="AT227" s="329" t="s">
        <v>69</v>
      </c>
      <c r="AU227" s="330">
        <v>46451</v>
      </c>
      <c r="AV227" s="271"/>
    </row>
    <row r="228" spans="1:48" s="270" customFormat="1" ht="25.05" customHeight="1">
      <c r="A228" s="333"/>
      <c r="B228" s="377" t="s">
        <v>269</v>
      </c>
      <c r="C228" s="436" t="s">
        <v>270</v>
      </c>
      <c r="D228" s="378"/>
      <c r="E228" s="379"/>
      <c r="F228" s="378"/>
      <c r="G228" s="338"/>
      <c r="H228" s="339"/>
      <c r="I228" s="338" t="s">
        <v>86</v>
      </c>
      <c r="J228" s="334" t="s">
        <v>67</v>
      </c>
      <c r="K228" s="263">
        <v>3</v>
      </c>
      <c r="L228" s="334" t="s">
        <v>9</v>
      </c>
      <c r="M228" s="340" t="s">
        <v>70</v>
      </c>
      <c r="N228" s="338"/>
      <c r="O228" s="341">
        <v>46220</v>
      </c>
      <c r="P228" s="341">
        <v>46229</v>
      </c>
      <c r="Q228" s="341">
        <v>46229</v>
      </c>
      <c r="R228" s="341">
        <f t="shared" ref="R228:V228" si="7">IF(R$210&lt;&gt;"",R$210,"")</f>
        <v>46229</v>
      </c>
      <c r="S228" s="341">
        <f t="shared" si="7"/>
        <v>46230</v>
      </c>
      <c r="T228" s="341"/>
      <c r="U228" s="341" t="str">
        <f t="shared" ref="U228" ca="1" si="8">IF(U$210&lt;&gt;"",U$210,"")</f>
        <v/>
      </c>
      <c r="V228" s="341" t="str">
        <f t="shared" si="7"/>
        <v/>
      </c>
      <c r="W228" s="341"/>
      <c r="X228" s="341"/>
      <c r="Y228" s="341"/>
      <c r="Z228" s="341"/>
      <c r="AA228" s="341"/>
      <c r="AB228" s="341"/>
      <c r="AC228" s="341"/>
      <c r="AD228" s="341"/>
      <c r="AE228" s="341"/>
      <c r="AF228" s="341"/>
      <c r="AG228" s="341"/>
      <c r="AH228" s="341"/>
      <c r="AI228" s="341"/>
      <c r="AJ228" s="341"/>
      <c r="AK228" s="342"/>
      <c r="AL228" s="343"/>
      <c r="AM228" s="341"/>
      <c r="AN228" s="344"/>
      <c r="AO228" s="344"/>
      <c r="AP228" s="344"/>
      <c r="AQ228" s="344"/>
      <c r="AR228" s="338"/>
      <c r="AS228" s="345"/>
      <c r="AT228" s="346"/>
      <c r="AU228" s="345"/>
    </row>
    <row r="229" spans="1:48" s="273" customFormat="1" ht="25.05" customHeight="1">
      <c r="A229" s="383">
        <v>75</v>
      </c>
      <c r="B229" s="384" t="s">
        <v>271</v>
      </c>
      <c r="C229" s="388" t="s">
        <v>272</v>
      </c>
      <c r="D229" s="385"/>
      <c r="E229" s="386"/>
      <c r="F229" s="387"/>
      <c r="G229" s="388"/>
      <c r="H229" s="389"/>
      <c r="I229" s="388" t="s">
        <v>86</v>
      </c>
      <c r="J229" s="384"/>
      <c r="K229" s="390"/>
      <c r="L229" s="384">
        <v>0</v>
      </c>
      <c r="M229" s="391" t="s">
        <v>63</v>
      </c>
      <c r="N229" s="392"/>
      <c r="O229" s="393">
        <v>46223</v>
      </c>
      <c r="P229" s="393">
        <v>46230</v>
      </c>
      <c r="Q229" s="393">
        <v>46231</v>
      </c>
      <c r="R229" s="393">
        <v>46237</v>
      </c>
      <c r="S229" s="393">
        <v>46238</v>
      </c>
      <c r="T229" s="393">
        <v>46244</v>
      </c>
      <c r="U229" s="393">
        <v>46254</v>
      </c>
      <c r="V229" s="393">
        <v>46258</v>
      </c>
      <c r="W229" s="393"/>
      <c r="X229" s="393">
        <v>46265</v>
      </c>
      <c r="Y229" s="393">
        <v>46267</v>
      </c>
      <c r="Z229" s="393">
        <v>46274</v>
      </c>
      <c r="AA229" s="393">
        <v>46288</v>
      </c>
      <c r="AB229" s="393">
        <v>46302</v>
      </c>
      <c r="AC229" s="393">
        <v>46309</v>
      </c>
      <c r="AD229" s="393">
        <v>46309</v>
      </c>
      <c r="AE229" s="393">
        <v>46311</v>
      </c>
      <c r="AF229" s="393">
        <v>46371</v>
      </c>
      <c r="AG229" s="393">
        <v>46378</v>
      </c>
      <c r="AH229" s="393">
        <v>46385</v>
      </c>
      <c r="AI229" s="393">
        <v>46399</v>
      </c>
      <c r="AJ229" s="393">
        <v>46415</v>
      </c>
      <c r="AK229" s="394">
        <v>17.1428571428571</v>
      </c>
      <c r="AL229" s="395">
        <f>AK229*7</f>
        <v>119.9999999999997</v>
      </c>
      <c r="AM229" s="393">
        <f>X229+AL229</f>
        <v>46385</v>
      </c>
      <c r="AN229" s="396">
        <f>AN230</f>
        <v>46439</v>
      </c>
      <c r="AO229" s="393"/>
      <c r="AP229" s="393"/>
      <c r="AQ229" s="393"/>
      <c r="AR229" s="388">
        <f>AN230-AM229</f>
        <v>54</v>
      </c>
      <c r="AS229" s="397"/>
      <c r="AT229" s="398" t="s">
        <v>65</v>
      </c>
      <c r="AU229" s="399">
        <v>46446</v>
      </c>
      <c r="AV229" s="331" t="s">
        <v>183</v>
      </c>
    </row>
    <row r="230" spans="1:48" s="273" customFormat="1" ht="25.05" customHeight="1">
      <c r="A230" s="383"/>
      <c r="B230" s="384" t="s">
        <v>271</v>
      </c>
      <c r="C230" s="388" t="s">
        <v>272</v>
      </c>
      <c r="D230" s="400"/>
      <c r="E230" s="386"/>
      <c r="F230" s="400"/>
      <c r="G230" s="388"/>
      <c r="H230" s="389" t="s">
        <v>256</v>
      </c>
      <c r="I230" s="388" t="s">
        <v>86</v>
      </c>
      <c r="J230" s="384"/>
      <c r="K230" s="384"/>
      <c r="L230" s="384"/>
      <c r="M230" s="391" t="s">
        <v>68</v>
      </c>
      <c r="N230" s="393">
        <v>46208</v>
      </c>
      <c r="O230" s="393">
        <v>46223</v>
      </c>
      <c r="P230" s="393">
        <v>46239</v>
      </c>
      <c r="Q230" s="393">
        <v>46239</v>
      </c>
      <c r="R230" s="393">
        <v>46239</v>
      </c>
      <c r="S230" s="393">
        <v>46239</v>
      </c>
      <c r="T230" s="393">
        <v>46246</v>
      </c>
      <c r="U230" s="393">
        <v>46255</v>
      </c>
      <c r="V230" s="393">
        <v>46269</v>
      </c>
      <c r="W230" s="393"/>
      <c r="X230" s="393">
        <v>46276</v>
      </c>
      <c r="Y230" s="393">
        <v>46280</v>
      </c>
      <c r="Z230" s="393">
        <v>46287</v>
      </c>
      <c r="AA230" s="393">
        <v>46309</v>
      </c>
      <c r="AB230" s="393">
        <v>46324</v>
      </c>
      <c r="AC230" s="393">
        <v>46331</v>
      </c>
      <c r="AD230" s="393">
        <v>46331</v>
      </c>
      <c r="AE230" s="393">
        <v>46333</v>
      </c>
      <c r="AF230" s="393">
        <v>46382</v>
      </c>
      <c r="AG230" s="393">
        <v>46389</v>
      </c>
      <c r="AH230" s="393">
        <v>46396</v>
      </c>
      <c r="AI230" s="393">
        <v>46410</v>
      </c>
      <c r="AJ230" s="393">
        <v>46426</v>
      </c>
      <c r="AK230" s="325">
        <v>17.1428571428571</v>
      </c>
      <c r="AL230" s="395">
        <f>AK230*7</f>
        <v>119.9999999999997</v>
      </c>
      <c r="AM230" s="393">
        <f>IF(X230&lt;&gt;"",X230+AL230,X231+AL230)</f>
        <v>46396</v>
      </c>
      <c r="AN230" s="393">
        <f>AU229-7</f>
        <v>46439</v>
      </c>
      <c r="AO230" s="393">
        <f>AP230-7</f>
        <v>46436</v>
      </c>
      <c r="AP230" s="393">
        <v>46443</v>
      </c>
      <c r="AQ230" s="393"/>
      <c r="AR230" s="388">
        <f>AN230-AM230</f>
        <v>43</v>
      </c>
      <c r="AS230" s="397"/>
      <c r="AT230" s="398" t="s">
        <v>69</v>
      </c>
      <c r="AU230" s="399">
        <v>46446</v>
      </c>
    </row>
    <row r="231" spans="1:48" s="273" customFormat="1" ht="25.05" customHeight="1">
      <c r="A231" s="401"/>
      <c r="B231" s="402" t="s">
        <v>271</v>
      </c>
      <c r="C231" s="403" t="s">
        <v>272</v>
      </c>
      <c r="D231" s="404"/>
      <c r="E231" s="405"/>
      <c r="F231" s="404"/>
      <c r="G231" s="403"/>
      <c r="H231" s="406"/>
      <c r="I231" s="403" t="s">
        <v>86</v>
      </c>
      <c r="J231" s="402"/>
      <c r="K231" s="384"/>
      <c r="L231" s="402"/>
      <c r="M231" s="407" t="s">
        <v>70</v>
      </c>
      <c r="N231" s="403"/>
      <c r="O231" s="408">
        <v>46227</v>
      </c>
      <c r="P231" s="408"/>
      <c r="Q231" s="408"/>
      <c r="R231" s="408"/>
      <c r="S231" s="408"/>
      <c r="T231" s="408"/>
      <c r="U231" s="408"/>
      <c r="V231" s="408"/>
      <c r="W231" s="408"/>
      <c r="X231" s="409"/>
      <c r="Y231" s="408"/>
      <c r="Z231" s="408"/>
      <c r="AA231" s="410"/>
      <c r="AB231" s="410"/>
      <c r="AC231" s="410"/>
      <c r="AD231" s="410"/>
      <c r="AE231" s="410"/>
      <c r="AF231" s="410"/>
      <c r="AG231" s="410"/>
      <c r="AH231" s="410"/>
      <c r="AI231" s="410"/>
      <c r="AJ231" s="410"/>
      <c r="AK231" s="361"/>
      <c r="AL231" s="410"/>
      <c r="AM231" s="410"/>
      <c r="AN231" s="410"/>
      <c r="AO231" s="410"/>
      <c r="AP231" s="410"/>
      <c r="AQ231" s="410"/>
      <c r="AR231" s="410"/>
      <c r="AS231" s="411"/>
      <c r="AT231" s="412"/>
      <c r="AU231" s="411"/>
    </row>
    <row r="232" spans="1:48" s="273" customFormat="1" ht="25.05" customHeight="1">
      <c r="A232" s="383">
        <v>76</v>
      </c>
      <c r="B232" s="384" t="s">
        <v>273</v>
      </c>
      <c r="C232" s="388" t="s">
        <v>274</v>
      </c>
      <c r="D232" s="385"/>
      <c r="E232" s="386"/>
      <c r="F232" s="387"/>
      <c r="G232" s="388"/>
      <c r="H232" s="389"/>
      <c r="I232" s="388" t="s">
        <v>86</v>
      </c>
      <c r="J232" s="384"/>
      <c r="K232" s="390"/>
      <c r="L232" s="384">
        <v>0</v>
      </c>
      <c r="M232" s="391" t="s">
        <v>63</v>
      </c>
      <c r="N232" s="392"/>
      <c r="O232" s="393">
        <v>46223</v>
      </c>
      <c r="P232" s="393">
        <v>46230</v>
      </c>
      <c r="Q232" s="393">
        <v>46231</v>
      </c>
      <c r="R232" s="393">
        <v>46237</v>
      </c>
      <c r="S232" s="393">
        <v>46238</v>
      </c>
      <c r="T232" s="393">
        <v>46244</v>
      </c>
      <c r="U232" s="393">
        <v>46254</v>
      </c>
      <c r="V232" s="393">
        <v>46258</v>
      </c>
      <c r="W232" s="393"/>
      <c r="X232" s="393">
        <v>46265</v>
      </c>
      <c r="Y232" s="393">
        <v>46267</v>
      </c>
      <c r="Z232" s="393">
        <v>46274</v>
      </c>
      <c r="AA232" s="393">
        <v>46288</v>
      </c>
      <c r="AB232" s="393">
        <v>46302</v>
      </c>
      <c r="AC232" s="393">
        <v>46309</v>
      </c>
      <c r="AD232" s="393">
        <v>46309</v>
      </c>
      <c r="AE232" s="393">
        <v>46311</v>
      </c>
      <c r="AF232" s="393">
        <v>46371</v>
      </c>
      <c r="AG232" s="393">
        <v>46378</v>
      </c>
      <c r="AH232" s="393">
        <v>46385</v>
      </c>
      <c r="AI232" s="393">
        <v>46399</v>
      </c>
      <c r="AJ232" s="393">
        <v>46415</v>
      </c>
      <c r="AK232" s="394">
        <v>17.1428571428571</v>
      </c>
      <c r="AL232" s="395">
        <f>AK232*7</f>
        <v>119.9999999999997</v>
      </c>
      <c r="AM232" s="393">
        <f>X232+AL232</f>
        <v>46385</v>
      </c>
      <c r="AN232" s="396">
        <f>AN233</f>
        <v>46439</v>
      </c>
      <c r="AO232" s="393"/>
      <c r="AP232" s="393"/>
      <c r="AQ232" s="393"/>
      <c r="AR232" s="388">
        <f>AN233-AM232</f>
        <v>54</v>
      </c>
      <c r="AS232" s="397"/>
      <c r="AT232" s="398" t="s">
        <v>65</v>
      </c>
      <c r="AU232" s="399">
        <v>46446</v>
      </c>
      <c r="AV232" s="331" t="s">
        <v>183</v>
      </c>
    </row>
    <row r="233" spans="1:48" s="273" customFormat="1" ht="25.05" customHeight="1">
      <c r="A233" s="383"/>
      <c r="B233" s="384" t="s">
        <v>273</v>
      </c>
      <c r="C233" s="388" t="s">
        <v>274</v>
      </c>
      <c r="D233" s="400"/>
      <c r="E233" s="386"/>
      <c r="F233" s="400"/>
      <c r="G233" s="388"/>
      <c r="H233" s="389" t="s">
        <v>256</v>
      </c>
      <c r="I233" s="388" t="s">
        <v>86</v>
      </c>
      <c r="J233" s="384"/>
      <c r="K233" s="384"/>
      <c r="L233" s="384"/>
      <c r="M233" s="391" t="s">
        <v>68</v>
      </c>
      <c r="N233" s="393">
        <v>46208</v>
      </c>
      <c r="O233" s="393">
        <v>46223</v>
      </c>
      <c r="P233" s="393">
        <v>46239</v>
      </c>
      <c r="Q233" s="393">
        <v>46239</v>
      </c>
      <c r="R233" s="393">
        <v>46239</v>
      </c>
      <c r="S233" s="393">
        <v>46239</v>
      </c>
      <c r="T233" s="393">
        <v>46246</v>
      </c>
      <c r="U233" s="393">
        <v>46255</v>
      </c>
      <c r="V233" s="393">
        <v>46269</v>
      </c>
      <c r="W233" s="393"/>
      <c r="X233" s="393">
        <v>46276</v>
      </c>
      <c r="Y233" s="393">
        <v>46280</v>
      </c>
      <c r="Z233" s="393">
        <v>46287</v>
      </c>
      <c r="AA233" s="393">
        <v>46309</v>
      </c>
      <c r="AB233" s="393">
        <v>46324</v>
      </c>
      <c r="AC233" s="393">
        <v>46331</v>
      </c>
      <c r="AD233" s="393">
        <v>46331</v>
      </c>
      <c r="AE233" s="393">
        <v>46333</v>
      </c>
      <c r="AF233" s="393">
        <v>46382</v>
      </c>
      <c r="AG233" s="393">
        <v>46389</v>
      </c>
      <c r="AH233" s="393">
        <v>46396</v>
      </c>
      <c r="AI233" s="393">
        <v>46410</v>
      </c>
      <c r="AJ233" s="393">
        <v>46426</v>
      </c>
      <c r="AK233" s="325">
        <v>17.1428571428571</v>
      </c>
      <c r="AL233" s="395">
        <f>AK233*7</f>
        <v>119.9999999999997</v>
      </c>
      <c r="AM233" s="393">
        <f>IF(X233&lt;&gt;"",X233+AL233,X234+AL233)</f>
        <v>46396</v>
      </c>
      <c r="AN233" s="393">
        <f>AU232-7</f>
        <v>46439</v>
      </c>
      <c r="AO233" s="393">
        <f>AP233-7</f>
        <v>46436</v>
      </c>
      <c r="AP233" s="393">
        <v>46443</v>
      </c>
      <c r="AQ233" s="393"/>
      <c r="AR233" s="388">
        <f>AN233-AM233</f>
        <v>43</v>
      </c>
      <c r="AS233" s="397"/>
      <c r="AT233" s="398" t="s">
        <v>69</v>
      </c>
      <c r="AU233" s="399">
        <v>46446</v>
      </c>
    </row>
    <row r="234" spans="1:48" s="273" customFormat="1" ht="25.05" customHeight="1">
      <c r="A234" s="401"/>
      <c r="B234" s="402" t="s">
        <v>273</v>
      </c>
      <c r="C234" s="403" t="s">
        <v>274</v>
      </c>
      <c r="D234" s="404"/>
      <c r="E234" s="405"/>
      <c r="F234" s="404"/>
      <c r="G234" s="403"/>
      <c r="H234" s="406"/>
      <c r="I234" s="403" t="s">
        <v>86</v>
      </c>
      <c r="J234" s="402"/>
      <c r="K234" s="384"/>
      <c r="L234" s="402"/>
      <c r="M234" s="407" t="s">
        <v>70</v>
      </c>
      <c r="N234" s="403"/>
      <c r="O234" s="408">
        <v>46227</v>
      </c>
      <c r="P234" s="408"/>
      <c r="Q234" s="408"/>
      <c r="R234" s="408"/>
      <c r="S234" s="408"/>
      <c r="T234" s="408"/>
      <c r="U234" s="408"/>
      <c r="V234" s="408"/>
      <c r="W234" s="408"/>
      <c r="X234" s="409"/>
      <c r="Y234" s="408"/>
      <c r="Z234" s="408"/>
      <c r="AA234" s="410"/>
      <c r="AB234" s="410"/>
      <c r="AC234" s="410"/>
      <c r="AD234" s="410"/>
      <c r="AE234" s="410"/>
      <c r="AF234" s="410"/>
      <c r="AG234" s="410"/>
      <c r="AH234" s="410"/>
      <c r="AI234" s="410"/>
      <c r="AJ234" s="410"/>
      <c r="AK234" s="361"/>
      <c r="AL234" s="410"/>
      <c r="AM234" s="410"/>
      <c r="AN234" s="410"/>
      <c r="AO234" s="410"/>
      <c r="AP234" s="410"/>
      <c r="AQ234" s="410"/>
      <c r="AR234" s="410"/>
      <c r="AS234" s="411"/>
      <c r="AT234" s="412"/>
      <c r="AU234" s="411"/>
    </row>
    <row r="235" spans="1:48" s="270" customFormat="1" ht="25.05" hidden="1" customHeight="1">
      <c r="A235" s="315">
        <v>77</v>
      </c>
      <c r="B235" s="263" t="s">
        <v>275</v>
      </c>
      <c r="C235" s="432" t="s">
        <v>276</v>
      </c>
      <c r="D235" s="369"/>
      <c r="E235" s="317"/>
      <c r="F235" s="370"/>
      <c r="G235" s="319"/>
      <c r="H235" s="320"/>
      <c r="I235" s="319" t="s">
        <v>121</v>
      </c>
      <c r="J235" s="263"/>
      <c r="K235" s="321"/>
      <c r="L235" s="263" t="s">
        <v>9</v>
      </c>
      <c r="M235" s="322" t="s">
        <v>63</v>
      </c>
      <c r="N235" s="323"/>
      <c r="O235" s="324">
        <v>46237</v>
      </c>
      <c r="P235" s="324">
        <v>46252</v>
      </c>
      <c r="Q235" s="324">
        <v>46252</v>
      </c>
      <c r="R235" s="324">
        <v>46252</v>
      </c>
      <c r="S235" s="324">
        <v>46252</v>
      </c>
      <c r="T235" s="324">
        <v>46259</v>
      </c>
      <c r="U235" s="324">
        <v>46268</v>
      </c>
      <c r="V235" s="324">
        <v>46282</v>
      </c>
      <c r="W235" s="324"/>
      <c r="X235" s="324">
        <v>46289</v>
      </c>
      <c r="Y235" s="324">
        <v>46294</v>
      </c>
      <c r="Z235" s="324">
        <v>46308</v>
      </c>
      <c r="AA235" s="324">
        <v>46322</v>
      </c>
      <c r="AB235" s="324">
        <v>46336</v>
      </c>
      <c r="AC235" s="324">
        <v>46346</v>
      </c>
      <c r="AD235" s="324">
        <v>46346</v>
      </c>
      <c r="AE235" s="324">
        <v>46348</v>
      </c>
      <c r="AF235" s="324">
        <v>46373</v>
      </c>
      <c r="AG235" s="324">
        <v>46380</v>
      </c>
      <c r="AH235" s="324">
        <v>46387</v>
      </c>
      <c r="AI235" s="324">
        <v>46401</v>
      </c>
      <c r="AJ235" s="324">
        <v>46417</v>
      </c>
      <c r="AK235" s="325">
        <v>14</v>
      </c>
      <c r="AL235" s="326">
        <f>AK235*7</f>
        <v>98</v>
      </c>
      <c r="AM235" s="324">
        <f>X235+AL235</f>
        <v>46387</v>
      </c>
      <c r="AN235" s="327">
        <f>AN236</f>
        <v>46483</v>
      </c>
      <c r="AO235" s="327"/>
      <c r="AP235" s="327"/>
      <c r="AQ235" s="327"/>
      <c r="AR235" s="413">
        <f>AN236-AM235</f>
        <v>96</v>
      </c>
      <c r="AS235" s="328"/>
      <c r="AT235" s="329" t="s">
        <v>65</v>
      </c>
      <c r="AU235" s="374">
        <v>46490</v>
      </c>
      <c r="AV235" s="331">
        <v>112</v>
      </c>
    </row>
    <row r="236" spans="1:48" s="270" customFormat="1" ht="25.05" hidden="1" customHeight="1">
      <c r="A236" s="315"/>
      <c r="B236" s="263" t="s">
        <v>275</v>
      </c>
      <c r="C236" s="432" t="s">
        <v>276</v>
      </c>
      <c r="D236" s="371"/>
      <c r="E236" s="317"/>
      <c r="F236" s="371"/>
      <c r="G236" s="319"/>
      <c r="H236" s="320" t="s">
        <v>277</v>
      </c>
      <c r="I236" s="319" t="s">
        <v>121</v>
      </c>
      <c r="J236" s="263" t="s">
        <v>75</v>
      </c>
      <c r="K236" s="263">
        <v>3</v>
      </c>
      <c r="L236" s="263" t="s">
        <v>9</v>
      </c>
      <c r="M236" s="322" t="s">
        <v>68</v>
      </c>
      <c r="N236" s="324">
        <v>46221</v>
      </c>
      <c r="O236" s="324"/>
      <c r="P236" s="324">
        <v>46252</v>
      </c>
      <c r="Q236" s="324">
        <f>WORKDAY.INTL(P236,INDEX(Q$8:Q$11,MATCH($L236,$L$8:$L$11,0)),1,IF(Q$18="China",'China Holidays'!$A$2:$A$82,'Thai Holidays'!$A$2:$A$63))</f>
        <v>46252</v>
      </c>
      <c r="R236" s="324">
        <f>WORKDAY.INTL(Q236,INDEX(R$8:R$11,MATCH($L236,$L$8:$L$11,0)),1,IF(R$18="China",'China Holidays'!$A$2:$A$82,'Thai Holidays'!$A$2:$A$63))</f>
        <v>46252</v>
      </c>
      <c r="S236" s="324">
        <f>WORKDAY.INTL(R236,INDEX(S$8:S$11,MATCH($L236,$L$8:$L$11,0)),1,IF(S$18="China",'China Holidays'!$A$2:$A$82,'Thai Holidays'!$A$2:$A$63))</f>
        <v>46252</v>
      </c>
      <c r="T236" s="324">
        <f>WORKDAY.INTL(S236,INDEX(T$8:T$11,MATCH($L236,$L$8:$L$11,0)),1,IF(T$18="China",'China Holidays'!$A$2:$A$82,'Thai Holidays'!$A$2:$A$63))</f>
        <v>46259</v>
      </c>
      <c r="U236" s="324">
        <f>WORKDAY.INTL(T236,INDEX(U$8:U$11,MATCH($L236,$L$8:$L$11,0)),1,IF(U$18="China",'China Holidays'!$A$2:$A$82,'Thai Holidays'!$A$2:$A$63))</f>
        <v>46268</v>
      </c>
      <c r="V236" s="324">
        <f>WORKDAY.INTL(U236,INDEX(V$8:V$11,MATCH($L236,$L$8:$L$11,0)),1,IF(V$18="China",'China Holidays'!$A$2:$A$82,'Thai Holidays'!$A$2:$A$63))</f>
        <v>46282</v>
      </c>
      <c r="W236" s="324"/>
      <c r="X236" s="324">
        <f>WORKDAY.INTL(V236,INDEX(X$8:X$11,MATCH($L236,$L$8:$L$11,0)),1,IF(X$18="China",'China Holidays'!$A$2:$A$82,'Thai Holidays'!$A$2:$A$63))</f>
        <v>46289</v>
      </c>
      <c r="Y236" s="324">
        <f>WORKDAY.INTL(X236,INDEX(Y$12:Y$15,MATCH($L236,$L$12:$L$15,0)),1,IF(Y$18="China",'China Holidays'!$A$2:$A$82,'Thai Holidays'!$A$2:$A$63))</f>
        <v>46294</v>
      </c>
      <c r="Z236" s="324">
        <f>WORKDAY.INTL(Y236,INDEX(Z$12:Z$15,MATCH($L236,$L$12:$L$15,0)),1,IF(Z$18="China",'China Holidays'!$A$2:$A$82,'Thai Holidays'!$A$2:$A$63))</f>
        <v>46308</v>
      </c>
      <c r="AA236" s="324">
        <f>WORKDAY.INTL(Z236,INDEX(AA$12:AA$15,MATCH($L236,$L$12:$L$15,0)),1,IF(AA$18="China",'China Holidays'!$A$2:$A$82,'Thai Holidays'!$A$2:$A$63))</f>
        <v>46322</v>
      </c>
      <c r="AB236" s="324">
        <f>WORKDAY.INTL(AA236,INDEX(AB$12:AB$15,MATCH($L236,$L$12:$L$15,0)),1,IF(AB$18="China",'China Holidays'!$A$2:$A$82,'Thai Holidays'!$A$2:$A$63))</f>
        <v>46336</v>
      </c>
      <c r="AC236" s="324">
        <f>AB236+10</f>
        <v>46346</v>
      </c>
      <c r="AD236" s="324">
        <f>AC236</f>
        <v>46346</v>
      </c>
      <c r="AE236" s="324">
        <f>AD236+2</f>
        <v>46348</v>
      </c>
      <c r="AF236" s="324">
        <f>AG236-7</f>
        <v>46373</v>
      </c>
      <c r="AG236" s="324">
        <f>AH236-7</f>
        <v>46380</v>
      </c>
      <c r="AH236" s="324">
        <f>AM236</f>
        <v>46387</v>
      </c>
      <c r="AI236" s="324">
        <f>AM236+14</f>
        <v>46401</v>
      </c>
      <c r="AJ236" s="324">
        <f>AM236+30</f>
        <v>46417</v>
      </c>
      <c r="AK236" s="325">
        <v>14</v>
      </c>
      <c r="AL236" s="326">
        <f>AK236*7</f>
        <v>98</v>
      </c>
      <c r="AM236" s="324">
        <f>IF(X236&lt;&gt;"",X236+AL236,X237+AL236)</f>
        <v>46387</v>
      </c>
      <c r="AN236" s="327">
        <f>AU235-7</f>
        <v>46483</v>
      </c>
      <c r="AO236" s="327">
        <f>AP236-7</f>
        <v>46508</v>
      </c>
      <c r="AP236" s="327">
        <v>46515</v>
      </c>
      <c r="AQ236" s="327"/>
      <c r="AR236" s="319">
        <f>AN236-AM236</f>
        <v>96</v>
      </c>
      <c r="AS236" s="328"/>
      <c r="AT236" s="329" t="s">
        <v>69</v>
      </c>
      <c r="AU236" s="330">
        <v>46538</v>
      </c>
      <c r="AV236" s="271"/>
    </row>
    <row r="237" spans="1:48" s="270" customFormat="1" ht="25.05" hidden="1" customHeight="1">
      <c r="A237" s="333"/>
      <c r="B237" s="334" t="s">
        <v>275</v>
      </c>
      <c r="C237" s="436" t="s">
        <v>276</v>
      </c>
      <c r="D237" s="372"/>
      <c r="E237" s="336"/>
      <c r="F237" s="372"/>
      <c r="G237" s="338"/>
      <c r="H237" s="339"/>
      <c r="I237" s="338" t="s">
        <v>121</v>
      </c>
      <c r="J237" s="334" t="s">
        <v>75</v>
      </c>
      <c r="K237" s="263">
        <v>3</v>
      </c>
      <c r="L237" s="334" t="s">
        <v>9</v>
      </c>
      <c r="M237" s="340" t="s">
        <v>70</v>
      </c>
      <c r="N237" s="341"/>
      <c r="O237" s="341">
        <v>46241</v>
      </c>
      <c r="P237" s="341"/>
      <c r="Q237" s="341"/>
      <c r="R237" s="341"/>
      <c r="S237" s="341"/>
      <c r="T237" s="341"/>
      <c r="U237" s="341"/>
      <c r="V237" s="341"/>
      <c r="W237" s="341"/>
      <c r="X237" s="338"/>
      <c r="Y237" s="341"/>
      <c r="Z237" s="341"/>
      <c r="AA237" s="341"/>
      <c r="AB237" s="341"/>
      <c r="AC237" s="341"/>
      <c r="AD237" s="341"/>
      <c r="AE237" s="341"/>
      <c r="AF237" s="341"/>
      <c r="AG237" s="341"/>
      <c r="AH237" s="341"/>
      <c r="AI237" s="341"/>
      <c r="AJ237" s="341"/>
      <c r="AK237" s="342"/>
      <c r="AL237" s="343"/>
      <c r="AM237" s="341"/>
      <c r="AN237" s="344"/>
      <c r="AO237" s="344"/>
      <c r="AP237" s="344"/>
      <c r="AQ237" s="344"/>
      <c r="AR237" s="338"/>
      <c r="AS237" s="345"/>
      <c r="AT237" s="346"/>
      <c r="AU237" s="345"/>
    </row>
    <row r="238" spans="1:48" s="270" customFormat="1" ht="25.05" hidden="1" customHeight="1">
      <c r="A238" s="315">
        <v>78</v>
      </c>
      <c r="B238" s="263" t="s">
        <v>278</v>
      </c>
      <c r="C238" s="432" t="s">
        <v>279</v>
      </c>
      <c r="D238" s="369"/>
      <c r="E238" s="317"/>
      <c r="F238" s="370"/>
      <c r="G238" s="319"/>
      <c r="H238" s="320"/>
      <c r="I238" s="319" t="s">
        <v>121</v>
      </c>
      <c r="J238" s="263"/>
      <c r="K238" s="321"/>
      <c r="L238" s="263" t="s">
        <v>9</v>
      </c>
      <c r="M238" s="322" t="s">
        <v>63</v>
      </c>
      <c r="N238" s="323"/>
      <c r="O238" s="324">
        <v>46269</v>
      </c>
      <c r="P238" s="324">
        <v>46283</v>
      </c>
      <c r="Q238" s="324">
        <v>46283</v>
      </c>
      <c r="R238" s="324">
        <v>46283</v>
      </c>
      <c r="S238" s="324">
        <v>46283</v>
      </c>
      <c r="T238" s="324">
        <v>46293</v>
      </c>
      <c r="U238" s="324">
        <v>46302</v>
      </c>
      <c r="V238" s="324">
        <v>46317</v>
      </c>
      <c r="W238" s="324"/>
      <c r="X238" s="324">
        <v>46324</v>
      </c>
      <c r="Y238" s="324">
        <v>46328</v>
      </c>
      <c r="Z238" s="324">
        <v>46335</v>
      </c>
      <c r="AA238" s="324">
        <v>46349</v>
      </c>
      <c r="AB238" s="324">
        <v>46364</v>
      </c>
      <c r="AC238" s="324">
        <v>46374</v>
      </c>
      <c r="AD238" s="324">
        <v>46374</v>
      </c>
      <c r="AE238" s="324">
        <v>46376</v>
      </c>
      <c r="AF238" s="324">
        <v>46415</v>
      </c>
      <c r="AG238" s="324">
        <v>46422</v>
      </c>
      <c r="AH238" s="324">
        <v>46429</v>
      </c>
      <c r="AI238" s="324">
        <v>46443</v>
      </c>
      <c r="AJ238" s="324">
        <v>46459</v>
      </c>
      <c r="AK238" s="325">
        <v>15</v>
      </c>
      <c r="AL238" s="326">
        <f>AK238*7</f>
        <v>105</v>
      </c>
      <c r="AM238" s="324">
        <f>X238+AL238</f>
        <v>46429</v>
      </c>
      <c r="AN238" s="327">
        <f>AN239</f>
        <v>46448</v>
      </c>
      <c r="AO238" s="327"/>
      <c r="AP238" s="327"/>
      <c r="AQ238" s="327"/>
      <c r="AR238" s="319">
        <f>AN239-AM238</f>
        <v>19</v>
      </c>
      <c r="AS238" s="328"/>
      <c r="AT238" s="329" t="s">
        <v>65</v>
      </c>
      <c r="AU238" s="330">
        <v>46455</v>
      </c>
      <c r="AV238" s="331">
        <v>25</v>
      </c>
    </row>
    <row r="239" spans="1:48" s="270" customFormat="1" ht="25.05" hidden="1" customHeight="1">
      <c r="A239" s="315"/>
      <c r="B239" s="263" t="s">
        <v>278</v>
      </c>
      <c r="C239" s="432" t="s">
        <v>279</v>
      </c>
      <c r="D239" s="371"/>
      <c r="E239" s="317"/>
      <c r="F239" s="371"/>
      <c r="G239" s="319"/>
      <c r="H239" s="320" t="s">
        <v>277</v>
      </c>
      <c r="I239" s="319" t="s">
        <v>121</v>
      </c>
      <c r="J239" s="263" t="s">
        <v>67</v>
      </c>
      <c r="K239" s="263">
        <v>3</v>
      </c>
      <c r="L239" s="263" t="s">
        <v>9</v>
      </c>
      <c r="M239" s="322" t="s">
        <v>68</v>
      </c>
      <c r="N239" s="324">
        <v>46254</v>
      </c>
      <c r="O239" s="324">
        <v>46269</v>
      </c>
      <c r="P239" s="324">
        <f>WORKDAY.INTL(O239,INDEX(P$8:P$11,MATCH($L239,$L$8:$L$11,0)),1,IF(P$18="China",'China Holidays'!$A$2:$A$82,'Thai Holidays'!$A$2:$A$63))</f>
        <v>46283</v>
      </c>
      <c r="Q239" s="324">
        <f>WORKDAY.INTL(P239,INDEX(Q$8:Q$11,MATCH($L239,$L$8:$L$11,0)),1,IF(Q$18="China",'China Holidays'!$A$2:$A$82,'Thai Holidays'!$A$2:$A$63))</f>
        <v>46283</v>
      </c>
      <c r="R239" s="324">
        <f>WORKDAY.INTL(Q239,INDEX(R$8:R$11,MATCH($L239,$L$8:$L$11,0)),1,IF(R$18="China",'China Holidays'!$A$2:$A$82,'Thai Holidays'!$A$2:$A$63))</f>
        <v>46283</v>
      </c>
      <c r="S239" s="324">
        <f>WORKDAY.INTL(R239,INDEX(S$8:S$11,MATCH($L239,$L$8:$L$11,0)),1,IF(S$18="China",'China Holidays'!$A$2:$A$82,'Thai Holidays'!$A$2:$A$63))</f>
        <v>46283</v>
      </c>
      <c r="T239" s="324">
        <f>WORKDAY.INTL(S239,INDEX(T$8:T$11,MATCH($L239,$L$8:$L$11,0)),1,IF(T$18="China",'China Holidays'!$A$2:$A$82,'Thai Holidays'!$A$2:$A$63))</f>
        <v>46293</v>
      </c>
      <c r="U239" s="324">
        <f>WORKDAY.INTL(T239,INDEX(U$8:U$11,MATCH($L239,$L$8:$L$11,0)),1,IF(U$18="China",'China Holidays'!$A$2:$A$82,'Thai Holidays'!$A$2:$A$63))</f>
        <v>46302</v>
      </c>
      <c r="V239" s="324">
        <f>WORKDAY.INTL(U239,INDEX(V$8:V$11,MATCH($L239,$L$8:$L$11,0)),1,IF(V$18="China",'China Holidays'!$A$2:$A$82,'Thai Holidays'!$A$2:$A$63))</f>
        <v>46317</v>
      </c>
      <c r="W239" s="324"/>
      <c r="X239" s="324">
        <f>WORKDAY.INTL(V239,INDEX(X$8:X$11,MATCH($L239,$L$8:$L$11,0)),1,IF(X$18="China",'China Holidays'!$A$2:$A$82,'Thai Holidays'!$A$2:$A$63))</f>
        <v>46324</v>
      </c>
      <c r="Y239" s="324">
        <f>WORKDAY.INTL(X239,INDEX(Y$12:Y$15,MATCH($L239,$L$12:$L$15,0)),1,IF(Y$18="China",'China Holidays'!$A$2:$A$82,'Thai Holidays'!$A$2:$A$63))</f>
        <v>46328</v>
      </c>
      <c r="Z239" s="324">
        <f>WORKDAY.INTL(Y239,INDEX(Z$12:Z$15,MATCH($L239,$L$12:$L$15,0)),1,IF(Z$18="China",'China Holidays'!$A$2:$A$82,'Thai Holidays'!$A$2:$A$63))</f>
        <v>46335</v>
      </c>
      <c r="AA239" s="324">
        <f>WORKDAY.INTL(Z239,INDEX(AA$12:AA$15,MATCH($L239,$L$12:$L$15,0)),1,IF(AA$18="China",'China Holidays'!$A$2:$A$82,'Thai Holidays'!$A$2:$A$63))</f>
        <v>46349</v>
      </c>
      <c r="AB239" s="324">
        <f>WORKDAY.INTL(AA239,INDEX(AB$12:AB$15,MATCH($L239,$L$12:$L$15,0)),1,IF(AB$18="China",'China Holidays'!$A$2:$A$82,'Thai Holidays'!$A$2:$A$63))</f>
        <v>46364</v>
      </c>
      <c r="AC239" s="324">
        <f>AB239+10</f>
        <v>46374</v>
      </c>
      <c r="AD239" s="324">
        <f>AC239</f>
        <v>46374</v>
      </c>
      <c r="AE239" s="324">
        <f>AD239+2</f>
        <v>46376</v>
      </c>
      <c r="AF239" s="324">
        <f>AG239-7</f>
        <v>46415</v>
      </c>
      <c r="AG239" s="324">
        <f>AH239-7</f>
        <v>46422</v>
      </c>
      <c r="AH239" s="324">
        <f>AM239</f>
        <v>46429</v>
      </c>
      <c r="AI239" s="324">
        <f>AM239+14</f>
        <v>46443</v>
      </c>
      <c r="AJ239" s="324">
        <f>AM239+30</f>
        <v>46459</v>
      </c>
      <c r="AK239" s="325">
        <v>15</v>
      </c>
      <c r="AL239" s="326">
        <f>AK239*7</f>
        <v>105</v>
      </c>
      <c r="AM239" s="324">
        <f>IF(X239&lt;&gt;"",X239+AL239,X240+AL239)</f>
        <v>46429</v>
      </c>
      <c r="AN239" s="327">
        <f>AU238-7</f>
        <v>46448</v>
      </c>
      <c r="AO239" s="327">
        <f>AP239-7</f>
        <v>46438</v>
      </c>
      <c r="AP239" s="327">
        <v>46445</v>
      </c>
      <c r="AQ239" s="327" t="s">
        <v>280</v>
      </c>
      <c r="AR239" s="319">
        <f>AN239-AM239</f>
        <v>19</v>
      </c>
      <c r="AS239" s="328"/>
      <c r="AT239" s="329" t="s">
        <v>69</v>
      </c>
      <c r="AU239" s="330">
        <v>46466</v>
      </c>
      <c r="AV239" s="271"/>
    </row>
    <row r="240" spans="1:48" s="270" customFormat="1" ht="25.05" hidden="1" customHeight="1">
      <c r="A240" s="333"/>
      <c r="B240" s="334" t="s">
        <v>278</v>
      </c>
      <c r="C240" s="436" t="s">
        <v>279</v>
      </c>
      <c r="D240" s="372"/>
      <c r="E240" s="336"/>
      <c r="F240" s="372"/>
      <c r="G240" s="338"/>
      <c r="H240" s="339"/>
      <c r="I240" s="338" t="s">
        <v>121</v>
      </c>
      <c r="J240" s="334" t="s">
        <v>67</v>
      </c>
      <c r="K240" s="263">
        <v>3</v>
      </c>
      <c r="L240" s="334" t="s">
        <v>9</v>
      </c>
      <c r="M240" s="340" t="s">
        <v>70</v>
      </c>
      <c r="N240" s="341"/>
      <c r="O240" s="341"/>
      <c r="P240" s="341"/>
      <c r="Q240" s="341"/>
      <c r="R240" s="341"/>
      <c r="S240" s="341"/>
      <c r="T240" s="341"/>
      <c r="U240" s="341"/>
      <c r="V240" s="341"/>
      <c r="W240" s="341"/>
      <c r="X240" s="338"/>
      <c r="Y240" s="341"/>
      <c r="Z240" s="341"/>
      <c r="AA240" s="341"/>
      <c r="AB240" s="341"/>
      <c r="AC240" s="341"/>
      <c r="AD240" s="341"/>
      <c r="AE240" s="341"/>
      <c r="AF240" s="341"/>
      <c r="AG240" s="341"/>
      <c r="AH240" s="341"/>
      <c r="AI240" s="341"/>
      <c r="AJ240" s="341"/>
      <c r="AK240" s="342"/>
      <c r="AL240" s="343"/>
      <c r="AM240" s="341"/>
      <c r="AN240" s="344"/>
      <c r="AO240" s="344"/>
      <c r="AP240" s="344"/>
      <c r="AQ240" s="344"/>
      <c r="AR240" s="338"/>
      <c r="AS240" s="345"/>
      <c r="AT240" s="346"/>
      <c r="AU240" s="345"/>
    </row>
    <row r="241" spans="1:48" s="270" customFormat="1" ht="25.05" hidden="1" customHeight="1">
      <c r="A241" s="315">
        <v>79</v>
      </c>
      <c r="B241" s="263" t="s">
        <v>281</v>
      </c>
      <c r="C241" s="432" t="s">
        <v>282</v>
      </c>
      <c r="D241" s="369"/>
      <c r="E241" s="317"/>
      <c r="F241" s="370"/>
      <c r="G241" s="319"/>
      <c r="H241" s="320"/>
      <c r="I241" s="319" t="s">
        <v>121</v>
      </c>
      <c r="J241" s="263"/>
      <c r="K241" s="321"/>
      <c r="L241" s="263" t="s">
        <v>9</v>
      </c>
      <c r="M241" s="322" t="s">
        <v>63</v>
      </c>
      <c r="N241" s="323"/>
      <c r="O241" s="324">
        <v>46269</v>
      </c>
      <c r="P241" s="324">
        <v>46283</v>
      </c>
      <c r="Q241" s="324">
        <v>46283</v>
      </c>
      <c r="R241" s="324">
        <v>46302</v>
      </c>
      <c r="S241" s="324">
        <v>46317</v>
      </c>
      <c r="T241" s="324">
        <v>46324</v>
      </c>
      <c r="U241" s="324">
        <v>46302</v>
      </c>
      <c r="V241" s="324">
        <v>46317</v>
      </c>
      <c r="W241" s="324"/>
      <c r="X241" s="324">
        <v>46324</v>
      </c>
      <c r="Y241" s="324">
        <v>46400</v>
      </c>
      <c r="Z241" s="324">
        <v>46407</v>
      </c>
      <c r="AA241" s="324">
        <v>46349</v>
      </c>
      <c r="AB241" s="324">
        <v>46364</v>
      </c>
      <c r="AC241" s="324">
        <v>46374</v>
      </c>
      <c r="AD241" s="324">
        <v>46312</v>
      </c>
      <c r="AE241" s="324">
        <v>46314</v>
      </c>
      <c r="AF241" s="324">
        <v>46400</v>
      </c>
      <c r="AG241" s="324">
        <v>46407</v>
      </c>
      <c r="AH241" s="324">
        <v>46414</v>
      </c>
      <c r="AI241" s="324">
        <v>46428</v>
      </c>
      <c r="AJ241" s="324">
        <v>46444</v>
      </c>
      <c r="AK241" s="325">
        <v>12.8571428571429</v>
      </c>
      <c r="AL241" s="326">
        <f>AK241*7</f>
        <v>90.000000000000298</v>
      </c>
      <c r="AM241" s="324">
        <f>X241+AL241</f>
        <v>46414</v>
      </c>
      <c r="AN241" s="327">
        <f>AN242</f>
        <v>46463</v>
      </c>
      <c r="AO241" s="327"/>
      <c r="AP241" s="327"/>
      <c r="AQ241" s="327"/>
      <c r="AR241" s="413">
        <f>AN242-AM241</f>
        <v>49</v>
      </c>
      <c r="AS241" s="328"/>
      <c r="AT241" s="329" t="s">
        <v>65</v>
      </c>
      <c r="AU241" s="374">
        <v>46470</v>
      </c>
      <c r="AV241" s="331">
        <v>64</v>
      </c>
    </row>
    <row r="242" spans="1:48" s="270" customFormat="1" ht="25.05" hidden="1" customHeight="1">
      <c r="A242" s="315"/>
      <c r="B242" s="263" t="s">
        <v>281</v>
      </c>
      <c r="C242" s="432" t="s">
        <v>282</v>
      </c>
      <c r="D242" s="371"/>
      <c r="E242" s="317"/>
      <c r="F242" s="371"/>
      <c r="G242" s="319"/>
      <c r="H242" s="320" t="s">
        <v>129</v>
      </c>
      <c r="I242" s="319" t="s">
        <v>121</v>
      </c>
      <c r="J242" s="263" t="s">
        <v>75</v>
      </c>
      <c r="K242" s="263">
        <v>3</v>
      </c>
      <c r="L242" s="263" t="s">
        <v>9</v>
      </c>
      <c r="M242" s="322" t="s">
        <v>68</v>
      </c>
      <c r="N242" s="324">
        <v>46208</v>
      </c>
      <c r="O242" s="324"/>
      <c r="P242" s="324">
        <v>46252</v>
      </c>
      <c r="Q242" s="324">
        <f>WORKDAY.INTL(P242,INDEX(Q$8:Q$11,MATCH($L242,$L$8:$L$11,0)),1,IF(Q$18="China",'China Holidays'!$A$2:$A$82,'Thai Holidays'!$A$2:$A$63))</f>
        <v>46252</v>
      </c>
      <c r="R242" s="324">
        <f>WORKDAY.INTL(Q242,INDEX(R$8:R$11,MATCH($L242,$L$8:$L$11,0)),1,IF(R$18="China",'China Holidays'!$A$2:$A$82,'Thai Holidays'!$A$2:$A$63))</f>
        <v>46252</v>
      </c>
      <c r="S242" s="324">
        <f>WORKDAY.INTL(R242,INDEX(S$8:S$11,MATCH($L242,$L$8:$L$11,0)),1,IF(S$18="China",'China Holidays'!$A$2:$A$82,'Thai Holidays'!$A$2:$A$63))</f>
        <v>46252</v>
      </c>
      <c r="T242" s="324">
        <f>WORKDAY.INTL(S242,INDEX(T$8:T$11,MATCH($L242,$L$8:$L$11,0)),1,IF(T$18="China",'China Holidays'!$A$2:$A$82,'Thai Holidays'!$A$2:$A$63))</f>
        <v>46259</v>
      </c>
      <c r="U242" s="324">
        <f>WORKDAY.INTL(T242,INDEX(U$8:U$11,MATCH($L242,$L$8:$L$11,0)),1,IF(U$18="China",'China Holidays'!$A$2:$A$82,'Thai Holidays'!$A$2:$A$63))</f>
        <v>46268</v>
      </c>
      <c r="V242" s="324">
        <f>WORKDAY.INTL(U242,INDEX(V$8:V$11,MATCH($L242,$L$8:$L$11,0)),1,IF(V$18="China",'China Holidays'!$A$2:$A$82,'Thai Holidays'!$A$2:$A$63))</f>
        <v>46282</v>
      </c>
      <c r="W242" s="324"/>
      <c r="X242" s="324">
        <f>WORKDAY.INTL(V242,INDEX(X$8:X$11,MATCH($L242,$L$8:$L$11,0)),1,IF(X$18="China",'China Holidays'!$A$2:$A$82,'Thai Holidays'!$A$2:$A$63))</f>
        <v>46289</v>
      </c>
      <c r="Y242" s="324">
        <f>WORKDAY.INTL(X242,INDEX(Y$12:Y$15,MATCH($L242,$L$12:$L$15,0)),1,IF(Y$18="China",'China Holidays'!$A$2:$A$82,'Thai Holidays'!$A$2:$A$63))</f>
        <v>46294</v>
      </c>
      <c r="Z242" s="324">
        <f>WORKDAY.INTL(Y242,INDEX(Z$12:Z$15,MATCH($L242,$L$12:$L$15,0)),1,IF(Z$18="China",'China Holidays'!$A$2:$A$82,'Thai Holidays'!$A$2:$A$63))</f>
        <v>46308</v>
      </c>
      <c r="AA242" s="324">
        <f>WORKDAY.INTL(Z242,INDEX(AA$12:AA$15,MATCH($L242,$L$12:$L$15,0)),1,IF(AA$18="China",'China Holidays'!$A$2:$A$82,'Thai Holidays'!$A$2:$A$63))</f>
        <v>46322</v>
      </c>
      <c r="AB242" s="324">
        <f>WORKDAY.INTL(AA242,INDEX(AB$12:AB$15,MATCH($L242,$L$12:$L$15,0)),1,IF(AB$18="China",'China Holidays'!$A$2:$A$82,'Thai Holidays'!$A$2:$A$63))</f>
        <v>46336</v>
      </c>
      <c r="AC242" s="324">
        <f>AB242+10</f>
        <v>46346</v>
      </c>
      <c r="AD242" s="324">
        <f>AC242</f>
        <v>46346</v>
      </c>
      <c r="AE242" s="324">
        <f>AD242+2</f>
        <v>46348</v>
      </c>
      <c r="AF242" s="324">
        <f>AG242-7</f>
        <v>46365</v>
      </c>
      <c r="AG242" s="324">
        <f>AH242-7</f>
        <v>46372</v>
      </c>
      <c r="AH242" s="324">
        <f>AM242</f>
        <v>46379</v>
      </c>
      <c r="AI242" s="324">
        <f>AM242+14</f>
        <v>46393</v>
      </c>
      <c r="AJ242" s="324">
        <f>AM242+30</f>
        <v>46409</v>
      </c>
      <c r="AK242" s="325">
        <v>12.8571428571429</v>
      </c>
      <c r="AL242" s="326">
        <f>AK242*7</f>
        <v>90.000000000000298</v>
      </c>
      <c r="AM242" s="324">
        <f>IF(X242&lt;&gt;"",X242+AL242,X243+AL242)</f>
        <v>46379</v>
      </c>
      <c r="AN242" s="327">
        <f>AU241-7</f>
        <v>46463</v>
      </c>
      <c r="AO242" s="327">
        <f>AP242-7</f>
        <v>46530</v>
      </c>
      <c r="AP242" s="327">
        <v>46537</v>
      </c>
      <c r="AQ242" s="327"/>
      <c r="AR242" s="319">
        <f>AN242-AM242</f>
        <v>84</v>
      </c>
      <c r="AS242" s="328"/>
      <c r="AT242" s="329" t="s">
        <v>69</v>
      </c>
      <c r="AU242" s="330">
        <v>46518</v>
      </c>
      <c r="AV242" s="271"/>
    </row>
    <row r="243" spans="1:48" s="270" customFormat="1" ht="25.05" hidden="1" customHeight="1">
      <c r="A243" s="333"/>
      <c r="B243" s="334" t="s">
        <v>281</v>
      </c>
      <c r="C243" s="436" t="s">
        <v>282</v>
      </c>
      <c r="D243" s="372"/>
      <c r="E243" s="336"/>
      <c r="F243" s="372"/>
      <c r="G243" s="338"/>
      <c r="H243" s="339"/>
      <c r="I243" s="338" t="s">
        <v>121</v>
      </c>
      <c r="J243" s="334" t="s">
        <v>75</v>
      </c>
      <c r="K243" s="263">
        <v>3</v>
      </c>
      <c r="L243" s="334" t="s">
        <v>9</v>
      </c>
      <c r="M243" s="340" t="s">
        <v>70</v>
      </c>
      <c r="N243" s="341"/>
      <c r="O243" s="341">
        <v>46227</v>
      </c>
      <c r="P243" s="341"/>
      <c r="Q243" s="341"/>
      <c r="R243" s="341"/>
      <c r="S243" s="341"/>
      <c r="T243" s="341"/>
      <c r="U243" s="341"/>
      <c r="V243" s="341"/>
      <c r="W243" s="341"/>
      <c r="X243" s="338"/>
      <c r="Y243" s="341"/>
      <c r="Z243" s="341"/>
      <c r="AA243" s="341"/>
      <c r="AB243" s="341"/>
      <c r="AC243" s="341"/>
      <c r="AD243" s="341"/>
      <c r="AE243" s="341"/>
      <c r="AF243" s="341"/>
      <c r="AG243" s="341"/>
      <c r="AH243" s="341"/>
      <c r="AI243" s="341"/>
      <c r="AJ243" s="341"/>
      <c r="AK243" s="342"/>
      <c r="AL243" s="343"/>
      <c r="AM243" s="341"/>
      <c r="AN243" s="344"/>
      <c r="AO243" s="344"/>
      <c r="AP243" s="344"/>
      <c r="AQ243" s="344"/>
      <c r="AR243" s="338"/>
      <c r="AS243" s="345"/>
      <c r="AT243" s="346"/>
      <c r="AU243" s="345"/>
    </row>
    <row r="244" spans="1:48" s="270" customFormat="1" ht="25.05" hidden="1" customHeight="1">
      <c r="A244" s="315">
        <v>80</v>
      </c>
      <c r="B244" s="263" t="s">
        <v>283</v>
      </c>
      <c r="C244" s="432" t="s">
        <v>284</v>
      </c>
      <c r="D244" s="369"/>
      <c r="E244" s="317"/>
      <c r="F244" s="370"/>
      <c r="G244" s="319"/>
      <c r="H244" s="320"/>
      <c r="I244" s="319" t="s">
        <v>134</v>
      </c>
      <c r="J244" s="263"/>
      <c r="K244" s="321"/>
      <c r="L244" s="263" t="s">
        <v>9</v>
      </c>
      <c r="M244" s="322" t="s">
        <v>63</v>
      </c>
      <c r="N244" s="323"/>
      <c r="O244" s="324">
        <v>46295</v>
      </c>
      <c r="P244" s="324">
        <v>46310</v>
      </c>
      <c r="Q244" s="324">
        <v>46310</v>
      </c>
      <c r="R244" s="324">
        <v>46310</v>
      </c>
      <c r="S244" s="324">
        <v>46310</v>
      </c>
      <c r="T244" s="324">
        <v>46316</v>
      </c>
      <c r="U244" s="324">
        <v>46329</v>
      </c>
      <c r="V244" s="324">
        <v>46343</v>
      </c>
      <c r="W244" s="324"/>
      <c r="X244" s="324">
        <v>46350</v>
      </c>
      <c r="Y244" s="324">
        <v>46339</v>
      </c>
      <c r="Z244" s="324">
        <v>46346</v>
      </c>
      <c r="AA244" s="324">
        <v>46373</v>
      </c>
      <c r="AB244" s="324">
        <v>46391</v>
      </c>
      <c r="AC244" s="324">
        <v>46401</v>
      </c>
      <c r="AD244" s="324">
        <v>46387</v>
      </c>
      <c r="AE244" s="324">
        <v>46389</v>
      </c>
      <c r="AF244" s="324">
        <v>46426</v>
      </c>
      <c r="AG244" s="324">
        <v>46433</v>
      </c>
      <c r="AH244" s="324">
        <v>46440</v>
      </c>
      <c r="AI244" s="324">
        <v>46454</v>
      </c>
      <c r="AJ244" s="324">
        <v>46470</v>
      </c>
      <c r="AK244" s="325">
        <v>12.8571428571429</v>
      </c>
      <c r="AL244" s="326">
        <f>AK244*7</f>
        <v>90.000000000000298</v>
      </c>
      <c r="AM244" s="324">
        <f>X244+AL244</f>
        <v>46440</v>
      </c>
      <c r="AN244" s="327">
        <f>AN245</f>
        <v>46448</v>
      </c>
      <c r="AO244" s="327"/>
      <c r="AP244" s="327"/>
      <c r="AQ244" s="327"/>
      <c r="AR244" s="319">
        <f>AN245-AM244</f>
        <v>8</v>
      </c>
      <c r="AS244" s="328"/>
      <c r="AT244" s="329" t="s">
        <v>65</v>
      </c>
      <c r="AU244" s="330">
        <v>46455</v>
      </c>
      <c r="AV244" s="331">
        <v>18</v>
      </c>
    </row>
    <row r="245" spans="1:48" s="270" customFormat="1" ht="25.05" hidden="1" customHeight="1">
      <c r="A245" s="315"/>
      <c r="B245" s="263" t="s">
        <v>283</v>
      </c>
      <c r="C245" s="432" t="s">
        <v>284</v>
      </c>
      <c r="D245" s="371"/>
      <c r="E245" s="317"/>
      <c r="F245" s="371"/>
      <c r="G245" s="319"/>
      <c r="H245" s="320" t="s">
        <v>285</v>
      </c>
      <c r="I245" s="319" t="s">
        <v>134</v>
      </c>
      <c r="J245" s="263" t="s">
        <v>75</v>
      </c>
      <c r="K245" s="263">
        <v>4</v>
      </c>
      <c r="L245" s="263" t="s">
        <v>9</v>
      </c>
      <c r="M245" s="322" t="s">
        <v>68</v>
      </c>
      <c r="N245" s="324">
        <v>46273</v>
      </c>
      <c r="O245" s="324">
        <v>46295</v>
      </c>
      <c r="P245" s="324">
        <f>WORKDAY.INTL(O245,INDEX(P$8:P$11,MATCH($L245,$L$8:$L$11,0)),1,IF(P$18="China",'China Holidays'!$A$2:$A$82,'Thai Holidays'!$A$2:$A$63))</f>
        <v>46310</v>
      </c>
      <c r="Q245" s="324">
        <f>WORKDAY.INTL(P245,INDEX(Q$8:Q$11,MATCH($L245,$L$8:$L$11,0)),1,IF(Q$18="China",'China Holidays'!$A$2:$A$82,'Thai Holidays'!$A$2:$A$63))</f>
        <v>46310</v>
      </c>
      <c r="R245" s="324">
        <f>WORKDAY.INTL(Q245,INDEX(R$8:R$11,MATCH($L245,$L$8:$L$11,0)),1,IF(R$18="China",'China Holidays'!$A$2:$A$82,'Thai Holidays'!$A$2:$A$63))</f>
        <v>46310</v>
      </c>
      <c r="S245" s="324">
        <f>WORKDAY.INTL(R245,INDEX(S$8:S$11,MATCH($L245,$L$8:$L$11,0)),1,IF(S$18="China",'China Holidays'!$A$2:$A$82,'Thai Holidays'!$A$2:$A$63))</f>
        <v>46310</v>
      </c>
      <c r="T245" s="324">
        <f>WORKDAY.INTL(S245,INDEX(T$8:T$11,MATCH($L245,$L$8:$L$11,0)),1,IF(T$18="China",'China Holidays'!$A$2:$A$82,'Thai Holidays'!$A$2:$A$63))</f>
        <v>46317</v>
      </c>
      <c r="U245" s="324">
        <f>WORKDAY.INTL(T245,INDEX(U$8:U$11,MATCH($L245,$L$8:$L$11,0)),1,IF(U$18="China",'China Holidays'!$A$2:$A$82,'Thai Holidays'!$A$2:$A$63))</f>
        <v>46329</v>
      </c>
      <c r="V245" s="324">
        <f>WORKDAY.INTL(U245,INDEX(V$8:V$11,MATCH($L245,$L$8:$L$11,0)),1,IF(V$18="China",'China Holidays'!$A$2:$A$82,'Thai Holidays'!$A$2:$A$63))</f>
        <v>46343</v>
      </c>
      <c r="W245" s="324"/>
      <c r="X245" s="324">
        <f>WORKDAY.INTL(V245,INDEX(X$8:X$11,MATCH($L245,$L$8:$L$11,0)),1,IF(X$18="China",'China Holidays'!$A$2:$A$82,'Thai Holidays'!$A$2:$A$63))</f>
        <v>46350</v>
      </c>
      <c r="Y245" s="324">
        <f>WORKDAY.INTL(X245,INDEX(Y$12:Y$15,MATCH($L245,$L$12:$L$15,0)),1,IF(Y$18="China",'China Holidays'!$A$2:$A$82,'Thai Holidays'!$A$2:$A$63))</f>
        <v>46352</v>
      </c>
      <c r="Z245" s="324">
        <f>WORKDAY.INTL(Y245,INDEX(Z$12:Z$15,MATCH($L245,$L$12:$L$15,0)),1,IF(Z$18="China",'China Holidays'!$A$2:$A$82,'Thai Holidays'!$A$2:$A$63))</f>
        <v>46359</v>
      </c>
      <c r="AA245" s="324">
        <f>WORKDAY.INTL(Z245,INDEX(AA$12:AA$15,MATCH($L245,$L$12:$L$15,0)),1,IF(AA$18="China",'China Holidays'!$A$2:$A$82,'Thai Holidays'!$A$2:$A$63))</f>
        <v>46373</v>
      </c>
      <c r="AB245" s="324">
        <f>WORKDAY.INTL(AA245,INDEX(AB$12:AB$15,MATCH($L245,$L$12:$L$15,0)),1,IF(AB$18="China",'China Holidays'!$A$2:$A$82,'Thai Holidays'!$A$2:$A$63))</f>
        <v>46391</v>
      </c>
      <c r="AC245" s="324">
        <f>AB245+10</f>
        <v>46401</v>
      </c>
      <c r="AD245" s="324">
        <f>AC245</f>
        <v>46401</v>
      </c>
      <c r="AE245" s="324">
        <f>AD245+2</f>
        <v>46403</v>
      </c>
      <c r="AF245" s="324">
        <f>AG245-7</f>
        <v>46426</v>
      </c>
      <c r="AG245" s="324">
        <f>AH245-7</f>
        <v>46433</v>
      </c>
      <c r="AH245" s="324">
        <f>AM245</f>
        <v>46440</v>
      </c>
      <c r="AI245" s="324">
        <f>AM245+14</f>
        <v>46454</v>
      </c>
      <c r="AJ245" s="324">
        <f>AM245+30</f>
        <v>46470</v>
      </c>
      <c r="AK245" s="325">
        <v>12.8571428571429</v>
      </c>
      <c r="AL245" s="326">
        <f>AK245*7</f>
        <v>90.000000000000298</v>
      </c>
      <c r="AM245" s="324">
        <f>IF(X245&lt;&gt;"",X245+AL245,X246+AL245)</f>
        <v>46440</v>
      </c>
      <c r="AN245" s="327">
        <f>AU244-7</f>
        <v>46448</v>
      </c>
      <c r="AO245" s="327">
        <f>AP245-7</f>
        <v>46448</v>
      </c>
      <c r="AP245" s="327">
        <v>46455</v>
      </c>
      <c r="AQ245" s="327"/>
      <c r="AR245" s="319">
        <f>AN245-AM245</f>
        <v>8</v>
      </c>
      <c r="AS245" s="328"/>
      <c r="AT245" s="329" t="s">
        <v>69</v>
      </c>
      <c r="AU245" s="330">
        <v>46466</v>
      </c>
      <c r="AV245" s="271"/>
    </row>
    <row r="246" spans="1:48" s="270" customFormat="1" ht="25.05" hidden="1" customHeight="1">
      <c r="A246" s="333"/>
      <c r="B246" s="334" t="s">
        <v>283</v>
      </c>
      <c r="C246" s="436" t="s">
        <v>284</v>
      </c>
      <c r="D246" s="372"/>
      <c r="E246" s="336"/>
      <c r="F246" s="372"/>
      <c r="G246" s="338"/>
      <c r="H246" s="339"/>
      <c r="I246" s="338" t="s">
        <v>134</v>
      </c>
      <c r="J246" s="334" t="s">
        <v>75</v>
      </c>
      <c r="K246" s="263">
        <v>4</v>
      </c>
      <c r="L246" s="334" t="s">
        <v>9</v>
      </c>
      <c r="M246" s="340" t="s">
        <v>70</v>
      </c>
      <c r="N246" s="341"/>
      <c r="O246" s="341"/>
      <c r="P246" s="341"/>
      <c r="Q246" s="341"/>
      <c r="R246" s="341"/>
      <c r="S246" s="341"/>
      <c r="T246" s="341"/>
      <c r="U246" s="341"/>
      <c r="V246" s="341"/>
      <c r="W246" s="341"/>
      <c r="X246" s="338"/>
      <c r="Y246" s="341"/>
      <c r="Z246" s="341"/>
      <c r="AA246" s="341"/>
      <c r="AB246" s="341"/>
      <c r="AC246" s="341"/>
      <c r="AD246" s="341"/>
      <c r="AE246" s="341"/>
      <c r="AF246" s="341"/>
      <c r="AG246" s="341"/>
      <c r="AH246" s="341"/>
      <c r="AI246" s="341"/>
      <c r="AJ246" s="341"/>
      <c r="AK246" s="342"/>
      <c r="AL246" s="343"/>
      <c r="AM246" s="341"/>
      <c r="AN246" s="344"/>
      <c r="AO246" s="344"/>
      <c r="AP246" s="344"/>
      <c r="AQ246" s="344"/>
      <c r="AR246" s="338"/>
      <c r="AS246" s="345"/>
      <c r="AT246" s="346"/>
      <c r="AU246" s="345"/>
    </row>
    <row r="247" spans="1:48" s="270" customFormat="1" ht="25.05" hidden="1" customHeight="1">
      <c r="A247" s="315">
        <v>81</v>
      </c>
      <c r="B247" s="263" t="s">
        <v>286</v>
      </c>
      <c r="C247" s="432" t="s">
        <v>287</v>
      </c>
      <c r="D247" s="369"/>
      <c r="E247" s="317"/>
      <c r="F247" s="370"/>
      <c r="G247" s="319"/>
      <c r="H247" s="320"/>
      <c r="I247" s="319" t="s">
        <v>134</v>
      </c>
      <c r="J247" s="263"/>
      <c r="K247" s="321"/>
      <c r="L247" s="263" t="s">
        <v>9</v>
      </c>
      <c r="M247" s="322" t="s">
        <v>63</v>
      </c>
      <c r="N247" s="323"/>
      <c r="O247" s="324">
        <v>46255</v>
      </c>
      <c r="P247" s="324">
        <v>46269</v>
      </c>
      <c r="Q247" s="324">
        <v>46269</v>
      </c>
      <c r="R247" s="324">
        <v>46269</v>
      </c>
      <c r="S247" s="324">
        <v>46269</v>
      </c>
      <c r="T247" s="324">
        <v>46275</v>
      </c>
      <c r="U247" s="324">
        <v>46287</v>
      </c>
      <c r="V247" s="324">
        <v>46301</v>
      </c>
      <c r="W247" s="324"/>
      <c r="X247" s="324">
        <v>46309</v>
      </c>
      <c r="Y247" s="324">
        <v>46307</v>
      </c>
      <c r="Z247" s="324">
        <v>46314</v>
      </c>
      <c r="AA247" s="324">
        <v>46332</v>
      </c>
      <c r="AB247" s="324">
        <v>46346</v>
      </c>
      <c r="AC247" s="324">
        <v>46356</v>
      </c>
      <c r="AD247" s="324">
        <v>46349</v>
      </c>
      <c r="AE247" s="324">
        <v>46351</v>
      </c>
      <c r="AF247" s="324">
        <v>46385</v>
      </c>
      <c r="AG247" s="324">
        <v>46392</v>
      </c>
      <c r="AH247" s="324">
        <v>46399</v>
      </c>
      <c r="AI247" s="324">
        <v>46413</v>
      </c>
      <c r="AJ247" s="324">
        <v>46429</v>
      </c>
      <c r="AK247" s="325">
        <v>12.8571428571429</v>
      </c>
      <c r="AL247" s="326">
        <f>AK247*7</f>
        <v>90.000000000000298</v>
      </c>
      <c r="AM247" s="324">
        <f>X247+AL247</f>
        <v>46399</v>
      </c>
      <c r="AN247" s="327">
        <f>AN248</f>
        <v>46497</v>
      </c>
      <c r="AO247" s="327"/>
      <c r="AP247" s="327"/>
      <c r="AQ247" s="327"/>
      <c r="AR247" s="319">
        <f>AN248-AM247</f>
        <v>98</v>
      </c>
      <c r="AS247" s="328"/>
      <c r="AT247" s="329" t="s">
        <v>65</v>
      </c>
      <c r="AU247" s="374">
        <v>46504</v>
      </c>
      <c r="AV247" s="331">
        <v>118</v>
      </c>
    </row>
    <row r="248" spans="1:48" s="270" customFormat="1" ht="25.05" hidden="1" customHeight="1">
      <c r="A248" s="315"/>
      <c r="B248" s="263" t="s">
        <v>286</v>
      </c>
      <c r="C248" s="432" t="s">
        <v>287</v>
      </c>
      <c r="D248" s="371"/>
      <c r="E248" s="317"/>
      <c r="F248" s="371"/>
      <c r="G248" s="319"/>
      <c r="H248" s="320" t="s">
        <v>285</v>
      </c>
      <c r="I248" s="319" t="s">
        <v>134</v>
      </c>
      <c r="J248" s="263" t="s">
        <v>75</v>
      </c>
      <c r="K248" s="263">
        <v>4</v>
      </c>
      <c r="L248" s="263" t="s">
        <v>9</v>
      </c>
      <c r="M248" s="322" t="s">
        <v>68</v>
      </c>
      <c r="N248" s="324">
        <v>46240</v>
      </c>
      <c r="O248" s="324">
        <v>46255</v>
      </c>
      <c r="P248" s="324">
        <f>WORKDAY.INTL(O248,INDEX(P$8:P$11,MATCH($L248,$L$8:$L$11,0)),1,IF(P$18="China",'China Holidays'!$A$2:$A$82,'Thai Holidays'!$A$2:$A$63))</f>
        <v>46269</v>
      </c>
      <c r="Q248" s="324">
        <f>WORKDAY.INTL(P248,INDEX(Q$8:Q$11,MATCH($L248,$L$8:$L$11,0)),1,IF(Q$18="China",'China Holidays'!$A$2:$A$82,'Thai Holidays'!$A$2:$A$63))</f>
        <v>46269</v>
      </c>
      <c r="R248" s="324">
        <f>WORKDAY.INTL(Q248,INDEX(R$8:R$11,MATCH($L248,$L$8:$L$11,0)),1,IF(R$18="China",'China Holidays'!$A$2:$A$82,'Thai Holidays'!$A$2:$A$63))</f>
        <v>46269</v>
      </c>
      <c r="S248" s="324">
        <f>WORKDAY.INTL(R248,INDEX(S$8:S$11,MATCH($L248,$L$8:$L$11,0)),1,IF(S$18="China",'China Holidays'!$A$2:$A$82,'Thai Holidays'!$A$2:$A$63))</f>
        <v>46269</v>
      </c>
      <c r="T248" s="324">
        <f>WORKDAY.INTL(S248,INDEX(T$8:T$11,MATCH($L248,$L$8:$L$11,0)),1,IF(T$18="China",'China Holidays'!$A$2:$A$82,'Thai Holidays'!$A$2:$A$63))</f>
        <v>46276</v>
      </c>
      <c r="U248" s="324">
        <f>WORKDAY.INTL(T248,INDEX(U$8:U$11,MATCH($L248,$L$8:$L$11,0)),1,IF(U$18="China",'China Holidays'!$A$2:$A$82,'Thai Holidays'!$A$2:$A$63))</f>
        <v>46287</v>
      </c>
      <c r="V248" s="324">
        <f>WORKDAY.INTL(U248,INDEX(V$8:V$11,MATCH($L248,$L$8:$L$11,0)),1,IF(V$18="China",'China Holidays'!$A$2:$A$82,'Thai Holidays'!$A$2:$A$63))</f>
        <v>46301</v>
      </c>
      <c r="W248" s="324"/>
      <c r="X248" s="324">
        <f>WORKDAY.INTL(V248,INDEX(X$8:X$11,MATCH($L248,$L$8:$L$11,0)),1,IF(X$18="China",'China Holidays'!$A$2:$A$82,'Thai Holidays'!$A$2:$A$63))</f>
        <v>46309</v>
      </c>
      <c r="Y248" s="324">
        <f>WORKDAY.INTL(X248,INDEX(Y$12:Y$15,MATCH($L248,$L$12:$L$15,0)),1,IF(Y$18="China",'China Holidays'!$A$2:$A$82,'Thai Holidays'!$A$2:$A$63))</f>
        <v>46311</v>
      </c>
      <c r="Z248" s="324">
        <f>WORKDAY.INTL(Y248,INDEX(Z$12:Z$15,MATCH($L248,$L$12:$L$15,0)),1,IF(Z$18="China",'China Holidays'!$A$2:$A$82,'Thai Holidays'!$A$2:$A$63))</f>
        <v>46318</v>
      </c>
      <c r="AA248" s="324">
        <f>WORKDAY.INTL(Z248,INDEX(AA$12:AA$15,MATCH($L248,$L$12:$L$15,0)),1,IF(AA$18="China",'China Holidays'!$A$2:$A$82,'Thai Holidays'!$A$2:$A$63))</f>
        <v>46332</v>
      </c>
      <c r="AB248" s="324">
        <f>WORKDAY.INTL(AA248,INDEX(AB$12:AB$15,MATCH($L248,$L$12:$L$15,0)),1,IF(AB$18="China",'China Holidays'!$A$2:$A$82,'Thai Holidays'!$A$2:$A$63))</f>
        <v>46346</v>
      </c>
      <c r="AC248" s="324">
        <f>AB248+10</f>
        <v>46356</v>
      </c>
      <c r="AD248" s="324">
        <f>AC248</f>
        <v>46356</v>
      </c>
      <c r="AE248" s="324">
        <f>AD248+2</f>
        <v>46358</v>
      </c>
      <c r="AF248" s="324">
        <f>AG248-7</f>
        <v>46385</v>
      </c>
      <c r="AG248" s="324">
        <f>AH248-7</f>
        <v>46392</v>
      </c>
      <c r="AH248" s="324">
        <f>AM248</f>
        <v>46399</v>
      </c>
      <c r="AI248" s="324">
        <f>AM248+14</f>
        <v>46413</v>
      </c>
      <c r="AJ248" s="324">
        <f>AM248+30</f>
        <v>46429</v>
      </c>
      <c r="AK248" s="325">
        <v>12.8571428571429</v>
      </c>
      <c r="AL248" s="326">
        <f>AK248*7</f>
        <v>90.000000000000298</v>
      </c>
      <c r="AM248" s="324">
        <f>IF(X248&lt;&gt;"",X248+AL248,X249+AL248)</f>
        <v>46399</v>
      </c>
      <c r="AN248" s="327">
        <f>AU247-7</f>
        <v>46497</v>
      </c>
      <c r="AO248" s="327">
        <f>AP248-7</f>
        <v>46470</v>
      </c>
      <c r="AP248" s="327">
        <v>46477</v>
      </c>
      <c r="AQ248" s="327"/>
      <c r="AR248" s="319">
        <f>AN248-AM248</f>
        <v>98</v>
      </c>
      <c r="AS248" s="328"/>
      <c r="AT248" s="329" t="s">
        <v>69</v>
      </c>
      <c r="AU248" s="330">
        <v>46553</v>
      </c>
      <c r="AV248" s="271"/>
    </row>
    <row r="249" spans="1:48" s="270" customFormat="1" ht="25.05" hidden="1" customHeight="1">
      <c r="A249" s="333"/>
      <c r="B249" s="334" t="s">
        <v>286</v>
      </c>
      <c r="C249" s="436" t="s">
        <v>287</v>
      </c>
      <c r="D249" s="372"/>
      <c r="E249" s="336"/>
      <c r="F249" s="372"/>
      <c r="G249" s="338"/>
      <c r="H249" s="339"/>
      <c r="I249" s="338" t="s">
        <v>134</v>
      </c>
      <c r="J249" s="334" t="s">
        <v>75</v>
      </c>
      <c r="K249" s="263">
        <v>4</v>
      </c>
      <c r="L249" s="334" t="s">
        <v>9</v>
      </c>
      <c r="M249" s="340" t="s">
        <v>70</v>
      </c>
      <c r="N249" s="341"/>
      <c r="O249" s="341"/>
      <c r="P249" s="341"/>
      <c r="Q249" s="341"/>
      <c r="R249" s="341"/>
      <c r="S249" s="341"/>
      <c r="T249" s="341"/>
      <c r="U249" s="341"/>
      <c r="V249" s="341"/>
      <c r="W249" s="341"/>
      <c r="X249" s="338"/>
      <c r="Y249" s="341"/>
      <c r="Z249" s="341"/>
      <c r="AA249" s="341"/>
      <c r="AB249" s="341"/>
      <c r="AC249" s="341"/>
      <c r="AD249" s="341"/>
      <c r="AE249" s="341"/>
      <c r="AF249" s="341"/>
      <c r="AG249" s="341"/>
      <c r="AH249" s="341"/>
      <c r="AI249" s="341"/>
      <c r="AJ249" s="341"/>
      <c r="AK249" s="342"/>
      <c r="AL249" s="343"/>
      <c r="AM249" s="341"/>
      <c r="AN249" s="344"/>
      <c r="AO249" s="344"/>
      <c r="AP249" s="344"/>
      <c r="AQ249" s="344"/>
      <c r="AR249" s="338"/>
      <c r="AS249" s="345"/>
      <c r="AT249" s="346"/>
      <c r="AU249" s="345"/>
    </row>
    <row r="250" spans="1:48" s="270" customFormat="1" ht="25.05" hidden="1" customHeight="1">
      <c r="A250" s="315">
        <v>82</v>
      </c>
      <c r="B250" s="263" t="s">
        <v>288</v>
      </c>
      <c r="C250" s="432" t="s">
        <v>289</v>
      </c>
      <c r="D250" s="369"/>
      <c r="E250" s="317"/>
      <c r="F250" s="370"/>
      <c r="G250" s="319"/>
      <c r="H250" s="320"/>
      <c r="I250" s="319" t="s">
        <v>290</v>
      </c>
      <c r="J250" s="263"/>
      <c r="K250" s="321"/>
      <c r="L250" s="263" t="s">
        <v>9</v>
      </c>
      <c r="M250" s="322" t="s">
        <v>63</v>
      </c>
      <c r="N250" s="323"/>
      <c r="O250" s="324">
        <v>46233</v>
      </c>
      <c r="P250" s="324">
        <v>46248</v>
      </c>
      <c r="Q250" s="324">
        <v>46248</v>
      </c>
      <c r="R250" s="324">
        <v>46248</v>
      </c>
      <c r="S250" s="324">
        <v>46248</v>
      </c>
      <c r="T250" s="324">
        <v>46255</v>
      </c>
      <c r="U250" s="324">
        <v>46266</v>
      </c>
      <c r="V250" s="324">
        <v>46280</v>
      </c>
      <c r="W250" s="324"/>
      <c r="X250" s="324">
        <v>46287</v>
      </c>
      <c r="Y250" s="324">
        <v>46289</v>
      </c>
      <c r="Z250" s="324">
        <v>46304</v>
      </c>
      <c r="AA250" s="324">
        <v>46318</v>
      </c>
      <c r="AB250" s="324">
        <v>46332</v>
      </c>
      <c r="AC250" s="324">
        <v>46392</v>
      </c>
      <c r="AD250" s="324">
        <v>46392</v>
      </c>
      <c r="AE250" s="324">
        <v>46395</v>
      </c>
      <c r="AF250" s="324">
        <v>46483</v>
      </c>
      <c r="AG250" s="324">
        <v>46490</v>
      </c>
      <c r="AH250" s="324">
        <v>46497</v>
      </c>
      <c r="AI250" s="324">
        <v>46511</v>
      </c>
      <c r="AJ250" s="324">
        <v>46527</v>
      </c>
      <c r="AK250" s="325">
        <v>30</v>
      </c>
      <c r="AL250" s="326">
        <f>AK250*7</f>
        <v>210</v>
      </c>
      <c r="AM250" s="324">
        <f>X250+AL250</f>
        <v>46497</v>
      </c>
      <c r="AN250" s="327">
        <f>AN251</f>
        <v>46561</v>
      </c>
      <c r="AO250" s="327"/>
      <c r="AP250" s="327"/>
      <c r="AQ250" s="327"/>
      <c r="AR250" s="413">
        <f>AN251-AM250</f>
        <v>64</v>
      </c>
      <c r="AS250" s="328"/>
      <c r="AT250" s="329" t="s">
        <v>65</v>
      </c>
      <c r="AU250" s="414">
        <v>46568</v>
      </c>
      <c r="AV250" s="331">
        <v>33</v>
      </c>
    </row>
    <row r="251" spans="1:48" s="270" customFormat="1" ht="25.05" hidden="1" customHeight="1">
      <c r="A251" s="315"/>
      <c r="B251" s="263" t="s">
        <v>288</v>
      </c>
      <c r="C251" s="432" t="s">
        <v>289</v>
      </c>
      <c r="D251" s="371"/>
      <c r="E251" s="317"/>
      <c r="F251" s="371"/>
      <c r="G251" s="319"/>
      <c r="H251" s="320" t="s">
        <v>291</v>
      </c>
      <c r="I251" s="319" t="s">
        <v>290</v>
      </c>
      <c r="J251" s="263" t="s">
        <v>75</v>
      </c>
      <c r="K251" s="263">
        <v>3</v>
      </c>
      <c r="L251" s="263" t="s">
        <v>9</v>
      </c>
      <c r="M251" s="322" t="s">
        <v>68</v>
      </c>
      <c r="N251" s="324">
        <v>46195</v>
      </c>
      <c r="O251" s="324"/>
      <c r="P251" s="324">
        <v>46248</v>
      </c>
      <c r="Q251" s="324">
        <f>WORKDAY.INTL(P251,INDEX(Q$8:Q$11,MATCH($L251,$L$8:$L$11,0)),1,IF(Q$18="China",'China Holidays'!$A$2:$A$82,'Thai Holidays'!$A$2:$A$63))</f>
        <v>46248</v>
      </c>
      <c r="R251" s="324">
        <f>WORKDAY.INTL(Q251,INDEX(R$8:R$11,MATCH($L251,$L$8:$L$11,0)),1,IF(R$18="China",'China Holidays'!$A$2:$A$82,'Thai Holidays'!$A$2:$A$63))</f>
        <v>46248</v>
      </c>
      <c r="S251" s="324">
        <f>WORKDAY.INTL(R251,INDEX(S$8:S$11,MATCH($L251,$L$8:$L$11,0)),1,IF(S$18="China",'China Holidays'!$A$2:$A$82,'Thai Holidays'!$A$2:$A$63))</f>
        <v>46248</v>
      </c>
      <c r="T251" s="324">
        <f>WORKDAY.INTL(S251,INDEX(T$8:T$11,MATCH($L251,$L$8:$L$11,0)),1,IF(T$18="China",'China Holidays'!$A$2:$A$82,'Thai Holidays'!$A$2:$A$63))</f>
        <v>46255</v>
      </c>
      <c r="U251" s="324">
        <f>WORKDAY.INTL(T251,INDEX(U$8:U$11,MATCH($L251,$L$8:$L$11,0)),1,IF(U$18="China",'China Holidays'!$A$2:$A$82,'Thai Holidays'!$A$2:$A$63))</f>
        <v>46266</v>
      </c>
      <c r="V251" s="324">
        <f>WORKDAY.INTL(U251,INDEX(V$8:V$11,MATCH($L251,$L$8:$L$11,0)),1,IF(V$18="China",'China Holidays'!$A$2:$A$82,'Thai Holidays'!$A$2:$A$63))</f>
        <v>46280</v>
      </c>
      <c r="W251" s="324"/>
      <c r="X251" s="324">
        <f>WORKDAY.INTL(V251,INDEX(X$8:X$11,MATCH($L251,$L$8:$L$11,0)),1,IF(X$18="China",'China Holidays'!$A$2:$A$82,'Thai Holidays'!$A$2:$A$63))</f>
        <v>46287</v>
      </c>
      <c r="Y251" s="324">
        <f>WORKDAY.INTL(X251,INDEX(Y$12:Y$15,MATCH($L251,$L$12:$L$15,0)),1,IF(Y$18="China",'China Holidays'!$A$2:$A$82,'Thai Holidays'!$A$2:$A$63))</f>
        <v>46289</v>
      </c>
      <c r="Z251" s="324">
        <f>WORKDAY.INTL(Y251,INDEX(Z$12:Z$15,MATCH($L251,$L$12:$L$15,0)),1,IF(Z$18="China",'China Holidays'!$A$2:$A$82,'Thai Holidays'!$A$2:$A$63))</f>
        <v>46304</v>
      </c>
      <c r="AA251" s="324">
        <f>WORKDAY.INTL(Z251,INDEX(AA$12:AA$15,MATCH($L251,$L$12:$L$15,0)),1,IF(AA$18="China",'China Holidays'!$A$2:$A$82,'Thai Holidays'!$A$2:$A$63))</f>
        <v>46318</v>
      </c>
      <c r="AB251" s="324">
        <f>WORKDAY.INTL(AA251,INDEX(AB$12:AB$15,MATCH($L251,$L$12:$L$15,0)),1,IF(AB$18="China",'China Holidays'!$A$2:$A$82,'Thai Holidays'!$A$2:$A$63))</f>
        <v>46332</v>
      </c>
      <c r="AC251" s="324">
        <f>AB251+60</f>
        <v>46392</v>
      </c>
      <c r="AD251" s="324">
        <f>AC251</f>
        <v>46392</v>
      </c>
      <c r="AE251" s="324">
        <f>AD251+3</f>
        <v>46395</v>
      </c>
      <c r="AF251" s="324">
        <f>AG251-7</f>
        <v>46483</v>
      </c>
      <c r="AG251" s="324">
        <f>AH251-7</f>
        <v>46490</v>
      </c>
      <c r="AH251" s="324">
        <f>AM251</f>
        <v>46497</v>
      </c>
      <c r="AI251" s="324">
        <f>AM251+14</f>
        <v>46511</v>
      </c>
      <c r="AJ251" s="324">
        <f>AM251+30</f>
        <v>46527</v>
      </c>
      <c r="AK251" s="325">
        <v>30</v>
      </c>
      <c r="AL251" s="326">
        <f>AK251*7</f>
        <v>210</v>
      </c>
      <c r="AM251" s="324">
        <f>IF(X251&lt;&gt;"",X251+AL251,X252+AL251)</f>
        <v>46497</v>
      </c>
      <c r="AN251" s="327">
        <f>AU250-7</f>
        <v>46561</v>
      </c>
      <c r="AO251" s="327">
        <f>AP251-7</f>
        <v>46530</v>
      </c>
      <c r="AP251" s="327">
        <v>46537</v>
      </c>
      <c r="AQ251" s="327"/>
      <c r="AR251" s="319">
        <f>AN251-AM251</f>
        <v>64</v>
      </c>
      <c r="AS251" s="328"/>
      <c r="AT251" s="329" t="s">
        <v>69</v>
      </c>
      <c r="AU251" s="330">
        <v>46583</v>
      </c>
      <c r="AV251" s="271"/>
    </row>
    <row r="252" spans="1:48" s="270" customFormat="1" ht="25.05" hidden="1" customHeight="1">
      <c r="A252" s="333"/>
      <c r="B252" s="334" t="s">
        <v>288</v>
      </c>
      <c r="C252" s="436" t="s">
        <v>289</v>
      </c>
      <c r="D252" s="372"/>
      <c r="E252" s="336"/>
      <c r="F252" s="372"/>
      <c r="G252" s="338"/>
      <c r="H252" s="339"/>
      <c r="I252" s="338" t="s">
        <v>290</v>
      </c>
      <c r="J252" s="334" t="s">
        <v>75</v>
      </c>
      <c r="K252" s="263">
        <v>3</v>
      </c>
      <c r="L252" s="334" t="s">
        <v>9</v>
      </c>
      <c r="M252" s="340" t="s">
        <v>70</v>
      </c>
      <c r="N252" s="341"/>
      <c r="O252" s="341">
        <v>46218</v>
      </c>
      <c r="P252" s="341"/>
      <c r="Q252" s="341"/>
      <c r="R252" s="341"/>
      <c r="S252" s="341"/>
      <c r="T252" s="341"/>
      <c r="U252" s="341"/>
      <c r="V252" s="341"/>
      <c r="W252" s="341"/>
      <c r="X252" s="338"/>
      <c r="Y252" s="341"/>
      <c r="Z252" s="341"/>
      <c r="AA252" s="341"/>
      <c r="AB252" s="341"/>
      <c r="AC252" s="341"/>
      <c r="AD252" s="341"/>
      <c r="AE252" s="341"/>
      <c r="AF252" s="341"/>
      <c r="AG252" s="341"/>
      <c r="AH252" s="341"/>
      <c r="AI252" s="341"/>
      <c r="AJ252" s="341"/>
      <c r="AK252" s="342"/>
      <c r="AL252" s="343"/>
      <c r="AM252" s="341"/>
      <c r="AN252" s="344"/>
      <c r="AO252" s="344"/>
      <c r="AP252" s="344"/>
      <c r="AQ252" s="344"/>
      <c r="AR252" s="338"/>
      <c r="AS252" s="345"/>
      <c r="AT252" s="346"/>
      <c r="AU252" s="345"/>
    </row>
    <row r="253" spans="1:48" s="270" customFormat="1" ht="25.05" hidden="1" customHeight="1">
      <c r="A253" s="315">
        <v>83</v>
      </c>
      <c r="B253" s="263" t="s">
        <v>292</v>
      </c>
      <c r="C253" s="432" t="s">
        <v>293</v>
      </c>
      <c r="D253" s="369"/>
      <c r="E253" s="317"/>
      <c r="F253" s="370"/>
      <c r="G253" s="319"/>
      <c r="H253" s="320"/>
      <c r="I253" s="319" t="s">
        <v>290</v>
      </c>
      <c r="J253" s="263"/>
      <c r="K253" s="321"/>
      <c r="L253" s="263" t="s">
        <v>9</v>
      </c>
      <c r="M253" s="322" t="s">
        <v>63</v>
      </c>
      <c r="N253" s="323"/>
      <c r="O253" s="324">
        <v>46233</v>
      </c>
      <c r="P253" s="324">
        <v>46248</v>
      </c>
      <c r="Q253" s="324">
        <v>46248</v>
      </c>
      <c r="R253" s="324">
        <v>46248</v>
      </c>
      <c r="S253" s="324">
        <v>46248</v>
      </c>
      <c r="T253" s="324">
        <v>46255</v>
      </c>
      <c r="U253" s="324">
        <v>46266</v>
      </c>
      <c r="V253" s="324">
        <v>46280</v>
      </c>
      <c r="W253" s="324"/>
      <c r="X253" s="324">
        <v>46287</v>
      </c>
      <c r="Y253" s="324">
        <v>46289</v>
      </c>
      <c r="Z253" s="324">
        <v>46304</v>
      </c>
      <c r="AA253" s="324">
        <v>46318</v>
      </c>
      <c r="AB253" s="324">
        <v>46332</v>
      </c>
      <c r="AC253" s="324">
        <v>46392</v>
      </c>
      <c r="AD253" s="324">
        <v>46392</v>
      </c>
      <c r="AE253" s="324">
        <v>46395</v>
      </c>
      <c r="AF253" s="324">
        <v>46483</v>
      </c>
      <c r="AG253" s="324">
        <v>46490</v>
      </c>
      <c r="AH253" s="324">
        <v>46497</v>
      </c>
      <c r="AI253" s="324">
        <v>46511</v>
      </c>
      <c r="AJ253" s="324">
        <v>46527</v>
      </c>
      <c r="AK253" s="325">
        <v>30</v>
      </c>
      <c r="AL253" s="326">
        <f>AK253*7</f>
        <v>210</v>
      </c>
      <c r="AM253" s="324">
        <f>X253+AL253</f>
        <v>46497</v>
      </c>
      <c r="AN253" s="327">
        <f>AN254</f>
        <v>46561</v>
      </c>
      <c r="AO253" s="327"/>
      <c r="AP253" s="327"/>
      <c r="AQ253" s="327"/>
      <c r="AR253" s="413">
        <f>AN254-AM253</f>
        <v>64</v>
      </c>
      <c r="AS253" s="328"/>
      <c r="AT253" s="329" t="s">
        <v>65</v>
      </c>
      <c r="AU253" s="414">
        <v>46568</v>
      </c>
      <c r="AV253" s="331">
        <v>33</v>
      </c>
    </row>
    <row r="254" spans="1:48" s="270" customFormat="1" ht="25.05" hidden="1" customHeight="1">
      <c r="A254" s="315"/>
      <c r="B254" s="263" t="s">
        <v>292</v>
      </c>
      <c r="C254" s="432" t="s">
        <v>293</v>
      </c>
      <c r="D254" s="371"/>
      <c r="E254" s="317"/>
      <c r="F254" s="371"/>
      <c r="G254" s="319"/>
      <c r="H254" s="320" t="s">
        <v>291</v>
      </c>
      <c r="I254" s="319" t="s">
        <v>290</v>
      </c>
      <c r="J254" s="263" t="s">
        <v>75</v>
      </c>
      <c r="K254" s="263">
        <v>4</v>
      </c>
      <c r="L254" s="263" t="s">
        <v>9</v>
      </c>
      <c r="M254" s="322" t="s">
        <v>68</v>
      </c>
      <c r="N254" s="324">
        <v>46195</v>
      </c>
      <c r="O254" s="324"/>
      <c r="P254" s="324">
        <v>46248</v>
      </c>
      <c r="Q254" s="324">
        <f>WORKDAY.INTL(P254,INDEX(Q$8:Q$11,MATCH($L254,$L$8:$L$11,0)),1,IF(Q$18="China",'China Holidays'!$A$2:$A$82,'Thai Holidays'!$A$2:$A$63))</f>
        <v>46248</v>
      </c>
      <c r="R254" s="324">
        <f>WORKDAY.INTL(Q254,INDEX(R$8:R$11,MATCH($L254,$L$8:$L$11,0)),1,IF(R$18="China",'China Holidays'!$A$2:$A$82,'Thai Holidays'!$A$2:$A$63))</f>
        <v>46248</v>
      </c>
      <c r="S254" s="324">
        <f>WORKDAY.INTL(R254,INDEX(S$8:S$11,MATCH($L254,$L$8:$L$11,0)),1,IF(S$18="China",'China Holidays'!$A$2:$A$82,'Thai Holidays'!$A$2:$A$63))</f>
        <v>46248</v>
      </c>
      <c r="T254" s="324">
        <f>WORKDAY.INTL(S254,INDEX(T$8:T$11,MATCH($L254,$L$8:$L$11,0)),1,IF(T$18="China",'China Holidays'!$A$2:$A$82,'Thai Holidays'!$A$2:$A$63))</f>
        <v>46255</v>
      </c>
      <c r="U254" s="324">
        <f>WORKDAY.INTL(T254,INDEX(U$8:U$11,MATCH($L254,$L$8:$L$11,0)),1,IF(U$18="China",'China Holidays'!$A$2:$A$82,'Thai Holidays'!$A$2:$A$63))</f>
        <v>46266</v>
      </c>
      <c r="V254" s="324">
        <f>WORKDAY.INTL(U254,INDEX(V$8:V$11,MATCH($L254,$L$8:$L$11,0)),1,IF(V$18="China",'China Holidays'!$A$2:$A$82,'Thai Holidays'!$A$2:$A$63))</f>
        <v>46280</v>
      </c>
      <c r="W254" s="324"/>
      <c r="X254" s="324">
        <f>WORKDAY.INTL(V254,INDEX(X$8:X$11,MATCH($L254,$L$8:$L$11,0)),1,IF(X$18="China",'China Holidays'!$A$2:$A$82,'Thai Holidays'!$A$2:$A$63))</f>
        <v>46287</v>
      </c>
      <c r="Y254" s="324">
        <f>WORKDAY.INTL(X254,INDEX(Y$12:Y$15,MATCH($L254,$L$12:$L$15,0)),1,IF(Y$18="China",'China Holidays'!$A$2:$A$82,'Thai Holidays'!$A$2:$A$63))</f>
        <v>46289</v>
      </c>
      <c r="Z254" s="324">
        <f>WORKDAY.INTL(Y254,INDEX(Z$12:Z$15,MATCH($L254,$L$12:$L$15,0)),1,IF(Z$18="China",'China Holidays'!$A$2:$A$82,'Thai Holidays'!$A$2:$A$63))</f>
        <v>46304</v>
      </c>
      <c r="AA254" s="324">
        <f>WORKDAY.INTL(Z254,INDEX(AA$12:AA$15,MATCH($L254,$L$12:$L$15,0)),1,IF(AA$18="China",'China Holidays'!$A$2:$A$82,'Thai Holidays'!$A$2:$A$63))</f>
        <v>46318</v>
      </c>
      <c r="AB254" s="324">
        <f>WORKDAY.INTL(AA254,INDEX(AB$12:AB$15,MATCH($L254,$L$12:$L$15,0)),1,IF(AB$18="China",'China Holidays'!$A$2:$A$82,'Thai Holidays'!$A$2:$A$63))</f>
        <v>46332</v>
      </c>
      <c r="AC254" s="324">
        <f>AB254+60</f>
        <v>46392</v>
      </c>
      <c r="AD254" s="324">
        <f>AC254</f>
        <v>46392</v>
      </c>
      <c r="AE254" s="324">
        <f>AD254+3</f>
        <v>46395</v>
      </c>
      <c r="AF254" s="324">
        <f>AG254-7</f>
        <v>46483</v>
      </c>
      <c r="AG254" s="324">
        <f>AH254-7</f>
        <v>46490</v>
      </c>
      <c r="AH254" s="324">
        <f>AM254</f>
        <v>46497</v>
      </c>
      <c r="AI254" s="324">
        <f>AM254+14</f>
        <v>46511</v>
      </c>
      <c r="AJ254" s="324">
        <f>AM254+30</f>
        <v>46527</v>
      </c>
      <c r="AK254" s="325">
        <v>30</v>
      </c>
      <c r="AL254" s="326">
        <f>AK254*7</f>
        <v>210</v>
      </c>
      <c r="AM254" s="324">
        <f>IF(X254&lt;&gt;"",X254+AL254,X255+AL254)</f>
        <v>46497</v>
      </c>
      <c r="AN254" s="327">
        <f>AU253-7</f>
        <v>46561</v>
      </c>
      <c r="AO254" s="327">
        <f>AP254-7</f>
        <v>46530</v>
      </c>
      <c r="AP254" s="327">
        <v>46537</v>
      </c>
      <c r="AQ254" s="327"/>
      <c r="AR254" s="319">
        <f>AN254-AM254</f>
        <v>64</v>
      </c>
      <c r="AS254" s="328"/>
      <c r="AT254" s="329" t="s">
        <v>69</v>
      </c>
      <c r="AU254" s="330">
        <v>46583</v>
      </c>
      <c r="AV254" s="271"/>
    </row>
    <row r="255" spans="1:48" s="270" customFormat="1" ht="25.05" hidden="1" customHeight="1">
      <c r="A255" s="333"/>
      <c r="B255" s="334" t="s">
        <v>292</v>
      </c>
      <c r="C255" s="436" t="s">
        <v>293</v>
      </c>
      <c r="D255" s="372"/>
      <c r="E255" s="336"/>
      <c r="F255" s="372"/>
      <c r="G255" s="338"/>
      <c r="H255" s="339"/>
      <c r="I255" s="338" t="s">
        <v>290</v>
      </c>
      <c r="J255" s="334" t="s">
        <v>75</v>
      </c>
      <c r="K255" s="263">
        <v>4</v>
      </c>
      <c r="L255" s="334" t="s">
        <v>9</v>
      </c>
      <c r="M255" s="340" t="s">
        <v>70</v>
      </c>
      <c r="N255" s="341"/>
      <c r="O255" s="341">
        <v>46218</v>
      </c>
      <c r="P255" s="341"/>
      <c r="Q255" s="341"/>
      <c r="R255" s="341"/>
      <c r="S255" s="341"/>
      <c r="T255" s="341"/>
      <c r="U255" s="341"/>
      <c r="V255" s="341"/>
      <c r="W255" s="341"/>
      <c r="X255" s="338"/>
      <c r="Y255" s="341"/>
      <c r="Z255" s="341"/>
      <c r="AA255" s="341"/>
      <c r="AB255" s="341"/>
      <c r="AC255" s="341"/>
      <c r="AD255" s="341"/>
      <c r="AE255" s="341"/>
      <c r="AF255" s="341"/>
      <c r="AG255" s="341"/>
      <c r="AH255" s="341"/>
      <c r="AI255" s="341"/>
      <c r="AJ255" s="341"/>
      <c r="AK255" s="342"/>
      <c r="AL255" s="343"/>
      <c r="AM255" s="341"/>
      <c r="AN255" s="344"/>
      <c r="AO255" s="344"/>
      <c r="AP255" s="344"/>
      <c r="AQ255" s="344"/>
      <c r="AR255" s="338"/>
      <c r="AS255" s="345"/>
      <c r="AT255" s="346"/>
      <c r="AU255" s="345"/>
    </row>
    <row r="256" spans="1:48" s="270" customFormat="1" ht="25.05" hidden="1" customHeight="1">
      <c r="A256" s="315">
        <v>84</v>
      </c>
      <c r="B256" s="263" t="s">
        <v>294</v>
      </c>
      <c r="C256" s="432" t="s">
        <v>295</v>
      </c>
      <c r="D256" s="369"/>
      <c r="E256" s="317"/>
      <c r="F256" s="370"/>
      <c r="G256" s="319"/>
      <c r="H256" s="320"/>
      <c r="I256" s="319" t="s">
        <v>290</v>
      </c>
      <c r="J256" s="263"/>
      <c r="K256" s="321"/>
      <c r="L256" s="263" t="s">
        <v>9</v>
      </c>
      <c r="M256" s="322" t="s">
        <v>63</v>
      </c>
      <c r="N256" s="323"/>
      <c r="O256" s="324">
        <v>46233</v>
      </c>
      <c r="P256" s="324">
        <v>46248</v>
      </c>
      <c r="Q256" s="324">
        <v>46248</v>
      </c>
      <c r="R256" s="324">
        <v>46248</v>
      </c>
      <c r="S256" s="324">
        <v>46248</v>
      </c>
      <c r="T256" s="324">
        <v>46255</v>
      </c>
      <c r="U256" s="324">
        <v>46266</v>
      </c>
      <c r="V256" s="324">
        <v>46280</v>
      </c>
      <c r="W256" s="324"/>
      <c r="X256" s="324">
        <v>46287</v>
      </c>
      <c r="Y256" s="324">
        <v>46289</v>
      </c>
      <c r="Z256" s="324">
        <v>46304</v>
      </c>
      <c r="AA256" s="324">
        <v>46318</v>
      </c>
      <c r="AB256" s="324">
        <v>46332</v>
      </c>
      <c r="AC256" s="324">
        <v>46332</v>
      </c>
      <c r="AD256" s="324">
        <v>46342</v>
      </c>
      <c r="AE256" s="324">
        <v>46345</v>
      </c>
      <c r="AF256" s="324">
        <v>46333</v>
      </c>
      <c r="AG256" s="324">
        <v>46340</v>
      </c>
      <c r="AH256" s="324">
        <v>46347</v>
      </c>
      <c r="AI256" s="324">
        <v>46361</v>
      </c>
      <c r="AJ256" s="324">
        <v>46377</v>
      </c>
      <c r="AK256" s="325">
        <v>8.5714285714285694</v>
      </c>
      <c r="AL256" s="326">
        <f>AK256*7</f>
        <v>59.999999999999986</v>
      </c>
      <c r="AM256" s="324">
        <f>X256+AL256</f>
        <v>46347</v>
      </c>
      <c r="AN256" s="327">
        <f>AN257</f>
        <v>46561</v>
      </c>
      <c r="AO256" s="327"/>
      <c r="AP256" s="327"/>
      <c r="AQ256" s="327"/>
      <c r="AR256" s="319">
        <f>AN257-AM256</f>
        <v>214</v>
      </c>
      <c r="AS256" s="328"/>
      <c r="AT256" s="329" t="s">
        <v>65</v>
      </c>
      <c r="AU256" s="330">
        <v>46568</v>
      </c>
      <c r="AV256" s="331">
        <v>183</v>
      </c>
    </row>
    <row r="257" spans="1:48" s="270" customFormat="1" ht="25.05" hidden="1" customHeight="1">
      <c r="A257" s="315"/>
      <c r="B257" s="263" t="s">
        <v>294</v>
      </c>
      <c r="C257" s="432" t="s">
        <v>295</v>
      </c>
      <c r="D257" s="371"/>
      <c r="E257" s="317"/>
      <c r="F257" s="371"/>
      <c r="G257" s="319"/>
      <c r="H257" s="320" t="s">
        <v>291</v>
      </c>
      <c r="I257" s="319" t="s">
        <v>290</v>
      </c>
      <c r="J257" s="263" t="s">
        <v>75</v>
      </c>
      <c r="K257" s="263">
        <v>4</v>
      </c>
      <c r="L257" s="263" t="s">
        <v>9</v>
      </c>
      <c r="M257" s="322" t="s">
        <v>68</v>
      </c>
      <c r="N257" s="324">
        <v>46195</v>
      </c>
      <c r="O257" s="324"/>
      <c r="P257" s="324">
        <v>46248</v>
      </c>
      <c r="Q257" s="324">
        <f>WORKDAY.INTL(P257,INDEX(Q$8:Q$11,MATCH($L257,$L$8:$L$11,0)),1,IF(Q$18="China",'China Holidays'!$A$2:$A$82,'Thai Holidays'!$A$2:$A$63))</f>
        <v>46248</v>
      </c>
      <c r="R257" s="324">
        <f>WORKDAY.INTL(Q257,INDEX(R$8:R$11,MATCH($L257,$L$8:$L$11,0)),1,IF(R$18="China",'China Holidays'!$A$2:$A$82,'Thai Holidays'!$A$2:$A$63))</f>
        <v>46248</v>
      </c>
      <c r="S257" s="324">
        <f>WORKDAY.INTL(R257,INDEX(S$8:S$11,MATCH($L257,$L$8:$L$11,0)),1,IF(S$18="China",'China Holidays'!$A$2:$A$82,'Thai Holidays'!$A$2:$A$63))</f>
        <v>46248</v>
      </c>
      <c r="T257" s="324">
        <f>WORKDAY.INTL(S257,INDEX(T$8:T$11,MATCH($L257,$L$8:$L$11,0)),1,IF(T$18="China",'China Holidays'!$A$2:$A$82,'Thai Holidays'!$A$2:$A$63))</f>
        <v>46255</v>
      </c>
      <c r="U257" s="324">
        <f>WORKDAY.INTL(T257,INDEX(U$8:U$11,MATCH($L257,$L$8:$L$11,0)),1,IF(U$18="China",'China Holidays'!$A$2:$A$82,'Thai Holidays'!$A$2:$A$63))</f>
        <v>46266</v>
      </c>
      <c r="V257" s="324">
        <f>WORKDAY.INTL(U257,INDEX(V$8:V$11,MATCH($L257,$L$8:$L$11,0)),1,IF(V$18="China",'China Holidays'!$A$2:$A$82,'Thai Holidays'!$A$2:$A$63))</f>
        <v>46280</v>
      </c>
      <c r="W257" s="324"/>
      <c r="X257" s="324">
        <f>WORKDAY.INTL(V257,INDEX(X$8:X$11,MATCH($L257,$L$8:$L$11,0)),1,IF(X$18="China",'China Holidays'!$A$2:$A$82,'Thai Holidays'!$A$2:$A$63))</f>
        <v>46287</v>
      </c>
      <c r="Y257" s="324">
        <f>WORKDAY.INTL(X257,INDEX(Y$12:Y$15,MATCH($L257,$L$12:$L$15,0)),1,IF(Y$18="China",'China Holidays'!$A$2:$A$82,'Thai Holidays'!$A$2:$A$63))</f>
        <v>46289</v>
      </c>
      <c r="Z257" s="324">
        <f>WORKDAY.INTL(Y257,INDEX(Z$12:Z$15,MATCH($L257,$L$12:$L$15,0)),1,IF(Z$18="China",'China Holidays'!$A$2:$A$82,'Thai Holidays'!$A$2:$A$63))</f>
        <v>46304</v>
      </c>
      <c r="AA257" s="324">
        <f>WORKDAY.INTL(Z257,INDEX(AA$12:AA$15,MATCH($L257,$L$12:$L$15,0)),1,IF(AA$18="China",'China Holidays'!$A$2:$A$82,'Thai Holidays'!$A$2:$A$63))</f>
        <v>46318</v>
      </c>
      <c r="AB257" s="324">
        <f>WORKDAY.INTL(AA257,INDEX(AB$12:AB$15,MATCH($L257,$L$12:$L$15,0)),1,IF(AB$18="China",'China Holidays'!$A$2:$A$82,'Thai Holidays'!$A$2:$A$63))</f>
        <v>46332</v>
      </c>
      <c r="AC257" s="324">
        <f>AB257</f>
        <v>46332</v>
      </c>
      <c r="AD257" s="324">
        <f>AC257</f>
        <v>46332</v>
      </c>
      <c r="AE257" s="324">
        <f>AD257+3</f>
        <v>46335</v>
      </c>
      <c r="AF257" s="324">
        <f>AG257-7</f>
        <v>46333</v>
      </c>
      <c r="AG257" s="324">
        <f>AH257-7</f>
        <v>46340</v>
      </c>
      <c r="AH257" s="324">
        <f>AM257</f>
        <v>46347</v>
      </c>
      <c r="AI257" s="324">
        <f>AM257+14</f>
        <v>46361</v>
      </c>
      <c r="AJ257" s="324">
        <f>AM257+30</f>
        <v>46377</v>
      </c>
      <c r="AK257" s="325">
        <v>8.5714285714285694</v>
      </c>
      <c r="AL257" s="326">
        <f>AK257*7</f>
        <v>59.999999999999986</v>
      </c>
      <c r="AM257" s="324">
        <f>IF(X257&lt;&gt;"",X257+AL257,X258+AL257)</f>
        <v>46347</v>
      </c>
      <c r="AN257" s="327">
        <f>AU256-7</f>
        <v>46561</v>
      </c>
      <c r="AO257" s="327">
        <f>AP257-7</f>
        <v>46530</v>
      </c>
      <c r="AP257" s="327">
        <v>46537</v>
      </c>
      <c r="AQ257" s="327"/>
      <c r="AR257" s="319">
        <f>AN257-AM257</f>
        <v>214</v>
      </c>
      <c r="AS257" s="328"/>
      <c r="AT257" s="329" t="s">
        <v>69</v>
      </c>
      <c r="AU257" s="330">
        <v>46583</v>
      </c>
      <c r="AV257" s="271"/>
    </row>
    <row r="258" spans="1:48" s="270" customFormat="1" ht="25.05" hidden="1" customHeight="1">
      <c r="A258" s="333"/>
      <c r="B258" s="334" t="s">
        <v>294</v>
      </c>
      <c r="C258" s="436" t="s">
        <v>295</v>
      </c>
      <c r="D258" s="372"/>
      <c r="E258" s="336"/>
      <c r="F258" s="372"/>
      <c r="G258" s="338"/>
      <c r="H258" s="339"/>
      <c r="I258" s="338" t="s">
        <v>290</v>
      </c>
      <c r="J258" s="334" t="s">
        <v>75</v>
      </c>
      <c r="K258" s="263">
        <v>4</v>
      </c>
      <c r="L258" s="334" t="s">
        <v>9</v>
      </c>
      <c r="M258" s="340" t="s">
        <v>70</v>
      </c>
      <c r="N258" s="341"/>
      <c r="O258" s="341">
        <v>46218</v>
      </c>
      <c r="P258" s="341"/>
      <c r="Q258" s="341"/>
      <c r="R258" s="341"/>
      <c r="S258" s="341"/>
      <c r="T258" s="341"/>
      <c r="U258" s="341"/>
      <c r="V258" s="341"/>
      <c r="W258" s="341"/>
      <c r="X258" s="338"/>
      <c r="Y258" s="341"/>
      <c r="Z258" s="341"/>
      <c r="AA258" s="341"/>
      <c r="AB258" s="341"/>
      <c r="AC258" s="341"/>
      <c r="AD258" s="341"/>
      <c r="AE258" s="341"/>
      <c r="AF258" s="341"/>
      <c r="AG258" s="341"/>
      <c r="AH258" s="341"/>
      <c r="AI258" s="341"/>
      <c r="AJ258" s="341"/>
      <c r="AK258" s="342"/>
      <c r="AL258" s="343"/>
      <c r="AM258" s="341"/>
      <c r="AN258" s="344"/>
      <c r="AO258" s="344"/>
      <c r="AP258" s="344"/>
      <c r="AQ258" s="344"/>
      <c r="AR258" s="338"/>
      <c r="AS258" s="345"/>
      <c r="AT258" s="346"/>
      <c r="AU258" s="345"/>
    </row>
    <row r="259" spans="1:48" s="270" customFormat="1" ht="25.05" hidden="1" customHeight="1">
      <c r="A259" s="315">
        <v>85</v>
      </c>
      <c r="B259" s="263" t="s">
        <v>296</v>
      </c>
      <c r="C259" s="319" t="s">
        <v>297</v>
      </c>
      <c r="D259" s="369"/>
      <c r="E259" s="317"/>
      <c r="F259" s="370"/>
      <c r="G259" s="319"/>
      <c r="H259" s="320"/>
      <c r="I259" s="319" t="s">
        <v>298</v>
      </c>
      <c r="J259" s="263"/>
      <c r="K259" s="321"/>
      <c r="L259" s="263" t="s">
        <v>9</v>
      </c>
      <c r="M259" s="322" t="s">
        <v>63</v>
      </c>
      <c r="N259" s="323"/>
      <c r="O259" s="324">
        <v>46216</v>
      </c>
      <c r="P259" s="324">
        <v>46230</v>
      </c>
      <c r="Q259" s="324">
        <v>46230</v>
      </c>
      <c r="R259" s="324">
        <v>46230</v>
      </c>
      <c r="S259" s="324">
        <v>46230</v>
      </c>
      <c r="T259" s="324">
        <v>46237</v>
      </c>
      <c r="U259" s="324">
        <v>46247</v>
      </c>
      <c r="V259" s="324">
        <v>46261</v>
      </c>
      <c r="W259" s="324"/>
      <c r="X259" s="324">
        <v>46268</v>
      </c>
      <c r="Y259" s="324">
        <v>46272</v>
      </c>
      <c r="Z259" s="324">
        <v>46279</v>
      </c>
      <c r="AA259" s="324">
        <v>46294</v>
      </c>
      <c r="AB259" s="324">
        <v>46309</v>
      </c>
      <c r="AC259" s="324">
        <v>46339</v>
      </c>
      <c r="AD259" s="324">
        <v>46339</v>
      </c>
      <c r="AE259" s="324">
        <v>46341</v>
      </c>
      <c r="AF259" s="324">
        <v>46344</v>
      </c>
      <c r="AG259" s="324">
        <v>46351</v>
      </c>
      <c r="AH259" s="324">
        <v>46358</v>
      </c>
      <c r="AI259" s="324">
        <v>46372</v>
      </c>
      <c r="AJ259" s="324">
        <v>46388</v>
      </c>
      <c r="AK259" s="325">
        <v>12.8571428571429</v>
      </c>
      <c r="AL259" s="326">
        <f>AK259*7</f>
        <v>90.000000000000298</v>
      </c>
      <c r="AM259" s="324">
        <f>X259+AL259</f>
        <v>46358</v>
      </c>
      <c r="AN259" s="327">
        <f>AN260</f>
        <v>46360</v>
      </c>
      <c r="AO259" s="327"/>
      <c r="AP259" s="327"/>
      <c r="AQ259" s="327"/>
      <c r="AR259" s="319">
        <f>AN260-AM259</f>
        <v>2</v>
      </c>
      <c r="AS259" s="328"/>
      <c r="AT259" s="329" t="s">
        <v>65</v>
      </c>
      <c r="AU259" s="330">
        <v>46367</v>
      </c>
      <c r="AV259" s="331">
        <v>36</v>
      </c>
    </row>
    <row r="260" spans="1:48" s="270" customFormat="1" ht="25.05" hidden="1" customHeight="1">
      <c r="A260" s="315"/>
      <c r="B260" s="263" t="s">
        <v>296</v>
      </c>
      <c r="C260" s="432" t="s">
        <v>297</v>
      </c>
      <c r="D260" s="371"/>
      <c r="E260" s="317"/>
      <c r="F260" s="371"/>
      <c r="G260" s="319"/>
      <c r="H260" s="320" t="s">
        <v>299</v>
      </c>
      <c r="I260" s="319" t="s">
        <v>298</v>
      </c>
      <c r="J260" s="263" t="s">
        <v>75</v>
      </c>
      <c r="K260" s="263">
        <v>3</v>
      </c>
      <c r="L260" s="263" t="s">
        <v>9</v>
      </c>
      <c r="M260" s="322" t="s">
        <v>68</v>
      </c>
      <c r="N260" s="324">
        <v>46188</v>
      </c>
      <c r="O260" s="324"/>
      <c r="P260" s="324"/>
      <c r="Q260" s="324"/>
      <c r="R260" s="324"/>
      <c r="S260" s="324"/>
      <c r="T260" s="324">
        <f>S261+3</f>
        <v>46233</v>
      </c>
      <c r="U260" s="324">
        <f>WORKDAY.INTL(T260,INDEX(U$8:U$11,MATCH($L260,$L$8:$L$11,0)),1,IF(U$18="China",'China Holidays'!$A$2:$A$82,'Thai Holidays'!$A$2:$A$63))</f>
        <v>46244</v>
      </c>
      <c r="V260" s="324">
        <f>WORKDAY.INTL(U260,INDEX(V$8:V$11,MATCH($L260,$L$8:$L$11,0)),1,IF(V$18="China",'China Holidays'!$A$2:$A$82,'Thai Holidays'!$A$2:$A$63))</f>
        <v>46259</v>
      </c>
      <c r="W260" s="324"/>
      <c r="X260" s="324">
        <f>WORKDAY.INTL(V260,INDEX(X$8:X$11,MATCH($L260,$L$8:$L$11,0)),1,IF(X$18="China",'China Holidays'!$A$2:$A$82,'Thai Holidays'!$A$2:$A$63))</f>
        <v>46266</v>
      </c>
      <c r="Y260" s="324">
        <f>WORKDAY.INTL(X260,INDEX(Y$12:Y$15,MATCH($L260,$L$12:$L$15,0)),1,IF(Y$18="China",'China Holidays'!$A$2:$A$82,'Thai Holidays'!$A$2:$A$63))</f>
        <v>46268</v>
      </c>
      <c r="Z260" s="324">
        <f>WORKDAY.INTL(Y260,INDEX(Z$12:Z$15,MATCH($L260,$L$12:$L$15,0)),1,IF(Z$18="China",'China Holidays'!$A$2:$A$82,'Thai Holidays'!$A$2:$A$63))</f>
        <v>46275</v>
      </c>
      <c r="AA260" s="324">
        <f>WORKDAY.INTL(Z260,INDEX(AA$12:AA$15,MATCH($L260,$L$12:$L$15,0)),1,IF(AA$18="China",'China Holidays'!$A$2:$A$82,'Thai Holidays'!$A$2:$A$63))</f>
        <v>46289</v>
      </c>
      <c r="AB260" s="324">
        <f>WORKDAY.INTL(AA260,INDEX(AB$12:AB$15,MATCH($L260,$L$12:$L$15,0)),1,IF(AB$18="China",'China Holidays'!$A$2:$A$82,'Thai Holidays'!$A$2:$A$63))</f>
        <v>46303</v>
      </c>
      <c r="AC260" s="324">
        <f>AB260+30</f>
        <v>46333</v>
      </c>
      <c r="AD260" s="324">
        <f>AC260</f>
        <v>46333</v>
      </c>
      <c r="AE260" s="324">
        <f>AD260+2</f>
        <v>46335</v>
      </c>
      <c r="AF260" s="324">
        <f>AG260-7</f>
        <v>46342</v>
      </c>
      <c r="AG260" s="324">
        <f>AH260-7</f>
        <v>46349</v>
      </c>
      <c r="AH260" s="324">
        <f>AM260</f>
        <v>46356</v>
      </c>
      <c r="AI260" s="324">
        <f>AM260+14</f>
        <v>46370</v>
      </c>
      <c r="AJ260" s="324">
        <f>AM260+30</f>
        <v>46386</v>
      </c>
      <c r="AK260" s="325">
        <v>12.8571428571429</v>
      </c>
      <c r="AL260" s="326">
        <f>AK260*7</f>
        <v>90.000000000000298</v>
      </c>
      <c r="AM260" s="324">
        <f>IF(X260&lt;&gt;"",X260+AL260,X261+AL260)</f>
        <v>46356</v>
      </c>
      <c r="AN260" s="327">
        <f>AU259-7</f>
        <v>46360</v>
      </c>
      <c r="AO260" s="327">
        <f>AP260-7</f>
        <v>46379</v>
      </c>
      <c r="AP260" s="327">
        <v>46386</v>
      </c>
      <c r="AQ260" s="327"/>
      <c r="AR260" s="319">
        <f>AN260-AM260</f>
        <v>4</v>
      </c>
      <c r="AS260" s="328"/>
      <c r="AT260" s="329" t="s">
        <v>69</v>
      </c>
      <c r="AU260" s="330">
        <v>46367</v>
      </c>
      <c r="AV260" s="271"/>
    </row>
    <row r="261" spans="1:48" s="270" customFormat="1" ht="25.05" hidden="1" customHeight="1">
      <c r="A261" s="333"/>
      <c r="B261" s="334" t="s">
        <v>296</v>
      </c>
      <c r="C261" s="436" t="s">
        <v>297</v>
      </c>
      <c r="D261" s="372"/>
      <c r="E261" s="336"/>
      <c r="F261" s="372"/>
      <c r="G261" s="338"/>
      <c r="H261" s="339"/>
      <c r="I261" s="338" t="s">
        <v>298</v>
      </c>
      <c r="J261" s="334" t="s">
        <v>75</v>
      </c>
      <c r="K261" s="263">
        <v>3</v>
      </c>
      <c r="L261" s="334" t="s">
        <v>9</v>
      </c>
      <c r="M261" s="340" t="s">
        <v>70</v>
      </c>
      <c r="N261" s="341"/>
      <c r="O261" s="341">
        <v>46210</v>
      </c>
      <c r="P261" s="341">
        <v>46220</v>
      </c>
      <c r="Q261" s="341">
        <v>46220</v>
      </c>
      <c r="R261" s="341">
        <f>Q261</f>
        <v>46220</v>
      </c>
      <c r="S261" s="341">
        <f t="shared" ref="S261" si="9">IF(S$210&lt;&gt;"",S$210,"")</f>
        <v>46230</v>
      </c>
      <c r="T261" s="341"/>
      <c r="U261" s="341"/>
      <c r="V261" s="341"/>
      <c r="W261" s="341"/>
      <c r="X261" s="338"/>
      <c r="Y261" s="341"/>
      <c r="Z261" s="341"/>
      <c r="AA261" s="341"/>
      <c r="AB261" s="341"/>
      <c r="AC261" s="341"/>
      <c r="AD261" s="341"/>
      <c r="AE261" s="341"/>
      <c r="AF261" s="341"/>
      <c r="AG261" s="341"/>
      <c r="AH261" s="341"/>
      <c r="AI261" s="341"/>
      <c r="AJ261" s="341"/>
      <c r="AK261" s="342"/>
      <c r="AL261" s="343"/>
      <c r="AM261" s="341"/>
      <c r="AN261" s="344"/>
      <c r="AO261" s="344"/>
      <c r="AP261" s="344"/>
      <c r="AQ261" s="344"/>
      <c r="AR261" s="338"/>
      <c r="AS261" s="345"/>
      <c r="AT261" s="346"/>
      <c r="AU261" s="345"/>
    </row>
    <row r="262" spans="1:48" s="270" customFormat="1" ht="24" hidden="1" customHeight="1">
      <c r="A262" s="315">
        <v>86</v>
      </c>
      <c r="B262" s="263" t="s">
        <v>300</v>
      </c>
      <c r="C262" s="432" t="s">
        <v>301</v>
      </c>
      <c r="D262" s="369"/>
      <c r="E262" s="317"/>
      <c r="F262" s="370"/>
      <c r="G262" s="319"/>
      <c r="H262" s="320"/>
      <c r="I262" s="319" t="s">
        <v>298</v>
      </c>
      <c r="J262" s="263"/>
      <c r="K262" s="321"/>
      <c r="L262" s="263" t="s">
        <v>9</v>
      </c>
      <c r="M262" s="322" t="s">
        <v>63</v>
      </c>
      <c r="N262" s="323"/>
      <c r="O262" s="324">
        <v>46216</v>
      </c>
      <c r="P262" s="324">
        <v>46230</v>
      </c>
      <c r="Q262" s="324">
        <v>46230</v>
      </c>
      <c r="R262" s="324">
        <v>46230</v>
      </c>
      <c r="S262" s="324">
        <v>46230</v>
      </c>
      <c r="T262" s="324">
        <v>46237</v>
      </c>
      <c r="U262" s="324">
        <v>46247</v>
      </c>
      <c r="V262" s="324">
        <v>46261</v>
      </c>
      <c r="W262" s="324"/>
      <c r="X262" s="324">
        <v>46268</v>
      </c>
      <c r="Y262" s="324">
        <v>46272</v>
      </c>
      <c r="Z262" s="324">
        <v>46279</v>
      </c>
      <c r="AA262" s="324">
        <v>46294</v>
      </c>
      <c r="AB262" s="324">
        <v>46309</v>
      </c>
      <c r="AC262" s="324">
        <v>46339</v>
      </c>
      <c r="AD262" s="324">
        <v>46339</v>
      </c>
      <c r="AE262" s="324">
        <v>46341</v>
      </c>
      <c r="AF262" s="324">
        <v>46344</v>
      </c>
      <c r="AG262" s="324">
        <v>46351</v>
      </c>
      <c r="AH262" s="324">
        <v>46358</v>
      </c>
      <c r="AI262" s="324">
        <v>46372</v>
      </c>
      <c r="AJ262" s="324">
        <v>46388</v>
      </c>
      <c r="AK262" s="325">
        <v>12.8571428571429</v>
      </c>
      <c r="AL262" s="326">
        <f>AK262*7</f>
        <v>90.000000000000298</v>
      </c>
      <c r="AM262" s="324">
        <f>X262+AL262</f>
        <v>46358</v>
      </c>
      <c r="AN262" s="327">
        <f>AN263</f>
        <v>46360</v>
      </c>
      <c r="AO262" s="327"/>
      <c r="AP262" s="327"/>
      <c r="AQ262" s="327"/>
      <c r="AR262" s="319">
        <f>AN263-AM262</f>
        <v>2</v>
      </c>
      <c r="AS262" s="328"/>
      <c r="AT262" s="329" t="s">
        <v>65</v>
      </c>
      <c r="AU262" s="330">
        <v>46367</v>
      </c>
      <c r="AV262" s="331">
        <v>75</v>
      </c>
    </row>
    <row r="263" spans="1:48" s="270" customFormat="1" ht="25.05" hidden="1" customHeight="1">
      <c r="A263" s="315"/>
      <c r="B263" s="263" t="s">
        <v>300</v>
      </c>
      <c r="C263" s="432" t="s">
        <v>301</v>
      </c>
      <c r="D263" s="371"/>
      <c r="E263" s="317"/>
      <c r="F263" s="371"/>
      <c r="G263" s="319"/>
      <c r="H263" s="320" t="s">
        <v>299</v>
      </c>
      <c r="I263" s="319" t="s">
        <v>298</v>
      </c>
      <c r="J263" s="263" t="s">
        <v>67</v>
      </c>
      <c r="K263" s="263">
        <v>2</v>
      </c>
      <c r="L263" s="263" t="s">
        <v>9</v>
      </c>
      <c r="M263" s="322" t="s">
        <v>68</v>
      </c>
      <c r="N263" s="324">
        <v>46198</v>
      </c>
      <c r="O263" s="324"/>
      <c r="P263" s="324"/>
      <c r="Q263" s="324"/>
      <c r="R263" s="324"/>
      <c r="S263" s="324"/>
      <c r="T263" s="324">
        <f>S264+3</f>
        <v>46233</v>
      </c>
      <c r="U263" s="324">
        <f>WORKDAY.INTL(T263,INDEX(U$8:U$11,MATCH($L263,$L$8:$L$11,0)),1,IF(U$18="China",'China Holidays'!$A$2:$A$82,'Thai Holidays'!$A$2:$A$63))</f>
        <v>46244</v>
      </c>
      <c r="V263" s="324">
        <f>WORKDAY.INTL(U263,INDEX(V$8:V$11,MATCH($L263,$L$8:$L$11,0)),1,IF(V$18="China",'China Holidays'!$A$2:$A$82,'Thai Holidays'!$A$2:$A$63))</f>
        <v>46259</v>
      </c>
      <c r="W263" s="324"/>
      <c r="X263" s="324">
        <f>WORKDAY.INTL(V263,INDEX(X$8:X$11,MATCH($L263,$L$8:$L$11,0)),1,IF(X$18="China",'China Holidays'!$A$2:$A$82,'Thai Holidays'!$A$2:$A$63))</f>
        <v>46266</v>
      </c>
      <c r="Y263" s="324">
        <f>WORKDAY.INTL(X263,INDEX(Y$12:Y$15,MATCH($L263,$L$12:$L$15,0)),1,IF(Y$18="China",'China Holidays'!$A$2:$A$82,'Thai Holidays'!$A$2:$A$63))</f>
        <v>46268</v>
      </c>
      <c r="Z263" s="324">
        <f>WORKDAY.INTL(Y263,INDEX(Z$12:Z$15,MATCH($L263,$L$12:$L$15,0)),1,IF(Z$18="China",'China Holidays'!$A$2:$A$82,'Thai Holidays'!$A$2:$A$63))</f>
        <v>46275</v>
      </c>
      <c r="AA263" s="324">
        <f>WORKDAY.INTL(Z263,INDEX(AA$12:AA$15,MATCH($L263,$L$12:$L$15,0)),1,IF(AA$18="China",'China Holidays'!$A$2:$A$82,'Thai Holidays'!$A$2:$A$63))</f>
        <v>46289</v>
      </c>
      <c r="AB263" s="324">
        <f>WORKDAY.INTL(AA263,INDEX(AB$12:AB$15,MATCH($L263,$L$12:$L$15,0)),1,IF(AB$18="China",'China Holidays'!$A$2:$A$82,'Thai Holidays'!$A$2:$A$63))</f>
        <v>46303</v>
      </c>
      <c r="AC263" s="324">
        <f>AB263+30</f>
        <v>46333</v>
      </c>
      <c r="AD263" s="324">
        <f>AC263</f>
        <v>46333</v>
      </c>
      <c r="AE263" s="324">
        <f>AD263+2</f>
        <v>46335</v>
      </c>
      <c r="AF263" s="324">
        <f>AG263-7</f>
        <v>46342</v>
      </c>
      <c r="AG263" s="324">
        <f>AH263-7</f>
        <v>46349</v>
      </c>
      <c r="AH263" s="324">
        <f>AM263</f>
        <v>46356</v>
      </c>
      <c r="AI263" s="324">
        <f>AM263+14</f>
        <v>46370</v>
      </c>
      <c r="AJ263" s="324">
        <f>AM263+30</f>
        <v>46386</v>
      </c>
      <c r="AK263" s="325">
        <v>12.8571428571429</v>
      </c>
      <c r="AL263" s="326">
        <f>AK263*7</f>
        <v>90.000000000000298</v>
      </c>
      <c r="AM263" s="324">
        <f>IF(X263&lt;&gt;"",X263+AL263,X264+AL263)</f>
        <v>46356</v>
      </c>
      <c r="AN263" s="327">
        <f>AU262-7</f>
        <v>46360</v>
      </c>
      <c r="AO263" s="327">
        <f>AP263-7</f>
        <v>46379</v>
      </c>
      <c r="AP263" s="327">
        <v>46386</v>
      </c>
      <c r="AQ263" s="327"/>
      <c r="AR263" s="319">
        <f>AN263-AM263</f>
        <v>4</v>
      </c>
      <c r="AS263" s="328"/>
      <c r="AT263" s="329" t="s">
        <v>69</v>
      </c>
      <c r="AU263" s="330">
        <v>46367</v>
      </c>
      <c r="AV263" s="271"/>
    </row>
    <row r="264" spans="1:48" s="270" customFormat="1" ht="25.05" hidden="1" customHeight="1">
      <c r="A264" s="333"/>
      <c r="B264" s="334" t="s">
        <v>300</v>
      </c>
      <c r="C264" s="436" t="s">
        <v>301</v>
      </c>
      <c r="D264" s="372"/>
      <c r="E264" s="336"/>
      <c r="F264" s="372"/>
      <c r="G264" s="338"/>
      <c r="H264" s="339"/>
      <c r="I264" s="338" t="s">
        <v>298</v>
      </c>
      <c r="J264" s="334" t="s">
        <v>67</v>
      </c>
      <c r="K264" s="263">
        <v>2</v>
      </c>
      <c r="L264" s="334" t="s">
        <v>9</v>
      </c>
      <c r="M264" s="340" t="s">
        <v>70</v>
      </c>
      <c r="N264" s="341"/>
      <c r="O264" s="341">
        <v>46210</v>
      </c>
      <c r="P264" s="341">
        <v>46222</v>
      </c>
      <c r="Q264" s="341">
        <v>46222</v>
      </c>
      <c r="R264" s="341">
        <f>Q264</f>
        <v>46222</v>
      </c>
      <c r="S264" s="341">
        <f t="shared" ref="S264" si="10">IF(S$210&lt;&gt;"",S$210,"")</f>
        <v>46230</v>
      </c>
      <c r="T264" s="341"/>
      <c r="U264" s="341"/>
      <c r="V264" s="341"/>
      <c r="W264" s="341"/>
      <c r="X264" s="338"/>
      <c r="Y264" s="341"/>
      <c r="Z264" s="341"/>
      <c r="AA264" s="341"/>
      <c r="AB264" s="341"/>
      <c r="AC264" s="341"/>
      <c r="AD264" s="341"/>
      <c r="AE264" s="341"/>
      <c r="AF264" s="341"/>
      <c r="AG264" s="341"/>
      <c r="AH264" s="341"/>
      <c r="AI264" s="341"/>
      <c r="AJ264" s="341"/>
      <c r="AK264" s="342"/>
      <c r="AL264" s="343"/>
      <c r="AM264" s="341"/>
      <c r="AN264" s="344"/>
      <c r="AO264" s="344"/>
      <c r="AP264" s="344"/>
      <c r="AQ264" s="344"/>
      <c r="AR264" s="338"/>
      <c r="AS264" s="345"/>
      <c r="AT264" s="346"/>
      <c r="AU264" s="345"/>
    </row>
    <row r="265" spans="1:48" s="270" customFormat="1" ht="25.05" hidden="1" customHeight="1">
      <c r="A265" s="315">
        <v>87</v>
      </c>
      <c r="B265" s="263" t="s">
        <v>302</v>
      </c>
      <c r="C265" s="432" t="s">
        <v>303</v>
      </c>
      <c r="D265" s="369"/>
      <c r="E265" s="317"/>
      <c r="F265" s="370"/>
      <c r="G265" s="319"/>
      <c r="H265" s="320"/>
      <c r="I265" s="319" t="s">
        <v>298</v>
      </c>
      <c r="J265" s="263"/>
      <c r="K265" s="321"/>
      <c r="L265" s="263" t="s">
        <v>9</v>
      </c>
      <c r="M265" s="322" t="s">
        <v>63</v>
      </c>
      <c r="N265" s="323"/>
      <c r="O265" s="324">
        <v>46216</v>
      </c>
      <c r="P265" s="324">
        <v>46230</v>
      </c>
      <c r="Q265" s="324">
        <v>46230</v>
      </c>
      <c r="R265" s="324">
        <v>46230</v>
      </c>
      <c r="S265" s="324">
        <v>46230</v>
      </c>
      <c r="T265" s="324">
        <v>46237</v>
      </c>
      <c r="U265" s="324">
        <v>46247</v>
      </c>
      <c r="V265" s="324">
        <v>46261</v>
      </c>
      <c r="W265" s="324"/>
      <c r="X265" s="324">
        <v>46268</v>
      </c>
      <c r="Y265" s="324">
        <v>46272</v>
      </c>
      <c r="Z265" s="324">
        <v>46279</v>
      </c>
      <c r="AA265" s="324">
        <v>46294</v>
      </c>
      <c r="AB265" s="324">
        <v>46309</v>
      </c>
      <c r="AC265" s="324">
        <v>46339</v>
      </c>
      <c r="AD265" s="324">
        <v>46339</v>
      </c>
      <c r="AE265" s="324">
        <v>46341</v>
      </c>
      <c r="AF265" s="324">
        <v>46344</v>
      </c>
      <c r="AG265" s="324">
        <v>46351</v>
      </c>
      <c r="AH265" s="324">
        <v>46358</v>
      </c>
      <c r="AI265" s="324">
        <v>46372</v>
      </c>
      <c r="AJ265" s="324">
        <v>46388</v>
      </c>
      <c r="AK265" s="325">
        <v>12.8571428571429</v>
      </c>
      <c r="AL265" s="326">
        <f>AK265*7</f>
        <v>90.000000000000298</v>
      </c>
      <c r="AM265" s="324">
        <f>X265+AL265</f>
        <v>46358</v>
      </c>
      <c r="AN265" s="327">
        <f>AN266</f>
        <v>46360</v>
      </c>
      <c r="AO265" s="327"/>
      <c r="AP265" s="327"/>
      <c r="AQ265" s="327"/>
      <c r="AR265" s="319">
        <f>AN266-AM265</f>
        <v>2</v>
      </c>
      <c r="AS265" s="328"/>
      <c r="AT265" s="329" t="s">
        <v>65</v>
      </c>
      <c r="AU265" s="330">
        <v>46367</v>
      </c>
      <c r="AV265" s="331">
        <v>36</v>
      </c>
    </row>
    <row r="266" spans="1:48" s="270" customFormat="1" ht="25.05" hidden="1" customHeight="1">
      <c r="A266" s="315"/>
      <c r="B266" s="263" t="s">
        <v>302</v>
      </c>
      <c r="C266" s="432" t="s">
        <v>303</v>
      </c>
      <c r="D266" s="371"/>
      <c r="E266" s="317"/>
      <c r="F266" s="371"/>
      <c r="G266" s="319"/>
      <c r="H266" s="320" t="s">
        <v>299</v>
      </c>
      <c r="I266" s="319" t="s">
        <v>298</v>
      </c>
      <c r="J266" s="263" t="s">
        <v>75</v>
      </c>
      <c r="K266" s="263">
        <v>2</v>
      </c>
      <c r="L266" s="263" t="s">
        <v>9</v>
      </c>
      <c r="M266" s="322" t="s">
        <v>68</v>
      </c>
      <c r="N266" s="324">
        <v>46198</v>
      </c>
      <c r="O266" s="324"/>
      <c r="P266" s="324"/>
      <c r="Q266" s="324"/>
      <c r="R266" s="324"/>
      <c r="S266" s="324"/>
      <c r="T266" s="324">
        <f>S267+3</f>
        <v>46233</v>
      </c>
      <c r="U266" s="324">
        <f>WORKDAY.INTL(T266,INDEX(U$8:U$11,MATCH($L266,$L$8:$L$11,0)),1,IF(U$18="China",'China Holidays'!$A$2:$A$82,'Thai Holidays'!$A$2:$A$63))</f>
        <v>46244</v>
      </c>
      <c r="V266" s="324">
        <f>WORKDAY.INTL(U266,INDEX(V$8:V$11,MATCH($L266,$L$8:$L$11,0)),1,IF(V$18="China",'China Holidays'!$A$2:$A$82,'Thai Holidays'!$A$2:$A$63))</f>
        <v>46259</v>
      </c>
      <c r="W266" s="324"/>
      <c r="X266" s="324">
        <f>WORKDAY.INTL(V266,INDEX(X$8:X$11,MATCH($L266,$L$8:$L$11,0)),1,IF(X$18="China",'China Holidays'!$A$2:$A$82,'Thai Holidays'!$A$2:$A$63))</f>
        <v>46266</v>
      </c>
      <c r="Y266" s="324">
        <f>WORKDAY.INTL(X266,INDEX(Y$12:Y$15,MATCH($L266,$L$12:$L$15,0)),1,IF(Y$18="China",'China Holidays'!$A$2:$A$82,'Thai Holidays'!$A$2:$A$63))</f>
        <v>46268</v>
      </c>
      <c r="Z266" s="324">
        <f>WORKDAY.INTL(Y266,INDEX(Z$12:Z$15,MATCH($L266,$L$12:$L$15,0)),1,IF(Z$18="China",'China Holidays'!$A$2:$A$82,'Thai Holidays'!$A$2:$A$63))</f>
        <v>46275</v>
      </c>
      <c r="AA266" s="324">
        <f>WORKDAY.INTL(Z266,INDEX(AA$12:AA$15,MATCH($L266,$L$12:$L$15,0)),1,IF(AA$18="China",'China Holidays'!$A$2:$A$82,'Thai Holidays'!$A$2:$A$63))</f>
        <v>46289</v>
      </c>
      <c r="AB266" s="324">
        <f>WORKDAY.INTL(AA266,INDEX(AB$12:AB$15,MATCH($L266,$L$12:$L$15,0)),1,IF(AB$18="China",'China Holidays'!$A$2:$A$82,'Thai Holidays'!$A$2:$A$63))</f>
        <v>46303</v>
      </c>
      <c r="AC266" s="324">
        <f>AB266+30</f>
        <v>46333</v>
      </c>
      <c r="AD266" s="324">
        <f>AC266</f>
        <v>46333</v>
      </c>
      <c r="AE266" s="324">
        <f>AD266+2</f>
        <v>46335</v>
      </c>
      <c r="AF266" s="324">
        <f>AG266-7</f>
        <v>46342</v>
      </c>
      <c r="AG266" s="324">
        <f>AH266-7</f>
        <v>46349</v>
      </c>
      <c r="AH266" s="324">
        <f>AM266</f>
        <v>46356</v>
      </c>
      <c r="AI266" s="324">
        <f>AM266+14</f>
        <v>46370</v>
      </c>
      <c r="AJ266" s="324">
        <f>AM266+30</f>
        <v>46386</v>
      </c>
      <c r="AK266" s="325">
        <v>12.8571428571429</v>
      </c>
      <c r="AL266" s="326">
        <f>AK266*7</f>
        <v>90.000000000000298</v>
      </c>
      <c r="AM266" s="324">
        <f>IF(X266&lt;&gt;"",X266+AL266,X267+AL266)</f>
        <v>46356</v>
      </c>
      <c r="AN266" s="327">
        <f>AU265-7</f>
        <v>46360</v>
      </c>
      <c r="AO266" s="327">
        <f>AP266-7</f>
        <v>46379</v>
      </c>
      <c r="AP266" s="327">
        <v>46386</v>
      </c>
      <c r="AQ266" s="327"/>
      <c r="AR266" s="319">
        <f>AN266-AM266</f>
        <v>4</v>
      </c>
      <c r="AS266" s="328"/>
      <c r="AT266" s="329" t="s">
        <v>69</v>
      </c>
      <c r="AU266" s="330">
        <v>46367</v>
      </c>
      <c r="AV266" s="271"/>
    </row>
    <row r="267" spans="1:48" s="270" customFormat="1" ht="25.05" hidden="1" customHeight="1">
      <c r="A267" s="333"/>
      <c r="B267" s="334" t="s">
        <v>302</v>
      </c>
      <c r="C267" s="436" t="s">
        <v>303</v>
      </c>
      <c r="D267" s="372"/>
      <c r="E267" s="336"/>
      <c r="F267" s="372"/>
      <c r="G267" s="338"/>
      <c r="H267" s="415"/>
      <c r="I267" s="338" t="s">
        <v>298</v>
      </c>
      <c r="J267" s="334" t="s">
        <v>75</v>
      </c>
      <c r="K267" s="263">
        <v>2</v>
      </c>
      <c r="L267" s="334" t="s">
        <v>9</v>
      </c>
      <c r="M267" s="340" t="s">
        <v>70</v>
      </c>
      <c r="N267" s="341"/>
      <c r="O267" s="341">
        <v>46210</v>
      </c>
      <c r="P267" s="341">
        <v>46222</v>
      </c>
      <c r="Q267" s="341">
        <v>46222</v>
      </c>
      <c r="R267" s="341">
        <f>Q267</f>
        <v>46222</v>
      </c>
      <c r="S267" s="341">
        <f t="shared" ref="S267" si="11">IF(S$210&lt;&gt;"",S$210,"")</f>
        <v>46230</v>
      </c>
      <c r="T267" s="341"/>
      <c r="U267" s="341"/>
      <c r="V267" s="341"/>
      <c r="W267" s="341"/>
      <c r="X267" s="338"/>
      <c r="Y267" s="341"/>
      <c r="Z267" s="341"/>
      <c r="AA267" s="341"/>
      <c r="AB267" s="341"/>
      <c r="AC267" s="341"/>
      <c r="AD267" s="341"/>
      <c r="AE267" s="341"/>
      <c r="AF267" s="341"/>
      <c r="AG267" s="341"/>
      <c r="AH267" s="341"/>
      <c r="AI267" s="341"/>
      <c r="AJ267" s="341"/>
      <c r="AK267" s="342"/>
      <c r="AL267" s="343"/>
      <c r="AM267" s="341"/>
      <c r="AN267" s="344"/>
      <c r="AO267" s="344"/>
      <c r="AP267" s="344"/>
      <c r="AQ267" s="344"/>
      <c r="AR267" s="338"/>
      <c r="AS267" s="345"/>
      <c r="AT267" s="346"/>
      <c r="AU267" s="345"/>
    </row>
    <row r="268" spans="1:48" s="270" customFormat="1" ht="25.05" hidden="1" customHeight="1">
      <c r="A268" s="315">
        <v>88</v>
      </c>
      <c r="B268" s="263" t="s">
        <v>304</v>
      </c>
      <c r="C268" s="432" t="s">
        <v>305</v>
      </c>
      <c r="D268" s="369"/>
      <c r="E268" s="317"/>
      <c r="F268" s="370"/>
      <c r="G268" s="319"/>
      <c r="H268" s="320"/>
      <c r="I268" s="319" t="s">
        <v>298</v>
      </c>
      <c r="J268" s="263"/>
      <c r="K268" s="321"/>
      <c r="L268" s="263" t="s">
        <v>9</v>
      </c>
      <c r="M268" s="322" t="s">
        <v>63</v>
      </c>
      <c r="N268" s="323"/>
      <c r="O268" s="324">
        <v>46216</v>
      </c>
      <c r="P268" s="324">
        <v>46230</v>
      </c>
      <c r="Q268" s="324">
        <v>46230</v>
      </c>
      <c r="R268" s="324">
        <v>46230</v>
      </c>
      <c r="S268" s="324">
        <v>46230</v>
      </c>
      <c r="T268" s="324">
        <v>46237</v>
      </c>
      <c r="U268" s="324">
        <v>46247</v>
      </c>
      <c r="V268" s="324">
        <v>46261</v>
      </c>
      <c r="W268" s="324"/>
      <c r="X268" s="324">
        <v>46268</v>
      </c>
      <c r="Y268" s="324">
        <v>46272</v>
      </c>
      <c r="Z268" s="324">
        <v>46279</v>
      </c>
      <c r="AA268" s="324">
        <v>46294</v>
      </c>
      <c r="AB268" s="324">
        <v>46309</v>
      </c>
      <c r="AC268" s="324">
        <v>46339</v>
      </c>
      <c r="AD268" s="324">
        <v>46339</v>
      </c>
      <c r="AE268" s="324">
        <v>46341</v>
      </c>
      <c r="AF268" s="324">
        <v>46344</v>
      </c>
      <c r="AG268" s="324">
        <v>46351</v>
      </c>
      <c r="AH268" s="324">
        <v>46388</v>
      </c>
      <c r="AI268" s="324">
        <v>46402</v>
      </c>
      <c r="AJ268" s="324">
        <v>46418</v>
      </c>
      <c r="AK268" s="325">
        <v>17.1428571428571</v>
      </c>
      <c r="AL268" s="326">
        <f>AK268*7</f>
        <v>119.9999999999997</v>
      </c>
      <c r="AM268" s="324">
        <f>X268+AL268</f>
        <v>46388</v>
      </c>
      <c r="AN268" s="327">
        <f>AN269</f>
        <v>46389</v>
      </c>
      <c r="AO268" s="327"/>
      <c r="AP268" s="327"/>
      <c r="AQ268" s="327"/>
      <c r="AR268" s="319">
        <f>AN269-AM268</f>
        <v>1</v>
      </c>
      <c r="AS268" s="328"/>
      <c r="AT268" s="329" t="s">
        <v>65</v>
      </c>
      <c r="AU268" s="330">
        <v>46392</v>
      </c>
      <c r="AV268" s="331">
        <v>45</v>
      </c>
    </row>
    <row r="269" spans="1:48" s="270" customFormat="1" ht="25.05" hidden="1" customHeight="1">
      <c r="A269" s="315"/>
      <c r="B269" s="263" t="s">
        <v>304</v>
      </c>
      <c r="C269" s="432" t="s">
        <v>305</v>
      </c>
      <c r="D269" s="371"/>
      <c r="E269" s="317"/>
      <c r="F269" s="371"/>
      <c r="G269" s="319"/>
      <c r="H269" s="320" t="s">
        <v>299</v>
      </c>
      <c r="I269" s="319" t="s">
        <v>298</v>
      </c>
      <c r="J269" s="263" t="s">
        <v>75</v>
      </c>
      <c r="K269" s="263">
        <v>2</v>
      </c>
      <c r="L269" s="263" t="s">
        <v>9</v>
      </c>
      <c r="M269" s="322" t="s">
        <v>68</v>
      </c>
      <c r="N269" s="324">
        <v>46198</v>
      </c>
      <c r="O269" s="324"/>
      <c r="P269" s="324"/>
      <c r="Q269" s="324"/>
      <c r="R269" s="324"/>
      <c r="S269" s="324"/>
      <c r="T269" s="324">
        <f>S270+3</f>
        <v>46233</v>
      </c>
      <c r="U269" s="324">
        <f>WORKDAY.INTL(T269,INDEX(U$8:U$11,MATCH($L269,$L$8:$L$11,0)),1,IF(U$18="China",'China Holidays'!$A$2:$A$82,'Thai Holidays'!$A$2:$A$63))</f>
        <v>46244</v>
      </c>
      <c r="V269" s="324">
        <f>WORKDAY.INTL(U269,INDEX(V$8:V$11,MATCH($L269,$L$8:$L$11,0)),1,IF(V$18="China",'China Holidays'!$A$2:$A$82,'Thai Holidays'!$A$2:$A$63))</f>
        <v>46259</v>
      </c>
      <c r="W269" s="324"/>
      <c r="X269" s="324">
        <f>WORKDAY.INTL(V269,INDEX(X$8:X$11,MATCH($L269,$L$8:$L$11,0)),1,IF(X$18="China",'China Holidays'!$A$2:$A$82,'Thai Holidays'!$A$2:$A$63))</f>
        <v>46266</v>
      </c>
      <c r="Y269" s="324">
        <f>WORKDAY.INTL(X269,INDEX(Y$12:Y$15,MATCH($L269,$L$12:$L$15,0)),1,IF(Y$18="China",'China Holidays'!$A$2:$A$82,'Thai Holidays'!$A$2:$A$63))</f>
        <v>46268</v>
      </c>
      <c r="Z269" s="324">
        <f>WORKDAY.INTL(Y269,INDEX(Z$12:Z$15,MATCH($L269,$L$12:$L$15,0)),1,IF(Z$18="China",'China Holidays'!$A$2:$A$82,'Thai Holidays'!$A$2:$A$63))</f>
        <v>46275</v>
      </c>
      <c r="AA269" s="324">
        <f>WORKDAY.INTL(Z269,INDEX(AA$12:AA$15,MATCH($L269,$L$12:$L$15,0)),1,IF(AA$18="China",'China Holidays'!$A$2:$A$82,'Thai Holidays'!$A$2:$A$63))</f>
        <v>46289</v>
      </c>
      <c r="AB269" s="324">
        <f>WORKDAY.INTL(AA269,INDEX(AB$12:AB$15,MATCH($L269,$L$12:$L$15,0)),1,IF(AB$18="China",'China Holidays'!$A$2:$A$82,'Thai Holidays'!$A$2:$A$63))</f>
        <v>46303</v>
      </c>
      <c r="AC269" s="324">
        <f>AB269+30</f>
        <v>46333</v>
      </c>
      <c r="AD269" s="324">
        <f>AC269</f>
        <v>46333</v>
      </c>
      <c r="AE269" s="324">
        <f>AD269+2</f>
        <v>46335</v>
      </c>
      <c r="AF269" s="324">
        <f>AG269-7</f>
        <v>46372</v>
      </c>
      <c r="AG269" s="324">
        <f>AH269-7</f>
        <v>46379</v>
      </c>
      <c r="AH269" s="324">
        <f>AM269</f>
        <v>46386</v>
      </c>
      <c r="AI269" s="324">
        <f>AM269+14</f>
        <v>46400</v>
      </c>
      <c r="AJ269" s="324">
        <f>AM269+30</f>
        <v>46416</v>
      </c>
      <c r="AK269" s="325">
        <v>17.1428571428571</v>
      </c>
      <c r="AL269" s="326">
        <f>AK269*7</f>
        <v>119.9999999999997</v>
      </c>
      <c r="AM269" s="324">
        <f>IF(X269&lt;&gt;"",X269+AL269,X270+AL269)</f>
        <v>46386</v>
      </c>
      <c r="AN269" s="327">
        <f>AU268-3</f>
        <v>46389</v>
      </c>
      <c r="AO269" s="327">
        <f>AP269-7</f>
        <v>46379</v>
      </c>
      <c r="AP269" s="327">
        <v>46386</v>
      </c>
      <c r="AQ269" s="327"/>
      <c r="AR269" s="319">
        <f>AN269-AM269</f>
        <v>3</v>
      </c>
      <c r="AS269" s="328"/>
      <c r="AT269" s="329" t="s">
        <v>69</v>
      </c>
      <c r="AU269" s="330">
        <v>46393</v>
      </c>
      <c r="AV269" s="271"/>
    </row>
    <row r="270" spans="1:48" s="270" customFormat="1" ht="25.05" hidden="1" customHeight="1">
      <c r="A270" s="333"/>
      <c r="B270" s="334" t="s">
        <v>304</v>
      </c>
      <c r="C270" s="436" t="s">
        <v>305</v>
      </c>
      <c r="D270" s="372"/>
      <c r="E270" s="336"/>
      <c r="F270" s="372"/>
      <c r="G270" s="338"/>
      <c r="H270" s="339"/>
      <c r="I270" s="338" t="s">
        <v>298</v>
      </c>
      <c r="J270" s="334" t="s">
        <v>75</v>
      </c>
      <c r="K270" s="263">
        <v>2</v>
      </c>
      <c r="L270" s="334" t="s">
        <v>9</v>
      </c>
      <c r="M270" s="340" t="s">
        <v>70</v>
      </c>
      <c r="N270" s="341"/>
      <c r="O270" s="341">
        <v>46210</v>
      </c>
      <c r="P270" s="341">
        <v>46222</v>
      </c>
      <c r="Q270" s="341">
        <v>46222</v>
      </c>
      <c r="R270" s="341">
        <f>Q270</f>
        <v>46222</v>
      </c>
      <c r="S270" s="341">
        <f t="shared" ref="S270" si="12">IF(S$210&lt;&gt;"",S$210,"")</f>
        <v>46230</v>
      </c>
      <c r="T270" s="341"/>
      <c r="U270" s="341"/>
      <c r="V270" s="341"/>
      <c r="W270" s="341"/>
      <c r="X270" s="338"/>
      <c r="Y270" s="341"/>
      <c r="Z270" s="341"/>
      <c r="AA270" s="341"/>
      <c r="AB270" s="341"/>
      <c r="AC270" s="341"/>
      <c r="AD270" s="341"/>
      <c r="AE270" s="341"/>
      <c r="AF270" s="341"/>
      <c r="AG270" s="341"/>
      <c r="AH270" s="341"/>
      <c r="AI270" s="341"/>
      <c r="AJ270" s="341"/>
      <c r="AK270" s="342"/>
      <c r="AL270" s="343"/>
      <c r="AM270" s="341"/>
      <c r="AN270" s="344"/>
      <c r="AO270" s="344"/>
      <c r="AP270" s="344"/>
      <c r="AQ270" s="344"/>
      <c r="AR270" s="338"/>
      <c r="AS270" s="345"/>
      <c r="AT270" s="346"/>
      <c r="AU270" s="365" t="s">
        <v>306</v>
      </c>
    </row>
    <row r="271" spans="1:48" s="270" customFormat="1" ht="25.05" hidden="1" customHeight="1">
      <c r="A271" s="315">
        <v>89</v>
      </c>
      <c r="B271" s="263" t="s">
        <v>307</v>
      </c>
      <c r="C271" s="432" t="s">
        <v>308</v>
      </c>
      <c r="D271" s="369"/>
      <c r="E271" s="317"/>
      <c r="F271" s="370"/>
      <c r="G271" s="319"/>
      <c r="H271" s="320"/>
      <c r="I271" s="319" t="s">
        <v>202</v>
      </c>
      <c r="J271" s="263"/>
      <c r="K271" s="321"/>
      <c r="L271" s="263" t="s">
        <v>9</v>
      </c>
      <c r="M271" s="322" t="s">
        <v>63</v>
      </c>
      <c r="N271" s="323"/>
      <c r="O271" s="324">
        <v>46274</v>
      </c>
      <c r="P271" s="324">
        <v>46288</v>
      </c>
      <c r="Q271" s="324">
        <v>46288</v>
      </c>
      <c r="R271" s="324">
        <v>46288</v>
      </c>
      <c r="S271" s="324">
        <v>46288</v>
      </c>
      <c r="T271" s="324">
        <v>46303</v>
      </c>
      <c r="U271" s="324">
        <v>46315</v>
      </c>
      <c r="V271" s="324">
        <v>46330</v>
      </c>
      <c r="W271" s="324"/>
      <c r="X271" s="324">
        <v>46337</v>
      </c>
      <c r="Y271" s="324">
        <v>46339</v>
      </c>
      <c r="Z271" s="324">
        <v>46346</v>
      </c>
      <c r="AA271" s="324">
        <v>46360</v>
      </c>
      <c r="AB271" s="324">
        <v>46377</v>
      </c>
      <c r="AC271" s="324">
        <v>46387</v>
      </c>
      <c r="AD271" s="324">
        <v>46387</v>
      </c>
      <c r="AE271" s="324">
        <v>46389</v>
      </c>
      <c r="AF271" s="324">
        <v>46423</v>
      </c>
      <c r="AG271" s="324">
        <v>46430</v>
      </c>
      <c r="AH271" s="324">
        <v>46437</v>
      </c>
      <c r="AI271" s="324">
        <v>46451</v>
      </c>
      <c r="AJ271" s="324">
        <v>46467</v>
      </c>
      <c r="AK271" s="325">
        <v>14.285714285714301</v>
      </c>
      <c r="AL271" s="326">
        <f>AK271*7</f>
        <v>100.0000000000001</v>
      </c>
      <c r="AM271" s="324">
        <f>X271+AL271</f>
        <v>46437</v>
      </c>
      <c r="AN271" s="327">
        <f>AN272</f>
        <v>46457</v>
      </c>
      <c r="AO271" s="327"/>
      <c r="AP271" s="327"/>
      <c r="AQ271" s="327"/>
      <c r="AR271" s="319">
        <f>AN272-AM271</f>
        <v>20</v>
      </c>
      <c r="AS271" s="328"/>
      <c r="AT271" s="329" t="s">
        <v>65</v>
      </c>
      <c r="AU271" s="330">
        <v>46464</v>
      </c>
      <c r="AV271" s="331">
        <v>21</v>
      </c>
    </row>
    <row r="272" spans="1:48" s="270" customFormat="1" ht="25.05" hidden="1" customHeight="1">
      <c r="A272" s="315"/>
      <c r="B272" s="263" t="s">
        <v>307</v>
      </c>
      <c r="C272" s="432" t="s">
        <v>308</v>
      </c>
      <c r="D272" s="371"/>
      <c r="E272" s="317"/>
      <c r="F272" s="371"/>
      <c r="G272" s="319"/>
      <c r="H272" s="320" t="s">
        <v>309</v>
      </c>
      <c r="I272" s="319" t="s">
        <v>202</v>
      </c>
      <c r="J272" s="263" t="s">
        <v>75</v>
      </c>
      <c r="K272" s="263">
        <v>3</v>
      </c>
      <c r="L272" s="263" t="s">
        <v>9</v>
      </c>
      <c r="M272" s="322" t="s">
        <v>68</v>
      </c>
      <c r="N272" s="324">
        <v>46261</v>
      </c>
      <c r="O272" s="324"/>
      <c r="P272" s="324"/>
      <c r="Q272" s="324"/>
      <c r="R272" s="324"/>
      <c r="S272" s="324"/>
      <c r="T272" s="324">
        <f>S273+3</f>
        <v>46233</v>
      </c>
      <c r="U272" s="324">
        <f>WORKDAY.INTL(T272,INDEX(U$8:U$11,MATCH($L272,$L$8:$L$11,0)),1,IF(U$18="China",'China Holidays'!$A$2:$A$82,'Thai Holidays'!$A$2:$A$63))</f>
        <v>46244</v>
      </c>
      <c r="V272" s="324">
        <f>WORKDAY.INTL(U272,INDEX(V$8:V$11,MATCH($L272,$L$8:$L$11,0)),1,IF(V$18="China",'China Holidays'!$A$2:$A$82,'Thai Holidays'!$A$2:$A$63))</f>
        <v>46259</v>
      </c>
      <c r="W272" s="324"/>
      <c r="X272" s="324">
        <f>WORKDAY.INTL(V272,INDEX(X$8:X$11,MATCH($L272,$L$8:$L$11,0)),1,IF(X$18="China",'China Holidays'!$A$2:$A$82,'Thai Holidays'!$A$2:$A$63))</f>
        <v>46266</v>
      </c>
      <c r="Y272" s="324">
        <f>WORKDAY.INTL(X272,INDEX(Y$12:Y$15,MATCH($L272,$L$12:$L$15,0)),1,IF(Y$18="China",'China Holidays'!$A$2:$A$82,'Thai Holidays'!$A$2:$A$63))</f>
        <v>46268</v>
      </c>
      <c r="Z272" s="324">
        <f>WORKDAY.INTL(Y272,INDEX(Z$12:Z$15,MATCH($L272,$L$12:$L$15,0)),1,IF(Z$18="China",'China Holidays'!$A$2:$A$82,'Thai Holidays'!$A$2:$A$63))</f>
        <v>46275</v>
      </c>
      <c r="AA272" s="324">
        <f>WORKDAY.INTL(Z272,INDEX(AA$12:AA$15,MATCH($L272,$L$12:$L$15,0)),1,IF(AA$18="China",'China Holidays'!$A$2:$A$82,'Thai Holidays'!$A$2:$A$63))</f>
        <v>46289</v>
      </c>
      <c r="AB272" s="324">
        <f>WORKDAY.INTL(AA272,INDEX(AB$12:AB$15,MATCH($L272,$L$12:$L$15,0)),1,IF(AB$18="China",'China Holidays'!$A$2:$A$82,'Thai Holidays'!$A$2:$A$63))</f>
        <v>46303</v>
      </c>
      <c r="AC272" s="324">
        <f>AB272+10</f>
        <v>46313</v>
      </c>
      <c r="AD272" s="324">
        <f>AC272</f>
        <v>46313</v>
      </c>
      <c r="AE272" s="324">
        <f>AD272+2</f>
        <v>46315</v>
      </c>
      <c r="AF272" s="324">
        <f>AG272-7</f>
        <v>46352</v>
      </c>
      <c r="AG272" s="324">
        <f>AH272-7</f>
        <v>46359</v>
      </c>
      <c r="AH272" s="324">
        <f>AM272</f>
        <v>46366</v>
      </c>
      <c r="AI272" s="324">
        <f>AM272+14</f>
        <v>46380</v>
      </c>
      <c r="AJ272" s="324">
        <f>AM272+30</f>
        <v>46396</v>
      </c>
      <c r="AK272" s="325">
        <v>14.285714285714301</v>
      </c>
      <c r="AL272" s="326">
        <f>AK272*7</f>
        <v>100.0000000000001</v>
      </c>
      <c r="AM272" s="324">
        <f>IF(X272&lt;&gt;"",X272+AL272,X273+AL272)</f>
        <v>46366</v>
      </c>
      <c r="AN272" s="327">
        <f>AU271-7</f>
        <v>46457</v>
      </c>
      <c r="AO272" s="327">
        <f>AP272-7</f>
        <v>46448</v>
      </c>
      <c r="AP272" s="327">
        <v>46455</v>
      </c>
      <c r="AQ272" s="327"/>
      <c r="AR272" s="319">
        <f>AN272-AM272</f>
        <v>91</v>
      </c>
      <c r="AS272" s="328"/>
      <c r="AT272" s="329" t="s">
        <v>69</v>
      </c>
      <c r="AU272" s="330">
        <v>46476</v>
      </c>
      <c r="AV272" s="271"/>
    </row>
    <row r="273" spans="1:48" s="270" customFormat="1" ht="25.05" hidden="1" customHeight="1">
      <c r="A273" s="333"/>
      <c r="B273" s="334" t="s">
        <v>307</v>
      </c>
      <c r="C273" s="436" t="s">
        <v>308</v>
      </c>
      <c r="D273" s="372"/>
      <c r="E273" s="336"/>
      <c r="F273" s="372"/>
      <c r="G273" s="338"/>
      <c r="H273" s="339"/>
      <c r="I273" s="338" t="s">
        <v>202</v>
      </c>
      <c r="J273" s="334" t="s">
        <v>75</v>
      </c>
      <c r="K273" s="263">
        <v>3</v>
      </c>
      <c r="L273" s="334" t="s">
        <v>9</v>
      </c>
      <c r="M273" s="340" t="s">
        <v>70</v>
      </c>
      <c r="N273" s="341"/>
      <c r="O273" s="341">
        <v>46171</v>
      </c>
      <c r="P273" s="341">
        <v>46188</v>
      </c>
      <c r="Q273" s="341">
        <v>46188</v>
      </c>
      <c r="R273" s="341">
        <v>46188</v>
      </c>
      <c r="S273" s="341">
        <f t="shared" ref="S273" si="13">IF(S$210&lt;&gt;"",S$210,"")</f>
        <v>46230</v>
      </c>
      <c r="T273" s="341"/>
      <c r="U273" s="341"/>
      <c r="V273" s="341"/>
      <c r="W273" s="341"/>
      <c r="X273" s="338"/>
      <c r="Y273" s="341"/>
      <c r="Z273" s="341"/>
      <c r="AA273" s="341"/>
      <c r="AB273" s="341"/>
      <c r="AC273" s="341"/>
      <c r="AD273" s="341"/>
      <c r="AE273" s="341"/>
      <c r="AF273" s="341"/>
      <c r="AG273" s="341"/>
      <c r="AH273" s="341"/>
      <c r="AI273" s="341"/>
      <c r="AJ273" s="341"/>
      <c r="AK273" s="342"/>
      <c r="AL273" s="343"/>
      <c r="AM273" s="341"/>
      <c r="AN273" s="344"/>
      <c r="AO273" s="344"/>
      <c r="AP273" s="344"/>
      <c r="AQ273" s="344"/>
      <c r="AR273" s="338"/>
      <c r="AS273" s="345"/>
      <c r="AT273" s="346"/>
      <c r="AU273" s="345"/>
    </row>
    <row r="274" spans="1:48" s="270" customFormat="1" ht="25.05" hidden="1" customHeight="1">
      <c r="A274" s="315">
        <v>90</v>
      </c>
      <c r="B274" s="263" t="s">
        <v>310</v>
      </c>
      <c r="C274" s="432" t="s">
        <v>311</v>
      </c>
      <c r="D274" s="369"/>
      <c r="E274" s="317"/>
      <c r="F274" s="370"/>
      <c r="G274" s="319"/>
      <c r="H274" s="320"/>
      <c r="I274" s="319" t="s">
        <v>226</v>
      </c>
      <c r="J274" s="263"/>
      <c r="K274" s="321"/>
      <c r="L274" s="263" t="s">
        <v>9</v>
      </c>
      <c r="M274" s="322" t="s">
        <v>63</v>
      </c>
      <c r="N274" s="323"/>
      <c r="O274" s="324">
        <v>46258</v>
      </c>
      <c r="P274" s="324">
        <v>46272</v>
      </c>
      <c r="Q274" s="324">
        <v>46272</v>
      </c>
      <c r="R274" s="324">
        <v>46272</v>
      </c>
      <c r="S274" s="324">
        <v>46272</v>
      </c>
      <c r="T274" s="324">
        <v>46279</v>
      </c>
      <c r="U274" s="324">
        <v>46288</v>
      </c>
      <c r="V274" s="324">
        <v>46302</v>
      </c>
      <c r="W274" s="324"/>
      <c r="X274" s="324">
        <v>46309</v>
      </c>
      <c r="Y274" s="324">
        <v>46311</v>
      </c>
      <c r="Z274" s="324">
        <v>46318</v>
      </c>
      <c r="AA274" s="416">
        <v>46332</v>
      </c>
      <c r="AB274" s="324">
        <v>46346</v>
      </c>
      <c r="AC274" s="324">
        <v>46356</v>
      </c>
      <c r="AD274" s="324">
        <v>46356</v>
      </c>
      <c r="AE274" s="324">
        <v>46357</v>
      </c>
      <c r="AF274" s="324">
        <v>46362</v>
      </c>
      <c r="AG274" s="324">
        <v>46365</v>
      </c>
      <c r="AH274" s="324">
        <v>46369</v>
      </c>
      <c r="AI274" s="324">
        <v>46379</v>
      </c>
      <c r="AJ274" s="324">
        <v>46389</v>
      </c>
      <c r="AK274" s="325">
        <v>8.5714285714285694</v>
      </c>
      <c r="AL274" s="326">
        <f>AK274*7</f>
        <v>59.999999999999986</v>
      </c>
      <c r="AM274" s="324">
        <f>X274+AL274</f>
        <v>46369</v>
      </c>
      <c r="AN274" s="327">
        <f>AN275</f>
        <v>46379</v>
      </c>
      <c r="AO274" s="327"/>
      <c r="AP274" s="327"/>
      <c r="AQ274" s="327"/>
      <c r="AR274" s="319">
        <f>AN275-AM274</f>
        <v>10</v>
      </c>
      <c r="AS274" s="328"/>
      <c r="AT274" s="329" t="s">
        <v>65</v>
      </c>
      <c r="AU274" s="330">
        <v>46386</v>
      </c>
      <c r="AV274" s="331">
        <v>24</v>
      </c>
    </row>
    <row r="275" spans="1:48" s="270" customFormat="1" ht="25.05" hidden="1" customHeight="1">
      <c r="A275" s="315"/>
      <c r="B275" s="263" t="s">
        <v>310</v>
      </c>
      <c r="C275" s="432" t="s">
        <v>311</v>
      </c>
      <c r="D275" s="371"/>
      <c r="E275" s="317"/>
      <c r="F275" s="371"/>
      <c r="G275" s="319"/>
      <c r="H275" s="320" t="s">
        <v>312</v>
      </c>
      <c r="I275" s="319" t="s">
        <v>226</v>
      </c>
      <c r="J275" s="263" t="s">
        <v>67</v>
      </c>
      <c r="K275" s="263">
        <v>4</v>
      </c>
      <c r="L275" s="263" t="s">
        <v>9</v>
      </c>
      <c r="M275" s="322" t="s">
        <v>68</v>
      </c>
      <c r="N275" s="324">
        <v>46244</v>
      </c>
      <c r="O275" s="324"/>
      <c r="P275" s="324"/>
      <c r="Q275" s="324"/>
      <c r="R275" s="324"/>
      <c r="S275" s="324"/>
      <c r="T275" s="324">
        <f>S276+3</f>
        <v>46233</v>
      </c>
      <c r="U275" s="324">
        <f>WORKDAY.INTL(T275,INDEX(U$8:U$11,MATCH($L275,$L$8:$L$11,0)),1,IF(U$18="China",'China Holidays'!$A$2:$A$82,'Thai Holidays'!$A$2:$A$63))</f>
        <v>46244</v>
      </c>
      <c r="V275" s="324">
        <f>WORKDAY.INTL(U275,INDEX(V$8:V$11,MATCH($L275,$L$8:$L$11,0)),1,IF(V$18="China",'China Holidays'!$A$2:$A$82,'Thai Holidays'!$A$2:$A$63))</f>
        <v>46259</v>
      </c>
      <c r="W275" s="324"/>
      <c r="X275" s="324">
        <f>WORKDAY.INTL(V275,INDEX(X$8:X$11,MATCH($L275,$L$8:$L$11,0)),1,IF(X$18="China",'China Holidays'!$A$2:$A$82,'Thai Holidays'!$A$2:$A$63))</f>
        <v>46266</v>
      </c>
      <c r="Y275" s="324">
        <f>WORKDAY.INTL(X275,INDEX(Y$12:Y$15,MATCH($L275,$L$12:$L$15,0)),1,IF(Y$18="China",'China Holidays'!$A$2:$A$82,'Thai Holidays'!$A$2:$A$63))</f>
        <v>46268</v>
      </c>
      <c r="Z275" s="324">
        <f>WORKDAY.INTL(Y275,INDEX(Z$12:Z$15,MATCH($L275,$L$12:$L$15,0)),1,IF(Z$18="China",'China Holidays'!$A$2:$A$82,'Thai Holidays'!$A$2:$A$63))</f>
        <v>46275</v>
      </c>
      <c r="AA275" s="324">
        <f>WORKDAY.INTL(Z275,INDEX(AA$12:AA$15,MATCH($L275,$L$12:$L$15,0)),1,IF(AA$18="China",'China Holidays'!$A$2:$A$82,'Thai Holidays'!$A$2:$A$63))</f>
        <v>46289</v>
      </c>
      <c r="AB275" s="324">
        <f>WORKDAY.INTL(AA275,INDEX(AB$12:AB$15,MATCH($L275,$L$12:$L$15,0)),1,IF(AB$18="China",'China Holidays'!$A$2:$A$82,'Thai Holidays'!$A$2:$A$63))</f>
        <v>46303</v>
      </c>
      <c r="AC275" s="324">
        <f>AB275+10</f>
        <v>46313</v>
      </c>
      <c r="AD275" s="324">
        <f>AC275</f>
        <v>46313</v>
      </c>
      <c r="AE275" s="324">
        <f>AD275+1</f>
        <v>46314</v>
      </c>
      <c r="AF275" s="324">
        <f>AG275-3</f>
        <v>46319</v>
      </c>
      <c r="AG275" s="324">
        <f t="shared" ref="AG275" si="14">AH275-4</f>
        <v>46322</v>
      </c>
      <c r="AH275" s="324">
        <f>AM275</f>
        <v>46326</v>
      </c>
      <c r="AI275" s="324">
        <f>AH275+10</f>
        <v>46336</v>
      </c>
      <c r="AJ275" s="324">
        <f>AH275+20</f>
        <v>46346</v>
      </c>
      <c r="AK275" s="325">
        <v>8.5714285714285694</v>
      </c>
      <c r="AL275" s="326">
        <f>AK275*7</f>
        <v>59.999999999999986</v>
      </c>
      <c r="AM275" s="324">
        <f>IF(X275&lt;&gt;"",X275+AL275,X276+AL275)</f>
        <v>46326</v>
      </c>
      <c r="AN275" s="327">
        <f>AU274-7</f>
        <v>46379</v>
      </c>
      <c r="AO275" s="327">
        <f>AP275-3</f>
        <v>46718</v>
      </c>
      <c r="AP275" s="327">
        <v>46721</v>
      </c>
      <c r="AQ275" s="327"/>
      <c r="AR275" s="319">
        <f>AN275-AM275</f>
        <v>53</v>
      </c>
      <c r="AS275" s="417"/>
      <c r="AT275" s="329" t="s">
        <v>69</v>
      </c>
      <c r="AU275" s="330">
        <v>46402</v>
      </c>
      <c r="AV275" s="271"/>
    </row>
    <row r="276" spans="1:48" s="270" customFormat="1" ht="25.05" hidden="1" customHeight="1">
      <c r="A276" s="333"/>
      <c r="B276" s="334" t="s">
        <v>310</v>
      </c>
      <c r="C276" s="436" t="s">
        <v>311</v>
      </c>
      <c r="D276" s="372"/>
      <c r="E276" s="336"/>
      <c r="F276" s="372"/>
      <c r="G276" s="338"/>
      <c r="H276" s="339"/>
      <c r="I276" s="338" t="s">
        <v>226</v>
      </c>
      <c r="J276" s="334" t="s">
        <v>67</v>
      </c>
      <c r="K276" s="334">
        <v>4</v>
      </c>
      <c r="L276" s="334" t="s">
        <v>9</v>
      </c>
      <c r="M276" s="340" t="s">
        <v>70</v>
      </c>
      <c r="N276" s="341"/>
      <c r="O276" s="341">
        <v>46210</v>
      </c>
      <c r="P276" s="341">
        <v>46222</v>
      </c>
      <c r="Q276" s="341">
        <v>46222</v>
      </c>
      <c r="R276" s="341">
        <f>Q276</f>
        <v>46222</v>
      </c>
      <c r="S276" s="341">
        <f t="shared" ref="S276" si="15">IF(S$210&lt;&gt;"",S$210,"")</f>
        <v>46230</v>
      </c>
      <c r="T276" s="341"/>
      <c r="U276" s="341"/>
      <c r="V276" s="341"/>
      <c r="W276" s="341"/>
      <c r="X276" s="338"/>
      <c r="Y276" s="341"/>
      <c r="Z276" s="341"/>
      <c r="AA276" s="341"/>
      <c r="AB276" s="341"/>
      <c r="AC276" s="341"/>
      <c r="AD276" s="341"/>
      <c r="AE276" s="341"/>
      <c r="AF276" s="341"/>
      <c r="AG276" s="341"/>
      <c r="AH276" s="341"/>
      <c r="AI276" s="341"/>
      <c r="AJ276" s="341"/>
      <c r="AK276" s="342"/>
      <c r="AL276" s="343"/>
      <c r="AM276" s="341"/>
      <c r="AN276" s="344"/>
      <c r="AO276" s="344"/>
      <c r="AP276" s="344"/>
      <c r="AQ276" s="344"/>
      <c r="AR276" s="338"/>
      <c r="AS276" s="345"/>
      <c r="AT276" s="346"/>
      <c r="AU276" s="365" t="s">
        <v>306</v>
      </c>
    </row>
    <row r="277" spans="1:48" s="270" customFormat="1" ht="25.05" hidden="1" customHeight="1">
      <c r="A277" s="315">
        <v>93</v>
      </c>
      <c r="B277" s="263" t="s">
        <v>313</v>
      </c>
      <c r="C277" s="432" t="s">
        <v>314</v>
      </c>
      <c r="D277" s="369"/>
      <c r="E277" s="317"/>
      <c r="F277" s="370"/>
      <c r="G277" s="319"/>
      <c r="H277" s="418"/>
      <c r="I277" s="319" t="s">
        <v>315</v>
      </c>
      <c r="J277" s="263"/>
      <c r="K277" s="321"/>
      <c r="L277" s="263" t="s">
        <v>9</v>
      </c>
      <c r="M277" s="322" t="s">
        <v>63</v>
      </c>
      <c r="N277" s="323"/>
      <c r="O277" s="324">
        <v>46223</v>
      </c>
      <c r="P277" s="324">
        <v>46239</v>
      </c>
      <c r="Q277" s="324">
        <v>46239</v>
      </c>
      <c r="R277" s="324">
        <v>46237</v>
      </c>
      <c r="S277" s="324">
        <v>46238</v>
      </c>
      <c r="T277" s="324">
        <v>46244</v>
      </c>
      <c r="U277" s="324">
        <v>46254</v>
      </c>
      <c r="V277" s="324">
        <v>46258</v>
      </c>
      <c r="W277" s="324"/>
      <c r="X277" s="324">
        <v>46265</v>
      </c>
      <c r="Y277" s="324">
        <v>46267</v>
      </c>
      <c r="Z277" s="324">
        <v>46274</v>
      </c>
      <c r="AA277" s="324">
        <v>46288</v>
      </c>
      <c r="AB277" s="324">
        <v>46302</v>
      </c>
      <c r="AC277" s="324">
        <v>46288</v>
      </c>
      <c r="AD277" s="324">
        <v>46312</v>
      </c>
      <c r="AE277" s="324">
        <v>46314</v>
      </c>
      <c r="AF277" s="324">
        <v>46315</v>
      </c>
      <c r="AG277" s="324">
        <v>46318</v>
      </c>
      <c r="AH277" s="324">
        <v>46321</v>
      </c>
      <c r="AI277" s="324">
        <v>46331</v>
      </c>
      <c r="AJ277" s="324">
        <v>46341</v>
      </c>
      <c r="AK277" s="325">
        <v>8</v>
      </c>
      <c r="AL277" s="326">
        <f>AK277*7</f>
        <v>56</v>
      </c>
      <c r="AM277" s="324">
        <f>X277+AL277</f>
        <v>46321</v>
      </c>
      <c r="AN277" s="327">
        <f>AN278</f>
        <v>46349</v>
      </c>
      <c r="AO277" s="327"/>
      <c r="AP277" s="327"/>
      <c r="AQ277" s="327"/>
      <c r="AR277" s="319">
        <f>AN278-AM277</f>
        <v>28</v>
      </c>
      <c r="AS277" s="328"/>
      <c r="AT277" s="329" t="s">
        <v>65</v>
      </c>
      <c r="AU277" s="330">
        <v>46356</v>
      </c>
      <c r="AV277" s="331">
        <v>28</v>
      </c>
    </row>
    <row r="278" spans="1:48" s="270" customFormat="1" ht="25.05" hidden="1" customHeight="1">
      <c r="A278" s="419"/>
      <c r="B278" s="263" t="s">
        <v>313</v>
      </c>
      <c r="C278" s="432" t="s">
        <v>314</v>
      </c>
      <c r="D278" s="371"/>
      <c r="E278" s="317"/>
      <c r="F278" s="371"/>
      <c r="G278" s="319"/>
      <c r="H278" s="420"/>
      <c r="I278" s="319" t="s">
        <v>315</v>
      </c>
      <c r="J278" s="263" t="s">
        <v>75</v>
      </c>
      <c r="K278" s="263">
        <v>0</v>
      </c>
      <c r="L278" s="263" t="s">
        <v>9</v>
      </c>
      <c r="M278" s="322" t="s">
        <v>68</v>
      </c>
      <c r="N278" s="324">
        <v>46256</v>
      </c>
      <c r="O278" s="324">
        <v>46223</v>
      </c>
      <c r="P278" s="324">
        <f>WORKDAY.INTL(O278,INDEX(P$8:P$11,MATCH($L278,$L$8:$L$11,0)),1,IF(P$18="China",'China Holidays'!$A$2:$A$82,'Thai Holidays'!$A$2:$A$63))</f>
        <v>46239</v>
      </c>
      <c r="Q278" s="324">
        <f>WORKDAY.INTL(P278,INDEX(Q$8:Q$11,MATCH($L278,$L$8:$L$11,0)),1,IF(Q$18="China",'China Holidays'!$A$2:$A$82,'Thai Holidays'!$A$2:$A$63))</f>
        <v>46239</v>
      </c>
      <c r="R278" s="324">
        <f>WORKDAY.INTL(Q278,INDEX(R$8:R$11,MATCH($L278,$L$8:$L$11,0)),1,IF(R$18="China",'China Holidays'!$A$2:$A$82,'Thai Holidays'!$A$2:$A$63))</f>
        <v>46239</v>
      </c>
      <c r="S278" s="324">
        <f>WORKDAY.INTL(R278,INDEX(S$8:S$11,MATCH($L278,$L$8:$L$11,0)),1,IF(S$18="China",'China Holidays'!$A$2:$A$82,'Thai Holidays'!$A$2:$A$63))</f>
        <v>46239</v>
      </c>
      <c r="T278" s="324">
        <f>WORKDAY.INTL(S278,INDEX(T$8:T$11,MATCH($L278,$L$8:$L$11,0)),1,IF(T$18="China",'China Holidays'!$A$2:$A$82,'Thai Holidays'!$A$2:$A$63))</f>
        <v>46246</v>
      </c>
      <c r="U278" s="324">
        <f>WORKDAY.INTL(T278,INDEX(U$8:U$11,MATCH($L278,$L$8:$L$11,0)),1,IF(U$18="China",'China Holidays'!$A$2:$A$82,'Thai Holidays'!$A$2:$A$63))</f>
        <v>46255</v>
      </c>
      <c r="V278" s="324">
        <f>WORKDAY.INTL(U278,INDEX(V$8:V$11,MATCH($L278,$L$8:$L$11,0)),1,IF(V$18="China",'China Holidays'!$A$2:$A$82,'Thai Holidays'!$A$2:$A$63))</f>
        <v>46269</v>
      </c>
      <c r="W278" s="324"/>
      <c r="X278" s="324">
        <f>WORKDAY.INTL(V278,INDEX(X$8:X$11,MATCH($L278,$L$8:$L$11,0)),1,IF(X$18="China",'China Holidays'!$A$2:$A$82,'Thai Holidays'!$A$2:$A$63))</f>
        <v>46276</v>
      </c>
      <c r="Y278" s="324">
        <v>46311</v>
      </c>
      <c r="Z278" s="324">
        <v>46318</v>
      </c>
      <c r="AA278" s="324">
        <v>46332</v>
      </c>
      <c r="AB278" s="324">
        <v>46346</v>
      </c>
      <c r="AC278" s="324"/>
      <c r="AD278" s="319"/>
      <c r="AE278" s="324"/>
      <c r="AF278" s="324"/>
      <c r="AG278" s="324"/>
      <c r="AH278" s="324"/>
      <c r="AI278" s="324"/>
      <c r="AJ278" s="324"/>
      <c r="AK278" s="325">
        <v>8</v>
      </c>
      <c r="AL278" s="326">
        <f>AK278*7</f>
        <v>56</v>
      </c>
      <c r="AM278" s="324">
        <f>IF(X278&lt;&gt;"",X278+AL278,X279+AL278)</f>
        <v>46332</v>
      </c>
      <c r="AN278" s="327">
        <f>AU277-7</f>
        <v>46349</v>
      </c>
      <c r="AO278" s="327">
        <f>AP278-7</f>
        <v>46326</v>
      </c>
      <c r="AP278" s="327">
        <v>46333</v>
      </c>
      <c r="AQ278" s="327" t="s">
        <v>316</v>
      </c>
      <c r="AR278" s="319">
        <f>AN278-AM278</f>
        <v>17</v>
      </c>
      <c r="AS278" s="328"/>
      <c r="AT278" s="329" t="s">
        <v>69</v>
      </c>
      <c r="AU278" s="330">
        <v>46386</v>
      </c>
      <c r="AV278" s="271"/>
    </row>
    <row r="279" spans="1:48" s="270" customFormat="1" ht="25.05" hidden="1" customHeight="1">
      <c r="A279" s="421"/>
      <c r="B279" s="334" t="s">
        <v>313</v>
      </c>
      <c r="C279" s="436" t="s">
        <v>314</v>
      </c>
      <c r="D279" s="372"/>
      <c r="E279" s="336"/>
      <c r="F279" s="372"/>
      <c r="G279" s="338"/>
      <c r="H279" s="422"/>
      <c r="I279" s="319" t="s">
        <v>315</v>
      </c>
      <c r="J279" s="334" t="s">
        <v>75</v>
      </c>
      <c r="K279" s="334"/>
      <c r="L279" s="334" t="s">
        <v>9</v>
      </c>
      <c r="M279" s="340" t="s">
        <v>70</v>
      </c>
      <c r="N279" s="341"/>
      <c r="O279" s="341"/>
      <c r="P279" s="423"/>
      <c r="Q279" s="423"/>
      <c r="R279" s="423"/>
      <c r="S279" s="423"/>
      <c r="T279" s="423"/>
      <c r="U279" s="423"/>
      <c r="V279" s="423"/>
      <c r="W279" s="423"/>
      <c r="X279" s="338"/>
      <c r="Y279" s="338"/>
      <c r="Z279" s="338"/>
      <c r="AA279" s="338"/>
      <c r="AB279" s="338"/>
      <c r="AC279" s="341"/>
      <c r="AD279" s="338"/>
      <c r="AE279" s="341"/>
      <c r="AF279" s="341"/>
      <c r="AG279" s="341"/>
      <c r="AH279" s="341"/>
      <c r="AI279" s="341"/>
      <c r="AJ279" s="341"/>
      <c r="AK279" s="342"/>
      <c r="AL279" s="424"/>
      <c r="AM279" s="341"/>
      <c r="AN279" s="425"/>
      <c r="AO279" s="425"/>
      <c r="AP279" s="425"/>
      <c r="AQ279" s="425"/>
      <c r="AR279" s="338"/>
      <c r="AS279" s="345"/>
      <c r="AT279" s="346"/>
      <c r="AU279" s="345"/>
    </row>
    <row r="280" spans="1:48" s="270" customFormat="1" ht="25.05" customHeight="1">
      <c r="A280" s="315">
        <v>92</v>
      </c>
      <c r="B280" s="263" t="s">
        <v>317</v>
      </c>
      <c r="C280" s="432" t="s">
        <v>318</v>
      </c>
      <c r="D280" s="316"/>
      <c r="E280" s="317"/>
      <c r="F280" s="318"/>
      <c r="G280" s="319"/>
      <c r="H280" s="320"/>
      <c r="I280" s="319" t="s">
        <v>86</v>
      </c>
      <c r="J280" s="263"/>
      <c r="K280" s="321"/>
      <c r="L280" s="263" t="s">
        <v>6</v>
      </c>
      <c r="M280" s="322" t="s">
        <v>63</v>
      </c>
      <c r="N280" s="323"/>
      <c r="O280" s="324">
        <v>46167</v>
      </c>
      <c r="P280" s="324">
        <v>46177</v>
      </c>
      <c r="Q280" s="324">
        <v>46177</v>
      </c>
      <c r="R280" s="324">
        <v>46184</v>
      </c>
      <c r="S280" s="324">
        <v>46184</v>
      </c>
      <c r="T280" s="324">
        <v>46226</v>
      </c>
      <c r="U280" s="324">
        <v>46254</v>
      </c>
      <c r="V280" s="324">
        <v>46268</v>
      </c>
      <c r="W280" s="324"/>
      <c r="X280" s="324">
        <v>46281</v>
      </c>
      <c r="Y280" s="324">
        <v>46283</v>
      </c>
      <c r="Z280" s="324">
        <v>46293</v>
      </c>
      <c r="AA280" s="324">
        <v>46328</v>
      </c>
      <c r="AB280" s="324">
        <v>46342</v>
      </c>
      <c r="AC280" s="324">
        <v>46372</v>
      </c>
      <c r="AD280" s="324">
        <v>46372</v>
      </c>
      <c r="AE280" s="324">
        <v>46374</v>
      </c>
      <c r="AF280" s="324">
        <v>46435</v>
      </c>
      <c r="AG280" s="324">
        <v>46442</v>
      </c>
      <c r="AH280" s="324">
        <v>46449</v>
      </c>
      <c r="AI280" s="324">
        <v>46463</v>
      </c>
      <c r="AJ280" s="324">
        <v>46479</v>
      </c>
      <c r="AK280" s="325">
        <v>24</v>
      </c>
      <c r="AL280" s="326">
        <f>AK280*7</f>
        <v>168</v>
      </c>
      <c r="AM280" s="324">
        <f>X280+AL280</f>
        <v>46449</v>
      </c>
      <c r="AN280" s="327">
        <f>AN281</f>
        <v>46500</v>
      </c>
      <c r="AO280" s="327"/>
      <c r="AP280" s="327"/>
      <c r="AQ280" s="327"/>
      <c r="AR280" s="319">
        <f>AN281-AM280</f>
        <v>51</v>
      </c>
      <c r="AS280" s="328"/>
      <c r="AT280" s="329" t="s">
        <v>65</v>
      </c>
      <c r="AU280" s="330">
        <v>46507</v>
      </c>
      <c r="AV280" s="331">
        <v>55</v>
      </c>
    </row>
    <row r="281" spans="1:48" s="270" customFormat="1" ht="25.05" customHeight="1">
      <c r="A281" s="315"/>
      <c r="B281" s="263" t="s">
        <v>317</v>
      </c>
      <c r="C281" s="432" t="s">
        <v>318</v>
      </c>
      <c r="D281" s="316"/>
      <c r="E281" s="317"/>
      <c r="F281" s="348"/>
      <c r="G281" s="319"/>
      <c r="H281" s="320" t="s">
        <v>256</v>
      </c>
      <c r="I281" s="319" t="s">
        <v>86</v>
      </c>
      <c r="J281" s="263" t="s">
        <v>67</v>
      </c>
      <c r="K281" s="263">
        <v>3</v>
      </c>
      <c r="L281" s="263" t="s">
        <v>6</v>
      </c>
      <c r="M281" s="322" t="s">
        <v>68</v>
      </c>
      <c r="N281" s="324">
        <v>46161</v>
      </c>
      <c r="O281" s="324"/>
      <c r="P281" s="324"/>
      <c r="Q281" s="324"/>
      <c r="R281" s="324"/>
      <c r="S281" s="324"/>
      <c r="T281" s="324"/>
      <c r="U281" s="324">
        <v>46254</v>
      </c>
      <c r="V281" s="324">
        <f>WORKDAY.INTL(U281,INDEX(V$8:V$11,MATCH($L281,$L$8:$L$11,0)),1,IF(V$18="China",'China Holidays'!$A$2:$A$82,'Thai Holidays'!$A$2:$A$63))</f>
        <v>46268</v>
      </c>
      <c r="W281" s="324"/>
      <c r="X281" s="324">
        <f>WORKDAY.INTL(V281,INDEX(X$8:X$11,MATCH($L281,$L$8:$L$11,0)),1,IF(X$18="China",'China Holidays'!$A$2:$A$82,'Thai Holidays'!$A$2:$A$63))</f>
        <v>46281</v>
      </c>
      <c r="Y281" s="324">
        <f>WORKDAY.INTL(X281,INDEX(Y$12:Y$15,MATCH($L281,$L$12:$L$15,0)),1,IF(Y$18="China",'China Holidays'!$A$2:$A$82,'Thai Holidays'!$A$2:$A$63))</f>
        <v>46283</v>
      </c>
      <c r="Z281" s="324">
        <f>WORKDAY.INTL(Y281,INDEX(Z$12:Z$15,MATCH($L281,$L$12:$L$15,0)),1,IF(Z$18="China",'China Holidays'!$A$2:$A$82,'Thai Holidays'!$A$2:$A$63))</f>
        <v>46293</v>
      </c>
      <c r="AA281" s="324">
        <f>WORKDAY.INTL(Z281,INDEX(AA$12:AA$15,MATCH($L281,$L$12:$L$15,0)),1,IF(AA$18="China",'China Holidays'!$A$2:$A$82,'Thai Holidays'!$A$2:$A$63))</f>
        <v>46328</v>
      </c>
      <c r="AB281" s="324">
        <f>WORKDAY.INTL(AA281,INDEX(AB$12:AB$15,MATCH($L281,$L$12:$L$15,0)),1,IF(AB$18="China",'China Holidays'!$A$2:$A$82,'Thai Holidays'!$A$2:$A$63))</f>
        <v>46342</v>
      </c>
      <c r="AC281" s="324">
        <f>AB281+30</f>
        <v>46372</v>
      </c>
      <c r="AD281" s="324">
        <f>AC281</f>
        <v>46372</v>
      </c>
      <c r="AE281" s="324">
        <f>AD281+2</f>
        <v>46374</v>
      </c>
      <c r="AF281" s="324">
        <f>AG281-7</f>
        <v>46435</v>
      </c>
      <c r="AG281" s="324">
        <f>AH281-7</f>
        <v>46442</v>
      </c>
      <c r="AH281" s="324">
        <f>AM281</f>
        <v>46449</v>
      </c>
      <c r="AI281" s="324">
        <f>AM281+14</f>
        <v>46463</v>
      </c>
      <c r="AJ281" s="324">
        <f>AM281+30</f>
        <v>46479</v>
      </c>
      <c r="AK281" s="325">
        <v>24</v>
      </c>
      <c r="AL281" s="326">
        <f>AK281*7</f>
        <v>168</v>
      </c>
      <c r="AM281" s="324">
        <f>IF(X281&lt;&gt;"",X281+AL281,X282+AL281)</f>
        <v>46449</v>
      </c>
      <c r="AN281" s="327">
        <f>AU280-7</f>
        <v>46500</v>
      </c>
      <c r="AO281" s="327">
        <f>AP281-7</f>
        <v>46501</v>
      </c>
      <c r="AP281" s="327">
        <v>46508</v>
      </c>
      <c r="AQ281" s="327"/>
      <c r="AR281" s="319">
        <f>AN281-AM281</f>
        <v>51</v>
      </c>
      <c r="AS281" s="328"/>
      <c r="AT281" s="329" t="s">
        <v>69</v>
      </c>
      <c r="AU281" s="330">
        <v>46507</v>
      </c>
      <c r="AV281" s="271"/>
    </row>
    <row r="282" spans="1:48" s="270" customFormat="1" ht="25.05" customHeight="1">
      <c r="A282" s="333"/>
      <c r="B282" s="334" t="s">
        <v>317</v>
      </c>
      <c r="C282" s="436" t="s">
        <v>318</v>
      </c>
      <c r="D282" s="335"/>
      <c r="E282" s="336"/>
      <c r="F282" s="349"/>
      <c r="G282" s="338"/>
      <c r="H282" s="339"/>
      <c r="I282" s="338" t="s">
        <v>86</v>
      </c>
      <c r="J282" s="334" t="s">
        <v>67</v>
      </c>
      <c r="K282" s="263">
        <v>3</v>
      </c>
      <c r="L282" s="334" t="s">
        <v>6</v>
      </c>
      <c r="M282" s="340" t="s">
        <v>70</v>
      </c>
      <c r="N282" s="341"/>
      <c r="O282" s="341">
        <v>46169</v>
      </c>
      <c r="P282" s="341">
        <v>46184</v>
      </c>
      <c r="Q282" s="341">
        <v>46184</v>
      </c>
      <c r="R282" s="341">
        <v>46184</v>
      </c>
      <c r="S282" s="341">
        <v>46188</v>
      </c>
      <c r="T282" s="341">
        <v>46234</v>
      </c>
      <c r="U282" s="341"/>
      <c r="V282" s="341"/>
      <c r="W282" s="341"/>
      <c r="X282" s="341"/>
      <c r="Y282" s="341"/>
      <c r="Z282" s="341"/>
      <c r="AA282" s="341"/>
      <c r="AB282" s="341"/>
      <c r="AC282" s="341"/>
      <c r="AD282" s="341"/>
      <c r="AE282" s="341"/>
      <c r="AF282" s="341"/>
      <c r="AG282" s="341"/>
      <c r="AH282" s="341"/>
      <c r="AI282" s="341"/>
      <c r="AJ282" s="341"/>
      <c r="AK282" s="342"/>
      <c r="AL282" s="343"/>
      <c r="AM282" s="324"/>
      <c r="AN282" s="344"/>
      <c r="AO282" s="344"/>
      <c r="AP282" s="344"/>
      <c r="AQ282" s="344"/>
      <c r="AR282" s="338"/>
      <c r="AS282" s="345"/>
      <c r="AT282" s="346"/>
      <c r="AU282" s="365" t="s">
        <v>306</v>
      </c>
    </row>
    <row r="283" spans="1:48" s="270" customFormat="1" ht="25.05" customHeight="1">
      <c r="A283" s="315">
        <v>94</v>
      </c>
      <c r="B283" s="263" t="s">
        <v>319</v>
      </c>
      <c r="C283" s="432" t="s">
        <v>320</v>
      </c>
      <c r="D283" s="316"/>
      <c r="E283" s="317"/>
      <c r="F283" s="318"/>
      <c r="G283" s="319"/>
      <c r="H283" s="320"/>
      <c r="I283" s="319" t="s">
        <v>86</v>
      </c>
      <c r="J283" s="263"/>
      <c r="K283" s="321"/>
      <c r="L283" s="263" t="s">
        <v>6</v>
      </c>
      <c r="M283" s="322" t="s">
        <v>63</v>
      </c>
      <c r="N283" s="323"/>
      <c r="O283" s="324">
        <v>46167</v>
      </c>
      <c r="P283" s="324">
        <v>46177</v>
      </c>
      <c r="Q283" s="324">
        <v>46177</v>
      </c>
      <c r="R283" s="324">
        <v>46184</v>
      </c>
      <c r="S283" s="324">
        <v>46184</v>
      </c>
      <c r="T283" s="324">
        <v>46226</v>
      </c>
      <c r="U283" s="324">
        <v>46254</v>
      </c>
      <c r="V283" s="324">
        <v>46268</v>
      </c>
      <c r="W283" s="324"/>
      <c r="X283" s="324">
        <v>46281</v>
      </c>
      <c r="Y283" s="324">
        <v>46283</v>
      </c>
      <c r="Z283" s="324">
        <v>46293</v>
      </c>
      <c r="AA283" s="324">
        <v>46328</v>
      </c>
      <c r="AB283" s="324">
        <v>46342</v>
      </c>
      <c r="AC283" s="324">
        <v>46372</v>
      </c>
      <c r="AD283" s="324">
        <v>46372</v>
      </c>
      <c r="AE283" s="324">
        <v>46374</v>
      </c>
      <c r="AF283" s="324">
        <v>46435</v>
      </c>
      <c r="AG283" s="324">
        <v>46442</v>
      </c>
      <c r="AH283" s="324">
        <v>46449</v>
      </c>
      <c r="AI283" s="324">
        <v>46463</v>
      </c>
      <c r="AJ283" s="324">
        <v>46479</v>
      </c>
      <c r="AK283" s="325">
        <v>24</v>
      </c>
      <c r="AL283" s="326">
        <f>AK283*7</f>
        <v>168</v>
      </c>
      <c r="AM283" s="324">
        <f>X283+AL283</f>
        <v>46449</v>
      </c>
      <c r="AN283" s="327">
        <f>AN284</f>
        <v>46500</v>
      </c>
      <c r="AO283" s="327"/>
      <c r="AP283" s="327"/>
      <c r="AQ283" s="327"/>
      <c r="AR283" s="319">
        <f>AN284-AM283</f>
        <v>51</v>
      </c>
      <c r="AS283" s="328"/>
      <c r="AT283" s="329" t="s">
        <v>65</v>
      </c>
      <c r="AU283" s="330">
        <v>46507</v>
      </c>
      <c r="AV283" s="331">
        <v>55</v>
      </c>
    </row>
    <row r="284" spans="1:48" s="270" customFormat="1" ht="25.05" customHeight="1">
      <c r="A284" s="315"/>
      <c r="B284" s="263" t="s">
        <v>319</v>
      </c>
      <c r="C284" s="432" t="s">
        <v>320</v>
      </c>
      <c r="D284" s="351"/>
      <c r="E284" s="317"/>
      <c r="F284" s="426"/>
      <c r="G284" s="319"/>
      <c r="H284" s="320" t="s">
        <v>256</v>
      </c>
      <c r="I284" s="319" t="s">
        <v>86</v>
      </c>
      <c r="J284" s="263" t="s">
        <v>67</v>
      </c>
      <c r="K284" s="263">
        <v>3</v>
      </c>
      <c r="L284" s="263" t="s">
        <v>6</v>
      </c>
      <c r="M284" s="322" t="s">
        <v>68</v>
      </c>
      <c r="N284" s="324">
        <v>46161</v>
      </c>
      <c r="O284" s="324"/>
      <c r="P284" s="324"/>
      <c r="Q284" s="324"/>
      <c r="R284" s="324"/>
      <c r="S284" s="324"/>
      <c r="T284" s="324"/>
      <c r="U284" s="324">
        <v>46254</v>
      </c>
      <c r="V284" s="324">
        <f>WORKDAY.INTL(U284,INDEX(V$8:V$11,MATCH($L284,$L$8:$L$11,0)),1,IF(V$18="China",'China Holidays'!$A$2:$A$82,'Thai Holidays'!$A$2:$A$63))</f>
        <v>46268</v>
      </c>
      <c r="W284" s="324"/>
      <c r="X284" s="324">
        <f>WORKDAY.INTL(V284,INDEX(X$8:X$11,MATCH($L284,$L$8:$L$11,0)),1,IF(X$18="China",'China Holidays'!$A$2:$A$82,'Thai Holidays'!$A$2:$A$63))</f>
        <v>46281</v>
      </c>
      <c r="Y284" s="324">
        <f>WORKDAY.INTL(X284,INDEX(Y$12:Y$15,MATCH($L284,$L$12:$L$15,0)),1,IF(Y$18="China",'China Holidays'!$A$2:$A$82,'Thai Holidays'!$A$2:$A$63))</f>
        <v>46283</v>
      </c>
      <c r="Z284" s="324">
        <f>WORKDAY.INTL(Y284,INDEX(Z$12:Z$15,MATCH($L284,$L$12:$L$15,0)),1,IF(Z$18="China",'China Holidays'!$A$2:$A$82,'Thai Holidays'!$A$2:$A$63))</f>
        <v>46293</v>
      </c>
      <c r="AA284" s="324">
        <f>WORKDAY.INTL(Z284,INDEX(AA$12:AA$15,MATCH($L284,$L$12:$L$15,0)),1,IF(AA$18="China",'China Holidays'!$A$2:$A$82,'Thai Holidays'!$A$2:$A$63))</f>
        <v>46328</v>
      </c>
      <c r="AB284" s="324">
        <f>WORKDAY.INTL(AA284,INDEX(AB$12:AB$15,MATCH($L284,$L$12:$L$15,0)),1,IF(AB$18="China",'China Holidays'!$A$2:$A$82,'Thai Holidays'!$A$2:$A$63))</f>
        <v>46342</v>
      </c>
      <c r="AC284" s="324">
        <f>AB284+30</f>
        <v>46372</v>
      </c>
      <c r="AD284" s="324">
        <f>AC284</f>
        <v>46372</v>
      </c>
      <c r="AE284" s="324">
        <f>AD284+2</f>
        <v>46374</v>
      </c>
      <c r="AF284" s="324">
        <f>AG284-7</f>
        <v>46435</v>
      </c>
      <c r="AG284" s="324">
        <f>AH284-7</f>
        <v>46442</v>
      </c>
      <c r="AH284" s="324">
        <f>AM284</f>
        <v>46449</v>
      </c>
      <c r="AI284" s="324">
        <f>AM284+14</f>
        <v>46463</v>
      </c>
      <c r="AJ284" s="324">
        <f>AM284+30</f>
        <v>46479</v>
      </c>
      <c r="AK284" s="325">
        <v>24</v>
      </c>
      <c r="AL284" s="326">
        <f>AK284*7</f>
        <v>168</v>
      </c>
      <c r="AM284" s="324">
        <f>IF(X284&lt;&gt;"",X284+AL284,X285+AL284)</f>
        <v>46449</v>
      </c>
      <c r="AN284" s="327">
        <f>AU283-7</f>
        <v>46500</v>
      </c>
      <c r="AO284" s="327">
        <f>AP284-7</f>
        <v>46501</v>
      </c>
      <c r="AP284" s="327">
        <v>46508</v>
      </c>
      <c r="AQ284" s="327"/>
      <c r="AR284" s="319">
        <f>AN284-AM284</f>
        <v>51</v>
      </c>
      <c r="AS284" s="328"/>
      <c r="AT284" s="329" t="s">
        <v>69</v>
      </c>
      <c r="AU284" s="330">
        <v>46507</v>
      </c>
      <c r="AV284" s="271"/>
    </row>
    <row r="285" spans="1:48" s="270" customFormat="1" ht="25.05" customHeight="1">
      <c r="A285" s="333"/>
      <c r="B285" s="334" t="s">
        <v>319</v>
      </c>
      <c r="C285" s="436" t="s">
        <v>320</v>
      </c>
      <c r="D285" s="352"/>
      <c r="E285" s="336"/>
      <c r="F285" s="427"/>
      <c r="G285" s="338"/>
      <c r="H285" s="339"/>
      <c r="I285" s="338" t="s">
        <v>86</v>
      </c>
      <c r="J285" s="334" t="s">
        <v>67</v>
      </c>
      <c r="K285" s="263">
        <v>3</v>
      </c>
      <c r="L285" s="334" t="s">
        <v>6</v>
      </c>
      <c r="M285" s="340" t="s">
        <v>70</v>
      </c>
      <c r="N285" s="341"/>
      <c r="O285" s="341">
        <v>46169</v>
      </c>
      <c r="P285" s="341">
        <v>46184</v>
      </c>
      <c r="Q285" s="341">
        <v>46184</v>
      </c>
      <c r="R285" s="341">
        <v>46184</v>
      </c>
      <c r="S285" s="341">
        <v>46188</v>
      </c>
      <c r="T285" s="367">
        <v>46245</v>
      </c>
      <c r="U285" s="341"/>
      <c r="V285" s="341"/>
      <c r="W285" s="341"/>
      <c r="X285" s="341"/>
      <c r="Y285" s="341"/>
      <c r="Z285" s="341"/>
      <c r="AA285" s="341"/>
      <c r="AB285" s="341"/>
      <c r="AC285" s="341"/>
      <c r="AD285" s="341"/>
      <c r="AE285" s="341"/>
      <c r="AF285" s="341"/>
      <c r="AG285" s="341"/>
      <c r="AH285" s="341"/>
      <c r="AI285" s="341"/>
      <c r="AJ285" s="341"/>
      <c r="AK285" s="342"/>
      <c r="AL285" s="343"/>
      <c r="AM285" s="341"/>
      <c r="AN285" s="344"/>
      <c r="AO285" s="344"/>
      <c r="AP285" s="344"/>
      <c r="AQ285" s="344"/>
      <c r="AR285" s="338"/>
      <c r="AS285" s="345"/>
      <c r="AT285" s="346"/>
      <c r="AU285" s="365" t="s">
        <v>306</v>
      </c>
    </row>
    <row r="286" spans="1:48" s="270" customFormat="1" ht="25.05" customHeight="1">
      <c r="A286" s="315">
        <v>95</v>
      </c>
      <c r="B286" s="263" t="s">
        <v>321</v>
      </c>
      <c r="C286" s="432" t="s">
        <v>322</v>
      </c>
      <c r="D286" s="316"/>
      <c r="E286" s="317"/>
      <c r="F286" s="318"/>
      <c r="G286" s="319"/>
      <c r="H286" s="320"/>
      <c r="I286" s="319" t="s">
        <v>86</v>
      </c>
      <c r="J286" s="263"/>
      <c r="K286" s="321"/>
      <c r="L286" s="263" t="s">
        <v>6</v>
      </c>
      <c r="M286" s="322" t="s">
        <v>63</v>
      </c>
      <c r="N286" s="323"/>
      <c r="O286" s="324">
        <v>46167</v>
      </c>
      <c r="P286" s="324">
        <v>46177</v>
      </c>
      <c r="Q286" s="324">
        <v>46177</v>
      </c>
      <c r="R286" s="324">
        <v>46184</v>
      </c>
      <c r="S286" s="324">
        <v>46184</v>
      </c>
      <c r="T286" s="324">
        <v>46226</v>
      </c>
      <c r="U286" s="324">
        <v>46254</v>
      </c>
      <c r="V286" s="324">
        <v>46268</v>
      </c>
      <c r="W286" s="324"/>
      <c r="X286" s="324">
        <v>46281</v>
      </c>
      <c r="Y286" s="324">
        <v>46283</v>
      </c>
      <c r="Z286" s="324">
        <v>46293</v>
      </c>
      <c r="AA286" s="324">
        <v>46328</v>
      </c>
      <c r="AB286" s="324">
        <v>46342</v>
      </c>
      <c r="AC286" s="324">
        <v>46372</v>
      </c>
      <c r="AD286" s="324">
        <v>46372</v>
      </c>
      <c r="AE286" s="324">
        <v>46374</v>
      </c>
      <c r="AF286" s="324">
        <v>46435</v>
      </c>
      <c r="AG286" s="324">
        <v>46442</v>
      </c>
      <c r="AH286" s="324">
        <v>46449</v>
      </c>
      <c r="AI286" s="324">
        <v>46463</v>
      </c>
      <c r="AJ286" s="324">
        <v>46479</v>
      </c>
      <c r="AK286" s="325">
        <v>24</v>
      </c>
      <c r="AL286" s="326">
        <f>AK286*7</f>
        <v>168</v>
      </c>
      <c r="AM286" s="324">
        <f>X286+AL286</f>
        <v>46449</v>
      </c>
      <c r="AN286" s="327">
        <f>AN287</f>
        <v>46500</v>
      </c>
      <c r="AO286" s="327"/>
      <c r="AP286" s="327"/>
      <c r="AQ286" s="327"/>
      <c r="AR286" s="319">
        <f>AN287-AM286</f>
        <v>51</v>
      </c>
      <c r="AS286" s="328"/>
      <c r="AT286" s="329" t="s">
        <v>65</v>
      </c>
      <c r="AU286" s="330">
        <v>46507</v>
      </c>
      <c r="AV286" s="331">
        <v>55</v>
      </c>
    </row>
    <row r="287" spans="1:48" s="270" customFormat="1" ht="25.05" customHeight="1">
      <c r="A287" s="315"/>
      <c r="B287" s="263" t="s">
        <v>321</v>
      </c>
      <c r="C287" s="432" t="s">
        <v>322</v>
      </c>
      <c r="D287" s="351"/>
      <c r="E287" s="317"/>
      <c r="F287" s="426"/>
      <c r="G287" s="319"/>
      <c r="H287" s="320" t="s">
        <v>256</v>
      </c>
      <c r="I287" s="319" t="s">
        <v>86</v>
      </c>
      <c r="J287" s="263" t="s">
        <v>67</v>
      </c>
      <c r="K287" s="263">
        <v>3</v>
      </c>
      <c r="L287" s="263" t="s">
        <v>6</v>
      </c>
      <c r="M287" s="322" t="s">
        <v>68</v>
      </c>
      <c r="N287" s="324">
        <v>46161</v>
      </c>
      <c r="O287" s="324"/>
      <c r="P287" s="324"/>
      <c r="Q287" s="324"/>
      <c r="R287" s="324"/>
      <c r="S287" s="324"/>
      <c r="T287" s="324"/>
      <c r="U287" s="324">
        <v>46254</v>
      </c>
      <c r="V287" s="324">
        <f>WORKDAY.INTL(U287,INDEX(V$8:V$11,MATCH($L287,$L$8:$L$11,0)),1,IF(V$18="China",'China Holidays'!$A$2:$A$82,'Thai Holidays'!$A$2:$A$63))</f>
        <v>46268</v>
      </c>
      <c r="W287" s="324"/>
      <c r="X287" s="324">
        <f>WORKDAY.INTL(V287,INDEX(X$8:X$11,MATCH($L287,$L$8:$L$11,0)),1,IF(X$18="China",'China Holidays'!$A$2:$A$82,'Thai Holidays'!$A$2:$A$63))</f>
        <v>46281</v>
      </c>
      <c r="Y287" s="324">
        <f>WORKDAY.INTL(X287,INDEX(Y$12:Y$15,MATCH($L287,$L$12:$L$15,0)),1,IF(Y$18="China",'China Holidays'!$A$2:$A$82,'Thai Holidays'!$A$2:$A$63))</f>
        <v>46283</v>
      </c>
      <c r="Z287" s="324">
        <f>WORKDAY.INTL(Y287,INDEX(Z$12:Z$15,MATCH($L287,$L$12:$L$15,0)),1,IF(Z$18="China",'China Holidays'!$A$2:$A$82,'Thai Holidays'!$A$2:$A$63))</f>
        <v>46293</v>
      </c>
      <c r="AA287" s="324">
        <f>WORKDAY.INTL(Z287,INDEX(AA$12:AA$15,MATCH($L287,$L$12:$L$15,0)),1,IF(AA$18="China",'China Holidays'!$A$2:$A$82,'Thai Holidays'!$A$2:$A$63))</f>
        <v>46328</v>
      </c>
      <c r="AB287" s="324">
        <f>WORKDAY.INTL(AA287,INDEX(AB$12:AB$15,MATCH($L287,$L$12:$L$15,0)),1,IF(AB$18="China",'China Holidays'!$A$2:$A$82,'Thai Holidays'!$A$2:$A$63))</f>
        <v>46342</v>
      </c>
      <c r="AC287" s="324">
        <f>AB287+30</f>
        <v>46372</v>
      </c>
      <c r="AD287" s="324">
        <f>AC287</f>
        <v>46372</v>
      </c>
      <c r="AE287" s="324">
        <f>AD287+2</f>
        <v>46374</v>
      </c>
      <c r="AF287" s="324">
        <f>AG287-7</f>
        <v>46435</v>
      </c>
      <c r="AG287" s="324">
        <f>AH287-7</f>
        <v>46442</v>
      </c>
      <c r="AH287" s="324">
        <f>AM287</f>
        <v>46449</v>
      </c>
      <c r="AI287" s="324">
        <f>AM287+14</f>
        <v>46463</v>
      </c>
      <c r="AJ287" s="324">
        <f>AM287+30</f>
        <v>46479</v>
      </c>
      <c r="AK287" s="325">
        <v>24</v>
      </c>
      <c r="AL287" s="326">
        <f>AK287*7</f>
        <v>168</v>
      </c>
      <c r="AM287" s="324">
        <f>IF(X287&lt;&gt;"",X287+AL287,X288+AL287)</f>
        <v>46449</v>
      </c>
      <c r="AN287" s="327">
        <f>AU286-7</f>
        <v>46500</v>
      </c>
      <c r="AO287" s="327">
        <f>AP287-7</f>
        <v>46135</v>
      </c>
      <c r="AP287" s="327">
        <v>46142</v>
      </c>
      <c r="AQ287" s="327"/>
      <c r="AR287" s="319">
        <f>AN287-AM287</f>
        <v>51</v>
      </c>
      <c r="AS287" s="328"/>
      <c r="AT287" s="329" t="s">
        <v>69</v>
      </c>
      <c r="AU287" s="330">
        <v>46507</v>
      </c>
      <c r="AV287" s="271"/>
    </row>
    <row r="288" spans="1:48" s="270" customFormat="1" ht="25.05" customHeight="1">
      <c r="A288" s="333"/>
      <c r="B288" s="334" t="s">
        <v>321</v>
      </c>
      <c r="C288" s="436" t="s">
        <v>322</v>
      </c>
      <c r="D288" s="352"/>
      <c r="E288" s="336"/>
      <c r="F288" s="427"/>
      <c r="G288" s="338"/>
      <c r="H288" s="339"/>
      <c r="I288" s="338" t="s">
        <v>86</v>
      </c>
      <c r="J288" s="334" t="s">
        <v>67</v>
      </c>
      <c r="K288" s="263">
        <v>3</v>
      </c>
      <c r="L288" s="334" t="s">
        <v>6</v>
      </c>
      <c r="M288" s="340" t="s">
        <v>70</v>
      </c>
      <c r="N288" s="341"/>
      <c r="O288" s="341">
        <v>46169</v>
      </c>
      <c r="P288" s="341">
        <v>46184</v>
      </c>
      <c r="Q288" s="341">
        <v>46184</v>
      </c>
      <c r="R288" s="341">
        <v>46184</v>
      </c>
      <c r="S288" s="341">
        <v>46188</v>
      </c>
      <c r="T288" s="341">
        <v>46234</v>
      </c>
      <c r="U288" s="341"/>
      <c r="V288" s="341"/>
      <c r="W288" s="341"/>
      <c r="X288" s="341"/>
      <c r="Y288" s="341"/>
      <c r="Z288" s="341"/>
      <c r="AA288" s="341"/>
      <c r="AB288" s="341"/>
      <c r="AC288" s="341"/>
      <c r="AD288" s="341"/>
      <c r="AE288" s="341"/>
      <c r="AF288" s="341"/>
      <c r="AG288" s="341"/>
      <c r="AH288" s="341"/>
      <c r="AI288" s="341"/>
      <c r="AJ288" s="341"/>
      <c r="AK288" s="342"/>
      <c r="AL288" s="343"/>
      <c r="AM288" s="341"/>
      <c r="AN288" s="344"/>
      <c r="AO288" s="344"/>
      <c r="AP288" s="344"/>
      <c r="AQ288" s="344" t="s">
        <v>211</v>
      </c>
      <c r="AR288" s="338"/>
      <c r="AS288" s="345"/>
      <c r="AT288" s="346"/>
      <c r="AU288" s="365" t="s">
        <v>306</v>
      </c>
    </row>
    <row r="289" spans="1:48" s="270" customFormat="1" ht="25.05" customHeight="1">
      <c r="A289" s="315">
        <v>96</v>
      </c>
      <c r="B289" s="263" t="s">
        <v>323</v>
      </c>
      <c r="C289" s="432" t="s">
        <v>324</v>
      </c>
      <c r="D289" s="316"/>
      <c r="E289" s="317"/>
      <c r="F289" s="318"/>
      <c r="G289" s="319"/>
      <c r="H289" s="320"/>
      <c r="I289" s="319" t="s">
        <v>86</v>
      </c>
      <c r="J289" s="263"/>
      <c r="K289" s="321"/>
      <c r="L289" s="263" t="s">
        <v>6</v>
      </c>
      <c r="M289" s="322" t="s">
        <v>63</v>
      </c>
      <c r="N289" s="323"/>
      <c r="O289" s="324">
        <v>46167</v>
      </c>
      <c r="P289" s="324">
        <v>46177</v>
      </c>
      <c r="Q289" s="324">
        <v>46177</v>
      </c>
      <c r="R289" s="324">
        <v>46184</v>
      </c>
      <c r="S289" s="324">
        <v>46184</v>
      </c>
      <c r="T289" s="324">
        <v>46226</v>
      </c>
      <c r="U289" s="324">
        <v>46254</v>
      </c>
      <c r="V289" s="324">
        <v>46268</v>
      </c>
      <c r="W289" s="324"/>
      <c r="X289" s="324">
        <v>46281</v>
      </c>
      <c r="Y289" s="324">
        <v>46283</v>
      </c>
      <c r="Z289" s="324">
        <v>46293</v>
      </c>
      <c r="AA289" s="324">
        <v>46328</v>
      </c>
      <c r="AB289" s="324">
        <v>46342</v>
      </c>
      <c r="AC289" s="324">
        <v>46372</v>
      </c>
      <c r="AD289" s="324">
        <v>46372</v>
      </c>
      <c r="AE289" s="324">
        <v>46374</v>
      </c>
      <c r="AF289" s="324">
        <v>46435</v>
      </c>
      <c r="AG289" s="324">
        <v>46442</v>
      </c>
      <c r="AH289" s="324">
        <v>46449</v>
      </c>
      <c r="AI289" s="324">
        <v>46463</v>
      </c>
      <c r="AJ289" s="324">
        <v>46479</v>
      </c>
      <c r="AK289" s="325">
        <v>24</v>
      </c>
      <c r="AL289" s="326">
        <f>AK289*7</f>
        <v>168</v>
      </c>
      <c r="AM289" s="324">
        <f>X289+AL289</f>
        <v>46449</v>
      </c>
      <c r="AN289" s="327">
        <f>AN290</f>
        <v>46500</v>
      </c>
      <c r="AO289" s="327"/>
      <c r="AP289" s="327"/>
      <c r="AQ289" s="327"/>
      <c r="AR289" s="319">
        <f>AN290-AM289</f>
        <v>51</v>
      </c>
      <c r="AS289" s="328"/>
      <c r="AT289" s="329" t="s">
        <v>65</v>
      </c>
      <c r="AU289" s="330">
        <v>46507</v>
      </c>
      <c r="AV289" s="331">
        <v>55</v>
      </c>
    </row>
    <row r="290" spans="1:48" s="270" customFormat="1" ht="25.05" customHeight="1">
      <c r="A290" s="315"/>
      <c r="B290" s="263" t="s">
        <v>323</v>
      </c>
      <c r="C290" s="432" t="s">
        <v>324</v>
      </c>
      <c r="D290" s="351"/>
      <c r="E290" s="317"/>
      <c r="F290" s="426"/>
      <c r="G290" s="319"/>
      <c r="H290" s="320" t="s">
        <v>256</v>
      </c>
      <c r="I290" s="319" t="s">
        <v>86</v>
      </c>
      <c r="J290" s="263" t="s">
        <v>67</v>
      </c>
      <c r="K290" s="263">
        <v>3</v>
      </c>
      <c r="L290" s="263" t="s">
        <v>6</v>
      </c>
      <c r="M290" s="322" t="s">
        <v>68</v>
      </c>
      <c r="N290" s="324">
        <v>46161</v>
      </c>
      <c r="O290" s="324"/>
      <c r="P290" s="324"/>
      <c r="Q290" s="324"/>
      <c r="R290" s="324"/>
      <c r="S290" s="324"/>
      <c r="T290" s="324"/>
      <c r="U290" s="324">
        <v>46254</v>
      </c>
      <c r="V290" s="324">
        <f>WORKDAY.INTL(U290,INDEX(V$8:V$11,MATCH($L290,$L$8:$L$11,0)),1,IF(V$18="China",'China Holidays'!$A$2:$A$82,'Thai Holidays'!$A$2:$A$63))</f>
        <v>46268</v>
      </c>
      <c r="W290" s="324"/>
      <c r="X290" s="324">
        <f>WORKDAY.INTL(V290,INDEX(X$8:X$11,MATCH($L290,$L$8:$L$11,0)),1,IF(X$18="China",'China Holidays'!$A$2:$A$82,'Thai Holidays'!$A$2:$A$63))</f>
        <v>46281</v>
      </c>
      <c r="Y290" s="324">
        <f>WORKDAY.INTL(X290,INDEX(Y$12:Y$15,MATCH($L290,$L$12:$L$15,0)),1,IF(Y$18="China",'China Holidays'!$A$2:$A$82,'Thai Holidays'!$A$2:$A$63))</f>
        <v>46283</v>
      </c>
      <c r="Z290" s="324">
        <f>WORKDAY.INTL(Y290,INDEX(Z$12:Z$15,MATCH($L290,$L$12:$L$15,0)),1,IF(Z$18="China",'China Holidays'!$A$2:$A$82,'Thai Holidays'!$A$2:$A$63))</f>
        <v>46293</v>
      </c>
      <c r="AA290" s="324">
        <f>WORKDAY.INTL(Z290,INDEX(AA$12:AA$15,MATCH($L290,$L$12:$L$15,0)),1,IF(AA$18="China",'China Holidays'!$A$2:$A$82,'Thai Holidays'!$A$2:$A$63))</f>
        <v>46328</v>
      </c>
      <c r="AB290" s="324">
        <f>WORKDAY.INTL(AA290,INDEX(AB$12:AB$15,MATCH($L290,$L$12:$L$15,0)),1,IF(AB$18="China",'China Holidays'!$A$2:$A$82,'Thai Holidays'!$A$2:$A$63))</f>
        <v>46342</v>
      </c>
      <c r="AC290" s="324">
        <f>AB290+30</f>
        <v>46372</v>
      </c>
      <c r="AD290" s="324">
        <f>AC290</f>
        <v>46372</v>
      </c>
      <c r="AE290" s="324">
        <f>AD290+2</f>
        <v>46374</v>
      </c>
      <c r="AF290" s="324">
        <f>AG290-7</f>
        <v>46435</v>
      </c>
      <c r="AG290" s="324">
        <f>AH290-7</f>
        <v>46442</v>
      </c>
      <c r="AH290" s="324">
        <f>AM290</f>
        <v>46449</v>
      </c>
      <c r="AI290" s="324">
        <f>AM290+14</f>
        <v>46463</v>
      </c>
      <c r="AJ290" s="324">
        <f>AM290+30</f>
        <v>46479</v>
      </c>
      <c r="AK290" s="325">
        <v>24</v>
      </c>
      <c r="AL290" s="326">
        <f>AK290*7</f>
        <v>168</v>
      </c>
      <c r="AM290" s="324">
        <f>IF(X290&lt;&gt;"",X290+AL290,X291+AL290)</f>
        <v>46449</v>
      </c>
      <c r="AN290" s="327">
        <f>AU289-7</f>
        <v>46500</v>
      </c>
      <c r="AO290" s="327">
        <f>AP290-7</f>
        <v>46135</v>
      </c>
      <c r="AP290" s="327">
        <v>46142</v>
      </c>
      <c r="AQ290" s="327"/>
      <c r="AR290" s="319">
        <f>AN290-AM290</f>
        <v>51</v>
      </c>
      <c r="AS290" s="328"/>
      <c r="AT290" s="329" t="s">
        <v>69</v>
      </c>
      <c r="AU290" s="330">
        <v>46507</v>
      </c>
      <c r="AV290" s="271"/>
    </row>
    <row r="291" spans="1:48" s="270" customFormat="1" ht="25.05" customHeight="1">
      <c r="A291" s="333"/>
      <c r="B291" s="334" t="s">
        <v>323</v>
      </c>
      <c r="C291" s="436" t="s">
        <v>324</v>
      </c>
      <c r="D291" s="352"/>
      <c r="E291" s="336"/>
      <c r="F291" s="427"/>
      <c r="G291" s="338"/>
      <c r="H291" s="339"/>
      <c r="I291" s="338" t="s">
        <v>86</v>
      </c>
      <c r="J291" s="334" t="s">
        <v>67</v>
      </c>
      <c r="K291" s="263">
        <v>3</v>
      </c>
      <c r="L291" s="334" t="s">
        <v>6</v>
      </c>
      <c r="M291" s="340" t="s">
        <v>70</v>
      </c>
      <c r="N291" s="341"/>
      <c r="O291" s="341">
        <v>46169</v>
      </c>
      <c r="P291" s="341">
        <v>46184</v>
      </c>
      <c r="Q291" s="341">
        <v>46184</v>
      </c>
      <c r="R291" s="341">
        <v>46184</v>
      </c>
      <c r="S291" s="341">
        <v>46188</v>
      </c>
      <c r="T291" s="341">
        <v>46239</v>
      </c>
      <c r="U291" s="341"/>
      <c r="V291" s="341"/>
      <c r="W291" s="341"/>
      <c r="X291" s="341"/>
      <c r="Y291" s="341"/>
      <c r="Z291" s="341"/>
      <c r="AA291" s="341"/>
      <c r="AB291" s="341"/>
      <c r="AC291" s="341"/>
      <c r="AD291" s="341"/>
      <c r="AE291" s="341"/>
      <c r="AF291" s="341"/>
      <c r="AG291" s="341"/>
      <c r="AH291" s="341"/>
      <c r="AI291" s="341"/>
      <c r="AJ291" s="341"/>
      <c r="AK291" s="342"/>
      <c r="AL291" s="343"/>
      <c r="AM291" s="341"/>
      <c r="AN291" s="344"/>
      <c r="AO291" s="344"/>
      <c r="AP291" s="344"/>
      <c r="AQ291" s="344" t="s">
        <v>211</v>
      </c>
      <c r="AR291" s="338"/>
      <c r="AS291" s="345"/>
      <c r="AT291" s="346"/>
      <c r="AU291" s="365" t="s">
        <v>306</v>
      </c>
    </row>
    <row r="292" spans="1:48" s="270" customFormat="1" ht="25.05" customHeight="1">
      <c r="A292" s="315">
        <v>97</v>
      </c>
      <c r="B292" s="263" t="s">
        <v>325</v>
      </c>
      <c r="C292" s="432" t="s">
        <v>326</v>
      </c>
      <c r="D292" s="369"/>
      <c r="E292" s="317"/>
      <c r="F292" s="370"/>
      <c r="G292" s="319"/>
      <c r="H292" s="320"/>
      <c r="I292" s="319" t="s">
        <v>86</v>
      </c>
      <c r="J292" s="263"/>
      <c r="K292" s="321"/>
      <c r="L292" s="263" t="s">
        <v>6</v>
      </c>
      <c r="M292" s="322" t="s">
        <v>63</v>
      </c>
      <c r="N292" s="323"/>
      <c r="O292" s="324">
        <v>46167</v>
      </c>
      <c r="P292" s="324">
        <v>46177</v>
      </c>
      <c r="Q292" s="324">
        <v>46177</v>
      </c>
      <c r="R292" s="324">
        <v>46184</v>
      </c>
      <c r="S292" s="324">
        <v>46184</v>
      </c>
      <c r="T292" s="324">
        <v>46226</v>
      </c>
      <c r="U292" s="324">
        <v>46254</v>
      </c>
      <c r="V292" s="324">
        <v>46268</v>
      </c>
      <c r="W292" s="324"/>
      <c r="X292" s="324">
        <v>46281</v>
      </c>
      <c r="Y292" s="324">
        <v>46283</v>
      </c>
      <c r="Z292" s="324">
        <v>46293</v>
      </c>
      <c r="AA292" s="324">
        <v>46328</v>
      </c>
      <c r="AB292" s="324">
        <v>46342</v>
      </c>
      <c r="AC292" s="324">
        <v>46372</v>
      </c>
      <c r="AD292" s="324">
        <v>46372</v>
      </c>
      <c r="AE292" s="324">
        <v>46374</v>
      </c>
      <c r="AF292" s="324">
        <v>46435</v>
      </c>
      <c r="AG292" s="324">
        <v>46442</v>
      </c>
      <c r="AH292" s="324">
        <v>46449</v>
      </c>
      <c r="AI292" s="324">
        <v>46463</v>
      </c>
      <c r="AJ292" s="324">
        <v>46479</v>
      </c>
      <c r="AK292" s="325">
        <v>24</v>
      </c>
      <c r="AL292" s="326">
        <f>AK292*7</f>
        <v>168</v>
      </c>
      <c r="AM292" s="324">
        <f>X292+AL292</f>
        <v>46449</v>
      </c>
      <c r="AN292" s="327">
        <f>AN293</f>
        <v>46500</v>
      </c>
      <c r="AO292" s="327"/>
      <c r="AP292" s="327"/>
      <c r="AQ292" s="327"/>
      <c r="AR292" s="319">
        <f>AN293-AM292</f>
        <v>51</v>
      </c>
      <c r="AS292" s="328"/>
      <c r="AT292" s="329" t="s">
        <v>65</v>
      </c>
      <c r="AU292" s="330">
        <v>46507</v>
      </c>
      <c r="AV292" s="331">
        <v>55</v>
      </c>
    </row>
    <row r="293" spans="1:48" s="270" customFormat="1" ht="25.05" customHeight="1">
      <c r="A293" s="315"/>
      <c r="B293" s="263" t="s">
        <v>325</v>
      </c>
      <c r="C293" s="432" t="s">
        <v>326</v>
      </c>
      <c r="D293" s="371"/>
      <c r="E293" s="317"/>
      <c r="F293" s="371"/>
      <c r="G293" s="319"/>
      <c r="H293" s="320" t="s">
        <v>256</v>
      </c>
      <c r="I293" s="319" t="s">
        <v>86</v>
      </c>
      <c r="J293" s="263" t="s">
        <v>67</v>
      </c>
      <c r="K293" s="263">
        <v>3</v>
      </c>
      <c r="L293" s="263" t="s">
        <v>6</v>
      </c>
      <c r="M293" s="322" t="s">
        <v>68</v>
      </c>
      <c r="N293" s="324">
        <v>46161</v>
      </c>
      <c r="O293" s="324"/>
      <c r="P293" s="324"/>
      <c r="Q293" s="324"/>
      <c r="R293" s="324"/>
      <c r="S293" s="324"/>
      <c r="T293" s="324"/>
      <c r="U293" s="324">
        <v>46254</v>
      </c>
      <c r="V293" s="324">
        <f>WORKDAY.INTL(U293,INDEX(V$8:V$11,MATCH($L293,$L$8:$L$11,0)),1,IF(V$18="China",'China Holidays'!$A$2:$A$82,'Thai Holidays'!$A$2:$A$63))</f>
        <v>46268</v>
      </c>
      <c r="W293" s="324"/>
      <c r="X293" s="324">
        <f>WORKDAY.INTL(V293,INDEX(X$8:X$11,MATCH($L293,$L$8:$L$11,0)),1,IF(X$18="China",'China Holidays'!$A$2:$A$82,'Thai Holidays'!$A$2:$A$63))</f>
        <v>46281</v>
      </c>
      <c r="Y293" s="324">
        <f>WORKDAY.INTL(X293,INDEX(Y$12:Y$15,MATCH($L293,$L$12:$L$15,0)),1,IF(Y$18="China",'China Holidays'!$A$2:$A$82,'Thai Holidays'!$A$2:$A$63))</f>
        <v>46283</v>
      </c>
      <c r="Z293" s="324">
        <f>WORKDAY.INTL(Y293,INDEX(Z$12:Z$15,MATCH($L293,$L$12:$L$15,0)),1,IF(Z$18="China",'China Holidays'!$A$2:$A$82,'Thai Holidays'!$A$2:$A$63))</f>
        <v>46293</v>
      </c>
      <c r="AA293" s="324">
        <f>WORKDAY.INTL(Z293,INDEX(AA$12:AA$15,MATCH($L293,$L$12:$L$15,0)),1,IF(AA$18="China",'China Holidays'!$A$2:$A$82,'Thai Holidays'!$A$2:$A$63))</f>
        <v>46328</v>
      </c>
      <c r="AB293" s="324">
        <f>WORKDAY.INTL(AA293,INDEX(AB$12:AB$15,MATCH($L293,$L$12:$L$15,0)),1,IF(AB$18="China",'China Holidays'!$A$2:$A$82,'Thai Holidays'!$A$2:$A$63))</f>
        <v>46342</v>
      </c>
      <c r="AC293" s="324">
        <f>AB293+30</f>
        <v>46372</v>
      </c>
      <c r="AD293" s="324">
        <f>AC293</f>
        <v>46372</v>
      </c>
      <c r="AE293" s="324">
        <f>AD293+2</f>
        <v>46374</v>
      </c>
      <c r="AF293" s="324">
        <f>AG293-7</f>
        <v>46435</v>
      </c>
      <c r="AG293" s="324">
        <f>AH293-7</f>
        <v>46442</v>
      </c>
      <c r="AH293" s="324">
        <f>AM293</f>
        <v>46449</v>
      </c>
      <c r="AI293" s="324">
        <f>AM293+14</f>
        <v>46463</v>
      </c>
      <c r="AJ293" s="324">
        <f>AM293+30</f>
        <v>46479</v>
      </c>
      <c r="AK293" s="325">
        <v>24</v>
      </c>
      <c r="AL293" s="326">
        <f>AK293*7</f>
        <v>168</v>
      </c>
      <c r="AM293" s="324">
        <f>IF(X293&lt;&gt;"",X293+AL293,X294+AL293)</f>
        <v>46449</v>
      </c>
      <c r="AN293" s="327">
        <f>AU292-7</f>
        <v>46500</v>
      </c>
      <c r="AO293" s="327">
        <f>AP293-7</f>
        <v>46135</v>
      </c>
      <c r="AP293" s="327">
        <v>46142</v>
      </c>
      <c r="AQ293" s="327"/>
      <c r="AR293" s="319">
        <f>AN293-AM293</f>
        <v>51</v>
      </c>
      <c r="AS293" s="328"/>
      <c r="AT293" s="329" t="s">
        <v>69</v>
      </c>
      <c r="AU293" s="330">
        <v>46507</v>
      </c>
      <c r="AV293" s="271"/>
    </row>
    <row r="294" spans="1:48" s="270" customFormat="1" ht="25.05" customHeight="1">
      <c r="A294" s="333"/>
      <c r="B294" s="334" t="s">
        <v>325</v>
      </c>
      <c r="C294" s="436" t="s">
        <v>326</v>
      </c>
      <c r="D294" s="372"/>
      <c r="E294" s="336"/>
      <c r="F294" s="372"/>
      <c r="G294" s="338"/>
      <c r="H294" s="339"/>
      <c r="I294" s="338" t="s">
        <v>86</v>
      </c>
      <c r="J294" s="334" t="s">
        <v>67</v>
      </c>
      <c r="K294" s="263">
        <v>3</v>
      </c>
      <c r="L294" s="334" t="s">
        <v>6</v>
      </c>
      <c r="M294" s="340" t="s">
        <v>70</v>
      </c>
      <c r="N294" s="341"/>
      <c r="O294" s="341">
        <v>46169</v>
      </c>
      <c r="P294" s="341">
        <v>46184</v>
      </c>
      <c r="Q294" s="341">
        <v>46184</v>
      </c>
      <c r="R294" s="341">
        <v>46184</v>
      </c>
      <c r="S294" s="341">
        <v>46188</v>
      </c>
      <c r="T294" s="341">
        <v>46232</v>
      </c>
      <c r="U294" s="341"/>
      <c r="V294" s="341"/>
      <c r="W294" s="341"/>
      <c r="X294" s="341"/>
      <c r="Y294" s="341"/>
      <c r="Z294" s="341"/>
      <c r="AA294" s="341"/>
      <c r="AB294" s="341"/>
      <c r="AC294" s="341"/>
      <c r="AD294" s="341"/>
      <c r="AE294" s="341"/>
      <c r="AF294" s="341"/>
      <c r="AG294" s="341"/>
      <c r="AH294" s="341"/>
      <c r="AI294" s="341"/>
      <c r="AJ294" s="341"/>
      <c r="AK294" s="342"/>
      <c r="AL294" s="343"/>
      <c r="AM294" s="341"/>
      <c r="AN294" s="344"/>
      <c r="AO294" s="344"/>
      <c r="AP294" s="344"/>
      <c r="AQ294" s="344"/>
      <c r="AR294" s="338"/>
      <c r="AS294" s="345"/>
      <c r="AT294" s="346"/>
      <c r="AU294" s="365" t="s">
        <v>306</v>
      </c>
    </row>
    <row r="295" spans="1:48" s="270" customFormat="1" ht="25.05" customHeight="1">
      <c r="A295" s="315">
        <v>98</v>
      </c>
      <c r="B295" s="263" t="s">
        <v>327</v>
      </c>
      <c r="C295" s="432" t="s">
        <v>328</v>
      </c>
      <c r="D295" s="369"/>
      <c r="E295" s="317"/>
      <c r="F295" s="370"/>
      <c r="G295" s="319"/>
      <c r="H295" s="320"/>
      <c r="I295" s="319" t="s">
        <v>86</v>
      </c>
      <c r="J295" s="263"/>
      <c r="K295" s="321"/>
      <c r="L295" s="263" t="s">
        <v>6</v>
      </c>
      <c r="M295" s="322" t="s">
        <v>63</v>
      </c>
      <c r="N295" s="323"/>
      <c r="O295" s="324">
        <v>46167</v>
      </c>
      <c r="P295" s="324">
        <v>46177</v>
      </c>
      <c r="Q295" s="324">
        <v>46177</v>
      </c>
      <c r="R295" s="324">
        <v>46184</v>
      </c>
      <c r="S295" s="324">
        <v>46184</v>
      </c>
      <c r="T295" s="324">
        <v>46226</v>
      </c>
      <c r="U295" s="324">
        <v>46254</v>
      </c>
      <c r="V295" s="324">
        <v>46268</v>
      </c>
      <c r="W295" s="324"/>
      <c r="X295" s="324">
        <v>46281</v>
      </c>
      <c r="Y295" s="324">
        <v>46283</v>
      </c>
      <c r="Z295" s="324">
        <v>46293</v>
      </c>
      <c r="AA295" s="324">
        <v>46328</v>
      </c>
      <c r="AB295" s="324">
        <v>46342</v>
      </c>
      <c r="AC295" s="324">
        <v>46372</v>
      </c>
      <c r="AD295" s="324">
        <v>46372</v>
      </c>
      <c r="AE295" s="324">
        <v>46374</v>
      </c>
      <c r="AF295" s="324">
        <v>46435</v>
      </c>
      <c r="AG295" s="324">
        <v>46442</v>
      </c>
      <c r="AH295" s="324">
        <v>46449</v>
      </c>
      <c r="AI295" s="324">
        <v>46463</v>
      </c>
      <c r="AJ295" s="324">
        <v>46479</v>
      </c>
      <c r="AK295" s="325">
        <v>24</v>
      </c>
      <c r="AL295" s="326">
        <f>AK295*7</f>
        <v>168</v>
      </c>
      <c r="AM295" s="324">
        <f>X295+AL295</f>
        <v>46449</v>
      </c>
      <c r="AN295" s="327">
        <f>AN296</f>
        <v>46500</v>
      </c>
      <c r="AO295" s="327"/>
      <c r="AP295" s="327"/>
      <c r="AQ295" s="327"/>
      <c r="AR295" s="319">
        <f>AN296-AM295</f>
        <v>51</v>
      </c>
      <c r="AS295" s="328"/>
      <c r="AT295" s="329" t="s">
        <v>65</v>
      </c>
      <c r="AU295" s="330">
        <v>46507</v>
      </c>
      <c r="AV295" s="331">
        <v>55</v>
      </c>
    </row>
    <row r="296" spans="1:48" s="270" customFormat="1" ht="25.05" customHeight="1">
      <c r="A296" s="315"/>
      <c r="B296" s="263" t="s">
        <v>327</v>
      </c>
      <c r="C296" s="432" t="s">
        <v>328</v>
      </c>
      <c r="D296" s="371"/>
      <c r="E296" s="317"/>
      <c r="F296" s="371"/>
      <c r="G296" s="319"/>
      <c r="H296" s="320" t="s">
        <v>256</v>
      </c>
      <c r="I296" s="319" t="s">
        <v>86</v>
      </c>
      <c r="J296" s="263" t="s">
        <v>67</v>
      </c>
      <c r="K296" s="263">
        <v>3</v>
      </c>
      <c r="L296" s="263" t="s">
        <v>6</v>
      </c>
      <c r="M296" s="322" t="s">
        <v>68</v>
      </c>
      <c r="N296" s="324">
        <v>46161</v>
      </c>
      <c r="O296" s="324"/>
      <c r="P296" s="324"/>
      <c r="Q296" s="324"/>
      <c r="R296" s="324"/>
      <c r="S296" s="324"/>
      <c r="T296" s="324"/>
      <c r="U296" s="324">
        <v>46254</v>
      </c>
      <c r="V296" s="324">
        <f>WORKDAY.INTL(U296,INDEX(V$8:V$11,MATCH($L296,$L$8:$L$11,0)),1,IF(V$18="China",'China Holidays'!$A$2:$A$82,'Thai Holidays'!$A$2:$A$63))</f>
        <v>46268</v>
      </c>
      <c r="W296" s="324"/>
      <c r="X296" s="324">
        <f>WORKDAY.INTL(V296,INDEX(X$8:X$11,MATCH($L296,$L$8:$L$11,0)),1,IF(X$18="China",'China Holidays'!$A$2:$A$82,'Thai Holidays'!$A$2:$A$63))</f>
        <v>46281</v>
      </c>
      <c r="Y296" s="324">
        <f>WORKDAY.INTL(X296,INDEX(Y$12:Y$15,MATCH($L296,$L$12:$L$15,0)),1,IF(Y$18="China",'China Holidays'!$A$2:$A$82,'Thai Holidays'!$A$2:$A$63))</f>
        <v>46283</v>
      </c>
      <c r="Z296" s="324">
        <f>WORKDAY.INTL(Y296,INDEX(Z$12:Z$15,MATCH($L296,$L$12:$L$15,0)),1,IF(Z$18="China",'China Holidays'!$A$2:$A$82,'Thai Holidays'!$A$2:$A$63))</f>
        <v>46293</v>
      </c>
      <c r="AA296" s="324">
        <f>WORKDAY.INTL(Z296,INDEX(AA$12:AA$15,MATCH($L296,$L$12:$L$15,0)),1,IF(AA$18="China",'China Holidays'!$A$2:$A$82,'Thai Holidays'!$A$2:$A$63))</f>
        <v>46328</v>
      </c>
      <c r="AB296" s="324">
        <f>WORKDAY.INTL(AA296,INDEX(AB$12:AB$15,MATCH($L296,$L$12:$L$15,0)),1,IF(AB$18="China",'China Holidays'!$A$2:$A$82,'Thai Holidays'!$A$2:$A$63))</f>
        <v>46342</v>
      </c>
      <c r="AC296" s="324">
        <f>AB296+30</f>
        <v>46372</v>
      </c>
      <c r="AD296" s="324">
        <f>AC296</f>
        <v>46372</v>
      </c>
      <c r="AE296" s="324">
        <f>AD296+2</f>
        <v>46374</v>
      </c>
      <c r="AF296" s="324">
        <f>AG296-7</f>
        <v>46435</v>
      </c>
      <c r="AG296" s="324">
        <f>AH296-7</f>
        <v>46442</v>
      </c>
      <c r="AH296" s="324">
        <f>AM296</f>
        <v>46449</v>
      </c>
      <c r="AI296" s="324">
        <f>AM296+14</f>
        <v>46463</v>
      </c>
      <c r="AJ296" s="324">
        <f>AM296+30</f>
        <v>46479</v>
      </c>
      <c r="AK296" s="325">
        <v>24</v>
      </c>
      <c r="AL296" s="326">
        <f>AK296*7</f>
        <v>168</v>
      </c>
      <c r="AM296" s="324">
        <f>IF(X296&lt;&gt;"",X296+AL296,X297+AL296)</f>
        <v>46449</v>
      </c>
      <c r="AN296" s="327">
        <f>AU295-7</f>
        <v>46500</v>
      </c>
      <c r="AO296" s="327">
        <f>AP296-7</f>
        <v>46135</v>
      </c>
      <c r="AP296" s="327">
        <v>46142</v>
      </c>
      <c r="AQ296" s="327"/>
      <c r="AR296" s="319">
        <f>AN296-AM296</f>
        <v>51</v>
      </c>
      <c r="AS296" s="328"/>
      <c r="AT296" s="329" t="s">
        <v>69</v>
      </c>
      <c r="AU296" s="330">
        <v>46507</v>
      </c>
      <c r="AV296" s="271"/>
    </row>
    <row r="297" spans="1:48" s="270" customFormat="1" ht="25.05" customHeight="1">
      <c r="A297" s="333"/>
      <c r="B297" s="334" t="s">
        <v>327</v>
      </c>
      <c r="C297" s="436" t="s">
        <v>328</v>
      </c>
      <c r="D297" s="372"/>
      <c r="E297" s="336"/>
      <c r="F297" s="372"/>
      <c r="G297" s="338"/>
      <c r="H297" s="339"/>
      <c r="I297" s="338" t="s">
        <v>86</v>
      </c>
      <c r="J297" s="334" t="s">
        <v>67</v>
      </c>
      <c r="K297" s="263">
        <v>3</v>
      </c>
      <c r="L297" s="334" t="s">
        <v>6</v>
      </c>
      <c r="M297" s="340" t="s">
        <v>70</v>
      </c>
      <c r="N297" s="341"/>
      <c r="O297" s="341">
        <v>46169</v>
      </c>
      <c r="P297" s="341">
        <v>46184</v>
      </c>
      <c r="Q297" s="341">
        <v>46184</v>
      </c>
      <c r="R297" s="341">
        <v>46184</v>
      </c>
      <c r="S297" s="341">
        <v>46188</v>
      </c>
      <c r="T297" s="341">
        <v>46239</v>
      </c>
      <c r="U297" s="341"/>
      <c r="V297" s="341"/>
      <c r="W297" s="341"/>
      <c r="X297" s="341"/>
      <c r="Y297" s="341"/>
      <c r="Z297" s="341"/>
      <c r="AA297" s="341"/>
      <c r="AB297" s="341"/>
      <c r="AC297" s="341"/>
      <c r="AD297" s="341"/>
      <c r="AE297" s="341"/>
      <c r="AF297" s="341"/>
      <c r="AG297" s="341"/>
      <c r="AH297" s="341"/>
      <c r="AI297" s="341"/>
      <c r="AJ297" s="341"/>
      <c r="AK297" s="342"/>
      <c r="AL297" s="343"/>
      <c r="AM297" s="341"/>
      <c r="AN297" s="344"/>
      <c r="AO297" s="344"/>
      <c r="AP297" s="344"/>
      <c r="AQ297" s="344" t="s">
        <v>211</v>
      </c>
      <c r="AR297" s="338"/>
      <c r="AS297" s="345"/>
      <c r="AT297" s="346"/>
      <c r="AU297" s="365" t="s">
        <v>306</v>
      </c>
    </row>
    <row r="298" spans="1:48" s="270" customFormat="1" ht="25.05" customHeight="1">
      <c r="A298" s="315">
        <v>99</v>
      </c>
      <c r="B298" s="263" t="s">
        <v>329</v>
      </c>
      <c r="C298" s="432" t="s">
        <v>330</v>
      </c>
      <c r="D298" s="369"/>
      <c r="E298" s="317"/>
      <c r="F298" s="370"/>
      <c r="G298" s="319"/>
      <c r="H298" s="320"/>
      <c r="I298" s="319" t="s">
        <v>86</v>
      </c>
      <c r="J298" s="263"/>
      <c r="K298" s="321"/>
      <c r="L298" s="263" t="s">
        <v>6</v>
      </c>
      <c r="M298" s="322" t="s">
        <v>63</v>
      </c>
      <c r="N298" s="323"/>
      <c r="O298" s="324">
        <v>46167</v>
      </c>
      <c r="P298" s="324">
        <v>46177</v>
      </c>
      <c r="Q298" s="324">
        <v>46177</v>
      </c>
      <c r="R298" s="324">
        <v>46184</v>
      </c>
      <c r="S298" s="324">
        <v>46184</v>
      </c>
      <c r="T298" s="324">
        <v>46226</v>
      </c>
      <c r="U298" s="324">
        <v>46254</v>
      </c>
      <c r="V298" s="324">
        <v>46268</v>
      </c>
      <c r="W298" s="324"/>
      <c r="X298" s="324">
        <v>46281</v>
      </c>
      <c r="Y298" s="324">
        <v>46283</v>
      </c>
      <c r="Z298" s="324">
        <v>46293</v>
      </c>
      <c r="AA298" s="324">
        <v>46328</v>
      </c>
      <c r="AB298" s="324">
        <v>46342</v>
      </c>
      <c r="AC298" s="324">
        <v>46372</v>
      </c>
      <c r="AD298" s="324">
        <v>46372</v>
      </c>
      <c r="AE298" s="324">
        <v>46374</v>
      </c>
      <c r="AF298" s="324">
        <v>46435</v>
      </c>
      <c r="AG298" s="324">
        <v>46442</v>
      </c>
      <c r="AH298" s="324">
        <v>46449</v>
      </c>
      <c r="AI298" s="324">
        <v>46463</v>
      </c>
      <c r="AJ298" s="324">
        <v>46479</v>
      </c>
      <c r="AK298" s="325">
        <v>24</v>
      </c>
      <c r="AL298" s="326">
        <f>AK298*7</f>
        <v>168</v>
      </c>
      <c r="AM298" s="324">
        <f>X298+AL298</f>
        <v>46449</v>
      </c>
      <c r="AN298" s="327">
        <f>AN299</f>
        <v>46500</v>
      </c>
      <c r="AO298" s="327"/>
      <c r="AP298" s="327"/>
      <c r="AQ298" s="327"/>
      <c r="AR298" s="319">
        <f>AN299-AM298</f>
        <v>51</v>
      </c>
      <c r="AS298" s="328"/>
      <c r="AT298" s="329" t="s">
        <v>65</v>
      </c>
      <c r="AU298" s="330">
        <v>46507</v>
      </c>
      <c r="AV298" s="331">
        <v>55</v>
      </c>
    </row>
    <row r="299" spans="1:48" s="270" customFormat="1" ht="25.05" customHeight="1">
      <c r="A299" s="315"/>
      <c r="B299" s="263" t="s">
        <v>329</v>
      </c>
      <c r="C299" s="432" t="s">
        <v>330</v>
      </c>
      <c r="D299" s="371"/>
      <c r="E299" s="317"/>
      <c r="F299" s="371"/>
      <c r="G299" s="319"/>
      <c r="H299" s="320" t="s">
        <v>256</v>
      </c>
      <c r="I299" s="319" t="s">
        <v>86</v>
      </c>
      <c r="J299" s="263" t="s">
        <v>67</v>
      </c>
      <c r="K299" s="263">
        <v>3</v>
      </c>
      <c r="L299" s="263" t="s">
        <v>6</v>
      </c>
      <c r="M299" s="322" t="s">
        <v>68</v>
      </c>
      <c r="N299" s="324">
        <v>46161</v>
      </c>
      <c r="O299" s="324"/>
      <c r="P299" s="324"/>
      <c r="Q299" s="324"/>
      <c r="R299" s="324"/>
      <c r="S299" s="324"/>
      <c r="T299" s="324"/>
      <c r="U299" s="324">
        <v>46254</v>
      </c>
      <c r="V299" s="324">
        <f>WORKDAY.INTL(U299,INDEX(V$8:V$11,MATCH($L299,$L$8:$L$11,0)),1,IF(V$18="China",'China Holidays'!$A$2:$A$82,'Thai Holidays'!$A$2:$A$63))</f>
        <v>46268</v>
      </c>
      <c r="W299" s="324"/>
      <c r="X299" s="324">
        <f>WORKDAY.INTL(V299,INDEX(X$8:X$11,MATCH($L299,$L$8:$L$11,0)),1,IF(X$18="China",'China Holidays'!$A$2:$A$82,'Thai Holidays'!$A$2:$A$63))</f>
        <v>46281</v>
      </c>
      <c r="Y299" s="324">
        <f>WORKDAY.INTL(X299,INDEX(Y$12:Y$15,MATCH($L299,$L$12:$L$15,0)),1,IF(Y$18="China",'China Holidays'!$A$2:$A$82,'Thai Holidays'!$A$2:$A$63))</f>
        <v>46283</v>
      </c>
      <c r="Z299" s="324">
        <f>WORKDAY.INTL(Y299,INDEX(Z$12:Z$15,MATCH($L299,$L$12:$L$15,0)),1,IF(Z$18="China",'China Holidays'!$A$2:$A$82,'Thai Holidays'!$A$2:$A$63))</f>
        <v>46293</v>
      </c>
      <c r="AA299" s="324">
        <f>WORKDAY.INTL(Z299,INDEX(AA$12:AA$15,MATCH($L299,$L$12:$L$15,0)),1,IF(AA$18="China",'China Holidays'!$A$2:$A$82,'Thai Holidays'!$A$2:$A$63))</f>
        <v>46328</v>
      </c>
      <c r="AB299" s="324">
        <f>WORKDAY.INTL(AA299,INDEX(AB$12:AB$15,MATCH($L299,$L$12:$L$15,0)),1,IF(AB$18="China",'China Holidays'!$A$2:$A$82,'Thai Holidays'!$A$2:$A$63))</f>
        <v>46342</v>
      </c>
      <c r="AC299" s="324">
        <f>AB299+30</f>
        <v>46372</v>
      </c>
      <c r="AD299" s="324">
        <f>AC299</f>
        <v>46372</v>
      </c>
      <c r="AE299" s="324">
        <f>AD299+2</f>
        <v>46374</v>
      </c>
      <c r="AF299" s="324">
        <f>AG299-7</f>
        <v>46435</v>
      </c>
      <c r="AG299" s="324">
        <f>AH299-7</f>
        <v>46442</v>
      </c>
      <c r="AH299" s="324">
        <f>AM299</f>
        <v>46449</v>
      </c>
      <c r="AI299" s="324">
        <f>AM299+14</f>
        <v>46463</v>
      </c>
      <c r="AJ299" s="324">
        <f>AM299+30</f>
        <v>46479</v>
      </c>
      <c r="AK299" s="325">
        <v>24</v>
      </c>
      <c r="AL299" s="326">
        <f>AK299*7</f>
        <v>168</v>
      </c>
      <c r="AM299" s="324">
        <f>IF(X299&lt;&gt;"",X299+AL299,X300+AL299)</f>
        <v>46449</v>
      </c>
      <c r="AN299" s="327">
        <f>AU298-7</f>
        <v>46500</v>
      </c>
      <c r="AO299" s="327">
        <f>AP299-7</f>
        <v>46135</v>
      </c>
      <c r="AP299" s="327">
        <v>46142</v>
      </c>
      <c r="AQ299" s="327"/>
      <c r="AR299" s="319">
        <f>AN299-AM299</f>
        <v>51</v>
      </c>
      <c r="AS299" s="328"/>
      <c r="AT299" s="329" t="s">
        <v>69</v>
      </c>
      <c r="AU299" s="330">
        <v>46507</v>
      </c>
      <c r="AV299" s="271"/>
    </row>
    <row r="300" spans="1:48" s="270" customFormat="1" ht="25.05" customHeight="1">
      <c r="A300" s="333"/>
      <c r="B300" s="334" t="s">
        <v>329</v>
      </c>
      <c r="C300" s="436" t="s">
        <v>330</v>
      </c>
      <c r="D300" s="372"/>
      <c r="E300" s="336"/>
      <c r="F300" s="372"/>
      <c r="G300" s="338"/>
      <c r="H300" s="339"/>
      <c r="I300" s="338" t="s">
        <v>86</v>
      </c>
      <c r="J300" s="334" t="s">
        <v>67</v>
      </c>
      <c r="K300" s="334">
        <v>3</v>
      </c>
      <c r="L300" s="334" t="s">
        <v>6</v>
      </c>
      <c r="M300" s="340" t="s">
        <v>70</v>
      </c>
      <c r="N300" s="341"/>
      <c r="O300" s="341">
        <v>46169</v>
      </c>
      <c r="P300" s="341">
        <v>46184</v>
      </c>
      <c r="Q300" s="341">
        <v>46184</v>
      </c>
      <c r="R300" s="341">
        <v>46184</v>
      </c>
      <c r="S300" s="341">
        <v>46188</v>
      </c>
      <c r="T300" s="341">
        <v>46232</v>
      </c>
      <c r="U300" s="341"/>
      <c r="V300" s="341"/>
      <c r="W300" s="341"/>
      <c r="X300" s="341"/>
      <c r="Y300" s="341"/>
      <c r="Z300" s="341"/>
      <c r="AA300" s="341"/>
      <c r="AB300" s="341"/>
      <c r="AC300" s="341"/>
      <c r="AD300" s="341"/>
      <c r="AE300" s="341"/>
      <c r="AF300" s="341"/>
      <c r="AG300" s="341"/>
      <c r="AH300" s="341"/>
      <c r="AI300" s="341"/>
      <c r="AJ300" s="341"/>
      <c r="AK300" s="342"/>
      <c r="AL300" s="343"/>
      <c r="AM300" s="341"/>
      <c r="AN300" s="344"/>
      <c r="AO300" s="344"/>
      <c r="AP300" s="344"/>
      <c r="AQ300" s="344" t="s">
        <v>211</v>
      </c>
      <c r="AR300" s="338"/>
      <c r="AS300" s="345"/>
      <c r="AT300" s="346"/>
      <c r="AU300" s="365" t="s">
        <v>306</v>
      </c>
    </row>
    <row r="301" spans="1:48" s="270" customFormat="1" ht="25.05" customHeight="1">
      <c r="A301" s="315">
        <v>100</v>
      </c>
      <c r="B301" s="263" t="s">
        <v>331</v>
      </c>
      <c r="C301" s="432" t="s">
        <v>332</v>
      </c>
      <c r="D301" s="369"/>
      <c r="E301" s="317"/>
      <c r="F301" s="370"/>
      <c r="G301" s="319"/>
      <c r="H301" s="320"/>
      <c r="I301" s="319" t="s">
        <v>86</v>
      </c>
      <c r="J301" s="263"/>
      <c r="K301" s="321"/>
      <c r="L301" s="263" t="s">
        <v>9</v>
      </c>
      <c r="M301" s="322" t="s">
        <v>63</v>
      </c>
      <c r="N301" s="323"/>
      <c r="O301" s="324">
        <v>46169</v>
      </c>
      <c r="P301" s="324">
        <v>46184</v>
      </c>
      <c r="Q301" s="324">
        <v>46184</v>
      </c>
      <c r="R301" s="324">
        <v>46184</v>
      </c>
      <c r="S301" s="324">
        <v>46184</v>
      </c>
      <c r="T301" s="324">
        <v>46233</v>
      </c>
      <c r="U301" s="324">
        <v>46261</v>
      </c>
      <c r="V301" s="324">
        <v>46275</v>
      </c>
      <c r="W301" s="324"/>
      <c r="X301" s="324">
        <v>46282</v>
      </c>
      <c r="Y301" s="324">
        <v>46284</v>
      </c>
      <c r="Z301" s="324">
        <v>46289</v>
      </c>
      <c r="AA301" s="324">
        <v>46303</v>
      </c>
      <c r="AB301" s="324">
        <v>46317</v>
      </c>
      <c r="AC301" s="324">
        <v>46303</v>
      </c>
      <c r="AD301" s="324">
        <v>46303</v>
      </c>
      <c r="AE301" s="324">
        <v>46305</v>
      </c>
      <c r="AF301" s="324">
        <v>46324</v>
      </c>
      <c r="AG301" s="324">
        <v>46327</v>
      </c>
      <c r="AH301" s="324">
        <v>46342</v>
      </c>
      <c r="AI301" s="324">
        <v>46356</v>
      </c>
      <c r="AJ301" s="324">
        <v>46372</v>
      </c>
      <c r="AK301" s="325">
        <v>8.5714285714285694</v>
      </c>
      <c r="AL301" s="326">
        <f>AK301*7</f>
        <v>59.999999999999986</v>
      </c>
      <c r="AM301" s="324">
        <f>X301+AL301</f>
        <v>46342</v>
      </c>
      <c r="AN301" s="327">
        <f>AN302</f>
        <v>46358</v>
      </c>
      <c r="AO301" s="327"/>
      <c r="AP301" s="327"/>
      <c r="AQ301" s="327"/>
      <c r="AR301" s="319">
        <f>AN302-AM301</f>
        <v>16</v>
      </c>
      <c r="AS301" s="328"/>
      <c r="AT301" s="329" t="s">
        <v>65</v>
      </c>
      <c r="AU301" s="330">
        <v>46365</v>
      </c>
      <c r="AV301" s="331">
        <v>38</v>
      </c>
    </row>
    <row r="302" spans="1:48" s="268" customFormat="1" ht="25.05" customHeight="1">
      <c r="A302" s="315"/>
      <c r="B302" s="263" t="s">
        <v>331</v>
      </c>
      <c r="C302" s="432" t="s">
        <v>332</v>
      </c>
      <c r="D302" s="371"/>
      <c r="E302" s="317"/>
      <c r="F302" s="371"/>
      <c r="G302" s="319"/>
      <c r="H302" s="428" t="s">
        <v>256</v>
      </c>
      <c r="I302" s="319" t="s">
        <v>86</v>
      </c>
      <c r="J302" s="263" t="s">
        <v>75</v>
      </c>
      <c r="K302" s="263">
        <v>0</v>
      </c>
      <c r="L302" s="263" t="s">
        <v>9</v>
      </c>
      <c r="M302" s="322" t="s">
        <v>68</v>
      </c>
      <c r="N302" s="324">
        <v>46162</v>
      </c>
      <c r="O302" s="324"/>
      <c r="P302" s="324"/>
      <c r="Q302" s="324"/>
      <c r="R302" s="324"/>
      <c r="S302" s="324"/>
      <c r="T302" s="324">
        <v>46252</v>
      </c>
      <c r="U302" s="324">
        <f>WORKDAY.INTL(T302,INDEX(U$8:U$11,MATCH($L302,$L$8:$L$11,0)),1,IF(U$18="China",'China Holidays'!$A$2:$A$82,'Thai Holidays'!$A$2:$A$63))</f>
        <v>46261</v>
      </c>
      <c r="V302" s="324">
        <f>WORKDAY.INTL(U302,INDEX(V$8:V$11,MATCH($L302,$L$8:$L$11,0)),1,IF(V$18="China",'China Holidays'!$A$2:$A$82,'Thai Holidays'!$A$2:$A$63))</f>
        <v>46275</v>
      </c>
      <c r="W302" s="324"/>
      <c r="X302" s="324">
        <f>WORKDAY.INTL(V302,INDEX(X$8:X$11,MATCH($L302,$L$8:$L$11,0)),1,IF(X$18="China",'China Holidays'!$A$2:$A$82,'Thai Holidays'!$A$2:$A$63))</f>
        <v>46282</v>
      </c>
      <c r="Y302" s="324">
        <f>X302+2</f>
        <v>46284</v>
      </c>
      <c r="Z302" s="324">
        <f>Y302+5</f>
        <v>46289</v>
      </c>
      <c r="AA302" s="324">
        <f>Z302+14</f>
        <v>46303</v>
      </c>
      <c r="AB302" s="324">
        <f>AA302+14</f>
        <v>46317</v>
      </c>
      <c r="AC302" s="324">
        <f>AA302</f>
        <v>46303</v>
      </c>
      <c r="AD302" s="324">
        <f>AC302</f>
        <v>46303</v>
      </c>
      <c r="AE302" s="324">
        <f>AD302+2</f>
        <v>46305</v>
      </c>
      <c r="AF302" s="324">
        <f>AG302-3</f>
        <v>46324</v>
      </c>
      <c r="AG302" s="324">
        <f>AH302-15</f>
        <v>46327</v>
      </c>
      <c r="AH302" s="324">
        <f>AM302</f>
        <v>46342</v>
      </c>
      <c r="AI302" s="324">
        <f>AM302+14</f>
        <v>46356</v>
      </c>
      <c r="AJ302" s="324">
        <f>AM302+30</f>
        <v>46372</v>
      </c>
      <c r="AK302" s="325">
        <v>8.5714285714285694</v>
      </c>
      <c r="AL302" s="326">
        <f>AK302*7</f>
        <v>59.999999999999986</v>
      </c>
      <c r="AM302" s="324">
        <f>IF(X302&lt;&gt;"",X302+AL302,X303+AL302)</f>
        <v>46342</v>
      </c>
      <c r="AN302" s="327">
        <f>AU301-7</f>
        <v>46358</v>
      </c>
      <c r="AO302" s="327">
        <f>AP302-7</f>
        <v>46358</v>
      </c>
      <c r="AP302" s="327">
        <v>46365</v>
      </c>
      <c r="AQ302" s="429" t="s">
        <v>333</v>
      </c>
      <c r="AR302" s="319">
        <f>AN302-AM302</f>
        <v>16</v>
      </c>
      <c r="AS302" s="328"/>
      <c r="AT302" s="329" t="s">
        <v>69</v>
      </c>
      <c r="AU302" s="330">
        <v>46365</v>
      </c>
      <c r="AV302" s="271"/>
    </row>
    <row r="303" spans="1:48" s="268" customFormat="1" ht="25.05" customHeight="1">
      <c r="A303" s="333"/>
      <c r="B303" s="334" t="s">
        <v>331</v>
      </c>
      <c r="C303" s="436" t="s">
        <v>332</v>
      </c>
      <c r="D303" s="372"/>
      <c r="E303" s="336"/>
      <c r="F303" s="372"/>
      <c r="G303" s="338"/>
      <c r="H303" s="415"/>
      <c r="I303" s="338" t="s">
        <v>86</v>
      </c>
      <c r="J303" s="334" t="s">
        <v>75</v>
      </c>
      <c r="K303" s="334"/>
      <c r="L303" s="334" t="s">
        <v>9</v>
      </c>
      <c r="M303" s="340" t="s">
        <v>70</v>
      </c>
      <c r="N303" s="341"/>
      <c r="O303" s="341">
        <v>46169</v>
      </c>
      <c r="P303" s="341">
        <v>46184</v>
      </c>
      <c r="Q303" s="341">
        <v>46184</v>
      </c>
      <c r="R303" s="341">
        <v>46184</v>
      </c>
      <c r="S303" s="341"/>
      <c r="T303" s="341"/>
      <c r="U303" s="341"/>
      <c r="V303" s="341"/>
      <c r="W303" s="341"/>
      <c r="X303" s="338"/>
      <c r="Y303" s="341"/>
      <c r="Z303" s="341"/>
      <c r="AA303" s="341"/>
      <c r="AB303" s="341"/>
      <c r="AC303" s="341"/>
      <c r="AD303" s="341"/>
      <c r="AE303" s="341"/>
      <c r="AF303" s="341"/>
      <c r="AG303" s="341"/>
      <c r="AH303" s="341"/>
      <c r="AI303" s="341"/>
      <c r="AJ303" s="341"/>
      <c r="AK303" s="342"/>
      <c r="AL303" s="343"/>
      <c r="AM303" s="341"/>
      <c r="AN303" s="430"/>
      <c r="AO303" s="430"/>
      <c r="AP303" s="430"/>
      <c r="AQ303" s="430"/>
      <c r="AR303" s="338"/>
      <c r="AS303" s="345"/>
      <c r="AT303" s="346"/>
      <c r="AU303" s="345"/>
    </row>
    <row r="304" spans="1:48" s="270" customFormat="1" ht="25.05" hidden="1" customHeight="1">
      <c r="A304" s="315">
        <v>101</v>
      </c>
      <c r="B304" s="263" t="s">
        <v>334</v>
      </c>
      <c r="C304" s="432" t="s">
        <v>335</v>
      </c>
      <c r="D304" s="369"/>
      <c r="E304" s="317"/>
      <c r="F304" s="370"/>
      <c r="G304" s="319"/>
      <c r="H304" s="320"/>
      <c r="I304" s="319" t="s">
        <v>134</v>
      </c>
      <c r="J304" s="263"/>
      <c r="K304" s="321"/>
      <c r="L304" s="263" t="s">
        <v>8</v>
      </c>
      <c r="M304" s="322" t="s">
        <v>63</v>
      </c>
      <c r="N304" s="323"/>
      <c r="O304" s="324">
        <v>46245</v>
      </c>
      <c r="P304" s="324">
        <v>46260</v>
      </c>
      <c r="Q304" s="324">
        <v>46260</v>
      </c>
      <c r="R304" s="324">
        <v>46261</v>
      </c>
      <c r="S304" s="324">
        <v>46261</v>
      </c>
      <c r="T304" s="324">
        <v>46275</v>
      </c>
      <c r="U304" s="324">
        <v>46293</v>
      </c>
      <c r="V304" s="324">
        <v>46307</v>
      </c>
      <c r="W304" s="324"/>
      <c r="X304" s="324">
        <v>46316</v>
      </c>
      <c r="Y304" s="324">
        <v>46318</v>
      </c>
      <c r="Z304" s="324">
        <v>46325</v>
      </c>
      <c r="AA304" s="324">
        <v>46346</v>
      </c>
      <c r="AB304" s="324">
        <v>46360</v>
      </c>
      <c r="AC304" s="324">
        <v>46375</v>
      </c>
      <c r="AD304" s="324">
        <v>46375</v>
      </c>
      <c r="AE304" s="324">
        <v>46377</v>
      </c>
      <c r="AF304" s="324">
        <v>46421</v>
      </c>
      <c r="AG304" s="324">
        <v>46435</v>
      </c>
      <c r="AH304" s="324">
        <v>46442</v>
      </c>
      <c r="AI304" s="324">
        <v>46456</v>
      </c>
      <c r="AJ304" s="324">
        <v>46472</v>
      </c>
      <c r="AK304" s="325">
        <v>18</v>
      </c>
      <c r="AL304" s="326">
        <f>AK304*7</f>
        <v>126</v>
      </c>
      <c r="AM304" s="324">
        <f>X304+AL304</f>
        <v>46442</v>
      </c>
      <c r="AN304" s="327">
        <f>AN305</f>
        <v>46478</v>
      </c>
      <c r="AO304" s="327"/>
      <c r="AP304" s="327"/>
      <c r="AQ304" s="327"/>
      <c r="AR304" s="319">
        <f>AN305-AM304</f>
        <v>36</v>
      </c>
      <c r="AS304" s="328"/>
      <c r="AT304" s="329" t="s">
        <v>65</v>
      </c>
      <c r="AU304" s="330">
        <v>46485</v>
      </c>
      <c r="AV304" s="331">
        <v>47</v>
      </c>
    </row>
    <row r="305" spans="1:48" s="270" customFormat="1" ht="25.05" hidden="1" customHeight="1">
      <c r="A305" s="315"/>
      <c r="B305" s="263" t="s">
        <v>334</v>
      </c>
      <c r="C305" s="432" t="s">
        <v>336</v>
      </c>
      <c r="D305" s="371"/>
      <c r="E305" s="317"/>
      <c r="F305" s="371"/>
      <c r="G305" s="319"/>
      <c r="H305" s="320" t="s">
        <v>159</v>
      </c>
      <c r="I305" s="319" t="s">
        <v>134</v>
      </c>
      <c r="J305" s="263" t="s">
        <v>75</v>
      </c>
      <c r="K305" s="263">
        <v>4</v>
      </c>
      <c r="L305" s="263" t="s">
        <v>8</v>
      </c>
      <c r="M305" s="322" t="s">
        <v>68</v>
      </c>
      <c r="N305" s="324"/>
      <c r="O305" s="324">
        <v>46245</v>
      </c>
      <c r="P305" s="324">
        <f>WORKDAY.INTL(O305,INDEX(P$8:P$11,MATCH($L305,$L$8:$L$11,0)),1,IF(P$18="China",'China Holidays'!$A$2:$A$82,'Thai Holidays'!$A$2:$A$63))</f>
        <v>46260</v>
      </c>
      <c r="Q305" s="324">
        <f>WORKDAY.INTL(P305,INDEX(Q$8:Q$11,MATCH($L305,$L$8:$L$11,0)),1,IF(Q$18="China",'China Holidays'!$A$2:$A$82,'Thai Holidays'!$A$2:$A$63))</f>
        <v>46260</v>
      </c>
      <c r="R305" s="324">
        <f>WORKDAY.INTL(Q305,INDEX(R$8:R$11,MATCH($L305,$L$8:$L$11,0)),1,IF(R$18="China",'China Holidays'!$A$2:$A$82,'Thai Holidays'!$A$2:$A$63))</f>
        <v>46260</v>
      </c>
      <c r="S305" s="324">
        <f>WORKDAY.INTL(R305,INDEX(S$8:S$11,MATCH($L305,$L$8:$L$11,0)),1,IF(S$18="China",'China Holidays'!$A$2:$A$82,'Thai Holidays'!$A$2:$A$63))</f>
        <v>46260</v>
      </c>
      <c r="T305" s="324">
        <f>WORKDAY.INTL(S305,INDEX(T$8:T$11,MATCH($L305,$L$8:$L$11,0)),1,IF(T$18="China",'China Holidays'!$A$2:$A$82,'Thai Holidays'!$A$2:$A$63))</f>
        <v>46274</v>
      </c>
      <c r="U305" s="324">
        <f>WORKDAY.INTL(T305,INDEX(U$8:U$11,MATCH($L305,$L$8:$L$11,0)),1,IF(U$18="China",'China Holidays'!$A$2:$A$82,'Thai Holidays'!$A$2:$A$63))</f>
        <v>46293</v>
      </c>
      <c r="V305" s="324">
        <f>WORKDAY.INTL(U305,INDEX(V$8:V$11,MATCH($L305,$L$8:$L$11,0)),1,IF(V$18="China",'China Holidays'!$A$2:$A$82,'Thai Holidays'!$A$2:$A$63))</f>
        <v>46307</v>
      </c>
      <c r="W305" s="324"/>
      <c r="X305" s="324">
        <f>WORKDAY.INTL(V305,INDEX(X$8:X$11,MATCH($L305,$L$8:$L$11,0)),1,IF(X$18="China",'China Holidays'!$A$2:$A$82,'Thai Holidays'!$A$2:$A$63))</f>
        <v>46318</v>
      </c>
      <c r="Y305" s="324">
        <f>WORKDAY.INTL(X305,INDEX(Y$12:Y$15,MATCH($L305,$L$12:$L$15,0)),1,IF(Y$18="China",'China Holidays'!$A$2:$A$82,'Thai Holidays'!$A$2:$A$63))</f>
        <v>46322</v>
      </c>
      <c r="Z305" s="324">
        <f>WORKDAY.INTL(Y305,INDEX(Z$12:Z$15,MATCH($L305,$L$12:$L$15,0)),1,IF(Z$18="China",'China Holidays'!$A$2:$A$82,'Thai Holidays'!$A$2:$A$63))</f>
        <v>46329</v>
      </c>
      <c r="AA305" s="324">
        <f>WORKDAY.INTL(Z305,INDEX(AA$12:AA$15,MATCH($L305,$L$12:$L$15,0)),1,IF(AA$18="China",'China Holidays'!$A$2:$A$82,'Thai Holidays'!$A$2:$A$63))</f>
        <v>46350</v>
      </c>
      <c r="AB305" s="324">
        <f>WORKDAY.INTL(AA305,INDEX(AB$12:AB$15,MATCH($L305,$L$12:$L$15,0)),1,IF(AB$18="China",'China Holidays'!$A$2:$A$82,'Thai Holidays'!$A$2:$A$63))</f>
        <v>46365</v>
      </c>
      <c r="AC305" s="324">
        <f>AB305+15</f>
        <v>46380</v>
      </c>
      <c r="AD305" s="324">
        <f>AC305</f>
        <v>46380</v>
      </c>
      <c r="AE305" s="324">
        <f>AD305+2</f>
        <v>46382</v>
      </c>
      <c r="AF305" s="324">
        <f>AG305-14</f>
        <v>46423</v>
      </c>
      <c r="AG305" s="324">
        <f>AH305-7</f>
        <v>46437</v>
      </c>
      <c r="AH305" s="324">
        <f>AM305</f>
        <v>46444</v>
      </c>
      <c r="AI305" s="324">
        <f>AM305+14</f>
        <v>46458</v>
      </c>
      <c r="AJ305" s="324">
        <f>AM305+30</f>
        <v>46474</v>
      </c>
      <c r="AK305" s="325">
        <v>18</v>
      </c>
      <c r="AL305" s="326">
        <f>AK305*7</f>
        <v>126</v>
      </c>
      <c r="AM305" s="324">
        <f>IF(X305&lt;&gt;"",X305+AL305,X306+AL305)</f>
        <v>46444</v>
      </c>
      <c r="AN305" s="327">
        <f>AU304-7</f>
        <v>46478</v>
      </c>
      <c r="AO305" s="327">
        <f>AP305-7</f>
        <v>46485</v>
      </c>
      <c r="AP305" s="327">
        <v>46492</v>
      </c>
      <c r="AQ305" s="327"/>
      <c r="AR305" s="319">
        <f>AN305-AM305</f>
        <v>34</v>
      </c>
      <c r="AS305" s="328"/>
      <c r="AT305" s="329" t="s">
        <v>69</v>
      </c>
      <c r="AU305" s="330">
        <v>46485</v>
      </c>
    </row>
    <row r="306" spans="1:48" s="270" customFormat="1" ht="25.05" hidden="1" customHeight="1">
      <c r="A306" s="333"/>
      <c r="B306" s="334" t="s">
        <v>334</v>
      </c>
      <c r="C306" s="436" t="s">
        <v>335</v>
      </c>
      <c r="D306" s="372"/>
      <c r="E306" s="336"/>
      <c r="F306" s="372"/>
      <c r="G306" s="338"/>
      <c r="H306" s="339"/>
      <c r="I306" s="338" t="s">
        <v>134</v>
      </c>
      <c r="J306" s="334" t="s">
        <v>75</v>
      </c>
      <c r="K306" s="263">
        <v>4</v>
      </c>
      <c r="L306" s="334" t="s">
        <v>8</v>
      </c>
      <c r="M306" s="340" t="s">
        <v>70</v>
      </c>
      <c r="N306" s="338"/>
      <c r="O306" s="367">
        <v>46248</v>
      </c>
      <c r="P306" s="341"/>
      <c r="Q306" s="341"/>
      <c r="R306" s="341"/>
      <c r="S306" s="341"/>
      <c r="T306" s="341"/>
      <c r="U306" s="341"/>
      <c r="V306" s="341"/>
      <c r="W306" s="341"/>
      <c r="X306" s="338"/>
      <c r="Y306" s="341"/>
      <c r="Z306" s="341"/>
      <c r="AA306" s="341"/>
      <c r="AB306" s="341"/>
      <c r="AC306" s="341"/>
      <c r="AD306" s="341"/>
      <c r="AE306" s="341"/>
      <c r="AF306" s="341"/>
      <c r="AG306" s="341"/>
      <c r="AH306" s="341"/>
      <c r="AI306" s="341"/>
      <c r="AJ306" s="341"/>
      <c r="AK306" s="342"/>
      <c r="AL306" s="343"/>
      <c r="AM306" s="341"/>
      <c r="AN306" s="344"/>
      <c r="AO306" s="344"/>
      <c r="AP306" s="344"/>
      <c r="AQ306" s="344"/>
      <c r="AR306" s="338"/>
      <c r="AS306" s="345"/>
      <c r="AT306" s="346"/>
      <c r="AU306" s="345"/>
    </row>
    <row r="307" spans="1:48" s="272" customFormat="1" ht="25.05" hidden="1" customHeight="1">
      <c r="A307" s="315">
        <v>105</v>
      </c>
      <c r="B307" s="263" t="s">
        <v>337</v>
      </c>
      <c r="C307" s="432" t="s">
        <v>338</v>
      </c>
      <c r="D307" s="369"/>
      <c r="E307" s="317"/>
      <c r="F307" s="370"/>
      <c r="G307" s="319"/>
      <c r="H307" s="320"/>
      <c r="I307" s="319" t="s">
        <v>226</v>
      </c>
      <c r="J307" s="263"/>
      <c r="K307" s="321"/>
      <c r="L307" s="263" t="s">
        <v>6</v>
      </c>
      <c r="M307" s="322" t="s">
        <v>63</v>
      </c>
      <c r="N307" s="323"/>
      <c r="O307" s="324">
        <v>46208</v>
      </c>
      <c r="P307" s="324">
        <v>46213</v>
      </c>
      <c r="Q307" s="324">
        <v>46213</v>
      </c>
      <c r="R307" s="324">
        <v>46213</v>
      </c>
      <c r="S307" s="324">
        <v>46213</v>
      </c>
      <c r="T307" s="324">
        <v>46220</v>
      </c>
      <c r="U307" s="324">
        <v>46223</v>
      </c>
      <c r="V307" s="324">
        <v>46227</v>
      </c>
      <c r="W307" s="324"/>
      <c r="X307" s="324">
        <v>46230</v>
      </c>
      <c r="Y307" s="324">
        <v>46231</v>
      </c>
      <c r="Z307" s="324">
        <v>46236</v>
      </c>
      <c r="AA307" s="324">
        <v>46246</v>
      </c>
      <c r="AB307" s="324">
        <v>46258</v>
      </c>
      <c r="AC307" s="324">
        <v>46263</v>
      </c>
      <c r="AD307" s="324">
        <v>46261</v>
      </c>
      <c r="AE307" s="324">
        <v>46263</v>
      </c>
      <c r="AF307" s="324">
        <v>46309</v>
      </c>
      <c r="AG307" s="324">
        <v>46316</v>
      </c>
      <c r="AH307" s="324">
        <v>46319</v>
      </c>
      <c r="AI307" s="324">
        <v>46333</v>
      </c>
      <c r="AJ307" s="324">
        <v>46349</v>
      </c>
      <c r="AK307" s="325">
        <v>12.8571428571429</v>
      </c>
      <c r="AL307" s="326">
        <f>AK307*7</f>
        <v>90.000000000000298</v>
      </c>
      <c r="AM307" s="324">
        <f>X307+AL307</f>
        <v>46320</v>
      </c>
      <c r="AN307" s="327">
        <f>AN308</f>
        <v>46327</v>
      </c>
      <c r="AO307" s="327"/>
      <c r="AP307" s="327"/>
      <c r="AQ307" s="327"/>
      <c r="AR307" s="319">
        <f>AN308-AM307</f>
        <v>7</v>
      </c>
      <c r="AS307" s="328" t="s">
        <v>64</v>
      </c>
      <c r="AT307" s="329" t="s">
        <v>65</v>
      </c>
      <c r="AU307" s="330">
        <v>46307</v>
      </c>
      <c r="AV307" s="331">
        <v>30</v>
      </c>
    </row>
    <row r="308" spans="1:48" s="270" customFormat="1" ht="25.05" hidden="1" customHeight="1">
      <c r="A308" s="375"/>
      <c r="B308" s="263" t="s">
        <v>337</v>
      </c>
      <c r="C308" s="432" t="s">
        <v>338</v>
      </c>
      <c r="D308" s="371"/>
      <c r="E308" s="317"/>
      <c r="F308" s="371"/>
      <c r="G308" s="319"/>
      <c r="H308" s="320" t="s">
        <v>234</v>
      </c>
      <c r="I308" s="319" t="s">
        <v>226</v>
      </c>
      <c r="J308" s="263" t="s">
        <v>67</v>
      </c>
      <c r="K308" s="263">
        <v>2</v>
      </c>
      <c r="L308" s="263" t="s">
        <v>6</v>
      </c>
      <c r="M308" s="322" t="s">
        <v>68</v>
      </c>
      <c r="N308" s="324">
        <v>46137</v>
      </c>
      <c r="O308" s="324"/>
      <c r="P308" s="324"/>
      <c r="Q308" s="324"/>
      <c r="R308" s="324"/>
      <c r="S308" s="324"/>
      <c r="T308" s="324"/>
      <c r="U308" s="324"/>
      <c r="V308" s="324"/>
      <c r="W308" s="324"/>
      <c r="X308" s="324"/>
      <c r="Y308" s="324"/>
      <c r="Z308" s="324"/>
      <c r="AA308" s="324">
        <v>46246</v>
      </c>
      <c r="AB308" s="324">
        <f>AA308+10</f>
        <v>46256</v>
      </c>
      <c r="AC308" s="324">
        <f>AB308+7</f>
        <v>46263</v>
      </c>
      <c r="AD308" s="324">
        <f>AB308+5</f>
        <v>46261</v>
      </c>
      <c r="AE308" s="324">
        <f>AD308+2</f>
        <v>46263</v>
      </c>
      <c r="AF308" s="324">
        <f>AG308-7</f>
        <v>46299</v>
      </c>
      <c r="AG308" s="324">
        <f>AH308-3</f>
        <v>46306</v>
      </c>
      <c r="AH308" s="324">
        <f>AM308</f>
        <v>46309</v>
      </c>
      <c r="AI308" s="324">
        <f>AM308+14</f>
        <v>46323</v>
      </c>
      <c r="AJ308" s="324">
        <f>AM308+30</f>
        <v>46339</v>
      </c>
      <c r="AK308" s="325">
        <v>12.8571428571429</v>
      </c>
      <c r="AL308" s="326">
        <f>AK308*7</f>
        <v>90.000000000000298</v>
      </c>
      <c r="AM308" s="324">
        <f>IF(X308&lt;&gt;"",X308+AL308,X309+AL308)</f>
        <v>46309</v>
      </c>
      <c r="AN308" s="327">
        <v>46327</v>
      </c>
      <c r="AO308" s="327">
        <f>AP308-3</f>
        <v>46292</v>
      </c>
      <c r="AP308" s="327">
        <v>46295</v>
      </c>
      <c r="AQ308" s="327" t="s">
        <v>231</v>
      </c>
      <c r="AR308" s="319">
        <f>AN308-AM308</f>
        <v>18</v>
      </c>
      <c r="AS308" s="332" t="str">
        <f>AS307</f>
        <v>Long Lead</v>
      </c>
      <c r="AT308" s="329" t="s">
        <v>69</v>
      </c>
      <c r="AU308" s="330">
        <v>46318</v>
      </c>
      <c r="AV308" s="271"/>
    </row>
    <row r="309" spans="1:48" s="270" customFormat="1" ht="25.05" hidden="1" customHeight="1">
      <c r="A309" s="376"/>
      <c r="B309" s="334" t="s">
        <v>337</v>
      </c>
      <c r="C309" s="436" t="s">
        <v>338</v>
      </c>
      <c r="D309" s="372"/>
      <c r="E309" s="336"/>
      <c r="F309" s="372"/>
      <c r="G309" s="338"/>
      <c r="H309" s="339"/>
      <c r="I309" s="338" t="s">
        <v>226</v>
      </c>
      <c r="J309" s="334" t="s">
        <v>67</v>
      </c>
      <c r="K309" s="263">
        <v>2</v>
      </c>
      <c r="L309" s="334" t="s">
        <v>6</v>
      </c>
      <c r="M309" s="340" t="s">
        <v>70</v>
      </c>
      <c r="N309" s="341">
        <v>46137</v>
      </c>
      <c r="O309" s="341">
        <v>46162</v>
      </c>
      <c r="P309" s="341">
        <v>46175</v>
      </c>
      <c r="Q309" s="341">
        <v>46175</v>
      </c>
      <c r="R309" s="341">
        <f>Q309</f>
        <v>46175</v>
      </c>
      <c r="S309" s="341">
        <f>R309</f>
        <v>46175</v>
      </c>
      <c r="T309" s="341">
        <f>S309+2</f>
        <v>46177</v>
      </c>
      <c r="U309" s="341">
        <v>46211</v>
      </c>
      <c r="V309" s="341">
        <v>46216</v>
      </c>
      <c r="W309" s="341">
        <v>46219</v>
      </c>
      <c r="X309" s="341">
        <v>46219</v>
      </c>
      <c r="Y309" s="341">
        <v>46219</v>
      </c>
      <c r="Z309" s="341">
        <v>46220</v>
      </c>
      <c r="AA309" s="341"/>
      <c r="AB309" s="341"/>
      <c r="AC309" s="341"/>
      <c r="AD309" s="341"/>
      <c r="AE309" s="341"/>
      <c r="AF309" s="341"/>
      <c r="AG309" s="341"/>
      <c r="AH309" s="341"/>
      <c r="AI309" s="341"/>
      <c r="AJ309" s="341"/>
      <c r="AK309" s="342"/>
      <c r="AL309" s="343"/>
      <c r="AM309" s="341"/>
      <c r="AN309" s="344"/>
      <c r="AO309" s="344"/>
      <c r="AP309" s="344"/>
      <c r="AQ309" s="344"/>
      <c r="AR309" s="338"/>
      <c r="AS309" s="345" t="str">
        <f>AS307</f>
        <v>Long Lead</v>
      </c>
      <c r="AT309" s="346"/>
      <c r="AU309" s="345"/>
    </row>
    <row r="310" spans="1:48" s="272" customFormat="1" ht="25.05" hidden="1" customHeight="1">
      <c r="A310" s="315">
        <v>106</v>
      </c>
      <c r="B310" s="263" t="s">
        <v>339</v>
      </c>
      <c r="C310" s="432" t="s">
        <v>340</v>
      </c>
      <c r="D310" s="369"/>
      <c r="E310" s="317"/>
      <c r="F310" s="370"/>
      <c r="G310" s="319">
        <v>25.3</v>
      </c>
      <c r="H310" s="320">
        <v>2</v>
      </c>
      <c r="I310" s="319" t="s">
        <v>226</v>
      </c>
      <c r="J310" s="263"/>
      <c r="K310" s="321"/>
      <c r="L310" s="263" t="s">
        <v>6</v>
      </c>
      <c r="M310" s="322" t="s">
        <v>63</v>
      </c>
      <c r="N310" s="323"/>
      <c r="O310" s="324">
        <v>46207</v>
      </c>
      <c r="P310" s="324">
        <v>46212</v>
      </c>
      <c r="Q310" s="324">
        <v>46212</v>
      </c>
      <c r="R310" s="324">
        <v>46212</v>
      </c>
      <c r="S310" s="324">
        <v>46212</v>
      </c>
      <c r="T310" s="324">
        <v>46218</v>
      </c>
      <c r="U310" s="324">
        <v>46223</v>
      </c>
      <c r="V310" s="324">
        <v>46226</v>
      </c>
      <c r="W310" s="324"/>
      <c r="X310" s="324">
        <v>46230</v>
      </c>
      <c r="Y310" s="324">
        <v>46230</v>
      </c>
      <c r="Z310" s="324">
        <v>46235</v>
      </c>
      <c r="AA310" s="324">
        <v>46245</v>
      </c>
      <c r="AB310" s="324">
        <v>46255</v>
      </c>
      <c r="AC310" s="324">
        <v>46262</v>
      </c>
      <c r="AD310" s="324">
        <v>46260</v>
      </c>
      <c r="AE310" s="324">
        <v>46262</v>
      </c>
      <c r="AF310" s="324">
        <v>46308</v>
      </c>
      <c r="AG310" s="324">
        <v>46315</v>
      </c>
      <c r="AH310" s="324">
        <v>46318</v>
      </c>
      <c r="AI310" s="324">
        <v>46332</v>
      </c>
      <c r="AJ310" s="324">
        <v>46348</v>
      </c>
      <c r="AK310" s="325">
        <v>12.8571428571429</v>
      </c>
      <c r="AL310" s="326">
        <f>AK310*7</f>
        <v>90.000000000000298</v>
      </c>
      <c r="AM310" s="324">
        <f>X310+AL310</f>
        <v>46320</v>
      </c>
      <c r="AN310" s="327">
        <f>AN311</f>
        <v>46327</v>
      </c>
      <c r="AO310" s="327"/>
      <c r="AP310" s="327"/>
      <c r="AQ310" s="327"/>
      <c r="AR310" s="319">
        <f>AN311-AM310</f>
        <v>7</v>
      </c>
      <c r="AS310" s="328"/>
      <c r="AT310" s="329" t="s">
        <v>65</v>
      </c>
      <c r="AU310" s="330">
        <v>46307</v>
      </c>
      <c r="AV310" s="331">
        <v>31</v>
      </c>
    </row>
    <row r="311" spans="1:48" s="270" customFormat="1" ht="25.05" hidden="1" customHeight="1">
      <c r="A311" s="375"/>
      <c r="B311" s="263" t="s">
        <v>339</v>
      </c>
      <c r="C311" s="432" t="s">
        <v>341</v>
      </c>
      <c r="D311" s="371"/>
      <c r="E311" s="317"/>
      <c r="F311" s="371"/>
      <c r="G311" s="319">
        <f>G310</f>
        <v>25.3</v>
      </c>
      <c r="H311" s="320" t="s">
        <v>234</v>
      </c>
      <c r="I311" s="319" t="s">
        <v>226</v>
      </c>
      <c r="J311" s="263" t="s">
        <v>67</v>
      </c>
      <c r="K311" s="263">
        <v>2</v>
      </c>
      <c r="L311" s="263" t="s">
        <v>6</v>
      </c>
      <c r="M311" s="322" t="s">
        <v>68</v>
      </c>
      <c r="N311" s="324">
        <v>46137</v>
      </c>
      <c r="O311" s="324"/>
      <c r="P311" s="324"/>
      <c r="Q311" s="324"/>
      <c r="R311" s="324"/>
      <c r="S311" s="324"/>
      <c r="T311" s="324"/>
      <c r="U311" s="324">
        <v>46230</v>
      </c>
      <c r="V311" s="324">
        <f>U311+3</f>
        <v>46233</v>
      </c>
      <c r="W311" s="324"/>
      <c r="X311" s="324">
        <f>V311+2</f>
        <v>46235</v>
      </c>
      <c r="Y311" s="324">
        <f>X311+2</f>
        <v>46237</v>
      </c>
      <c r="Z311" s="324">
        <f>Y311+5</f>
        <v>46242</v>
      </c>
      <c r="AA311" s="324">
        <f>Z311+10</f>
        <v>46252</v>
      </c>
      <c r="AB311" s="324">
        <f>AA311+10</f>
        <v>46262</v>
      </c>
      <c r="AC311" s="324">
        <f>AB311+7</f>
        <v>46269</v>
      </c>
      <c r="AD311" s="324">
        <f>AB311+5</f>
        <v>46267</v>
      </c>
      <c r="AE311" s="324">
        <f>AD311+2</f>
        <v>46269</v>
      </c>
      <c r="AF311" s="324">
        <f>AG311-7</f>
        <v>46315</v>
      </c>
      <c r="AG311" s="324">
        <f>AH311-3</f>
        <v>46322</v>
      </c>
      <c r="AH311" s="324">
        <f>AM311</f>
        <v>46325</v>
      </c>
      <c r="AI311" s="324">
        <f>AM311+14</f>
        <v>46339</v>
      </c>
      <c r="AJ311" s="324">
        <f>AM311+30</f>
        <v>46355</v>
      </c>
      <c r="AK311" s="325">
        <v>12.8571428571429</v>
      </c>
      <c r="AL311" s="326">
        <f>AK311*7</f>
        <v>90.000000000000298</v>
      </c>
      <c r="AM311" s="324">
        <f>IF(X311&lt;&gt;"",X311+AL311,X312+AL311)</f>
        <v>46325</v>
      </c>
      <c r="AN311" s="327">
        <v>46327</v>
      </c>
      <c r="AO311" s="327">
        <f>AP311-3</f>
        <v>46292</v>
      </c>
      <c r="AP311" s="327">
        <v>46295</v>
      </c>
      <c r="AQ311" s="327" t="s">
        <v>231</v>
      </c>
      <c r="AR311" s="319">
        <f>AN311-AM311</f>
        <v>2</v>
      </c>
      <c r="AS311" s="328"/>
      <c r="AT311" s="329" t="s">
        <v>69</v>
      </c>
      <c r="AU311" s="330">
        <v>46318</v>
      </c>
      <c r="AV311" s="271"/>
    </row>
    <row r="312" spans="1:48" s="270" customFormat="1" ht="25.05" hidden="1" customHeight="1">
      <c r="A312" s="376"/>
      <c r="B312" s="334" t="s">
        <v>339</v>
      </c>
      <c r="C312" s="436" t="s">
        <v>341</v>
      </c>
      <c r="D312" s="372"/>
      <c r="E312" s="336"/>
      <c r="F312" s="372"/>
      <c r="G312" s="338">
        <f>G310</f>
        <v>25.3</v>
      </c>
      <c r="H312" s="339"/>
      <c r="I312" s="338" t="s">
        <v>226</v>
      </c>
      <c r="J312" s="334" t="s">
        <v>67</v>
      </c>
      <c r="K312" s="263">
        <v>2</v>
      </c>
      <c r="L312" s="334" t="s">
        <v>6</v>
      </c>
      <c r="M312" s="340" t="s">
        <v>70</v>
      </c>
      <c r="N312" s="341">
        <v>46137</v>
      </c>
      <c r="O312" s="341">
        <v>46210</v>
      </c>
      <c r="P312" s="341">
        <v>46216</v>
      </c>
      <c r="Q312" s="341">
        <v>46216</v>
      </c>
      <c r="R312" s="341">
        <v>46216</v>
      </c>
      <c r="S312" s="341">
        <v>46216</v>
      </c>
      <c r="T312" s="341">
        <v>46218</v>
      </c>
      <c r="U312" s="341"/>
      <c r="V312" s="341"/>
      <c r="W312" s="341"/>
      <c r="X312" s="338"/>
      <c r="Y312" s="341"/>
      <c r="Z312" s="341">
        <v>46220</v>
      </c>
      <c r="AA312" s="341"/>
      <c r="AB312" s="341"/>
      <c r="AC312" s="341"/>
      <c r="AD312" s="341"/>
      <c r="AE312" s="341"/>
      <c r="AF312" s="341"/>
      <c r="AG312" s="341"/>
      <c r="AH312" s="341"/>
      <c r="AI312" s="341"/>
      <c r="AJ312" s="341"/>
      <c r="AK312" s="342"/>
      <c r="AL312" s="343"/>
      <c r="AM312" s="341"/>
      <c r="AN312" s="344"/>
      <c r="AO312" s="344"/>
      <c r="AP312" s="344"/>
      <c r="AQ312" s="344"/>
      <c r="AR312" s="338"/>
      <c r="AS312" s="345"/>
      <c r="AT312" s="346"/>
      <c r="AU312" s="345"/>
    </row>
    <row r="313" spans="1:48" s="272" customFormat="1" ht="25.05" hidden="1" customHeight="1">
      <c r="A313" s="315">
        <v>107</v>
      </c>
      <c r="B313" s="263" t="s">
        <v>342</v>
      </c>
      <c r="C313" s="432" t="s">
        <v>343</v>
      </c>
      <c r="D313" s="369"/>
      <c r="E313" s="317"/>
      <c r="F313" s="370"/>
      <c r="G313" s="319">
        <v>24.7</v>
      </c>
      <c r="H313" s="320">
        <v>1</v>
      </c>
      <c r="I313" s="319" t="s">
        <v>226</v>
      </c>
      <c r="J313" s="263"/>
      <c r="K313" s="321"/>
      <c r="L313" s="263" t="s">
        <v>6</v>
      </c>
      <c r="M313" s="322" t="s">
        <v>63</v>
      </c>
      <c r="N313" s="323"/>
      <c r="O313" s="324">
        <v>46207</v>
      </c>
      <c r="P313" s="324">
        <v>46212</v>
      </c>
      <c r="Q313" s="324">
        <v>46212</v>
      </c>
      <c r="R313" s="324">
        <v>46212</v>
      </c>
      <c r="S313" s="324">
        <v>46212</v>
      </c>
      <c r="T313" s="324">
        <v>46218</v>
      </c>
      <c r="U313" s="324">
        <v>46223</v>
      </c>
      <c r="V313" s="324">
        <v>46226</v>
      </c>
      <c r="W313" s="324"/>
      <c r="X313" s="324">
        <v>46230</v>
      </c>
      <c r="Y313" s="324">
        <v>46230</v>
      </c>
      <c r="Z313" s="324">
        <v>46235</v>
      </c>
      <c r="AA313" s="324">
        <v>46245</v>
      </c>
      <c r="AB313" s="324">
        <v>46255</v>
      </c>
      <c r="AC313" s="324">
        <v>46262</v>
      </c>
      <c r="AD313" s="324">
        <v>46260</v>
      </c>
      <c r="AE313" s="324">
        <v>46262</v>
      </c>
      <c r="AF313" s="324">
        <v>46278</v>
      </c>
      <c r="AG313" s="324">
        <v>46283</v>
      </c>
      <c r="AH313" s="324">
        <v>46288</v>
      </c>
      <c r="AI313" s="324">
        <v>46332</v>
      </c>
      <c r="AJ313" s="324">
        <v>46348</v>
      </c>
      <c r="AK313" s="325">
        <v>8.5714285714285694</v>
      </c>
      <c r="AL313" s="326">
        <f>AK313*7</f>
        <v>59.999999999999986</v>
      </c>
      <c r="AM313" s="324">
        <f>X313+AL313</f>
        <v>46290</v>
      </c>
      <c r="AN313" s="327">
        <f>AN314</f>
        <v>46300</v>
      </c>
      <c r="AO313" s="327"/>
      <c r="AP313" s="327"/>
      <c r="AQ313" s="327"/>
      <c r="AR313" s="319">
        <f>AN314-AM313</f>
        <v>10</v>
      </c>
      <c r="AS313" s="328"/>
      <c r="AT313" s="329" t="s">
        <v>65</v>
      </c>
      <c r="AU313" s="330">
        <v>46307</v>
      </c>
      <c r="AV313" s="331">
        <v>61</v>
      </c>
    </row>
    <row r="314" spans="1:48" s="270" customFormat="1" ht="25.05" hidden="1" customHeight="1">
      <c r="A314" s="375"/>
      <c r="B314" s="263" t="s">
        <v>342</v>
      </c>
      <c r="C314" s="432" t="s">
        <v>343</v>
      </c>
      <c r="D314" s="371"/>
      <c r="E314" s="317"/>
      <c r="F314" s="371"/>
      <c r="G314" s="319">
        <f>G313</f>
        <v>24.7</v>
      </c>
      <c r="H314" s="320" t="s">
        <v>234</v>
      </c>
      <c r="I314" s="319" t="s">
        <v>226</v>
      </c>
      <c r="J314" s="263" t="s">
        <v>67</v>
      </c>
      <c r="K314" s="263">
        <v>2</v>
      </c>
      <c r="L314" s="263" t="s">
        <v>6</v>
      </c>
      <c r="M314" s="322" t="s">
        <v>68</v>
      </c>
      <c r="N314" s="324">
        <v>46137</v>
      </c>
      <c r="O314" s="324"/>
      <c r="P314" s="324"/>
      <c r="Q314" s="324"/>
      <c r="R314" s="324"/>
      <c r="S314" s="324"/>
      <c r="T314" s="324"/>
      <c r="U314" s="324">
        <v>46230</v>
      </c>
      <c r="V314" s="324">
        <f>U314+3</f>
        <v>46233</v>
      </c>
      <c r="W314" s="324"/>
      <c r="X314" s="324">
        <f>V314+2</f>
        <v>46235</v>
      </c>
      <c r="Y314" s="324">
        <f>X314+2</f>
        <v>46237</v>
      </c>
      <c r="Z314" s="324">
        <f>Y314+5</f>
        <v>46242</v>
      </c>
      <c r="AA314" s="324">
        <f>Z314+10</f>
        <v>46252</v>
      </c>
      <c r="AB314" s="324">
        <f>AA314+10</f>
        <v>46262</v>
      </c>
      <c r="AC314" s="324">
        <f>AB314+7</f>
        <v>46269</v>
      </c>
      <c r="AD314" s="324">
        <f>AB314+5</f>
        <v>46267</v>
      </c>
      <c r="AE314" s="324">
        <f>AD314+2</f>
        <v>46269</v>
      </c>
      <c r="AF314" s="324">
        <f>AG314-7</f>
        <v>46285</v>
      </c>
      <c r="AG314" s="324">
        <f>AH314-3</f>
        <v>46292</v>
      </c>
      <c r="AH314" s="324">
        <f>AM314</f>
        <v>46295</v>
      </c>
      <c r="AI314" s="324">
        <f>AM314+14</f>
        <v>46309</v>
      </c>
      <c r="AJ314" s="324">
        <f>AM314+30</f>
        <v>46325</v>
      </c>
      <c r="AK314" s="325">
        <v>8.5714285714285694</v>
      </c>
      <c r="AL314" s="326">
        <f>AK314*7</f>
        <v>59.999999999999986</v>
      </c>
      <c r="AM314" s="324">
        <f>IF(X314&lt;&gt;"",X314+AL314,X315+AL314)</f>
        <v>46295</v>
      </c>
      <c r="AN314" s="327">
        <f>AU313-7</f>
        <v>46300</v>
      </c>
      <c r="AO314" s="327">
        <f>AP314-3</f>
        <v>46292</v>
      </c>
      <c r="AP314" s="327">
        <v>46295</v>
      </c>
      <c r="AQ314" s="327" t="s">
        <v>231</v>
      </c>
      <c r="AR314" s="319">
        <f>AN314-AM314</f>
        <v>5</v>
      </c>
      <c r="AS314" s="328"/>
      <c r="AT314" s="329" t="s">
        <v>69</v>
      </c>
      <c r="AU314" s="330">
        <v>46318</v>
      </c>
      <c r="AV314" s="271"/>
    </row>
    <row r="315" spans="1:48" s="270" customFormat="1" ht="25.05" hidden="1" customHeight="1">
      <c r="A315" s="376"/>
      <c r="B315" s="334" t="s">
        <v>342</v>
      </c>
      <c r="C315" s="436" t="s">
        <v>343</v>
      </c>
      <c r="D315" s="372"/>
      <c r="E315" s="336"/>
      <c r="F315" s="372"/>
      <c r="G315" s="338">
        <f>G313</f>
        <v>24.7</v>
      </c>
      <c r="H315" s="339"/>
      <c r="I315" s="338" t="s">
        <v>226</v>
      </c>
      <c r="J315" s="334" t="s">
        <v>67</v>
      </c>
      <c r="K315" s="263">
        <v>2</v>
      </c>
      <c r="L315" s="334" t="s">
        <v>6</v>
      </c>
      <c r="M315" s="340" t="s">
        <v>70</v>
      </c>
      <c r="N315" s="341">
        <v>46137</v>
      </c>
      <c r="O315" s="341">
        <v>46210</v>
      </c>
      <c r="P315" s="341">
        <v>46222</v>
      </c>
      <c r="Q315" s="341">
        <v>46222</v>
      </c>
      <c r="R315" s="341">
        <f>Q315</f>
        <v>46222</v>
      </c>
      <c r="S315" s="341">
        <f>Q315</f>
        <v>46222</v>
      </c>
      <c r="T315" s="341">
        <f>S315+2</f>
        <v>46224</v>
      </c>
      <c r="U315" s="341"/>
      <c r="V315" s="341"/>
      <c r="W315" s="341"/>
      <c r="X315" s="338"/>
      <c r="Y315" s="341"/>
      <c r="Z315" s="341">
        <v>46202</v>
      </c>
      <c r="AA315" s="341"/>
      <c r="AB315" s="341"/>
      <c r="AC315" s="341"/>
      <c r="AD315" s="341"/>
      <c r="AE315" s="341"/>
      <c r="AF315" s="341"/>
      <c r="AG315" s="341"/>
      <c r="AH315" s="341"/>
      <c r="AI315" s="341"/>
      <c r="AJ315" s="341"/>
      <c r="AK315" s="342"/>
      <c r="AL315" s="343"/>
      <c r="AM315" s="341"/>
      <c r="AN315" s="344"/>
      <c r="AO315" s="344"/>
      <c r="AP315" s="344"/>
      <c r="AQ315" s="344"/>
      <c r="AR315" s="338"/>
      <c r="AS315" s="345"/>
      <c r="AT315" s="346"/>
      <c r="AU315" s="345"/>
    </row>
    <row r="316" spans="1:48">
      <c r="AV316" s="271"/>
    </row>
    <row r="317" spans="1:48">
      <c r="AV317" s="271"/>
    </row>
    <row r="318" spans="1:48">
      <c r="AK318" s="276">
        <f>60/7</f>
        <v>8.5714285714285712</v>
      </c>
      <c r="AV318" s="271"/>
    </row>
    <row r="319" spans="1:48">
      <c r="AV319" s="271"/>
    </row>
    <row r="320" spans="1:48">
      <c r="AV320" s="271"/>
    </row>
    <row r="321" spans="48:48">
      <c r="AV321" s="271"/>
    </row>
    <row r="322" spans="48:48">
      <c r="AV322" s="271"/>
    </row>
    <row r="323" spans="48:48">
      <c r="AV323" s="271"/>
    </row>
    <row r="324" spans="48:48">
      <c r="AV324" s="271"/>
    </row>
    <row r="325" spans="48:48">
      <c r="AV325" s="271"/>
    </row>
  </sheetData>
  <autoFilter ref="A18:AV315" xr:uid="{00000000-0009-0000-0000-000000000000}">
    <filterColumn colId="8">
      <filters>
        <filter val="Piping"/>
      </filters>
    </filterColumn>
  </autoFilter>
  <mergeCells count="1">
    <mergeCell ref="AO12:AQ15"/>
  </mergeCells>
  <conditionalFormatting sqref="O19:AJ124 O127:AJ315">
    <cfRule type="expression" dxfId="103" priority="1" stopIfTrue="1">
      <formula>AND(MOD(ROW()-19,3)=0,O19&lt;&gt;"",O19&gt;TODAY(),O19&lt;=TODAY()+7,O21="")</formula>
    </cfRule>
    <cfRule type="expression" dxfId="102" priority="2" stopIfTrue="1">
      <formula>AND(MOD(ROW()-19,3)=0,O19&lt;&gt;"",O19&lt;=TODAY(),O21="")</formula>
    </cfRule>
  </conditionalFormatting>
  <conditionalFormatting sqref="O125:AJ126">
    <cfRule type="expression" dxfId="101" priority="84" stopIfTrue="1">
      <formula>AND(MOD(ROW()-19,3)=0,O125&lt;&gt;"",O125&gt;TODAY(),O125&lt;=TODAY()+7,#REF!="")</formula>
    </cfRule>
    <cfRule type="expression" dxfId="100" priority="85" stopIfTrue="1">
      <formula>AND(MOD(ROW()-19,3)=0,O125&lt;&gt;"",O125&lt;=TODAY(),#REF!="")</formula>
    </cfRule>
  </conditionalFormatting>
  <dataValidations count="1">
    <dataValidation type="list" allowBlank="1" showInputMessage="1" showErrorMessage="1" sqref="E18:G18 N18:AU18" xr:uid="{00000000-0002-0000-0000-000000000000}">
      <formula1>"Thai,China"</formula1>
    </dataValidation>
  </dataValidations>
  <pageMargins left="0.70069444444444495" right="0.70069444444444495" top="0.75138888888888899" bottom="0.75138888888888899" header="0.29861111111111099" footer="0.29861111111111099"/>
  <pageSetup paperSize="8" scale="25" fitToHeight="0" orientation="portrait" horizontalDpi="1200" verticalDpi="1200" r:id="rId1"/>
  <colBreaks count="1" manualBreakCount="1">
    <brk id="21" max="323" man="1"/>
  </colBreaks>
  <ignoredErrors>
    <ignoredError sqref="V311"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22"/>
  <sheetViews>
    <sheetView workbookViewId="0">
      <selection activeCell="E13" sqref="E13"/>
    </sheetView>
  </sheetViews>
  <sheetFormatPr defaultColWidth="9" defaultRowHeight="14.25"/>
  <cols>
    <col min="2" max="2" width="17.06640625" customWidth="1"/>
    <col min="3" max="3" width="47.19921875" customWidth="1"/>
    <col min="4" max="8" width="17.06640625" customWidth="1"/>
  </cols>
  <sheetData>
    <row r="1" spans="2:8" ht="27.75">
      <c r="B1" s="261" t="s">
        <v>13</v>
      </c>
      <c r="C1" s="262" t="s">
        <v>344</v>
      </c>
      <c r="D1" s="262" t="s">
        <v>34</v>
      </c>
      <c r="E1" s="262" t="s">
        <v>345</v>
      </c>
      <c r="F1" s="262" t="s">
        <v>47</v>
      </c>
      <c r="G1" s="262" t="s">
        <v>49</v>
      </c>
      <c r="H1" s="262" t="s">
        <v>53</v>
      </c>
    </row>
    <row r="2" spans="2:8">
      <c r="B2" s="263" t="s">
        <v>60</v>
      </c>
      <c r="C2" s="264" t="s">
        <v>61</v>
      </c>
      <c r="D2" s="265">
        <v>46211</v>
      </c>
      <c r="E2" s="265">
        <v>46540</v>
      </c>
      <c r="F2" s="266">
        <v>329</v>
      </c>
      <c r="G2" s="265">
        <v>46540</v>
      </c>
      <c r="H2" s="267">
        <v>0</v>
      </c>
    </row>
    <row r="3" spans="2:8">
      <c r="B3" s="263" t="s">
        <v>77</v>
      </c>
      <c r="C3" s="264" t="s">
        <v>78</v>
      </c>
      <c r="D3" s="265">
        <v>46253</v>
      </c>
      <c r="E3" s="265">
        <v>46433</v>
      </c>
      <c r="F3" s="266">
        <v>180</v>
      </c>
      <c r="G3" s="265">
        <v>46444</v>
      </c>
      <c r="H3" s="267">
        <v>11</v>
      </c>
    </row>
    <row r="4" spans="2:8">
      <c r="B4" s="263" t="s">
        <v>81</v>
      </c>
      <c r="C4" s="264" t="s">
        <v>82</v>
      </c>
      <c r="D4" s="265">
        <v>46230</v>
      </c>
      <c r="E4" s="265">
        <v>46440</v>
      </c>
      <c r="F4" s="266">
        <v>210</v>
      </c>
      <c r="G4" s="265">
        <v>46448</v>
      </c>
      <c r="H4" s="267">
        <v>8</v>
      </c>
    </row>
    <row r="5" spans="2:8">
      <c r="B5" s="263" t="s">
        <v>88</v>
      </c>
      <c r="C5" s="264" t="s">
        <v>89</v>
      </c>
      <c r="D5" s="265">
        <v>46227</v>
      </c>
      <c r="E5" s="265">
        <v>46451</v>
      </c>
      <c r="F5" s="266">
        <v>224</v>
      </c>
      <c r="G5" s="265">
        <v>46451</v>
      </c>
      <c r="H5" s="267">
        <v>0</v>
      </c>
    </row>
    <row r="6" spans="2:8">
      <c r="B6" s="263" t="s">
        <v>102</v>
      </c>
      <c r="C6" s="264" t="s">
        <v>103</v>
      </c>
      <c r="D6" s="265">
        <v>46231</v>
      </c>
      <c r="E6" s="265">
        <v>46413</v>
      </c>
      <c r="F6" s="266">
        <v>182</v>
      </c>
      <c r="G6" s="265">
        <v>46430</v>
      </c>
      <c r="H6" s="267">
        <v>17</v>
      </c>
    </row>
    <row r="7" spans="2:8">
      <c r="B7" s="263" t="s">
        <v>106</v>
      </c>
      <c r="C7" s="264" t="s">
        <v>107</v>
      </c>
      <c r="D7" s="265">
        <v>46254</v>
      </c>
      <c r="E7" s="265">
        <v>46422</v>
      </c>
      <c r="F7" s="266">
        <v>168</v>
      </c>
      <c r="G7" s="265">
        <v>46470</v>
      </c>
      <c r="H7" s="267">
        <v>48</v>
      </c>
    </row>
    <row r="8" spans="2:8" ht="25.5">
      <c r="B8" s="263" t="s">
        <v>110</v>
      </c>
      <c r="C8" s="264" t="s">
        <v>111</v>
      </c>
      <c r="D8" s="265">
        <v>46231</v>
      </c>
      <c r="E8" s="265">
        <v>46455</v>
      </c>
      <c r="F8" s="266">
        <v>224</v>
      </c>
      <c r="G8" s="265">
        <v>46477</v>
      </c>
      <c r="H8" s="267">
        <v>22</v>
      </c>
    </row>
    <row r="9" spans="2:8">
      <c r="B9" s="263" t="s">
        <v>119</v>
      </c>
      <c r="C9" s="264" t="s">
        <v>120</v>
      </c>
      <c r="D9" s="265">
        <v>46226</v>
      </c>
      <c r="E9" s="265">
        <v>46478</v>
      </c>
      <c r="F9" s="266">
        <v>252</v>
      </c>
      <c r="G9" s="265">
        <v>46490</v>
      </c>
      <c r="H9" s="267">
        <v>12</v>
      </c>
    </row>
    <row r="10" spans="2:8">
      <c r="B10" s="263" t="s">
        <v>124</v>
      </c>
      <c r="C10" s="264" t="s">
        <v>125</v>
      </c>
      <c r="D10" s="265">
        <v>46226</v>
      </c>
      <c r="E10" s="265">
        <v>46485</v>
      </c>
      <c r="F10" s="266">
        <v>259</v>
      </c>
      <c r="G10" s="265">
        <v>46490</v>
      </c>
      <c r="H10" s="267">
        <v>5</v>
      </c>
    </row>
    <row r="11" spans="2:8">
      <c r="B11" s="263" t="s">
        <v>127</v>
      </c>
      <c r="C11" s="264" t="s">
        <v>128</v>
      </c>
      <c r="D11" s="265">
        <v>46247</v>
      </c>
      <c r="E11" s="265">
        <v>46499</v>
      </c>
      <c r="F11" s="266">
        <v>252</v>
      </c>
      <c r="G11" s="265">
        <v>46504</v>
      </c>
      <c r="H11" s="267">
        <v>5</v>
      </c>
    </row>
    <row r="12" spans="2:8">
      <c r="B12" s="263" t="s">
        <v>140</v>
      </c>
      <c r="C12" s="264" t="s">
        <v>141</v>
      </c>
      <c r="D12" s="265">
        <v>46254</v>
      </c>
      <c r="E12" s="265">
        <v>46534</v>
      </c>
      <c r="F12" s="266">
        <v>280</v>
      </c>
      <c r="G12" s="265">
        <v>46550</v>
      </c>
      <c r="H12" s="267">
        <v>16</v>
      </c>
    </row>
    <row r="13" spans="2:8">
      <c r="B13" s="263" t="s">
        <v>143</v>
      </c>
      <c r="C13" s="264" t="s">
        <v>144</v>
      </c>
      <c r="D13" s="265">
        <v>46267</v>
      </c>
      <c r="E13" s="265">
        <v>46519</v>
      </c>
      <c r="F13" s="266">
        <v>252</v>
      </c>
      <c r="G13" s="265">
        <v>46530</v>
      </c>
      <c r="H13" s="267">
        <v>11</v>
      </c>
    </row>
    <row r="14" spans="2:8">
      <c r="B14" s="263" t="s">
        <v>146</v>
      </c>
      <c r="C14" s="264" t="s">
        <v>147</v>
      </c>
      <c r="D14" s="265">
        <v>46241</v>
      </c>
      <c r="E14" s="265">
        <v>46521</v>
      </c>
      <c r="F14" s="266">
        <v>280</v>
      </c>
      <c r="G14" s="265">
        <v>46530</v>
      </c>
      <c r="H14" s="267">
        <v>9</v>
      </c>
    </row>
    <row r="15" spans="2:8">
      <c r="B15" s="263" t="s">
        <v>154</v>
      </c>
      <c r="C15" s="264" t="s">
        <v>155</v>
      </c>
      <c r="D15" s="265">
        <v>46218</v>
      </c>
      <c r="E15" s="265">
        <v>46470</v>
      </c>
      <c r="F15" s="266">
        <v>252</v>
      </c>
      <c r="G15" s="265">
        <v>46478</v>
      </c>
      <c r="H15" s="267">
        <v>8</v>
      </c>
    </row>
    <row r="16" spans="2:8">
      <c r="B16" s="263" t="s">
        <v>224</v>
      </c>
      <c r="C16" s="264" t="s">
        <v>225</v>
      </c>
      <c r="D16" s="265">
        <v>46183</v>
      </c>
      <c r="E16" s="265">
        <v>46243</v>
      </c>
      <c r="F16" s="266">
        <v>60</v>
      </c>
      <c r="G16" s="265">
        <v>46251</v>
      </c>
      <c r="H16" s="267">
        <v>8</v>
      </c>
    </row>
    <row r="17" spans="2:8">
      <c r="B17" s="263" t="s">
        <v>229</v>
      </c>
      <c r="C17" s="264" t="s">
        <v>230</v>
      </c>
      <c r="D17" s="265">
        <v>46209</v>
      </c>
      <c r="E17" s="265">
        <v>46297</v>
      </c>
      <c r="F17" s="266">
        <v>90.000000000000298</v>
      </c>
      <c r="G17" s="265">
        <v>46299</v>
      </c>
      <c r="H17" s="267">
        <v>0</v>
      </c>
    </row>
    <row r="18" spans="2:8">
      <c r="B18" s="263" t="s">
        <v>242</v>
      </c>
      <c r="C18" s="264" t="s">
        <v>243</v>
      </c>
      <c r="D18" s="265">
        <v>46233</v>
      </c>
      <c r="E18" s="265">
        <v>46293</v>
      </c>
      <c r="F18" s="266">
        <v>60</v>
      </c>
      <c r="G18" s="265">
        <v>46314</v>
      </c>
      <c r="H18" s="267">
        <v>21</v>
      </c>
    </row>
    <row r="19" spans="2:8">
      <c r="B19" s="263" t="s">
        <v>249</v>
      </c>
      <c r="C19" s="264" t="s">
        <v>250</v>
      </c>
      <c r="D19" s="265">
        <v>46335</v>
      </c>
      <c r="E19" s="265">
        <v>46393</v>
      </c>
      <c r="F19" s="266">
        <v>60</v>
      </c>
      <c r="G19" s="265">
        <v>46457</v>
      </c>
      <c r="H19" s="267">
        <v>62</v>
      </c>
    </row>
    <row r="20" spans="2:8">
      <c r="B20" s="263" t="s">
        <v>337</v>
      </c>
      <c r="C20" s="264" t="s">
        <v>338</v>
      </c>
      <c r="D20" s="265">
        <v>46230</v>
      </c>
      <c r="E20" s="265">
        <v>46319</v>
      </c>
      <c r="F20" s="266">
        <v>90.000000000000298</v>
      </c>
      <c r="G20" s="265">
        <v>46327</v>
      </c>
      <c r="H20" s="267">
        <v>7</v>
      </c>
    </row>
    <row r="21" spans="2:8">
      <c r="B21" s="263" t="s">
        <v>267</v>
      </c>
      <c r="C21" s="264" t="s">
        <v>268</v>
      </c>
      <c r="D21" s="265">
        <v>46265</v>
      </c>
      <c r="E21" s="265">
        <v>46355</v>
      </c>
      <c r="F21" s="266">
        <v>90.000000000000298</v>
      </c>
      <c r="G21" s="265">
        <v>46360</v>
      </c>
      <c r="H21" s="267">
        <v>5</v>
      </c>
    </row>
    <row r="22" spans="2:8">
      <c r="B22" s="263" t="s">
        <v>269</v>
      </c>
      <c r="C22" s="264" t="s">
        <v>270</v>
      </c>
      <c r="D22" s="265">
        <v>46258</v>
      </c>
      <c r="E22" s="265">
        <v>46426</v>
      </c>
      <c r="F22" s="266">
        <v>168</v>
      </c>
      <c r="G22" s="265">
        <v>46429</v>
      </c>
      <c r="H22" s="267">
        <v>3</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203"/>
  <sheetViews>
    <sheetView topLeftCell="A232" workbookViewId="0">
      <selection activeCell="A250" sqref="A250:A252"/>
    </sheetView>
  </sheetViews>
  <sheetFormatPr defaultColWidth="9" defaultRowHeight="14.25"/>
  <cols>
    <col min="1" max="1" width="18.265625" customWidth="1"/>
    <col min="2" max="2" width="69" customWidth="1"/>
    <col min="3" max="5" width="16.73046875" customWidth="1"/>
    <col min="6" max="6" width="12.3984375" customWidth="1"/>
    <col min="7" max="7" width="20.1328125" customWidth="1"/>
    <col min="8" max="8" width="40.86328125" customWidth="1"/>
  </cols>
  <sheetData>
    <row r="1" spans="1:7">
      <c r="A1" t="s">
        <v>346</v>
      </c>
      <c r="B1" t="s">
        <v>347</v>
      </c>
      <c r="C1" t="s">
        <v>348</v>
      </c>
      <c r="D1" t="s">
        <v>349</v>
      </c>
      <c r="E1" t="s">
        <v>350</v>
      </c>
      <c r="F1" t="s">
        <v>54</v>
      </c>
      <c r="G1" t="s">
        <v>351</v>
      </c>
    </row>
    <row r="2" spans="1:7">
      <c r="A2" t="s">
        <v>352</v>
      </c>
      <c r="C2">
        <v>211</v>
      </c>
      <c r="D2" s="260">
        <v>46085</v>
      </c>
      <c r="E2" s="260">
        <v>46405</v>
      </c>
      <c r="F2">
        <v>0</v>
      </c>
      <c r="G2" t="s">
        <v>353</v>
      </c>
    </row>
    <row r="3" spans="1:7">
      <c r="A3" t="s">
        <v>354</v>
      </c>
      <c r="C3">
        <v>211</v>
      </c>
      <c r="D3" s="260">
        <v>46085</v>
      </c>
      <c r="E3" s="260">
        <v>46405</v>
      </c>
      <c r="F3">
        <v>0</v>
      </c>
      <c r="G3" t="s">
        <v>353</v>
      </c>
    </row>
    <row r="4" spans="1:7">
      <c r="A4" t="s">
        <v>355</v>
      </c>
      <c r="B4" t="s">
        <v>356</v>
      </c>
      <c r="C4">
        <v>0</v>
      </c>
      <c r="D4" s="260">
        <v>46085</v>
      </c>
      <c r="F4">
        <v>-47</v>
      </c>
      <c r="G4" t="s">
        <v>353</v>
      </c>
    </row>
    <row r="5" spans="1:7">
      <c r="A5" t="s">
        <v>357</v>
      </c>
      <c r="B5" t="s">
        <v>358</v>
      </c>
      <c r="C5">
        <v>0</v>
      </c>
      <c r="E5" t="s">
        <v>359</v>
      </c>
      <c r="F5">
        <v>-7</v>
      </c>
      <c r="G5" t="s">
        <v>353</v>
      </c>
    </row>
    <row r="6" spans="1:7">
      <c r="A6" t="s">
        <v>360</v>
      </c>
      <c r="B6" t="s">
        <v>361</v>
      </c>
      <c r="C6">
        <v>2</v>
      </c>
      <c r="D6" s="260">
        <v>46155</v>
      </c>
      <c r="E6" s="260">
        <v>46156</v>
      </c>
      <c r="F6">
        <v>10</v>
      </c>
      <c r="G6" t="s">
        <v>353</v>
      </c>
    </row>
    <row r="7" spans="1:7">
      <c r="A7" t="s">
        <v>362</v>
      </c>
      <c r="B7" t="s">
        <v>363</v>
      </c>
      <c r="C7">
        <v>0</v>
      </c>
      <c r="E7" s="260">
        <v>46170</v>
      </c>
      <c r="F7">
        <v>22</v>
      </c>
      <c r="G7" t="s">
        <v>353</v>
      </c>
    </row>
    <row r="8" spans="1:7">
      <c r="A8" t="s">
        <v>364</v>
      </c>
      <c r="B8" t="s">
        <v>365</v>
      </c>
      <c r="C8">
        <v>2</v>
      </c>
      <c r="D8" s="260">
        <v>46162</v>
      </c>
      <c r="E8" s="260">
        <v>46163</v>
      </c>
      <c r="F8">
        <v>105</v>
      </c>
      <c r="G8" t="s">
        <v>353</v>
      </c>
    </row>
    <row r="9" spans="1:7">
      <c r="A9" t="s">
        <v>366</v>
      </c>
      <c r="B9" t="s">
        <v>367</v>
      </c>
      <c r="C9">
        <v>5</v>
      </c>
      <c r="D9" s="260">
        <v>46178</v>
      </c>
      <c r="E9" s="260">
        <v>46184</v>
      </c>
      <c r="F9">
        <v>22</v>
      </c>
      <c r="G9" t="s">
        <v>353</v>
      </c>
    </row>
    <row r="10" spans="1:7">
      <c r="A10" t="s">
        <v>368</v>
      </c>
      <c r="B10" t="s">
        <v>369</v>
      </c>
      <c r="C10">
        <v>2</v>
      </c>
      <c r="D10" s="260">
        <v>46192</v>
      </c>
      <c r="E10" s="260">
        <v>46195</v>
      </c>
      <c r="F10">
        <v>75</v>
      </c>
      <c r="G10" t="s">
        <v>353</v>
      </c>
    </row>
    <row r="11" spans="1:7">
      <c r="A11" t="s">
        <v>370</v>
      </c>
      <c r="B11" t="s">
        <v>371</v>
      </c>
      <c r="C11">
        <v>0</v>
      </c>
      <c r="E11" t="s">
        <v>372</v>
      </c>
      <c r="F11">
        <v>0</v>
      </c>
      <c r="G11" t="s">
        <v>353</v>
      </c>
    </row>
    <row r="12" spans="1:7">
      <c r="A12" t="s">
        <v>373</v>
      </c>
      <c r="B12" t="s">
        <v>374</v>
      </c>
      <c r="C12">
        <v>5</v>
      </c>
      <c r="D12" s="260">
        <v>46258</v>
      </c>
      <c r="E12" s="260">
        <v>46262</v>
      </c>
      <c r="F12">
        <v>0</v>
      </c>
      <c r="G12" t="s">
        <v>353</v>
      </c>
    </row>
    <row r="13" spans="1:7">
      <c r="A13" t="s">
        <v>375</v>
      </c>
      <c r="B13" t="s">
        <v>376</v>
      </c>
      <c r="C13">
        <v>1</v>
      </c>
      <c r="D13" s="260">
        <v>46321</v>
      </c>
      <c r="E13" s="260">
        <v>46321</v>
      </c>
      <c r="F13">
        <v>11</v>
      </c>
      <c r="G13" t="s">
        <v>353</v>
      </c>
    </row>
    <row r="14" spans="1:7">
      <c r="A14" t="s">
        <v>377</v>
      </c>
      <c r="B14" t="s">
        <v>378</v>
      </c>
      <c r="C14">
        <v>0</v>
      </c>
      <c r="E14" s="260">
        <v>46392</v>
      </c>
      <c r="F14">
        <v>0</v>
      </c>
      <c r="G14" t="s">
        <v>353</v>
      </c>
    </row>
    <row r="15" spans="1:7">
      <c r="A15" t="s">
        <v>379</v>
      </c>
      <c r="B15" t="s">
        <v>380</v>
      </c>
      <c r="C15">
        <v>0</v>
      </c>
      <c r="E15" s="260">
        <v>46405</v>
      </c>
      <c r="F15">
        <v>0</v>
      </c>
      <c r="G15" t="s">
        <v>353</v>
      </c>
    </row>
    <row r="16" spans="1:7">
      <c r="A16" t="s">
        <v>381</v>
      </c>
      <c r="C16">
        <v>35</v>
      </c>
      <c r="D16" s="260">
        <v>46086</v>
      </c>
      <c r="E16" s="260">
        <v>46140</v>
      </c>
      <c r="F16">
        <v>166</v>
      </c>
      <c r="G16" t="s">
        <v>353</v>
      </c>
    </row>
    <row r="17" spans="1:7">
      <c r="A17" t="s">
        <v>382</v>
      </c>
      <c r="B17" t="s">
        <v>383</v>
      </c>
      <c r="C17">
        <v>10</v>
      </c>
      <c r="D17" s="260">
        <v>46086</v>
      </c>
      <c r="E17" s="260">
        <v>46099</v>
      </c>
      <c r="F17">
        <v>166</v>
      </c>
      <c r="G17" t="s">
        <v>353</v>
      </c>
    </row>
    <row r="18" spans="1:7">
      <c r="A18" t="s">
        <v>384</v>
      </c>
      <c r="B18" t="s">
        <v>385</v>
      </c>
      <c r="C18">
        <v>5</v>
      </c>
      <c r="D18" s="260">
        <v>46114</v>
      </c>
      <c r="E18" s="260">
        <v>46121</v>
      </c>
      <c r="F18">
        <v>171</v>
      </c>
      <c r="G18" t="s">
        <v>353</v>
      </c>
    </row>
    <row r="19" spans="1:7">
      <c r="A19" t="s">
        <v>386</v>
      </c>
      <c r="B19" t="s">
        <v>387</v>
      </c>
      <c r="C19">
        <v>10</v>
      </c>
      <c r="D19" s="260">
        <v>46100</v>
      </c>
      <c r="E19" s="260">
        <v>46113</v>
      </c>
      <c r="F19">
        <v>166</v>
      </c>
      <c r="G19" t="s">
        <v>353</v>
      </c>
    </row>
    <row r="20" spans="1:7">
      <c r="A20" t="s">
        <v>388</v>
      </c>
      <c r="B20" t="s">
        <v>389</v>
      </c>
      <c r="C20">
        <v>5</v>
      </c>
      <c r="D20" s="260">
        <v>46134</v>
      </c>
      <c r="E20" s="260">
        <v>46140</v>
      </c>
      <c r="F20">
        <v>166</v>
      </c>
      <c r="G20" t="s">
        <v>353</v>
      </c>
    </row>
    <row r="21" spans="1:7">
      <c r="A21" t="s">
        <v>390</v>
      </c>
      <c r="C21">
        <v>80</v>
      </c>
      <c r="D21" s="260">
        <v>46106</v>
      </c>
      <c r="E21" s="260">
        <v>46226</v>
      </c>
      <c r="F21">
        <v>107</v>
      </c>
      <c r="G21" t="s">
        <v>353</v>
      </c>
    </row>
    <row r="22" spans="1:7">
      <c r="A22" t="s">
        <v>391</v>
      </c>
      <c r="B22" t="s">
        <v>392</v>
      </c>
      <c r="C22">
        <v>10</v>
      </c>
      <c r="D22" s="260">
        <v>46113</v>
      </c>
      <c r="E22" s="260">
        <v>46132</v>
      </c>
      <c r="F22">
        <v>33</v>
      </c>
      <c r="G22" t="s">
        <v>353</v>
      </c>
    </row>
    <row r="23" spans="1:7">
      <c r="A23" t="s">
        <v>393</v>
      </c>
      <c r="B23" t="s">
        <v>394</v>
      </c>
      <c r="C23">
        <v>5</v>
      </c>
      <c r="D23" s="260">
        <v>46148</v>
      </c>
      <c r="E23" s="260">
        <v>46154</v>
      </c>
      <c r="F23">
        <v>33</v>
      </c>
      <c r="G23" t="s">
        <v>353</v>
      </c>
    </row>
    <row r="24" spans="1:7">
      <c r="A24" t="s">
        <v>395</v>
      </c>
      <c r="B24" t="s">
        <v>396</v>
      </c>
      <c r="C24">
        <v>5</v>
      </c>
      <c r="D24" s="260">
        <v>46169</v>
      </c>
      <c r="E24" s="260">
        <v>46177</v>
      </c>
      <c r="F24">
        <v>33</v>
      </c>
      <c r="G24" t="s">
        <v>353</v>
      </c>
    </row>
    <row r="25" spans="1:7">
      <c r="A25" t="s">
        <v>397</v>
      </c>
      <c r="B25" t="s">
        <v>398</v>
      </c>
      <c r="C25">
        <v>5</v>
      </c>
      <c r="D25" s="260">
        <v>46185</v>
      </c>
      <c r="E25" s="260">
        <v>46191</v>
      </c>
      <c r="F25">
        <v>117</v>
      </c>
      <c r="G25" t="s">
        <v>353</v>
      </c>
    </row>
    <row r="26" spans="1:7">
      <c r="A26" t="s">
        <v>399</v>
      </c>
      <c r="B26" t="s">
        <v>400</v>
      </c>
      <c r="C26">
        <v>5</v>
      </c>
      <c r="D26" s="260">
        <v>46206</v>
      </c>
      <c r="E26" s="260">
        <v>46212</v>
      </c>
      <c r="F26">
        <v>117</v>
      </c>
      <c r="G26" t="s">
        <v>353</v>
      </c>
    </row>
    <row r="27" spans="1:7">
      <c r="A27" t="s">
        <v>401</v>
      </c>
      <c r="B27" t="s">
        <v>402</v>
      </c>
      <c r="C27">
        <v>10</v>
      </c>
      <c r="D27" s="260">
        <v>46185</v>
      </c>
      <c r="E27" s="260">
        <v>46198</v>
      </c>
      <c r="F27">
        <v>112</v>
      </c>
      <c r="G27" t="s">
        <v>353</v>
      </c>
    </row>
    <row r="28" spans="1:7">
      <c r="A28" t="s">
        <v>403</v>
      </c>
      <c r="B28" t="s">
        <v>404</v>
      </c>
      <c r="C28">
        <v>5</v>
      </c>
      <c r="D28" s="260">
        <v>46213</v>
      </c>
      <c r="E28" s="260">
        <v>46219</v>
      </c>
      <c r="F28">
        <v>112</v>
      </c>
      <c r="G28" t="s">
        <v>353</v>
      </c>
    </row>
    <row r="29" spans="1:7">
      <c r="A29" t="s">
        <v>405</v>
      </c>
      <c r="B29" t="s">
        <v>406</v>
      </c>
      <c r="C29">
        <v>15</v>
      </c>
      <c r="D29" s="260">
        <v>46162</v>
      </c>
      <c r="E29" s="260">
        <v>46184</v>
      </c>
      <c r="F29">
        <v>109</v>
      </c>
      <c r="G29" t="s">
        <v>353</v>
      </c>
    </row>
    <row r="30" spans="1:7">
      <c r="A30" t="s">
        <v>407</v>
      </c>
      <c r="B30" t="s">
        <v>408</v>
      </c>
      <c r="C30">
        <v>5</v>
      </c>
      <c r="D30" s="260">
        <v>46199</v>
      </c>
      <c r="E30" s="260">
        <v>46205</v>
      </c>
      <c r="F30">
        <v>122</v>
      </c>
      <c r="G30" t="s">
        <v>353</v>
      </c>
    </row>
    <row r="31" spans="1:7">
      <c r="A31" t="s">
        <v>409</v>
      </c>
      <c r="B31" t="s">
        <v>410</v>
      </c>
      <c r="C31">
        <v>20</v>
      </c>
      <c r="D31" s="260">
        <v>46175</v>
      </c>
      <c r="E31" s="260">
        <v>46203</v>
      </c>
      <c r="F31">
        <v>109</v>
      </c>
      <c r="G31" t="s">
        <v>353</v>
      </c>
    </row>
    <row r="32" spans="1:7">
      <c r="A32" t="s">
        <v>411</v>
      </c>
      <c r="B32" t="s">
        <v>412</v>
      </c>
      <c r="C32">
        <v>5</v>
      </c>
      <c r="D32" s="260">
        <v>46218</v>
      </c>
      <c r="E32" s="260">
        <v>46224</v>
      </c>
      <c r="F32">
        <v>109</v>
      </c>
      <c r="G32" t="s">
        <v>353</v>
      </c>
    </row>
    <row r="33" spans="1:7">
      <c r="A33" t="s">
        <v>413</v>
      </c>
      <c r="B33" t="s">
        <v>414</v>
      </c>
      <c r="C33">
        <v>13</v>
      </c>
      <c r="D33" s="260">
        <v>46175</v>
      </c>
      <c r="E33" s="260">
        <v>46192</v>
      </c>
      <c r="F33">
        <v>116</v>
      </c>
      <c r="G33" t="s">
        <v>353</v>
      </c>
    </row>
    <row r="34" spans="1:7">
      <c r="A34" t="s">
        <v>415</v>
      </c>
      <c r="B34" t="s">
        <v>416</v>
      </c>
      <c r="C34">
        <v>5</v>
      </c>
      <c r="D34" s="260">
        <v>46209</v>
      </c>
      <c r="E34" s="260">
        <v>46213</v>
      </c>
      <c r="F34">
        <v>116</v>
      </c>
      <c r="G34" t="s">
        <v>353</v>
      </c>
    </row>
    <row r="35" spans="1:7">
      <c r="A35" t="s">
        <v>417</v>
      </c>
      <c r="B35" t="s">
        <v>418</v>
      </c>
      <c r="C35">
        <v>15</v>
      </c>
      <c r="D35" s="260">
        <v>46185</v>
      </c>
      <c r="E35" s="260">
        <v>46205</v>
      </c>
      <c r="F35">
        <v>107</v>
      </c>
      <c r="G35" t="s">
        <v>353</v>
      </c>
    </row>
    <row r="36" spans="1:7">
      <c r="A36" t="s">
        <v>419</v>
      </c>
      <c r="B36" t="s">
        <v>420</v>
      </c>
      <c r="C36">
        <v>5</v>
      </c>
      <c r="D36" s="260">
        <v>46220</v>
      </c>
      <c r="E36" s="260">
        <v>46226</v>
      </c>
      <c r="F36">
        <v>107</v>
      </c>
      <c r="G36" t="s">
        <v>353</v>
      </c>
    </row>
    <row r="37" spans="1:7">
      <c r="A37" t="s">
        <v>421</v>
      </c>
      <c r="B37" t="s">
        <v>422</v>
      </c>
      <c r="C37">
        <v>15</v>
      </c>
      <c r="D37" s="260">
        <v>46185</v>
      </c>
      <c r="E37" s="260">
        <v>46205</v>
      </c>
      <c r="F37">
        <v>107</v>
      </c>
      <c r="G37" t="s">
        <v>353</v>
      </c>
    </row>
    <row r="38" spans="1:7">
      <c r="A38" t="s">
        <v>423</v>
      </c>
      <c r="B38" t="s">
        <v>424</v>
      </c>
      <c r="C38">
        <v>5</v>
      </c>
      <c r="D38" s="260">
        <v>46220</v>
      </c>
      <c r="E38" s="260">
        <v>46226</v>
      </c>
      <c r="F38">
        <v>107</v>
      </c>
      <c r="G38" t="s">
        <v>353</v>
      </c>
    </row>
    <row r="39" spans="1:7">
      <c r="A39" t="s">
        <v>425</v>
      </c>
      <c r="B39" t="s">
        <v>426</v>
      </c>
      <c r="C39">
        <v>13</v>
      </c>
      <c r="D39" s="260">
        <v>46175</v>
      </c>
      <c r="E39" s="260">
        <v>46192</v>
      </c>
      <c r="F39">
        <v>116</v>
      </c>
      <c r="G39" t="s">
        <v>353</v>
      </c>
    </row>
    <row r="40" spans="1:7">
      <c r="A40" t="s">
        <v>427</v>
      </c>
      <c r="B40" t="s">
        <v>428</v>
      </c>
      <c r="C40">
        <v>5</v>
      </c>
      <c r="D40" s="260">
        <v>46209</v>
      </c>
      <c r="E40" s="260">
        <v>46213</v>
      </c>
      <c r="F40">
        <v>116</v>
      </c>
      <c r="G40" t="s">
        <v>353</v>
      </c>
    </row>
    <row r="41" spans="1:7">
      <c r="A41" t="s">
        <v>429</v>
      </c>
      <c r="B41" t="s">
        <v>430</v>
      </c>
      <c r="C41">
        <v>15</v>
      </c>
      <c r="D41" s="260">
        <v>46140</v>
      </c>
      <c r="E41" s="260">
        <v>46161</v>
      </c>
      <c r="F41">
        <v>105</v>
      </c>
      <c r="G41" t="s">
        <v>353</v>
      </c>
    </row>
    <row r="42" spans="1:7">
      <c r="A42" t="s">
        <v>431</v>
      </c>
      <c r="B42" t="s">
        <v>432</v>
      </c>
      <c r="C42">
        <v>5</v>
      </c>
      <c r="D42" s="260">
        <v>46199</v>
      </c>
      <c r="E42" s="260">
        <v>46205</v>
      </c>
      <c r="F42">
        <v>122</v>
      </c>
      <c r="G42" t="s">
        <v>353</v>
      </c>
    </row>
    <row r="43" spans="1:7">
      <c r="A43" t="s">
        <v>433</v>
      </c>
      <c r="B43" t="s">
        <v>434</v>
      </c>
      <c r="C43">
        <v>15</v>
      </c>
      <c r="D43" s="260">
        <v>46140</v>
      </c>
      <c r="E43" s="260">
        <v>46161</v>
      </c>
      <c r="F43">
        <v>137</v>
      </c>
      <c r="G43" t="s">
        <v>353</v>
      </c>
    </row>
    <row r="44" spans="1:7">
      <c r="A44" t="s">
        <v>435</v>
      </c>
      <c r="B44" t="s">
        <v>436</v>
      </c>
      <c r="C44">
        <v>5</v>
      </c>
      <c r="D44" s="260">
        <v>46199</v>
      </c>
      <c r="E44" s="260">
        <v>46205</v>
      </c>
      <c r="F44">
        <v>122</v>
      </c>
      <c r="G44" t="s">
        <v>353</v>
      </c>
    </row>
    <row r="45" spans="1:7">
      <c r="A45" t="s">
        <v>437</v>
      </c>
      <c r="B45" t="s">
        <v>438</v>
      </c>
      <c r="C45">
        <v>10</v>
      </c>
      <c r="D45" s="260">
        <v>46185</v>
      </c>
      <c r="E45" s="260">
        <v>46198</v>
      </c>
      <c r="F45">
        <v>112</v>
      </c>
      <c r="G45" t="s">
        <v>353</v>
      </c>
    </row>
    <row r="46" spans="1:7">
      <c r="A46" t="s">
        <v>439</v>
      </c>
      <c r="B46" t="s">
        <v>440</v>
      </c>
      <c r="C46">
        <v>5</v>
      </c>
      <c r="D46" s="260">
        <v>46213</v>
      </c>
      <c r="E46" s="260">
        <v>46219</v>
      </c>
      <c r="F46">
        <v>112</v>
      </c>
      <c r="G46" t="s">
        <v>353</v>
      </c>
    </row>
    <row r="47" spans="1:7">
      <c r="A47" t="s">
        <v>441</v>
      </c>
      <c r="B47" t="s">
        <v>442</v>
      </c>
      <c r="C47">
        <v>10</v>
      </c>
      <c r="D47" s="260">
        <v>46113</v>
      </c>
      <c r="E47" s="260">
        <v>46132</v>
      </c>
      <c r="F47">
        <v>157</v>
      </c>
      <c r="G47" t="s">
        <v>353</v>
      </c>
    </row>
    <row r="48" spans="1:7">
      <c r="A48" t="s">
        <v>443</v>
      </c>
      <c r="B48" t="s">
        <v>444</v>
      </c>
      <c r="C48">
        <v>5</v>
      </c>
      <c r="D48" s="260">
        <v>46213</v>
      </c>
      <c r="E48" s="260">
        <v>46219</v>
      </c>
      <c r="F48">
        <v>112</v>
      </c>
      <c r="G48" t="s">
        <v>353</v>
      </c>
    </row>
    <row r="49" spans="1:7">
      <c r="A49" t="s">
        <v>445</v>
      </c>
      <c r="B49" t="s">
        <v>446</v>
      </c>
      <c r="C49">
        <v>10</v>
      </c>
      <c r="D49" s="260">
        <v>46113</v>
      </c>
      <c r="E49" s="260">
        <v>46132</v>
      </c>
      <c r="F49">
        <v>172</v>
      </c>
      <c r="G49" t="s">
        <v>353</v>
      </c>
    </row>
    <row r="50" spans="1:7">
      <c r="A50" t="s">
        <v>447</v>
      </c>
      <c r="B50" t="s">
        <v>448</v>
      </c>
      <c r="C50">
        <v>10</v>
      </c>
      <c r="D50" s="260">
        <v>46206</v>
      </c>
      <c r="E50" s="260">
        <v>46219</v>
      </c>
      <c r="F50">
        <v>112</v>
      </c>
      <c r="G50" t="s">
        <v>353</v>
      </c>
    </row>
    <row r="51" spans="1:7">
      <c r="A51" t="s">
        <v>449</v>
      </c>
      <c r="B51" t="s">
        <v>450</v>
      </c>
      <c r="C51">
        <v>5</v>
      </c>
      <c r="D51" s="260">
        <v>46113</v>
      </c>
      <c r="E51" s="260">
        <v>46120</v>
      </c>
      <c r="F51">
        <v>-47</v>
      </c>
      <c r="G51" t="s">
        <v>353</v>
      </c>
    </row>
    <row r="52" spans="1:7">
      <c r="A52" t="s">
        <v>451</v>
      </c>
      <c r="B52" t="s">
        <v>452</v>
      </c>
      <c r="C52">
        <v>10</v>
      </c>
      <c r="D52" s="260">
        <v>46140</v>
      </c>
      <c r="E52" s="260">
        <v>46154</v>
      </c>
      <c r="F52">
        <v>-17</v>
      </c>
      <c r="G52" t="s">
        <v>353</v>
      </c>
    </row>
    <row r="53" spans="1:7">
      <c r="A53" t="s">
        <v>453</v>
      </c>
      <c r="B53" t="s">
        <v>454</v>
      </c>
      <c r="C53">
        <v>10</v>
      </c>
      <c r="D53" s="260">
        <v>46169</v>
      </c>
      <c r="E53" s="260">
        <v>46184</v>
      </c>
      <c r="F53">
        <v>-17</v>
      </c>
      <c r="G53" t="s">
        <v>353</v>
      </c>
    </row>
    <row r="54" spans="1:7">
      <c r="A54" t="s">
        <v>455</v>
      </c>
      <c r="B54" t="s">
        <v>456</v>
      </c>
      <c r="C54">
        <v>5</v>
      </c>
      <c r="D54" s="260">
        <v>46113</v>
      </c>
      <c r="E54" s="260">
        <v>46120</v>
      </c>
      <c r="F54">
        <v>-47</v>
      </c>
      <c r="G54" t="s">
        <v>353</v>
      </c>
    </row>
    <row r="55" spans="1:7">
      <c r="A55" t="s">
        <v>457</v>
      </c>
      <c r="B55" t="s">
        <v>458</v>
      </c>
      <c r="C55">
        <v>10</v>
      </c>
      <c r="D55" s="260">
        <v>46140</v>
      </c>
      <c r="E55" s="260">
        <v>46154</v>
      </c>
      <c r="F55">
        <v>-17</v>
      </c>
      <c r="G55" t="s">
        <v>353</v>
      </c>
    </row>
    <row r="56" spans="1:7">
      <c r="A56" t="s">
        <v>459</v>
      </c>
      <c r="B56" t="s">
        <v>460</v>
      </c>
      <c r="C56">
        <v>10</v>
      </c>
      <c r="D56" s="260">
        <v>46169</v>
      </c>
      <c r="E56" s="260">
        <v>46184</v>
      </c>
      <c r="F56">
        <v>-17</v>
      </c>
      <c r="G56" t="s">
        <v>353</v>
      </c>
    </row>
    <row r="57" spans="1:7">
      <c r="A57" t="s">
        <v>461</v>
      </c>
      <c r="B57" t="s">
        <v>462</v>
      </c>
      <c r="C57">
        <v>5</v>
      </c>
      <c r="D57" s="260">
        <v>46113</v>
      </c>
      <c r="E57" s="260">
        <v>46120</v>
      </c>
      <c r="F57">
        <v>-47</v>
      </c>
      <c r="G57" t="s">
        <v>353</v>
      </c>
    </row>
    <row r="58" spans="1:7">
      <c r="A58" t="s">
        <v>463</v>
      </c>
      <c r="B58" t="s">
        <v>464</v>
      </c>
      <c r="C58">
        <v>10</v>
      </c>
      <c r="D58" s="260">
        <v>46140</v>
      </c>
      <c r="E58" s="260">
        <v>46154</v>
      </c>
      <c r="F58">
        <v>-17</v>
      </c>
      <c r="G58" t="s">
        <v>353</v>
      </c>
    </row>
    <row r="59" spans="1:7">
      <c r="A59" t="s">
        <v>465</v>
      </c>
      <c r="B59" t="s">
        <v>466</v>
      </c>
      <c r="C59">
        <v>10</v>
      </c>
      <c r="D59" s="260">
        <v>46169</v>
      </c>
      <c r="E59" s="260">
        <v>46184</v>
      </c>
      <c r="F59">
        <v>-17</v>
      </c>
      <c r="G59" t="s">
        <v>353</v>
      </c>
    </row>
    <row r="60" spans="1:7">
      <c r="A60" t="s">
        <v>467</v>
      </c>
      <c r="B60" t="s">
        <v>468</v>
      </c>
      <c r="C60">
        <v>5</v>
      </c>
      <c r="D60" s="260">
        <v>46113</v>
      </c>
      <c r="E60" s="260">
        <v>46120</v>
      </c>
      <c r="F60">
        <v>-47</v>
      </c>
      <c r="G60" t="s">
        <v>353</v>
      </c>
    </row>
    <row r="61" spans="1:7">
      <c r="A61" t="s">
        <v>469</v>
      </c>
      <c r="B61" t="s">
        <v>470</v>
      </c>
      <c r="C61">
        <v>10</v>
      </c>
      <c r="D61" s="260">
        <v>46140</v>
      </c>
      <c r="E61" s="260">
        <v>46154</v>
      </c>
      <c r="F61">
        <v>-17</v>
      </c>
      <c r="G61" t="s">
        <v>353</v>
      </c>
    </row>
    <row r="62" spans="1:7">
      <c r="A62" t="s">
        <v>471</v>
      </c>
      <c r="B62" t="s">
        <v>472</v>
      </c>
      <c r="C62">
        <v>10</v>
      </c>
      <c r="D62" s="260">
        <v>46169</v>
      </c>
      <c r="E62" s="260">
        <v>46184</v>
      </c>
      <c r="F62">
        <v>-17</v>
      </c>
      <c r="G62" t="s">
        <v>353</v>
      </c>
    </row>
    <row r="63" spans="1:7">
      <c r="A63" t="s">
        <v>473</v>
      </c>
      <c r="B63" t="s">
        <v>474</v>
      </c>
      <c r="C63">
        <v>15</v>
      </c>
      <c r="D63" s="260">
        <v>46113</v>
      </c>
      <c r="E63" s="260">
        <v>46139</v>
      </c>
      <c r="F63">
        <v>-47</v>
      </c>
      <c r="G63" t="s">
        <v>353</v>
      </c>
    </row>
    <row r="64" spans="1:7">
      <c r="A64" t="s">
        <v>475</v>
      </c>
      <c r="B64" t="s">
        <v>476</v>
      </c>
      <c r="C64">
        <v>10</v>
      </c>
      <c r="D64" s="260">
        <v>46155</v>
      </c>
      <c r="E64" s="260">
        <v>46168</v>
      </c>
      <c r="F64">
        <v>-17</v>
      </c>
      <c r="G64" t="s">
        <v>353</v>
      </c>
    </row>
    <row r="65" spans="1:7">
      <c r="A65" t="s">
        <v>477</v>
      </c>
      <c r="B65" t="s">
        <v>478</v>
      </c>
      <c r="C65">
        <v>10</v>
      </c>
      <c r="D65" s="260">
        <v>46185</v>
      </c>
      <c r="E65" s="260">
        <v>46198</v>
      </c>
      <c r="F65">
        <v>-17</v>
      </c>
      <c r="G65" t="s">
        <v>353</v>
      </c>
    </row>
    <row r="66" spans="1:7">
      <c r="A66" t="s">
        <v>479</v>
      </c>
      <c r="B66" t="s">
        <v>480</v>
      </c>
      <c r="C66">
        <v>15</v>
      </c>
      <c r="D66" s="260">
        <v>46113</v>
      </c>
      <c r="E66" s="260">
        <v>46139</v>
      </c>
      <c r="F66">
        <v>-47</v>
      </c>
      <c r="G66" t="s">
        <v>353</v>
      </c>
    </row>
    <row r="67" spans="1:7">
      <c r="A67" t="s">
        <v>481</v>
      </c>
      <c r="B67" t="s">
        <v>482</v>
      </c>
      <c r="C67">
        <v>10</v>
      </c>
      <c r="D67" s="260">
        <v>46155</v>
      </c>
      <c r="E67" s="260">
        <v>46168</v>
      </c>
      <c r="F67">
        <v>-17</v>
      </c>
      <c r="G67" t="s">
        <v>353</v>
      </c>
    </row>
    <row r="68" spans="1:7">
      <c r="A68" t="s">
        <v>483</v>
      </c>
      <c r="B68" t="s">
        <v>484</v>
      </c>
      <c r="C68">
        <v>10</v>
      </c>
      <c r="D68" s="260">
        <v>46185</v>
      </c>
      <c r="E68" s="260">
        <v>46198</v>
      </c>
      <c r="F68">
        <v>-17</v>
      </c>
      <c r="G68" t="s">
        <v>353</v>
      </c>
    </row>
    <row r="69" spans="1:7">
      <c r="A69" t="s">
        <v>485</v>
      </c>
      <c r="B69" t="s">
        <v>486</v>
      </c>
      <c r="C69">
        <v>15</v>
      </c>
      <c r="D69" s="260">
        <v>46113</v>
      </c>
      <c r="E69" s="260">
        <v>46139</v>
      </c>
      <c r="F69">
        <v>-47</v>
      </c>
      <c r="G69" t="s">
        <v>353</v>
      </c>
    </row>
    <row r="70" spans="1:7">
      <c r="A70" t="s">
        <v>487</v>
      </c>
      <c r="B70" t="s">
        <v>488</v>
      </c>
      <c r="C70">
        <v>10</v>
      </c>
      <c r="D70" s="260">
        <v>46155</v>
      </c>
      <c r="E70" s="260">
        <v>46168</v>
      </c>
      <c r="F70">
        <v>-17</v>
      </c>
      <c r="G70" t="s">
        <v>353</v>
      </c>
    </row>
    <row r="71" spans="1:7">
      <c r="A71" t="s">
        <v>489</v>
      </c>
      <c r="B71" t="s">
        <v>490</v>
      </c>
      <c r="C71">
        <v>10</v>
      </c>
      <c r="D71" s="260">
        <v>46185</v>
      </c>
      <c r="E71" s="260">
        <v>46198</v>
      </c>
      <c r="F71">
        <v>-17</v>
      </c>
      <c r="G71" t="s">
        <v>353</v>
      </c>
    </row>
    <row r="72" spans="1:7">
      <c r="A72" t="s">
        <v>491</v>
      </c>
      <c r="B72" t="s">
        <v>492</v>
      </c>
      <c r="C72">
        <v>10</v>
      </c>
      <c r="D72" s="260">
        <v>46106</v>
      </c>
      <c r="E72" s="260">
        <v>46120</v>
      </c>
      <c r="F72">
        <v>162</v>
      </c>
      <c r="G72" t="s">
        <v>353</v>
      </c>
    </row>
    <row r="73" spans="1:7">
      <c r="A73" t="s">
        <v>493</v>
      </c>
      <c r="B73" t="s">
        <v>494</v>
      </c>
      <c r="C73">
        <v>5</v>
      </c>
      <c r="D73" s="260">
        <v>46185</v>
      </c>
      <c r="E73" s="260">
        <v>46191</v>
      </c>
      <c r="F73">
        <v>132</v>
      </c>
      <c r="G73" t="s">
        <v>353</v>
      </c>
    </row>
    <row r="74" spans="1:7">
      <c r="A74" t="s">
        <v>495</v>
      </c>
      <c r="B74" t="s">
        <v>496</v>
      </c>
      <c r="C74">
        <v>10</v>
      </c>
      <c r="D74" s="260">
        <v>46106</v>
      </c>
      <c r="E74" s="260">
        <v>46120</v>
      </c>
      <c r="F74">
        <v>162</v>
      </c>
      <c r="G74" t="s">
        <v>353</v>
      </c>
    </row>
    <row r="75" spans="1:7">
      <c r="A75" t="s">
        <v>497</v>
      </c>
      <c r="B75" t="s">
        <v>498</v>
      </c>
      <c r="C75">
        <v>5</v>
      </c>
      <c r="D75" s="260">
        <v>46185</v>
      </c>
      <c r="E75" s="260">
        <v>46191</v>
      </c>
      <c r="F75">
        <v>132</v>
      </c>
      <c r="G75" t="s">
        <v>353</v>
      </c>
    </row>
    <row r="76" spans="1:7">
      <c r="A76" t="s">
        <v>499</v>
      </c>
      <c r="B76" t="s">
        <v>500</v>
      </c>
      <c r="C76">
        <v>25</v>
      </c>
      <c r="D76" s="260">
        <v>46140</v>
      </c>
      <c r="E76" s="260">
        <v>46177</v>
      </c>
      <c r="F76">
        <v>107</v>
      </c>
      <c r="G76" t="s">
        <v>353</v>
      </c>
    </row>
    <row r="77" spans="1:7">
      <c r="A77" t="s">
        <v>501</v>
      </c>
      <c r="B77" t="s">
        <v>502</v>
      </c>
      <c r="C77">
        <v>10</v>
      </c>
      <c r="D77" s="260">
        <v>46192</v>
      </c>
      <c r="E77" s="260">
        <v>46205</v>
      </c>
      <c r="F77">
        <v>107</v>
      </c>
      <c r="G77" t="s">
        <v>353</v>
      </c>
    </row>
    <row r="78" spans="1:7">
      <c r="A78" t="s">
        <v>503</v>
      </c>
      <c r="B78" t="s">
        <v>504</v>
      </c>
      <c r="C78">
        <v>5</v>
      </c>
      <c r="D78" s="260">
        <v>46220</v>
      </c>
      <c r="E78" s="260">
        <v>46226</v>
      </c>
      <c r="F78">
        <v>107</v>
      </c>
      <c r="G78" t="s">
        <v>353</v>
      </c>
    </row>
    <row r="79" spans="1:7">
      <c r="A79" t="s">
        <v>505</v>
      </c>
      <c r="B79" t="s">
        <v>506</v>
      </c>
      <c r="C79">
        <v>25</v>
      </c>
      <c r="D79" s="260">
        <v>46140</v>
      </c>
      <c r="E79" s="260">
        <v>46177</v>
      </c>
      <c r="F79">
        <v>127</v>
      </c>
      <c r="G79" t="s">
        <v>353</v>
      </c>
    </row>
    <row r="80" spans="1:7">
      <c r="A80" t="s">
        <v>507</v>
      </c>
      <c r="B80" t="s">
        <v>508</v>
      </c>
      <c r="C80">
        <v>5</v>
      </c>
      <c r="D80" s="260">
        <v>46220</v>
      </c>
      <c r="E80" s="260">
        <v>46226</v>
      </c>
      <c r="F80">
        <v>107</v>
      </c>
      <c r="G80" t="s">
        <v>353</v>
      </c>
    </row>
    <row r="81" spans="1:7">
      <c r="A81" t="s">
        <v>509</v>
      </c>
      <c r="B81" t="s">
        <v>510</v>
      </c>
      <c r="C81">
        <v>25</v>
      </c>
      <c r="D81" s="260">
        <v>46140</v>
      </c>
      <c r="E81" s="260">
        <v>46177</v>
      </c>
      <c r="F81">
        <v>107</v>
      </c>
      <c r="G81" t="s">
        <v>353</v>
      </c>
    </row>
    <row r="82" spans="1:7">
      <c r="A82" t="s">
        <v>511</v>
      </c>
      <c r="B82" t="s">
        <v>512</v>
      </c>
      <c r="C82">
        <v>10</v>
      </c>
      <c r="D82" s="260">
        <v>46192</v>
      </c>
      <c r="E82" s="260">
        <v>46205</v>
      </c>
      <c r="F82">
        <v>107</v>
      </c>
      <c r="G82" t="s">
        <v>353</v>
      </c>
    </row>
    <row r="83" spans="1:7">
      <c r="A83" t="s">
        <v>513</v>
      </c>
      <c r="B83" t="s">
        <v>514</v>
      </c>
      <c r="C83">
        <v>5</v>
      </c>
      <c r="D83" s="260">
        <v>46220</v>
      </c>
      <c r="E83" s="260">
        <v>46226</v>
      </c>
      <c r="F83">
        <v>107</v>
      </c>
      <c r="G83" t="s">
        <v>353</v>
      </c>
    </row>
    <row r="84" spans="1:7">
      <c r="A84" t="s">
        <v>515</v>
      </c>
      <c r="C84">
        <v>45</v>
      </c>
      <c r="D84" s="260">
        <v>46140</v>
      </c>
      <c r="E84" s="260">
        <v>46205</v>
      </c>
      <c r="F84">
        <v>-17</v>
      </c>
      <c r="G84" t="s">
        <v>353</v>
      </c>
    </row>
    <row r="85" spans="1:7">
      <c r="A85" t="s">
        <v>516</v>
      </c>
      <c r="B85" t="s">
        <v>517</v>
      </c>
      <c r="C85">
        <v>23</v>
      </c>
      <c r="D85" s="260">
        <v>46140</v>
      </c>
      <c r="E85" s="260">
        <v>46171</v>
      </c>
      <c r="F85">
        <v>-10</v>
      </c>
      <c r="G85" t="s">
        <v>353</v>
      </c>
    </row>
    <row r="86" spans="1:7">
      <c r="A86" t="s">
        <v>518</v>
      </c>
      <c r="B86" t="s">
        <v>519</v>
      </c>
      <c r="C86">
        <v>5</v>
      </c>
      <c r="D86" s="260">
        <v>46199</v>
      </c>
      <c r="E86" s="260">
        <v>46205</v>
      </c>
      <c r="F86">
        <v>-17</v>
      </c>
      <c r="G86" t="s">
        <v>353</v>
      </c>
    </row>
    <row r="87" spans="1:7">
      <c r="A87" t="s">
        <v>520</v>
      </c>
      <c r="B87" t="s">
        <v>521</v>
      </c>
      <c r="C87">
        <v>15</v>
      </c>
      <c r="D87" s="260">
        <v>46140</v>
      </c>
      <c r="E87" s="260">
        <v>46161</v>
      </c>
      <c r="F87">
        <v>-2</v>
      </c>
      <c r="G87" t="s">
        <v>353</v>
      </c>
    </row>
    <row r="88" spans="1:7">
      <c r="A88" t="s">
        <v>522</v>
      </c>
      <c r="B88" t="s">
        <v>523</v>
      </c>
      <c r="C88">
        <v>5</v>
      </c>
      <c r="D88" s="260">
        <v>46199</v>
      </c>
      <c r="E88" s="260">
        <v>46205</v>
      </c>
      <c r="F88">
        <v>-17</v>
      </c>
      <c r="G88" t="s">
        <v>353</v>
      </c>
    </row>
    <row r="89" spans="1:7">
      <c r="A89" t="s">
        <v>524</v>
      </c>
      <c r="B89" t="s">
        <v>525</v>
      </c>
      <c r="C89">
        <v>15</v>
      </c>
      <c r="D89" s="260">
        <v>46140</v>
      </c>
      <c r="E89" s="260">
        <v>46161</v>
      </c>
      <c r="F89">
        <v>-2</v>
      </c>
      <c r="G89" t="s">
        <v>353</v>
      </c>
    </row>
    <row r="90" spans="1:7">
      <c r="A90" t="s">
        <v>526</v>
      </c>
      <c r="B90" t="s">
        <v>527</v>
      </c>
      <c r="C90">
        <v>5</v>
      </c>
      <c r="D90" s="260">
        <v>46199</v>
      </c>
      <c r="E90" s="260">
        <v>46205</v>
      </c>
      <c r="F90">
        <v>-17</v>
      </c>
      <c r="G90" t="s">
        <v>353</v>
      </c>
    </row>
    <row r="91" spans="1:7">
      <c r="A91" t="s">
        <v>528</v>
      </c>
      <c r="B91" t="s">
        <v>529</v>
      </c>
      <c r="C91">
        <v>15</v>
      </c>
      <c r="D91" s="260">
        <v>46140</v>
      </c>
      <c r="E91" s="260">
        <v>46161</v>
      </c>
      <c r="F91">
        <v>-2</v>
      </c>
      <c r="G91" t="s">
        <v>353</v>
      </c>
    </row>
    <row r="92" spans="1:7">
      <c r="A92" t="s">
        <v>530</v>
      </c>
      <c r="B92" t="s">
        <v>531</v>
      </c>
      <c r="C92">
        <v>5</v>
      </c>
      <c r="D92" s="260">
        <v>46199</v>
      </c>
      <c r="E92" s="260">
        <v>46205</v>
      </c>
      <c r="F92">
        <v>-17</v>
      </c>
      <c r="G92" t="s">
        <v>353</v>
      </c>
    </row>
    <row r="93" spans="1:7">
      <c r="A93" t="s">
        <v>532</v>
      </c>
      <c r="B93" t="s">
        <v>533</v>
      </c>
      <c r="C93">
        <v>15</v>
      </c>
      <c r="D93" s="260">
        <v>46140</v>
      </c>
      <c r="E93" s="260">
        <v>46161</v>
      </c>
      <c r="F93">
        <v>-2</v>
      </c>
      <c r="G93" t="s">
        <v>353</v>
      </c>
    </row>
    <row r="94" spans="1:7">
      <c r="A94" t="s">
        <v>534</v>
      </c>
      <c r="B94" t="s">
        <v>535</v>
      </c>
      <c r="C94">
        <v>5</v>
      </c>
      <c r="D94" s="260">
        <v>46199</v>
      </c>
      <c r="E94" s="260">
        <v>46205</v>
      </c>
      <c r="F94">
        <v>-17</v>
      </c>
      <c r="G94" t="s">
        <v>353</v>
      </c>
    </row>
    <row r="95" spans="1:7">
      <c r="A95" t="s">
        <v>536</v>
      </c>
      <c r="B95" t="s">
        <v>537</v>
      </c>
      <c r="C95">
        <v>23</v>
      </c>
      <c r="D95" s="260">
        <v>46140</v>
      </c>
      <c r="E95" s="260">
        <v>46171</v>
      </c>
      <c r="F95">
        <v>-10</v>
      </c>
      <c r="G95" t="s">
        <v>353</v>
      </c>
    </row>
    <row r="96" spans="1:7">
      <c r="A96" t="s">
        <v>538</v>
      </c>
      <c r="B96" t="s">
        <v>539</v>
      </c>
      <c r="C96">
        <v>5</v>
      </c>
      <c r="D96" s="260">
        <v>46199</v>
      </c>
      <c r="E96" s="260">
        <v>46205</v>
      </c>
      <c r="F96">
        <v>-17</v>
      </c>
      <c r="G96" t="s">
        <v>353</v>
      </c>
    </row>
    <row r="97" spans="1:7">
      <c r="A97" t="s">
        <v>540</v>
      </c>
      <c r="B97" t="s">
        <v>541</v>
      </c>
      <c r="C97">
        <v>23</v>
      </c>
      <c r="D97" s="260">
        <v>46140</v>
      </c>
      <c r="E97" s="260">
        <v>46171</v>
      </c>
      <c r="F97">
        <v>-10</v>
      </c>
      <c r="G97" t="s">
        <v>353</v>
      </c>
    </row>
    <row r="98" spans="1:7">
      <c r="A98" t="s">
        <v>542</v>
      </c>
      <c r="B98" t="s">
        <v>543</v>
      </c>
      <c r="C98">
        <v>5</v>
      </c>
      <c r="D98" s="260">
        <v>46199</v>
      </c>
      <c r="E98" s="260">
        <v>46205</v>
      </c>
      <c r="F98">
        <v>-17</v>
      </c>
      <c r="G98" t="s">
        <v>353</v>
      </c>
    </row>
    <row r="99" spans="1:7">
      <c r="A99" t="s">
        <v>544</v>
      </c>
      <c r="B99" t="s">
        <v>545</v>
      </c>
      <c r="C99">
        <v>23</v>
      </c>
      <c r="D99" s="260">
        <v>46140</v>
      </c>
      <c r="E99" s="260">
        <v>46171</v>
      </c>
      <c r="F99">
        <v>-10</v>
      </c>
      <c r="G99" t="s">
        <v>353</v>
      </c>
    </row>
    <row r="100" spans="1:7">
      <c r="A100" t="s">
        <v>546</v>
      </c>
      <c r="B100" t="s">
        <v>547</v>
      </c>
      <c r="C100">
        <v>5</v>
      </c>
      <c r="D100" s="260">
        <v>46199</v>
      </c>
      <c r="E100" s="260">
        <v>46205</v>
      </c>
      <c r="F100">
        <v>-17</v>
      </c>
      <c r="G100" t="s">
        <v>353</v>
      </c>
    </row>
    <row r="101" spans="1:7">
      <c r="A101" t="s">
        <v>548</v>
      </c>
      <c r="B101" t="s">
        <v>549</v>
      </c>
      <c r="C101">
        <v>23</v>
      </c>
      <c r="D101" s="260">
        <v>46140</v>
      </c>
      <c r="E101" s="260">
        <v>46171</v>
      </c>
      <c r="F101">
        <v>-10</v>
      </c>
      <c r="G101" t="s">
        <v>353</v>
      </c>
    </row>
    <row r="102" spans="1:7">
      <c r="A102" t="s">
        <v>550</v>
      </c>
      <c r="B102" t="s">
        <v>551</v>
      </c>
      <c r="C102">
        <v>5</v>
      </c>
      <c r="D102" s="260">
        <v>46199</v>
      </c>
      <c r="E102" s="260">
        <v>46205</v>
      </c>
      <c r="F102">
        <v>-17</v>
      </c>
      <c r="G102" t="s">
        <v>353</v>
      </c>
    </row>
    <row r="103" spans="1:7">
      <c r="A103" t="s">
        <v>552</v>
      </c>
      <c r="B103" t="s">
        <v>553</v>
      </c>
      <c r="C103">
        <v>15</v>
      </c>
      <c r="D103" s="260">
        <v>46140</v>
      </c>
      <c r="E103" s="260">
        <v>46161</v>
      </c>
      <c r="F103">
        <v>-2</v>
      </c>
      <c r="G103" t="s">
        <v>353</v>
      </c>
    </row>
    <row r="104" spans="1:7">
      <c r="A104" t="s">
        <v>554</v>
      </c>
      <c r="B104" t="s">
        <v>555</v>
      </c>
      <c r="C104">
        <v>5</v>
      </c>
      <c r="D104" s="260">
        <v>46199</v>
      </c>
      <c r="E104" s="260">
        <v>46205</v>
      </c>
      <c r="F104">
        <v>-17</v>
      </c>
      <c r="G104" t="s">
        <v>353</v>
      </c>
    </row>
    <row r="105" spans="1:7">
      <c r="A105" t="s">
        <v>556</v>
      </c>
      <c r="B105" t="s">
        <v>557</v>
      </c>
      <c r="C105">
        <v>23</v>
      </c>
      <c r="D105" s="260">
        <v>46140</v>
      </c>
      <c r="E105" s="260">
        <v>46171</v>
      </c>
      <c r="F105">
        <v>-30</v>
      </c>
      <c r="G105" t="s">
        <v>353</v>
      </c>
    </row>
    <row r="106" spans="1:7">
      <c r="A106" t="s">
        <v>558</v>
      </c>
      <c r="B106" t="s">
        <v>559</v>
      </c>
      <c r="C106">
        <v>5</v>
      </c>
      <c r="D106" s="260">
        <v>46199</v>
      </c>
      <c r="E106" s="260">
        <v>46205</v>
      </c>
      <c r="F106">
        <v>-17</v>
      </c>
      <c r="G106" t="s">
        <v>353</v>
      </c>
    </row>
    <row r="107" spans="1:7">
      <c r="A107" t="s">
        <v>560</v>
      </c>
      <c r="B107" t="s">
        <v>561</v>
      </c>
      <c r="C107">
        <v>15</v>
      </c>
      <c r="D107" s="260">
        <v>46140</v>
      </c>
      <c r="E107" s="260">
        <v>46161</v>
      </c>
      <c r="F107">
        <v>-44</v>
      </c>
      <c r="G107" t="s">
        <v>353</v>
      </c>
    </row>
    <row r="108" spans="1:7">
      <c r="A108" t="s">
        <v>562</v>
      </c>
      <c r="B108" t="s">
        <v>563</v>
      </c>
      <c r="C108">
        <v>5</v>
      </c>
      <c r="D108" s="260">
        <v>46199</v>
      </c>
      <c r="E108" s="260">
        <v>46205</v>
      </c>
      <c r="F108">
        <v>-17</v>
      </c>
      <c r="G108" t="s">
        <v>353</v>
      </c>
    </row>
    <row r="109" spans="1:7">
      <c r="A109" t="s">
        <v>564</v>
      </c>
      <c r="B109" t="s">
        <v>565</v>
      </c>
      <c r="C109">
        <v>15</v>
      </c>
      <c r="D109" s="260">
        <v>46140</v>
      </c>
      <c r="E109" s="260">
        <v>46161</v>
      </c>
      <c r="F109">
        <v>-47</v>
      </c>
      <c r="G109" t="s">
        <v>353</v>
      </c>
    </row>
    <row r="110" spans="1:7">
      <c r="A110" t="s">
        <v>566</v>
      </c>
      <c r="B110" t="s">
        <v>567</v>
      </c>
      <c r="C110">
        <v>5</v>
      </c>
      <c r="D110" s="260">
        <v>46199</v>
      </c>
      <c r="E110" s="260">
        <v>46205</v>
      </c>
      <c r="F110">
        <v>-17</v>
      </c>
      <c r="G110" t="s">
        <v>353</v>
      </c>
    </row>
    <row r="111" spans="1:7">
      <c r="A111" t="s">
        <v>568</v>
      </c>
      <c r="B111" t="s">
        <v>569</v>
      </c>
      <c r="C111">
        <v>15</v>
      </c>
      <c r="D111" s="260">
        <v>46140</v>
      </c>
      <c r="E111" s="260">
        <v>46161</v>
      </c>
      <c r="F111">
        <v>-2</v>
      </c>
      <c r="G111" t="s">
        <v>353</v>
      </c>
    </row>
    <row r="112" spans="1:7">
      <c r="A112" t="s">
        <v>570</v>
      </c>
      <c r="B112" t="s">
        <v>571</v>
      </c>
      <c r="C112">
        <v>5</v>
      </c>
      <c r="D112" s="260">
        <v>46199</v>
      </c>
      <c r="E112" s="260">
        <v>46205</v>
      </c>
      <c r="F112">
        <v>-17</v>
      </c>
      <c r="G112" t="s">
        <v>353</v>
      </c>
    </row>
    <row r="113" spans="1:7">
      <c r="A113" t="s">
        <v>572</v>
      </c>
      <c r="B113" t="s">
        <v>573</v>
      </c>
      <c r="C113">
        <v>15</v>
      </c>
      <c r="D113" s="260">
        <v>46140</v>
      </c>
      <c r="E113" s="260">
        <v>46161</v>
      </c>
      <c r="F113">
        <v>-21</v>
      </c>
      <c r="G113" t="s">
        <v>353</v>
      </c>
    </row>
    <row r="114" spans="1:7">
      <c r="A114" t="s">
        <v>574</v>
      </c>
      <c r="B114" t="s">
        <v>575</v>
      </c>
      <c r="C114">
        <v>5</v>
      </c>
      <c r="D114" s="260">
        <v>46199</v>
      </c>
      <c r="E114" s="260">
        <v>46205</v>
      </c>
      <c r="F114">
        <v>-17</v>
      </c>
      <c r="G114" t="s">
        <v>353</v>
      </c>
    </row>
    <row r="115" spans="1:7">
      <c r="A115" t="s">
        <v>576</v>
      </c>
      <c r="B115" t="s">
        <v>577</v>
      </c>
      <c r="C115">
        <v>15</v>
      </c>
      <c r="D115" s="260">
        <v>46140</v>
      </c>
      <c r="E115" s="260">
        <v>46161</v>
      </c>
      <c r="F115">
        <v>-16</v>
      </c>
      <c r="G115" t="s">
        <v>353</v>
      </c>
    </row>
    <row r="116" spans="1:7">
      <c r="A116" t="s">
        <v>578</v>
      </c>
      <c r="B116" t="s">
        <v>579</v>
      </c>
      <c r="C116">
        <v>5</v>
      </c>
      <c r="D116" s="260">
        <v>46199</v>
      </c>
      <c r="E116" s="260">
        <v>46205</v>
      </c>
      <c r="F116">
        <v>-17</v>
      </c>
      <c r="G116" t="s">
        <v>353</v>
      </c>
    </row>
    <row r="117" spans="1:7">
      <c r="A117" t="s">
        <v>580</v>
      </c>
      <c r="B117" t="s">
        <v>581</v>
      </c>
      <c r="C117">
        <v>8</v>
      </c>
      <c r="D117" s="260">
        <v>46140</v>
      </c>
      <c r="E117" s="260">
        <v>46150</v>
      </c>
      <c r="F117">
        <v>5</v>
      </c>
      <c r="G117" t="s">
        <v>353</v>
      </c>
    </row>
    <row r="118" spans="1:7">
      <c r="A118" t="s">
        <v>582</v>
      </c>
      <c r="B118" t="s">
        <v>583</v>
      </c>
      <c r="C118">
        <v>5</v>
      </c>
      <c r="D118" s="260">
        <v>46199</v>
      </c>
      <c r="E118" s="260">
        <v>46205</v>
      </c>
      <c r="F118">
        <v>-17</v>
      </c>
      <c r="G118" t="s">
        <v>353</v>
      </c>
    </row>
    <row r="119" spans="1:7">
      <c r="A119" t="s">
        <v>584</v>
      </c>
      <c r="B119" t="s">
        <v>585</v>
      </c>
      <c r="C119">
        <v>13</v>
      </c>
      <c r="D119" s="260">
        <v>46140</v>
      </c>
      <c r="E119" s="260">
        <v>46157</v>
      </c>
      <c r="F119">
        <v>0</v>
      </c>
      <c r="G119" t="s">
        <v>353</v>
      </c>
    </row>
    <row r="120" spans="1:7">
      <c r="A120" t="s">
        <v>586</v>
      </c>
      <c r="B120" t="s">
        <v>587</v>
      </c>
      <c r="C120">
        <v>5</v>
      </c>
      <c r="D120" s="260">
        <v>46199</v>
      </c>
      <c r="E120" s="260">
        <v>46205</v>
      </c>
      <c r="F120">
        <v>-17</v>
      </c>
      <c r="G120" t="s">
        <v>353</v>
      </c>
    </row>
    <row r="121" spans="1:7">
      <c r="A121" t="s">
        <v>588</v>
      </c>
      <c r="B121" t="s">
        <v>589</v>
      </c>
      <c r="C121">
        <v>23</v>
      </c>
      <c r="D121" s="260">
        <v>46140</v>
      </c>
      <c r="E121" s="260">
        <v>46171</v>
      </c>
      <c r="F121">
        <v>-10</v>
      </c>
      <c r="G121" t="s">
        <v>353</v>
      </c>
    </row>
    <row r="122" spans="1:7">
      <c r="A122" t="s">
        <v>590</v>
      </c>
      <c r="B122" t="s">
        <v>591</v>
      </c>
      <c r="C122">
        <v>5</v>
      </c>
      <c r="D122" s="260">
        <v>46199</v>
      </c>
      <c r="E122" s="260">
        <v>46205</v>
      </c>
      <c r="F122">
        <v>-17</v>
      </c>
      <c r="G122" t="s">
        <v>353</v>
      </c>
    </row>
    <row r="123" spans="1:7">
      <c r="A123" t="s">
        <v>592</v>
      </c>
      <c r="B123" t="s">
        <v>593</v>
      </c>
      <c r="C123">
        <v>23</v>
      </c>
      <c r="D123" s="260">
        <v>46140</v>
      </c>
      <c r="E123" s="260">
        <v>46171</v>
      </c>
      <c r="F123">
        <v>-10</v>
      </c>
      <c r="G123" t="s">
        <v>353</v>
      </c>
    </row>
    <row r="124" spans="1:7">
      <c r="A124" t="s">
        <v>594</v>
      </c>
      <c r="B124" t="s">
        <v>595</v>
      </c>
      <c r="C124">
        <v>5</v>
      </c>
      <c r="D124" s="260">
        <v>46199</v>
      </c>
      <c r="E124" s="260">
        <v>46205</v>
      </c>
      <c r="F124">
        <v>-17</v>
      </c>
      <c r="G124" t="s">
        <v>353</v>
      </c>
    </row>
    <row r="125" spans="1:7">
      <c r="A125" t="s">
        <v>596</v>
      </c>
      <c r="B125" t="s">
        <v>597</v>
      </c>
      <c r="C125">
        <v>23</v>
      </c>
      <c r="D125" s="260">
        <v>46140</v>
      </c>
      <c r="E125" s="260">
        <v>46171</v>
      </c>
      <c r="F125">
        <v>-10</v>
      </c>
      <c r="G125" t="s">
        <v>353</v>
      </c>
    </row>
    <row r="126" spans="1:7">
      <c r="A126" t="s">
        <v>598</v>
      </c>
      <c r="B126" t="s">
        <v>599</v>
      </c>
      <c r="C126">
        <v>5</v>
      </c>
      <c r="D126" s="260">
        <v>46199</v>
      </c>
      <c r="E126" s="260">
        <v>46205</v>
      </c>
      <c r="F126">
        <v>-17</v>
      </c>
      <c r="G126" t="s">
        <v>353</v>
      </c>
    </row>
    <row r="127" spans="1:7">
      <c r="A127" t="s">
        <v>600</v>
      </c>
      <c r="C127">
        <v>194</v>
      </c>
      <c r="D127" s="260">
        <v>46091</v>
      </c>
      <c r="E127" s="260">
        <v>46384</v>
      </c>
      <c r="F127">
        <v>4</v>
      </c>
      <c r="G127" t="s">
        <v>353</v>
      </c>
    </row>
    <row r="128" spans="1:7">
      <c r="A128" t="s">
        <v>601</v>
      </c>
      <c r="B128" t="s">
        <v>602</v>
      </c>
      <c r="C128">
        <v>19</v>
      </c>
      <c r="D128" s="260">
        <v>46091</v>
      </c>
      <c r="E128" s="260">
        <v>46115</v>
      </c>
      <c r="F128">
        <v>4</v>
      </c>
      <c r="G128" t="s">
        <v>353</v>
      </c>
    </row>
    <row r="129" spans="1:7">
      <c r="A129" t="s">
        <v>603</v>
      </c>
      <c r="B129" t="s">
        <v>604</v>
      </c>
      <c r="C129">
        <v>10</v>
      </c>
      <c r="D129" s="260">
        <v>46136</v>
      </c>
      <c r="E129" s="260">
        <v>46150</v>
      </c>
      <c r="F129">
        <v>159</v>
      </c>
      <c r="G129" t="s">
        <v>353</v>
      </c>
    </row>
    <row r="130" spans="1:7">
      <c r="A130" t="s">
        <v>605</v>
      </c>
      <c r="B130" t="s">
        <v>606</v>
      </c>
      <c r="C130">
        <v>15</v>
      </c>
      <c r="D130" s="260">
        <v>46129</v>
      </c>
      <c r="E130" s="260">
        <v>46150</v>
      </c>
      <c r="F130">
        <v>4</v>
      </c>
      <c r="G130" t="s">
        <v>353</v>
      </c>
    </row>
    <row r="131" spans="1:7">
      <c r="A131" t="s">
        <v>607</v>
      </c>
      <c r="B131" t="s">
        <v>608</v>
      </c>
      <c r="C131">
        <v>10</v>
      </c>
      <c r="D131" s="260">
        <v>46274</v>
      </c>
      <c r="E131" s="260">
        <v>46287</v>
      </c>
      <c r="F131">
        <v>68</v>
      </c>
      <c r="G131" t="s">
        <v>353</v>
      </c>
    </row>
    <row r="132" spans="1:7">
      <c r="A132" t="s">
        <v>609</v>
      </c>
      <c r="B132" t="s">
        <v>610</v>
      </c>
      <c r="C132">
        <v>20</v>
      </c>
      <c r="D132" s="260">
        <v>46141</v>
      </c>
      <c r="E132" s="260">
        <v>46169</v>
      </c>
      <c r="F132">
        <v>32</v>
      </c>
      <c r="G132" t="s">
        <v>353</v>
      </c>
    </row>
    <row r="133" spans="1:7">
      <c r="A133" t="s">
        <v>611</v>
      </c>
      <c r="B133" t="s">
        <v>612</v>
      </c>
      <c r="C133">
        <v>10</v>
      </c>
      <c r="D133" s="260">
        <v>46199</v>
      </c>
      <c r="E133" s="260">
        <v>46212</v>
      </c>
      <c r="F133">
        <v>82</v>
      </c>
      <c r="G133" t="s">
        <v>353</v>
      </c>
    </row>
    <row r="134" spans="1:7">
      <c r="A134" t="s">
        <v>613</v>
      </c>
      <c r="B134" t="s">
        <v>614</v>
      </c>
      <c r="C134">
        <v>20</v>
      </c>
      <c r="D134" s="260">
        <v>46141</v>
      </c>
      <c r="E134" s="260">
        <v>46169</v>
      </c>
      <c r="F134">
        <v>32</v>
      </c>
      <c r="G134" t="s">
        <v>353</v>
      </c>
    </row>
    <row r="135" spans="1:7">
      <c r="A135" t="s">
        <v>615</v>
      </c>
      <c r="B135" t="s">
        <v>616</v>
      </c>
      <c r="C135">
        <v>10</v>
      </c>
      <c r="D135" s="260">
        <v>46199</v>
      </c>
      <c r="E135" s="260">
        <v>46212</v>
      </c>
      <c r="F135">
        <v>82</v>
      </c>
      <c r="G135" t="s">
        <v>353</v>
      </c>
    </row>
    <row r="136" spans="1:7">
      <c r="A136" t="s">
        <v>617</v>
      </c>
      <c r="B136" t="s">
        <v>618</v>
      </c>
      <c r="C136">
        <v>25</v>
      </c>
      <c r="D136" s="260">
        <v>46091</v>
      </c>
      <c r="E136" s="260">
        <v>46129</v>
      </c>
      <c r="F136">
        <v>153</v>
      </c>
      <c r="G136" t="s">
        <v>353</v>
      </c>
    </row>
    <row r="137" spans="1:7">
      <c r="A137" t="s">
        <v>619</v>
      </c>
      <c r="B137" t="s">
        <v>620</v>
      </c>
      <c r="C137">
        <v>10</v>
      </c>
      <c r="D137" s="260">
        <v>46147</v>
      </c>
      <c r="E137" s="260">
        <v>46160</v>
      </c>
      <c r="F137">
        <v>153</v>
      </c>
      <c r="G137" t="s">
        <v>353</v>
      </c>
    </row>
    <row r="138" spans="1:7">
      <c r="A138" t="s">
        <v>621</v>
      </c>
      <c r="B138" t="s">
        <v>622</v>
      </c>
      <c r="C138">
        <v>23</v>
      </c>
      <c r="D138" s="260">
        <v>46091</v>
      </c>
      <c r="E138" s="260">
        <v>46122</v>
      </c>
      <c r="F138">
        <v>155</v>
      </c>
      <c r="G138" t="s">
        <v>353</v>
      </c>
    </row>
    <row r="139" spans="1:7">
      <c r="A139" t="s">
        <v>623</v>
      </c>
      <c r="B139" t="s">
        <v>624</v>
      </c>
      <c r="C139">
        <v>10</v>
      </c>
      <c r="D139" s="260">
        <v>46142</v>
      </c>
      <c r="E139" s="260">
        <v>46156</v>
      </c>
      <c r="F139">
        <v>155</v>
      </c>
      <c r="G139" t="s">
        <v>353</v>
      </c>
    </row>
    <row r="140" spans="1:7">
      <c r="A140" t="s">
        <v>625</v>
      </c>
      <c r="B140" t="s">
        <v>626</v>
      </c>
      <c r="C140">
        <v>29</v>
      </c>
      <c r="D140" s="260">
        <v>46091</v>
      </c>
      <c r="E140" s="260">
        <v>46135</v>
      </c>
      <c r="F140">
        <v>149</v>
      </c>
      <c r="G140" t="s">
        <v>353</v>
      </c>
    </row>
    <row r="141" spans="1:7">
      <c r="A141" t="s">
        <v>627</v>
      </c>
      <c r="B141" t="s">
        <v>628</v>
      </c>
      <c r="C141">
        <v>10</v>
      </c>
      <c r="D141" s="260">
        <v>46153</v>
      </c>
      <c r="E141" s="260">
        <v>46164</v>
      </c>
      <c r="F141">
        <v>149</v>
      </c>
      <c r="G141" t="s">
        <v>353</v>
      </c>
    </row>
    <row r="142" spans="1:7">
      <c r="A142" t="s">
        <v>629</v>
      </c>
      <c r="B142" t="s">
        <v>630</v>
      </c>
      <c r="C142">
        <v>29</v>
      </c>
      <c r="D142" s="260">
        <v>46091</v>
      </c>
      <c r="E142" s="260">
        <v>46135</v>
      </c>
      <c r="F142">
        <v>149</v>
      </c>
      <c r="G142" t="s">
        <v>353</v>
      </c>
    </row>
    <row r="143" spans="1:7">
      <c r="A143" t="s">
        <v>631</v>
      </c>
      <c r="B143" t="s">
        <v>632</v>
      </c>
      <c r="C143">
        <v>10</v>
      </c>
      <c r="D143" s="260">
        <v>46153</v>
      </c>
      <c r="E143" s="260">
        <v>46164</v>
      </c>
      <c r="F143">
        <v>149</v>
      </c>
      <c r="G143" t="s">
        <v>353</v>
      </c>
    </row>
    <row r="144" spans="1:7">
      <c r="A144" t="s">
        <v>633</v>
      </c>
      <c r="B144" t="s">
        <v>634</v>
      </c>
      <c r="C144">
        <v>27</v>
      </c>
      <c r="D144" s="260">
        <v>46091</v>
      </c>
      <c r="E144" s="260">
        <v>46133</v>
      </c>
      <c r="F144">
        <v>57</v>
      </c>
      <c r="G144" t="s">
        <v>353</v>
      </c>
    </row>
    <row r="145" spans="1:7">
      <c r="A145" t="s">
        <v>635</v>
      </c>
      <c r="B145" t="s">
        <v>636</v>
      </c>
      <c r="C145">
        <v>10</v>
      </c>
      <c r="D145" s="260">
        <v>46149</v>
      </c>
      <c r="E145" s="260">
        <v>46162</v>
      </c>
      <c r="F145">
        <v>141</v>
      </c>
      <c r="G145" t="s">
        <v>353</v>
      </c>
    </row>
    <row r="146" spans="1:7">
      <c r="A146" t="s">
        <v>637</v>
      </c>
      <c r="B146" t="s">
        <v>638</v>
      </c>
      <c r="C146">
        <v>19</v>
      </c>
      <c r="D146" s="260">
        <v>46157</v>
      </c>
      <c r="E146" s="260">
        <v>46185</v>
      </c>
      <c r="F146">
        <v>41</v>
      </c>
      <c r="G146" t="s">
        <v>353</v>
      </c>
    </row>
    <row r="147" spans="1:7">
      <c r="A147" t="s">
        <v>639</v>
      </c>
      <c r="B147" t="s">
        <v>640</v>
      </c>
      <c r="C147">
        <v>10</v>
      </c>
      <c r="D147" s="260">
        <v>46202</v>
      </c>
      <c r="E147" s="260">
        <v>46213</v>
      </c>
      <c r="F147">
        <v>106</v>
      </c>
      <c r="G147" t="s">
        <v>353</v>
      </c>
    </row>
    <row r="148" spans="1:7">
      <c r="A148" t="s">
        <v>641</v>
      </c>
      <c r="B148" t="s">
        <v>642</v>
      </c>
      <c r="C148">
        <v>15</v>
      </c>
      <c r="D148" s="260">
        <v>46097</v>
      </c>
      <c r="E148" s="260">
        <v>46115</v>
      </c>
      <c r="F148">
        <v>-34</v>
      </c>
      <c r="G148" t="s">
        <v>353</v>
      </c>
    </row>
    <row r="149" spans="1:7">
      <c r="A149" t="s">
        <v>643</v>
      </c>
      <c r="B149" t="s">
        <v>644</v>
      </c>
      <c r="C149">
        <v>10</v>
      </c>
      <c r="D149" s="260">
        <v>46136</v>
      </c>
      <c r="E149" s="260">
        <v>46150</v>
      </c>
      <c r="F149">
        <v>20</v>
      </c>
      <c r="G149" t="s">
        <v>353</v>
      </c>
    </row>
    <row r="150" spans="1:7">
      <c r="A150" t="s">
        <v>645</v>
      </c>
      <c r="B150" t="s">
        <v>646</v>
      </c>
      <c r="C150">
        <v>15</v>
      </c>
      <c r="D150" s="260">
        <v>46113</v>
      </c>
      <c r="E150" s="260">
        <v>46139</v>
      </c>
      <c r="F150">
        <v>147</v>
      </c>
      <c r="G150" t="s">
        <v>353</v>
      </c>
    </row>
    <row r="151" spans="1:7">
      <c r="A151" t="s">
        <v>647</v>
      </c>
      <c r="B151" t="s">
        <v>648</v>
      </c>
      <c r="C151">
        <v>10</v>
      </c>
      <c r="D151" s="260">
        <v>46155</v>
      </c>
      <c r="E151" s="260">
        <v>46168</v>
      </c>
      <c r="F151">
        <v>147</v>
      </c>
      <c r="G151" t="s">
        <v>353</v>
      </c>
    </row>
    <row r="152" spans="1:7">
      <c r="A152" t="s">
        <v>649</v>
      </c>
      <c r="B152" t="s">
        <v>650</v>
      </c>
      <c r="C152">
        <v>15</v>
      </c>
      <c r="D152" s="260">
        <v>46113</v>
      </c>
      <c r="E152" s="260">
        <v>46139</v>
      </c>
      <c r="F152">
        <v>147</v>
      </c>
      <c r="G152" t="s">
        <v>353</v>
      </c>
    </row>
    <row r="153" spans="1:7">
      <c r="A153" t="s">
        <v>651</v>
      </c>
      <c r="B153" t="s">
        <v>652</v>
      </c>
      <c r="C153">
        <v>10</v>
      </c>
      <c r="D153" s="260">
        <v>46155</v>
      </c>
      <c r="E153" s="260">
        <v>46168</v>
      </c>
      <c r="F153">
        <v>147</v>
      </c>
      <c r="G153" t="s">
        <v>353</v>
      </c>
    </row>
    <row r="154" spans="1:7">
      <c r="A154" t="s">
        <v>653</v>
      </c>
      <c r="B154" t="s">
        <v>654</v>
      </c>
      <c r="C154">
        <v>10</v>
      </c>
      <c r="D154" s="260">
        <v>46153</v>
      </c>
      <c r="E154" s="260">
        <v>46164</v>
      </c>
      <c r="F154">
        <v>99</v>
      </c>
      <c r="G154" t="s">
        <v>353</v>
      </c>
    </row>
    <row r="155" spans="1:7">
      <c r="A155" t="s">
        <v>655</v>
      </c>
      <c r="B155" t="s">
        <v>656</v>
      </c>
      <c r="C155">
        <v>10</v>
      </c>
      <c r="D155" s="260">
        <v>46183</v>
      </c>
      <c r="E155" s="260">
        <v>46196</v>
      </c>
      <c r="F155">
        <v>119</v>
      </c>
      <c r="G155" t="s">
        <v>353</v>
      </c>
    </row>
    <row r="156" spans="1:7">
      <c r="A156" t="s">
        <v>657</v>
      </c>
      <c r="B156" t="s">
        <v>658</v>
      </c>
      <c r="C156">
        <v>18</v>
      </c>
      <c r="D156" s="260">
        <v>46097</v>
      </c>
      <c r="E156" s="260">
        <v>46121</v>
      </c>
      <c r="F156">
        <v>-33</v>
      </c>
      <c r="G156" t="s">
        <v>353</v>
      </c>
    </row>
    <row r="157" spans="1:7">
      <c r="A157" t="s">
        <v>659</v>
      </c>
      <c r="B157" t="s">
        <v>660</v>
      </c>
      <c r="C157">
        <v>10</v>
      </c>
      <c r="D157" s="260">
        <v>46141</v>
      </c>
      <c r="E157" s="260">
        <v>46155</v>
      </c>
      <c r="F157">
        <v>28</v>
      </c>
      <c r="G157" t="s">
        <v>353</v>
      </c>
    </row>
    <row r="158" spans="1:7">
      <c r="A158" t="s">
        <v>661</v>
      </c>
      <c r="B158" t="s">
        <v>662</v>
      </c>
      <c r="C158">
        <v>23</v>
      </c>
      <c r="D158" s="260">
        <v>46091</v>
      </c>
      <c r="E158" s="260">
        <v>46122</v>
      </c>
      <c r="F158">
        <v>155</v>
      </c>
      <c r="G158" t="s">
        <v>353</v>
      </c>
    </row>
    <row r="159" spans="1:7">
      <c r="A159" t="s">
        <v>663</v>
      </c>
      <c r="B159" t="s">
        <v>664</v>
      </c>
      <c r="C159">
        <v>10</v>
      </c>
      <c r="D159" s="260">
        <v>46142</v>
      </c>
      <c r="E159" s="260">
        <v>46156</v>
      </c>
      <c r="F159">
        <v>155</v>
      </c>
      <c r="G159" t="s">
        <v>353</v>
      </c>
    </row>
    <row r="160" spans="1:7">
      <c r="A160" t="s">
        <v>665</v>
      </c>
      <c r="B160" t="s">
        <v>666</v>
      </c>
      <c r="C160">
        <v>15</v>
      </c>
      <c r="D160" s="260">
        <v>46112</v>
      </c>
      <c r="E160" s="260">
        <v>46136</v>
      </c>
      <c r="F160">
        <v>148</v>
      </c>
      <c r="G160" t="s">
        <v>353</v>
      </c>
    </row>
    <row r="161" spans="1:7">
      <c r="A161" t="s">
        <v>667</v>
      </c>
      <c r="B161" t="s">
        <v>668</v>
      </c>
      <c r="C161">
        <v>10</v>
      </c>
      <c r="D161" s="260">
        <v>46154</v>
      </c>
      <c r="E161" s="260">
        <v>46167</v>
      </c>
      <c r="F161">
        <v>148</v>
      </c>
      <c r="G161" t="s">
        <v>353</v>
      </c>
    </row>
    <row r="162" spans="1:7">
      <c r="A162" t="s">
        <v>669</v>
      </c>
      <c r="B162" t="s">
        <v>670</v>
      </c>
      <c r="C162">
        <v>15</v>
      </c>
      <c r="D162" s="260">
        <v>46134</v>
      </c>
      <c r="E162" s="260">
        <v>46155</v>
      </c>
      <c r="F162">
        <v>136</v>
      </c>
      <c r="G162" t="s">
        <v>353</v>
      </c>
    </row>
    <row r="163" spans="1:7">
      <c r="A163" t="s">
        <v>671</v>
      </c>
      <c r="B163" t="s">
        <v>672</v>
      </c>
      <c r="C163">
        <v>10</v>
      </c>
      <c r="D163" s="260">
        <v>46170</v>
      </c>
      <c r="E163" s="260">
        <v>46185</v>
      </c>
      <c r="F163">
        <v>136</v>
      </c>
      <c r="G163" t="s">
        <v>353</v>
      </c>
    </row>
    <row r="164" spans="1:7">
      <c r="A164" t="s">
        <v>673</v>
      </c>
      <c r="B164" t="s">
        <v>674</v>
      </c>
      <c r="C164">
        <v>15</v>
      </c>
      <c r="D164" s="260">
        <v>46106</v>
      </c>
      <c r="E164" s="260">
        <v>46132</v>
      </c>
      <c r="F164">
        <v>152</v>
      </c>
      <c r="G164" t="s">
        <v>353</v>
      </c>
    </row>
    <row r="165" spans="1:7">
      <c r="A165" t="s">
        <v>675</v>
      </c>
      <c r="B165" t="s">
        <v>676</v>
      </c>
      <c r="C165">
        <v>10</v>
      </c>
      <c r="D165" s="260">
        <v>46148</v>
      </c>
      <c r="E165" s="260">
        <v>46161</v>
      </c>
      <c r="F165">
        <v>152</v>
      </c>
      <c r="G165" t="s">
        <v>353</v>
      </c>
    </row>
    <row r="166" spans="1:7">
      <c r="A166" t="s">
        <v>677</v>
      </c>
      <c r="C166">
        <v>104</v>
      </c>
      <c r="D166" s="260">
        <v>46097</v>
      </c>
      <c r="E166" s="260">
        <v>46255</v>
      </c>
      <c r="F166">
        <v>90</v>
      </c>
      <c r="G166" t="s">
        <v>353</v>
      </c>
    </row>
    <row r="167" spans="1:7">
      <c r="A167" t="s">
        <v>678</v>
      </c>
      <c r="B167" t="s">
        <v>679</v>
      </c>
      <c r="C167">
        <v>10</v>
      </c>
      <c r="D167" s="260">
        <v>46140</v>
      </c>
      <c r="E167" s="260">
        <v>46154</v>
      </c>
      <c r="F167">
        <v>-44</v>
      </c>
      <c r="G167" t="s">
        <v>353</v>
      </c>
    </row>
    <row r="168" spans="1:7">
      <c r="A168" t="s">
        <v>680</v>
      </c>
      <c r="B168" t="s">
        <v>681</v>
      </c>
      <c r="C168">
        <v>10</v>
      </c>
      <c r="D168" s="260">
        <v>46175</v>
      </c>
      <c r="E168" s="260">
        <v>46189</v>
      </c>
      <c r="F168">
        <v>34</v>
      </c>
      <c r="G168" t="s">
        <v>353</v>
      </c>
    </row>
    <row r="169" spans="1:7">
      <c r="A169" t="s">
        <v>682</v>
      </c>
      <c r="B169" t="s">
        <v>683</v>
      </c>
      <c r="C169">
        <v>5</v>
      </c>
      <c r="D169" s="260">
        <v>46206</v>
      </c>
      <c r="E169" s="260">
        <v>46212</v>
      </c>
      <c r="F169">
        <v>32</v>
      </c>
      <c r="G169" t="s">
        <v>353</v>
      </c>
    </row>
    <row r="170" spans="1:7">
      <c r="A170" t="s">
        <v>684</v>
      </c>
      <c r="B170" t="s">
        <v>685</v>
      </c>
      <c r="C170">
        <v>12</v>
      </c>
      <c r="D170" s="260">
        <v>46140</v>
      </c>
      <c r="E170" s="260">
        <v>46156</v>
      </c>
      <c r="F170">
        <v>-16</v>
      </c>
      <c r="G170" t="s">
        <v>353</v>
      </c>
    </row>
    <row r="171" spans="1:7">
      <c r="A171" t="s">
        <v>686</v>
      </c>
      <c r="B171" t="s">
        <v>687</v>
      </c>
      <c r="C171">
        <v>10</v>
      </c>
      <c r="D171" s="260">
        <v>46178</v>
      </c>
      <c r="E171" s="260">
        <v>46191</v>
      </c>
      <c r="F171">
        <v>32</v>
      </c>
      <c r="G171" t="s">
        <v>353</v>
      </c>
    </row>
    <row r="172" spans="1:7">
      <c r="A172" t="s">
        <v>688</v>
      </c>
      <c r="B172" t="s">
        <v>689</v>
      </c>
      <c r="C172">
        <v>5</v>
      </c>
      <c r="D172" s="260">
        <v>46206</v>
      </c>
      <c r="E172" s="260">
        <v>46212</v>
      </c>
      <c r="F172">
        <v>32</v>
      </c>
      <c r="G172" t="s">
        <v>353</v>
      </c>
    </row>
    <row r="173" spans="1:7">
      <c r="A173" t="s">
        <v>690</v>
      </c>
      <c r="B173" t="s">
        <v>691</v>
      </c>
      <c r="C173">
        <v>10</v>
      </c>
      <c r="D173" s="260">
        <v>46142</v>
      </c>
      <c r="E173" s="260">
        <v>46156</v>
      </c>
      <c r="F173">
        <v>-16</v>
      </c>
      <c r="G173" t="s">
        <v>353</v>
      </c>
    </row>
    <row r="174" spans="1:7">
      <c r="A174" t="s">
        <v>692</v>
      </c>
      <c r="B174" t="s">
        <v>693</v>
      </c>
      <c r="C174">
        <v>10</v>
      </c>
      <c r="D174" s="260">
        <v>46178</v>
      </c>
      <c r="E174" s="260">
        <v>46191</v>
      </c>
      <c r="F174">
        <v>32</v>
      </c>
      <c r="G174" t="s">
        <v>353</v>
      </c>
    </row>
    <row r="175" spans="1:7">
      <c r="A175" t="s">
        <v>694</v>
      </c>
      <c r="B175" t="s">
        <v>695</v>
      </c>
      <c r="C175">
        <v>5</v>
      </c>
      <c r="D175" s="260">
        <v>46206</v>
      </c>
      <c r="E175" s="260">
        <v>46212</v>
      </c>
      <c r="F175">
        <v>32</v>
      </c>
      <c r="G175" t="s">
        <v>353</v>
      </c>
    </row>
    <row r="176" spans="1:7">
      <c r="A176" t="s">
        <v>696</v>
      </c>
      <c r="B176" t="s">
        <v>697</v>
      </c>
      <c r="C176">
        <v>10</v>
      </c>
      <c r="D176" s="260">
        <v>46146</v>
      </c>
      <c r="E176" s="260">
        <v>46157</v>
      </c>
      <c r="F176">
        <v>-21</v>
      </c>
      <c r="G176" t="s">
        <v>353</v>
      </c>
    </row>
    <row r="177" spans="1:7">
      <c r="A177" t="s">
        <v>698</v>
      </c>
      <c r="B177" t="s">
        <v>699</v>
      </c>
      <c r="C177">
        <v>10</v>
      </c>
      <c r="D177" s="260">
        <v>46181</v>
      </c>
      <c r="E177" s="260">
        <v>46192</v>
      </c>
      <c r="F177">
        <v>32</v>
      </c>
      <c r="G177" t="s">
        <v>353</v>
      </c>
    </row>
    <row r="178" spans="1:7">
      <c r="A178" t="s">
        <v>700</v>
      </c>
      <c r="B178" t="s">
        <v>701</v>
      </c>
      <c r="C178">
        <v>5</v>
      </c>
      <c r="D178" s="260">
        <v>46206</v>
      </c>
      <c r="E178" s="260">
        <v>46212</v>
      </c>
      <c r="F178">
        <v>32</v>
      </c>
      <c r="G178" t="s">
        <v>353</v>
      </c>
    </row>
    <row r="179" spans="1:7">
      <c r="A179" t="s">
        <v>702</v>
      </c>
      <c r="B179" t="s">
        <v>703</v>
      </c>
      <c r="C179">
        <v>15</v>
      </c>
      <c r="D179" s="260">
        <v>46097</v>
      </c>
      <c r="E179" s="260">
        <v>46115</v>
      </c>
      <c r="F179">
        <v>-34</v>
      </c>
      <c r="G179" t="s">
        <v>353</v>
      </c>
    </row>
    <row r="180" spans="1:7">
      <c r="A180" t="s">
        <v>704</v>
      </c>
      <c r="B180" t="s">
        <v>705</v>
      </c>
      <c r="C180">
        <v>5</v>
      </c>
      <c r="D180" s="260">
        <v>46146</v>
      </c>
      <c r="E180" s="260">
        <v>46150</v>
      </c>
      <c r="F180">
        <v>10</v>
      </c>
      <c r="G180" t="s">
        <v>353</v>
      </c>
    </row>
    <row r="181" spans="1:7">
      <c r="A181" t="s">
        <v>706</v>
      </c>
      <c r="B181" t="s">
        <v>707</v>
      </c>
      <c r="C181">
        <v>5</v>
      </c>
      <c r="D181" s="260">
        <v>46206</v>
      </c>
      <c r="E181" s="260">
        <v>46212</v>
      </c>
      <c r="F181">
        <v>-17</v>
      </c>
      <c r="G181" t="s">
        <v>353</v>
      </c>
    </row>
    <row r="182" spans="1:7">
      <c r="A182" t="s">
        <v>708</v>
      </c>
      <c r="B182" t="s">
        <v>709</v>
      </c>
      <c r="C182">
        <v>12</v>
      </c>
      <c r="D182" s="260">
        <v>46140</v>
      </c>
      <c r="E182" s="260">
        <v>46156</v>
      </c>
      <c r="F182">
        <v>-30</v>
      </c>
      <c r="G182" t="s">
        <v>353</v>
      </c>
    </row>
    <row r="183" spans="1:7">
      <c r="A183" t="s">
        <v>710</v>
      </c>
      <c r="B183" t="s">
        <v>711</v>
      </c>
      <c r="C183">
        <v>10</v>
      </c>
      <c r="D183" s="260">
        <v>46178</v>
      </c>
      <c r="E183" s="260">
        <v>46191</v>
      </c>
      <c r="F183">
        <v>117</v>
      </c>
      <c r="G183" t="s">
        <v>353</v>
      </c>
    </row>
    <row r="184" spans="1:7">
      <c r="A184" t="s">
        <v>712</v>
      </c>
      <c r="B184" t="s">
        <v>713</v>
      </c>
      <c r="C184">
        <v>5</v>
      </c>
      <c r="D184" s="260">
        <v>46206</v>
      </c>
      <c r="E184" s="260">
        <v>46212</v>
      </c>
      <c r="F184">
        <v>117</v>
      </c>
      <c r="G184" t="s">
        <v>353</v>
      </c>
    </row>
    <row r="185" spans="1:7">
      <c r="A185" t="s">
        <v>714</v>
      </c>
      <c r="B185" t="s">
        <v>715</v>
      </c>
      <c r="C185">
        <v>15</v>
      </c>
      <c r="D185" s="260">
        <v>46188</v>
      </c>
      <c r="E185" s="260">
        <v>46206</v>
      </c>
      <c r="F185">
        <v>41</v>
      </c>
      <c r="G185" t="s">
        <v>353</v>
      </c>
    </row>
    <row r="186" spans="1:7">
      <c r="A186" t="s">
        <v>716</v>
      </c>
      <c r="B186" t="s">
        <v>717</v>
      </c>
      <c r="C186">
        <v>10</v>
      </c>
      <c r="D186" s="260">
        <v>46225</v>
      </c>
      <c r="E186" s="260">
        <v>46241</v>
      </c>
      <c r="F186">
        <v>85</v>
      </c>
      <c r="G186" t="s">
        <v>353</v>
      </c>
    </row>
    <row r="187" spans="1:7">
      <c r="A187" t="s">
        <v>718</v>
      </c>
      <c r="B187" t="s">
        <v>719</v>
      </c>
      <c r="C187">
        <v>5</v>
      </c>
      <c r="D187" s="260">
        <v>46251</v>
      </c>
      <c r="E187" s="260">
        <v>46255</v>
      </c>
      <c r="F187">
        <v>85</v>
      </c>
      <c r="G187" t="s">
        <v>353</v>
      </c>
    </row>
    <row r="188" spans="1:7">
      <c r="A188" t="s">
        <v>720</v>
      </c>
      <c r="B188" t="s">
        <v>721</v>
      </c>
      <c r="C188">
        <v>10</v>
      </c>
      <c r="D188" s="260">
        <v>46112</v>
      </c>
      <c r="E188" s="260">
        <v>46129</v>
      </c>
      <c r="F188">
        <v>-21</v>
      </c>
      <c r="G188" t="s">
        <v>353</v>
      </c>
    </row>
    <row r="189" spans="1:7">
      <c r="A189" t="s">
        <v>722</v>
      </c>
      <c r="B189" t="s">
        <v>723</v>
      </c>
      <c r="C189">
        <v>10</v>
      </c>
      <c r="D189" s="260">
        <v>46153</v>
      </c>
      <c r="E189" s="260">
        <v>46164</v>
      </c>
      <c r="F189">
        <v>49</v>
      </c>
      <c r="G189" t="s">
        <v>353</v>
      </c>
    </row>
    <row r="190" spans="1:7">
      <c r="A190" t="s">
        <v>724</v>
      </c>
      <c r="B190" t="s">
        <v>725</v>
      </c>
      <c r="C190">
        <v>5</v>
      </c>
      <c r="D190" s="260">
        <v>46206</v>
      </c>
      <c r="E190" s="260">
        <v>46212</v>
      </c>
      <c r="F190">
        <v>32</v>
      </c>
      <c r="G190" t="s">
        <v>353</v>
      </c>
    </row>
    <row r="191" spans="1:7">
      <c r="A191" t="s">
        <v>726</v>
      </c>
      <c r="B191" t="s">
        <v>727</v>
      </c>
      <c r="C191">
        <v>12</v>
      </c>
      <c r="D191" s="260">
        <v>46140</v>
      </c>
      <c r="E191" s="260">
        <v>46156</v>
      </c>
      <c r="F191">
        <v>92</v>
      </c>
      <c r="G191" t="s">
        <v>353</v>
      </c>
    </row>
    <row r="192" spans="1:7">
      <c r="A192" t="s">
        <v>728</v>
      </c>
      <c r="B192" t="s">
        <v>729</v>
      </c>
      <c r="C192">
        <v>10</v>
      </c>
      <c r="D192" s="260">
        <v>46178</v>
      </c>
      <c r="E192" s="260">
        <v>46191</v>
      </c>
      <c r="F192">
        <v>112</v>
      </c>
      <c r="G192" t="s">
        <v>353</v>
      </c>
    </row>
    <row r="193" spans="1:7">
      <c r="A193" t="s">
        <v>730</v>
      </c>
      <c r="B193" t="s">
        <v>731</v>
      </c>
      <c r="C193">
        <v>5</v>
      </c>
      <c r="D193" s="260">
        <v>46206</v>
      </c>
      <c r="E193" s="260">
        <v>46212</v>
      </c>
      <c r="F193">
        <v>112</v>
      </c>
      <c r="G193" t="s">
        <v>353</v>
      </c>
    </row>
    <row r="194" spans="1:7">
      <c r="A194" t="s">
        <v>732</v>
      </c>
      <c r="B194" t="s">
        <v>733</v>
      </c>
      <c r="C194">
        <v>8</v>
      </c>
      <c r="D194" s="260">
        <v>46140</v>
      </c>
      <c r="E194" s="260">
        <v>46150</v>
      </c>
      <c r="F194">
        <v>1</v>
      </c>
      <c r="G194" t="s">
        <v>353</v>
      </c>
    </row>
    <row r="195" spans="1:7">
      <c r="A195" t="s">
        <v>734</v>
      </c>
      <c r="B195" t="s">
        <v>735</v>
      </c>
      <c r="C195">
        <v>10</v>
      </c>
      <c r="D195" s="260">
        <v>46170</v>
      </c>
      <c r="E195" s="260">
        <v>46185</v>
      </c>
      <c r="F195">
        <v>43</v>
      </c>
      <c r="G195" t="s">
        <v>353</v>
      </c>
    </row>
    <row r="196" spans="1:7">
      <c r="A196" t="s">
        <v>736</v>
      </c>
      <c r="B196" t="s">
        <v>737</v>
      </c>
      <c r="C196">
        <v>5</v>
      </c>
      <c r="D196" s="260">
        <v>46206</v>
      </c>
      <c r="E196" s="260">
        <v>46212</v>
      </c>
      <c r="F196">
        <v>39</v>
      </c>
      <c r="G196" t="s">
        <v>353</v>
      </c>
    </row>
    <row r="197" spans="1:7">
      <c r="A197" t="s">
        <v>738</v>
      </c>
      <c r="B197" t="s">
        <v>739</v>
      </c>
      <c r="C197">
        <v>8</v>
      </c>
      <c r="D197" s="260">
        <v>46140</v>
      </c>
      <c r="E197" s="260">
        <v>46150</v>
      </c>
      <c r="F197">
        <v>0</v>
      </c>
      <c r="G197" t="s">
        <v>353</v>
      </c>
    </row>
    <row r="198" spans="1:7">
      <c r="A198" t="s">
        <v>740</v>
      </c>
      <c r="B198" t="s">
        <v>741</v>
      </c>
      <c r="C198">
        <v>10</v>
      </c>
      <c r="D198" s="260">
        <v>46170</v>
      </c>
      <c r="E198" s="260">
        <v>46185</v>
      </c>
      <c r="F198">
        <v>16</v>
      </c>
      <c r="G198" t="s">
        <v>353</v>
      </c>
    </row>
    <row r="199" spans="1:7">
      <c r="A199" t="s">
        <v>742</v>
      </c>
      <c r="B199" t="s">
        <v>743</v>
      </c>
      <c r="C199">
        <v>5</v>
      </c>
      <c r="D199" s="260">
        <v>46206</v>
      </c>
      <c r="E199" s="260">
        <v>46212</v>
      </c>
      <c r="F199">
        <v>12</v>
      </c>
      <c r="G199" t="s">
        <v>353</v>
      </c>
    </row>
    <row r="200" spans="1:7">
      <c r="A200" t="s">
        <v>744</v>
      </c>
      <c r="B200" t="s">
        <v>745</v>
      </c>
      <c r="C200">
        <v>10</v>
      </c>
      <c r="D200" s="260">
        <v>46160</v>
      </c>
      <c r="E200" s="260">
        <v>46171</v>
      </c>
      <c r="F200">
        <v>4</v>
      </c>
      <c r="G200" t="s">
        <v>353</v>
      </c>
    </row>
    <row r="201" spans="1:7">
      <c r="A201" t="s">
        <v>746</v>
      </c>
      <c r="B201" t="s">
        <v>747</v>
      </c>
      <c r="C201">
        <v>10</v>
      </c>
      <c r="D201" s="260">
        <v>46195</v>
      </c>
      <c r="E201" s="260">
        <v>46206</v>
      </c>
      <c r="F201">
        <v>106</v>
      </c>
      <c r="G201" t="s">
        <v>353</v>
      </c>
    </row>
    <row r="202" spans="1:7">
      <c r="A202" t="s">
        <v>748</v>
      </c>
      <c r="B202" t="s">
        <v>749</v>
      </c>
      <c r="C202">
        <v>5</v>
      </c>
      <c r="D202" s="260">
        <v>46216</v>
      </c>
      <c r="E202" s="260">
        <v>46220</v>
      </c>
      <c r="F202">
        <v>106</v>
      </c>
      <c r="G202" t="s">
        <v>353</v>
      </c>
    </row>
    <row r="203" spans="1:7">
      <c r="A203" t="s">
        <v>750</v>
      </c>
      <c r="B203" t="s">
        <v>751</v>
      </c>
      <c r="C203">
        <v>15</v>
      </c>
      <c r="D203" s="260">
        <v>46112</v>
      </c>
      <c r="E203" s="260">
        <v>46136</v>
      </c>
      <c r="F203">
        <v>-26</v>
      </c>
      <c r="G203" t="s">
        <v>353</v>
      </c>
    </row>
    <row r="204" spans="1:7">
      <c r="A204" t="s">
        <v>752</v>
      </c>
      <c r="B204" t="s">
        <v>753</v>
      </c>
      <c r="C204">
        <v>5</v>
      </c>
      <c r="D204" s="260">
        <v>46167</v>
      </c>
      <c r="E204" s="260">
        <v>46171</v>
      </c>
      <c r="F204">
        <v>44</v>
      </c>
      <c r="G204" t="s">
        <v>353</v>
      </c>
    </row>
    <row r="205" spans="1:7">
      <c r="A205" t="s">
        <v>754</v>
      </c>
      <c r="B205" t="s">
        <v>755</v>
      </c>
      <c r="C205">
        <v>5</v>
      </c>
      <c r="D205" s="260">
        <v>46206</v>
      </c>
      <c r="E205" s="260">
        <v>46212</v>
      </c>
      <c r="F205">
        <v>32</v>
      </c>
      <c r="G205" t="s">
        <v>353</v>
      </c>
    </row>
    <row r="206" spans="1:7">
      <c r="A206" t="s">
        <v>756</v>
      </c>
      <c r="B206" t="s">
        <v>757</v>
      </c>
      <c r="C206">
        <v>15</v>
      </c>
      <c r="D206" s="260">
        <v>46112</v>
      </c>
      <c r="E206" s="260">
        <v>46136</v>
      </c>
      <c r="F206">
        <v>138</v>
      </c>
      <c r="G206" t="s">
        <v>353</v>
      </c>
    </row>
    <row r="207" spans="1:7">
      <c r="A207" t="s">
        <v>758</v>
      </c>
      <c r="B207" t="s">
        <v>759</v>
      </c>
      <c r="C207">
        <v>5</v>
      </c>
      <c r="D207" s="260">
        <v>46167</v>
      </c>
      <c r="E207" s="260">
        <v>46171</v>
      </c>
      <c r="F207">
        <v>129</v>
      </c>
      <c r="G207" t="s">
        <v>353</v>
      </c>
    </row>
    <row r="208" spans="1:7">
      <c r="A208" t="s">
        <v>760</v>
      </c>
      <c r="B208" t="s">
        <v>761</v>
      </c>
      <c r="C208">
        <v>5</v>
      </c>
      <c r="D208" s="260">
        <v>46206</v>
      </c>
      <c r="E208" s="260">
        <v>46212</v>
      </c>
      <c r="F208">
        <v>117</v>
      </c>
      <c r="G208" t="s">
        <v>353</v>
      </c>
    </row>
    <row r="209" spans="1:7">
      <c r="A209" t="s">
        <v>762</v>
      </c>
      <c r="B209" t="s">
        <v>763</v>
      </c>
      <c r="C209">
        <v>13</v>
      </c>
      <c r="D209" s="260">
        <v>46140</v>
      </c>
      <c r="E209" s="260">
        <v>46157</v>
      </c>
      <c r="F209">
        <v>-47</v>
      </c>
      <c r="G209" t="s">
        <v>353</v>
      </c>
    </row>
    <row r="210" spans="1:7">
      <c r="A210" t="s">
        <v>764</v>
      </c>
      <c r="B210" t="s">
        <v>765</v>
      </c>
      <c r="C210">
        <v>10</v>
      </c>
      <c r="D210" s="260">
        <v>46181</v>
      </c>
      <c r="E210" s="260">
        <v>46192</v>
      </c>
      <c r="F210">
        <v>32</v>
      </c>
      <c r="G210" t="s">
        <v>353</v>
      </c>
    </row>
    <row r="211" spans="1:7">
      <c r="A211" t="s">
        <v>766</v>
      </c>
      <c r="B211" t="s">
        <v>767</v>
      </c>
      <c r="C211">
        <v>5</v>
      </c>
      <c r="D211" s="260">
        <v>46206</v>
      </c>
      <c r="E211" s="260">
        <v>46212</v>
      </c>
      <c r="F211">
        <v>32</v>
      </c>
      <c r="G211" t="s">
        <v>353</v>
      </c>
    </row>
    <row r="212" spans="1:7">
      <c r="A212" t="s">
        <v>768</v>
      </c>
      <c r="B212" t="s">
        <v>769</v>
      </c>
      <c r="C212">
        <v>12</v>
      </c>
      <c r="D212" s="260">
        <v>46140</v>
      </c>
      <c r="E212" s="260">
        <v>46156</v>
      </c>
      <c r="F212">
        <v>-46</v>
      </c>
      <c r="G212" t="s">
        <v>353</v>
      </c>
    </row>
    <row r="213" spans="1:7">
      <c r="A213" t="s">
        <v>770</v>
      </c>
      <c r="B213" t="s">
        <v>771</v>
      </c>
      <c r="C213">
        <v>10</v>
      </c>
      <c r="D213" s="260">
        <v>46178</v>
      </c>
      <c r="E213" s="260">
        <v>46191</v>
      </c>
      <c r="F213">
        <v>32</v>
      </c>
      <c r="G213" t="s">
        <v>353</v>
      </c>
    </row>
    <row r="214" spans="1:7">
      <c r="A214" t="s">
        <v>772</v>
      </c>
      <c r="B214" t="s">
        <v>773</v>
      </c>
      <c r="C214">
        <v>5</v>
      </c>
      <c r="D214" s="260">
        <v>46206</v>
      </c>
      <c r="E214" s="260">
        <v>46212</v>
      </c>
      <c r="F214">
        <v>32</v>
      </c>
      <c r="G214" t="s">
        <v>353</v>
      </c>
    </row>
    <row r="215" spans="1:7">
      <c r="A215" t="s">
        <v>774</v>
      </c>
      <c r="B215" t="s">
        <v>775</v>
      </c>
      <c r="C215">
        <v>12</v>
      </c>
      <c r="D215" s="260">
        <v>46140</v>
      </c>
      <c r="E215" s="260">
        <v>46156</v>
      </c>
      <c r="F215">
        <v>92</v>
      </c>
      <c r="G215" t="s">
        <v>353</v>
      </c>
    </row>
    <row r="216" spans="1:7">
      <c r="A216" t="s">
        <v>776</v>
      </c>
      <c r="B216" t="s">
        <v>777</v>
      </c>
      <c r="C216">
        <v>10</v>
      </c>
      <c r="D216" s="260">
        <v>46178</v>
      </c>
      <c r="E216" s="260">
        <v>46191</v>
      </c>
      <c r="F216">
        <v>112</v>
      </c>
      <c r="G216" t="s">
        <v>353</v>
      </c>
    </row>
    <row r="217" spans="1:7">
      <c r="A217" t="s">
        <v>778</v>
      </c>
      <c r="B217" t="s">
        <v>779</v>
      </c>
      <c r="C217">
        <v>5</v>
      </c>
      <c r="D217" s="260">
        <v>46206</v>
      </c>
      <c r="E217" s="260">
        <v>46212</v>
      </c>
      <c r="F217">
        <v>112</v>
      </c>
      <c r="G217" t="s">
        <v>353</v>
      </c>
    </row>
    <row r="218" spans="1:7">
      <c r="A218" t="s">
        <v>780</v>
      </c>
      <c r="B218" t="s">
        <v>781</v>
      </c>
      <c r="C218">
        <v>9</v>
      </c>
      <c r="D218" s="260">
        <v>46140</v>
      </c>
      <c r="E218" s="260">
        <v>46153</v>
      </c>
      <c r="F218">
        <v>0</v>
      </c>
      <c r="G218" t="s">
        <v>353</v>
      </c>
    </row>
    <row r="219" spans="1:7">
      <c r="A219" t="s">
        <v>782</v>
      </c>
      <c r="B219" t="s">
        <v>783</v>
      </c>
      <c r="C219">
        <v>10</v>
      </c>
      <c r="D219" s="260">
        <v>46171</v>
      </c>
      <c r="E219" s="260">
        <v>46188</v>
      </c>
      <c r="F219">
        <v>42</v>
      </c>
      <c r="G219" t="s">
        <v>353</v>
      </c>
    </row>
    <row r="220" spans="1:7">
      <c r="A220" t="s">
        <v>784</v>
      </c>
      <c r="B220" t="s">
        <v>785</v>
      </c>
      <c r="C220">
        <v>5</v>
      </c>
      <c r="D220" s="260">
        <v>46206</v>
      </c>
      <c r="E220" s="260">
        <v>46212</v>
      </c>
      <c r="F220">
        <v>39</v>
      </c>
      <c r="G220" t="s">
        <v>353</v>
      </c>
    </row>
    <row r="221" spans="1:7">
      <c r="A221" t="s">
        <v>786</v>
      </c>
      <c r="B221" t="s">
        <v>787</v>
      </c>
      <c r="C221">
        <v>8</v>
      </c>
      <c r="D221" s="260">
        <v>46140</v>
      </c>
      <c r="E221" s="260">
        <v>46150</v>
      </c>
      <c r="F221">
        <v>0</v>
      </c>
      <c r="G221" t="s">
        <v>353</v>
      </c>
    </row>
    <row r="222" spans="1:7">
      <c r="A222" t="s">
        <v>788</v>
      </c>
      <c r="B222" t="s">
        <v>789</v>
      </c>
      <c r="C222">
        <v>10</v>
      </c>
      <c r="D222" s="260">
        <v>46170</v>
      </c>
      <c r="E222" s="260">
        <v>46185</v>
      </c>
      <c r="F222">
        <v>16</v>
      </c>
      <c r="G222" t="s">
        <v>353</v>
      </c>
    </row>
    <row r="223" spans="1:7">
      <c r="A223" t="s">
        <v>790</v>
      </c>
      <c r="B223" t="s">
        <v>791</v>
      </c>
      <c r="C223">
        <v>5</v>
      </c>
      <c r="D223" s="260">
        <v>46206</v>
      </c>
      <c r="E223" s="260">
        <v>46212</v>
      </c>
      <c r="F223">
        <v>12</v>
      </c>
      <c r="G223" t="s">
        <v>353</v>
      </c>
    </row>
    <row r="224" spans="1:7">
      <c r="A224" t="s">
        <v>792</v>
      </c>
      <c r="B224" t="s">
        <v>793</v>
      </c>
      <c r="C224">
        <v>10</v>
      </c>
      <c r="D224" s="260">
        <v>46160</v>
      </c>
      <c r="E224" s="260">
        <v>46171</v>
      </c>
      <c r="F224">
        <v>4</v>
      </c>
      <c r="G224" t="s">
        <v>353</v>
      </c>
    </row>
    <row r="225" spans="1:7">
      <c r="A225" t="s">
        <v>794</v>
      </c>
      <c r="B225" t="s">
        <v>795</v>
      </c>
      <c r="C225">
        <v>10</v>
      </c>
      <c r="D225" s="260">
        <v>46195</v>
      </c>
      <c r="E225" s="260">
        <v>46206</v>
      </c>
      <c r="F225">
        <v>106</v>
      </c>
      <c r="G225" t="s">
        <v>353</v>
      </c>
    </row>
    <row r="226" spans="1:7">
      <c r="A226" t="s">
        <v>796</v>
      </c>
      <c r="B226" t="s">
        <v>797</v>
      </c>
      <c r="C226">
        <v>5</v>
      </c>
      <c r="D226" s="260">
        <v>46216</v>
      </c>
      <c r="E226" s="260">
        <v>46220</v>
      </c>
      <c r="F226">
        <v>106</v>
      </c>
      <c r="G226" t="s">
        <v>353</v>
      </c>
    </row>
    <row r="227" spans="1:7">
      <c r="A227" t="s">
        <v>798</v>
      </c>
      <c r="B227" t="s">
        <v>799</v>
      </c>
      <c r="C227">
        <v>8</v>
      </c>
      <c r="D227" s="260">
        <v>46140</v>
      </c>
      <c r="E227" s="260">
        <v>46150</v>
      </c>
      <c r="F227">
        <v>0</v>
      </c>
      <c r="G227" t="s">
        <v>353</v>
      </c>
    </row>
    <row r="228" spans="1:7">
      <c r="A228" t="s">
        <v>800</v>
      </c>
      <c r="B228" t="s">
        <v>801</v>
      </c>
      <c r="C228">
        <v>10</v>
      </c>
      <c r="D228" s="260">
        <v>46170</v>
      </c>
      <c r="E228" s="260">
        <v>46185</v>
      </c>
      <c r="F228">
        <v>31</v>
      </c>
      <c r="G228" t="s">
        <v>353</v>
      </c>
    </row>
    <row r="229" spans="1:7">
      <c r="A229" t="s">
        <v>802</v>
      </c>
      <c r="B229" t="s">
        <v>803</v>
      </c>
      <c r="C229">
        <v>5</v>
      </c>
      <c r="D229" s="260">
        <v>46206</v>
      </c>
      <c r="E229" s="260">
        <v>46212</v>
      </c>
      <c r="F229">
        <v>27</v>
      </c>
      <c r="G229" t="s">
        <v>353</v>
      </c>
    </row>
    <row r="230" spans="1:7">
      <c r="A230" t="s">
        <v>804</v>
      </c>
      <c r="B230" t="s">
        <v>805</v>
      </c>
      <c r="C230">
        <v>6</v>
      </c>
      <c r="D230" s="260">
        <v>46122</v>
      </c>
      <c r="E230" s="260">
        <v>46134</v>
      </c>
      <c r="F230">
        <v>-33</v>
      </c>
      <c r="G230" t="s">
        <v>353</v>
      </c>
    </row>
    <row r="231" spans="1:7">
      <c r="A231" t="s">
        <v>806</v>
      </c>
      <c r="B231" t="s">
        <v>807</v>
      </c>
      <c r="C231">
        <v>10</v>
      </c>
      <c r="D231" s="260">
        <v>46156</v>
      </c>
      <c r="E231" s="260">
        <v>46169</v>
      </c>
      <c r="F231">
        <v>8</v>
      </c>
      <c r="G231" t="s">
        <v>353</v>
      </c>
    </row>
    <row r="232" spans="1:7">
      <c r="A232" t="s">
        <v>808</v>
      </c>
      <c r="B232" t="s">
        <v>809</v>
      </c>
      <c r="C232">
        <v>5</v>
      </c>
      <c r="D232" s="260">
        <v>46206</v>
      </c>
      <c r="E232" s="260">
        <v>46212</v>
      </c>
      <c r="F232">
        <v>-6</v>
      </c>
      <c r="G232" t="s">
        <v>353</v>
      </c>
    </row>
    <row r="233" spans="1:7">
      <c r="A233" t="s">
        <v>810</v>
      </c>
      <c r="B233" t="s">
        <v>811</v>
      </c>
      <c r="C233">
        <v>6</v>
      </c>
      <c r="D233" s="260">
        <v>46122</v>
      </c>
      <c r="E233" s="260">
        <v>46134</v>
      </c>
      <c r="F233">
        <v>0</v>
      </c>
      <c r="G233" t="s">
        <v>353</v>
      </c>
    </row>
    <row r="234" spans="1:7">
      <c r="A234" t="s">
        <v>812</v>
      </c>
      <c r="B234" t="s">
        <v>813</v>
      </c>
      <c r="C234">
        <v>10</v>
      </c>
      <c r="D234" s="260">
        <v>46156</v>
      </c>
      <c r="E234" s="260">
        <v>46169</v>
      </c>
      <c r="F234">
        <v>41</v>
      </c>
      <c r="G234" t="s">
        <v>353</v>
      </c>
    </row>
    <row r="235" spans="1:7">
      <c r="A235" t="s">
        <v>814</v>
      </c>
      <c r="B235" t="s">
        <v>815</v>
      </c>
      <c r="C235">
        <v>5</v>
      </c>
      <c r="D235" s="260">
        <v>46206</v>
      </c>
      <c r="E235" s="260">
        <v>46212</v>
      </c>
      <c r="F235">
        <v>27</v>
      </c>
      <c r="G235" t="s">
        <v>353</v>
      </c>
    </row>
    <row r="236" spans="1:7">
      <c r="A236" t="s">
        <v>816</v>
      </c>
      <c r="B236" t="s">
        <v>817</v>
      </c>
      <c r="C236">
        <v>15</v>
      </c>
      <c r="D236" s="260">
        <v>46156</v>
      </c>
      <c r="E236" s="260">
        <v>46178</v>
      </c>
      <c r="F236">
        <v>72</v>
      </c>
      <c r="G236" t="s">
        <v>353</v>
      </c>
    </row>
    <row r="237" spans="1:7">
      <c r="A237" t="s">
        <v>818</v>
      </c>
      <c r="B237" t="s">
        <v>819</v>
      </c>
      <c r="C237">
        <v>10</v>
      </c>
      <c r="D237" s="260">
        <v>46202</v>
      </c>
      <c r="E237" s="260">
        <v>46213</v>
      </c>
      <c r="F237">
        <v>101</v>
      </c>
      <c r="G237" t="s">
        <v>353</v>
      </c>
    </row>
    <row r="238" spans="1:7">
      <c r="A238" t="s">
        <v>820</v>
      </c>
      <c r="B238" t="s">
        <v>821</v>
      </c>
      <c r="C238">
        <v>5</v>
      </c>
      <c r="D238" s="260">
        <v>46223</v>
      </c>
      <c r="E238" s="260">
        <v>46227</v>
      </c>
      <c r="F238">
        <v>101</v>
      </c>
      <c r="G238" t="s">
        <v>353</v>
      </c>
    </row>
    <row r="239" spans="1:7">
      <c r="A239" t="s">
        <v>822</v>
      </c>
      <c r="C239">
        <v>165</v>
      </c>
      <c r="D239" s="260">
        <v>46136</v>
      </c>
      <c r="E239" s="260">
        <v>46384</v>
      </c>
      <c r="F239">
        <v>4</v>
      </c>
      <c r="G239" t="s">
        <v>353</v>
      </c>
    </row>
    <row r="240" spans="1:7">
      <c r="A240" t="s">
        <v>823</v>
      </c>
      <c r="B240" t="s">
        <v>824</v>
      </c>
      <c r="C240">
        <v>10</v>
      </c>
      <c r="D240" s="260">
        <v>46199</v>
      </c>
      <c r="E240" s="260">
        <v>46212</v>
      </c>
      <c r="F240">
        <v>-26</v>
      </c>
      <c r="G240" t="s">
        <v>353</v>
      </c>
    </row>
    <row r="241" spans="1:7">
      <c r="A241" t="s">
        <v>825</v>
      </c>
      <c r="B241" t="s">
        <v>826</v>
      </c>
      <c r="C241">
        <v>5</v>
      </c>
      <c r="D241" s="260">
        <v>46301</v>
      </c>
      <c r="E241" s="260">
        <v>46307</v>
      </c>
      <c r="F241">
        <v>-26</v>
      </c>
      <c r="G241" t="s">
        <v>353</v>
      </c>
    </row>
    <row r="242" spans="1:7">
      <c r="A242" t="s">
        <v>827</v>
      </c>
      <c r="B242" t="s">
        <v>828</v>
      </c>
      <c r="C242">
        <v>10</v>
      </c>
      <c r="D242" s="260">
        <v>46211</v>
      </c>
      <c r="E242" s="260">
        <v>46224</v>
      </c>
      <c r="F242">
        <v>-30</v>
      </c>
      <c r="G242" t="s">
        <v>353</v>
      </c>
    </row>
    <row r="243" spans="1:7">
      <c r="A243" t="s">
        <v>829</v>
      </c>
      <c r="B243" t="s">
        <v>830</v>
      </c>
      <c r="C243">
        <v>5</v>
      </c>
      <c r="D243" s="260">
        <v>46307</v>
      </c>
      <c r="E243" s="260">
        <v>46314</v>
      </c>
      <c r="F243">
        <v>-30</v>
      </c>
      <c r="G243" t="s">
        <v>353</v>
      </c>
    </row>
    <row r="244" spans="1:7">
      <c r="A244" t="s">
        <v>831</v>
      </c>
      <c r="B244" t="s">
        <v>832</v>
      </c>
      <c r="C244">
        <v>10</v>
      </c>
      <c r="D244" s="260">
        <v>46192</v>
      </c>
      <c r="E244" s="260">
        <v>46205</v>
      </c>
      <c r="F244">
        <v>-21</v>
      </c>
      <c r="G244" t="s">
        <v>353</v>
      </c>
    </row>
    <row r="245" spans="1:7">
      <c r="A245" t="s">
        <v>833</v>
      </c>
      <c r="B245" t="s">
        <v>834</v>
      </c>
      <c r="C245">
        <v>5</v>
      </c>
      <c r="D245" s="260">
        <v>46294</v>
      </c>
      <c r="E245" s="260">
        <v>46300</v>
      </c>
      <c r="F245">
        <v>-21</v>
      </c>
      <c r="G245" t="s">
        <v>353</v>
      </c>
    </row>
    <row r="246" spans="1:7">
      <c r="A246" t="s">
        <v>835</v>
      </c>
      <c r="B246" t="s">
        <v>836</v>
      </c>
      <c r="C246">
        <v>10</v>
      </c>
      <c r="D246" s="260">
        <v>46225</v>
      </c>
      <c r="E246" s="260">
        <v>46241</v>
      </c>
      <c r="F246">
        <v>-47</v>
      </c>
      <c r="G246" t="s">
        <v>353</v>
      </c>
    </row>
    <row r="247" spans="1:7">
      <c r="A247" t="s">
        <v>837</v>
      </c>
      <c r="B247" t="s">
        <v>838</v>
      </c>
      <c r="C247">
        <v>5</v>
      </c>
      <c r="D247" s="260">
        <v>46332</v>
      </c>
      <c r="E247" s="260">
        <v>46338</v>
      </c>
      <c r="F247">
        <v>-47</v>
      </c>
      <c r="G247" t="s">
        <v>353</v>
      </c>
    </row>
    <row r="248" spans="1:7">
      <c r="A248" t="s">
        <v>839</v>
      </c>
      <c r="B248" t="s">
        <v>840</v>
      </c>
      <c r="C248">
        <v>10</v>
      </c>
      <c r="D248" s="260">
        <v>46147</v>
      </c>
      <c r="E248" s="260">
        <v>46160</v>
      </c>
      <c r="F248">
        <v>92</v>
      </c>
      <c r="G248" t="s">
        <v>353</v>
      </c>
    </row>
    <row r="249" spans="1:7">
      <c r="A249" t="s">
        <v>841</v>
      </c>
      <c r="B249" t="s">
        <v>842</v>
      </c>
      <c r="C249">
        <v>5</v>
      </c>
      <c r="D249" s="260">
        <v>46247</v>
      </c>
      <c r="E249" s="260">
        <v>46253</v>
      </c>
      <c r="F249">
        <v>92</v>
      </c>
      <c r="G249" t="s">
        <v>353</v>
      </c>
    </row>
    <row r="250" spans="1:7">
      <c r="A250" t="s">
        <v>843</v>
      </c>
      <c r="B250" t="s">
        <v>844</v>
      </c>
      <c r="C250">
        <v>10</v>
      </c>
      <c r="D250" s="260">
        <v>46219</v>
      </c>
      <c r="E250" s="260">
        <v>46237</v>
      </c>
      <c r="F250">
        <v>41</v>
      </c>
      <c r="G250" t="s">
        <v>353</v>
      </c>
    </row>
    <row r="251" spans="1:7">
      <c r="A251" t="s">
        <v>845</v>
      </c>
      <c r="B251" t="s">
        <v>846</v>
      </c>
      <c r="C251">
        <v>5</v>
      </c>
      <c r="D251" s="260">
        <v>46322</v>
      </c>
      <c r="E251" s="260">
        <v>46328</v>
      </c>
      <c r="F251">
        <v>41</v>
      </c>
      <c r="G251" t="s">
        <v>353</v>
      </c>
    </row>
    <row r="252" spans="1:7">
      <c r="A252" t="s">
        <v>847</v>
      </c>
      <c r="B252" t="s">
        <v>848</v>
      </c>
      <c r="C252">
        <v>5</v>
      </c>
      <c r="D252" s="260">
        <v>46149</v>
      </c>
      <c r="E252" s="260">
        <v>46155</v>
      </c>
      <c r="F252">
        <v>-34</v>
      </c>
      <c r="G252" t="s">
        <v>353</v>
      </c>
    </row>
    <row r="253" spans="1:7">
      <c r="A253" t="s">
        <v>849</v>
      </c>
      <c r="B253" t="s">
        <v>850</v>
      </c>
      <c r="C253">
        <v>5</v>
      </c>
      <c r="D253" s="260">
        <v>46241</v>
      </c>
      <c r="E253" s="260">
        <v>46248</v>
      </c>
      <c r="F253">
        <v>-34</v>
      </c>
      <c r="G253" t="s">
        <v>353</v>
      </c>
    </row>
    <row r="254" spans="1:7">
      <c r="A254" t="s">
        <v>851</v>
      </c>
      <c r="B254" t="s">
        <v>852</v>
      </c>
      <c r="C254">
        <v>10</v>
      </c>
      <c r="D254" s="260">
        <v>46169</v>
      </c>
      <c r="E254" s="260">
        <v>46184</v>
      </c>
      <c r="F254">
        <v>0</v>
      </c>
      <c r="G254" t="s">
        <v>353</v>
      </c>
    </row>
    <row r="255" spans="1:7">
      <c r="A255" t="s">
        <v>853</v>
      </c>
      <c r="B255" t="s">
        <v>854</v>
      </c>
      <c r="C255">
        <v>5</v>
      </c>
      <c r="D255" s="260">
        <v>46274</v>
      </c>
      <c r="E255" s="260">
        <v>46280</v>
      </c>
      <c r="F255">
        <v>0</v>
      </c>
      <c r="G255" t="s">
        <v>353</v>
      </c>
    </row>
    <row r="256" spans="1:7">
      <c r="A256" t="s">
        <v>855</v>
      </c>
      <c r="B256" t="s">
        <v>856</v>
      </c>
      <c r="C256">
        <v>10</v>
      </c>
      <c r="D256" s="260">
        <v>46136</v>
      </c>
      <c r="E256" s="260">
        <v>46150</v>
      </c>
      <c r="F256">
        <v>0</v>
      </c>
      <c r="G256" t="s">
        <v>353</v>
      </c>
    </row>
    <row r="257" spans="1:7">
      <c r="A257" t="s">
        <v>857</v>
      </c>
      <c r="B257" t="s">
        <v>858</v>
      </c>
      <c r="C257">
        <v>5</v>
      </c>
      <c r="D257" s="260">
        <v>46234</v>
      </c>
      <c r="E257" s="260">
        <v>46240</v>
      </c>
      <c r="F257">
        <v>0</v>
      </c>
      <c r="G257" t="s">
        <v>353</v>
      </c>
    </row>
    <row r="258" spans="1:7">
      <c r="A258" t="s">
        <v>859</v>
      </c>
      <c r="B258" t="s">
        <v>860</v>
      </c>
      <c r="C258">
        <v>10</v>
      </c>
      <c r="D258" s="260">
        <v>46272</v>
      </c>
      <c r="E258" s="260">
        <v>46283</v>
      </c>
      <c r="F258">
        <v>4</v>
      </c>
      <c r="G258" t="s">
        <v>353</v>
      </c>
    </row>
    <row r="259" spans="1:7">
      <c r="A259" t="s">
        <v>861</v>
      </c>
      <c r="B259" t="s">
        <v>862</v>
      </c>
      <c r="C259">
        <v>5</v>
      </c>
      <c r="D259" s="260">
        <v>46377</v>
      </c>
      <c r="E259" s="260">
        <v>46384</v>
      </c>
      <c r="F259">
        <v>4</v>
      </c>
      <c r="G259" t="s">
        <v>353</v>
      </c>
    </row>
    <row r="260" spans="1:7">
      <c r="A260" t="s">
        <v>863</v>
      </c>
      <c r="B260" t="s">
        <v>864</v>
      </c>
      <c r="C260">
        <v>10</v>
      </c>
      <c r="D260" s="260">
        <v>46150</v>
      </c>
      <c r="E260" s="260">
        <v>46163</v>
      </c>
      <c r="F260">
        <v>-33</v>
      </c>
      <c r="G260" t="s">
        <v>353</v>
      </c>
    </row>
    <row r="261" spans="1:7">
      <c r="A261" t="s">
        <v>865</v>
      </c>
      <c r="B261" t="s">
        <v>866</v>
      </c>
      <c r="C261">
        <v>5</v>
      </c>
      <c r="D261" s="260">
        <v>46258</v>
      </c>
      <c r="E261" s="260">
        <v>46262</v>
      </c>
      <c r="F261">
        <v>-33</v>
      </c>
      <c r="G261" t="s">
        <v>353</v>
      </c>
    </row>
    <row r="262" spans="1:7">
      <c r="A262" t="s">
        <v>867</v>
      </c>
      <c r="B262" t="s">
        <v>868</v>
      </c>
      <c r="C262">
        <v>10</v>
      </c>
      <c r="D262" s="260">
        <v>46150</v>
      </c>
      <c r="E262" s="260">
        <v>46163</v>
      </c>
      <c r="F262">
        <v>0</v>
      </c>
      <c r="G262" t="s">
        <v>353</v>
      </c>
    </row>
    <row r="263" spans="1:7">
      <c r="A263" t="s">
        <v>869</v>
      </c>
      <c r="B263" t="s">
        <v>870</v>
      </c>
      <c r="C263">
        <v>5</v>
      </c>
      <c r="D263" s="260">
        <v>46258</v>
      </c>
      <c r="E263" s="260">
        <v>46262</v>
      </c>
      <c r="F263">
        <v>0</v>
      </c>
      <c r="G263" t="s">
        <v>353</v>
      </c>
    </row>
    <row r="264" spans="1:7">
      <c r="A264" t="s">
        <v>871</v>
      </c>
      <c r="B264" t="s">
        <v>872</v>
      </c>
      <c r="C264">
        <v>10</v>
      </c>
      <c r="D264" s="260">
        <v>46150</v>
      </c>
      <c r="E264" s="260">
        <v>46163</v>
      </c>
      <c r="F264">
        <v>0</v>
      </c>
      <c r="G264" t="s">
        <v>353</v>
      </c>
    </row>
    <row r="265" spans="1:7">
      <c r="A265" t="s">
        <v>873</v>
      </c>
      <c r="B265" t="s">
        <v>874</v>
      </c>
      <c r="C265">
        <v>5</v>
      </c>
      <c r="D265" s="260">
        <v>46258</v>
      </c>
      <c r="E265" s="260">
        <v>46262</v>
      </c>
      <c r="F265">
        <v>0</v>
      </c>
      <c r="G265" t="s">
        <v>353</v>
      </c>
    </row>
    <row r="266" spans="1:7">
      <c r="A266" t="s">
        <v>875</v>
      </c>
      <c r="B266" t="s">
        <v>876</v>
      </c>
      <c r="C266">
        <v>10</v>
      </c>
      <c r="D266" s="260">
        <v>46178</v>
      </c>
      <c r="E266" s="260">
        <v>46191</v>
      </c>
      <c r="F266">
        <v>72</v>
      </c>
      <c r="G266" t="s">
        <v>353</v>
      </c>
    </row>
    <row r="267" spans="1:7">
      <c r="A267" t="s">
        <v>877</v>
      </c>
      <c r="B267" t="s">
        <v>878</v>
      </c>
      <c r="C267">
        <v>5</v>
      </c>
      <c r="D267" s="260">
        <v>46275</v>
      </c>
      <c r="E267" s="260">
        <v>46281</v>
      </c>
      <c r="F267">
        <v>72</v>
      </c>
      <c r="G267" t="s">
        <v>353</v>
      </c>
    </row>
    <row r="268" spans="1:7">
      <c r="A268" t="s">
        <v>879</v>
      </c>
      <c r="C268">
        <v>129</v>
      </c>
      <c r="D268" s="260">
        <v>46168</v>
      </c>
      <c r="E268" s="260">
        <v>46358</v>
      </c>
      <c r="F268">
        <v>4</v>
      </c>
      <c r="G268" t="s">
        <v>353</v>
      </c>
    </row>
    <row r="269" spans="1:7">
      <c r="A269" t="s">
        <v>880</v>
      </c>
      <c r="B269" t="s">
        <v>881</v>
      </c>
      <c r="C269">
        <v>20</v>
      </c>
      <c r="D269" s="260">
        <v>46237</v>
      </c>
      <c r="E269" s="260">
        <v>46265</v>
      </c>
      <c r="F269">
        <v>-26</v>
      </c>
      <c r="G269" t="s">
        <v>353</v>
      </c>
    </row>
    <row r="270" spans="1:7">
      <c r="A270" t="s">
        <v>882</v>
      </c>
      <c r="B270" t="s">
        <v>883</v>
      </c>
      <c r="C270">
        <v>5</v>
      </c>
      <c r="D270" s="260">
        <v>46280</v>
      </c>
      <c r="E270" s="260">
        <v>46286</v>
      </c>
      <c r="F270">
        <v>-26</v>
      </c>
      <c r="G270" t="s">
        <v>353</v>
      </c>
    </row>
    <row r="271" spans="1:7">
      <c r="A271" t="s">
        <v>884</v>
      </c>
      <c r="B271" t="s">
        <v>885</v>
      </c>
      <c r="C271">
        <v>20</v>
      </c>
      <c r="D271" s="260">
        <v>46241</v>
      </c>
      <c r="E271" s="260">
        <v>46269</v>
      </c>
      <c r="F271">
        <v>-30</v>
      </c>
      <c r="G271" t="s">
        <v>353</v>
      </c>
    </row>
    <row r="272" spans="1:7">
      <c r="A272" t="s">
        <v>886</v>
      </c>
      <c r="B272" t="s">
        <v>887</v>
      </c>
      <c r="C272">
        <v>5</v>
      </c>
      <c r="D272" s="260">
        <v>46286</v>
      </c>
      <c r="E272" s="260">
        <v>46290</v>
      </c>
      <c r="F272">
        <v>-30</v>
      </c>
      <c r="G272" t="s">
        <v>353</v>
      </c>
    </row>
    <row r="273" spans="1:7">
      <c r="A273" t="s">
        <v>888</v>
      </c>
      <c r="B273" t="s">
        <v>889</v>
      </c>
      <c r="C273">
        <v>17</v>
      </c>
      <c r="D273" s="260">
        <v>46230</v>
      </c>
      <c r="E273" s="260">
        <v>46258</v>
      </c>
      <c r="F273">
        <v>-21</v>
      </c>
      <c r="G273" t="s">
        <v>353</v>
      </c>
    </row>
    <row r="274" spans="1:7">
      <c r="A274" t="s">
        <v>890</v>
      </c>
      <c r="B274" t="s">
        <v>891</v>
      </c>
      <c r="C274">
        <v>5</v>
      </c>
      <c r="D274" s="260">
        <v>46273</v>
      </c>
      <c r="E274" s="260">
        <v>46279</v>
      </c>
      <c r="F274">
        <v>-21</v>
      </c>
      <c r="G274" t="s">
        <v>353</v>
      </c>
    </row>
    <row r="275" spans="1:7">
      <c r="A275" t="s">
        <v>892</v>
      </c>
      <c r="B275" t="s">
        <v>893</v>
      </c>
      <c r="C275">
        <v>20</v>
      </c>
      <c r="D275" s="260">
        <v>46267</v>
      </c>
      <c r="E275" s="260">
        <v>46294</v>
      </c>
      <c r="F275">
        <v>-47</v>
      </c>
      <c r="G275" t="s">
        <v>353</v>
      </c>
    </row>
    <row r="276" spans="1:7">
      <c r="A276" t="s">
        <v>894</v>
      </c>
      <c r="B276" t="s">
        <v>895</v>
      </c>
      <c r="C276">
        <v>5</v>
      </c>
      <c r="D276" s="260">
        <v>46310</v>
      </c>
      <c r="E276" s="260">
        <v>46316</v>
      </c>
      <c r="F276">
        <v>-47</v>
      </c>
      <c r="G276" t="s">
        <v>353</v>
      </c>
    </row>
    <row r="277" spans="1:7">
      <c r="A277" t="s">
        <v>896</v>
      </c>
      <c r="B277" t="s">
        <v>897</v>
      </c>
      <c r="C277">
        <v>20</v>
      </c>
      <c r="D277" s="260">
        <v>46178</v>
      </c>
      <c r="E277" s="260">
        <v>46205</v>
      </c>
      <c r="F277">
        <v>92</v>
      </c>
      <c r="G277" t="s">
        <v>353</v>
      </c>
    </row>
    <row r="278" spans="1:7">
      <c r="A278" t="s">
        <v>898</v>
      </c>
      <c r="B278" t="s">
        <v>899</v>
      </c>
      <c r="C278">
        <v>5</v>
      </c>
      <c r="D278" s="260">
        <v>46220</v>
      </c>
      <c r="E278" s="260">
        <v>46226</v>
      </c>
      <c r="F278">
        <v>92</v>
      </c>
      <c r="G278" t="s">
        <v>353</v>
      </c>
    </row>
    <row r="279" spans="1:7">
      <c r="A279" t="s">
        <v>900</v>
      </c>
      <c r="B279" t="s">
        <v>901</v>
      </c>
      <c r="C279">
        <v>20</v>
      </c>
      <c r="D279" s="260">
        <v>46255</v>
      </c>
      <c r="E279" s="260">
        <v>46282</v>
      </c>
      <c r="F279">
        <v>41</v>
      </c>
      <c r="G279" t="s">
        <v>353</v>
      </c>
    </row>
    <row r="280" spans="1:7">
      <c r="A280" t="s">
        <v>902</v>
      </c>
      <c r="B280" t="s">
        <v>903</v>
      </c>
      <c r="C280">
        <v>5</v>
      </c>
      <c r="D280" s="260">
        <v>46297</v>
      </c>
      <c r="E280" s="260">
        <v>46303</v>
      </c>
      <c r="F280">
        <v>41</v>
      </c>
      <c r="G280" t="s">
        <v>353</v>
      </c>
    </row>
    <row r="281" spans="1:7">
      <c r="A281" t="s">
        <v>904</v>
      </c>
      <c r="B281" t="s">
        <v>905</v>
      </c>
      <c r="C281">
        <v>20</v>
      </c>
      <c r="D281" s="260">
        <v>46171</v>
      </c>
      <c r="E281" s="260">
        <v>46202</v>
      </c>
      <c r="F281">
        <v>-34</v>
      </c>
      <c r="G281" t="s">
        <v>353</v>
      </c>
    </row>
    <row r="282" spans="1:7">
      <c r="A282" t="s">
        <v>906</v>
      </c>
      <c r="B282" t="s">
        <v>907</v>
      </c>
      <c r="C282">
        <v>5</v>
      </c>
      <c r="D282" s="260">
        <v>46217</v>
      </c>
      <c r="E282" s="260">
        <v>46223</v>
      </c>
      <c r="F282">
        <v>-34</v>
      </c>
      <c r="G282" t="s">
        <v>353</v>
      </c>
    </row>
    <row r="283" spans="1:7">
      <c r="A283" t="s">
        <v>908</v>
      </c>
      <c r="B283" t="s">
        <v>909</v>
      </c>
      <c r="C283">
        <v>17</v>
      </c>
      <c r="D283" s="260">
        <v>46210</v>
      </c>
      <c r="E283" s="260">
        <v>46237</v>
      </c>
      <c r="F283">
        <v>0</v>
      </c>
      <c r="G283" t="s">
        <v>353</v>
      </c>
    </row>
    <row r="284" spans="1:7">
      <c r="A284" t="s">
        <v>910</v>
      </c>
      <c r="B284" t="s">
        <v>911</v>
      </c>
      <c r="C284">
        <v>5</v>
      </c>
      <c r="D284" s="260">
        <v>46253</v>
      </c>
      <c r="E284" s="260">
        <v>46259</v>
      </c>
      <c r="F284">
        <v>0</v>
      </c>
      <c r="G284" t="s">
        <v>353</v>
      </c>
    </row>
    <row r="285" spans="1:7">
      <c r="A285" t="s">
        <v>912</v>
      </c>
      <c r="B285" t="s">
        <v>913</v>
      </c>
      <c r="C285">
        <v>18</v>
      </c>
      <c r="D285" s="260">
        <v>46168</v>
      </c>
      <c r="E285" s="260">
        <v>46195</v>
      </c>
      <c r="F285">
        <v>0</v>
      </c>
      <c r="G285" t="s">
        <v>353</v>
      </c>
    </row>
    <row r="286" spans="1:7">
      <c r="A286" t="s">
        <v>914</v>
      </c>
      <c r="B286" t="s">
        <v>915</v>
      </c>
      <c r="C286">
        <v>5</v>
      </c>
      <c r="D286" s="260">
        <v>46210</v>
      </c>
      <c r="E286" s="260">
        <v>46216</v>
      </c>
      <c r="F286">
        <v>0</v>
      </c>
      <c r="G286" t="s">
        <v>353</v>
      </c>
    </row>
    <row r="287" spans="1:7">
      <c r="A287" t="s">
        <v>916</v>
      </c>
      <c r="B287" t="s">
        <v>917</v>
      </c>
      <c r="C287">
        <v>14</v>
      </c>
      <c r="D287" s="260">
        <v>46317</v>
      </c>
      <c r="E287" s="260">
        <v>46337</v>
      </c>
      <c r="F287">
        <v>4</v>
      </c>
      <c r="G287" t="s">
        <v>353</v>
      </c>
    </row>
    <row r="288" spans="1:7">
      <c r="A288" t="s">
        <v>918</v>
      </c>
      <c r="B288" t="s">
        <v>919</v>
      </c>
      <c r="C288">
        <v>5</v>
      </c>
      <c r="D288" s="260">
        <v>46352</v>
      </c>
      <c r="E288" s="260">
        <v>46358</v>
      </c>
      <c r="F288">
        <v>4</v>
      </c>
      <c r="G288" t="s">
        <v>353</v>
      </c>
    </row>
    <row r="289" spans="1:7">
      <c r="A289" t="s">
        <v>920</v>
      </c>
      <c r="B289" t="s">
        <v>921</v>
      </c>
      <c r="C289">
        <v>20</v>
      </c>
      <c r="D289" s="260">
        <v>46189</v>
      </c>
      <c r="E289" s="260">
        <v>46216</v>
      </c>
      <c r="F289">
        <v>-33</v>
      </c>
      <c r="G289" t="s">
        <v>353</v>
      </c>
    </row>
    <row r="290" spans="1:7">
      <c r="A290" t="s">
        <v>922</v>
      </c>
      <c r="B290" t="s">
        <v>923</v>
      </c>
      <c r="C290">
        <v>5</v>
      </c>
      <c r="D290" s="260">
        <v>46234</v>
      </c>
      <c r="E290" s="260">
        <v>46240</v>
      </c>
      <c r="F290">
        <v>-33</v>
      </c>
      <c r="G290" t="s">
        <v>353</v>
      </c>
    </row>
    <row r="291" spans="1:7">
      <c r="A291" t="s">
        <v>924</v>
      </c>
      <c r="B291" t="s">
        <v>925</v>
      </c>
      <c r="C291">
        <v>20</v>
      </c>
      <c r="D291" s="260">
        <v>46189</v>
      </c>
      <c r="E291" s="260">
        <v>46216</v>
      </c>
      <c r="F291">
        <v>0</v>
      </c>
      <c r="G291" t="s">
        <v>353</v>
      </c>
    </row>
    <row r="292" spans="1:7">
      <c r="A292" t="s">
        <v>926</v>
      </c>
      <c r="B292" t="s">
        <v>927</v>
      </c>
      <c r="C292">
        <v>5</v>
      </c>
      <c r="D292" s="260">
        <v>46234</v>
      </c>
      <c r="E292" s="260">
        <v>46240</v>
      </c>
      <c r="F292">
        <v>0</v>
      </c>
      <c r="G292" t="s">
        <v>353</v>
      </c>
    </row>
    <row r="293" spans="1:7">
      <c r="A293" t="s">
        <v>928</v>
      </c>
      <c r="B293" t="s">
        <v>929</v>
      </c>
      <c r="C293">
        <v>20</v>
      </c>
      <c r="D293" s="260">
        <v>46189</v>
      </c>
      <c r="E293" s="260">
        <v>46216</v>
      </c>
      <c r="F293">
        <v>0</v>
      </c>
      <c r="G293" t="s">
        <v>353</v>
      </c>
    </row>
    <row r="294" spans="1:7">
      <c r="A294" t="s">
        <v>930</v>
      </c>
      <c r="B294" t="s">
        <v>931</v>
      </c>
      <c r="C294">
        <v>5</v>
      </c>
      <c r="D294" s="260">
        <v>46234</v>
      </c>
      <c r="E294" s="260">
        <v>46240</v>
      </c>
      <c r="F294">
        <v>0</v>
      </c>
      <c r="G294" t="s">
        <v>353</v>
      </c>
    </row>
    <row r="295" spans="1:7">
      <c r="A295" t="s">
        <v>932</v>
      </c>
      <c r="B295" t="s">
        <v>933</v>
      </c>
      <c r="C295">
        <v>17</v>
      </c>
      <c r="D295" s="260">
        <v>46211</v>
      </c>
      <c r="E295" s="260">
        <v>46238</v>
      </c>
      <c r="F295">
        <v>72</v>
      </c>
      <c r="G295" t="s">
        <v>353</v>
      </c>
    </row>
    <row r="296" spans="1:7">
      <c r="A296" t="s">
        <v>934</v>
      </c>
      <c r="B296" t="s">
        <v>935</v>
      </c>
      <c r="C296">
        <v>5</v>
      </c>
      <c r="D296" s="260">
        <v>46254</v>
      </c>
      <c r="E296" s="260">
        <v>46260</v>
      </c>
      <c r="F296">
        <v>72</v>
      </c>
      <c r="G296" t="s">
        <v>353</v>
      </c>
    </row>
    <row r="297" spans="1:7">
      <c r="A297" t="s">
        <v>936</v>
      </c>
      <c r="C297">
        <v>166</v>
      </c>
      <c r="D297" s="260">
        <v>46121</v>
      </c>
      <c r="E297" s="260">
        <v>46372</v>
      </c>
      <c r="F297">
        <v>20</v>
      </c>
      <c r="G297" t="s">
        <v>353</v>
      </c>
    </row>
    <row r="298" spans="1:7">
      <c r="A298" t="s">
        <v>937</v>
      </c>
      <c r="B298" t="s">
        <v>938</v>
      </c>
      <c r="C298">
        <v>20</v>
      </c>
      <c r="D298" s="260">
        <v>46133</v>
      </c>
      <c r="E298" s="260">
        <v>46161</v>
      </c>
      <c r="F298">
        <v>52</v>
      </c>
      <c r="G298" t="s">
        <v>353</v>
      </c>
    </row>
    <row r="299" spans="1:7">
      <c r="A299" t="s">
        <v>939</v>
      </c>
      <c r="B299" t="s">
        <v>940</v>
      </c>
      <c r="C299">
        <v>5</v>
      </c>
      <c r="D299" s="260">
        <v>46178</v>
      </c>
      <c r="E299" s="260">
        <v>46184</v>
      </c>
      <c r="F299">
        <v>127</v>
      </c>
      <c r="G299" t="s">
        <v>353</v>
      </c>
    </row>
    <row r="300" spans="1:7">
      <c r="A300" t="s">
        <v>941</v>
      </c>
      <c r="B300" t="s">
        <v>942</v>
      </c>
      <c r="C300">
        <v>20</v>
      </c>
      <c r="D300" s="260">
        <v>46140</v>
      </c>
      <c r="E300" s="260">
        <v>46168</v>
      </c>
      <c r="F300">
        <v>112</v>
      </c>
      <c r="G300" t="s">
        <v>353</v>
      </c>
    </row>
    <row r="301" spans="1:7">
      <c r="A301" t="s">
        <v>943</v>
      </c>
      <c r="B301" t="s">
        <v>944</v>
      </c>
      <c r="C301">
        <v>5</v>
      </c>
      <c r="D301" s="260">
        <v>46185</v>
      </c>
      <c r="E301" s="260">
        <v>46191</v>
      </c>
      <c r="F301">
        <v>127</v>
      </c>
      <c r="G301" t="s">
        <v>353</v>
      </c>
    </row>
    <row r="302" spans="1:7">
      <c r="A302" t="s">
        <v>945</v>
      </c>
      <c r="B302" t="s">
        <v>946</v>
      </c>
      <c r="C302">
        <v>10</v>
      </c>
      <c r="D302" s="260">
        <v>46157</v>
      </c>
      <c r="E302" s="260">
        <v>46170</v>
      </c>
      <c r="F302">
        <v>130</v>
      </c>
      <c r="G302" t="s">
        <v>353</v>
      </c>
    </row>
    <row r="303" spans="1:7">
      <c r="A303" t="s">
        <v>947</v>
      </c>
      <c r="B303" t="s">
        <v>948</v>
      </c>
      <c r="C303">
        <v>5</v>
      </c>
      <c r="D303" s="260">
        <v>46189</v>
      </c>
      <c r="E303" s="260">
        <v>46195</v>
      </c>
      <c r="F303">
        <v>130</v>
      </c>
      <c r="G303" t="s">
        <v>353</v>
      </c>
    </row>
    <row r="304" spans="1:7">
      <c r="A304" t="s">
        <v>949</v>
      </c>
      <c r="B304" t="s">
        <v>950</v>
      </c>
      <c r="C304">
        <v>10</v>
      </c>
      <c r="D304" s="260">
        <v>46265</v>
      </c>
      <c r="E304" s="260">
        <v>46276</v>
      </c>
      <c r="F304">
        <v>60</v>
      </c>
      <c r="G304" t="s">
        <v>353</v>
      </c>
    </row>
    <row r="305" spans="1:7">
      <c r="A305" t="s">
        <v>951</v>
      </c>
      <c r="B305" t="s">
        <v>952</v>
      </c>
      <c r="C305">
        <v>5</v>
      </c>
      <c r="D305" s="260">
        <v>46293</v>
      </c>
      <c r="E305" s="260">
        <v>46297</v>
      </c>
      <c r="F305">
        <v>60</v>
      </c>
      <c r="G305" t="s">
        <v>353</v>
      </c>
    </row>
    <row r="306" spans="1:7">
      <c r="A306" t="s">
        <v>953</v>
      </c>
      <c r="B306" t="s">
        <v>954</v>
      </c>
      <c r="C306">
        <v>10</v>
      </c>
      <c r="D306" s="260">
        <v>46322</v>
      </c>
      <c r="E306" s="260">
        <v>46335</v>
      </c>
      <c r="F306">
        <v>21</v>
      </c>
      <c r="G306" t="s">
        <v>353</v>
      </c>
    </row>
    <row r="307" spans="1:7">
      <c r="A307" t="s">
        <v>955</v>
      </c>
      <c r="B307" t="s">
        <v>956</v>
      </c>
      <c r="C307">
        <v>5</v>
      </c>
      <c r="D307" s="260">
        <v>46350</v>
      </c>
      <c r="E307" s="260">
        <v>46356</v>
      </c>
      <c r="F307">
        <v>21</v>
      </c>
      <c r="G307" t="s">
        <v>353</v>
      </c>
    </row>
    <row r="308" spans="1:7">
      <c r="A308" t="s">
        <v>957</v>
      </c>
      <c r="B308" t="s">
        <v>958</v>
      </c>
      <c r="C308">
        <v>20</v>
      </c>
      <c r="D308" s="260">
        <v>46121</v>
      </c>
      <c r="E308" s="260">
        <v>46154</v>
      </c>
      <c r="F308">
        <v>0</v>
      </c>
      <c r="G308" t="s">
        <v>353</v>
      </c>
    </row>
    <row r="309" spans="1:7">
      <c r="A309" t="s">
        <v>959</v>
      </c>
      <c r="B309" t="s">
        <v>960</v>
      </c>
      <c r="C309">
        <v>60</v>
      </c>
      <c r="D309" s="260">
        <v>46155</v>
      </c>
      <c r="E309" s="260">
        <v>46245</v>
      </c>
      <c r="F309">
        <v>0</v>
      </c>
      <c r="G309" t="s">
        <v>353</v>
      </c>
    </row>
    <row r="310" spans="1:7">
      <c r="A310" t="s">
        <v>961</v>
      </c>
      <c r="B310" t="s">
        <v>962</v>
      </c>
      <c r="C310">
        <v>45</v>
      </c>
      <c r="D310" s="260">
        <v>46247</v>
      </c>
      <c r="E310" s="260">
        <v>46310</v>
      </c>
      <c r="F310">
        <v>11</v>
      </c>
      <c r="G310" t="s">
        <v>353</v>
      </c>
    </row>
    <row r="311" spans="1:7">
      <c r="A311" t="s">
        <v>963</v>
      </c>
      <c r="B311" t="s">
        <v>964</v>
      </c>
      <c r="C311">
        <v>5</v>
      </c>
      <c r="D311" s="260">
        <v>46155</v>
      </c>
      <c r="E311" s="260">
        <v>46161</v>
      </c>
      <c r="F311">
        <v>137</v>
      </c>
      <c r="G311" t="s">
        <v>353</v>
      </c>
    </row>
    <row r="312" spans="1:7">
      <c r="A312" t="s">
        <v>965</v>
      </c>
      <c r="B312" t="s">
        <v>966</v>
      </c>
      <c r="C312">
        <v>5</v>
      </c>
      <c r="D312" s="260">
        <v>46247</v>
      </c>
      <c r="E312" s="260">
        <v>46253</v>
      </c>
      <c r="F312">
        <v>92</v>
      </c>
      <c r="G312" t="s">
        <v>353</v>
      </c>
    </row>
    <row r="313" spans="1:7">
      <c r="A313" t="s">
        <v>967</v>
      </c>
      <c r="B313" t="s">
        <v>968</v>
      </c>
      <c r="C313">
        <v>5</v>
      </c>
      <c r="D313" s="260">
        <v>46155</v>
      </c>
      <c r="E313" s="260">
        <v>46161</v>
      </c>
      <c r="F313">
        <v>137</v>
      </c>
      <c r="G313" t="s">
        <v>353</v>
      </c>
    </row>
    <row r="314" spans="1:7">
      <c r="A314" t="s">
        <v>969</v>
      </c>
      <c r="B314" t="s">
        <v>970</v>
      </c>
      <c r="C314">
        <v>5</v>
      </c>
      <c r="D314" s="260">
        <v>46247</v>
      </c>
      <c r="E314" s="260">
        <v>46253</v>
      </c>
      <c r="F314">
        <v>92</v>
      </c>
      <c r="G314" t="s">
        <v>353</v>
      </c>
    </row>
    <row r="315" spans="1:7">
      <c r="A315" t="s">
        <v>971</v>
      </c>
      <c r="B315" t="s">
        <v>972</v>
      </c>
      <c r="C315">
        <v>5</v>
      </c>
      <c r="D315" s="260">
        <v>46162</v>
      </c>
      <c r="E315" s="260">
        <v>46168</v>
      </c>
      <c r="F315">
        <v>52</v>
      </c>
      <c r="G315" t="s">
        <v>353</v>
      </c>
    </row>
    <row r="316" spans="1:7">
      <c r="A316" t="s">
        <v>973</v>
      </c>
      <c r="B316" t="s">
        <v>974</v>
      </c>
      <c r="C316">
        <v>5</v>
      </c>
      <c r="D316" s="260">
        <v>46185</v>
      </c>
      <c r="E316" s="260">
        <v>46191</v>
      </c>
      <c r="F316">
        <v>127</v>
      </c>
      <c r="G316" t="s">
        <v>353</v>
      </c>
    </row>
    <row r="317" spans="1:7">
      <c r="A317" t="s">
        <v>975</v>
      </c>
      <c r="B317" t="s">
        <v>976</v>
      </c>
      <c r="C317">
        <v>20</v>
      </c>
      <c r="D317" s="260">
        <v>46162</v>
      </c>
      <c r="E317" s="260">
        <v>46191</v>
      </c>
      <c r="F317">
        <v>52</v>
      </c>
      <c r="G317" t="s">
        <v>353</v>
      </c>
    </row>
    <row r="318" spans="1:7">
      <c r="A318" t="s">
        <v>977</v>
      </c>
      <c r="B318" t="s">
        <v>978</v>
      </c>
      <c r="C318">
        <v>5</v>
      </c>
      <c r="D318" s="260">
        <v>46206</v>
      </c>
      <c r="E318" s="260">
        <v>46212</v>
      </c>
      <c r="F318">
        <v>117</v>
      </c>
      <c r="G318" t="s">
        <v>353</v>
      </c>
    </row>
    <row r="319" spans="1:7">
      <c r="A319" t="s">
        <v>979</v>
      </c>
      <c r="B319" t="s">
        <v>980</v>
      </c>
      <c r="C319">
        <v>20</v>
      </c>
      <c r="D319" s="260">
        <v>46162</v>
      </c>
      <c r="E319" s="260">
        <v>46191</v>
      </c>
      <c r="F319">
        <v>117</v>
      </c>
      <c r="G319" t="s">
        <v>353</v>
      </c>
    </row>
    <row r="320" spans="1:7">
      <c r="A320" t="s">
        <v>981</v>
      </c>
      <c r="B320" t="s">
        <v>982</v>
      </c>
      <c r="C320">
        <v>5</v>
      </c>
      <c r="D320" s="260">
        <v>46206</v>
      </c>
      <c r="E320" s="260">
        <v>46212</v>
      </c>
      <c r="F320">
        <v>117</v>
      </c>
      <c r="G320" t="s">
        <v>353</v>
      </c>
    </row>
    <row r="321" spans="1:7">
      <c r="A321" t="s">
        <v>983</v>
      </c>
      <c r="B321" t="s">
        <v>984</v>
      </c>
      <c r="C321">
        <v>15</v>
      </c>
      <c r="D321" s="260">
        <v>46140</v>
      </c>
      <c r="E321" s="260">
        <v>46161</v>
      </c>
      <c r="F321">
        <v>112</v>
      </c>
      <c r="G321" t="s">
        <v>353</v>
      </c>
    </row>
    <row r="322" spans="1:7">
      <c r="A322" t="s">
        <v>985</v>
      </c>
      <c r="B322" t="s">
        <v>986</v>
      </c>
      <c r="C322">
        <v>10</v>
      </c>
      <c r="D322" s="260">
        <v>46178</v>
      </c>
      <c r="E322" s="260">
        <v>46191</v>
      </c>
      <c r="F322">
        <v>112</v>
      </c>
      <c r="G322" t="s">
        <v>353</v>
      </c>
    </row>
    <row r="323" spans="1:7">
      <c r="A323" t="s">
        <v>987</v>
      </c>
      <c r="B323" t="s">
        <v>988</v>
      </c>
      <c r="C323">
        <v>10</v>
      </c>
      <c r="D323" s="260">
        <v>46206</v>
      </c>
      <c r="E323" s="260">
        <v>46219</v>
      </c>
      <c r="F323">
        <v>112</v>
      </c>
      <c r="G323" t="s">
        <v>353</v>
      </c>
    </row>
    <row r="324" spans="1:7">
      <c r="A324" t="s">
        <v>989</v>
      </c>
      <c r="B324" t="s">
        <v>990</v>
      </c>
      <c r="C324">
        <v>15</v>
      </c>
      <c r="D324" s="260">
        <v>46169</v>
      </c>
      <c r="E324" s="260">
        <v>46191</v>
      </c>
      <c r="F324">
        <v>52</v>
      </c>
      <c r="G324" t="s">
        <v>353</v>
      </c>
    </row>
    <row r="325" spans="1:7">
      <c r="A325" t="s">
        <v>991</v>
      </c>
      <c r="B325" t="s">
        <v>992</v>
      </c>
      <c r="C325">
        <v>10</v>
      </c>
      <c r="D325" s="260">
        <v>46206</v>
      </c>
      <c r="E325" s="260">
        <v>46219</v>
      </c>
      <c r="F325">
        <v>92</v>
      </c>
      <c r="G325" t="s">
        <v>353</v>
      </c>
    </row>
    <row r="326" spans="1:7">
      <c r="A326" t="s">
        <v>993</v>
      </c>
      <c r="B326" t="s">
        <v>994</v>
      </c>
      <c r="C326">
        <v>10</v>
      </c>
      <c r="D326" s="260">
        <v>46239</v>
      </c>
      <c r="E326" s="260">
        <v>46253</v>
      </c>
      <c r="F326">
        <v>92</v>
      </c>
      <c r="G326" t="s">
        <v>353</v>
      </c>
    </row>
    <row r="327" spans="1:7">
      <c r="A327" t="s">
        <v>995</v>
      </c>
      <c r="B327" t="s">
        <v>996</v>
      </c>
      <c r="C327">
        <v>15</v>
      </c>
      <c r="D327" s="260">
        <v>46121</v>
      </c>
      <c r="E327" s="260">
        <v>46147</v>
      </c>
      <c r="F327">
        <v>47</v>
      </c>
      <c r="G327" t="s">
        <v>353</v>
      </c>
    </row>
    <row r="328" spans="1:7">
      <c r="A328" t="s">
        <v>997</v>
      </c>
      <c r="B328" t="s">
        <v>998</v>
      </c>
      <c r="C328">
        <v>15</v>
      </c>
      <c r="D328" s="260">
        <v>46192</v>
      </c>
      <c r="E328" s="260">
        <v>46212</v>
      </c>
      <c r="F328">
        <v>47</v>
      </c>
      <c r="G328" t="s">
        <v>353</v>
      </c>
    </row>
    <row r="329" spans="1:7">
      <c r="A329" t="s">
        <v>999</v>
      </c>
      <c r="B329" t="s">
        <v>1000</v>
      </c>
      <c r="C329">
        <v>10</v>
      </c>
      <c r="D329" s="260">
        <v>46261</v>
      </c>
      <c r="E329" s="260">
        <v>46274</v>
      </c>
      <c r="F329">
        <v>47</v>
      </c>
      <c r="G329" t="s">
        <v>353</v>
      </c>
    </row>
    <row r="330" spans="1:7">
      <c r="A330" t="s">
        <v>1001</v>
      </c>
      <c r="B330" t="s">
        <v>1002</v>
      </c>
      <c r="C330">
        <v>15</v>
      </c>
      <c r="D330" s="260">
        <v>46121</v>
      </c>
      <c r="E330" s="260">
        <v>46147</v>
      </c>
      <c r="F330">
        <v>47</v>
      </c>
      <c r="G330" t="s">
        <v>353</v>
      </c>
    </row>
    <row r="331" spans="1:7">
      <c r="A331" t="s">
        <v>1003</v>
      </c>
      <c r="B331" t="s">
        <v>1004</v>
      </c>
      <c r="C331">
        <v>15</v>
      </c>
      <c r="D331" s="260">
        <v>46192</v>
      </c>
      <c r="E331" s="260">
        <v>46212</v>
      </c>
      <c r="F331">
        <v>47</v>
      </c>
      <c r="G331" t="s">
        <v>353</v>
      </c>
    </row>
    <row r="332" spans="1:7">
      <c r="A332" t="s">
        <v>1005</v>
      </c>
      <c r="B332" t="s">
        <v>1006</v>
      </c>
      <c r="C332">
        <v>10</v>
      </c>
      <c r="D332" s="260">
        <v>46261</v>
      </c>
      <c r="E332" s="260">
        <v>46274</v>
      </c>
      <c r="F332">
        <v>47</v>
      </c>
      <c r="G332" t="s">
        <v>353</v>
      </c>
    </row>
    <row r="333" spans="1:7">
      <c r="A333" t="s">
        <v>1007</v>
      </c>
      <c r="B333" t="s">
        <v>1008</v>
      </c>
      <c r="C333">
        <v>15</v>
      </c>
      <c r="D333" s="260">
        <v>46121</v>
      </c>
      <c r="E333" s="260">
        <v>46147</v>
      </c>
      <c r="F333">
        <v>65</v>
      </c>
      <c r="G333" t="s">
        <v>353</v>
      </c>
    </row>
    <row r="334" spans="1:7">
      <c r="A334" t="s">
        <v>1009</v>
      </c>
      <c r="B334" t="s">
        <v>1010</v>
      </c>
      <c r="C334">
        <v>15</v>
      </c>
      <c r="D334" s="260">
        <v>46192</v>
      </c>
      <c r="E334" s="260">
        <v>46212</v>
      </c>
      <c r="F334">
        <v>67</v>
      </c>
      <c r="G334" t="s">
        <v>353</v>
      </c>
    </row>
    <row r="335" spans="1:7">
      <c r="A335" t="s">
        <v>1011</v>
      </c>
      <c r="B335" t="s">
        <v>1012</v>
      </c>
      <c r="C335">
        <v>10</v>
      </c>
      <c r="D335" s="260">
        <v>46261</v>
      </c>
      <c r="E335" s="260">
        <v>46274</v>
      </c>
      <c r="F335">
        <v>47</v>
      </c>
      <c r="G335" t="s">
        <v>353</v>
      </c>
    </row>
    <row r="336" spans="1:7">
      <c r="A336" t="s">
        <v>1013</v>
      </c>
      <c r="B336" t="s">
        <v>1014</v>
      </c>
      <c r="C336">
        <v>15</v>
      </c>
      <c r="D336" s="260">
        <v>46121</v>
      </c>
      <c r="E336" s="260">
        <v>46147</v>
      </c>
      <c r="F336">
        <v>32</v>
      </c>
      <c r="G336" t="s">
        <v>353</v>
      </c>
    </row>
    <row r="337" spans="1:7">
      <c r="A337" t="s">
        <v>1015</v>
      </c>
      <c r="B337" t="s">
        <v>1016</v>
      </c>
      <c r="C337">
        <v>15</v>
      </c>
      <c r="D337" s="260">
        <v>46192</v>
      </c>
      <c r="E337" s="260">
        <v>46212</v>
      </c>
      <c r="F337">
        <v>42</v>
      </c>
      <c r="G337" t="s">
        <v>353</v>
      </c>
    </row>
    <row r="338" spans="1:7">
      <c r="A338" t="s">
        <v>1017</v>
      </c>
      <c r="B338" t="s">
        <v>1018</v>
      </c>
      <c r="C338">
        <v>10</v>
      </c>
      <c r="D338" s="260">
        <v>46261</v>
      </c>
      <c r="E338" s="260">
        <v>46274</v>
      </c>
      <c r="F338">
        <v>47</v>
      </c>
      <c r="G338" t="s">
        <v>353</v>
      </c>
    </row>
    <row r="339" spans="1:7">
      <c r="A339" t="s">
        <v>1019</v>
      </c>
      <c r="B339" t="s">
        <v>1020</v>
      </c>
      <c r="C339">
        <v>15</v>
      </c>
      <c r="D339" s="260">
        <v>46121</v>
      </c>
      <c r="E339" s="260">
        <v>46147</v>
      </c>
      <c r="F339">
        <v>32</v>
      </c>
      <c r="G339" t="s">
        <v>353</v>
      </c>
    </row>
    <row r="340" spans="1:7">
      <c r="A340" t="s">
        <v>1021</v>
      </c>
      <c r="B340" t="s">
        <v>1022</v>
      </c>
      <c r="C340">
        <v>15</v>
      </c>
      <c r="D340" s="260">
        <v>46192</v>
      </c>
      <c r="E340" s="260">
        <v>46212</v>
      </c>
      <c r="F340">
        <v>42</v>
      </c>
      <c r="G340" t="s">
        <v>353</v>
      </c>
    </row>
    <row r="341" spans="1:7">
      <c r="A341" t="s">
        <v>1023</v>
      </c>
      <c r="B341" t="s">
        <v>1024</v>
      </c>
      <c r="C341">
        <v>10</v>
      </c>
      <c r="D341" s="260">
        <v>46261</v>
      </c>
      <c r="E341" s="260">
        <v>46274</v>
      </c>
      <c r="F341">
        <v>47</v>
      </c>
      <c r="G341" t="s">
        <v>353</v>
      </c>
    </row>
    <row r="342" spans="1:7">
      <c r="A342" t="s">
        <v>1025</v>
      </c>
      <c r="B342" t="s">
        <v>1026</v>
      </c>
      <c r="C342">
        <v>15</v>
      </c>
      <c r="D342" s="260">
        <v>46121</v>
      </c>
      <c r="E342" s="260">
        <v>46147</v>
      </c>
      <c r="F342">
        <v>65</v>
      </c>
      <c r="G342" t="s">
        <v>353</v>
      </c>
    </row>
    <row r="343" spans="1:7">
      <c r="A343" t="s">
        <v>1027</v>
      </c>
      <c r="B343" t="s">
        <v>1028</v>
      </c>
      <c r="C343">
        <v>15</v>
      </c>
      <c r="D343" s="260">
        <v>46192</v>
      </c>
      <c r="E343" s="260">
        <v>46212</v>
      </c>
      <c r="F343">
        <v>87</v>
      </c>
      <c r="G343" t="s">
        <v>353</v>
      </c>
    </row>
    <row r="344" spans="1:7">
      <c r="A344" t="s">
        <v>1029</v>
      </c>
      <c r="B344" t="s">
        <v>1030</v>
      </c>
      <c r="C344">
        <v>10</v>
      </c>
      <c r="D344" s="260">
        <v>46261</v>
      </c>
      <c r="E344" s="260">
        <v>46274</v>
      </c>
      <c r="F344">
        <v>67</v>
      </c>
      <c r="G344" t="s">
        <v>353</v>
      </c>
    </row>
    <row r="345" spans="1:7">
      <c r="A345" t="s">
        <v>1031</v>
      </c>
      <c r="B345" t="s">
        <v>1032</v>
      </c>
      <c r="C345">
        <v>35</v>
      </c>
      <c r="D345" s="260">
        <v>46265</v>
      </c>
      <c r="E345" s="260">
        <v>46314</v>
      </c>
      <c r="F345">
        <v>25</v>
      </c>
      <c r="G345" t="s">
        <v>353</v>
      </c>
    </row>
    <row r="346" spans="1:7">
      <c r="A346" t="s">
        <v>1033</v>
      </c>
      <c r="B346" t="s">
        <v>1034</v>
      </c>
      <c r="C346">
        <v>15</v>
      </c>
      <c r="D346" s="260">
        <v>46330</v>
      </c>
      <c r="E346" s="260">
        <v>46350</v>
      </c>
      <c r="F346">
        <v>25</v>
      </c>
      <c r="G346" t="s">
        <v>353</v>
      </c>
    </row>
    <row r="347" spans="1:7">
      <c r="A347" t="s">
        <v>1035</v>
      </c>
      <c r="B347" t="s">
        <v>1036</v>
      </c>
      <c r="C347">
        <v>35</v>
      </c>
      <c r="D347" s="260">
        <v>46265</v>
      </c>
      <c r="E347" s="260">
        <v>46314</v>
      </c>
      <c r="F347">
        <v>25</v>
      </c>
      <c r="G347" t="s">
        <v>353</v>
      </c>
    </row>
    <row r="348" spans="1:7">
      <c r="A348" t="s">
        <v>1037</v>
      </c>
      <c r="B348" t="s">
        <v>1038</v>
      </c>
      <c r="C348">
        <v>15</v>
      </c>
      <c r="D348" s="260">
        <v>46330</v>
      </c>
      <c r="E348" s="260">
        <v>46350</v>
      </c>
      <c r="F348">
        <v>25</v>
      </c>
      <c r="G348" t="s">
        <v>353</v>
      </c>
    </row>
    <row r="349" spans="1:7">
      <c r="A349" t="s">
        <v>1039</v>
      </c>
      <c r="B349" t="s">
        <v>1040</v>
      </c>
      <c r="C349">
        <v>15</v>
      </c>
      <c r="D349" s="260">
        <v>46148</v>
      </c>
      <c r="E349" s="260">
        <v>46168</v>
      </c>
      <c r="F349">
        <v>117</v>
      </c>
      <c r="G349" t="s">
        <v>353</v>
      </c>
    </row>
    <row r="350" spans="1:7">
      <c r="A350" t="s">
        <v>1041</v>
      </c>
      <c r="B350" t="s">
        <v>1042</v>
      </c>
      <c r="C350">
        <v>10</v>
      </c>
      <c r="D350" s="260">
        <v>46199</v>
      </c>
      <c r="E350" s="260">
        <v>46212</v>
      </c>
      <c r="F350">
        <v>117</v>
      </c>
      <c r="G350" t="s">
        <v>353</v>
      </c>
    </row>
    <row r="351" spans="1:7">
      <c r="A351" t="s">
        <v>1043</v>
      </c>
      <c r="B351" t="s">
        <v>1044</v>
      </c>
      <c r="C351">
        <v>15</v>
      </c>
      <c r="D351" s="260">
        <v>46322</v>
      </c>
      <c r="E351" s="260">
        <v>46342</v>
      </c>
      <c r="F351">
        <v>11</v>
      </c>
      <c r="G351" t="s">
        <v>353</v>
      </c>
    </row>
    <row r="352" spans="1:7">
      <c r="A352" t="s">
        <v>1045</v>
      </c>
      <c r="B352" t="s">
        <v>1046</v>
      </c>
      <c r="C352">
        <v>10</v>
      </c>
      <c r="D352" s="260">
        <v>46357</v>
      </c>
      <c r="E352" s="260">
        <v>46372</v>
      </c>
      <c r="F352">
        <v>11</v>
      </c>
      <c r="G352" t="s">
        <v>353</v>
      </c>
    </row>
    <row r="353" spans="1:7">
      <c r="A353" t="s">
        <v>1047</v>
      </c>
      <c r="B353" t="s">
        <v>1048</v>
      </c>
      <c r="C353">
        <v>20</v>
      </c>
      <c r="D353" s="260">
        <v>46258</v>
      </c>
      <c r="E353" s="260">
        <v>46283</v>
      </c>
      <c r="F353">
        <v>50</v>
      </c>
      <c r="G353" t="s">
        <v>353</v>
      </c>
    </row>
    <row r="354" spans="1:7">
      <c r="A354" t="s">
        <v>1049</v>
      </c>
      <c r="B354" t="s">
        <v>1050</v>
      </c>
      <c r="C354">
        <v>10</v>
      </c>
      <c r="D354" s="260">
        <v>46300</v>
      </c>
      <c r="E354" s="260">
        <v>46314</v>
      </c>
      <c r="F354">
        <v>50</v>
      </c>
      <c r="G354" t="s">
        <v>353</v>
      </c>
    </row>
    <row r="355" spans="1:7">
      <c r="A355" t="s">
        <v>1051</v>
      </c>
      <c r="B355" t="s">
        <v>1052</v>
      </c>
      <c r="C355">
        <v>20</v>
      </c>
      <c r="D355" s="260">
        <v>46258</v>
      </c>
      <c r="E355" s="260">
        <v>46283</v>
      </c>
      <c r="F355">
        <v>50</v>
      </c>
      <c r="G355" t="s">
        <v>353</v>
      </c>
    </row>
    <row r="356" spans="1:7">
      <c r="A356" t="s">
        <v>1053</v>
      </c>
      <c r="B356" t="s">
        <v>1054</v>
      </c>
      <c r="C356">
        <v>10</v>
      </c>
      <c r="D356" s="260">
        <v>46300</v>
      </c>
      <c r="E356" s="260">
        <v>46314</v>
      </c>
      <c r="F356">
        <v>50</v>
      </c>
      <c r="G356" t="s">
        <v>353</v>
      </c>
    </row>
    <row r="357" spans="1:7">
      <c r="A357" t="s">
        <v>1055</v>
      </c>
      <c r="B357" t="s">
        <v>1056</v>
      </c>
      <c r="C357">
        <v>20</v>
      </c>
      <c r="D357" s="260">
        <v>46258</v>
      </c>
      <c r="E357" s="260">
        <v>46283</v>
      </c>
      <c r="F357">
        <v>50</v>
      </c>
      <c r="G357" t="s">
        <v>353</v>
      </c>
    </row>
    <row r="358" spans="1:7">
      <c r="A358" t="s">
        <v>1057</v>
      </c>
      <c r="B358" t="s">
        <v>1058</v>
      </c>
      <c r="C358">
        <v>10</v>
      </c>
      <c r="D358" s="260">
        <v>46300</v>
      </c>
      <c r="E358" s="260">
        <v>46314</v>
      </c>
      <c r="F358">
        <v>50</v>
      </c>
      <c r="G358" t="s">
        <v>353</v>
      </c>
    </row>
    <row r="359" spans="1:7">
      <c r="A359" t="s">
        <v>1059</v>
      </c>
      <c r="B359" t="s">
        <v>1060</v>
      </c>
      <c r="C359">
        <v>20</v>
      </c>
      <c r="D359" s="260">
        <v>46258</v>
      </c>
      <c r="E359" s="260">
        <v>46283</v>
      </c>
      <c r="F359">
        <v>50</v>
      </c>
      <c r="G359" t="s">
        <v>353</v>
      </c>
    </row>
    <row r="360" spans="1:7">
      <c r="A360" t="s">
        <v>1061</v>
      </c>
      <c r="B360" t="s">
        <v>1062</v>
      </c>
      <c r="C360">
        <v>10</v>
      </c>
      <c r="D360" s="260">
        <v>46300</v>
      </c>
      <c r="E360" s="260">
        <v>46314</v>
      </c>
      <c r="F360">
        <v>50</v>
      </c>
      <c r="G360" t="s">
        <v>353</v>
      </c>
    </row>
    <row r="361" spans="1:7">
      <c r="A361" t="s">
        <v>1063</v>
      </c>
      <c r="B361" t="s">
        <v>1064</v>
      </c>
      <c r="C361">
        <v>20</v>
      </c>
      <c r="D361" s="260">
        <v>46258</v>
      </c>
      <c r="E361" s="260">
        <v>46283</v>
      </c>
      <c r="F361">
        <v>50</v>
      </c>
      <c r="G361" t="s">
        <v>353</v>
      </c>
    </row>
    <row r="362" spans="1:7">
      <c r="A362" t="s">
        <v>1065</v>
      </c>
      <c r="B362" t="s">
        <v>1066</v>
      </c>
      <c r="C362">
        <v>10</v>
      </c>
      <c r="D362" s="260">
        <v>46300</v>
      </c>
      <c r="E362" s="260">
        <v>46314</v>
      </c>
      <c r="F362">
        <v>50</v>
      </c>
      <c r="G362" t="s">
        <v>353</v>
      </c>
    </row>
    <row r="363" spans="1:7">
      <c r="A363" t="s">
        <v>1067</v>
      </c>
      <c r="B363" t="s">
        <v>1068</v>
      </c>
      <c r="C363">
        <v>20</v>
      </c>
      <c r="D363" s="260">
        <v>46265</v>
      </c>
      <c r="E363" s="260">
        <v>46290</v>
      </c>
      <c r="F363">
        <v>45</v>
      </c>
      <c r="G363" t="s">
        <v>353</v>
      </c>
    </row>
    <row r="364" spans="1:7">
      <c r="A364" t="s">
        <v>1069</v>
      </c>
      <c r="B364" t="s">
        <v>1070</v>
      </c>
      <c r="C364">
        <v>10</v>
      </c>
      <c r="D364" s="260">
        <v>46307</v>
      </c>
      <c r="E364" s="260">
        <v>46322</v>
      </c>
      <c r="F364">
        <v>45</v>
      </c>
      <c r="G364" t="s">
        <v>353</v>
      </c>
    </row>
    <row r="365" spans="1:7">
      <c r="A365" t="s">
        <v>1071</v>
      </c>
      <c r="B365" t="s">
        <v>1072</v>
      </c>
      <c r="C365">
        <v>20</v>
      </c>
      <c r="D365" s="260">
        <v>46265</v>
      </c>
      <c r="E365" s="260">
        <v>46290</v>
      </c>
      <c r="F365">
        <v>45</v>
      </c>
      <c r="G365" t="s">
        <v>353</v>
      </c>
    </row>
    <row r="366" spans="1:7">
      <c r="A366" t="s">
        <v>1073</v>
      </c>
      <c r="B366" t="s">
        <v>1074</v>
      </c>
      <c r="C366">
        <v>10</v>
      </c>
      <c r="D366" s="260">
        <v>46307</v>
      </c>
      <c r="E366" s="260">
        <v>46322</v>
      </c>
      <c r="F366">
        <v>45</v>
      </c>
      <c r="G366" t="s">
        <v>353</v>
      </c>
    </row>
    <row r="367" spans="1:7">
      <c r="A367" t="s">
        <v>1075</v>
      </c>
      <c r="B367" t="s">
        <v>1076</v>
      </c>
      <c r="C367">
        <v>20</v>
      </c>
      <c r="D367" s="260">
        <v>46265</v>
      </c>
      <c r="E367" s="260">
        <v>46290</v>
      </c>
      <c r="F367">
        <v>45</v>
      </c>
      <c r="G367" t="s">
        <v>353</v>
      </c>
    </row>
    <row r="368" spans="1:7">
      <c r="A368" t="s">
        <v>1077</v>
      </c>
      <c r="B368" t="s">
        <v>1078</v>
      </c>
      <c r="C368">
        <v>10</v>
      </c>
      <c r="D368" s="260">
        <v>46307</v>
      </c>
      <c r="E368" s="260">
        <v>46322</v>
      </c>
      <c r="F368">
        <v>45</v>
      </c>
      <c r="G368" t="s">
        <v>353</v>
      </c>
    </row>
    <row r="369" spans="1:7">
      <c r="A369" t="s">
        <v>1079</v>
      </c>
      <c r="B369" t="s">
        <v>1080</v>
      </c>
      <c r="C369">
        <v>20</v>
      </c>
      <c r="D369" s="260">
        <v>46265</v>
      </c>
      <c r="E369" s="260">
        <v>46290</v>
      </c>
      <c r="F369">
        <v>45</v>
      </c>
      <c r="G369" t="s">
        <v>353</v>
      </c>
    </row>
    <row r="370" spans="1:7">
      <c r="A370" t="s">
        <v>1081</v>
      </c>
      <c r="B370" t="s">
        <v>1082</v>
      </c>
      <c r="C370">
        <v>10</v>
      </c>
      <c r="D370" s="260">
        <v>46307</v>
      </c>
      <c r="E370" s="260">
        <v>46322</v>
      </c>
      <c r="F370">
        <v>45</v>
      </c>
      <c r="G370" t="s">
        <v>353</v>
      </c>
    </row>
    <row r="371" spans="1:7">
      <c r="A371" t="s">
        <v>1083</v>
      </c>
      <c r="B371" t="s">
        <v>1084</v>
      </c>
      <c r="C371">
        <v>20</v>
      </c>
      <c r="D371" s="260">
        <v>46265</v>
      </c>
      <c r="E371" s="260">
        <v>46290</v>
      </c>
      <c r="F371">
        <v>45</v>
      </c>
      <c r="G371" t="s">
        <v>353</v>
      </c>
    </row>
    <row r="372" spans="1:7">
      <c r="A372" t="s">
        <v>1085</v>
      </c>
      <c r="B372" t="s">
        <v>1086</v>
      </c>
      <c r="C372">
        <v>10</v>
      </c>
      <c r="D372" s="260">
        <v>46307</v>
      </c>
      <c r="E372" s="260">
        <v>46322</v>
      </c>
      <c r="F372">
        <v>45</v>
      </c>
      <c r="G372" t="s">
        <v>353</v>
      </c>
    </row>
    <row r="373" spans="1:7">
      <c r="A373" t="s">
        <v>1087</v>
      </c>
      <c r="B373" t="s">
        <v>1088</v>
      </c>
      <c r="C373">
        <v>10</v>
      </c>
      <c r="D373" s="260">
        <v>46148</v>
      </c>
      <c r="E373" s="260">
        <v>46161</v>
      </c>
      <c r="F373">
        <v>65</v>
      </c>
      <c r="G373" t="s">
        <v>353</v>
      </c>
    </row>
    <row r="374" spans="1:7">
      <c r="A374" t="s">
        <v>1089</v>
      </c>
      <c r="B374" t="s">
        <v>1090</v>
      </c>
      <c r="C374">
        <v>10</v>
      </c>
      <c r="D374" s="260">
        <v>46178</v>
      </c>
      <c r="E374" s="260">
        <v>46191</v>
      </c>
      <c r="F374">
        <v>107</v>
      </c>
      <c r="G374" t="s">
        <v>353</v>
      </c>
    </row>
    <row r="375" spans="1:7">
      <c r="A375" t="s">
        <v>1091</v>
      </c>
      <c r="B375" t="s">
        <v>1092</v>
      </c>
      <c r="C375">
        <v>5</v>
      </c>
      <c r="D375" s="260">
        <v>46206</v>
      </c>
      <c r="E375" s="260">
        <v>46212</v>
      </c>
      <c r="F375">
        <v>107</v>
      </c>
      <c r="G375" t="s">
        <v>353</v>
      </c>
    </row>
    <row r="376" spans="1:7">
      <c r="A376" t="s">
        <v>1093</v>
      </c>
      <c r="B376" t="s">
        <v>1094</v>
      </c>
      <c r="C376">
        <v>20</v>
      </c>
      <c r="D376" s="260">
        <v>46224</v>
      </c>
      <c r="E376" s="260">
        <v>46255</v>
      </c>
      <c r="F376">
        <v>55</v>
      </c>
      <c r="G376" t="s">
        <v>353</v>
      </c>
    </row>
    <row r="377" spans="1:7">
      <c r="A377" t="s">
        <v>1095</v>
      </c>
      <c r="B377" t="s">
        <v>1096</v>
      </c>
      <c r="C377">
        <v>10</v>
      </c>
      <c r="D377" s="260">
        <v>46286</v>
      </c>
      <c r="E377" s="260">
        <v>46297</v>
      </c>
      <c r="F377">
        <v>45</v>
      </c>
      <c r="G377" t="s">
        <v>353</v>
      </c>
    </row>
    <row r="378" spans="1:7">
      <c r="A378" t="s">
        <v>1097</v>
      </c>
      <c r="B378" t="s">
        <v>1098</v>
      </c>
      <c r="C378">
        <v>5</v>
      </c>
      <c r="D378" s="260">
        <v>46343</v>
      </c>
      <c r="E378" s="260">
        <v>46349</v>
      </c>
      <c r="F378">
        <v>26</v>
      </c>
      <c r="G378" t="s">
        <v>353</v>
      </c>
    </row>
    <row r="379" spans="1:7">
      <c r="A379" t="s">
        <v>1099</v>
      </c>
      <c r="B379" t="s">
        <v>1100</v>
      </c>
      <c r="C379">
        <v>15</v>
      </c>
      <c r="D379" s="260">
        <v>46148</v>
      </c>
      <c r="E379" s="260">
        <v>46168</v>
      </c>
      <c r="F379">
        <v>69</v>
      </c>
      <c r="G379" t="s">
        <v>353</v>
      </c>
    </row>
    <row r="380" spans="1:7">
      <c r="A380" t="s">
        <v>1101</v>
      </c>
      <c r="B380" t="s">
        <v>1102</v>
      </c>
      <c r="C380">
        <v>10</v>
      </c>
      <c r="D380" s="260">
        <v>46185</v>
      </c>
      <c r="E380" s="260">
        <v>46198</v>
      </c>
      <c r="F380">
        <v>112</v>
      </c>
      <c r="G380" t="s">
        <v>353</v>
      </c>
    </row>
    <row r="381" spans="1:7">
      <c r="A381" t="s">
        <v>1103</v>
      </c>
      <c r="B381" t="s">
        <v>1104</v>
      </c>
      <c r="C381">
        <v>5</v>
      </c>
      <c r="D381" s="260">
        <v>46213</v>
      </c>
      <c r="E381" s="260">
        <v>46219</v>
      </c>
      <c r="F381">
        <v>112</v>
      </c>
      <c r="G381" t="s">
        <v>353</v>
      </c>
    </row>
    <row r="382" spans="1:7">
      <c r="A382" t="s">
        <v>1105</v>
      </c>
      <c r="B382" t="s">
        <v>1106</v>
      </c>
      <c r="C382">
        <v>20</v>
      </c>
      <c r="D382" s="260">
        <v>46224</v>
      </c>
      <c r="E382" s="260">
        <v>46255</v>
      </c>
      <c r="F382">
        <v>55</v>
      </c>
      <c r="G382" t="s">
        <v>353</v>
      </c>
    </row>
    <row r="383" spans="1:7">
      <c r="A383" t="s">
        <v>1107</v>
      </c>
      <c r="B383" t="s">
        <v>1108</v>
      </c>
      <c r="C383">
        <v>10</v>
      </c>
      <c r="D383" s="260">
        <v>46286</v>
      </c>
      <c r="E383" s="260">
        <v>46297</v>
      </c>
      <c r="F383">
        <v>45</v>
      </c>
      <c r="G383" t="s">
        <v>353</v>
      </c>
    </row>
    <row r="384" spans="1:7">
      <c r="A384" t="s">
        <v>1109</v>
      </c>
      <c r="B384" t="s">
        <v>1110</v>
      </c>
      <c r="C384">
        <v>5</v>
      </c>
      <c r="D384" s="260">
        <v>46343</v>
      </c>
      <c r="E384" s="260">
        <v>46349</v>
      </c>
      <c r="F384">
        <v>26</v>
      </c>
      <c r="G384" t="s">
        <v>353</v>
      </c>
    </row>
    <row r="385" spans="1:7">
      <c r="A385" t="s">
        <v>1111</v>
      </c>
      <c r="B385" t="s">
        <v>1112</v>
      </c>
      <c r="C385">
        <v>20</v>
      </c>
      <c r="D385" s="260">
        <v>46258</v>
      </c>
      <c r="E385" s="260">
        <v>46283</v>
      </c>
      <c r="F385">
        <v>40</v>
      </c>
      <c r="G385" t="s">
        <v>353</v>
      </c>
    </row>
    <row r="386" spans="1:7">
      <c r="A386" t="s">
        <v>1113</v>
      </c>
      <c r="B386" t="s">
        <v>1114</v>
      </c>
      <c r="C386">
        <v>10</v>
      </c>
      <c r="D386" s="260">
        <v>46322</v>
      </c>
      <c r="E386" s="260">
        <v>46335</v>
      </c>
      <c r="F386">
        <v>26</v>
      </c>
      <c r="G386" t="s">
        <v>353</v>
      </c>
    </row>
    <row r="387" spans="1:7">
      <c r="A387" t="s">
        <v>1115</v>
      </c>
      <c r="B387" t="s">
        <v>1116</v>
      </c>
      <c r="C387">
        <v>10</v>
      </c>
      <c r="D387" s="260">
        <v>46286</v>
      </c>
      <c r="E387" s="260">
        <v>46297</v>
      </c>
      <c r="F387">
        <v>40</v>
      </c>
      <c r="G387" t="s">
        <v>353</v>
      </c>
    </row>
    <row r="388" spans="1:7">
      <c r="A388" t="s">
        <v>1117</v>
      </c>
      <c r="B388" t="s">
        <v>1118</v>
      </c>
      <c r="C388">
        <v>10</v>
      </c>
      <c r="D388" s="260">
        <v>46336</v>
      </c>
      <c r="E388" s="260">
        <v>46349</v>
      </c>
      <c r="F388">
        <v>26</v>
      </c>
      <c r="G388" t="s">
        <v>353</v>
      </c>
    </row>
    <row r="389" spans="1:7">
      <c r="A389" t="s">
        <v>1119</v>
      </c>
      <c r="B389" t="s">
        <v>1120</v>
      </c>
      <c r="C389">
        <v>10</v>
      </c>
      <c r="D389" s="260">
        <v>46286</v>
      </c>
      <c r="E389" s="260">
        <v>46297</v>
      </c>
      <c r="F389">
        <v>40</v>
      </c>
      <c r="G389" t="s">
        <v>353</v>
      </c>
    </row>
    <row r="390" spans="1:7">
      <c r="A390" t="s">
        <v>1121</v>
      </c>
      <c r="B390" t="s">
        <v>1122</v>
      </c>
      <c r="C390">
        <v>10</v>
      </c>
      <c r="D390" s="260">
        <v>46336</v>
      </c>
      <c r="E390" s="260">
        <v>46349</v>
      </c>
      <c r="F390">
        <v>26</v>
      </c>
      <c r="G390" t="s">
        <v>353</v>
      </c>
    </row>
    <row r="391" spans="1:7">
      <c r="A391" t="s">
        <v>1123</v>
      </c>
      <c r="B391" t="s">
        <v>1124</v>
      </c>
      <c r="C391">
        <v>10</v>
      </c>
      <c r="D391" s="260">
        <v>46286</v>
      </c>
      <c r="E391" s="260">
        <v>46297</v>
      </c>
      <c r="F391">
        <v>40</v>
      </c>
      <c r="G391" t="s">
        <v>353</v>
      </c>
    </row>
    <row r="392" spans="1:7">
      <c r="A392" t="s">
        <v>1125</v>
      </c>
      <c r="B392" t="s">
        <v>1126</v>
      </c>
      <c r="C392">
        <v>10</v>
      </c>
      <c r="D392" s="260">
        <v>46336</v>
      </c>
      <c r="E392" s="260">
        <v>46349</v>
      </c>
      <c r="F392">
        <v>26</v>
      </c>
      <c r="G392" t="s">
        <v>353</v>
      </c>
    </row>
    <row r="393" spans="1:7">
      <c r="A393" t="s">
        <v>1127</v>
      </c>
      <c r="B393" t="s">
        <v>1128</v>
      </c>
      <c r="C393">
        <v>10</v>
      </c>
      <c r="D393" s="260">
        <v>46286</v>
      </c>
      <c r="E393" s="260">
        <v>46297</v>
      </c>
      <c r="F393">
        <v>40</v>
      </c>
      <c r="G393" t="s">
        <v>353</v>
      </c>
    </row>
    <row r="394" spans="1:7">
      <c r="A394" t="s">
        <v>1129</v>
      </c>
      <c r="B394" t="s">
        <v>1130</v>
      </c>
      <c r="C394">
        <v>10</v>
      </c>
      <c r="D394" s="260">
        <v>46336</v>
      </c>
      <c r="E394" s="260">
        <v>46349</v>
      </c>
      <c r="F394">
        <v>26</v>
      </c>
      <c r="G394" t="s">
        <v>353</v>
      </c>
    </row>
    <row r="395" spans="1:7">
      <c r="A395" t="s">
        <v>1131</v>
      </c>
      <c r="B395" t="s">
        <v>1132</v>
      </c>
      <c r="C395">
        <v>15</v>
      </c>
      <c r="D395" s="260">
        <v>46265</v>
      </c>
      <c r="E395" s="260">
        <v>46283</v>
      </c>
      <c r="F395">
        <v>50</v>
      </c>
      <c r="G395" t="s">
        <v>353</v>
      </c>
    </row>
    <row r="396" spans="1:7">
      <c r="A396" t="s">
        <v>1133</v>
      </c>
      <c r="B396" t="s">
        <v>1134</v>
      </c>
      <c r="C396">
        <v>10</v>
      </c>
      <c r="D396" s="260">
        <v>46322</v>
      </c>
      <c r="E396" s="260">
        <v>46335</v>
      </c>
      <c r="F396">
        <v>36</v>
      </c>
      <c r="G396" t="s">
        <v>353</v>
      </c>
    </row>
    <row r="397" spans="1:7">
      <c r="A397" t="s">
        <v>1135</v>
      </c>
      <c r="B397" t="s">
        <v>1136</v>
      </c>
      <c r="C397">
        <v>10</v>
      </c>
      <c r="D397" s="260">
        <v>46286</v>
      </c>
      <c r="E397" s="260">
        <v>46297</v>
      </c>
      <c r="F397">
        <v>40</v>
      </c>
      <c r="G397" t="s">
        <v>353</v>
      </c>
    </row>
    <row r="398" spans="1:7">
      <c r="A398" t="s">
        <v>1137</v>
      </c>
      <c r="B398" t="s">
        <v>1138</v>
      </c>
      <c r="C398">
        <v>10</v>
      </c>
      <c r="D398" s="260">
        <v>46336</v>
      </c>
      <c r="E398" s="260">
        <v>46349</v>
      </c>
      <c r="F398">
        <v>26</v>
      </c>
      <c r="G398" t="s">
        <v>353</v>
      </c>
    </row>
    <row r="399" spans="1:7">
      <c r="A399" t="s">
        <v>1139</v>
      </c>
      <c r="B399" t="s">
        <v>1140</v>
      </c>
      <c r="C399">
        <v>10</v>
      </c>
      <c r="D399" s="260">
        <v>46286</v>
      </c>
      <c r="E399" s="260">
        <v>46297</v>
      </c>
      <c r="F399">
        <v>40</v>
      </c>
      <c r="G399" t="s">
        <v>353</v>
      </c>
    </row>
    <row r="400" spans="1:7">
      <c r="A400" t="s">
        <v>1141</v>
      </c>
      <c r="B400" t="s">
        <v>1142</v>
      </c>
      <c r="C400">
        <v>10</v>
      </c>
      <c r="D400" s="260">
        <v>46336</v>
      </c>
      <c r="E400" s="260">
        <v>46349</v>
      </c>
      <c r="F400">
        <v>26</v>
      </c>
      <c r="G400" t="s">
        <v>353</v>
      </c>
    </row>
    <row r="401" spans="1:7">
      <c r="A401" t="s">
        <v>1143</v>
      </c>
      <c r="B401" t="s">
        <v>1144</v>
      </c>
      <c r="C401">
        <v>10</v>
      </c>
      <c r="D401" s="260">
        <v>46286</v>
      </c>
      <c r="E401" s="260">
        <v>46297</v>
      </c>
      <c r="F401">
        <v>40</v>
      </c>
      <c r="G401" t="s">
        <v>353</v>
      </c>
    </row>
    <row r="402" spans="1:7">
      <c r="A402" t="s">
        <v>1145</v>
      </c>
      <c r="B402" t="s">
        <v>1146</v>
      </c>
      <c r="C402">
        <v>10</v>
      </c>
      <c r="D402" s="260">
        <v>46336</v>
      </c>
      <c r="E402" s="260">
        <v>46349</v>
      </c>
      <c r="F402">
        <v>26</v>
      </c>
      <c r="G402" t="s">
        <v>353</v>
      </c>
    </row>
    <row r="403" spans="1:7">
      <c r="A403" t="s">
        <v>1147</v>
      </c>
      <c r="B403" t="s">
        <v>1148</v>
      </c>
      <c r="C403">
        <v>10</v>
      </c>
      <c r="D403" s="260">
        <v>46286</v>
      </c>
      <c r="E403" s="260">
        <v>46297</v>
      </c>
      <c r="F403">
        <v>40</v>
      </c>
      <c r="G403" t="s">
        <v>353</v>
      </c>
    </row>
    <row r="404" spans="1:7">
      <c r="A404" t="s">
        <v>1149</v>
      </c>
      <c r="B404" t="s">
        <v>1150</v>
      </c>
      <c r="C404">
        <v>10</v>
      </c>
      <c r="D404" s="260">
        <v>46336</v>
      </c>
      <c r="E404" s="260">
        <v>46349</v>
      </c>
      <c r="F404">
        <v>26</v>
      </c>
      <c r="G404" t="s">
        <v>353</v>
      </c>
    </row>
    <row r="405" spans="1:7">
      <c r="A405" t="s">
        <v>1151</v>
      </c>
      <c r="C405">
        <v>70</v>
      </c>
      <c r="D405" s="260">
        <v>46155</v>
      </c>
      <c r="E405" s="260">
        <v>46260</v>
      </c>
      <c r="F405">
        <v>91</v>
      </c>
      <c r="G405" t="s">
        <v>353</v>
      </c>
    </row>
    <row r="406" spans="1:7">
      <c r="A406" t="s">
        <v>1152</v>
      </c>
      <c r="B406" t="s">
        <v>1153</v>
      </c>
      <c r="C406">
        <v>10</v>
      </c>
      <c r="D406" s="260">
        <v>46155</v>
      </c>
      <c r="E406" s="260">
        <v>46168</v>
      </c>
      <c r="F406">
        <v>65</v>
      </c>
      <c r="G406" t="s">
        <v>353</v>
      </c>
    </row>
    <row r="407" spans="1:7">
      <c r="A407" t="s">
        <v>1154</v>
      </c>
      <c r="B407" t="s">
        <v>1155</v>
      </c>
      <c r="C407">
        <v>5</v>
      </c>
      <c r="D407" s="260">
        <v>46192</v>
      </c>
      <c r="E407" s="260">
        <v>46198</v>
      </c>
      <c r="F407">
        <v>107</v>
      </c>
      <c r="G407" t="s">
        <v>353</v>
      </c>
    </row>
    <row r="408" spans="1:7">
      <c r="A408" t="s">
        <v>1156</v>
      </c>
      <c r="B408" t="s">
        <v>1157</v>
      </c>
      <c r="C408">
        <v>5</v>
      </c>
      <c r="D408" s="260">
        <v>46213</v>
      </c>
      <c r="E408" s="260">
        <v>46219</v>
      </c>
      <c r="F408">
        <v>107</v>
      </c>
      <c r="G408" t="s">
        <v>353</v>
      </c>
    </row>
    <row r="409" spans="1:7">
      <c r="A409" t="s">
        <v>1158</v>
      </c>
      <c r="B409" t="s">
        <v>1159</v>
      </c>
      <c r="C409">
        <v>20</v>
      </c>
      <c r="D409" s="260">
        <v>46169</v>
      </c>
      <c r="E409" s="260">
        <v>46198</v>
      </c>
      <c r="F409">
        <v>52</v>
      </c>
      <c r="G409" t="s">
        <v>353</v>
      </c>
    </row>
    <row r="410" spans="1:7">
      <c r="A410" t="s">
        <v>1160</v>
      </c>
      <c r="B410" t="s">
        <v>1161</v>
      </c>
      <c r="C410">
        <v>10</v>
      </c>
      <c r="D410" s="260">
        <v>46213</v>
      </c>
      <c r="E410" s="260">
        <v>46226</v>
      </c>
      <c r="F410">
        <v>82</v>
      </c>
      <c r="G410" t="s">
        <v>353</v>
      </c>
    </row>
    <row r="411" spans="1:7">
      <c r="A411" t="s">
        <v>1162</v>
      </c>
      <c r="B411" t="s">
        <v>1163</v>
      </c>
      <c r="C411">
        <v>10</v>
      </c>
      <c r="D411" s="260">
        <v>46247</v>
      </c>
      <c r="E411" s="260">
        <v>46260</v>
      </c>
      <c r="F411">
        <v>82</v>
      </c>
      <c r="G411" t="s">
        <v>353</v>
      </c>
    </row>
    <row r="412" spans="1:7">
      <c r="A412" t="s">
        <v>1164</v>
      </c>
      <c r="B412" t="s">
        <v>1165</v>
      </c>
      <c r="C412">
        <v>20</v>
      </c>
      <c r="D412" s="260">
        <v>46169</v>
      </c>
      <c r="E412" s="260">
        <v>46198</v>
      </c>
      <c r="F412">
        <v>52</v>
      </c>
      <c r="G412" t="s">
        <v>353</v>
      </c>
    </row>
    <row r="413" spans="1:7">
      <c r="A413" t="s">
        <v>1166</v>
      </c>
      <c r="B413" t="s">
        <v>1167</v>
      </c>
      <c r="C413">
        <v>10</v>
      </c>
      <c r="D413" s="260">
        <v>46213</v>
      </c>
      <c r="E413" s="260">
        <v>46226</v>
      </c>
      <c r="F413">
        <v>82</v>
      </c>
      <c r="G413" t="s">
        <v>353</v>
      </c>
    </row>
    <row r="414" spans="1:7">
      <c r="A414" t="s">
        <v>1168</v>
      </c>
      <c r="B414" t="s">
        <v>1169</v>
      </c>
      <c r="C414">
        <v>10</v>
      </c>
      <c r="D414" s="260">
        <v>46247</v>
      </c>
      <c r="E414" s="260">
        <v>46260</v>
      </c>
      <c r="F414">
        <v>82</v>
      </c>
      <c r="G414" t="s">
        <v>353</v>
      </c>
    </row>
    <row r="415" spans="1:7">
      <c r="A415" t="s">
        <v>1170</v>
      </c>
      <c r="B415" t="s">
        <v>1171</v>
      </c>
      <c r="C415">
        <v>20</v>
      </c>
      <c r="D415" s="260">
        <v>46169</v>
      </c>
      <c r="E415" s="260">
        <v>46198</v>
      </c>
      <c r="F415">
        <v>52</v>
      </c>
      <c r="G415" t="s">
        <v>353</v>
      </c>
    </row>
    <row r="416" spans="1:7">
      <c r="A416" t="s">
        <v>1172</v>
      </c>
      <c r="B416" t="s">
        <v>1173</v>
      </c>
      <c r="C416">
        <v>10</v>
      </c>
      <c r="D416" s="260">
        <v>46213</v>
      </c>
      <c r="E416" s="260">
        <v>46226</v>
      </c>
      <c r="F416">
        <v>82</v>
      </c>
      <c r="G416" t="s">
        <v>353</v>
      </c>
    </row>
    <row r="417" spans="1:7">
      <c r="A417" t="s">
        <v>1174</v>
      </c>
      <c r="B417" t="s">
        <v>1175</v>
      </c>
      <c r="C417">
        <v>10</v>
      </c>
      <c r="D417" s="260">
        <v>46247</v>
      </c>
      <c r="E417" s="260">
        <v>46260</v>
      </c>
      <c r="F417">
        <v>82</v>
      </c>
      <c r="G417" t="s">
        <v>353</v>
      </c>
    </row>
    <row r="418" spans="1:7">
      <c r="A418" t="s">
        <v>1176</v>
      </c>
      <c r="B418" t="s">
        <v>1177</v>
      </c>
      <c r="C418">
        <v>20</v>
      </c>
      <c r="D418" s="260">
        <v>46169</v>
      </c>
      <c r="E418" s="260">
        <v>46198</v>
      </c>
      <c r="F418">
        <v>52</v>
      </c>
      <c r="G418" t="s">
        <v>353</v>
      </c>
    </row>
    <row r="419" spans="1:7">
      <c r="A419" t="s">
        <v>1178</v>
      </c>
      <c r="B419" t="s">
        <v>1179</v>
      </c>
      <c r="C419">
        <v>10</v>
      </c>
      <c r="D419" s="260">
        <v>46213</v>
      </c>
      <c r="E419" s="260">
        <v>46226</v>
      </c>
      <c r="F419">
        <v>82</v>
      </c>
      <c r="G419" t="s">
        <v>353</v>
      </c>
    </row>
    <row r="420" spans="1:7">
      <c r="A420" t="s">
        <v>1180</v>
      </c>
      <c r="B420" t="s">
        <v>1181</v>
      </c>
      <c r="C420">
        <v>10</v>
      </c>
      <c r="D420" s="260">
        <v>46247</v>
      </c>
      <c r="E420" s="260">
        <v>46260</v>
      </c>
      <c r="F420">
        <v>82</v>
      </c>
      <c r="G420" t="s">
        <v>353</v>
      </c>
    </row>
    <row r="421" spans="1:7">
      <c r="A421" t="s">
        <v>1182</v>
      </c>
      <c r="B421" t="s">
        <v>1183</v>
      </c>
      <c r="C421">
        <v>20</v>
      </c>
      <c r="D421" s="260">
        <v>46169</v>
      </c>
      <c r="E421" s="260">
        <v>46198</v>
      </c>
      <c r="F421">
        <v>52</v>
      </c>
      <c r="G421" t="s">
        <v>353</v>
      </c>
    </row>
    <row r="422" spans="1:7">
      <c r="A422" t="s">
        <v>1184</v>
      </c>
      <c r="B422" t="s">
        <v>1185</v>
      </c>
      <c r="C422">
        <v>10</v>
      </c>
      <c r="D422" s="260">
        <v>46213</v>
      </c>
      <c r="E422" s="260">
        <v>46226</v>
      </c>
      <c r="F422">
        <v>82</v>
      </c>
      <c r="G422" t="s">
        <v>353</v>
      </c>
    </row>
    <row r="423" spans="1:7">
      <c r="A423" t="s">
        <v>1186</v>
      </c>
      <c r="B423" t="s">
        <v>1187</v>
      </c>
      <c r="C423">
        <v>10</v>
      </c>
      <c r="D423" s="260">
        <v>46247</v>
      </c>
      <c r="E423" s="260">
        <v>46260</v>
      </c>
      <c r="F423">
        <v>82</v>
      </c>
      <c r="G423" t="s">
        <v>353</v>
      </c>
    </row>
    <row r="424" spans="1:7">
      <c r="A424" t="s">
        <v>1188</v>
      </c>
      <c r="B424" t="s">
        <v>1189</v>
      </c>
      <c r="C424">
        <v>20</v>
      </c>
      <c r="D424" s="260">
        <v>46169</v>
      </c>
      <c r="E424" s="260">
        <v>46198</v>
      </c>
      <c r="F424">
        <v>52</v>
      </c>
      <c r="G424" t="s">
        <v>353</v>
      </c>
    </row>
    <row r="425" spans="1:7">
      <c r="A425" t="s">
        <v>1190</v>
      </c>
      <c r="B425" t="s">
        <v>1191</v>
      </c>
      <c r="C425">
        <v>10</v>
      </c>
      <c r="D425" s="260">
        <v>46213</v>
      </c>
      <c r="E425" s="260">
        <v>46226</v>
      </c>
      <c r="F425">
        <v>82</v>
      </c>
      <c r="G425" t="s">
        <v>353</v>
      </c>
    </row>
    <row r="426" spans="1:7">
      <c r="A426" t="s">
        <v>1192</v>
      </c>
      <c r="B426" t="s">
        <v>1193</v>
      </c>
      <c r="C426">
        <v>10</v>
      </c>
      <c r="D426" s="260">
        <v>46247</v>
      </c>
      <c r="E426" s="260">
        <v>46260</v>
      </c>
      <c r="F426">
        <v>82</v>
      </c>
      <c r="G426" t="s">
        <v>353</v>
      </c>
    </row>
    <row r="427" spans="1:7">
      <c r="A427" t="s">
        <v>1194</v>
      </c>
      <c r="B427" t="s">
        <v>1195</v>
      </c>
      <c r="C427">
        <v>20</v>
      </c>
      <c r="D427" s="260">
        <v>46169</v>
      </c>
      <c r="E427" s="260">
        <v>46198</v>
      </c>
      <c r="F427">
        <v>52</v>
      </c>
      <c r="G427" t="s">
        <v>353</v>
      </c>
    </row>
    <row r="428" spans="1:7">
      <c r="A428" t="s">
        <v>1196</v>
      </c>
      <c r="B428" t="s">
        <v>1197</v>
      </c>
      <c r="C428">
        <v>10</v>
      </c>
      <c r="D428" s="260">
        <v>46213</v>
      </c>
      <c r="E428" s="260">
        <v>46226</v>
      </c>
      <c r="F428">
        <v>82</v>
      </c>
      <c r="G428" t="s">
        <v>353</v>
      </c>
    </row>
    <row r="429" spans="1:7">
      <c r="A429" t="s">
        <v>1198</v>
      </c>
      <c r="B429" t="s">
        <v>1199</v>
      </c>
      <c r="C429">
        <v>10</v>
      </c>
      <c r="D429" s="260">
        <v>46247</v>
      </c>
      <c r="E429" s="260">
        <v>46260</v>
      </c>
      <c r="F429">
        <v>82</v>
      </c>
      <c r="G429" t="s">
        <v>353</v>
      </c>
    </row>
    <row r="430" spans="1:7">
      <c r="A430" t="s">
        <v>1200</v>
      </c>
      <c r="B430" t="s">
        <v>1201</v>
      </c>
      <c r="C430">
        <v>20</v>
      </c>
      <c r="D430" s="260">
        <v>46169</v>
      </c>
      <c r="E430" s="260">
        <v>46198</v>
      </c>
      <c r="F430">
        <v>61</v>
      </c>
      <c r="G430" t="s">
        <v>353</v>
      </c>
    </row>
    <row r="431" spans="1:7">
      <c r="A431" t="s">
        <v>1202</v>
      </c>
      <c r="B431" t="s">
        <v>1203</v>
      </c>
      <c r="C431">
        <v>10</v>
      </c>
      <c r="D431" s="260">
        <v>46213</v>
      </c>
      <c r="E431" s="260">
        <v>46226</v>
      </c>
      <c r="F431">
        <v>91</v>
      </c>
      <c r="G431" t="s">
        <v>353</v>
      </c>
    </row>
    <row r="432" spans="1:7">
      <c r="A432" t="s">
        <v>1204</v>
      </c>
      <c r="B432" t="s">
        <v>1205</v>
      </c>
      <c r="C432">
        <v>10</v>
      </c>
      <c r="D432" s="260">
        <v>46247</v>
      </c>
      <c r="E432" s="260">
        <v>46260</v>
      </c>
      <c r="F432">
        <v>91</v>
      </c>
      <c r="G432" t="s">
        <v>353</v>
      </c>
    </row>
    <row r="433" spans="1:7">
      <c r="A433" t="s">
        <v>1206</v>
      </c>
      <c r="C433">
        <v>109</v>
      </c>
      <c r="D433" s="260">
        <v>46149</v>
      </c>
      <c r="E433" s="260">
        <v>46310</v>
      </c>
      <c r="F433">
        <v>61</v>
      </c>
      <c r="G433" t="s">
        <v>353</v>
      </c>
    </row>
    <row r="434" spans="1:7">
      <c r="A434" t="s">
        <v>1207</v>
      </c>
      <c r="B434" t="s">
        <v>1208</v>
      </c>
      <c r="C434">
        <v>15</v>
      </c>
      <c r="D434" s="260">
        <v>46162</v>
      </c>
      <c r="E434" s="260">
        <v>46184</v>
      </c>
      <c r="F434">
        <v>71</v>
      </c>
      <c r="G434" t="s">
        <v>353</v>
      </c>
    </row>
    <row r="435" spans="1:7">
      <c r="A435" t="s">
        <v>1209</v>
      </c>
      <c r="B435" t="s">
        <v>1210</v>
      </c>
      <c r="C435">
        <v>5</v>
      </c>
      <c r="D435" s="260">
        <v>46276</v>
      </c>
      <c r="E435" s="260">
        <v>46282</v>
      </c>
      <c r="F435">
        <v>71</v>
      </c>
      <c r="G435" t="s">
        <v>353</v>
      </c>
    </row>
    <row r="436" spans="1:7">
      <c r="A436" t="s">
        <v>1211</v>
      </c>
      <c r="B436" t="s">
        <v>1212</v>
      </c>
      <c r="C436">
        <v>15</v>
      </c>
      <c r="D436" s="260">
        <v>46162</v>
      </c>
      <c r="E436" s="260">
        <v>46184</v>
      </c>
      <c r="F436">
        <v>71</v>
      </c>
      <c r="G436" t="s">
        <v>353</v>
      </c>
    </row>
    <row r="437" spans="1:7">
      <c r="A437" t="s">
        <v>1213</v>
      </c>
      <c r="B437" t="s">
        <v>1214</v>
      </c>
      <c r="C437">
        <v>5</v>
      </c>
      <c r="D437" s="260">
        <v>46276</v>
      </c>
      <c r="E437" s="260">
        <v>46282</v>
      </c>
      <c r="F437">
        <v>71</v>
      </c>
      <c r="G437" t="s">
        <v>353</v>
      </c>
    </row>
    <row r="438" spans="1:7">
      <c r="A438" t="s">
        <v>1215</v>
      </c>
      <c r="B438" t="s">
        <v>1216</v>
      </c>
      <c r="C438">
        <v>15</v>
      </c>
      <c r="D438" s="260">
        <v>46177</v>
      </c>
      <c r="E438" s="260">
        <v>46197</v>
      </c>
      <c r="F438">
        <v>65</v>
      </c>
      <c r="G438" t="s">
        <v>353</v>
      </c>
    </row>
    <row r="439" spans="1:7">
      <c r="A439" t="s">
        <v>1217</v>
      </c>
      <c r="B439" t="s">
        <v>1218</v>
      </c>
      <c r="C439">
        <v>5</v>
      </c>
      <c r="D439" s="260">
        <v>46286</v>
      </c>
      <c r="E439" s="260">
        <v>46290</v>
      </c>
      <c r="F439">
        <v>65</v>
      </c>
      <c r="G439" t="s">
        <v>353</v>
      </c>
    </row>
    <row r="440" spans="1:7">
      <c r="A440" t="s">
        <v>1219</v>
      </c>
      <c r="B440" t="s">
        <v>1220</v>
      </c>
      <c r="C440">
        <v>15</v>
      </c>
      <c r="D440" s="260">
        <v>46177</v>
      </c>
      <c r="E440" s="260">
        <v>46197</v>
      </c>
      <c r="F440">
        <v>65</v>
      </c>
      <c r="G440" t="s">
        <v>353</v>
      </c>
    </row>
    <row r="441" spans="1:7">
      <c r="A441" t="s">
        <v>1221</v>
      </c>
      <c r="B441" t="s">
        <v>1222</v>
      </c>
      <c r="C441">
        <v>5</v>
      </c>
      <c r="D441" s="260">
        <v>46286</v>
      </c>
      <c r="E441" s="260">
        <v>46290</v>
      </c>
      <c r="F441">
        <v>65</v>
      </c>
      <c r="G441" t="s">
        <v>353</v>
      </c>
    </row>
    <row r="442" spans="1:7">
      <c r="A442" t="s">
        <v>1223</v>
      </c>
      <c r="B442" t="s">
        <v>1224</v>
      </c>
      <c r="C442">
        <v>15</v>
      </c>
      <c r="D442" s="260">
        <v>46177</v>
      </c>
      <c r="E442" s="260">
        <v>46197</v>
      </c>
      <c r="F442">
        <v>65</v>
      </c>
      <c r="G442" t="s">
        <v>353</v>
      </c>
    </row>
    <row r="443" spans="1:7">
      <c r="A443" t="s">
        <v>1225</v>
      </c>
      <c r="B443" t="s">
        <v>1226</v>
      </c>
      <c r="C443">
        <v>5</v>
      </c>
      <c r="D443" s="260">
        <v>46286</v>
      </c>
      <c r="E443" s="260">
        <v>46290</v>
      </c>
      <c r="F443">
        <v>65</v>
      </c>
      <c r="G443" t="s">
        <v>353</v>
      </c>
    </row>
    <row r="444" spans="1:7">
      <c r="A444" t="s">
        <v>1227</v>
      </c>
      <c r="B444" t="s">
        <v>1228</v>
      </c>
      <c r="C444">
        <v>15</v>
      </c>
      <c r="D444" s="260">
        <v>46177</v>
      </c>
      <c r="E444" s="260">
        <v>46197</v>
      </c>
      <c r="F444">
        <v>65</v>
      </c>
      <c r="G444" t="s">
        <v>353</v>
      </c>
    </row>
    <row r="445" spans="1:7">
      <c r="A445" t="s">
        <v>1229</v>
      </c>
      <c r="B445" t="s">
        <v>1230</v>
      </c>
      <c r="C445">
        <v>5</v>
      </c>
      <c r="D445" s="260">
        <v>46286</v>
      </c>
      <c r="E445" s="260">
        <v>46290</v>
      </c>
      <c r="F445">
        <v>65</v>
      </c>
      <c r="G445" t="s">
        <v>353</v>
      </c>
    </row>
    <row r="446" spans="1:7">
      <c r="A446" t="s">
        <v>1231</v>
      </c>
      <c r="B446" t="s">
        <v>1232</v>
      </c>
      <c r="C446">
        <v>15</v>
      </c>
      <c r="D446" s="260">
        <v>46149</v>
      </c>
      <c r="E446" s="260">
        <v>46169</v>
      </c>
      <c r="F446">
        <v>81</v>
      </c>
      <c r="G446" t="s">
        <v>353</v>
      </c>
    </row>
    <row r="447" spans="1:7">
      <c r="A447" t="s">
        <v>1233</v>
      </c>
      <c r="B447" t="s">
        <v>1234</v>
      </c>
      <c r="C447">
        <v>5</v>
      </c>
      <c r="D447" s="260">
        <v>46262</v>
      </c>
      <c r="E447" s="260">
        <v>46268</v>
      </c>
      <c r="F447">
        <v>81</v>
      </c>
      <c r="G447" t="s">
        <v>353</v>
      </c>
    </row>
    <row r="448" spans="1:7">
      <c r="A448" t="s">
        <v>1235</v>
      </c>
      <c r="B448" t="s">
        <v>1236</v>
      </c>
      <c r="C448">
        <v>15</v>
      </c>
      <c r="D448" s="260">
        <v>46178</v>
      </c>
      <c r="E448" s="260">
        <v>46198</v>
      </c>
      <c r="F448">
        <v>78</v>
      </c>
      <c r="G448" t="s">
        <v>353</v>
      </c>
    </row>
    <row r="449" spans="1:7">
      <c r="A449" t="s">
        <v>1237</v>
      </c>
      <c r="B449" t="s">
        <v>1238</v>
      </c>
      <c r="C449">
        <v>5</v>
      </c>
      <c r="D449" s="260">
        <v>46267</v>
      </c>
      <c r="E449" s="260">
        <v>46273</v>
      </c>
      <c r="F449">
        <v>78</v>
      </c>
      <c r="G449" t="s">
        <v>353</v>
      </c>
    </row>
    <row r="450" spans="1:7">
      <c r="A450" t="s">
        <v>1239</v>
      </c>
      <c r="B450" t="s">
        <v>1240</v>
      </c>
      <c r="C450">
        <v>15</v>
      </c>
      <c r="D450" s="260">
        <v>46178</v>
      </c>
      <c r="E450" s="260">
        <v>46198</v>
      </c>
      <c r="F450">
        <v>78</v>
      </c>
      <c r="G450" t="s">
        <v>353</v>
      </c>
    </row>
    <row r="451" spans="1:7">
      <c r="A451" t="s">
        <v>1241</v>
      </c>
      <c r="B451" t="s">
        <v>1242</v>
      </c>
      <c r="C451">
        <v>5</v>
      </c>
      <c r="D451" s="260">
        <v>46267</v>
      </c>
      <c r="E451" s="260">
        <v>46273</v>
      </c>
      <c r="F451">
        <v>78</v>
      </c>
      <c r="G451" t="s">
        <v>353</v>
      </c>
    </row>
    <row r="452" spans="1:7">
      <c r="A452" t="s">
        <v>1243</v>
      </c>
      <c r="B452" t="s">
        <v>1244</v>
      </c>
      <c r="C452">
        <v>15</v>
      </c>
      <c r="D452" s="260">
        <v>46178</v>
      </c>
      <c r="E452" s="260">
        <v>46198</v>
      </c>
      <c r="F452">
        <v>78</v>
      </c>
      <c r="G452" t="s">
        <v>353</v>
      </c>
    </row>
    <row r="453" spans="1:7">
      <c r="A453" t="s">
        <v>1245</v>
      </c>
      <c r="B453" t="s">
        <v>1246</v>
      </c>
      <c r="C453">
        <v>5</v>
      </c>
      <c r="D453" s="260">
        <v>46267</v>
      </c>
      <c r="E453" s="260">
        <v>46273</v>
      </c>
      <c r="F453">
        <v>78</v>
      </c>
      <c r="G453" t="s">
        <v>353</v>
      </c>
    </row>
    <row r="454" spans="1:7">
      <c r="A454" t="s">
        <v>1247</v>
      </c>
      <c r="B454" t="s">
        <v>1248</v>
      </c>
      <c r="C454">
        <v>15</v>
      </c>
      <c r="D454" s="260">
        <v>46178</v>
      </c>
      <c r="E454" s="260">
        <v>46198</v>
      </c>
      <c r="F454">
        <v>78</v>
      </c>
      <c r="G454" t="s">
        <v>353</v>
      </c>
    </row>
    <row r="455" spans="1:7">
      <c r="A455" t="s">
        <v>1249</v>
      </c>
      <c r="B455" t="s">
        <v>1250</v>
      </c>
      <c r="C455">
        <v>5</v>
      </c>
      <c r="D455" s="260">
        <v>46267</v>
      </c>
      <c r="E455" s="260">
        <v>46273</v>
      </c>
      <c r="F455">
        <v>78</v>
      </c>
      <c r="G455" t="s">
        <v>353</v>
      </c>
    </row>
    <row r="456" spans="1:7">
      <c r="A456" t="s">
        <v>1251</v>
      </c>
      <c r="B456" t="s">
        <v>1252</v>
      </c>
      <c r="C456">
        <v>15</v>
      </c>
      <c r="D456" s="260">
        <v>46178</v>
      </c>
      <c r="E456" s="260">
        <v>46198</v>
      </c>
      <c r="F456">
        <v>78</v>
      </c>
      <c r="G456" t="s">
        <v>353</v>
      </c>
    </row>
    <row r="457" spans="1:7">
      <c r="A457" t="s">
        <v>1253</v>
      </c>
      <c r="B457" t="s">
        <v>1254</v>
      </c>
      <c r="C457">
        <v>5</v>
      </c>
      <c r="D457" s="260">
        <v>46267</v>
      </c>
      <c r="E457" s="260">
        <v>46273</v>
      </c>
      <c r="F457">
        <v>78</v>
      </c>
      <c r="G457" t="s">
        <v>353</v>
      </c>
    </row>
    <row r="458" spans="1:7">
      <c r="A458" t="s">
        <v>1255</v>
      </c>
      <c r="B458" t="s">
        <v>1256</v>
      </c>
      <c r="C458">
        <v>15</v>
      </c>
      <c r="D458" s="260">
        <v>46178</v>
      </c>
      <c r="E458" s="260">
        <v>46198</v>
      </c>
      <c r="F458">
        <v>78</v>
      </c>
      <c r="G458" t="s">
        <v>353</v>
      </c>
    </row>
    <row r="459" spans="1:7">
      <c r="A459" t="s">
        <v>1257</v>
      </c>
      <c r="B459" t="s">
        <v>1258</v>
      </c>
      <c r="C459">
        <v>5</v>
      </c>
      <c r="D459" s="260">
        <v>46267</v>
      </c>
      <c r="E459" s="260">
        <v>46273</v>
      </c>
      <c r="F459">
        <v>78</v>
      </c>
      <c r="G459" t="s">
        <v>353</v>
      </c>
    </row>
    <row r="460" spans="1:7">
      <c r="A460" t="s">
        <v>1259</v>
      </c>
      <c r="B460" t="s">
        <v>1260</v>
      </c>
      <c r="C460">
        <v>15</v>
      </c>
      <c r="D460" s="260">
        <v>46178</v>
      </c>
      <c r="E460" s="260">
        <v>46198</v>
      </c>
      <c r="F460">
        <v>78</v>
      </c>
      <c r="G460" t="s">
        <v>353</v>
      </c>
    </row>
    <row r="461" spans="1:7">
      <c r="A461" t="s">
        <v>1261</v>
      </c>
      <c r="B461" t="s">
        <v>1262</v>
      </c>
      <c r="C461">
        <v>5</v>
      </c>
      <c r="D461" s="260">
        <v>46267</v>
      </c>
      <c r="E461" s="260">
        <v>46273</v>
      </c>
      <c r="F461">
        <v>78</v>
      </c>
      <c r="G461" t="s">
        <v>353</v>
      </c>
    </row>
    <row r="462" spans="1:7">
      <c r="A462" t="s">
        <v>1263</v>
      </c>
      <c r="B462" t="s">
        <v>1264</v>
      </c>
      <c r="C462">
        <v>15</v>
      </c>
      <c r="D462" s="260">
        <v>46178</v>
      </c>
      <c r="E462" s="260">
        <v>46198</v>
      </c>
      <c r="F462">
        <v>80</v>
      </c>
      <c r="G462" t="s">
        <v>353</v>
      </c>
    </row>
    <row r="463" spans="1:7">
      <c r="A463" t="s">
        <v>1265</v>
      </c>
      <c r="B463" t="s">
        <v>1266</v>
      </c>
      <c r="C463">
        <v>5</v>
      </c>
      <c r="D463" s="260">
        <v>46267</v>
      </c>
      <c r="E463" s="260">
        <v>46273</v>
      </c>
      <c r="F463">
        <v>78</v>
      </c>
      <c r="G463" t="s">
        <v>353</v>
      </c>
    </row>
    <row r="464" spans="1:7">
      <c r="A464" t="s">
        <v>1267</v>
      </c>
      <c r="B464" t="s">
        <v>1268</v>
      </c>
      <c r="C464">
        <v>15</v>
      </c>
      <c r="D464" s="260">
        <v>46199</v>
      </c>
      <c r="E464" s="260">
        <v>46219</v>
      </c>
      <c r="F464">
        <v>52</v>
      </c>
      <c r="G464" t="s">
        <v>353</v>
      </c>
    </row>
    <row r="465" spans="1:7">
      <c r="A465" t="s">
        <v>1269</v>
      </c>
      <c r="B465" t="s">
        <v>1270</v>
      </c>
      <c r="C465">
        <v>5</v>
      </c>
      <c r="D465" s="260">
        <v>46303</v>
      </c>
      <c r="E465" s="260">
        <v>46310</v>
      </c>
      <c r="F465">
        <v>52</v>
      </c>
      <c r="G465" t="s">
        <v>353</v>
      </c>
    </row>
    <row r="466" spans="1:7">
      <c r="A466" t="s">
        <v>1271</v>
      </c>
      <c r="B466" t="s">
        <v>1272</v>
      </c>
      <c r="C466">
        <v>15</v>
      </c>
      <c r="D466" s="260">
        <v>46199</v>
      </c>
      <c r="E466" s="260">
        <v>46219</v>
      </c>
      <c r="F466">
        <v>52</v>
      </c>
      <c r="G466" t="s">
        <v>353</v>
      </c>
    </row>
    <row r="467" spans="1:7">
      <c r="A467" t="s">
        <v>1273</v>
      </c>
      <c r="B467" t="s">
        <v>1274</v>
      </c>
      <c r="C467">
        <v>5</v>
      </c>
      <c r="D467" s="260">
        <v>46303</v>
      </c>
      <c r="E467" s="260">
        <v>46310</v>
      </c>
      <c r="F467">
        <v>52</v>
      </c>
      <c r="G467" t="s">
        <v>353</v>
      </c>
    </row>
    <row r="468" spans="1:7">
      <c r="A468" t="s">
        <v>1275</v>
      </c>
      <c r="B468" t="s">
        <v>1276</v>
      </c>
      <c r="C468">
        <v>15</v>
      </c>
      <c r="D468" s="260">
        <v>46199</v>
      </c>
      <c r="E468" s="260">
        <v>46219</v>
      </c>
      <c r="F468">
        <v>52</v>
      </c>
      <c r="G468" t="s">
        <v>353</v>
      </c>
    </row>
    <row r="469" spans="1:7">
      <c r="A469" t="s">
        <v>1277</v>
      </c>
      <c r="B469" t="s">
        <v>1278</v>
      </c>
      <c r="C469">
        <v>5</v>
      </c>
      <c r="D469" s="260">
        <v>46303</v>
      </c>
      <c r="E469" s="260">
        <v>46310</v>
      </c>
      <c r="F469">
        <v>52</v>
      </c>
      <c r="G469" t="s">
        <v>353</v>
      </c>
    </row>
    <row r="470" spans="1:7">
      <c r="A470" t="s">
        <v>1279</v>
      </c>
      <c r="B470" t="s">
        <v>1280</v>
      </c>
      <c r="C470">
        <v>15</v>
      </c>
      <c r="D470" s="260">
        <v>46199</v>
      </c>
      <c r="E470" s="260">
        <v>46219</v>
      </c>
      <c r="F470">
        <v>52</v>
      </c>
      <c r="G470" t="s">
        <v>353</v>
      </c>
    </row>
    <row r="471" spans="1:7">
      <c r="A471" t="s">
        <v>1281</v>
      </c>
      <c r="B471" t="s">
        <v>1282</v>
      </c>
      <c r="C471">
        <v>5</v>
      </c>
      <c r="D471" s="260">
        <v>46303</v>
      </c>
      <c r="E471" s="260">
        <v>46310</v>
      </c>
      <c r="F471">
        <v>52</v>
      </c>
      <c r="G471" t="s">
        <v>353</v>
      </c>
    </row>
    <row r="472" spans="1:7">
      <c r="A472" t="s">
        <v>1283</v>
      </c>
      <c r="B472" t="s">
        <v>1284</v>
      </c>
      <c r="C472">
        <v>15</v>
      </c>
      <c r="D472" s="260">
        <v>46199</v>
      </c>
      <c r="E472" s="260">
        <v>46219</v>
      </c>
      <c r="F472">
        <v>52</v>
      </c>
      <c r="G472" t="s">
        <v>353</v>
      </c>
    </row>
    <row r="473" spans="1:7">
      <c r="A473" t="s">
        <v>1285</v>
      </c>
      <c r="B473" t="s">
        <v>1286</v>
      </c>
      <c r="C473">
        <v>5</v>
      </c>
      <c r="D473" s="260">
        <v>46303</v>
      </c>
      <c r="E473" s="260">
        <v>46310</v>
      </c>
      <c r="F473">
        <v>52</v>
      </c>
      <c r="G473" t="s">
        <v>353</v>
      </c>
    </row>
    <row r="474" spans="1:7">
      <c r="A474" t="s">
        <v>1287</v>
      </c>
      <c r="B474" t="s">
        <v>1288</v>
      </c>
      <c r="C474">
        <v>15</v>
      </c>
      <c r="D474" s="260">
        <v>46199</v>
      </c>
      <c r="E474" s="260">
        <v>46219</v>
      </c>
      <c r="F474">
        <v>52</v>
      </c>
      <c r="G474" t="s">
        <v>353</v>
      </c>
    </row>
    <row r="475" spans="1:7">
      <c r="A475" t="s">
        <v>1289</v>
      </c>
      <c r="B475" t="s">
        <v>1290</v>
      </c>
      <c r="C475">
        <v>5</v>
      </c>
      <c r="D475" s="260">
        <v>46303</v>
      </c>
      <c r="E475" s="260">
        <v>46310</v>
      </c>
      <c r="F475">
        <v>52</v>
      </c>
      <c r="G475" t="s">
        <v>353</v>
      </c>
    </row>
    <row r="476" spans="1:7">
      <c r="A476" t="s">
        <v>1291</v>
      </c>
      <c r="B476" t="s">
        <v>1292</v>
      </c>
      <c r="C476">
        <v>15</v>
      </c>
      <c r="D476" s="260">
        <v>46199</v>
      </c>
      <c r="E476" s="260">
        <v>46219</v>
      </c>
      <c r="F476">
        <v>52</v>
      </c>
      <c r="G476" t="s">
        <v>353</v>
      </c>
    </row>
    <row r="477" spans="1:7">
      <c r="A477" t="s">
        <v>1293</v>
      </c>
      <c r="B477" t="s">
        <v>1294</v>
      </c>
      <c r="C477">
        <v>5</v>
      </c>
      <c r="D477" s="260">
        <v>46303</v>
      </c>
      <c r="E477" s="260">
        <v>46310</v>
      </c>
      <c r="F477">
        <v>52</v>
      </c>
      <c r="G477" t="s">
        <v>353</v>
      </c>
    </row>
    <row r="478" spans="1:7">
      <c r="A478" t="s">
        <v>1295</v>
      </c>
      <c r="B478" t="s">
        <v>1296</v>
      </c>
      <c r="C478">
        <v>15</v>
      </c>
      <c r="D478" s="260">
        <v>46199</v>
      </c>
      <c r="E478" s="260">
        <v>46219</v>
      </c>
      <c r="F478">
        <v>52</v>
      </c>
      <c r="G478" t="s">
        <v>353</v>
      </c>
    </row>
    <row r="479" spans="1:7">
      <c r="A479" t="s">
        <v>1297</v>
      </c>
      <c r="B479" t="s">
        <v>1298</v>
      </c>
      <c r="C479">
        <v>5</v>
      </c>
      <c r="D479" s="260">
        <v>46303</v>
      </c>
      <c r="E479" s="260">
        <v>46310</v>
      </c>
      <c r="F479">
        <v>52</v>
      </c>
      <c r="G479" t="s">
        <v>353</v>
      </c>
    </row>
    <row r="480" spans="1:7">
      <c r="A480" t="s">
        <v>1299</v>
      </c>
      <c r="B480" t="s">
        <v>1300</v>
      </c>
      <c r="C480">
        <v>15</v>
      </c>
      <c r="D480" s="260">
        <v>46199</v>
      </c>
      <c r="E480" s="260">
        <v>46219</v>
      </c>
      <c r="F480">
        <v>61</v>
      </c>
      <c r="G480" t="s">
        <v>353</v>
      </c>
    </row>
    <row r="481" spans="1:7">
      <c r="A481" t="s">
        <v>1301</v>
      </c>
      <c r="B481" t="s">
        <v>1302</v>
      </c>
      <c r="C481">
        <v>5</v>
      </c>
      <c r="D481" s="260">
        <v>46303</v>
      </c>
      <c r="E481" s="260">
        <v>46310</v>
      </c>
      <c r="F481">
        <v>61</v>
      </c>
      <c r="G481" t="s">
        <v>353</v>
      </c>
    </row>
    <row r="482" spans="1:7">
      <c r="A482" t="s">
        <v>1303</v>
      </c>
      <c r="C482">
        <v>64</v>
      </c>
      <c r="D482" s="260">
        <v>46195</v>
      </c>
      <c r="E482" s="260">
        <v>46288</v>
      </c>
      <c r="F482">
        <v>61</v>
      </c>
      <c r="G482" t="s">
        <v>353</v>
      </c>
    </row>
    <row r="483" spans="1:7">
      <c r="A483" t="s">
        <v>1304</v>
      </c>
      <c r="B483" t="s">
        <v>1305</v>
      </c>
      <c r="C483">
        <v>11</v>
      </c>
      <c r="D483" s="260">
        <v>46220</v>
      </c>
      <c r="E483" s="260">
        <v>46239</v>
      </c>
      <c r="F483">
        <v>71</v>
      </c>
      <c r="G483" t="s">
        <v>353</v>
      </c>
    </row>
    <row r="484" spans="1:7">
      <c r="A484" t="s">
        <v>1306</v>
      </c>
      <c r="B484" t="s">
        <v>1307</v>
      </c>
      <c r="C484">
        <v>5</v>
      </c>
      <c r="D484" s="260">
        <v>46255</v>
      </c>
      <c r="E484" s="260">
        <v>46261</v>
      </c>
      <c r="F484">
        <v>71</v>
      </c>
      <c r="G484" t="s">
        <v>353</v>
      </c>
    </row>
    <row r="485" spans="1:7">
      <c r="A485" t="s">
        <v>1308</v>
      </c>
      <c r="B485" t="s">
        <v>1309</v>
      </c>
      <c r="C485">
        <v>11</v>
      </c>
      <c r="D485" s="260">
        <v>46220</v>
      </c>
      <c r="E485" s="260">
        <v>46239</v>
      </c>
      <c r="F485">
        <v>71</v>
      </c>
      <c r="G485" t="s">
        <v>353</v>
      </c>
    </row>
    <row r="486" spans="1:7">
      <c r="A486" t="s">
        <v>1310</v>
      </c>
      <c r="B486" t="s">
        <v>1311</v>
      </c>
      <c r="C486">
        <v>5</v>
      </c>
      <c r="D486" s="260">
        <v>46255</v>
      </c>
      <c r="E486" s="260">
        <v>46261</v>
      </c>
      <c r="F486">
        <v>71</v>
      </c>
      <c r="G486" t="s">
        <v>353</v>
      </c>
    </row>
    <row r="487" spans="1:7">
      <c r="A487" t="s">
        <v>1312</v>
      </c>
      <c r="B487" t="s">
        <v>1313</v>
      </c>
      <c r="C487">
        <v>16</v>
      </c>
      <c r="D487" s="260">
        <v>46223</v>
      </c>
      <c r="E487" s="260">
        <v>46248</v>
      </c>
      <c r="F487">
        <v>65</v>
      </c>
      <c r="G487" t="s">
        <v>353</v>
      </c>
    </row>
    <row r="488" spans="1:7">
      <c r="A488" t="s">
        <v>1314</v>
      </c>
      <c r="B488" t="s">
        <v>1315</v>
      </c>
      <c r="C488">
        <v>5</v>
      </c>
      <c r="D488" s="260">
        <v>46265</v>
      </c>
      <c r="E488" s="260">
        <v>46269</v>
      </c>
      <c r="F488">
        <v>65</v>
      </c>
      <c r="G488" t="s">
        <v>353</v>
      </c>
    </row>
    <row r="489" spans="1:7">
      <c r="A489" t="s">
        <v>1316</v>
      </c>
      <c r="B489" t="s">
        <v>1317</v>
      </c>
      <c r="C489">
        <v>16</v>
      </c>
      <c r="D489" s="260">
        <v>46223</v>
      </c>
      <c r="E489" s="260">
        <v>46248</v>
      </c>
      <c r="F489">
        <v>65</v>
      </c>
      <c r="G489" t="s">
        <v>353</v>
      </c>
    </row>
    <row r="490" spans="1:7">
      <c r="A490" t="s">
        <v>1318</v>
      </c>
      <c r="B490" t="s">
        <v>1319</v>
      </c>
      <c r="C490">
        <v>5</v>
      </c>
      <c r="D490" s="260">
        <v>46265</v>
      </c>
      <c r="E490" s="260">
        <v>46269</v>
      </c>
      <c r="F490">
        <v>65</v>
      </c>
      <c r="G490" t="s">
        <v>353</v>
      </c>
    </row>
    <row r="491" spans="1:7">
      <c r="A491" t="s">
        <v>1320</v>
      </c>
      <c r="B491" t="s">
        <v>1321</v>
      </c>
      <c r="C491">
        <v>16</v>
      </c>
      <c r="D491" s="260">
        <v>46223</v>
      </c>
      <c r="E491" s="260">
        <v>46248</v>
      </c>
      <c r="F491">
        <v>65</v>
      </c>
      <c r="G491" t="s">
        <v>353</v>
      </c>
    </row>
    <row r="492" spans="1:7">
      <c r="A492" t="s">
        <v>1322</v>
      </c>
      <c r="B492" t="s">
        <v>1323</v>
      </c>
      <c r="C492">
        <v>5</v>
      </c>
      <c r="D492" s="260">
        <v>46265</v>
      </c>
      <c r="E492" s="260">
        <v>46269</v>
      </c>
      <c r="F492">
        <v>65</v>
      </c>
      <c r="G492" t="s">
        <v>353</v>
      </c>
    </row>
    <row r="493" spans="1:7">
      <c r="A493" t="s">
        <v>1324</v>
      </c>
      <c r="B493" t="s">
        <v>1325</v>
      </c>
      <c r="C493">
        <v>16</v>
      </c>
      <c r="D493" s="260">
        <v>46223</v>
      </c>
      <c r="E493" s="260">
        <v>46248</v>
      </c>
      <c r="F493">
        <v>65</v>
      </c>
      <c r="G493" t="s">
        <v>353</v>
      </c>
    </row>
    <row r="494" spans="1:7">
      <c r="A494" t="s">
        <v>1326</v>
      </c>
      <c r="B494" t="s">
        <v>1327</v>
      </c>
      <c r="C494">
        <v>5</v>
      </c>
      <c r="D494" s="260">
        <v>46265</v>
      </c>
      <c r="E494" s="260">
        <v>46269</v>
      </c>
      <c r="F494">
        <v>65</v>
      </c>
      <c r="G494" t="s">
        <v>353</v>
      </c>
    </row>
    <row r="495" spans="1:7">
      <c r="A495" t="s">
        <v>1328</v>
      </c>
      <c r="B495" t="s">
        <v>1329</v>
      </c>
      <c r="C495">
        <v>20</v>
      </c>
      <c r="D495" s="260">
        <v>46195</v>
      </c>
      <c r="E495" s="260">
        <v>46220</v>
      </c>
      <c r="F495">
        <v>81</v>
      </c>
      <c r="G495" t="s">
        <v>353</v>
      </c>
    </row>
    <row r="496" spans="1:7">
      <c r="A496" t="s">
        <v>1330</v>
      </c>
      <c r="B496" t="s">
        <v>1331</v>
      </c>
      <c r="C496">
        <v>5</v>
      </c>
      <c r="D496" s="260">
        <v>46240</v>
      </c>
      <c r="E496" s="260">
        <v>46247</v>
      </c>
      <c r="F496">
        <v>81</v>
      </c>
      <c r="G496" t="s">
        <v>353</v>
      </c>
    </row>
    <row r="497" spans="1:7">
      <c r="A497" t="s">
        <v>1332</v>
      </c>
      <c r="B497" t="s">
        <v>1333</v>
      </c>
      <c r="C497">
        <v>8</v>
      </c>
      <c r="D497" s="260">
        <v>46216</v>
      </c>
      <c r="E497" s="260">
        <v>46225</v>
      </c>
      <c r="F497">
        <v>78</v>
      </c>
      <c r="G497" t="s">
        <v>353</v>
      </c>
    </row>
    <row r="498" spans="1:7">
      <c r="A498" t="s">
        <v>1334</v>
      </c>
      <c r="B498" t="s">
        <v>1335</v>
      </c>
      <c r="C498">
        <v>5</v>
      </c>
      <c r="D498" s="260">
        <v>46245</v>
      </c>
      <c r="E498" s="260">
        <v>46252</v>
      </c>
      <c r="F498">
        <v>78</v>
      </c>
      <c r="G498" t="s">
        <v>353</v>
      </c>
    </row>
    <row r="499" spans="1:7">
      <c r="A499" t="s">
        <v>1336</v>
      </c>
      <c r="B499" t="s">
        <v>1337</v>
      </c>
      <c r="C499">
        <v>8</v>
      </c>
      <c r="D499" s="260">
        <v>46216</v>
      </c>
      <c r="E499" s="260">
        <v>46225</v>
      </c>
      <c r="F499">
        <v>78</v>
      </c>
      <c r="G499" t="s">
        <v>353</v>
      </c>
    </row>
    <row r="500" spans="1:7">
      <c r="A500" t="s">
        <v>1338</v>
      </c>
      <c r="B500" t="s">
        <v>1339</v>
      </c>
      <c r="C500">
        <v>5</v>
      </c>
      <c r="D500" s="260">
        <v>46245</v>
      </c>
      <c r="E500" s="260">
        <v>46252</v>
      </c>
      <c r="F500">
        <v>78</v>
      </c>
      <c r="G500" t="s">
        <v>353</v>
      </c>
    </row>
    <row r="501" spans="1:7">
      <c r="A501" t="s">
        <v>1340</v>
      </c>
      <c r="B501" t="s">
        <v>1341</v>
      </c>
      <c r="C501">
        <v>8</v>
      </c>
      <c r="D501" s="260">
        <v>46216</v>
      </c>
      <c r="E501" s="260">
        <v>46225</v>
      </c>
      <c r="F501">
        <v>78</v>
      </c>
      <c r="G501" t="s">
        <v>353</v>
      </c>
    </row>
    <row r="502" spans="1:7">
      <c r="A502" t="s">
        <v>1342</v>
      </c>
      <c r="B502" t="s">
        <v>1343</v>
      </c>
      <c r="C502">
        <v>5</v>
      </c>
      <c r="D502" s="260">
        <v>46245</v>
      </c>
      <c r="E502" s="260">
        <v>46252</v>
      </c>
      <c r="F502">
        <v>78</v>
      </c>
      <c r="G502" t="s">
        <v>353</v>
      </c>
    </row>
    <row r="503" spans="1:7">
      <c r="A503" t="s">
        <v>1344</v>
      </c>
      <c r="B503" t="s">
        <v>1345</v>
      </c>
      <c r="C503">
        <v>8</v>
      </c>
      <c r="D503" s="260">
        <v>46216</v>
      </c>
      <c r="E503" s="260">
        <v>46225</v>
      </c>
      <c r="F503">
        <v>78</v>
      </c>
      <c r="G503" t="s">
        <v>353</v>
      </c>
    </row>
    <row r="504" spans="1:7">
      <c r="A504" t="s">
        <v>1346</v>
      </c>
      <c r="B504" t="s">
        <v>1347</v>
      </c>
      <c r="C504">
        <v>5</v>
      </c>
      <c r="D504" s="260">
        <v>46245</v>
      </c>
      <c r="E504" s="260">
        <v>46252</v>
      </c>
      <c r="F504">
        <v>78</v>
      </c>
      <c r="G504" t="s">
        <v>353</v>
      </c>
    </row>
    <row r="505" spans="1:7">
      <c r="A505" t="s">
        <v>1348</v>
      </c>
      <c r="B505" t="s">
        <v>1349</v>
      </c>
      <c r="C505">
        <v>8</v>
      </c>
      <c r="D505" s="260">
        <v>46216</v>
      </c>
      <c r="E505" s="260">
        <v>46225</v>
      </c>
      <c r="F505">
        <v>78</v>
      </c>
      <c r="G505" t="s">
        <v>353</v>
      </c>
    </row>
    <row r="506" spans="1:7">
      <c r="A506" t="s">
        <v>1350</v>
      </c>
      <c r="B506" t="s">
        <v>1351</v>
      </c>
      <c r="C506">
        <v>5</v>
      </c>
      <c r="D506" s="260">
        <v>46245</v>
      </c>
      <c r="E506" s="260">
        <v>46252</v>
      </c>
      <c r="F506">
        <v>78</v>
      </c>
      <c r="G506" t="s">
        <v>353</v>
      </c>
    </row>
    <row r="507" spans="1:7">
      <c r="A507" t="s">
        <v>1352</v>
      </c>
      <c r="B507" t="s">
        <v>1353</v>
      </c>
      <c r="C507">
        <v>8</v>
      </c>
      <c r="D507" s="260">
        <v>46216</v>
      </c>
      <c r="E507" s="260">
        <v>46225</v>
      </c>
      <c r="F507">
        <v>78</v>
      </c>
      <c r="G507" t="s">
        <v>353</v>
      </c>
    </row>
    <row r="508" spans="1:7">
      <c r="A508" t="s">
        <v>1354</v>
      </c>
      <c r="B508" t="s">
        <v>1355</v>
      </c>
      <c r="C508">
        <v>5</v>
      </c>
      <c r="D508" s="260">
        <v>46245</v>
      </c>
      <c r="E508" s="260">
        <v>46252</v>
      </c>
      <c r="F508">
        <v>78</v>
      </c>
      <c r="G508" t="s">
        <v>353</v>
      </c>
    </row>
    <row r="509" spans="1:7">
      <c r="A509" t="s">
        <v>1356</v>
      </c>
      <c r="B509" t="s">
        <v>1357</v>
      </c>
      <c r="C509">
        <v>8</v>
      </c>
      <c r="D509" s="260">
        <v>46216</v>
      </c>
      <c r="E509" s="260">
        <v>46225</v>
      </c>
      <c r="F509">
        <v>78</v>
      </c>
      <c r="G509" t="s">
        <v>353</v>
      </c>
    </row>
    <row r="510" spans="1:7">
      <c r="A510" t="s">
        <v>1358</v>
      </c>
      <c r="B510" t="s">
        <v>1359</v>
      </c>
      <c r="C510">
        <v>5</v>
      </c>
      <c r="D510" s="260">
        <v>46245</v>
      </c>
      <c r="E510" s="260">
        <v>46252</v>
      </c>
      <c r="F510">
        <v>78</v>
      </c>
      <c r="G510" t="s">
        <v>353</v>
      </c>
    </row>
    <row r="511" spans="1:7">
      <c r="A511" t="s">
        <v>1360</v>
      </c>
      <c r="B511" t="s">
        <v>1361</v>
      </c>
      <c r="C511">
        <v>8</v>
      </c>
      <c r="D511" s="260">
        <v>46216</v>
      </c>
      <c r="E511" s="260">
        <v>46225</v>
      </c>
      <c r="F511">
        <v>80</v>
      </c>
      <c r="G511" t="s">
        <v>353</v>
      </c>
    </row>
    <row r="512" spans="1:7">
      <c r="A512" t="s">
        <v>1362</v>
      </c>
      <c r="B512" t="s">
        <v>1363</v>
      </c>
      <c r="C512">
        <v>3</v>
      </c>
      <c r="D512" s="260">
        <v>46245</v>
      </c>
      <c r="E512" s="260">
        <v>46248</v>
      </c>
      <c r="F512">
        <v>80</v>
      </c>
      <c r="G512" t="s">
        <v>353</v>
      </c>
    </row>
    <row r="513" spans="1:7">
      <c r="A513" t="s">
        <v>1364</v>
      </c>
      <c r="B513" t="s">
        <v>1365</v>
      </c>
      <c r="C513">
        <v>15</v>
      </c>
      <c r="D513" s="260">
        <v>46247</v>
      </c>
      <c r="E513" s="260">
        <v>46267</v>
      </c>
      <c r="F513">
        <v>52</v>
      </c>
      <c r="G513" t="s">
        <v>353</v>
      </c>
    </row>
    <row r="514" spans="1:7">
      <c r="A514" t="s">
        <v>1366</v>
      </c>
      <c r="B514" t="s">
        <v>1367</v>
      </c>
      <c r="C514">
        <v>5</v>
      </c>
      <c r="D514" s="260">
        <v>46282</v>
      </c>
      <c r="E514" s="260">
        <v>46288</v>
      </c>
      <c r="F514">
        <v>52</v>
      </c>
      <c r="G514" t="s">
        <v>353</v>
      </c>
    </row>
    <row r="515" spans="1:7">
      <c r="A515" t="s">
        <v>1368</v>
      </c>
      <c r="B515" t="s">
        <v>1369</v>
      </c>
      <c r="C515">
        <v>15</v>
      </c>
      <c r="D515" s="260">
        <v>46247</v>
      </c>
      <c r="E515" s="260">
        <v>46267</v>
      </c>
      <c r="F515">
        <v>52</v>
      </c>
      <c r="G515" t="s">
        <v>353</v>
      </c>
    </row>
    <row r="516" spans="1:7">
      <c r="A516" t="s">
        <v>1370</v>
      </c>
      <c r="B516" t="s">
        <v>1371</v>
      </c>
      <c r="C516">
        <v>5</v>
      </c>
      <c r="D516" s="260">
        <v>46282</v>
      </c>
      <c r="E516" s="260">
        <v>46288</v>
      </c>
      <c r="F516">
        <v>52</v>
      </c>
      <c r="G516" t="s">
        <v>353</v>
      </c>
    </row>
    <row r="517" spans="1:7">
      <c r="A517" t="s">
        <v>1372</v>
      </c>
      <c r="B517" t="s">
        <v>1373</v>
      </c>
      <c r="C517">
        <v>15</v>
      </c>
      <c r="D517" s="260">
        <v>46247</v>
      </c>
      <c r="E517" s="260">
        <v>46267</v>
      </c>
      <c r="F517">
        <v>52</v>
      </c>
      <c r="G517" t="s">
        <v>353</v>
      </c>
    </row>
    <row r="518" spans="1:7">
      <c r="A518" t="s">
        <v>1374</v>
      </c>
      <c r="B518" t="s">
        <v>1375</v>
      </c>
      <c r="C518">
        <v>5</v>
      </c>
      <c r="D518" s="260">
        <v>46282</v>
      </c>
      <c r="E518" s="260">
        <v>46288</v>
      </c>
      <c r="F518">
        <v>52</v>
      </c>
      <c r="G518" t="s">
        <v>353</v>
      </c>
    </row>
    <row r="519" spans="1:7">
      <c r="A519" t="s">
        <v>1376</v>
      </c>
      <c r="B519" t="s">
        <v>1377</v>
      </c>
      <c r="C519">
        <v>15</v>
      </c>
      <c r="D519" s="260">
        <v>46247</v>
      </c>
      <c r="E519" s="260">
        <v>46267</v>
      </c>
      <c r="F519">
        <v>52</v>
      </c>
      <c r="G519" t="s">
        <v>353</v>
      </c>
    </row>
    <row r="520" spans="1:7">
      <c r="A520" t="s">
        <v>1378</v>
      </c>
      <c r="B520" t="s">
        <v>1379</v>
      </c>
      <c r="C520">
        <v>5</v>
      </c>
      <c r="D520" s="260">
        <v>46282</v>
      </c>
      <c r="E520" s="260">
        <v>46288</v>
      </c>
      <c r="F520">
        <v>52</v>
      </c>
      <c r="G520" t="s">
        <v>353</v>
      </c>
    </row>
    <row r="521" spans="1:7">
      <c r="A521" t="s">
        <v>1380</v>
      </c>
      <c r="B521" t="s">
        <v>1381</v>
      </c>
      <c r="C521">
        <v>15</v>
      </c>
      <c r="D521" s="260">
        <v>46247</v>
      </c>
      <c r="E521" s="260">
        <v>46267</v>
      </c>
      <c r="F521">
        <v>52</v>
      </c>
      <c r="G521" t="s">
        <v>353</v>
      </c>
    </row>
    <row r="522" spans="1:7">
      <c r="A522" t="s">
        <v>1382</v>
      </c>
      <c r="B522" t="s">
        <v>1383</v>
      </c>
      <c r="C522">
        <v>5</v>
      </c>
      <c r="D522" s="260">
        <v>46282</v>
      </c>
      <c r="E522" s="260">
        <v>46288</v>
      </c>
      <c r="F522">
        <v>52</v>
      </c>
      <c r="G522" t="s">
        <v>353</v>
      </c>
    </row>
    <row r="523" spans="1:7">
      <c r="A523" t="s">
        <v>1384</v>
      </c>
      <c r="B523" t="s">
        <v>1385</v>
      </c>
      <c r="C523">
        <v>15</v>
      </c>
      <c r="D523" s="260">
        <v>46247</v>
      </c>
      <c r="E523" s="260">
        <v>46267</v>
      </c>
      <c r="F523">
        <v>52</v>
      </c>
      <c r="G523" t="s">
        <v>353</v>
      </c>
    </row>
    <row r="524" spans="1:7">
      <c r="A524" t="s">
        <v>1386</v>
      </c>
      <c r="B524" t="s">
        <v>1387</v>
      </c>
      <c r="C524">
        <v>5</v>
      </c>
      <c r="D524" s="260">
        <v>46282</v>
      </c>
      <c r="E524" s="260">
        <v>46288</v>
      </c>
      <c r="F524">
        <v>52</v>
      </c>
      <c r="G524" t="s">
        <v>353</v>
      </c>
    </row>
    <row r="525" spans="1:7">
      <c r="A525" t="s">
        <v>1388</v>
      </c>
      <c r="B525" t="s">
        <v>1389</v>
      </c>
      <c r="C525">
        <v>15</v>
      </c>
      <c r="D525" s="260">
        <v>46247</v>
      </c>
      <c r="E525" s="260">
        <v>46267</v>
      </c>
      <c r="F525">
        <v>52</v>
      </c>
      <c r="G525" t="s">
        <v>353</v>
      </c>
    </row>
    <row r="526" spans="1:7">
      <c r="A526" t="s">
        <v>1390</v>
      </c>
      <c r="B526" t="s">
        <v>1391</v>
      </c>
      <c r="C526">
        <v>5</v>
      </c>
      <c r="D526" s="260">
        <v>46282</v>
      </c>
      <c r="E526" s="260">
        <v>46288</v>
      </c>
      <c r="F526">
        <v>52</v>
      </c>
      <c r="G526" t="s">
        <v>353</v>
      </c>
    </row>
    <row r="527" spans="1:7">
      <c r="A527" t="s">
        <v>1392</v>
      </c>
      <c r="B527" t="s">
        <v>1393</v>
      </c>
      <c r="C527">
        <v>15</v>
      </c>
      <c r="D527" s="260">
        <v>46247</v>
      </c>
      <c r="E527" s="260">
        <v>46267</v>
      </c>
      <c r="F527">
        <v>52</v>
      </c>
      <c r="G527" t="s">
        <v>353</v>
      </c>
    </row>
    <row r="528" spans="1:7">
      <c r="A528" t="s">
        <v>1394</v>
      </c>
      <c r="B528" t="s">
        <v>1395</v>
      </c>
      <c r="C528">
        <v>5</v>
      </c>
      <c r="D528" s="260">
        <v>46282</v>
      </c>
      <c r="E528" s="260">
        <v>46288</v>
      </c>
      <c r="F528">
        <v>52</v>
      </c>
      <c r="G528" t="s">
        <v>353</v>
      </c>
    </row>
    <row r="529" spans="1:7">
      <c r="A529" t="s">
        <v>1396</v>
      </c>
      <c r="B529" t="s">
        <v>1397</v>
      </c>
      <c r="C529">
        <v>15</v>
      </c>
      <c r="D529" s="260">
        <v>46247</v>
      </c>
      <c r="E529" s="260">
        <v>46267</v>
      </c>
      <c r="F529">
        <v>61</v>
      </c>
      <c r="G529" t="s">
        <v>353</v>
      </c>
    </row>
    <row r="530" spans="1:7">
      <c r="A530" t="s">
        <v>1398</v>
      </c>
      <c r="B530" t="s">
        <v>1399</v>
      </c>
      <c r="C530">
        <v>5</v>
      </c>
      <c r="D530" s="260">
        <v>46282</v>
      </c>
      <c r="E530" s="260">
        <v>46288</v>
      </c>
      <c r="F530">
        <v>61</v>
      </c>
      <c r="G530" t="s">
        <v>353</v>
      </c>
    </row>
    <row r="531" spans="1:7">
      <c r="A531" t="s">
        <v>1400</v>
      </c>
      <c r="C531">
        <v>175</v>
      </c>
      <c r="D531" s="260">
        <v>46085</v>
      </c>
      <c r="E531" s="260">
        <v>46346</v>
      </c>
      <c r="F531">
        <v>36</v>
      </c>
      <c r="G531" t="s">
        <v>353</v>
      </c>
    </row>
    <row r="532" spans="1:7">
      <c r="A532" t="s">
        <v>1401</v>
      </c>
      <c r="B532" t="s">
        <v>1402</v>
      </c>
      <c r="C532">
        <v>10</v>
      </c>
      <c r="D532" s="260">
        <v>46220</v>
      </c>
      <c r="E532" s="260">
        <v>46238</v>
      </c>
      <c r="F532">
        <v>76</v>
      </c>
      <c r="G532" t="s">
        <v>353</v>
      </c>
    </row>
    <row r="533" spans="1:7">
      <c r="A533" t="s">
        <v>1403</v>
      </c>
      <c r="B533" t="s">
        <v>1404</v>
      </c>
      <c r="C533">
        <v>10</v>
      </c>
      <c r="D533" s="260">
        <v>46254</v>
      </c>
      <c r="E533" s="260">
        <v>46267</v>
      </c>
      <c r="F533">
        <v>76</v>
      </c>
      <c r="G533" t="s">
        <v>353</v>
      </c>
    </row>
    <row r="534" spans="1:7">
      <c r="A534" t="s">
        <v>1405</v>
      </c>
      <c r="B534" t="s">
        <v>1406</v>
      </c>
      <c r="C534">
        <v>5</v>
      </c>
      <c r="D534" s="260">
        <v>46282</v>
      </c>
      <c r="E534" s="260">
        <v>46288</v>
      </c>
      <c r="F534">
        <v>76</v>
      </c>
      <c r="G534" t="s">
        <v>353</v>
      </c>
    </row>
    <row r="535" spans="1:7">
      <c r="A535" t="s">
        <v>1407</v>
      </c>
      <c r="B535" t="s">
        <v>1408</v>
      </c>
      <c r="C535">
        <v>10</v>
      </c>
      <c r="D535" s="260">
        <v>46156</v>
      </c>
      <c r="E535" s="260">
        <v>46169</v>
      </c>
      <c r="F535">
        <v>46</v>
      </c>
      <c r="G535" t="s">
        <v>353</v>
      </c>
    </row>
    <row r="536" spans="1:7">
      <c r="A536" t="s">
        <v>1409</v>
      </c>
      <c r="B536" t="s">
        <v>1410</v>
      </c>
      <c r="C536">
        <v>10</v>
      </c>
      <c r="D536" s="260">
        <v>46188</v>
      </c>
      <c r="E536" s="260">
        <v>46199</v>
      </c>
      <c r="F536">
        <v>71</v>
      </c>
      <c r="G536" t="s">
        <v>353</v>
      </c>
    </row>
    <row r="537" spans="1:7">
      <c r="A537" t="s">
        <v>1411</v>
      </c>
      <c r="B537" t="s">
        <v>1412</v>
      </c>
      <c r="C537">
        <v>5</v>
      </c>
      <c r="D537" s="260">
        <v>46216</v>
      </c>
      <c r="E537" s="260">
        <v>46220</v>
      </c>
      <c r="F537">
        <v>81</v>
      </c>
      <c r="G537" t="s">
        <v>353</v>
      </c>
    </row>
    <row r="538" spans="1:7">
      <c r="A538" t="s">
        <v>1413</v>
      </c>
      <c r="B538" t="s">
        <v>1414</v>
      </c>
      <c r="C538">
        <v>10</v>
      </c>
      <c r="D538" s="260">
        <v>46155</v>
      </c>
      <c r="E538" s="260">
        <v>46168</v>
      </c>
      <c r="F538">
        <v>0</v>
      </c>
      <c r="G538" t="s">
        <v>353</v>
      </c>
    </row>
    <row r="539" spans="1:7">
      <c r="A539" t="s">
        <v>1415</v>
      </c>
      <c r="B539" t="s">
        <v>1416</v>
      </c>
      <c r="C539">
        <v>10</v>
      </c>
      <c r="D539" s="260">
        <v>46185</v>
      </c>
      <c r="E539" s="260">
        <v>46198</v>
      </c>
      <c r="F539">
        <v>112</v>
      </c>
      <c r="G539" t="s">
        <v>353</v>
      </c>
    </row>
    <row r="540" spans="1:7">
      <c r="A540" t="s">
        <v>1417</v>
      </c>
      <c r="B540" t="s">
        <v>1418</v>
      </c>
      <c r="C540">
        <v>5</v>
      </c>
      <c r="D540" s="260">
        <v>46213</v>
      </c>
      <c r="E540" s="260">
        <v>46219</v>
      </c>
      <c r="F540">
        <v>112</v>
      </c>
      <c r="G540" t="s">
        <v>353</v>
      </c>
    </row>
    <row r="541" spans="1:7">
      <c r="A541" t="s">
        <v>1419</v>
      </c>
      <c r="B541" t="s">
        <v>1420</v>
      </c>
      <c r="C541">
        <v>10</v>
      </c>
      <c r="D541" s="260">
        <v>46155</v>
      </c>
      <c r="E541" s="260">
        <v>46168</v>
      </c>
      <c r="F541">
        <v>0</v>
      </c>
      <c r="G541" t="s">
        <v>353</v>
      </c>
    </row>
    <row r="542" spans="1:7">
      <c r="A542" t="s">
        <v>1421</v>
      </c>
      <c r="B542" t="s">
        <v>1422</v>
      </c>
      <c r="C542">
        <v>10</v>
      </c>
      <c r="D542" s="260">
        <v>46185</v>
      </c>
      <c r="E542" s="260">
        <v>46198</v>
      </c>
      <c r="F542">
        <v>112</v>
      </c>
      <c r="G542" t="s">
        <v>353</v>
      </c>
    </row>
    <row r="543" spans="1:7">
      <c r="A543" t="s">
        <v>1423</v>
      </c>
      <c r="B543" t="s">
        <v>1424</v>
      </c>
      <c r="C543">
        <v>5</v>
      </c>
      <c r="D543" s="260">
        <v>46213</v>
      </c>
      <c r="E543" s="260">
        <v>46219</v>
      </c>
      <c r="F543">
        <v>112</v>
      </c>
      <c r="G543" t="s">
        <v>353</v>
      </c>
    </row>
    <row r="544" spans="1:7">
      <c r="A544" t="s">
        <v>1425</v>
      </c>
      <c r="B544" t="s">
        <v>1426</v>
      </c>
      <c r="C544">
        <v>10</v>
      </c>
      <c r="D544" s="260">
        <v>46155</v>
      </c>
      <c r="E544" s="260">
        <v>46168</v>
      </c>
      <c r="F544">
        <v>0</v>
      </c>
      <c r="G544" t="s">
        <v>353</v>
      </c>
    </row>
    <row r="545" spans="1:7">
      <c r="A545" t="s">
        <v>1427</v>
      </c>
      <c r="B545" t="s">
        <v>1428</v>
      </c>
      <c r="C545">
        <v>10</v>
      </c>
      <c r="D545" s="260">
        <v>46185</v>
      </c>
      <c r="E545" s="260">
        <v>46198</v>
      </c>
      <c r="F545">
        <v>112</v>
      </c>
      <c r="G545" t="s">
        <v>353</v>
      </c>
    </row>
    <row r="546" spans="1:7">
      <c r="A546" t="s">
        <v>1429</v>
      </c>
      <c r="B546" t="s">
        <v>1430</v>
      </c>
      <c r="C546">
        <v>5</v>
      </c>
      <c r="D546" s="260">
        <v>46213</v>
      </c>
      <c r="E546" s="260">
        <v>46219</v>
      </c>
      <c r="F546">
        <v>112</v>
      </c>
      <c r="G546" t="s">
        <v>353</v>
      </c>
    </row>
    <row r="547" spans="1:7">
      <c r="A547" t="s">
        <v>1431</v>
      </c>
      <c r="B547" t="s">
        <v>1432</v>
      </c>
      <c r="C547">
        <v>10</v>
      </c>
      <c r="D547" s="260">
        <v>46155</v>
      </c>
      <c r="E547" s="260">
        <v>46168</v>
      </c>
      <c r="F547">
        <v>0</v>
      </c>
      <c r="G547" t="s">
        <v>353</v>
      </c>
    </row>
    <row r="548" spans="1:7">
      <c r="A548" t="s">
        <v>1433</v>
      </c>
      <c r="B548" t="s">
        <v>1434</v>
      </c>
      <c r="C548">
        <v>10</v>
      </c>
      <c r="D548" s="260">
        <v>46185</v>
      </c>
      <c r="E548" s="260">
        <v>46198</v>
      </c>
      <c r="F548">
        <v>112</v>
      </c>
      <c r="G548" t="s">
        <v>353</v>
      </c>
    </row>
    <row r="549" spans="1:7">
      <c r="A549" t="s">
        <v>1435</v>
      </c>
      <c r="B549" t="s">
        <v>1436</v>
      </c>
      <c r="C549">
        <v>5</v>
      </c>
      <c r="D549" s="260">
        <v>46213</v>
      </c>
      <c r="E549" s="260">
        <v>46219</v>
      </c>
      <c r="F549">
        <v>112</v>
      </c>
      <c r="G549" t="s">
        <v>353</v>
      </c>
    </row>
    <row r="550" spans="1:7">
      <c r="A550" t="s">
        <v>1437</v>
      </c>
      <c r="B550" t="s">
        <v>1438</v>
      </c>
      <c r="C550">
        <v>10</v>
      </c>
      <c r="D550" s="260">
        <v>46155</v>
      </c>
      <c r="E550" s="260">
        <v>46168</v>
      </c>
      <c r="F550">
        <v>0</v>
      </c>
      <c r="G550" t="s">
        <v>353</v>
      </c>
    </row>
    <row r="551" spans="1:7">
      <c r="A551" t="s">
        <v>1439</v>
      </c>
      <c r="B551" t="s">
        <v>1440</v>
      </c>
      <c r="C551">
        <v>10</v>
      </c>
      <c r="D551" s="260">
        <v>46185</v>
      </c>
      <c r="E551" s="260">
        <v>46198</v>
      </c>
      <c r="F551">
        <v>112</v>
      </c>
      <c r="G551" t="s">
        <v>353</v>
      </c>
    </row>
    <row r="552" spans="1:7">
      <c r="A552" t="s">
        <v>1441</v>
      </c>
      <c r="B552" t="s">
        <v>1442</v>
      </c>
      <c r="C552">
        <v>5</v>
      </c>
      <c r="D552" s="260">
        <v>46213</v>
      </c>
      <c r="E552" s="260">
        <v>46219</v>
      </c>
      <c r="F552">
        <v>112</v>
      </c>
      <c r="G552" t="s">
        <v>353</v>
      </c>
    </row>
    <row r="553" spans="1:7">
      <c r="A553" t="s">
        <v>1443</v>
      </c>
      <c r="B553" t="s">
        <v>1444</v>
      </c>
      <c r="C553">
        <v>25</v>
      </c>
      <c r="D553" s="260">
        <v>46169</v>
      </c>
      <c r="E553" s="260">
        <v>46205</v>
      </c>
      <c r="F553">
        <v>27</v>
      </c>
      <c r="G553" t="s">
        <v>353</v>
      </c>
    </row>
    <row r="554" spans="1:7">
      <c r="A554" t="s">
        <v>1445</v>
      </c>
      <c r="B554" t="s">
        <v>1446</v>
      </c>
      <c r="C554">
        <v>15</v>
      </c>
      <c r="D554" s="260">
        <v>46220</v>
      </c>
      <c r="E554" s="260">
        <v>46245</v>
      </c>
      <c r="F554">
        <v>72</v>
      </c>
      <c r="G554" t="s">
        <v>353</v>
      </c>
    </row>
    <row r="555" spans="1:7">
      <c r="A555" t="s">
        <v>1447</v>
      </c>
      <c r="B555" t="s">
        <v>1448</v>
      </c>
      <c r="C555">
        <v>15</v>
      </c>
      <c r="D555" s="260">
        <v>46261</v>
      </c>
      <c r="E555" s="260">
        <v>46281</v>
      </c>
      <c r="F555">
        <v>72</v>
      </c>
      <c r="G555" t="s">
        <v>353</v>
      </c>
    </row>
    <row r="556" spans="1:7">
      <c r="A556" t="s">
        <v>1449</v>
      </c>
      <c r="B556" t="s">
        <v>1450</v>
      </c>
      <c r="C556">
        <v>25</v>
      </c>
      <c r="D556" s="260">
        <v>46169</v>
      </c>
      <c r="E556" s="260">
        <v>46205</v>
      </c>
      <c r="F556">
        <v>47</v>
      </c>
      <c r="G556" t="s">
        <v>353</v>
      </c>
    </row>
    <row r="557" spans="1:7">
      <c r="A557" t="s">
        <v>1451</v>
      </c>
      <c r="B557" t="s">
        <v>1452</v>
      </c>
      <c r="C557">
        <v>15</v>
      </c>
      <c r="D557" s="260">
        <v>46220</v>
      </c>
      <c r="E557" s="260">
        <v>46245</v>
      </c>
      <c r="F557">
        <v>72</v>
      </c>
      <c r="G557" t="s">
        <v>353</v>
      </c>
    </row>
    <row r="558" spans="1:7">
      <c r="A558" t="s">
        <v>1453</v>
      </c>
      <c r="B558" t="s">
        <v>1454</v>
      </c>
      <c r="C558">
        <v>15</v>
      </c>
      <c r="D558" s="260">
        <v>46261</v>
      </c>
      <c r="E558" s="260">
        <v>46281</v>
      </c>
      <c r="F558">
        <v>72</v>
      </c>
      <c r="G558" t="s">
        <v>353</v>
      </c>
    </row>
    <row r="559" spans="1:7">
      <c r="A559" t="s">
        <v>1455</v>
      </c>
      <c r="B559" t="s">
        <v>1456</v>
      </c>
      <c r="C559">
        <v>25</v>
      </c>
      <c r="D559" s="260">
        <v>46169</v>
      </c>
      <c r="E559" s="260">
        <v>46205</v>
      </c>
      <c r="F559">
        <v>42</v>
      </c>
      <c r="G559" t="s">
        <v>353</v>
      </c>
    </row>
    <row r="560" spans="1:7">
      <c r="A560" t="s">
        <v>1457</v>
      </c>
      <c r="B560" t="s">
        <v>1458</v>
      </c>
      <c r="C560">
        <v>15</v>
      </c>
      <c r="D560" s="260">
        <v>46220</v>
      </c>
      <c r="E560" s="260">
        <v>46245</v>
      </c>
      <c r="F560">
        <v>72</v>
      </c>
      <c r="G560" t="s">
        <v>353</v>
      </c>
    </row>
    <row r="561" spans="1:7">
      <c r="A561" t="s">
        <v>1459</v>
      </c>
      <c r="B561" t="s">
        <v>1460</v>
      </c>
      <c r="C561">
        <v>15</v>
      </c>
      <c r="D561" s="260">
        <v>46261</v>
      </c>
      <c r="E561" s="260">
        <v>46281</v>
      </c>
      <c r="F561">
        <v>72</v>
      </c>
      <c r="G561" t="s">
        <v>353</v>
      </c>
    </row>
    <row r="562" spans="1:7">
      <c r="A562" t="s">
        <v>1461</v>
      </c>
      <c r="B562" t="s">
        <v>1462</v>
      </c>
      <c r="C562">
        <v>25</v>
      </c>
      <c r="D562" s="260">
        <v>46178</v>
      </c>
      <c r="E562" s="260">
        <v>46212</v>
      </c>
      <c r="F562">
        <v>42</v>
      </c>
      <c r="G562" t="s">
        <v>353</v>
      </c>
    </row>
    <row r="563" spans="1:7">
      <c r="A563" t="s">
        <v>1463</v>
      </c>
      <c r="B563" t="s">
        <v>1464</v>
      </c>
      <c r="C563">
        <v>15</v>
      </c>
      <c r="D563" s="260">
        <v>46227</v>
      </c>
      <c r="E563" s="260">
        <v>46253</v>
      </c>
      <c r="F563">
        <v>67</v>
      </c>
      <c r="G563" t="s">
        <v>353</v>
      </c>
    </row>
    <row r="564" spans="1:7">
      <c r="A564" t="s">
        <v>1465</v>
      </c>
      <c r="B564" t="s">
        <v>1466</v>
      </c>
      <c r="C564">
        <v>15</v>
      </c>
      <c r="D564" s="260">
        <v>46268</v>
      </c>
      <c r="E564" s="260">
        <v>46288</v>
      </c>
      <c r="F564">
        <v>67</v>
      </c>
      <c r="G564" t="s">
        <v>353</v>
      </c>
    </row>
    <row r="565" spans="1:7">
      <c r="A565" t="s">
        <v>1467</v>
      </c>
      <c r="B565" t="s">
        <v>1468</v>
      </c>
      <c r="C565">
        <v>25</v>
      </c>
      <c r="D565" s="260">
        <v>46169</v>
      </c>
      <c r="E565" s="260">
        <v>46205</v>
      </c>
      <c r="F565">
        <v>42</v>
      </c>
      <c r="G565" t="s">
        <v>353</v>
      </c>
    </row>
    <row r="566" spans="1:7">
      <c r="A566" t="s">
        <v>1469</v>
      </c>
      <c r="B566" t="s">
        <v>1470</v>
      </c>
      <c r="C566">
        <v>15</v>
      </c>
      <c r="D566" s="260">
        <v>46220</v>
      </c>
      <c r="E566" s="260">
        <v>46245</v>
      </c>
      <c r="F566">
        <v>72</v>
      </c>
      <c r="G566" t="s">
        <v>353</v>
      </c>
    </row>
    <row r="567" spans="1:7">
      <c r="A567" t="s">
        <v>1471</v>
      </c>
      <c r="B567" t="s">
        <v>1472</v>
      </c>
      <c r="C567">
        <v>15</v>
      </c>
      <c r="D567" s="260">
        <v>46261</v>
      </c>
      <c r="E567" s="260">
        <v>46281</v>
      </c>
      <c r="F567">
        <v>72</v>
      </c>
      <c r="G567" t="s">
        <v>353</v>
      </c>
    </row>
    <row r="568" spans="1:7">
      <c r="A568" t="s">
        <v>1473</v>
      </c>
      <c r="B568" t="s">
        <v>1474</v>
      </c>
      <c r="C568">
        <v>25</v>
      </c>
      <c r="D568" s="260">
        <v>46178</v>
      </c>
      <c r="E568" s="260">
        <v>46212</v>
      </c>
      <c r="F568">
        <v>42</v>
      </c>
      <c r="G568" t="s">
        <v>353</v>
      </c>
    </row>
    <row r="569" spans="1:7">
      <c r="A569" t="s">
        <v>1475</v>
      </c>
      <c r="B569" t="s">
        <v>1476</v>
      </c>
      <c r="C569">
        <v>15</v>
      </c>
      <c r="D569" s="260">
        <v>46227</v>
      </c>
      <c r="E569" s="260">
        <v>46253</v>
      </c>
      <c r="F569">
        <v>67</v>
      </c>
      <c r="G569" t="s">
        <v>353</v>
      </c>
    </row>
    <row r="570" spans="1:7">
      <c r="A570" t="s">
        <v>1477</v>
      </c>
      <c r="B570" t="s">
        <v>1478</v>
      </c>
      <c r="C570">
        <v>15</v>
      </c>
      <c r="D570" s="260">
        <v>46268</v>
      </c>
      <c r="E570" s="260">
        <v>46288</v>
      </c>
      <c r="F570">
        <v>67</v>
      </c>
      <c r="G570" t="s">
        <v>353</v>
      </c>
    </row>
    <row r="571" spans="1:7">
      <c r="A571" t="s">
        <v>1479</v>
      </c>
      <c r="B571" t="s">
        <v>1480</v>
      </c>
      <c r="C571">
        <v>25</v>
      </c>
      <c r="D571" s="260">
        <v>46178</v>
      </c>
      <c r="E571" s="260">
        <v>46212</v>
      </c>
      <c r="F571">
        <v>42</v>
      </c>
      <c r="G571" t="s">
        <v>353</v>
      </c>
    </row>
    <row r="572" spans="1:7">
      <c r="A572" t="s">
        <v>1481</v>
      </c>
      <c r="B572" t="s">
        <v>1482</v>
      </c>
      <c r="C572">
        <v>15</v>
      </c>
      <c r="D572" s="260">
        <v>46227</v>
      </c>
      <c r="E572" s="260">
        <v>46253</v>
      </c>
      <c r="F572">
        <v>67</v>
      </c>
      <c r="G572" t="s">
        <v>353</v>
      </c>
    </row>
    <row r="573" spans="1:7">
      <c r="A573" t="s">
        <v>1483</v>
      </c>
      <c r="B573" t="s">
        <v>1484</v>
      </c>
      <c r="C573">
        <v>15</v>
      </c>
      <c r="D573" s="260">
        <v>46268</v>
      </c>
      <c r="E573" s="260">
        <v>46288</v>
      </c>
      <c r="F573">
        <v>67</v>
      </c>
      <c r="G573" t="s">
        <v>353</v>
      </c>
    </row>
    <row r="574" spans="1:7">
      <c r="A574" t="s">
        <v>1485</v>
      </c>
      <c r="B574" t="s">
        <v>1486</v>
      </c>
      <c r="C574">
        <v>25</v>
      </c>
      <c r="D574" s="260">
        <v>46169</v>
      </c>
      <c r="E574" s="260">
        <v>46205</v>
      </c>
      <c r="F574">
        <v>27</v>
      </c>
      <c r="G574" t="s">
        <v>353</v>
      </c>
    </row>
    <row r="575" spans="1:7">
      <c r="A575" t="s">
        <v>1487</v>
      </c>
      <c r="B575" t="s">
        <v>1488</v>
      </c>
      <c r="C575">
        <v>15</v>
      </c>
      <c r="D575" s="260">
        <v>46220</v>
      </c>
      <c r="E575" s="260">
        <v>46245</v>
      </c>
      <c r="F575">
        <v>72</v>
      </c>
      <c r="G575" t="s">
        <v>353</v>
      </c>
    </row>
    <row r="576" spans="1:7">
      <c r="A576" t="s">
        <v>1489</v>
      </c>
      <c r="B576" t="s">
        <v>1490</v>
      </c>
      <c r="C576">
        <v>15</v>
      </c>
      <c r="D576" s="260">
        <v>46261</v>
      </c>
      <c r="E576" s="260">
        <v>46281</v>
      </c>
      <c r="F576">
        <v>72</v>
      </c>
      <c r="G576" t="s">
        <v>353</v>
      </c>
    </row>
    <row r="577" spans="1:7">
      <c r="A577" t="s">
        <v>1491</v>
      </c>
      <c r="B577" t="s">
        <v>1492</v>
      </c>
      <c r="C577">
        <v>25</v>
      </c>
      <c r="D577" s="260">
        <v>46178</v>
      </c>
      <c r="E577" s="260">
        <v>46212</v>
      </c>
      <c r="F577">
        <v>27</v>
      </c>
      <c r="G577" t="s">
        <v>353</v>
      </c>
    </row>
    <row r="578" spans="1:7">
      <c r="A578" t="s">
        <v>1493</v>
      </c>
      <c r="B578" t="s">
        <v>1494</v>
      </c>
      <c r="C578">
        <v>15</v>
      </c>
      <c r="D578" s="260">
        <v>46227</v>
      </c>
      <c r="E578" s="260">
        <v>46253</v>
      </c>
      <c r="F578">
        <v>67</v>
      </c>
      <c r="G578" t="s">
        <v>353</v>
      </c>
    </row>
    <row r="579" spans="1:7">
      <c r="A579" t="s">
        <v>1495</v>
      </c>
      <c r="B579" t="s">
        <v>1496</v>
      </c>
      <c r="C579">
        <v>15</v>
      </c>
      <c r="D579" s="260">
        <v>46268</v>
      </c>
      <c r="E579" s="260">
        <v>46288</v>
      </c>
      <c r="F579">
        <v>67</v>
      </c>
      <c r="G579" t="s">
        <v>353</v>
      </c>
    </row>
    <row r="580" spans="1:7">
      <c r="A580" t="s">
        <v>1497</v>
      </c>
      <c r="B580" t="s">
        <v>1498</v>
      </c>
      <c r="C580">
        <v>25</v>
      </c>
      <c r="D580" s="260">
        <v>46178</v>
      </c>
      <c r="E580" s="260">
        <v>46212</v>
      </c>
      <c r="F580">
        <v>27</v>
      </c>
      <c r="G580" t="s">
        <v>353</v>
      </c>
    </row>
    <row r="581" spans="1:7">
      <c r="A581" t="s">
        <v>1499</v>
      </c>
      <c r="B581" t="s">
        <v>1500</v>
      </c>
      <c r="C581">
        <v>15</v>
      </c>
      <c r="D581" s="260">
        <v>46227</v>
      </c>
      <c r="E581" s="260">
        <v>46253</v>
      </c>
      <c r="F581">
        <v>67</v>
      </c>
      <c r="G581" t="s">
        <v>353</v>
      </c>
    </row>
    <row r="582" spans="1:7">
      <c r="A582" t="s">
        <v>1501</v>
      </c>
      <c r="B582" t="s">
        <v>1502</v>
      </c>
      <c r="C582">
        <v>15</v>
      </c>
      <c r="D582" s="260">
        <v>46268</v>
      </c>
      <c r="E582" s="260">
        <v>46288</v>
      </c>
      <c r="F582">
        <v>67</v>
      </c>
      <c r="G582" t="s">
        <v>353</v>
      </c>
    </row>
    <row r="583" spans="1:7">
      <c r="A583" t="s">
        <v>1503</v>
      </c>
      <c r="B583" t="s">
        <v>1504</v>
      </c>
      <c r="C583">
        <v>25</v>
      </c>
      <c r="D583" s="260">
        <v>46185</v>
      </c>
      <c r="E583" s="260">
        <v>46219</v>
      </c>
      <c r="F583">
        <v>37</v>
      </c>
      <c r="G583" t="s">
        <v>353</v>
      </c>
    </row>
    <row r="584" spans="1:7">
      <c r="A584" t="s">
        <v>1505</v>
      </c>
      <c r="B584" t="s">
        <v>1506</v>
      </c>
      <c r="C584">
        <v>15</v>
      </c>
      <c r="D584" s="260">
        <v>46239</v>
      </c>
      <c r="E584" s="260">
        <v>46260</v>
      </c>
      <c r="F584">
        <v>62</v>
      </c>
      <c r="G584" t="s">
        <v>353</v>
      </c>
    </row>
    <row r="585" spans="1:7">
      <c r="A585" t="s">
        <v>1507</v>
      </c>
      <c r="B585" t="s">
        <v>1508</v>
      </c>
      <c r="C585">
        <v>15</v>
      </c>
      <c r="D585" s="260">
        <v>46275</v>
      </c>
      <c r="E585" s="260">
        <v>46295</v>
      </c>
      <c r="F585">
        <v>62</v>
      </c>
      <c r="G585" t="s">
        <v>353</v>
      </c>
    </row>
    <row r="586" spans="1:7">
      <c r="A586" t="s">
        <v>1509</v>
      </c>
      <c r="B586" t="s">
        <v>1510</v>
      </c>
      <c r="C586">
        <v>25</v>
      </c>
      <c r="D586" s="260">
        <v>46185</v>
      </c>
      <c r="E586" s="260">
        <v>46219</v>
      </c>
      <c r="F586">
        <v>37</v>
      </c>
      <c r="G586" t="s">
        <v>353</v>
      </c>
    </row>
    <row r="587" spans="1:7">
      <c r="A587" t="s">
        <v>1511</v>
      </c>
      <c r="B587" t="s">
        <v>1512</v>
      </c>
      <c r="C587">
        <v>15</v>
      </c>
      <c r="D587" s="260">
        <v>46239</v>
      </c>
      <c r="E587" s="260">
        <v>46260</v>
      </c>
      <c r="F587">
        <v>62</v>
      </c>
      <c r="G587" t="s">
        <v>353</v>
      </c>
    </row>
    <row r="588" spans="1:7">
      <c r="A588" t="s">
        <v>1513</v>
      </c>
      <c r="B588" t="s">
        <v>1514</v>
      </c>
      <c r="C588">
        <v>15</v>
      </c>
      <c r="D588" s="260">
        <v>46275</v>
      </c>
      <c r="E588" s="260">
        <v>46295</v>
      </c>
      <c r="F588">
        <v>62</v>
      </c>
      <c r="G588" t="s">
        <v>353</v>
      </c>
    </row>
    <row r="589" spans="1:7">
      <c r="A589" t="s">
        <v>1515</v>
      </c>
      <c r="B589" t="s">
        <v>1516</v>
      </c>
      <c r="C589">
        <v>25</v>
      </c>
      <c r="D589" s="260">
        <v>46178</v>
      </c>
      <c r="E589" s="260">
        <v>46212</v>
      </c>
      <c r="F589">
        <v>27</v>
      </c>
      <c r="G589" t="s">
        <v>353</v>
      </c>
    </row>
    <row r="590" spans="1:7">
      <c r="A590" t="s">
        <v>1517</v>
      </c>
      <c r="B590" t="s">
        <v>1518</v>
      </c>
      <c r="C590">
        <v>15</v>
      </c>
      <c r="D590" s="260">
        <v>46227</v>
      </c>
      <c r="E590" s="260">
        <v>46253</v>
      </c>
      <c r="F590">
        <v>67</v>
      </c>
      <c r="G590" t="s">
        <v>353</v>
      </c>
    </row>
    <row r="591" spans="1:7">
      <c r="A591" t="s">
        <v>1519</v>
      </c>
      <c r="B591" t="s">
        <v>1520</v>
      </c>
      <c r="C591">
        <v>15</v>
      </c>
      <c r="D591" s="260">
        <v>46268</v>
      </c>
      <c r="E591" s="260">
        <v>46288</v>
      </c>
      <c r="F591">
        <v>67</v>
      </c>
      <c r="G591" t="s">
        <v>353</v>
      </c>
    </row>
    <row r="592" spans="1:7">
      <c r="A592" t="s">
        <v>1521</v>
      </c>
      <c r="B592" t="s">
        <v>1522</v>
      </c>
      <c r="C592">
        <v>25</v>
      </c>
      <c r="D592" s="260">
        <v>46178</v>
      </c>
      <c r="E592" s="260">
        <v>46212</v>
      </c>
      <c r="F592">
        <v>42</v>
      </c>
      <c r="G592" t="s">
        <v>353</v>
      </c>
    </row>
    <row r="593" spans="1:7">
      <c r="A593" t="s">
        <v>1523</v>
      </c>
      <c r="B593" t="s">
        <v>1524</v>
      </c>
      <c r="C593">
        <v>15</v>
      </c>
      <c r="D593" s="260">
        <v>46227</v>
      </c>
      <c r="E593" s="260">
        <v>46253</v>
      </c>
      <c r="F593">
        <v>67</v>
      </c>
      <c r="G593" t="s">
        <v>353</v>
      </c>
    </row>
    <row r="594" spans="1:7">
      <c r="A594" t="s">
        <v>1525</v>
      </c>
      <c r="B594" t="s">
        <v>1526</v>
      </c>
      <c r="C594">
        <v>15</v>
      </c>
      <c r="D594" s="260">
        <v>46268</v>
      </c>
      <c r="E594" s="260">
        <v>46288</v>
      </c>
      <c r="F594">
        <v>67</v>
      </c>
      <c r="G594" t="s">
        <v>353</v>
      </c>
    </row>
    <row r="595" spans="1:7">
      <c r="A595" t="s">
        <v>1527</v>
      </c>
      <c r="B595" t="s">
        <v>1528</v>
      </c>
      <c r="C595">
        <v>25</v>
      </c>
      <c r="D595" s="260">
        <v>46178</v>
      </c>
      <c r="E595" s="260">
        <v>46212</v>
      </c>
      <c r="F595">
        <v>42</v>
      </c>
      <c r="G595" t="s">
        <v>353</v>
      </c>
    </row>
    <row r="596" spans="1:7">
      <c r="A596" t="s">
        <v>1529</v>
      </c>
      <c r="B596" t="s">
        <v>1530</v>
      </c>
      <c r="C596">
        <v>15</v>
      </c>
      <c r="D596" s="260">
        <v>46227</v>
      </c>
      <c r="E596" s="260">
        <v>46253</v>
      </c>
      <c r="F596">
        <v>67</v>
      </c>
      <c r="G596" t="s">
        <v>353</v>
      </c>
    </row>
    <row r="597" spans="1:7">
      <c r="A597" t="s">
        <v>1531</v>
      </c>
      <c r="B597" t="s">
        <v>1532</v>
      </c>
      <c r="C597">
        <v>15</v>
      </c>
      <c r="D597" s="260">
        <v>46268</v>
      </c>
      <c r="E597" s="260">
        <v>46288</v>
      </c>
      <c r="F597">
        <v>67</v>
      </c>
      <c r="G597" t="s">
        <v>353</v>
      </c>
    </row>
    <row r="598" spans="1:7">
      <c r="A598" t="s">
        <v>1533</v>
      </c>
      <c r="B598" t="s">
        <v>1534</v>
      </c>
      <c r="C598">
        <v>25</v>
      </c>
      <c r="D598" s="260">
        <v>46178</v>
      </c>
      <c r="E598" s="260">
        <v>46212</v>
      </c>
      <c r="F598">
        <v>42</v>
      </c>
      <c r="G598" t="s">
        <v>353</v>
      </c>
    </row>
    <row r="599" spans="1:7">
      <c r="A599" t="s">
        <v>1535</v>
      </c>
      <c r="B599" t="s">
        <v>1536</v>
      </c>
      <c r="C599">
        <v>15</v>
      </c>
      <c r="D599" s="260">
        <v>46227</v>
      </c>
      <c r="E599" s="260">
        <v>46253</v>
      </c>
      <c r="F599">
        <v>67</v>
      </c>
      <c r="G599" t="s">
        <v>353</v>
      </c>
    </row>
    <row r="600" spans="1:7">
      <c r="A600" t="s">
        <v>1537</v>
      </c>
      <c r="B600" t="s">
        <v>1538</v>
      </c>
      <c r="C600">
        <v>15</v>
      </c>
      <c r="D600" s="260">
        <v>46268</v>
      </c>
      <c r="E600" s="260">
        <v>46288</v>
      </c>
      <c r="F600">
        <v>67</v>
      </c>
      <c r="G600" t="s">
        <v>353</v>
      </c>
    </row>
    <row r="601" spans="1:7">
      <c r="A601" t="s">
        <v>1539</v>
      </c>
      <c r="B601" t="s">
        <v>1540</v>
      </c>
      <c r="C601">
        <v>25</v>
      </c>
      <c r="D601" s="260">
        <v>46178</v>
      </c>
      <c r="E601" s="260">
        <v>46212</v>
      </c>
      <c r="F601">
        <v>42</v>
      </c>
      <c r="G601" t="s">
        <v>353</v>
      </c>
    </row>
    <row r="602" spans="1:7">
      <c r="A602" t="s">
        <v>1541</v>
      </c>
      <c r="B602" t="s">
        <v>1542</v>
      </c>
      <c r="C602">
        <v>15</v>
      </c>
      <c r="D602" s="260">
        <v>46227</v>
      </c>
      <c r="E602" s="260">
        <v>46253</v>
      </c>
      <c r="F602">
        <v>67</v>
      </c>
      <c r="G602" t="s">
        <v>353</v>
      </c>
    </row>
    <row r="603" spans="1:7">
      <c r="A603" t="s">
        <v>1543</v>
      </c>
      <c r="B603" t="s">
        <v>1544</v>
      </c>
      <c r="C603">
        <v>15</v>
      </c>
      <c r="D603" s="260">
        <v>46268</v>
      </c>
      <c r="E603" s="260">
        <v>46288</v>
      </c>
      <c r="F603">
        <v>67</v>
      </c>
      <c r="G603" t="s">
        <v>353</v>
      </c>
    </row>
    <row r="604" spans="1:7">
      <c r="A604" t="s">
        <v>1545</v>
      </c>
      <c r="B604" t="s">
        <v>1546</v>
      </c>
      <c r="C604">
        <v>25</v>
      </c>
      <c r="D604" s="260">
        <v>46178</v>
      </c>
      <c r="E604" s="260">
        <v>46212</v>
      </c>
      <c r="F604">
        <v>42</v>
      </c>
      <c r="G604" t="s">
        <v>353</v>
      </c>
    </row>
    <row r="605" spans="1:7">
      <c r="A605" t="s">
        <v>1547</v>
      </c>
      <c r="B605" t="s">
        <v>1548</v>
      </c>
      <c r="C605">
        <v>15</v>
      </c>
      <c r="D605" s="260">
        <v>46227</v>
      </c>
      <c r="E605" s="260">
        <v>46253</v>
      </c>
      <c r="F605">
        <v>67</v>
      </c>
      <c r="G605" t="s">
        <v>353</v>
      </c>
    </row>
    <row r="606" spans="1:7">
      <c r="A606" t="s">
        <v>1549</v>
      </c>
      <c r="B606" t="s">
        <v>1550</v>
      </c>
      <c r="C606">
        <v>15</v>
      </c>
      <c r="D606" s="260">
        <v>46268</v>
      </c>
      <c r="E606" s="260">
        <v>46288</v>
      </c>
      <c r="F606">
        <v>67</v>
      </c>
      <c r="G606" t="s">
        <v>353</v>
      </c>
    </row>
    <row r="607" spans="1:7">
      <c r="A607" t="s">
        <v>1551</v>
      </c>
      <c r="B607" t="s">
        <v>1552</v>
      </c>
      <c r="C607">
        <v>25</v>
      </c>
      <c r="D607" s="260">
        <v>46192</v>
      </c>
      <c r="E607" s="260">
        <v>46226</v>
      </c>
      <c r="F607">
        <v>27</v>
      </c>
      <c r="G607" t="s">
        <v>353</v>
      </c>
    </row>
    <row r="608" spans="1:7">
      <c r="A608" t="s">
        <v>1553</v>
      </c>
      <c r="B608" t="s">
        <v>1554</v>
      </c>
      <c r="C608">
        <v>15</v>
      </c>
      <c r="D608" s="260">
        <v>46247</v>
      </c>
      <c r="E608" s="260">
        <v>46267</v>
      </c>
      <c r="F608">
        <v>57</v>
      </c>
      <c r="G608" t="s">
        <v>353</v>
      </c>
    </row>
    <row r="609" spans="1:7">
      <c r="A609" t="s">
        <v>1555</v>
      </c>
      <c r="B609" t="s">
        <v>1556</v>
      </c>
      <c r="C609">
        <v>15</v>
      </c>
      <c r="D609" s="260">
        <v>46282</v>
      </c>
      <c r="E609" s="260">
        <v>46302</v>
      </c>
      <c r="F609">
        <v>57</v>
      </c>
      <c r="G609" t="s">
        <v>353</v>
      </c>
    </row>
    <row r="610" spans="1:7">
      <c r="A610" t="s">
        <v>1557</v>
      </c>
      <c r="B610" t="s">
        <v>1558</v>
      </c>
      <c r="C610">
        <v>25</v>
      </c>
      <c r="D610" s="260">
        <v>46192</v>
      </c>
      <c r="E610" s="260">
        <v>46226</v>
      </c>
      <c r="F610">
        <v>32</v>
      </c>
      <c r="G610" t="s">
        <v>353</v>
      </c>
    </row>
    <row r="611" spans="1:7">
      <c r="A611" t="s">
        <v>1559</v>
      </c>
      <c r="B611" t="s">
        <v>1560</v>
      </c>
      <c r="C611">
        <v>15</v>
      </c>
      <c r="D611" s="260">
        <v>46247</v>
      </c>
      <c r="E611" s="260">
        <v>46267</v>
      </c>
      <c r="F611">
        <v>57</v>
      </c>
      <c r="G611" t="s">
        <v>353</v>
      </c>
    </row>
    <row r="612" spans="1:7">
      <c r="A612" t="s">
        <v>1561</v>
      </c>
      <c r="B612" t="s">
        <v>1562</v>
      </c>
      <c r="C612">
        <v>15</v>
      </c>
      <c r="D612" s="260">
        <v>46282</v>
      </c>
      <c r="E612" s="260">
        <v>46302</v>
      </c>
      <c r="F612">
        <v>57</v>
      </c>
      <c r="G612" t="s">
        <v>353</v>
      </c>
    </row>
    <row r="613" spans="1:7">
      <c r="A613" t="s">
        <v>1563</v>
      </c>
      <c r="B613" t="s">
        <v>1564</v>
      </c>
      <c r="C613">
        <v>25</v>
      </c>
      <c r="D613" s="260">
        <v>46192</v>
      </c>
      <c r="E613" s="260">
        <v>46226</v>
      </c>
      <c r="F613">
        <v>32</v>
      </c>
      <c r="G613" t="s">
        <v>353</v>
      </c>
    </row>
    <row r="614" spans="1:7">
      <c r="A614" t="s">
        <v>1565</v>
      </c>
      <c r="B614" t="s">
        <v>1566</v>
      </c>
      <c r="C614">
        <v>15</v>
      </c>
      <c r="D614" s="260">
        <v>46247</v>
      </c>
      <c r="E614" s="260">
        <v>46267</v>
      </c>
      <c r="F614">
        <v>57</v>
      </c>
      <c r="G614" t="s">
        <v>353</v>
      </c>
    </row>
    <row r="615" spans="1:7">
      <c r="A615" t="s">
        <v>1567</v>
      </c>
      <c r="B615" t="s">
        <v>1568</v>
      </c>
      <c r="C615">
        <v>15</v>
      </c>
      <c r="D615" s="260">
        <v>46282</v>
      </c>
      <c r="E615" s="260">
        <v>46302</v>
      </c>
      <c r="F615">
        <v>57</v>
      </c>
      <c r="G615" t="s">
        <v>353</v>
      </c>
    </row>
    <row r="616" spans="1:7">
      <c r="A616" t="s">
        <v>1569</v>
      </c>
      <c r="B616" t="s">
        <v>1570</v>
      </c>
      <c r="C616">
        <v>25</v>
      </c>
      <c r="D616" s="260">
        <v>46192</v>
      </c>
      <c r="E616" s="260">
        <v>46226</v>
      </c>
      <c r="F616">
        <v>27</v>
      </c>
      <c r="G616" t="s">
        <v>353</v>
      </c>
    </row>
    <row r="617" spans="1:7">
      <c r="A617" t="s">
        <v>1571</v>
      </c>
      <c r="B617" t="s">
        <v>1572</v>
      </c>
      <c r="C617">
        <v>15</v>
      </c>
      <c r="D617" s="260">
        <v>46247</v>
      </c>
      <c r="E617" s="260">
        <v>46267</v>
      </c>
      <c r="F617">
        <v>57</v>
      </c>
      <c r="G617" t="s">
        <v>353</v>
      </c>
    </row>
    <row r="618" spans="1:7">
      <c r="A618" t="s">
        <v>1573</v>
      </c>
      <c r="B618" t="s">
        <v>1574</v>
      </c>
      <c r="C618">
        <v>15</v>
      </c>
      <c r="D618" s="260">
        <v>46282</v>
      </c>
      <c r="E618" s="260">
        <v>46302</v>
      </c>
      <c r="F618">
        <v>57</v>
      </c>
      <c r="G618" t="s">
        <v>353</v>
      </c>
    </row>
    <row r="619" spans="1:7">
      <c r="A619" t="s">
        <v>1575</v>
      </c>
      <c r="B619" t="s">
        <v>1576</v>
      </c>
      <c r="C619">
        <v>25</v>
      </c>
      <c r="D619" s="260">
        <v>46192</v>
      </c>
      <c r="E619" s="260">
        <v>46226</v>
      </c>
      <c r="F619">
        <v>32</v>
      </c>
      <c r="G619" t="s">
        <v>353</v>
      </c>
    </row>
    <row r="620" spans="1:7">
      <c r="A620" t="s">
        <v>1577</v>
      </c>
      <c r="B620" t="s">
        <v>1578</v>
      </c>
      <c r="C620">
        <v>15</v>
      </c>
      <c r="D620" s="260">
        <v>46247</v>
      </c>
      <c r="E620" s="260">
        <v>46267</v>
      </c>
      <c r="F620">
        <v>57</v>
      </c>
      <c r="G620" t="s">
        <v>353</v>
      </c>
    </row>
    <row r="621" spans="1:7">
      <c r="A621" t="s">
        <v>1579</v>
      </c>
      <c r="B621" t="s">
        <v>1580</v>
      </c>
      <c r="C621">
        <v>15</v>
      </c>
      <c r="D621" s="260">
        <v>46282</v>
      </c>
      <c r="E621" s="260">
        <v>46302</v>
      </c>
      <c r="F621">
        <v>57</v>
      </c>
      <c r="G621" t="s">
        <v>353</v>
      </c>
    </row>
    <row r="622" spans="1:7">
      <c r="A622" t="s">
        <v>1581</v>
      </c>
      <c r="B622" t="s">
        <v>1582</v>
      </c>
      <c r="C622">
        <v>25</v>
      </c>
      <c r="D622" s="260">
        <v>46192</v>
      </c>
      <c r="E622" s="260">
        <v>46226</v>
      </c>
      <c r="F622">
        <v>27</v>
      </c>
      <c r="G622" t="s">
        <v>353</v>
      </c>
    </row>
    <row r="623" spans="1:7">
      <c r="A623" t="s">
        <v>1583</v>
      </c>
      <c r="B623" t="s">
        <v>1584</v>
      </c>
      <c r="C623">
        <v>15</v>
      </c>
      <c r="D623" s="260">
        <v>46247</v>
      </c>
      <c r="E623" s="260">
        <v>46267</v>
      </c>
      <c r="F623">
        <v>57</v>
      </c>
      <c r="G623" t="s">
        <v>353</v>
      </c>
    </row>
    <row r="624" spans="1:7">
      <c r="A624" t="s">
        <v>1585</v>
      </c>
      <c r="B624" t="s">
        <v>1586</v>
      </c>
      <c r="C624">
        <v>15</v>
      </c>
      <c r="D624" s="260">
        <v>46282</v>
      </c>
      <c r="E624" s="260">
        <v>46302</v>
      </c>
      <c r="F624">
        <v>57</v>
      </c>
      <c r="G624" t="s">
        <v>353</v>
      </c>
    </row>
    <row r="625" spans="1:7">
      <c r="A625" t="s">
        <v>1587</v>
      </c>
      <c r="B625" t="s">
        <v>1588</v>
      </c>
      <c r="C625">
        <v>25</v>
      </c>
      <c r="D625" s="260">
        <v>46192</v>
      </c>
      <c r="E625" s="260">
        <v>46226</v>
      </c>
      <c r="F625">
        <v>32</v>
      </c>
      <c r="G625" t="s">
        <v>353</v>
      </c>
    </row>
    <row r="626" spans="1:7">
      <c r="A626" t="s">
        <v>1589</v>
      </c>
      <c r="B626" t="s">
        <v>1590</v>
      </c>
      <c r="C626">
        <v>15</v>
      </c>
      <c r="D626" s="260">
        <v>46247</v>
      </c>
      <c r="E626" s="260">
        <v>46267</v>
      </c>
      <c r="F626">
        <v>57</v>
      </c>
      <c r="G626" t="s">
        <v>353</v>
      </c>
    </row>
    <row r="627" spans="1:7">
      <c r="A627" t="s">
        <v>1591</v>
      </c>
      <c r="B627" t="s">
        <v>1592</v>
      </c>
      <c r="C627">
        <v>15</v>
      </c>
      <c r="D627" s="260">
        <v>46282</v>
      </c>
      <c r="E627" s="260">
        <v>46302</v>
      </c>
      <c r="F627">
        <v>57</v>
      </c>
      <c r="G627" t="s">
        <v>353</v>
      </c>
    </row>
    <row r="628" spans="1:7">
      <c r="A628" t="s">
        <v>1593</v>
      </c>
      <c r="B628" t="s">
        <v>1594</v>
      </c>
      <c r="C628">
        <v>25</v>
      </c>
      <c r="D628" s="260">
        <v>46192</v>
      </c>
      <c r="E628" s="260">
        <v>46226</v>
      </c>
      <c r="F628">
        <v>32</v>
      </c>
      <c r="G628" t="s">
        <v>353</v>
      </c>
    </row>
    <row r="629" spans="1:7">
      <c r="A629" t="s">
        <v>1595</v>
      </c>
      <c r="B629" t="s">
        <v>1596</v>
      </c>
      <c r="C629">
        <v>15</v>
      </c>
      <c r="D629" s="260">
        <v>46247</v>
      </c>
      <c r="E629" s="260">
        <v>46267</v>
      </c>
      <c r="F629">
        <v>57</v>
      </c>
      <c r="G629" t="s">
        <v>353</v>
      </c>
    </row>
    <row r="630" spans="1:7">
      <c r="A630" t="s">
        <v>1597</v>
      </c>
      <c r="B630" t="s">
        <v>1598</v>
      </c>
      <c r="C630">
        <v>15</v>
      </c>
      <c r="D630" s="260">
        <v>46282</v>
      </c>
      <c r="E630" s="260">
        <v>46302</v>
      </c>
      <c r="F630">
        <v>57</v>
      </c>
      <c r="G630" t="s">
        <v>353</v>
      </c>
    </row>
    <row r="631" spans="1:7">
      <c r="A631" t="s">
        <v>1599</v>
      </c>
      <c r="B631" t="s">
        <v>1600</v>
      </c>
      <c r="C631">
        <v>25</v>
      </c>
      <c r="D631" s="260">
        <v>46192</v>
      </c>
      <c r="E631" s="260">
        <v>46226</v>
      </c>
      <c r="F631">
        <v>32</v>
      </c>
      <c r="G631" t="s">
        <v>353</v>
      </c>
    </row>
    <row r="632" spans="1:7">
      <c r="A632" t="s">
        <v>1601</v>
      </c>
      <c r="B632" t="s">
        <v>1602</v>
      </c>
      <c r="C632">
        <v>15</v>
      </c>
      <c r="D632" s="260">
        <v>46247</v>
      </c>
      <c r="E632" s="260">
        <v>46267</v>
      </c>
      <c r="F632">
        <v>57</v>
      </c>
      <c r="G632" t="s">
        <v>353</v>
      </c>
    </row>
    <row r="633" spans="1:7">
      <c r="A633" t="s">
        <v>1603</v>
      </c>
      <c r="B633" t="s">
        <v>1604</v>
      </c>
      <c r="C633">
        <v>15</v>
      </c>
      <c r="D633" s="260">
        <v>46282</v>
      </c>
      <c r="E633" s="260">
        <v>46302</v>
      </c>
      <c r="F633">
        <v>57</v>
      </c>
      <c r="G633" t="s">
        <v>353</v>
      </c>
    </row>
    <row r="634" spans="1:7">
      <c r="A634" t="s">
        <v>1605</v>
      </c>
      <c r="B634" t="s">
        <v>1606</v>
      </c>
      <c r="C634">
        <v>25</v>
      </c>
      <c r="D634" s="260">
        <v>46199</v>
      </c>
      <c r="E634" s="260">
        <v>46238</v>
      </c>
      <c r="F634">
        <v>27</v>
      </c>
      <c r="G634" t="s">
        <v>353</v>
      </c>
    </row>
    <row r="635" spans="1:7">
      <c r="A635" t="s">
        <v>1607</v>
      </c>
      <c r="B635" t="s">
        <v>1608</v>
      </c>
      <c r="C635">
        <v>15</v>
      </c>
      <c r="D635" s="260">
        <v>46254</v>
      </c>
      <c r="E635" s="260">
        <v>46274</v>
      </c>
      <c r="F635">
        <v>52</v>
      </c>
      <c r="G635" t="s">
        <v>353</v>
      </c>
    </row>
    <row r="636" spans="1:7">
      <c r="A636" t="s">
        <v>1609</v>
      </c>
      <c r="B636" t="s">
        <v>1610</v>
      </c>
      <c r="C636">
        <v>15</v>
      </c>
      <c r="D636" s="260">
        <v>46289</v>
      </c>
      <c r="E636" s="260">
        <v>46310</v>
      </c>
      <c r="F636">
        <v>52</v>
      </c>
      <c r="G636" t="s">
        <v>353</v>
      </c>
    </row>
    <row r="637" spans="1:7">
      <c r="A637" t="s">
        <v>1611</v>
      </c>
      <c r="B637" t="s">
        <v>1612</v>
      </c>
      <c r="C637">
        <v>25</v>
      </c>
      <c r="D637" s="260">
        <v>46199</v>
      </c>
      <c r="E637" s="260">
        <v>46238</v>
      </c>
      <c r="F637">
        <v>27</v>
      </c>
      <c r="G637" t="s">
        <v>353</v>
      </c>
    </row>
    <row r="638" spans="1:7">
      <c r="A638" t="s">
        <v>1613</v>
      </c>
      <c r="B638" t="s">
        <v>1614</v>
      </c>
      <c r="C638">
        <v>15</v>
      </c>
      <c r="D638" s="260">
        <v>46254</v>
      </c>
      <c r="E638" s="260">
        <v>46274</v>
      </c>
      <c r="F638">
        <v>52</v>
      </c>
      <c r="G638" t="s">
        <v>353</v>
      </c>
    </row>
    <row r="639" spans="1:7">
      <c r="A639" t="s">
        <v>1615</v>
      </c>
      <c r="B639" t="s">
        <v>1616</v>
      </c>
      <c r="C639">
        <v>15</v>
      </c>
      <c r="D639" s="260">
        <v>46289</v>
      </c>
      <c r="E639" s="260">
        <v>46310</v>
      </c>
      <c r="F639">
        <v>52</v>
      </c>
      <c r="G639" t="s">
        <v>353</v>
      </c>
    </row>
    <row r="640" spans="1:7">
      <c r="A640" t="s">
        <v>1617</v>
      </c>
      <c r="B640" t="s">
        <v>1618</v>
      </c>
      <c r="C640">
        <v>25</v>
      </c>
      <c r="D640" s="260">
        <v>46199</v>
      </c>
      <c r="E640" s="260">
        <v>46238</v>
      </c>
      <c r="F640">
        <v>27</v>
      </c>
      <c r="G640" t="s">
        <v>353</v>
      </c>
    </row>
    <row r="641" spans="1:7">
      <c r="A641" t="s">
        <v>1619</v>
      </c>
      <c r="B641" t="s">
        <v>1620</v>
      </c>
      <c r="C641">
        <v>15</v>
      </c>
      <c r="D641" s="260">
        <v>46254</v>
      </c>
      <c r="E641" s="260">
        <v>46274</v>
      </c>
      <c r="F641">
        <v>52</v>
      </c>
      <c r="G641" t="s">
        <v>353</v>
      </c>
    </row>
    <row r="642" spans="1:7">
      <c r="A642" t="s">
        <v>1621</v>
      </c>
      <c r="B642" t="s">
        <v>1622</v>
      </c>
      <c r="C642">
        <v>15</v>
      </c>
      <c r="D642" s="260">
        <v>46289</v>
      </c>
      <c r="E642" s="260">
        <v>46310</v>
      </c>
      <c r="F642">
        <v>52</v>
      </c>
      <c r="G642" t="s">
        <v>353</v>
      </c>
    </row>
    <row r="643" spans="1:7">
      <c r="A643" t="s">
        <v>1623</v>
      </c>
      <c r="B643" t="s">
        <v>1624</v>
      </c>
      <c r="C643">
        <v>25</v>
      </c>
      <c r="D643" s="260">
        <v>46199</v>
      </c>
      <c r="E643" s="260">
        <v>46238</v>
      </c>
      <c r="F643">
        <v>27</v>
      </c>
      <c r="G643" t="s">
        <v>353</v>
      </c>
    </row>
    <row r="644" spans="1:7">
      <c r="A644" t="s">
        <v>1625</v>
      </c>
      <c r="B644" t="s">
        <v>1626</v>
      </c>
      <c r="C644">
        <v>15</v>
      </c>
      <c r="D644" s="260">
        <v>46254</v>
      </c>
      <c r="E644" s="260">
        <v>46274</v>
      </c>
      <c r="F644">
        <v>52</v>
      </c>
      <c r="G644" t="s">
        <v>353</v>
      </c>
    </row>
    <row r="645" spans="1:7">
      <c r="A645" t="s">
        <v>1627</v>
      </c>
      <c r="B645" t="s">
        <v>1628</v>
      </c>
      <c r="C645">
        <v>15</v>
      </c>
      <c r="D645" s="260">
        <v>46289</v>
      </c>
      <c r="E645" s="260">
        <v>46310</v>
      </c>
      <c r="F645">
        <v>52</v>
      </c>
      <c r="G645" t="s">
        <v>353</v>
      </c>
    </row>
    <row r="646" spans="1:7">
      <c r="A646" t="s">
        <v>1629</v>
      </c>
      <c r="B646" t="s">
        <v>1630</v>
      </c>
      <c r="C646">
        <v>20</v>
      </c>
      <c r="D646" s="260">
        <v>46140</v>
      </c>
      <c r="E646" s="260">
        <v>46168</v>
      </c>
      <c r="F646">
        <v>0</v>
      </c>
      <c r="G646" t="s">
        <v>353</v>
      </c>
    </row>
    <row r="647" spans="1:7">
      <c r="A647" t="s">
        <v>1631</v>
      </c>
      <c r="B647" t="s">
        <v>1632</v>
      </c>
      <c r="C647">
        <v>10</v>
      </c>
      <c r="D647" s="260">
        <v>46185</v>
      </c>
      <c r="E647" s="260">
        <v>46198</v>
      </c>
      <c r="F647">
        <v>112</v>
      </c>
      <c r="G647" t="s">
        <v>353</v>
      </c>
    </row>
    <row r="648" spans="1:7">
      <c r="A648" t="s">
        <v>1633</v>
      </c>
      <c r="B648" t="s">
        <v>1634</v>
      </c>
      <c r="C648">
        <v>5</v>
      </c>
      <c r="D648" s="260">
        <v>46213</v>
      </c>
      <c r="E648" s="260">
        <v>46219</v>
      </c>
      <c r="F648">
        <v>112</v>
      </c>
      <c r="G648" t="s">
        <v>353</v>
      </c>
    </row>
    <row r="649" spans="1:7">
      <c r="A649" t="s">
        <v>1635</v>
      </c>
      <c r="B649" t="s">
        <v>1636</v>
      </c>
      <c r="C649">
        <v>25</v>
      </c>
      <c r="D649" s="260">
        <v>46239</v>
      </c>
      <c r="E649" s="260">
        <v>46274</v>
      </c>
      <c r="F649">
        <v>27</v>
      </c>
      <c r="G649" t="s">
        <v>353</v>
      </c>
    </row>
    <row r="650" spans="1:7">
      <c r="A650" t="s">
        <v>1637</v>
      </c>
      <c r="B650" t="s">
        <v>1638</v>
      </c>
      <c r="C650">
        <v>15</v>
      </c>
      <c r="D650" s="260">
        <v>46289</v>
      </c>
      <c r="E650" s="260">
        <v>46310</v>
      </c>
      <c r="F650">
        <v>27</v>
      </c>
      <c r="G650" t="s">
        <v>353</v>
      </c>
    </row>
    <row r="651" spans="1:7">
      <c r="A651" t="s">
        <v>1639</v>
      </c>
      <c r="B651" t="s">
        <v>1640</v>
      </c>
      <c r="C651">
        <v>15</v>
      </c>
      <c r="D651" s="260">
        <v>46328</v>
      </c>
      <c r="E651" s="260">
        <v>46346</v>
      </c>
      <c r="F651">
        <v>27</v>
      </c>
      <c r="G651" t="s">
        <v>353</v>
      </c>
    </row>
    <row r="652" spans="1:7">
      <c r="A652" t="s">
        <v>1641</v>
      </c>
      <c r="B652" t="s">
        <v>1642</v>
      </c>
      <c r="C652">
        <v>25</v>
      </c>
      <c r="D652" s="260">
        <v>46170</v>
      </c>
      <c r="E652" s="260">
        <v>46206</v>
      </c>
      <c r="F652">
        <v>46</v>
      </c>
      <c r="G652" t="s">
        <v>353</v>
      </c>
    </row>
    <row r="653" spans="1:7">
      <c r="A653" t="s">
        <v>1643</v>
      </c>
      <c r="B653" t="s">
        <v>1644</v>
      </c>
      <c r="C653">
        <v>15</v>
      </c>
      <c r="D653" s="260">
        <v>46223</v>
      </c>
      <c r="E653" s="260">
        <v>46247</v>
      </c>
      <c r="F653">
        <v>56</v>
      </c>
      <c r="G653" t="s">
        <v>353</v>
      </c>
    </row>
    <row r="654" spans="1:7">
      <c r="A654" t="s">
        <v>1645</v>
      </c>
      <c r="B654" t="s">
        <v>1646</v>
      </c>
      <c r="C654">
        <v>15</v>
      </c>
      <c r="D654" s="260">
        <v>46262</v>
      </c>
      <c r="E654" s="260">
        <v>46282</v>
      </c>
      <c r="F654">
        <v>56</v>
      </c>
      <c r="G654" t="s">
        <v>353</v>
      </c>
    </row>
    <row r="655" spans="1:7">
      <c r="A655" t="s">
        <v>1647</v>
      </c>
      <c r="B655" t="s">
        <v>1648</v>
      </c>
      <c r="C655">
        <v>25</v>
      </c>
      <c r="D655" s="260">
        <v>46170</v>
      </c>
      <c r="E655" s="260">
        <v>46206</v>
      </c>
      <c r="F655">
        <v>46</v>
      </c>
      <c r="G655" t="s">
        <v>353</v>
      </c>
    </row>
    <row r="656" spans="1:7">
      <c r="A656" t="s">
        <v>1649</v>
      </c>
      <c r="B656" t="s">
        <v>1650</v>
      </c>
      <c r="C656">
        <v>15</v>
      </c>
      <c r="D656" s="260">
        <v>46223</v>
      </c>
      <c r="E656" s="260">
        <v>46247</v>
      </c>
      <c r="F656">
        <v>56</v>
      </c>
      <c r="G656" t="s">
        <v>353</v>
      </c>
    </row>
    <row r="657" spans="1:7">
      <c r="A657" t="s">
        <v>1651</v>
      </c>
      <c r="B657" t="s">
        <v>1652</v>
      </c>
      <c r="C657">
        <v>15</v>
      </c>
      <c r="D657" s="260">
        <v>46262</v>
      </c>
      <c r="E657" s="260">
        <v>46282</v>
      </c>
      <c r="F657">
        <v>56</v>
      </c>
      <c r="G657" t="s">
        <v>353</v>
      </c>
    </row>
    <row r="658" spans="1:7">
      <c r="A658" t="s">
        <v>1653</v>
      </c>
      <c r="B658" t="s">
        <v>1654</v>
      </c>
      <c r="C658">
        <v>25</v>
      </c>
      <c r="D658" s="260">
        <v>46170</v>
      </c>
      <c r="E658" s="260">
        <v>46206</v>
      </c>
      <c r="F658">
        <v>71</v>
      </c>
      <c r="G658" t="s">
        <v>353</v>
      </c>
    </row>
    <row r="659" spans="1:7">
      <c r="A659" t="s">
        <v>1655</v>
      </c>
      <c r="B659" t="s">
        <v>1656</v>
      </c>
      <c r="C659">
        <v>15</v>
      </c>
      <c r="D659" s="260">
        <v>46223</v>
      </c>
      <c r="E659" s="260">
        <v>46247</v>
      </c>
      <c r="F659">
        <v>71</v>
      </c>
      <c r="G659" t="s">
        <v>353</v>
      </c>
    </row>
    <row r="660" spans="1:7">
      <c r="A660" t="s">
        <v>1657</v>
      </c>
      <c r="B660" t="s">
        <v>1658</v>
      </c>
      <c r="C660">
        <v>15</v>
      </c>
      <c r="D660" s="260">
        <v>46262</v>
      </c>
      <c r="E660" s="260">
        <v>46282</v>
      </c>
      <c r="F660">
        <v>71</v>
      </c>
      <c r="G660" t="s">
        <v>353</v>
      </c>
    </row>
    <row r="661" spans="1:7">
      <c r="A661" t="s">
        <v>1659</v>
      </c>
      <c r="B661" t="s">
        <v>1660</v>
      </c>
      <c r="C661">
        <v>25</v>
      </c>
      <c r="D661" s="260">
        <v>46170</v>
      </c>
      <c r="E661" s="260">
        <v>46206</v>
      </c>
      <c r="F661">
        <v>46</v>
      </c>
      <c r="G661" t="s">
        <v>353</v>
      </c>
    </row>
    <row r="662" spans="1:7">
      <c r="A662" t="s">
        <v>1661</v>
      </c>
      <c r="B662" t="s">
        <v>1662</v>
      </c>
      <c r="C662">
        <v>15</v>
      </c>
      <c r="D662" s="260">
        <v>46223</v>
      </c>
      <c r="E662" s="260">
        <v>46247</v>
      </c>
      <c r="F662">
        <v>56</v>
      </c>
      <c r="G662" t="s">
        <v>353</v>
      </c>
    </row>
    <row r="663" spans="1:7">
      <c r="A663" t="s">
        <v>1663</v>
      </c>
      <c r="B663" t="s">
        <v>1664</v>
      </c>
      <c r="C663">
        <v>15</v>
      </c>
      <c r="D663" s="260">
        <v>46262</v>
      </c>
      <c r="E663" s="260">
        <v>46282</v>
      </c>
      <c r="F663">
        <v>56</v>
      </c>
      <c r="G663" t="s">
        <v>353</v>
      </c>
    </row>
    <row r="664" spans="1:7">
      <c r="A664" t="s">
        <v>1665</v>
      </c>
      <c r="B664" t="s">
        <v>1666</v>
      </c>
      <c r="C664">
        <v>25</v>
      </c>
      <c r="D664" s="260">
        <v>46209</v>
      </c>
      <c r="E664" s="260">
        <v>46247</v>
      </c>
      <c r="F664">
        <v>46</v>
      </c>
      <c r="G664" t="s">
        <v>353</v>
      </c>
    </row>
    <row r="665" spans="1:7">
      <c r="A665" t="s">
        <v>1667</v>
      </c>
      <c r="B665" t="s">
        <v>1668</v>
      </c>
      <c r="C665">
        <v>15</v>
      </c>
      <c r="D665" s="260">
        <v>46262</v>
      </c>
      <c r="E665" s="260">
        <v>46282</v>
      </c>
      <c r="F665">
        <v>46</v>
      </c>
      <c r="G665" t="s">
        <v>353</v>
      </c>
    </row>
    <row r="666" spans="1:7">
      <c r="A666" t="s">
        <v>1669</v>
      </c>
      <c r="B666" t="s">
        <v>1670</v>
      </c>
      <c r="C666">
        <v>15</v>
      </c>
      <c r="D666" s="260">
        <v>46297</v>
      </c>
      <c r="E666" s="260">
        <v>46321</v>
      </c>
      <c r="F666">
        <v>46</v>
      </c>
      <c r="G666" t="s">
        <v>353</v>
      </c>
    </row>
    <row r="667" spans="1:7">
      <c r="A667" t="s">
        <v>1671</v>
      </c>
      <c r="B667" t="s">
        <v>1672</v>
      </c>
      <c r="C667">
        <v>25</v>
      </c>
      <c r="D667" s="260">
        <v>46209</v>
      </c>
      <c r="E667" s="260">
        <v>46247</v>
      </c>
      <c r="F667">
        <v>46</v>
      </c>
      <c r="G667" t="s">
        <v>353</v>
      </c>
    </row>
    <row r="668" spans="1:7">
      <c r="A668" t="s">
        <v>1673</v>
      </c>
      <c r="B668" t="s">
        <v>1674</v>
      </c>
      <c r="C668">
        <v>15</v>
      </c>
      <c r="D668" s="260">
        <v>46262</v>
      </c>
      <c r="E668" s="260">
        <v>46282</v>
      </c>
      <c r="F668">
        <v>46</v>
      </c>
      <c r="G668" t="s">
        <v>353</v>
      </c>
    </row>
    <row r="669" spans="1:7">
      <c r="A669" t="s">
        <v>1675</v>
      </c>
      <c r="B669" t="s">
        <v>1676</v>
      </c>
      <c r="C669">
        <v>15</v>
      </c>
      <c r="D669" s="260">
        <v>46297</v>
      </c>
      <c r="E669" s="260">
        <v>46321</v>
      </c>
      <c r="F669">
        <v>46</v>
      </c>
      <c r="G669" t="s">
        <v>353</v>
      </c>
    </row>
    <row r="670" spans="1:7">
      <c r="A670" t="s">
        <v>1677</v>
      </c>
      <c r="B670" t="s">
        <v>1678</v>
      </c>
      <c r="C670">
        <v>25</v>
      </c>
      <c r="D670" s="260">
        <v>46209</v>
      </c>
      <c r="E670" s="260">
        <v>46247</v>
      </c>
      <c r="F670">
        <v>46</v>
      </c>
      <c r="G670" t="s">
        <v>353</v>
      </c>
    </row>
    <row r="671" spans="1:7">
      <c r="A671" t="s">
        <v>1679</v>
      </c>
      <c r="B671" t="s">
        <v>1680</v>
      </c>
      <c r="C671">
        <v>15</v>
      </c>
      <c r="D671" s="260">
        <v>46262</v>
      </c>
      <c r="E671" s="260">
        <v>46282</v>
      </c>
      <c r="F671">
        <v>46</v>
      </c>
      <c r="G671" t="s">
        <v>353</v>
      </c>
    </row>
    <row r="672" spans="1:7">
      <c r="A672" t="s">
        <v>1681</v>
      </c>
      <c r="B672" t="s">
        <v>1682</v>
      </c>
      <c r="C672">
        <v>15</v>
      </c>
      <c r="D672" s="260">
        <v>46297</v>
      </c>
      <c r="E672" s="260">
        <v>46321</v>
      </c>
      <c r="F672">
        <v>46</v>
      </c>
      <c r="G672" t="s">
        <v>353</v>
      </c>
    </row>
    <row r="673" spans="1:7">
      <c r="A673" t="s">
        <v>1683</v>
      </c>
      <c r="B673" t="s">
        <v>1684</v>
      </c>
      <c r="C673">
        <v>25</v>
      </c>
      <c r="D673" s="260">
        <v>46209</v>
      </c>
      <c r="E673" s="260">
        <v>46247</v>
      </c>
      <c r="F673">
        <v>46</v>
      </c>
      <c r="G673" t="s">
        <v>353</v>
      </c>
    </row>
    <row r="674" spans="1:7">
      <c r="A674" t="s">
        <v>1685</v>
      </c>
      <c r="B674" t="s">
        <v>1686</v>
      </c>
      <c r="C674">
        <v>15</v>
      </c>
      <c r="D674" s="260">
        <v>46262</v>
      </c>
      <c r="E674" s="260">
        <v>46282</v>
      </c>
      <c r="F674">
        <v>46</v>
      </c>
      <c r="G674" t="s">
        <v>353</v>
      </c>
    </row>
    <row r="675" spans="1:7">
      <c r="A675" t="s">
        <v>1687</v>
      </c>
      <c r="B675" t="s">
        <v>1688</v>
      </c>
      <c r="C675">
        <v>15</v>
      </c>
      <c r="D675" s="260">
        <v>46297</v>
      </c>
      <c r="E675" s="260">
        <v>46321</v>
      </c>
      <c r="F675">
        <v>46</v>
      </c>
      <c r="G675" t="s">
        <v>353</v>
      </c>
    </row>
    <row r="676" spans="1:7">
      <c r="A676" t="s">
        <v>1689</v>
      </c>
      <c r="B676" t="s">
        <v>1690</v>
      </c>
      <c r="C676">
        <v>25</v>
      </c>
      <c r="D676" s="260">
        <v>46209</v>
      </c>
      <c r="E676" s="260">
        <v>46247</v>
      </c>
      <c r="F676">
        <v>46</v>
      </c>
      <c r="G676" t="s">
        <v>353</v>
      </c>
    </row>
    <row r="677" spans="1:7">
      <c r="A677" t="s">
        <v>1691</v>
      </c>
      <c r="B677" t="s">
        <v>1692</v>
      </c>
      <c r="C677">
        <v>15</v>
      </c>
      <c r="D677" s="260">
        <v>46262</v>
      </c>
      <c r="E677" s="260">
        <v>46282</v>
      </c>
      <c r="F677">
        <v>46</v>
      </c>
      <c r="G677" t="s">
        <v>353</v>
      </c>
    </row>
    <row r="678" spans="1:7">
      <c r="A678" t="s">
        <v>1693</v>
      </c>
      <c r="B678" t="s">
        <v>1694</v>
      </c>
      <c r="C678">
        <v>15</v>
      </c>
      <c r="D678" s="260">
        <v>46297</v>
      </c>
      <c r="E678" s="260">
        <v>46321</v>
      </c>
      <c r="F678">
        <v>46</v>
      </c>
      <c r="G678" t="s">
        <v>353</v>
      </c>
    </row>
    <row r="679" spans="1:7">
      <c r="A679" t="s">
        <v>1695</v>
      </c>
      <c r="B679" t="s">
        <v>1696</v>
      </c>
      <c r="C679">
        <v>25</v>
      </c>
      <c r="D679" s="260">
        <v>46209</v>
      </c>
      <c r="E679" s="260">
        <v>46247</v>
      </c>
      <c r="F679">
        <v>46</v>
      </c>
      <c r="G679" t="s">
        <v>353</v>
      </c>
    </row>
    <row r="680" spans="1:7">
      <c r="A680" t="s">
        <v>1697</v>
      </c>
      <c r="B680" t="s">
        <v>1698</v>
      </c>
      <c r="C680">
        <v>15</v>
      </c>
      <c r="D680" s="260">
        <v>46262</v>
      </c>
      <c r="E680" s="260">
        <v>46282</v>
      </c>
      <c r="F680">
        <v>46</v>
      </c>
      <c r="G680" t="s">
        <v>353</v>
      </c>
    </row>
    <row r="681" spans="1:7">
      <c r="A681" t="s">
        <v>1699</v>
      </c>
      <c r="B681" t="s">
        <v>1700</v>
      </c>
      <c r="C681">
        <v>15</v>
      </c>
      <c r="D681" s="260">
        <v>46297</v>
      </c>
      <c r="E681" s="260">
        <v>46321</v>
      </c>
      <c r="F681">
        <v>46</v>
      </c>
      <c r="G681" t="s">
        <v>353</v>
      </c>
    </row>
    <row r="682" spans="1:7">
      <c r="A682" t="s">
        <v>1701</v>
      </c>
      <c r="B682" t="s">
        <v>1702</v>
      </c>
      <c r="C682">
        <v>25</v>
      </c>
      <c r="D682" s="260">
        <v>46209</v>
      </c>
      <c r="E682" s="260">
        <v>46247</v>
      </c>
      <c r="F682">
        <v>46</v>
      </c>
      <c r="G682" t="s">
        <v>353</v>
      </c>
    </row>
    <row r="683" spans="1:7">
      <c r="A683" t="s">
        <v>1703</v>
      </c>
      <c r="B683" t="s">
        <v>1704</v>
      </c>
      <c r="C683">
        <v>15</v>
      </c>
      <c r="D683" s="260">
        <v>46262</v>
      </c>
      <c r="E683" s="260">
        <v>46282</v>
      </c>
      <c r="F683">
        <v>46</v>
      </c>
      <c r="G683" t="s">
        <v>353</v>
      </c>
    </row>
    <row r="684" spans="1:7">
      <c r="A684" t="s">
        <v>1705</v>
      </c>
      <c r="B684" t="s">
        <v>1706</v>
      </c>
      <c r="C684">
        <v>15</v>
      </c>
      <c r="D684" s="260">
        <v>46297</v>
      </c>
      <c r="E684" s="260">
        <v>46321</v>
      </c>
      <c r="F684">
        <v>46</v>
      </c>
      <c r="G684" t="s">
        <v>353</v>
      </c>
    </row>
    <row r="685" spans="1:7">
      <c r="A685" t="s">
        <v>1707</v>
      </c>
      <c r="B685" t="s">
        <v>1708</v>
      </c>
      <c r="C685">
        <v>10</v>
      </c>
      <c r="D685" s="260">
        <v>46254</v>
      </c>
      <c r="E685" s="260">
        <v>46267</v>
      </c>
      <c r="F685">
        <v>47</v>
      </c>
      <c r="G685" t="s">
        <v>353</v>
      </c>
    </row>
    <row r="686" spans="1:7">
      <c r="A686" t="s">
        <v>1709</v>
      </c>
      <c r="B686" t="s">
        <v>1710</v>
      </c>
      <c r="C686">
        <v>10</v>
      </c>
      <c r="D686" s="260">
        <v>46282</v>
      </c>
      <c r="E686" s="260">
        <v>46295</v>
      </c>
      <c r="F686">
        <v>47</v>
      </c>
      <c r="G686" t="s">
        <v>353</v>
      </c>
    </row>
    <row r="687" spans="1:7">
      <c r="A687" t="s">
        <v>1711</v>
      </c>
      <c r="B687" t="s">
        <v>1712</v>
      </c>
      <c r="C687">
        <v>5</v>
      </c>
      <c r="D687" s="260">
        <v>46311</v>
      </c>
      <c r="E687" s="260">
        <v>46317</v>
      </c>
      <c r="F687">
        <v>47</v>
      </c>
      <c r="G687" t="s">
        <v>353</v>
      </c>
    </row>
    <row r="688" spans="1:7">
      <c r="A688" t="s">
        <v>1713</v>
      </c>
      <c r="B688" t="s">
        <v>1714</v>
      </c>
      <c r="C688">
        <v>10</v>
      </c>
      <c r="D688" s="260">
        <v>46156</v>
      </c>
      <c r="E688" s="260">
        <v>46169</v>
      </c>
      <c r="F688">
        <v>111</v>
      </c>
      <c r="G688" t="s">
        <v>353</v>
      </c>
    </row>
    <row r="689" spans="1:7">
      <c r="A689" t="s">
        <v>1715</v>
      </c>
      <c r="B689" t="s">
        <v>1716</v>
      </c>
      <c r="C689">
        <v>10</v>
      </c>
      <c r="D689" s="260">
        <v>46188</v>
      </c>
      <c r="E689" s="260">
        <v>46199</v>
      </c>
      <c r="F689">
        <v>111</v>
      </c>
      <c r="G689" t="s">
        <v>353</v>
      </c>
    </row>
    <row r="690" spans="1:7">
      <c r="A690" t="s">
        <v>1717</v>
      </c>
      <c r="B690" t="s">
        <v>1718</v>
      </c>
      <c r="C690">
        <v>5</v>
      </c>
      <c r="D690" s="260">
        <v>46216</v>
      </c>
      <c r="E690" s="260">
        <v>46220</v>
      </c>
      <c r="F690">
        <v>111</v>
      </c>
      <c r="G690" t="s">
        <v>353</v>
      </c>
    </row>
    <row r="691" spans="1:7">
      <c r="A691" t="s">
        <v>1719</v>
      </c>
      <c r="B691" t="s">
        <v>1720</v>
      </c>
      <c r="C691">
        <v>10</v>
      </c>
      <c r="D691" s="260">
        <v>46155</v>
      </c>
      <c r="E691" s="260">
        <v>46168</v>
      </c>
      <c r="F691">
        <v>112</v>
      </c>
      <c r="G691" t="s">
        <v>353</v>
      </c>
    </row>
    <row r="692" spans="1:7">
      <c r="A692" t="s">
        <v>1721</v>
      </c>
      <c r="B692" t="s">
        <v>1722</v>
      </c>
      <c r="C692">
        <v>10</v>
      </c>
      <c r="D692" s="260">
        <v>46185</v>
      </c>
      <c r="E692" s="260">
        <v>46198</v>
      </c>
      <c r="F692">
        <v>112</v>
      </c>
      <c r="G692" t="s">
        <v>353</v>
      </c>
    </row>
    <row r="693" spans="1:7">
      <c r="A693" t="s">
        <v>1723</v>
      </c>
      <c r="B693" t="s">
        <v>1724</v>
      </c>
      <c r="C693">
        <v>5</v>
      </c>
      <c r="D693" s="260">
        <v>46213</v>
      </c>
      <c r="E693" s="260">
        <v>46219</v>
      </c>
      <c r="F693">
        <v>112</v>
      </c>
      <c r="G693" t="s">
        <v>353</v>
      </c>
    </row>
    <row r="694" spans="1:7">
      <c r="A694" t="s">
        <v>1725</v>
      </c>
      <c r="B694" t="s">
        <v>1420</v>
      </c>
      <c r="C694">
        <v>10</v>
      </c>
      <c r="D694" s="260">
        <v>46155</v>
      </c>
      <c r="E694" s="260">
        <v>46168</v>
      </c>
      <c r="F694">
        <v>112</v>
      </c>
      <c r="G694" t="s">
        <v>353</v>
      </c>
    </row>
    <row r="695" spans="1:7">
      <c r="A695" t="s">
        <v>1726</v>
      </c>
      <c r="B695" t="s">
        <v>1422</v>
      </c>
      <c r="C695">
        <v>10</v>
      </c>
      <c r="D695" s="260">
        <v>46185</v>
      </c>
      <c r="E695" s="260">
        <v>46198</v>
      </c>
      <c r="F695">
        <v>112</v>
      </c>
      <c r="G695" t="s">
        <v>353</v>
      </c>
    </row>
    <row r="696" spans="1:7">
      <c r="A696" t="s">
        <v>1727</v>
      </c>
      <c r="B696" t="s">
        <v>1424</v>
      </c>
      <c r="C696">
        <v>5</v>
      </c>
      <c r="D696" s="260">
        <v>46213</v>
      </c>
      <c r="E696" s="260">
        <v>46219</v>
      </c>
      <c r="F696">
        <v>112</v>
      </c>
      <c r="G696" t="s">
        <v>353</v>
      </c>
    </row>
    <row r="697" spans="1:7">
      <c r="A697" t="s">
        <v>1728</v>
      </c>
      <c r="B697" t="s">
        <v>1729</v>
      </c>
      <c r="C697">
        <v>10</v>
      </c>
      <c r="D697" s="260">
        <v>46155</v>
      </c>
      <c r="E697" s="260">
        <v>46168</v>
      </c>
      <c r="F697">
        <v>112</v>
      </c>
      <c r="G697" t="s">
        <v>353</v>
      </c>
    </row>
    <row r="698" spans="1:7">
      <c r="A698" t="s">
        <v>1730</v>
      </c>
      <c r="B698" t="s">
        <v>1731</v>
      </c>
      <c r="C698">
        <v>10</v>
      </c>
      <c r="D698" s="260">
        <v>46185</v>
      </c>
      <c r="E698" s="260">
        <v>46198</v>
      </c>
      <c r="F698">
        <v>112</v>
      </c>
      <c r="G698" t="s">
        <v>353</v>
      </c>
    </row>
    <row r="699" spans="1:7">
      <c r="A699" t="s">
        <v>1732</v>
      </c>
      <c r="B699" t="s">
        <v>1733</v>
      </c>
      <c r="C699">
        <v>5</v>
      </c>
      <c r="D699" s="260">
        <v>46213</v>
      </c>
      <c r="E699" s="260">
        <v>46219</v>
      </c>
      <c r="F699">
        <v>112</v>
      </c>
      <c r="G699" t="s">
        <v>353</v>
      </c>
    </row>
    <row r="700" spans="1:7">
      <c r="A700" t="s">
        <v>1734</v>
      </c>
      <c r="B700" t="s">
        <v>1735</v>
      </c>
      <c r="C700">
        <v>10</v>
      </c>
      <c r="D700" s="260">
        <v>46155</v>
      </c>
      <c r="E700" s="260">
        <v>46168</v>
      </c>
      <c r="F700">
        <v>112</v>
      </c>
      <c r="G700" t="s">
        <v>353</v>
      </c>
    </row>
    <row r="701" spans="1:7">
      <c r="A701" t="s">
        <v>1736</v>
      </c>
      <c r="B701" t="s">
        <v>1737</v>
      </c>
      <c r="C701">
        <v>10</v>
      </c>
      <c r="D701" s="260">
        <v>46185</v>
      </c>
      <c r="E701" s="260">
        <v>46198</v>
      </c>
      <c r="F701">
        <v>112</v>
      </c>
      <c r="G701" t="s">
        <v>353</v>
      </c>
    </row>
    <row r="702" spans="1:7">
      <c r="A702" t="s">
        <v>1738</v>
      </c>
      <c r="B702" t="s">
        <v>1739</v>
      </c>
      <c r="C702">
        <v>5</v>
      </c>
      <c r="D702" s="260">
        <v>46213</v>
      </c>
      <c r="E702" s="260">
        <v>46219</v>
      </c>
      <c r="F702">
        <v>112</v>
      </c>
      <c r="G702" t="s">
        <v>353</v>
      </c>
    </row>
    <row r="703" spans="1:7">
      <c r="A703" t="s">
        <v>1740</v>
      </c>
      <c r="B703" t="s">
        <v>1741</v>
      </c>
      <c r="C703">
        <v>10</v>
      </c>
      <c r="D703" s="260">
        <v>46155</v>
      </c>
      <c r="E703" s="260">
        <v>46168</v>
      </c>
      <c r="F703">
        <v>112</v>
      </c>
      <c r="G703" t="s">
        <v>353</v>
      </c>
    </row>
    <row r="704" spans="1:7">
      <c r="A704" t="s">
        <v>1742</v>
      </c>
      <c r="B704" t="s">
        <v>1743</v>
      </c>
      <c r="C704">
        <v>10</v>
      </c>
      <c r="D704" s="260">
        <v>46185</v>
      </c>
      <c r="E704" s="260">
        <v>46198</v>
      </c>
      <c r="F704">
        <v>112</v>
      </c>
      <c r="G704" t="s">
        <v>353</v>
      </c>
    </row>
    <row r="705" spans="1:7">
      <c r="A705" t="s">
        <v>1744</v>
      </c>
      <c r="B705" t="s">
        <v>1745</v>
      </c>
      <c r="C705">
        <v>5</v>
      </c>
      <c r="D705" s="260">
        <v>46213</v>
      </c>
      <c r="E705" s="260">
        <v>46219</v>
      </c>
      <c r="F705">
        <v>112</v>
      </c>
      <c r="G705" t="s">
        <v>353</v>
      </c>
    </row>
    <row r="706" spans="1:7">
      <c r="A706" t="s">
        <v>1746</v>
      </c>
      <c r="B706" t="s">
        <v>1747</v>
      </c>
      <c r="C706">
        <v>25</v>
      </c>
      <c r="D706" s="260">
        <v>46169</v>
      </c>
      <c r="E706" s="260">
        <v>46205</v>
      </c>
      <c r="F706">
        <v>72</v>
      </c>
      <c r="G706" t="s">
        <v>353</v>
      </c>
    </row>
    <row r="707" spans="1:7">
      <c r="A707" t="s">
        <v>1748</v>
      </c>
      <c r="B707" t="s">
        <v>1749</v>
      </c>
      <c r="C707">
        <v>15</v>
      </c>
      <c r="D707" s="260">
        <v>46220</v>
      </c>
      <c r="E707" s="260">
        <v>46245</v>
      </c>
      <c r="F707">
        <v>72</v>
      </c>
      <c r="G707" t="s">
        <v>353</v>
      </c>
    </row>
    <row r="708" spans="1:7">
      <c r="A708" t="s">
        <v>1750</v>
      </c>
      <c r="B708" t="s">
        <v>1751</v>
      </c>
      <c r="C708">
        <v>15</v>
      </c>
      <c r="D708" s="260">
        <v>46261</v>
      </c>
      <c r="E708" s="260">
        <v>46281</v>
      </c>
      <c r="F708">
        <v>72</v>
      </c>
      <c r="G708" t="s">
        <v>353</v>
      </c>
    </row>
    <row r="709" spans="1:7">
      <c r="A709" t="s">
        <v>1752</v>
      </c>
      <c r="B709" t="s">
        <v>1753</v>
      </c>
      <c r="C709">
        <v>25</v>
      </c>
      <c r="D709" s="260">
        <v>46169</v>
      </c>
      <c r="E709" s="260">
        <v>46205</v>
      </c>
      <c r="F709">
        <v>72</v>
      </c>
      <c r="G709" t="s">
        <v>353</v>
      </c>
    </row>
    <row r="710" spans="1:7">
      <c r="A710" t="s">
        <v>1754</v>
      </c>
      <c r="B710" t="s">
        <v>1755</v>
      </c>
      <c r="C710">
        <v>15</v>
      </c>
      <c r="D710" s="260">
        <v>46220</v>
      </c>
      <c r="E710" s="260">
        <v>46245</v>
      </c>
      <c r="F710">
        <v>72</v>
      </c>
      <c r="G710" t="s">
        <v>353</v>
      </c>
    </row>
    <row r="711" spans="1:7">
      <c r="A711" t="s">
        <v>1756</v>
      </c>
      <c r="B711" t="s">
        <v>1757</v>
      </c>
      <c r="C711">
        <v>15</v>
      </c>
      <c r="D711" s="260">
        <v>46261</v>
      </c>
      <c r="E711" s="260">
        <v>46281</v>
      </c>
      <c r="F711">
        <v>72</v>
      </c>
      <c r="G711" t="s">
        <v>353</v>
      </c>
    </row>
    <row r="712" spans="1:7">
      <c r="A712" t="s">
        <v>1758</v>
      </c>
      <c r="B712" t="s">
        <v>1759</v>
      </c>
      <c r="C712">
        <v>25</v>
      </c>
      <c r="D712" s="260">
        <v>46169</v>
      </c>
      <c r="E712" s="260">
        <v>46205</v>
      </c>
      <c r="F712">
        <v>72</v>
      </c>
      <c r="G712" t="s">
        <v>353</v>
      </c>
    </row>
    <row r="713" spans="1:7">
      <c r="A713" t="s">
        <v>1760</v>
      </c>
      <c r="B713" t="s">
        <v>1761</v>
      </c>
      <c r="C713">
        <v>15</v>
      </c>
      <c r="D713" s="260">
        <v>46220</v>
      </c>
      <c r="E713" s="260">
        <v>46245</v>
      </c>
      <c r="F713">
        <v>72</v>
      </c>
      <c r="G713" t="s">
        <v>353</v>
      </c>
    </row>
    <row r="714" spans="1:7">
      <c r="A714" t="s">
        <v>1762</v>
      </c>
      <c r="B714" t="s">
        <v>1763</v>
      </c>
      <c r="C714">
        <v>15</v>
      </c>
      <c r="D714" s="260">
        <v>46261</v>
      </c>
      <c r="E714" s="260">
        <v>46281</v>
      </c>
      <c r="F714">
        <v>72</v>
      </c>
      <c r="G714" t="s">
        <v>353</v>
      </c>
    </row>
    <row r="715" spans="1:7">
      <c r="A715" t="s">
        <v>1764</v>
      </c>
      <c r="B715" t="s">
        <v>1765</v>
      </c>
      <c r="C715">
        <v>25</v>
      </c>
      <c r="D715" s="260">
        <v>46178</v>
      </c>
      <c r="E715" s="260">
        <v>46212</v>
      </c>
      <c r="F715">
        <v>67</v>
      </c>
      <c r="G715" t="s">
        <v>353</v>
      </c>
    </row>
    <row r="716" spans="1:7">
      <c r="A716" t="s">
        <v>1766</v>
      </c>
      <c r="B716" t="s">
        <v>1767</v>
      </c>
      <c r="C716">
        <v>15</v>
      </c>
      <c r="D716" s="260">
        <v>46227</v>
      </c>
      <c r="E716" s="260">
        <v>46253</v>
      </c>
      <c r="F716">
        <v>67</v>
      </c>
      <c r="G716" t="s">
        <v>353</v>
      </c>
    </row>
    <row r="717" spans="1:7">
      <c r="A717" t="s">
        <v>1768</v>
      </c>
      <c r="B717" t="s">
        <v>1769</v>
      </c>
      <c r="C717">
        <v>15</v>
      </c>
      <c r="D717" s="260">
        <v>46268</v>
      </c>
      <c r="E717" s="260">
        <v>46288</v>
      </c>
      <c r="F717">
        <v>67</v>
      </c>
      <c r="G717" t="s">
        <v>353</v>
      </c>
    </row>
    <row r="718" spans="1:7">
      <c r="A718" t="s">
        <v>1770</v>
      </c>
      <c r="B718" t="s">
        <v>1771</v>
      </c>
      <c r="C718">
        <v>25</v>
      </c>
      <c r="D718" s="260">
        <v>46169</v>
      </c>
      <c r="E718" s="260">
        <v>46205</v>
      </c>
      <c r="F718">
        <v>72</v>
      </c>
      <c r="G718" t="s">
        <v>353</v>
      </c>
    </row>
    <row r="719" spans="1:7">
      <c r="A719" t="s">
        <v>1772</v>
      </c>
      <c r="B719" t="s">
        <v>1773</v>
      </c>
      <c r="C719">
        <v>15</v>
      </c>
      <c r="D719" s="260">
        <v>46220</v>
      </c>
      <c r="E719" s="260">
        <v>46245</v>
      </c>
      <c r="F719">
        <v>72</v>
      </c>
      <c r="G719" t="s">
        <v>353</v>
      </c>
    </row>
    <row r="720" spans="1:7">
      <c r="A720" t="s">
        <v>1774</v>
      </c>
      <c r="B720" t="s">
        <v>1775</v>
      </c>
      <c r="C720">
        <v>15</v>
      </c>
      <c r="D720" s="260">
        <v>46261</v>
      </c>
      <c r="E720" s="260">
        <v>46281</v>
      </c>
      <c r="F720">
        <v>72</v>
      </c>
      <c r="G720" t="s">
        <v>353</v>
      </c>
    </row>
    <row r="721" spans="1:7">
      <c r="A721" t="s">
        <v>1776</v>
      </c>
      <c r="B721" t="s">
        <v>1777</v>
      </c>
      <c r="C721">
        <v>25</v>
      </c>
      <c r="D721" s="260">
        <v>46178</v>
      </c>
      <c r="E721" s="260">
        <v>46212</v>
      </c>
      <c r="F721">
        <v>67</v>
      </c>
      <c r="G721" t="s">
        <v>353</v>
      </c>
    </row>
    <row r="722" spans="1:7">
      <c r="A722" t="s">
        <v>1778</v>
      </c>
      <c r="B722" t="s">
        <v>1779</v>
      </c>
      <c r="C722">
        <v>15</v>
      </c>
      <c r="D722" s="260">
        <v>46227</v>
      </c>
      <c r="E722" s="260">
        <v>46253</v>
      </c>
      <c r="F722">
        <v>67</v>
      </c>
      <c r="G722" t="s">
        <v>353</v>
      </c>
    </row>
    <row r="723" spans="1:7">
      <c r="A723" t="s">
        <v>1780</v>
      </c>
      <c r="B723" t="s">
        <v>1781</v>
      </c>
      <c r="C723">
        <v>15</v>
      </c>
      <c r="D723" s="260">
        <v>46268</v>
      </c>
      <c r="E723" s="260">
        <v>46288</v>
      </c>
      <c r="F723">
        <v>67</v>
      </c>
      <c r="G723" t="s">
        <v>353</v>
      </c>
    </row>
    <row r="724" spans="1:7">
      <c r="A724" t="s">
        <v>1782</v>
      </c>
      <c r="B724" t="s">
        <v>1783</v>
      </c>
      <c r="C724">
        <v>25</v>
      </c>
      <c r="D724" s="260">
        <v>46178</v>
      </c>
      <c r="E724" s="260">
        <v>46212</v>
      </c>
      <c r="F724">
        <v>67</v>
      </c>
      <c r="G724" t="s">
        <v>353</v>
      </c>
    </row>
    <row r="725" spans="1:7">
      <c r="A725" t="s">
        <v>1784</v>
      </c>
      <c r="B725" t="s">
        <v>1785</v>
      </c>
      <c r="C725">
        <v>15</v>
      </c>
      <c r="D725" s="260">
        <v>46227</v>
      </c>
      <c r="E725" s="260">
        <v>46253</v>
      </c>
      <c r="F725">
        <v>67</v>
      </c>
      <c r="G725" t="s">
        <v>353</v>
      </c>
    </row>
    <row r="726" spans="1:7">
      <c r="A726" t="s">
        <v>1786</v>
      </c>
      <c r="B726" t="s">
        <v>1787</v>
      </c>
      <c r="C726">
        <v>15</v>
      </c>
      <c r="D726" s="260">
        <v>46268</v>
      </c>
      <c r="E726" s="260">
        <v>46288</v>
      </c>
      <c r="F726">
        <v>67</v>
      </c>
      <c r="G726" t="s">
        <v>353</v>
      </c>
    </row>
    <row r="727" spans="1:7">
      <c r="A727" t="s">
        <v>1788</v>
      </c>
      <c r="B727" t="s">
        <v>1789</v>
      </c>
      <c r="C727">
        <v>25</v>
      </c>
      <c r="D727" s="260">
        <v>46169</v>
      </c>
      <c r="E727" s="260">
        <v>46205</v>
      </c>
      <c r="F727">
        <v>72</v>
      </c>
      <c r="G727" t="s">
        <v>353</v>
      </c>
    </row>
    <row r="728" spans="1:7">
      <c r="A728" t="s">
        <v>1790</v>
      </c>
      <c r="B728" t="s">
        <v>1791</v>
      </c>
      <c r="C728">
        <v>15</v>
      </c>
      <c r="D728" s="260">
        <v>46220</v>
      </c>
      <c r="E728" s="260">
        <v>46245</v>
      </c>
      <c r="F728">
        <v>72</v>
      </c>
      <c r="G728" t="s">
        <v>353</v>
      </c>
    </row>
    <row r="729" spans="1:7">
      <c r="A729" t="s">
        <v>1792</v>
      </c>
      <c r="B729" t="s">
        <v>1793</v>
      </c>
      <c r="C729">
        <v>15</v>
      </c>
      <c r="D729" s="260">
        <v>46261</v>
      </c>
      <c r="E729" s="260">
        <v>46281</v>
      </c>
      <c r="F729">
        <v>72</v>
      </c>
      <c r="G729" t="s">
        <v>353</v>
      </c>
    </row>
    <row r="730" spans="1:7">
      <c r="A730" t="s">
        <v>1794</v>
      </c>
      <c r="B730" t="s">
        <v>1795</v>
      </c>
      <c r="C730">
        <v>25</v>
      </c>
      <c r="D730" s="260">
        <v>46178</v>
      </c>
      <c r="E730" s="260">
        <v>46212</v>
      </c>
      <c r="F730">
        <v>67</v>
      </c>
      <c r="G730" t="s">
        <v>353</v>
      </c>
    </row>
    <row r="731" spans="1:7">
      <c r="A731" t="s">
        <v>1796</v>
      </c>
      <c r="B731" t="s">
        <v>1797</v>
      </c>
      <c r="C731">
        <v>15</v>
      </c>
      <c r="D731" s="260">
        <v>46227</v>
      </c>
      <c r="E731" s="260">
        <v>46253</v>
      </c>
      <c r="F731">
        <v>67</v>
      </c>
      <c r="G731" t="s">
        <v>353</v>
      </c>
    </row>
    <row r="732" spans="1:7">
      <c r="A732" t="s">
        <v>1798</v>
      </c>
      <c r="B732" t="s">
        <v>1799</v>
      </c>
      <c r="C732">
        <v>15</v>
      </c>
      <c r="D732" s="260">
        <v>46268</v>
      </c>
      <c r="E732" s="260">
        <v>46288</v>
      </c>
      <c r="F732">
        <v>67</v>
      </c>
      <c r="G732" t="s">
        <v>353</v>
      </c>
    </row>
    <row r="733" spans="1:7">
      <c r="A733" t="s">
        <v>1800</v>
      </c>
      <c r="B733" t="s">
        <v>1801</v>
      </c>
      <c r="C733">
        <v>25</v>
      </c>
      <c r="D733" s="260">
        <v>46178</v>
      </c>
      <c r="E733" s="260">
        <v>46212</v>
      </c>
      <c r="F733">
        <v>67</v>
      </c>
      <c r="G733" t="s">
        <v>353</v>
      </c>
    </row>
    <row r="734" spans="1:7">
      <c r="A734" t="s">
        <v>1802</v>
      </c>
      <c r="B734" t="s">
        <v>1803</v>
      </c>
      <c r="C734">
        <v>15</v>
      </c>
      <c r="D734" s="260">
        <v>46227</v>
      </c>
      <c r="E734" s="260">
        <v>46253</v>
      </c>
      <c r="F734">
        <v>67</v>
      </c>
      <c r="G734" t="s">
        <v>353</v>
      </c>
    </row>
    <row r="735" spans="1:7">
      <c r="A735" t="s">
        <v>1804</v>
      </c>
      <c r="B735" t="s">
        <v>1805</v>
      </c>
      <c r="C735">
        <v>15</v>
      </c>
      <c r="D735" s="260">
        <v>46268</v>
      </c>
      <c r="E735" s="260">
        <v>46288</v>
      </c>
      <c r="F735">
        <v>67</v>
      </c>
      <c r="G735" t="s">
        <v>353</v>
      </c>
    </row>
    <row r="736" spans="1:7">
      <c r="A736" t="s">
        <v>1806</v>
      </c>
      <c r="B736" t="s">
        <v>1807</v>
      </c>
      <c r="C736">
        <v>25</v>
      </c>
      <c r="D736" s="260">
        <v>46185</v>
      </c>
      <c r="E736" s="260">
        <v>46219</v>
      </c>
      <c r="F736">
        <v>62</v>
      </c>
      <c r="G736" t="s">
        <v>353</v>
      </c>
    </row>
    <row r="737" spans="1:7">
      <c r="A737" t="s">
        <v>1808</v>
      </c>
      <c r="B737" t="s">
        <v>1809</v>
      </c>
      <c r="C737">
        <v>15</v>
      </c>
      <c r="D737" s="260">
        <v>46239</v>
      </c>
      <c r="E737" s="260">
        <v>46260</v>
      </c>
      <c r="F737">
        <v>62</v>
      </c>
      <c r="G737" t="s">
        <v>353</v>
      </c>
    </row>
    <row r="738" spans="1:7">
      <c r="A738" t="s">
        <v>1810</v>
      </c>
      <c r="B738" t="s">
        <v>1811</v>
      </c>
      <c r="C738">
        <v>15</v>
      </c>
      <c r="D738" s="260">
        <v>46275</v>
      </c>
      <c r="E738" s="260">
        <v>46295</v>
      </c>
      <c r="F738">
        <v>62</v>
      </c>
      <c r="G738" t="s">
        <v>353</v>
      </c>
    </row>
    <row r="739" spans="1:7">
      <c r="A739" t="s">
        <v>1812</v>
      </c>
      <c r="B739" t="s">
        <v>1813</v>
      </c>
      <c r="C739">
        <v>25</v>
      </c>
      <c r="D739" s="260">
        <v>46185</v>
      </c>
      <c r="E739" s="260">
        <v>46219</v>
      </c>
      <c r="F739">
        <v>62</v>
      </c>
      <c r="G739" t="s">
        <v>353</v>
      </c>
    </row>
    <row r="740" spans="1:7">
      <c r="A740" t="s">
        <v>1814</v>
      </c>
      <c r="B740" t="s">
        <v>1815</v>
      </c>
      <c r="C740">
        <v>15</v>
      </c>
      <c r="D740" s="260">
        <v>46239</v>
      </c>
      <c r="E740" s="260">
        <v>46260</v>
      </c>
      <c r="F740">
        <v>62</v>
      </c>
      <c r="G740" t="s">
        <v>353</v>
      </c>
    </row>
    <row r="741" spans="1:7">
      <c r="A741" t="s">
        <v>1816</v>
      </c>
      <c r="B741" t="s">
        <v>1817</v>
      </c>
      <c r="C741">
        <v>15</v>
      </c>
      <c r="D741" s="260">
        <v>46275</v>
      </c>
      <c r="E741" s="260">
        <v>46295</v>
      </c>
      <c r="F741">
        <v>62</v>
      </c>
      <c r="G741" t="s">
        <v>353</v>
      </c>
    </row>
    <row r="742" spans="1:7">
      <c r="A742" t="s">
        <v>1818</v>
      </c>
      <c r="B742" t="s">
        <v>1819</v>
      </c>
      <c r="C742">
        <v>25</v>
      </c>
      <c r="D742" s="260">
        <v>46178</v>
      </c>
      <c r="E742" s="260">
        <v>46212</v>
      </c>
      <c r="F742">
        <v>67</v>
      </c>
      <c r="G742" t="s">
        <v>353</v>
      </c>
    </row>
    <row r="743" spans="1:7">
      <c r="A743" t="s">
        <v>1820</v>
      </c>
      <c r="B743" t="s">
        <v>1821</v>
      </c>
      <c r="C743">
        <v>15</v>
      </c>
      <c r="D743" s="260">
        <v>46227</v>
      </c>
      <c r="E743" s="260">
        <v>46253</v>
      </c>
      <c r="F743">
        <v>67</v>
      </c>
      <c r="G743" t="s">
        <v>353</v>
      </c>
    </row>
    <row r="744" spans="1:7">
      <c r="A744" t="s">
        <v>1822</v>
      </c>
      <c r="B744" t="s">
        <v>1823</v>
      </c>
      <c r="C744">
        <v>15</v>
      </c>
      <c r="D744" s="260">
        <v>46268</v>
      </c>
      <c r="E744" s="260">
        <v>46288</v>
      </c>
      <c r="F744">
        <v>67</v>
      </c>
      <c r="G744" t="s">
        <v>353</v>
      </c>
    </row>
    <row r="745" spans="1:7">
      <c r="A745" t="s">
        <v>1824</v>
      </c>
      <c r="B745" t="s">
        <v>1825</v>
      </c>
      <c r="C745">
        <v>25</v>
      </c>
      <c r="D745" s="260">
        <v>46178</v>
      </c>
      <c r="E745" s="260">
        <v>46212</v>
      </c>
      <c r="F745">
        <v>67</v>
      </c>
      <c r="G745" t="s">
        <v>353</v>
      </c>
    </row>
    <row r="746" spans="1:7">
      <c r="A746" t="s">
        <v>1826</v>
      </c>
      <c r="B746" t="s">
        <v>1827</v>
      </c>
      <c r="C746">
        <v>15</v>
      </c>
      <c r="D746" s="260">
        <v>46227</v>
      </c>
      <c r="E746" s="260">
        <v>46253</v>
      </c>
      <c r="F746">
        <v>67</v>
      </c>
      <c r="G746" t="s">
        <v>353</v>
      </c>
    </row>
    <row r="747" spans="1:7">
      <c r="A747" t="s">
        <v>1828</v>
      </c>
      <c r="B747" t="s">
        <v>1829</v>
      </c>
      <c r="C747">
        <v>15</v>
      </c>
      <c r="D747" s="260">
        <v>46268</v>
      </c>
      <c r="E747" s="260">
        <v>46288</v>
      </c>
      <c r="F747">
        <v>67</v>
      </c>
      <c r="G747" t="s">
        <v>353</v>
      </c>
    </row>
    <row r="748" spans="1:7">
      <c r="A748" t="s">
        <v>1830</v>
      </c>
      <c r="B748" t="s">
        <v>1831</v>
      </c>
      <c r="C748">
        <v>25</v>
      </c>
      <c r="D748" s="260">
        <v>46178</v>
      </c>
      <c r="E748" s="260">
        <v>46212</v>
      </c>
      <c r="F748">
        <v>67</v>
      </c>
      <c r="G748" t="s">
        <v>353</v>
      </c>
    </row>
    <row r="749" spans="1:7">
      <c r="A749" t="s">
        <v>1832</v>
      </c>
      <c r="B749" t="s">
        <v>1833</v>
      </c>
      <c r="C749">
        <v>15</v>
      </c>
      <c r="D749" s="260">
        <v>46227</v>
      </c>
      <c r="E749" s="260">
        <v>46253</v>
      </c>
      <c r="F749">
        <v>67</v>
      </c>
      <c r="G749" t="s">
        <v>353</v>
      </c>
    </row>
    <row r="750" spans="1:7">
      <c r="A750" t="s">
        <v>1834</v>
      </c>
      <c r="B750" t="s">
        <v>1835</v>
      </c>
      <c r="C750">
        <v>15</v>
      </c>
      <c r="D750" s="260">
        <v>46268</v>
      </c>
      <c r="E750" s="260">
        <v>46288</v>
      </c>
      <c r="F750">
        <v>67</v>
      </c>
      <c r="G750" t="s">
        <v>353</v>
      </c>
    </row>
    <row r="751" spans="1:7">
      <c r="A751" t="s">
        <v>1836</v>
      </c>
      <c r="B751" t="s">
        <v>1837</v>
      </c>
      <c r="C751">
        <v>25</v>
      </c>
      <c r="D751" s="260">
        <v>46178</v>
      </c>
      <c r="E751" s="260">
        <v>46212</v>
      </c>
      <c r="F751">
        <v>67</v>
      </c>
      <c r="G751" t="s">
        <v>353</v>
      </c>
    </row>
    <row r="752" spans="1:7">
      <c r="A752" t="s">
        <v>1838</v>
      </c>
      <c r="B752" t="s">
        <v>1839</v>
      </c>
      <c r="C752">
        <v>15</v>
      </c>
      <c r="D752" s="260">
        <v>46227</v>
      </c>
      <c r="E752" s="260">
        <v>46253</v>
      </c>
      <c r="F752">
        <v>67</v>
      </c>
      <c r="G752" t="s">
        <v>353</v>
      </c>
    </row>
    <row r="753" spans="1:7">
      <c r="A753" t="s">
        <v>1840</v>
      </c>
      <c r="B753" t="s">
        <v>1841</v>
      </c>
      <c r="C753">
        <v>15</v>
      </c>
      <c r="D753" s="260">
        <v>46268</v>
      </c>
      <c r="E753" s="260">
        <v>46288</v>
      </c>
      <c r="F753">
        <v>67</v>
      </c>
      <c r="G753" t="s">
        <v>353</v>
      </c>
    </row>
    <row r="754" spans="1:7">
      <c r="A754" t="s">
        <v>1842</v>
      </c>
      <c r="B754" t="s">
        <v>1843</v>
      </c>
      <c r="C754">
        <v>25</v>
      </c>
      <c r="D754" s="260">
        <v>46178</v>
      </c>
      <c r="E754" s="260">
        <v>46212</v>
      </c>
      <c r="F754">
        <v>67</v>
      </c>
      <c r="G754" t="s">
        <v>353</v>
      </c>
    </row>
    <row r="755" spans="1:7">
      <c r="A755" t="s">
        <v>1844</v>
      </c>
      <c r="B755" t="s">
        <v>1845</v>
      </c>
      <c r="C755">
        <v>15</v>
      </c>
      <c r="D755" s="260">
        <v>46227</v>
      </c>
      <c r="E755" s="260">
        <v>46253</v>
      </c>
      <c r="F755">
        <v>67</v>
      </c>
      <c r="G755" t="s">
        <v>353</v>
      </c>
    </row>
    <row r="756" spans="1:7">
      <c r="A756" t="s">
        <v>1846</v>
      </c>
      <c r="B756" t="s">
        <v>1847</v>
      </c>
      <c r="C756">
        <v>15</v>
      </c>
      <c r="D756" s="260">
        <v>46268</v>
      </c>
      <c r="E756" s="260">
        <v>46288</v>
      </c>
      <c r="F756">
        <v>67</v>
      </c>
      <c r="G756" t="s">
        <v>353</v>
      </c>
    </row>
    <row r="757" spans="1:7">
      <c r="A757" t="s">
        <v>1848</v>
      </c>
      <c r="B757" t="s">
        <v>1849</v>
      </c>
      <c r="C757">
        <v>25</v>
      </c>
      <c r="D757" s="260">
        <v>46178</v>
      </c>
      <c r="E757" s="260">
        <v>46212</v>
      </c>
      <c r="F757">
        <v>67</v>
      </c>
      <c r="G757" t="s">
        <v>353</v>
      </c>
    </row>
    <row r="758" spans="1:7">
      <c r="A758" t="s">
        <v>1850</v>
      </c>
      <c r="B758" t="s">
        <v>1851</v>
      </c>
      <c r="C758">
        <v>15</v>
      </c>
      <c r="D758" s="260">
        <v>46227</v>
      </c>
      <c r="E758" s="260">
        <v>46253</v>
      </c>
      <c r="F758">
        <v>67</v>
      </c>
      <c r="G758" t="s">
        <v>353</v>
      </c>
    </row>
    <row r="759" spans="1:7">
      <c r="A759" t="s">
        <v>1852</v>
      </c>
      <c r="B759" t="s">
        <v>1853</v>
      </c>
      <c r="C759">
        <v>15</v>
      </c>
      <c r="D759" s="260">
        <v>46268</v>
      </c>
      <c r="E759" s="260">
        <v>46288</v>
      </c>
      <c r="F759">
        <v>67</v>
      </c>
      <c r="G759" t="s">
        <v>353</v>
      </c>
    </row>
    <row r="760" spans="1:7">
      <c r="A760" t="s">
        <v>1854</v>
      </c>
      <c r="B760" t="s">
        <v>1855</v>
      </c>
      <c r="C760">
        <v>25</v>
      </c>
      <c r="D760" s="260">
        <v>46227</v>
      </c>
      <c r="E760" s="260">
        <v>46267</v>
      </c>
      <c r="F760">
        <v>32</v>
      </c>
      <c r="G760" t="s">
        <v>353</v>
      </c>
    </row>
    <row r="761" spans="1:7">
      <c r="A761" t="s">
        <v>1856</v>
      </c>
      <c r="B761" t="s">
        <v>1857</v>
      </c>
      <c r="C761">
        <v>15</v>
      </c>
      <c r="D761" s="260">
        <v>46282</v>
      </c>
      <c r="E761" s="260">
        <v>46302</v>
      </c>
      <c r="F761">
        <v>32</v>
      </c>
      <c r="G761" t="s">
        <v>353</v>
      </c>
    </row>
    <row r="762" spans="1:7">
      <c r="A762" t="s">
        <v>1858</v>
      </c>
      <c r="B762" t="s">
        <v>1859</v>
      </c>
      <c r="C762">
        <v>15</v>
      </c>
      <c r="D762" s="260">
        <v>46321</v>
      </c>
      <c r="E762" s="260">
        <v>46339</v>
      </c>
      <c r="F762">
        <v>32</v>
      </c>
      <c r="G762" t="s">
        <v>353</v>
      </c>
    </row>
    <row r="763" spans="1:7">
      <c r="A763" t="s">
        <v>1860</v>
      </c>
      <c r="B763" t="s">
        <v>1861</v>
      </c>
      <c r="C763">
        <v>25</v>
      </c>
      <c r="D763" s="260">
        <v>46192</v>
      </c>
      <c r="E763" s="260">
        <v>46226</v>
      </c>
      <c r="F763">
        <v>57</v>
      </c>
      <c r="G763" t="s">
        <v>353</v>
      </c>
    </row>
    <row r="764" spans="1:7">
      <c r="A764" t="s">
        <v>1862</v>
      </c>
      <c r="B764" t="s">
        <v>1863</v>
      </c>
      <c r="C764">
        <v>15</v>
      </c>
      <c r="D764" s="260">
        <v>46247</v>
      </c>
      <c r="E764" s="260">
        <v>46267</v>
      </c>
      <c r="F764">
        <v>57</v>
      </c>
      <c r="G764" t="s">
        <v>353</v>
      </c>
    </row>
    <row r="765" spans="1:7">
      <c r="A765" t="s">
        <v>1864</v>
      </c>
      <c r="B765" t="s">
        <v>1865</v>
      </c>
      <c r="C765">
        <v>15</v>
      </c>
      <c r="D765" s="260">
        <v>46282</v>
      </c>
      <c r="E765" s="260">
        <v>46302</v>
      </c>
      <c r="F765">
        <v>57</v>
      </c>
      <c r="G765" t="s">
        <v>353</v>
      </c>
    </row>
    <row r="766" spans="1:7">
      <c r="A766" t="s">
        <v>1866</v>
      </c>
      <c r="B766" t="s">
        <v>1867</v>
      </c>
      <c r="C766">
        <v>25</v>
      </c>
      <c r="D766" s="260">
        <v>46192</v>
      </c>
      <c r="E766" s="260">
        <v>46226</v>
      </c>
      <c r="F766">
        <v>57</v>
      </c>
      <c r="G766" t="s">
        <v>353</v>
      </c>
    </row>
    <row r="767" spans="1:7">
      <c r="A767" t="s">
        <v>1868</v>
      </c>
      <c r="B767" t="s">
        <v>1869</v>
      </c>
      <c r="C767">
        <v>15</v>
      </c>
      <c r="D767" s="260">
        <v>46247</v>
      </c>
      <c r="E767" s="260">
        <v>46267</v>
      </c>
      <c r="F767">
        <v>57</v>
      </c>
      <c r="G767" t="s">
        <v>353</v>
      </c>
    </row>
    <row r="768" spans="1:7">
      <c r="A768" t="s">
        <v>1870</v>
      </c>
      <c r="B768" t="s">
        <v>1871</v>
      </c>
      <c r="C768">
        <v>15</v>
      </c>
      <c r="D768" s="260">
        <v>46282</v>
      </c>
      <c r="E768" s="260">
        <v>46302</v>
      </c>
      <c r="F768">
        <v>57</v>
      </c>
      <c r="G768" t="s">
        <v>353</v>
      </c>
    </row>
    <row r="769" spans="1:7">
      <c r="A769" t="s">
        <v>1872</v>
      </c>
      <c r="B769" t="s">
        <v>1873</v>
      </c>
      <c r="C769">
        <v>25</v>
      </c>
      <c r="D769" s="260">
        <v>46192</v>
      </c>
      <c r="E769" s="260">
        <v>46226</v>
      </c>
      <c r="F769">
        <v>57</v>
      </c>
      <c r="G769" t="s">
        <v>353</v>
      </c>
    </row>
    <row r="770" spans="1:7">
      <c r="A770" t="s">
        <v>1874</v>
      </c>
      <c r="B770" t="s">
        <v>1875</v>
      </c>
      <c r="C770">
        <v>15</v>
      </c>
      <c r="D770" s="260">
        <v>46247</v>
      </c>
      <c r="E770" s="260">
        <v>46267</v>
      </c>
      <c r="F770">
        <v>57</v>
      </c>
      <c r="G770" t="s">
        <v>353</v>
      </c>
    </row>
    <row r="771" spans="1:7">
      <c r="A771" t="s">
        <v>1876</v>
      </c>
      <c r="B771" t="s">
        <v>1877</v>
      </c>
      <c r="C771">
        <v>15</v>
      </c>
      <c r="D771" s="260">
        <v>46282</v>
      </c>
      <c r="E771" s="260">
        <v>46302</v>
      </c>
      <c r="F771">
        <v>57</v>
      </c>
      <c r="G771" t="s">
        <v>353</v>
      </c>
    </row>
    <row r="772" spans="1:7">
      <c r="A772" t="s">
        <v>1878</v>
      </c>
      <c r="B772" t="s">
        <v>1879</v>
      </c>
      <c r="C772">
        <v>25</v>
      </c>
      <c r="D772" s="260">
        <v>46192</v>
      </c>
      <c r="E772" s="260">
        <v>46226</v>
      </c>
      <c r="F772">
        <v>57</v>
      </c>
      <c r="G772" t="s">
        <v>353</v>
      </c>
    </row>
    <row r="773" spans="1:7">
      <c r="A773" t="s">
        <v>1880</v>
      </c>
      <c r="B773" t="s">
        <v>1881</v>
      </c>
      <c r="C773">
        <v>15</v>
      </c>
      <c r="D773" s="260">
        <v>46247</v>
      </c>
      <c r="E773" s="260">
        <v>46267</v>
      </c>
      <c r="F773">
        <v>57</v>
      </c>
      <c r="G773" t="s">
        <v>353</v>
      </c>
    </row>
    <row r="774" spans="1:7">
      <c r="A774" t="s">
        <v>1882</v>
      </c>
      <c r="B774" t="s">
        <v>1883</v>
      </c>
      <c r="C774">
        <v>15</v>
      </c>
      <c r="D774" s="260">
        <v>46282</v>
      </c>
      <c r="E774" s="260">
        <v>46302</v>
      </c>
      <c r="F774">
        <v>57</v>
      </c>
      <c r="G774" t="s">
        <v>353</v>
      </c>
    </row>
    <row r="775" spans="1:7">
      <c r="A775" t="s">
        <v>1884</v>
      </c>
      <c r="B775" t="s">
        <v>1885</v>
      </c>
      <c r="C775">
        <v>25</v>
      </c>
      <c r="D775" s="260">
        <v>46192</v>
      </c>
      <c r="E775" s="260">
        <v>46226</v>
      </c>
      <c r="F775">
        <v>57</v>
      </c>
      <c r="G775" t="s">
        <v>353</v>
      </c>
    </row>
    <row r="776" spans="1:7">
      <c r="A776" t="s">
        <v>1886</v>
      </c>
      <c r="B776" t="s">
        <v>1887</v>
      </c>
      <c r="C776">
        <v>15</v>
      </c>
      <c r="D776" s="260">
        <v>46247</v>
      </c>
      <c r="E776" s="260">
        <v>46267</v>
      </c>
      <c r="F776">
        <v>57</v>
      </c>
      <c r="G776" t="s">
        <v>353</v>
      </c>
    </row>
    <row r="777" spans="1:7">
      <c r="A777" t="s">
        <v>1888</v>
      </c>
      <c r="B777" t="s">
        <v>1889</v>
      </c>
      <c r="C777">
        <v>15</v>
      </c>
      <c r="D777" s="260">
        <v>46282</v>
      </c>
      <c r="E777" s="260">
        <v>46302</v>
      </c>
      <c r="F777">
        <v>57</v>
      </c>
      <c r="G777" t="s">
        <v>353</v>
      </c>
    </row>
    <row r="778" spans="1:7">
      <c r="A778" t="s">
        <v>1890</v>
      </c>
      <c r="B778" t="s">
        <v>1891</v>
      </c>
      <c r="C778">
        <v>25</v>
      </c>
      <c r="D778" s="260">
        <v>46192</v>
      </c>
      <c r="E778" s="260">
        <v>46226</v>
      </c>
      <c r="F778">
        <v>57</v>
      </c>
      <c r="G778" t="s">
        <v>353</v>
      </c>
    </row>
    <row r="779" spans="1:7">
      <c r="A779" t="s">
        <v>1892</v>
      </c>
      <c r="B779" t="s">
        <v>1893</v>
      </c>
      <c r="C779">
        <v>15</v>
      </c>
      <c r="D779" s="260">
        <v>46247</v>
      </c>
      <c r="E779" s="260">
        <v>46267</v>
      </c>
      <c r="F779">
        <v>57</v>
      </c>
      <c r="G779" t="s">
        <v>353</v>
      </c>
    </row>
    <row r="780" spans="1:7">
      <c r="A780" t="s">
        <v>1894</v>
      </c>
      <c r="B780" t="s">
        <v>1895</v>
      </c>
      <c r="C780">
        <v>15</v>
      </c>
      <c r="D780" s="260">
        <v>46282</v>
      </c>
      <c r="E780" s="260">
        <v>46302</v>
      </c>
      <c r="F780">
        <v>57</v>
      </c>
      <c r="G780" t="s">
        <v>353</v>
      </c>
    </row>
    <row r="781" spans="1:7">
      <c r="A781" t="s">
        <v>1896</v>
      </c>
      <c r="B781" t="s">
        <v>1897</v>
      </c>
      <c r="C781">
        <v>25</v>
      </c>
      <c r="D781" s="260">
        <v>46192</v>
      </c>
      <c r="E781" s="260">
        <v>46226</v>
      </c>
      <c r="F781">
        <v>57</v>
      </c>
      <c r="G781" t="s">
        <v>353</v>
      </c>
    </row>
    <row r="782" spans="1:7">
      <c r="A782" t="s">
        <v>1898</v>
      </c>
      <c r="B782" t="s">
        <v>1899</v>
      </c>
      <c r="C782">
        <v>15</v>
      </c>
      <c r="D782" s="260">
        <v>46247</v>
      </c>
      <c r="E782" s="260">
        <v>46267</v>
      </c>
      <c r="F782">
        <v>57</v>
      </c>
      <c r="G782" t="s">
        <v>353</v>
      </c>
    </row>
    <row r="783" spans="1:7">
      <c r="A783" t="s">
        <v>1900</v>
      </c>
      <c r="B783" t="s">
        <v>1901</v>
      </c>
      <c r="C783">
        <v>15</v>
      </c>
      <c r="D783" s="260">
        <v>46282</v>
      </c>
      <c r="E783" s="260">
        <v>46302</v>
      </c>
      <c r="F783">
        <v>57</v>
      </c>
      <c r="G783" t="s">
        <v>353</v>
      </c>
    </row>
    <row r="784" spans="1:7">
      <c r="A784" t="s">
        <v>1902</v>
      </c>
      <c r="B784" t="s">
        <v>1903</v>
      </c>
      <c r="C784">
        <v>25</v>
      </c>
      <c r="D784" s="260">
        <v>46192</v>
      </c>
      <c r="E784" s="260">
        <v>46226</v>
      </c>
      <c r="F784">
        <v>57</v>
      </c>
      <c r="G784" t="s">
        <v>353</v>
      </c>
    </row>
    <row r="785" spans="1:7">
      <c r="A785" t="s">
        <v>1904</v>
      </c>
      <c r="B785" t="s">
        <v>1905</v>
      </c>
      <c r="C785">
        <v>15</v>
      </c>
      <c r="D785" s="260">
        <v>46247</v>
      </c>
      <c r="E785" s="260">
        <v>46267</v>
      </c>
      <c r="F785">
        <v>57</v>
      </c>
      <c r="G785" t="s">
        <v>353</v>
      </c>
    </row>
    <row r="786" spans="1:7">
      <c r="A786" t="s">
        <v>1906</v>
      </c>
      <c r="B786" t="s">
        <v>1907</v>
      </c>
      <c r="C786">
        <v>15</v>
      </c>
      <c r="D786" s="260">
        <v>46282</v>
      </c>
      <c r="E786" s="260">
        <v>46302</v>
      </c>
      <c r="F786">
        <v>57</v>
      </c>
      <c r="G786" t="s">
        <v>353</v>
      </c>
    </row>
    <row r="787" spans="1:7">
      <c r="A787" t="s">
        <v>1908</v>
      </c>
      <c r="B787" t="s">
        <v>1909</v>
      </c>
      <c r="C787">
        <v>25</v>
      </c>
      <c r="D787" s="260">
        <v>46199</v>
      </c>
      <c r="E787" s="260">
        <v>46238</v>
      </c>
      <c r="F787">
        <v>52</v>
      </c>
      <c r="G787" t="s">
        <v>353</v>
      </c>
    </row>
    <row r="788" spans="1:7">
      <c r="A788" t="s">
        <v>1910</v>
      </c>
      <c r="B788" t="s">
        <v>1911</v>
      </c>
      <c r="C788">
        <v>15</v>
      </c>
      <c r="D788" s="260">
        <v>46254</v>
      </c>
      <c r="E788" s="260">
        <v>46274</v>
      </c>
      <c r="F788">
        <v>52</v>
      </c>
      <c r="G788" t="s">
        <v>353</v>
      </c>
    </row>
    <row r="789" spans="1:7">
      <c r="A789" t="s">
        <v>1912</v>
      </c>
      <c r="B789" t="s">
        <v>1913</v>
      </c>
      <c r="C789">
        <v>15</v>
      </c>
      <c r="D789" s="260">
        <v>46289</v>
      </c>
      <c r="E789" s="260">
        <v>46310</v>
      </c>
      <c r="F789">
        <v>52</v>
      </c>
      <c r="G789" t="s">
        <v>353</v>
      </c>
    </row>
    <row r="790" spans="1:7">
      <c r="A790" t="s">
        <v>1914</v>
      </c>
      <c r="B790" t="s">
        <v>1915</v>
      </c>
      <c r="C790">
        <v>25</v>
      </c>
      <c r="D790" s="260">
        <v>46199</v>
      </c>
      <c r="E790" s="260">
        <v>46238</v>
      </c>
      <c r="F790">
        <v>52</v>
      </c>
      <c r="G790" t="s">
        <v>353</v>
      </c>
    </row>
    <row r="791" spans="1:7">
      <c r="A791" t="s">
        <v>1916</v>
      </c>
      <c r="B791" t="s">
        <v>1917</v>
      </c>
      <c r="C791">
        <v>15</v>
      </c>
      <c r="D791" s="260">
        <v>46254</v>
      </c>
      <c r="E791" s="260">
        <v>46274</v>
      </c>
      <c r="F791">
        <v>52</v>
      </c>
      <c r="G791" t="s">
        <v>353</v>
      </c>
    </row>
    <row r="792" spans="1:7">
      <c r="A792" t="s">
        <v>1918</v>
      </c>
      <c r="B792" t="s">
        <v>1919</v>
      </c>
      <c r="C792">
        <v>15</v>
      </c>
      <c r="D792" s="260">
        <v>46289</v>
      </c>
      <c r="E792" s="260">
        <v>46310</v>
      </c>
      <c r="F792">
        <v>52</v>
      </c>
      <c r="G792" t="s">
        <v>353</v>
      </c>
    </row>
    <row r="793" spans="1:7">
      <c r="A793" t="s">
        <v>1920</v>
      </c>
      <c r="B793" t="s">
        <v>1921</v>
      </c>
      <c r="C793">
        <v>25</v>
      </c>
      <c r="D793" s="260">
        <v>46199</v>
      </c>
      <c r="E793" s="260">
        <v>46238</v>
      </c>
      <c r="F793">
        <v>52</v>
      </c>
      <c r="G793" t="s">
        <v>353</v>
      </c>
    </row>
    <row r="794" spans="1:7">
      <c r="A794" t="s">
        <v>1922</v>
      </c>
      <c r="B794" t="s">
        <v>1923</v>
      </c>
      <c r="C794">
        <v>15</v>
      </c>
      <c r="D794" s="260">
        <v>46254</v>
      </c>
      <c r="E794" s="260">
        <v>46274</v>
      </c>
      <c r="F794">
        <v>52</v>
      </c>
      <c r="G794" t="s">
        <v>353</v>
      </c>
    </row>
    <row r="795" spans="1:7">
      <c r="A795" t="s">
        <v>1924</v>
      </c>
      <c r="B795" t="s">
        <v>1925</v>
      </c>
      <c r="C795">
        <v>15</v>
      </c>
      <c r="D795" s="260">
        <v>46289</v>
      </c>
      <c r="E795" s="260">
        <v>46310</v>
      </c>
      <c r="F795">
        <v>52</v>
      </c>
      <c r="G795" t="s">
        <v>353</v>
      </c>
    </row>
    <row r="796" spans="1:7">
      <c r="A796" t="s">
        <v>1926</v>
      </c>
      <c r="B796" t="s">
        <v>1927</v>
      </c>
      <c r="C796">
        <v>25</v>
      </c>
      <c r="D796" s="260">
        <v>46199</v>
      </c>
      <c r="E796" s="260">
        <v>46238</v>
      </c>
      <c r="F796">
        <v>52</v>
      </c>
      <c r="G796" t="s">
        <v>353</v>
      </c>
    </row>
    <row r="797" spans="1:7">
      <c r="A797" t="s">
        <v>1928</v>
      </c>
      <c r="B797" t="s">
        <v>1929</v>
      </c>
      <c r="C797">
        <v>15</v>
      </c>
      <c r="D797" s="260">
        <v>46254</v>
      </c>
      <c r="E797" s="260">
        <v>46274</v>
      </c>
      <c r="F797">
        <v>52</v>
      </c>
      <c r="G797" t="s">
        <v>353</v>
      </c>
    </row>
    <row r="798" spans="1:7">
      <c r="A798" t="s">
        <v>1930</v>
      </c>
      <c r="B798" t="s">
        <v>1931</v>
      </c>
      <c r="C798">
        <v>15</v>
      </c>
      <c r="D798" s="260">
        <v>46289</v>
      </c>
      <c r="E798" s="260">
        <v>46310</v>
      </c>
      <c r="F798">
        <v>52</v>
      </c>
      <c r="G798" t="s">
        <v>353</v>
      </c>
    </row>
    <row r="799" spans="1:7">
      <c r="A799" t="s">
        <v>1932</v>
      </c>
      <c r="B799" t="s">
        <v>1933</v>
      </c>
      <c r="C799">
        <v>20</v>
      </c>
      <c r="D799" s="260">
        <v>46140</v>
      </c>
      <c r="E799" s="260">
        <v>46168</v>
      </c>
      <c r="F799">
        <v>0</v>
      </c>
      <c r="G799" t="s">
        <v>353</v>
      </c>
    </row>
    <row r="800" spans="1:7">
      <c r="A800" t="s">
        <v>1934</v>
      </c>
      <c r="B800" t="s">
        <v>1935</v>
      </c>
      <c r="C800">
        <v>10</v>
      </c>
      <c r="D800" s="260">
        <v>46185</v>
      </c>
      <c r="E800" s="260">
        <v>46198</v>
      </c>
      <c r="F800">
        <v>112</v>
      </c>
      <c r="G800" t="s">
        <v>353</v>
      </c>
    </row>
    <row r="801" spans="1:7">
      <c r="A801" t="s">
        <v>1936</v>
      </c>
      <c r="B801" t="s">
        <v>1937</v>
      </c>
      <c r="C801">
        <v>5</v>
      </c>
      <c r="D801" s="260">
        <v>46213</v>
      </c>
      <c r="E801" s="260">
        <v>46219</v>
      </c>
      <c r="F801">
        <v>112</v>
      </c>
      <c r="G801" t="s">
        <v>353</v>
      </c>
    </row>
    <row r="802" spans="1:7">
      <c r="A802" t="s">
        <v>1938</v>
      </c>
      <c r="B802" t="s">
        <v>1939</v>
      </c>
      <c r="C802">
        <v>25</v>
      </c>
      <c r="D802" s="260">
        <v>46239</v>
      </c>
      <c r="E802" s="260">
        <v>46274</v>
      </c>
      <c r="F802">
        <v>27</v>
      </c>
      <c r="G802" t="s">
        <v>353</v>
      </c>
    </row>
    <row r="803" spans="1:7">
      <c r="A803" t="s">
        <v>1940</v>
      </c>
      <c r="B803" t="s">
        <v>1941</v>
      </c>
      <c r="C803">
        <v>15</v>
      </c>
      <c r="D803" s="260">
        <v>46289</v>
      </c>
      <c r="E803" s="260">
        <v>46310</v>
      </c>
      <c r="F803">
        <v>27</v>
      </c>
      <c r="G803" t="s">
        <v>353</v>
      </c>
    </row>
    <row r="804" spans="1:7">
      <c r="A804" t="s">
        <v>1942</v>
      </c>
      <c r="B804" t="s">
        <v>1943</v>
      </c>
      <c r="C804">
        <v>15</v>
      </c>
      <c r="D804" s="260">
        <v>46328</v>
      </c>
      <c r="E804" s="260">
        <v>46346</v>
      </c>
      <c r="F804">
        <v>27</v>
      </c>
      <c r="G804" t="s">
        <v>353</v>
      </c>
    </row>
    <row r="805" spans="1:7">
      <c r="A805" t="s">
        <v>1944</v>
      </c>
      <c r="B805" t="s">
        <v>1945</v>
      </c>
      <c r="C805">
        <v>25</v>
      </c>
      <c r="D805" s="260">
        <v>46170</v>
      </c>
      <c r="E805" s="260">
        <v>46206</v>
      </c>
      <c r="F805">
        <v>71</v>
      </c>
      <c r="G805" t="s">
        <v>353</v>
      </c>
    </row>
    <row r="806" spans="1:7">
      <c r="A806" t="s">
        <v>1946</v>
      </c>
      <c r="B806" t="s">
        <v>1947</v>
      </c>
      <c r="C806">
        <v>15</v>
      </c>
      <c r="D806" s="260">
        <v>46223</v>
      </c>
      <c r="E806" s="260">
        <v>46247</v>
      </c>
      <c r="F806">
        <v>71</v>
      </c>
      <c r="G806" t="s">
        <v>353</v>
      </c>
    </row>
    <row r="807" spans="1:7">
      <c r="A807" t="s">
        <v>1948</v>
      </c>
      <c r="B807" t="s">
        <v>1949</v>
      </c>
      <c r="C807">
        <v>15</v>
      </c>
      <c r="D807" s="260">
        <v>46262</v>
      </c>
      <c r="E807" s="260">
        <v>46282</v>
      </c>
      <c r="F807">
        <v>71</v>
      </c>
      <c r="G807" t="s">
        <v>353</v>
      </c>
    </row>
    <row r="808" spans="1:7">
      <c r="A808" t="s">
        <v>1950</v>
      </c>
      <c r="B808" t="s">
        <v>1951</v>
      </c>
      <c r="C808">
        <v>25</v>
      </c>
      <c r="D808" s="260">
        <v>46170</v>
      </c>
      <c r="E808" s="260">
        <v>46206</v>
      </c>
      <c r="F808">
        <v>71</v>
      </c>
      <c r="G808" t="s">
        <v>353</v>
      </c>
    </row>
    <row r="809" spans="1:7">
      <c r="A809" t="s">
        <v>1952</v>
      </c>
      <c r="B809" t="s">
        <v>1953</v>
      </c>
      <c r="C809">
        <v>15</v>
      </c>
      <c r="D809" s="260">
        <v>46223</v>
      </c>
      <c r="E809" s="260">
        <v>46247</v>
      </c>
      <c r="F809">
        <v>71</v>
      </c>
      <c r="G809" t="s">
        <v>353</v>
      </c>
    </row>
    <row r="810" spans="1:7">
      <c r="A810" t="s">
        <v>1954</v>
      </c>
      <c r="B810" t="s">
        <v>1955</v>
      </c>
      <c r="C810">
        <v>15</v>
      </c>
      <c r="D810" s="260">
        <v>46262</v>
      </c>
      <c r="E810" s="260">
        <v>46282</v>
      </c>
      <c r="F810">
        <v>71</v>
      </c>
      <c r="G810" t="s">
        <v>353</v>
      </c>
    </row>
    <row r="811" spans="1:7">
      <c r="A811" t="s">
        <v>1956</v>
      </c>
      <c r="B811" t="s">
        <v>1957</v>
      </c>
      <c r="C811">
        <v>25</v>
      </c>
      <c r="D811" s="260">
        <v>46170</v>
      </c>
      <c r="E811" s="260">
        <v>46206</v>
      </c>
      <c r="F811">
        <v>71</v>
      </c>
      <c r="G811" t="s">
        <v>353</v>
      </c>
    </row>
    <row r="812" spans="1:7">
      <c r="A812" t="s">
        <v>1958</v>
      </c>
      <c r="B812" t="s">
        <v>1959</v>
      </c>
      <c r="C812">
        <v>15</v>
      </c>
      <c r="D812" s="260">
        <v>46223</v>
      </c>
      <c r="E812" s="260">
        <v>46247</v>
      </c>
      <c r="F812">
        <v>71</v>
      </c>
      <c r="G812" t="s">
        <v>353</v>
      </c>
    </row>
    <row r="813" spans="1:7">
      <c r="A813" t="s">
        <v>1960</v>
      </c>
      <c r="B813" t="s">
        <v>1961</v>
      </c>
      <c r="C813">
        <v>15</v>
      </c>
      <c r="D813" s="260">
        <v>46262</v>
      </c>
      <c r="E813" s="260">
        <v>46282</v>
      </c>
      <c r="F813">
        <v>71</v>
      </c>
      <c r="G813" t="s">
        <v>353</v>
      </c>
    </row>
    <row r="814" spans="1:7">
      <c r="A814" t="s">
        <v>1962</v>
      </c>
      <c r="B814" t="s">
        <v>1963</v>
      </c>
      <c r="C814">
        <v>25</v>
      </c>
      <c r="D814" s="260">
        <v>46209</v>
      </c>
      <c r="E814" s="260">
        <v>46247</v>
      </c>
      <c r="F814">
        <v>46</v>
      </c>
      <c r="G814" t="s">
        <v>353</v>
      </c>
    </row>
    <row r="815" spans="1:7">
      <c r="A815" t="s">
        <v>1964</v>
      </c>
      <c r="B815" t="s">
        <v>1965</v>
      </c>
      <c r="C815">
        <v>15</v>
      </c>
      <c r="D815" s="260">
        <v>46262</v>
      </c>
      <c r="E815" s="260">
        <v>46282</v>
      </c>
      <c r="F815">
        <v>46</v>
      </c>
      <c r="G815" t="s">
        <v>353</v>
      </c>
    </row>
    <row r="816" spans="1:7">
      <c r="A816" t="s">
        <v>1966</v>
      </c>
      <c r="B816" t="s">
        <v>1967</v>
      </c>
      <c r="C816">
        <v>15</v>
      </c>
      <c r="D816" s="260">
        <v>46297</v>
      </c>
      <c r="E816" s="260">
        <v>46321</v>
      </c>
      <c r="F816">
        <v>46</v>
      </c>
      <c r="G816" t="s">
        <v>353</v>
      </c>
    </row>
    <row r="817" spans="1:7">
      <c r="A817" t="s">
        <v>1968</v>
      </c>
      <c r="B817" t="s">
        <v>1969</v>
      </c>
      <c r="C817">
        <v>25</v>
      </c>
      <c r="D817" s="260">
        <v>46209</v>
      </c>
      <c r="E817" s="260">
        <v>46247</v>
      </c>
      <c r="F817">
        <v>46</v>
      </c>
      <c r="G817" t="s">
        <v>353</v>
      </c>
    </row>
    <row r="818" spans="1:7">
      <c r="A818" t="s">
        <v>1970</v>
      </c>
      <c r="B818" t="s">
        <v>1971</v>
      </c>
      <c r="C818">
        <v>15</v>
      </c>
      <c r="D818" s="260">
        <v>46262</v>
      </c>
      <c r="E818" s="260">
        <v>46282</v>
      </c>
      <c r="F818">
        <v>46</v>
      </c>
      <c r="G818" t="s">
        <v>353</v>
      </c>
    </row>
    <row r="819" spans="1:7">
      <c r="A819" t="s">
        <v>1972</v>
      </c>
      <c r="B819" t="s">
        <v>1973</v>
      </c>
      <c r="C819">
        <v>15</v>
      </c>
      <c r="D819" s="260">
        <v>46297</v>
      </c>
      <c r="E819" s="260">
        <v>46321</v>
      </c>
      <c r="F819">
        <v>46</v>
      </c>
      <c r="G819" t="s">
        <v>353</v>
      </c>
    </row>
    <row r="820" spans="1:7">
      <c r="A820" t="s">
        <v>1974</v>
      </c>
      <c r="B820" t="s">
        <v>1975</v>
      </c>
      <c r="C820">
        <v>25</v>
      </c>
      <c r="D820" s="260">
        <v>46209</v>
      </c>
      <c r="E820" s="260">
        <v>46247</v>
      </c>
      <c r="F820">
        <v>46</v>
      </c>
      <c r="G820" t="s">
        <v>353</v>
      </c>
    </row>
    <row r="821" spans="1:7">
      <c r="A821" t="s">
        <v>1976</v>
      </c>
      <c r="B821" t="s">
        <v>1977</v>
      </c>
      <c r="C821">
        <v>15</v>
      </c>
      <c r="D821" s="260">
        <v>46262</v>
      </c>
      <c r="E821" s="260">
        <v>46282</v>
      </c>
      <c r="F821">
        <v>46</v>
      </c>
      <c r="G821" t="s">
        <v>353</v>
      </c>
    </row>
    <row r="822" spans="1:7">
      <c r="A822" t="s">
        <v>1978</v>
      </c>
      <c r="B822" t="s">
        <v>1979</v>
      </c>
      <c r="C822">
        <v>15</v>
      </c>
      <c r="D822" s="260">
        <v>46297</v>
      </c>
      <c r="E822" s="260">
        <v>46321</v>
      </c>
      <c r="F822">
        <v>46</v>
      </c>
      <c r="G822" t="s">
        <v>353</v>
      </c>
    </row>
    <row r="823" spans="1:7">
      <c r="A823" t="s">
        <v>1980</v>
      </c>
      <c r="B823" t="s">
        <v>1981</v>
      </c>
      <c r="C823">
        <v>25</v>
      </c>
      <c r="D823" s="260">
        <v>46209</v>
      </c>
      <c r="E823" s="260">
        <v>46247</v>
      </c>
      <c r="F823">
        <v>46</v>
      </c>
      <c r="G823" t="s">
        <v>353</v>
      </c>
    </row>
    <row r="824" spans="1:7">
      <c r="A824" t="s">
        <v>1982</v>
      </c>
      <c r="B824" t="s">
        <v>1983</v>
      </c>
      <c r="C824">
        <v>15</v>
      </c>
      <c r="D824" s="260">
        <v>46262</v>
      </c>
      <c r="E824" s="260">
        <v>46282</v>
      </c>
      <c r="F824">
        <v>46</v>
      </c>
      <c r="G824" t="s">
        <v>353</v>
      </c>
    </row>
    <row r="825" spans="1:7">
      <c r="A825" t="s">
        <v>1984</v>
      </c>
      <c r="B825" t="s">
        <v>1985</v>
      </c>
      <c r="C825">
        <v>15</v>
      </c>
      <c r="D825" s="260">
        <v>46297</v>
      </c>
      <c r="E825" s="260">
        <v>46321</v>
      </c>
      <c r="F825">
        <v>46</v>
      </c>
      <c r="G825" t="s">
        <v>353</v>
      </c>
    </row>
    <row r="826" spans="1:7">
      <c r="A826" t="s">
        <v>1986</v>
      </c>
      <c r="B826" t="s">
        <v>1987</v>
      </c>
      <c r="C826">
        <v>25</v>
      </c>
      <c r="D826" s="260">
        <v>46209</v>
      </c>
      <c r="E826" s="260">
        <v>46247</v>
      </c>
      <c r="F826">
        <v>46</v>
      </c>
      <c r="G826" t="s">
        <v>353</v>
      </c>
    </row>
    <row r="827" spans="1:7">
      <c r="A827" t="s">
        <v>1988</v>
      </c>
      <c r="B827" t="s">
        <v>1989</v>
      </c>
      <c r="C827">
        <v>15</v>
      </c>
      <c r="D827" s="260">
        <v>46262</v>
      </c>
      <c r="E827" s="260">
        <v>46282</v>
      </c>
      <c r="F827">
        <v>46</v>
      </c>
      <c r="G827" t="s">
        <v>353</v>
      </c>
    </row>
    <row r="828" spans="1:7">
      <c r="A828" t="s">
        <v>1990</v>
      </c>
      <c r="B828" t="s">
        <v>1991</v>
      </c>
      <c r="C828">
        <v>15</v>
      </c>
      <c r="D828" s="260">
        <v>46297</v>
      </c>
      <c r="E828" s="260">
        <v>46321</v>
      </c>
      <c r="F828">
        <v>46</v>
      </c>
      <c r="G828" t="s">
        <v>353</v>
      </c>
    </row>
    <row r="829" spans="1:7">
      <c r="A829" t="s">
        <v>1992</v>
      </c>
      <c r="B829" t="s">
        <v>1993</v>
      </c>
      <c r="C829">
        <v>25</v>
      </c>
      <c r="D829" s="260">
        <v>46209</v>
      </c>
      <c r="E829" s="260">
        <v>46247</v>
      </c>
      <c r="F829">
        <v>46</v>
      </c>
      <c r="G829" t="s">
        <v>353</v>
      </c>
    </row>
    <row r="830" spans="1:7">
      <c r="A830" t="s">
        <v>1994</v>
      </c>
      <c r="B830" t="s">
        <v>1995</v>
      </c>
      <c r="C830">
        <v>15</v>
      </c>
      <c r="D830" s="260">
        <v>46262</v>
      </c>
      <c r="E830" s="260">
        <v>46282</v>
      </c>
      <c r="F830">
        <v>46</v>
      </c>
      <c r="G830" t="s">
        <v>353</v>
      </c>
    </row>
    <row r="831" spans="1:7">
      <c r="A831" t="s">
        <v>1996</v>
      </c>
      <c r="B831" t="s">
        <v>1997</v>
      </c>
      <c r="C831">
        <v>15</v>
      </c>
      <c r="D831" s="260">
        <v>46297</v>
      </c>
      <c r="E831" s="260">
        <v>46321</v>
      </c>
      <c r="F831">
        <v>46</v>
      </c>
      <c r="G831" t="s">
        <v>353</v>
      </c>
    </row>
    <row r="832" spans="1:7">
      <c r="A832" t="s">
        <v>1998</v>
      </c>
      <c r="B832" t="s">
        <v>1999</v>
      </c>
      <c r="C832">
        <v>25</v>
      </c>
      <c r="D832" s="260">
        <v>46209</v>
      </c>
      <c r="E832" s="260">
        <v>46247</v>
      </c>
      <c r="F832">
        <v>46</v>
      </c>
      <c r="G832" t="s">
        <v>353</v>
      </c>
    </row>
    <row r="833" spans="1:7">
      <c r="A833" t="s">
        <v>2000</v>
      </c>
      <c r="B833" t="s">
        <v>2001</v>
      </c>
      <c r="C833">
        <v>15</v>
      </c>
      <c r="D833" s="260">
        <v>46262</v>
      </c>
      <c r="E833" s="260">
        <v>46282</v>
      </c>
      <c r="F833">
        <v>46</v>
      </c>
      <c r="G833" t="s">
        <v>353</v>
      </c>
    </row>
    <row r="834" spans="1:7">
      <c r="A834" t="s">
        <v>2002</v>
      </c>
      <c r="B834" t="s">
        <v>2003</v>
      </c>
      <c r="C834">
        <v>15</v>
      </c>
      <c r="D834" s="260">
        <v>46297</v>
      </c>
      <c r="E834" s="260">
        <v>46321</v>
      </c>
      <c r="F834">
        <v>46</v>
      </c>
      <c r="G834" t="s">
        <v>353</v>
      </c>
    </row>
    <row r="835" spans="1:7">
      <c r="A835" t="s">
        <v>2004</v>
      </c>
      <c r="B835" t="s">
        <v>2005</v>
      </c>
      <c r="C835">
        <v>25</v>
      </c>
      <c r="D835" s="260">
        <v>46085</v>
      </c>
      <c r="E835" s="260">
        <v>46120</v>
      </c>
      <c r="F835">
        <v>127</v>
      </c>
      <c r="G835" t="s">
        <v>353</v>
      </c>
    </row>
    <row r="836" spans="1:7">
      <c r="A836" t="s">
        <v>2006</v>
      </c>
      <c r="B836" t="s">
        <v>2007</v>
      </c>
      <c r="C836">
        <v>15</v>
      </c>
      <c r="D836" s="260">
        <v>46140</v>
      </c>
      <c r="E836" s="260">
        <v>46161</v>
      </c>
      <c r="F836">
        <v>127</v>
      </c>
      <c r="G836" t="s">
        <v>353</v>
      </c>
    </row>
    <row r="837" spans="1:7">
      <c r="A837" t="s">
        <v>2008</v>
      </c>
      <c r="B837" t="s">
        <v>2009</v>
      </c>
      <c r="C837">
        <v>15</v>
      </c>
      <c r="D837" s="260">
        <v>46178</v>
      </c>
      <c r="E837" s="260">
        <v>46198</v>
      </c>
      <c r="F837">
        <v>127</v>
      </c>
      <c r="G837" t="s">
        <v>353</v>
      </c>
    </row>
    <row r="838" spans="1:7">
      <c r="A838" t="s">
        <v>2010</v>
      </c>
      <c r="B838" t="s">
        <v>2011</v>
      </c>
      <c r="C838">
        <v>25</v>
      </c>
      <c r="D838" s="260">
        <v>46085</v>
      </c>
      <c r="E838" s="260">
        <v>46120</v>
      </c>
      <c r="F838">
        <v>127</v>
      </c>
      <c r="G838" t="s">
        <v>353</v>
      </c>
    </row>
    <row r="839" spans="1:7">
      <c r="A839" t="s">
        <v>2012</v>
      </c>
      <c r="B839" t="s">
        <v>2013</v>
      </c>
      <c r="C839">
        <v>15</v>
      </c>
      <c r="D839" s="260">
        <v>46140</v>
      </c>
      <c r="E839" s="260">
        <v>46161</v>
      </c>
      <c r="F839">
        <v>127</v>
      </c>
      <c r="G839" t="s">
        <v>353</v>
      </c>
    </row>
    <row r="840" spans="1:7">
      <c r="A840" t="s">
        <v>2014</v>
      </c>
      <c r="B840" t="s">
        <v>2015</v>
      </c>
      <c r="C840">
        <v>15</v>
      </c>
      <c r="D840" s="260">
        <v>46178</v>
      </c>
      <c r="E840" s="260">
        <v>46198</v>
      </c>
      <c r="F840">
        <v>127</v>
      </c>
      <c r="G840" t="s">
        <v>353</v>
      </c>
    </row>
    <row r="841" spans="1:7">
      <c r="A841" t="s">
        <v>2016</v>
      </c>
      <c r="B841" t="s">
        <v>2017</v>
      </c>
      <c r="C841">
        <v>25</v>
      </c>
      <c r="D841" s="260">
        <v>46085</v>
      </c>
      <c r="E841" s="260">
        <v>46120</v>
      </c>
      <c r="F841">
        <v>127</v>
      </c>
      <c r="G841" t="s">
        <v>353</v>
      </c>
    </row>
    <row r="842" spans="1:7">
      <c r="A842" t="s">
        <v>2018</v>
      </c>
      <c r="B842" t="s">
        <v>2019</v>
      </c>
      <c r="C842">
        <v>15</v>
      </c>
      <c r="D842" s="260">
        <v>46140</v>
      </c>
      <c r="E842" s="260">
        <v>46161</v>
      </c>
      <c r="F842">
        <v>127</v>
      </c>
      <c r="G842" t="s">
        <v>353</v>
      </c>
    </row>
    <row r="843" spans="1:7">
      <c r="A843" t="s">
        <v>2020</v>
      </c>
      <c r="B843" t="s">
        <v>2021</v>
      </c>
      <c r="C843">
        <v>15</v>
      </c>
      <c r="D843" s="260">
        <v>46178</v>
      </c>
      <c r="E843" s="260">
        <v>46198</v>
      </c>
      <c r="F843">
        <v>127</v>
      </c>
      <c r="G843" t="s">
        <v>353</v>
      </c>
    </row>
    <row r="844" spans="1:7">
      <c r="A844" t="s">
        <v>2022</v>
      </c>
      <c r="B844" t="s">
        <v>2023</v>
      </c>
      <c r="C844">
        <v>25</v>
      </c>
      <c r="D844" s="260">
        <v>46085</v>
      </c>
      <c r="E844" s="260">
        <v>46120</v>
      </c>
      <c r="F844">
        <v>127</v>
      </c>
      <c r="G844" t="s">
        <v>353</v>
      </c>
    </row>
    <row r="845" spans="1:7">
      <c r="A845" t="s">
        <v>2024</v>
      </c>
      <c r="B845" t="s">
        <v>2025</v>
      </c>
      <c r="C845">
        <v>15</v>
      </c>
      <c r="D845" s="260">
        <v>46140</v>
      </c>
      <c r="E845" s="260">
        <v>46161</v>
      </c>
      <c r="F845">
        <v>127</v>
      </c>
      <c r="G845" t="s">
        <v>353</v>
      </c>
    </row>
    <row r="846" spans="1:7">
      <c r="A846" t="s">
        <v>2026</v>
      </c>
      <c r="B846" t="s">
        <v>2027</v>
      </c>
      <c r="C846">
        <v>15</v>
      </c>
      <c r="D846" s="260">
        <v>46178</v>
      </c>
      <c r="E846" s="260">
        <v>46198</v>
      </c>
      <c r="F846">
        <v>127</v>
      </c>
      <c r="G846" t="s">
        <v>353</v>
      </c>
    </row>
    <row r="847" spans="1:7">
      <c r="A847" t="s">
        <v>2028</v>
      </c>
      <c r="B847" t="s">
        <v>2029</v>
      </c>
      <c r="C847">
        <v>25</v>
      </c>
      <c r="D847" s="260">
        <v>46085</v>
      </c>
      <c r="E847" s="260">
        <v>46120</v>
      </c>
      <c r="F847">
        <v>127</v>
      </c>
      <c r="G847" t="s">
        <v>353</v>
      </c>
    </row>
    <row r="848" spans="1:7">
      <c r="A848" t="s">
        <v>2030</v>
      </c>
      <c r="B848" t="s">
        <v>2031</v>
      </c>
      <c r="C848">
        <v>15</v>
      </c>
      <c r="D848" s="260">
        <v>46140</v>
      </c>
      <c r="E848" s="260">
        <v>46161</v>
      </c>
      <c r="F848">
        <v>127</v>
      </c>
      <c r="G848" t="s">
        <v>353</v>
      </c>
    </row>
    <row r="849" spans="1:7">
      <c r="A849" t="s">
        <v>2032</v>
      </c>
      <c r="B849" t="s">
        <v>2033</v>
      </c>
      <c r="C849">
        <v>15</v>
      </c>
      <c r="D849" s="260">
        <v>46178</v>
      </c>
      <c r="E849" s="260">
        <v>46198</v>
      </c>
      <c r="F849">
        <v>127</v>
      </c>
      <c r="G849" t="s">
        <v>353</v>
      </c>
    </row>
    <row r="850" spans="1:7">
      <c r="A850" t="s">
        <v>2034</v>
      </c>
      <c r="B850" t="s">
        <v>2035</v>
      </c>
      <c r="C850">
        <v>25</v>
      </c>
      <c r="D850" s="260">
        <v>46085</v>
      </c>
      <c r="E850" s="260">
        <v>46120</v>
      </c>
      <c r="F850">
        <v>127</v>
      </c>
      <c r="G850" t="s">
        <v>353</v>
      </c>
    </row>
    <row r="851" spans="1:7">
      <c r="A851" t="s">
        <v>2036</v>
      </c>
      <c r="B851" t="s">
        <v>2037</v>
      </c>
      <c r="C851">
        <v>15</v>
      </c>
      <c r="D851" s="260">
        <v>46140</v>
      </c>
      <c r="E851" s="260">
        <v>46161</v>
      </c>
      <c r="F851">
        <v>127</v>
      </c>
      <c r="G851" t="s">
        <v>353</v>
      </c>
    </row>
    <row r="852" spans="1:7">
      <c r="A852" t="s">
        <v>2038</v>
      </c>
      <c r="B852" t="s">
        <v>2039</v>
      </c>
      <c r="C852">
        <v>15</v>
      </c>
      <c r="D852" s="260">
        <v>46178</v>
      </c>
      <c r="E852" s="260">
        <v>46198</v>
      </c>
      <c r="F852">
        <v>127</v>
      </c>
      <c r="G852" t="s">
        <v>353</v>
      </c>
    </row>
    <row r="853" spans="1:7">
      <c r="A853" t="s">
        <v>2040</v>
      </c>
      <c r="B853" t="s">
        <v>2041</v>
      </c>
      <c r="C853">
        <v>25</v>
      </c>
      <c r="D853" s="260">
        <v>46085</v>
      </c>
      <c r="E853" s="260">
        <v>46120</v>
      </c>
      <c r="F853">
        <v>127</v>
      </c>
      <c r="G853" t="s">
        <v>353</v>
      </c>
    </row>
    <row r="854" spans="1:7">
      <c r="A854" t="s">
        <v>2042</v>
      </c>
      <c r="B854" t="s">
        <v>2043</v>
      </c>
      <c r="C854">
        <v>15</v>
      </c>
      <c r="D854" s="260">
        <v>46140</v>
      </c>
      <c r="E854" s="260">
        <v>46161</v>
      </c>
      <c r="F854">
        <v>127</v>
      </c>
      <c r="G854" t="s">
        <v>353</v>
      </c>
    </row>
    <row r="855" spans="1:7">
      <c r="A855" t="s">
        <v>2044</v>
      </c>
      <c r="B855" t="s">
        <v>2045</v>
      </c>
      <c r="C855">
        <v>15</v>
      </c>
      <c r="D855" s="260">
        <v>46178</v>
      </c>
      <c r="E855" s="260">
        <v>46198</v>
      </c>
      <c r="F855">
        <v>127</v>
      </c>
      <c r="G855" t="s">
        <v>353</v>
      </c>
    </row>
    <row r="856" spans="1:7">
      <c r="A856" t="s">
        <v>2046</v>
      </c>
      <c r="B856" t="s">
        <v>2047</v>
      </c>
      <c r="C856">
        <v>25</v>
      </c>
      <c r="D856" s="260">
        <v>46085</v>
      </c>
      <c r="E856" s="260">
        <v>46120</v>
      </c>
      <c r="F856">
        <v>127</v>
      </c>
      <c r="G856" t="s">
        <v>353</v>
      </c>
    </row>
    <row r="857" spans="1:7">
      <c r="A857" t="s">
        <v>2048</v>
      </c>
      <c r="B857" t="s">
        <v>2049</v>
      </c>
      <c r="C857">
        <v>15</v>
      </c>
      <c r="D857" s="260">
        <v>46140</v>
      </c>
      <c r="E857" s="260">
        <v>46161</v>
      </c>
      <c r="F857">
        <v>127</v>
      </c>
      <c r="G857" t="s">
        <v>353</v>
      </c>
    </row>
    <row r="858" spans="1:7">
      <c r="A858" t="s">
        <v>2050</v>
      </c>
      <c r="B858" t="s">
        <v>2051</v>
      </c>
      <c r="C858">
        <v>15</v>
      </c>
      <c r="D858" s="260">
        <v>46178</v>
      </c>
      <c r="E858" s="260">
        <v>46198</v>
      </c>
      <c r="F858">
        <v>127</v>
      </c>
      <c r="G858" t="s">
        <v>353</v>
      </c>
    </row>
    <row r="859" spans="1:7">
      <c r="A859" t="s">
        <v>2052</v>
      </c>
      <c r="B859" t="s">
        <v>2053</v>
      </c>
      <c r="C859">
        <v>25</v>
      </c>
      <c r="D859" s="260">
        <v>46085</v>
      </c>
      <c r="E859" s="260">
        <v>46120</v>
      </c>
      <c r="F859">
        <v>127</v>
      </c>
      <c r="G859" t="s">
        <v>353</v>
      </c>
    </row>
    <row r="860" spans="1:7">
      <c r="A860" t="s">
        <v>2054</v>
      </c>
      <c r="B860" t="s">
        <v>2055</v>
      </c>
      <c r="C860">
        <v>15</v>
      </c>
      <c r="D860" s="260">
        <v>46140</v>
      </c>
      <c r="E860" s="260">
        <v>46161</v>
      </c>
      <c r="F860">
        <v>127</v>
      </c>
      <c r="G860" t="s">
        <v>353</v>
      </c>
    </row>
    <row r="861" spans="1:7">
      <c r="A861" t="s">
        <v>2056</v>
      </c>
      <c r="B861" t="s">
        <v>2057</v>
      </c>
      <c r="C861">
        <v>15</v>
      </c>
      <c r="D861" s="260">
        <v>46178</v>
      </c>
      <c r="E861" s="260">
        <v>46198</v>
      </c>
      <c r="F861">
        <v>127</v>
      </c>
      <c r="G861" t="s">
        <v>353</v>
      </c>
    </row>
    <row r="862" spans="1:7">
      <c r="A862" t="s">
        <v>2058</v>
      </c>
      <c r="B862" t="s">
        <v>2059</v>
      </c>
      <c r="C862">
        <v>25</v>
      </c>
      <c r="D862" s="260">
        <v>46085</v>
      </c>
      <c r="E862" s="260">
        <v>46120</v>
      </c>
      <c r="F862">
        <v>127</v>
      </c>
      <c r="G862" t="s">
        <v>353</v>
      </c>
    </row>
    <row r="863" spans="1:7">
      <c r="A863" t="s">
        <v>2060</v>
      </c>
      <c r="B863" t="s">
        <v>2061</v>
      </c>
      <c r="C863">
        <v>15</v>
      </c>
      <c r="D863" s="260">
        <v>46140</v>
      </c>
      <c r="E863" s="260">
        <v>46161</v>
      </c>
      <c r="F863">
        <v>127</v>
      </c>
      <c r="G863" t="s">
        <v>353</v>
      </c>
    </row>
    <row r="864" spans="1:7">
      <c r="A864" t="s">
        <v>2062</v>
      </c>
      <c r="B864" t="s">
        <v>2063</v>
      </c>
      <c r="C864">
        <v>15</v>
      </c>
      <c r="D864" s="260">
        <v>46178</v>
      </c>
      <c r="E864" s="260">
        <v>46198</v>
      </c>
      <c r="F864">
        <v>127</v>
      </c>
      <c r="G864" t="s">
        <v>353</v>
      </c>
    </row>
    <row r="865" spans="1:7">
      <c r="A865" t="s">
        <v>2064</v>
      </c>
      <c r="B865" t="s">
        <v>2065</v>
      </c>
      <c r="C865">
        <v>25</v>
      </c>
      <c r="D865" s="260">
        <v>46169</v>
      </c>
      <c r="E865" s="260">
        <v>46205</v>
      </c>
      <c r="F865">
        <v>72</v>
      </c>
      <c r="G865" t="s">
        <v>353</v>
      </c>
    </row>
    <row r="866" spans="1:7">
      <c r="A866" t="s">
        <v>2066</v>
      </c>
      <c r="B866" t="s">
        <v>2067</v>
      </c>
      <c r="C866">
        <v>15</v>
      </c>
      <c r="D866" s="260">
        <v>46220</v>
      </c>
      <c r="E866" s="260">
        <v>46245</v>
      </c>
      <c r="F866">
        <v>72</v>
      </c>
      <c r="G866" t="s">
        <v>353</v>
      </c>
    </row>
    <row r="867" spans="1:7">
      <c r="A867" t="s">
        <v>2068</v>
      </c>
      <c r="B867" t="s">
        <v>2069</v>
      </c>
      <c r="C867">
        <v>15</v>
      </c>
      <c r="D867" s="260">
        <v>46261</v>
      </c>
      <c r="E867" s="260">
        <v>46281</v>
      </c>
      <c r="F867">
        <v>72</v>
      </c>
      <c r="G867" t="s">
        <v>353</v>
      </c>
    </row>
    <row r="868" spans="1:7">
      <c r="A868" t="s">
        <v>2070</v>
      </c>
      <c r="B868" t="s">
        <v>2071</v>
      </c>
      <c r="C868">
        <v>25</v>
      </c>
      <c r="D868" s="260">
        <v>46169</v>
      </c>
      <c r="E868" s="260">
        <v>46205</v>
      </c>
      <c r="F868">
        <v>72</v>
      </c>
      <c r="G868" t="s">
        <v>353</v>
      </c>
    </row>
    <row r="869" spans="1:7">
      <c r="A869" t="s">
        <v>2072</v>
      </c>
      <c r="B869" t="s">
        <v>2073</v>
      </c>
      <c r="C869">
        <v>15</v>
      </c>
      <c r="D869" s="260">
        <v>46220</v>
      </c>
      <c r="E869" s="260">
        <v>46245</v>
      </c>
      <c r="F869">
        <v>72</v>
      </c>
      <c r="G869" t="s">
        <v>353</v>
      </c>
    </row>
    <row r="870" spans="1:7">
      <c r="A870" t="s">
        <v>2074</v>
      </c>
      <c r="B870" t="s">
        <v>2075</v>
      </c>
      <c r="C870">
        <v>15</v>
      </c>
      <c r="D870" s="260">
        <v>46261</v>
      </c>
      <c r="E870" s="260">
        <v>46281</v>
      </c>
      <c r="F870">
        <v>72</v>
      </c>
      <c r="G870" t="s">
        <v>353</v>
      </c>
    </row>
    <row r="871" spans="1:7">
      <c r="A871" t="s">
        <v>2076</v>
      </c>
      <c r="B871" t="s">
        <v>2077</v>
      </c>
      <c r="C871">
        <v>25</v>
      </c>
      <c r="D871" s="260">
        <v>46169</v>
      </c>
      <c r="E871" s="260">
        <v>46205</v>
      </c>
      <c r="F871">
        <v>72</v>
      </c>
      <c r="G871" t="s">
        <v>353</v>
      </c>
    </row>
    <row r="872" spans="1:7">
      <c r="A872" t="s">
        <v>2078</v>
      </c>
      <c r="B872" t="s">
        <v>2079</v>
      </c>
      <c r="C872">
        <v>15</v>
      </c>
      <c r="D872" s="260">
        <v>46220</v>
      </c>
      <c r="E872" s="260">
        <v>46245</v>
      </c>
      <c r="F872">
        <v>72</v>
      </c>
      <c r="G872" t="s">
        <v>353</v>
      </c>
    </row>
    <row r="873" spans="1:7">
      <c r="A873" t="s">
        <v>2080</v>
      </c>
      <c r="B873" t="s">
        <v>2081</v>
      </c>
      <c r="C873">
        <v>15</v>
      </c>
      <c r="D873" s="260">
        <v>46261</v>
      </c>
      <c r="E873" s="260">
        <v>46281</v>
      </c>
      <c r="F873">
        <v>72</v>
      </c>
      <c r="G873" t="s">
        <v>353</v>
      </c>
    </row>
    <row r="874" spans="1:7">
      <c r="A874" t="s">
        <v>2082</v>
      </c>
      <c r="B874" t="s">
        <v>2083</v>
      </c>
      <c r="C874">
        <v>25</v>
      </c>
      <c r="D874" s="260">
        <v>46169</v>
      </c>
      <c r="E874" s="260">
        <v>46205</v>
      </c>
      <c r="F874">
        <v>72</v>
      </c>
      <c r="G874" t="s">
        <v>353</v>
      </c>
    </row>
    <row r="875" spans="1:7">
      <c r="A875" t="s">
        <v>2084</v>
      </c>
      <c r="B875" t="s">
        <v>2085</v>
      </c>
      <c r="C875">
        <v>15</v>
      </c>
      <c r="D875" s="260">
        <v>46220</v>
      </c>
      <c r="E875" s="260">
        <v>46245</v>
      </c>
      <c r="F875">
        <v>72</v>
      </c>
      <c r="G875" t="s">
        <v>353</v>
      </c>
    </row>
    <row r="876" spans="1:7">
      <c r="A876" t="s">
        <v>2086</v>
      </c>
      <c r="B876" t="s">
        <v>2087</v>
      </c>
      <c r="C876">
        <v>15</v>
      </c>
      <c r="D876" s="260">
        <v>46261</v>
      </c>
      <c r="E876" s="260">
        <v>46281</v>
      </c>
      <c r="F876">
        <v>72</v>
      </c>
      <c r="G876" t="s">
        <v>353</v>
      </c>
    </row>
    <row r="877" spans="1:7">
      <c r="A877" t="s">
        <v>2088</v>
      </c>
      <c r="B877" t="s">
        <v>2089</v>
      </c>
      <c r="C877">
        <v>25</v>
      </c>
      <c r="D877" s="260">
        <v>46169</v>
      </c>
      <c r="E877" s="260">
        <v>46205</v>
      </c>
      <c r="F877">
        <v>72</v>
      </c>
      <c r="G877" t="s">
        <v>353</v>
      </c>
    </row>
    <row r="878" spans="1:7">
      <c r="A878" t="s">
        <v>2090</v>
      </c>
      <c r="B878" t="s">
        <v>2091</v>
      </c>
      <c r="C878">
        <v>15</v>
      </c>
      <c r="D878" s="260">
        <v>46220</v>
      </c>
      <c r="E878" s="260">
        <v>46245</v>
      </c>
      <c r="F878">
        <v>72</v>
      </c>
      <c r="G878" t="s">
        <v>353</v>
      </c>
    </row>
    <row r="879" spans="1:7">
      <c r="A879" t="s">
        <v>2092</v>
      </c>
      <c r="B879" t="s">
        <v>2093</v>
      </c>
      <c r="C879">
        <v>15</v>
      </c>
      <c r="D879" s="260">
        <v>46261</v>
      </c>
      <c r="E879" s="260">
        <v>46281</v>
      </c>
      <c r="F879">
        <v>72</v>
      </c>
      <c r="G879" t="s">
        <v>353</v>
      </c>
    </row>
    <row r="880" spans="1:7">
      <c r="A880" t="s">
        <v>2094</v>
      </c>
      <c r="B880" t="s">
        <v>2095</v>
      </c>
      <c r="C880">
        <v>25</v>
      </c>
      <c r="D880" s="260">
        <v>46169</v>
      </c>
      <c r="E880" s="260">
        <v>46205</v>
      </c>
      <c r="F880">
        <v>72</v>
      </c>
      <c r="G880" t="s">
        <v>353</v>
      </c>
    </row>
    <row r="881" spans="1:7">
      <c r="A881" t="s">
        <v>2096</v>
      </c>
      <c r="B881" t="s">
        <v>2097</v>
      </c>
      <c r="C881">
        <v>15</v>
      </c>
      <c r="D881" s="260">
        <v>46220</v>
      </c>
      <c r="E881" s="260">
        <v>46245</v>
      </c>
      <c r="F881">
        <v>72</v>
      </c>
      <c r="G881" t="s">
        <v>353</v>
      </c>
    </row>
    <row r="882" spans="1:7">
      <c r="A882" t="s">
        <v>2098</v>
      </c>
      <c r="B882" t="s">
        <v>2099</v>
      </c>
      <c r="C882">
        <v>15</v>
      </c>
      <c r="D882" s="260">
        <v>46261</v>
      </c>
      <c r="E882" s="260">
        <v>46281</v>
      </c>
      <c r="F882">
        <v>72</v>
      </c>
      <c r="G882" t="s">
        <v>353</v>
      </c>
    </row>
    <row r="883" spans="1:7">
      <c r="A883" t="s">
        <v>2100</v>
      </c>
      <c r="B883" t="s">
        <v>2101</v>
      </c>
      <c r="C883">
        <v>25</v>
      </c>
      <c r="D883" s="260">
        <v>46169</v>
      </c>
      <c r="E883" s="260">
        <v>46205</v>
      </c>
      <c r="F883">
        <v>72</v>
      </c>
      <c r="G883" t="s">
        <v>353</v>
      </c>
    </row>
    <row r="884" spans="1:7">
      <c r="A884" t="s">
        <v>2102</v>
      </c>
      <c r="B884" t="s">
        <v>2103</v>
      </c>
      <c r="C884">
        <v>15</v>
      </c>
      <c r="D884" s="260">
        <v>46220</v>
      </c>
      <c r="E884" s="260">
        <v>46245</v>
      </c>
      <c r="F884">
        <v>72</v>
      </c>
      <c r="G884" t="s">
        <v>353</v>
      </c>
    </row>
    <row r="885" spans="1:7">
      <c r="A885" t="s">
        <v>2104</v>
      </c>
      <c r="B885" t="s">
        <v>2105</v>
      </c>
      <c r="C885">
        <v>15</v>
      </c>
      <c r="D885" s="260">
        <v>46261</v>
      </c>
      <c r="E885" s="260">
        <v>46281</v>
      </c>
      <c r="F885">
        <v>72</v>
      </c>
      <c r="G885" t="s">
        <v>353</v>
      </c>
    </row>
    <row r="886" spans="1:7">
      <c r="A886" t="s">
        <v>2106</v>
      </c>
      <c r="B886" t="s">
        <v>2107</v>
      </c>
      <c r="C886">
        <v>25</v>
      </c>
      <c r="D886" s="260">
        <v>46169</v>
      </c>
      <c r="E886" s="260">
        <v>46205</v>
      </c>
      <c r="F886">
        <v>72</v>
      </c>
      <c r="G886" t="s">
        <v>353</v>
      </c>
    </row>
    <row r="887" spans="1:7">
      <c r="A887" t="s">
        <v>2108</v>
      </c>
      <c r="B887" t="s">
        <v>2109</v>
      </c>
      <c r="C887">
        <v>15</v>
      </c>
      <c r="D887" s="260">
        <v>46220</v>
      </c>
      <c r="E887" s="260">
        <v>46245</v>
      </c>
      <c r="F887">
        <v>72</v>
      </c>
      <c r="G887" t="s">
        <v>353</v>
      </c>
    </row>
    <row r="888" spans="1:7">
      <c r="A888" t="s">
        <v>2110</v>
      </c>
      <c r="B888" t="s">
        <v>2111</v>
      </c>
      <c r="C888">
        <v>15</v>
      </c>
      <c r="D888" s="260">
        <v>46261</v>
      </c>
      <c r="E888" s="260">
        <v>46281</v>
      </c>
      <c r="F888">
        <v>72</v>
      </c>
      <c r="G888" t="s">
        <v>353</v>
      </c>
    </row>
    <row r="889" spans="1:7">
      <c r="A889" t="s">
        <v>2112</v>
      </c>
      <c r="B889" t="s">
        <v>2113</v>
      </c>
      <c r="C889">
        <v>25</v>
      </c>
      <c r="D889" s="260">
        <v>46169</v>
      </c>
      <c r="E889" s="260">
        <v>46205</v>
      </c>
      <c r="F889">
        <v>72</v>
      </c>
      <c r="G889" t="s">
        <v>353</v>
      </c>
    </row>
    <row r="890" spans="1:7">
      <c r="A890" t="s">
        <v>2114</v>
      </c>
      <c r="B890" t="s">
        <v>2115</v>
      </c>
      <c r="C890">
        <v>15</v>
      </c>
      <c r="D890" s="260">
        <v>46220</v>
      </c>
      <c r="E890" s="260">
        <v>46245</v>
      </c>
      <c r="F890">
        <v>72</v>
      </c>
      <c r="G890" t="s">
        <v>353</v>
      </c>
    </row>
    <row r="891" spans="1:7">
      <c r="A891" t="s">
        <v>2116</v>
      </c>
      <c r="B891" t="s">
        <v>2117</v>
      </c>
      <c r="C891">
        <v>15</v>
      </c>
      <c r="D891" s="260">
        <v>46261</v>
      </c>
      <c r="E891" s="260">
        <v>46281</v>
      </c>
      <c r="F891">
        <v>72</v>
      </c>
      <c r="G891" t="s">
        <v>353</v>
      </c>
    </row>
    <row r="892" spans="1:7">
      <c r="A892" t="s">
        <v>2118</v>
      </c>
      <c r="B892" t="s">
        <v>2119</v>
      </c>
      <c r="C892">
        <v>25</v>
      </c>
      <c r="D892" s="260">
        <v>46085</v>
      </c>
      <c r="E892" s="260">
        <v>46120</v>
      </c>
      <c r="F892">
        <v>127</v>
      </c>
      <c r="G892" t="s">
        <v>353</v>
      </c>
    </row>
    <row r="893" spans="1:7">
      <c r="A893" t="s">
        <v>2120</v>
      </c>
      <c r="B893" t="s">
        <v>2121</v>
      </c>
      <c r="C893">
        <v>15</v>
      </c>
      <c r="D893" s="260">
        <v>46140</v>
      </c>
      <c r="E893" s="260">
        <v>46161</v>
      </c>
      <c r="F893">
        <v>127</v>
      </c>
      <c r="G893" t="s">
        <v>353</v>
      </c>
    </row>
    <row r="894" spans="1:7">
      <c r="A894" t="s">
        <v>2122</v>
      </c>
      <c r="B894" t="s">
        <v>2123</v>
      </c>
      <c r="C894">
        <v>15</v>
      </c>
      <c r="D894" s="260">
        <v>46178</v>
      </c>
      <c r="E894" s="260">
        <v>46198</v>
      </c>
      <c r="F894">
        <v>127</v>
      </c>
      <c r="G894" t="s">
        <v>353</v>
      </c>
    </row>
    <row r="895" spans="1:7">
      <c r="A895" t="s">
        <v>2124</v>
      </c>
      <c r="C895">
        <v>177</v>
      </c>
      <c r="D895" s="260">
        <v>46113</v>
      </c>
      <c r="E895" s="260">
        <v>46380</v>
      </c>
      <c r="F895">
        <v>14</v>
      </c>
      <c r="G895" t="s">
        <v>353</v>
      </c>
    </row>
    <row r="896" spans="1:7">
      <c r="A896" t="s">
        <v>2125</v>
      </c>
      <c r="B896" t="s">
        <v>2126</v>
      </c>
      <c r="C896">
        <v>11</v>
      </c>
      <c r="D896" s="260">
        <v>46219</v>
      </c>
      <c r="E896" s="260">
        <v>46238</v>
      </c>
      <c r="F896">
        <v>60</v>
      </c>
      <c r="G896" t="s">
        <v>353</v>
      </c>
    </row>
    <row r="897" spans="1:7">
      <c r="A897" t="s">
        <v>2127</v>
      </c>
      <c r="B897" t="s">
        <v>2128</v>
      </c>
      <c r="C897">
        <v>10</v>
      </c>
      <c r="D897" s="260">
        <v>46254</v>
      </c>
      <c r="E897" s="260">
        <v>46267</v>
      </c>
      <c r="F897">
        <v>71</v>
      </c>
      <c r="G897" t="s">
        <v>353</v>
      </c>
    </row>
    <row r="898" spans="1:7">
      <c r="A898" t="s">
        <v>2129</v>
      </c>
      <c r="B898" t="s">
        <v>2130</v>
      </c>
      <c r="C898">
        <v>10</v>
      </c>
      <c r="D898" s="260">
        <v>46282</v>
      </c>
      <c r="E898" s="260">
        <v>46295</v>
      </c>
      <c r="F898">
        <v>71</v>
      </c>
      <c r="G898" t="s">
        <v>353</v>
      </c>
    </row>
    <row r="899" spans="1:7">
      <c r="A899" t="s">
        <v>2131</v>
      </c>
      <c r="B899" t="s">
        <v>2132</v>
      </c>
      <c r="C899">
        <v>15</v>
      </c>
      <c r="D899" s="260">
        <v>46219</v>
      </c>
      <c r="E899" s="260">
        <v>46244</v>
      </c>
      <c r="F899">
        <v>67</v>
      </c>
      <c r="G899" t="s">
        <v>353</v>
      </c>
    </row>
    <row r="900" spans="1:7">
      <c r="A900" t="s">
        <v>2133</v>
      </c>
      <c r="B900" t="s">
        <v>2134</v>
      </c>
      <c r="C900">
        <v>10</v>
      </c>
      <c r="D900" s="260">
        <v>46260</v>
      </c>
      <c r="E900" s="260">
        <v>46273</v>
      </c>
      <c r="F900">
        <v>67</v>
      </c>
      <c r="G900" t="s">
        <v>353</v>
      </c>
    </row>
    <row r="901" spans="1:7">
      <c r="A901" t="s">
        <v>2135</v>
      </c>
      <c r="B901" t="s">
        <v>2136</v>
      </c>
      <c r="C901">
        <v>10</v>
      </c>
      <c r="D901" s="260">
        <v>46288</v>
      </c>
      <c r="E901" s="260">
        <v>46301</v>
      </c>
      <c r="F901">
        <v>67</v>
      </c>
      <c r="G901" t="s">
        <v>353</v>
      </c>
    </row>
    <row r="902" spans="1:7">
      <c r="A902" t="s">
        <v>2137</v>
      </c>
      <c r="B902" t="s">
        <v>2138</v>
      </c>
      <c r="C902">
        <v>17</v>
      </c>
      <c r="D902" s="260">
        <v>46226</v>
      </c>
      <c r="E902" s="260">
        <v>46254</v>
      </c>
      <c r="F902">
        <v>60</v>
      </c>
      <c r="G902" t="s">
        <v>353</v>
      </c>
    </row>
    <row r="903" spans="1:7">
      <c r="A903" t="s">
        <v>2139</v>
      </c>
      <c r="B903" t="s">
        <v>2140</v>
      </c>
      <c r="C903">
        <v>10</v>
      </c>
      <c r="D903" s="260">
        <v>46269</v>
      </c>
      <c r="E903" s="260">
        <v>46282</v>
      </c>
      <c r="F903">
        <v>60</v>
      </c>
      <c r="G903" t="s">
        <v>353</v>
      </c>
    </row>
    <row r="904" spans="1:7">
      <c r="A904" t="s">
        <v>2141</v>
      </c>
      <c r="B904" t="s">
        <v>2142</v>
      </c>
      <c r="C904">
        <v>10</v>
      </c>
      <c r="D904" s="260">
        <v>46297</v>
      </c>
      <c r="E904" s="260">
        <v>46311</v>
      </c>
      <c r="F904">
        <v>60</v>
      </c>
      <c r="G904" t="s">
        <v>353</v>
      </c>
    </row>
    <row r="905" spans="1:7">
      <c r="A905" t="s">
        <v>2143</v>
      </c>
      <c r="B905" t="s">
        <v>2144</v>
      </c>
      <c r="C905">
        <v>17</v>
      </c>
      <c r="D905" s="260">
        <v>46226</v>
      </c>
      <c r="E905" s="260">
        <v>46254</v>
      </c>
      <c r="F905">
        <v>60</v>
      </c>
      <c r="G905" t="s">
        <v>353</v>
      </c>
    </row>
    <row r="906" spans="1:7">
      <c r="A906" t="s">
        <v>2145</v>
      </c>
      <c r="B906" t="s">
        <v>2146</v>
      </c>
      <c r="C906">
        <v>10</v>
      </c>
      <c r="D906" s="260">
        <v>46269</v>
      </c>
      <c r="E906" s="260">
        <v>46282</v>
      </c>
      <c r="F906">
        <v>60</v>
      </c>
      <c r="G906" t="s">
        <v>353</v>
      </c>
    </row>
    <row r="907" spans="1:7">
      <c r="A907" t="s">
        <v>2147</v>
      </c>
      <c r="B907" t="s">
        <v>2148</v>
      </c>
      <c r="C907">
        <v>10</v>
      </c>
      <c r="D907" s="260">
        <v>46297</v>
      </c>
      <c r="E907" s="260">
        <v>46311</v>
      </c>
      <c r="F907">
        <v>60</v>
      </c>
      <c r="G907" t="s">
        <v>353</v>
      </c>
    </row>
    <row r="908" spans="1:7">
      <c r="A908" t="s">
        <v>2149</v>
      </c>
      <c r="B908" t="s">
        <v>2150</v>
      </c>
      <c r="C908">
        <v>19</v>
      </c>
      <c r="D908" s="260">
        <v>46147</v>
      </c>
      <c r="E908" s="260">
        <v>46171</v>
      </c>
      <c r="F908">
        <v>91</v>
      </c>
      <c r="G908" t="s">
        <v>353</v>
      </c>
    </row>
    <row r="909" spans="1:7">
      <c r="A909" t="s">
        <v>2151</v>
      </c>
      <c r="B909" t="s">
        <v>2152</v>
      </c>
      <c r="C909">
        <v>10</v>
      </c>
      <c r="D909" s="260">
        <v>46190</v>
      </c>
      <c r="E909" s="260">
        <v>46203</v>
      </c>
      <c r="F909">
        <v>113</v>
      </c>
      <c r="G909" t="s">
        <v>353</v>
      </c>
    </row>
    <row r="910" spans="1:7">
      <c r="A910" t="s">
        <v>2153</v>
      </c>
      <c r="B910" t="s">
        <v>2154</v>
      </c>
      <c r="C910">
        <v>10</v>
      </c>
      <c r="D910" s="260">
        <v>46218</v>
      </c>
      <c r="E910" s="260">
        <v>46234</v>
      </c>
      <c r="F910">
        <v>113</v>
      </c>
      <c r="G910" t="s">
        <v>353</v>
      </c>
    </row>
    <row r="911" spans="1:7">
      <c r="A911" t="s">
        <v>2155</v>
      </c>
      <c r="B911" t="s">
        <v>2156</v>
      </c>
      <c r="C911">
        <v>19</v>
      </c>
      <c r="D911" s="260">
        <v>46147</v>
      </c>
      <c r="E911" s="260">
        <v>46171</v>
      </c>
      <c r="F911">
        <v>113</v>
      </c>
      <c r="G911" t="s">
        <v>353</v>
      </c>
    </row>
    <row r="912" spans="1:7">
      <c r="A912" t="s">
        <v>2157</v>
      </c>
      <c r="B912" t="s">
        <v>2158</v>
      </c>
      <c r="C912">
        <v>10</v>
      </c>
      <c r="D912" s="260">
        <v>46190</v>
      </c>
      <c r="E912" s="260">
        <v>46203</v>
      </c>
      <c r="F912">
        <v>113</v>
      </c>
      <c r="G912" t="s">
        <v>353</v>
      </c>
    </row>
    <row r="913" spans="1:7">
      <c r="A913" t="s">
        <v>2159</v>
      </c>
      <c r="B913" t="s">
        <v>2160</v>
      </c>
      <c r="C913">
        <v>10</v>
      </c>
      <c r="D913" s="260">
        <v>46218</v>
      </c>
      <c r="E913" s="260">
        <v>46234</v>
      </c>
      <c r="F913">
        <v>113</v>
      </c>
      <c r="G913" t="s">
        <v>353</v>
      </c>
    </row>
    <row r="914" spans="1:7">
      <c r="A914" t="s">
        <v>2161</v>
      </c>
      <c r="B914" t="s">
        <v>2162</v>
      </c>
      <c r="C914">
        <v>22</v>
      </c>
      <c r="D914" s="260">
        <v>46154</v>
      </c>
      <c r="E914" s="260">
        <v>46185</v>
      </c>
      <c r="F914">
        <v>91</v>
      </c>
      <c r="G914" t="s">
        <v>353</v>
      </c>
    </row>
    <row r="915" spans="1:7">
      <c r="A915" t="s">
        <v>2163</v>
      </c>
      <c r="B915" t="s">
        <v>2164</v>
      </c>
      <c r="C915">
        <v>10</v>
      </c>
      <c r="D915" s="260">
        <v>46202</v>
      </c>
      <c r="E915" s="260">
        <v>46213</v>
      </c>
      <c r="F915">
        <v>91</v>
      </c>
      <c r="G915" t="s">
        <v>353</v>
      </c>
    </row>
    <row r="916" spans="1:7">
      <c r="A916" t="s">
        <v>2165</v>
      </c>
      <c r="B916" t="s">
        <v>2166</v>
      </c>
      <c r="C916">
        <v>10</v>
      </c>
      <c r="D916" s="260">
        <v>46230</v>
      </c>
      <c r="E916" s="260">
        <v>46247</v>
      </c>
      <c r="F916">
        <v>91</v>
      </c>
      <c r="G916" t="s">
        <v>353</v>
      </c>
    </row>
    <row r="917" spans="1:7">
      <c r="A917" t="s">
        <v>2167</v>
      </c>
      <c r="B917" t="s">
        <v>2168</v>
      </c>
      <c r="C917">
        <v>22</v>
      </c>
      <c r="D917" s="260">
        <v>46154</v>
      </c>
      <c r="E917" s="260">
        <v>46185</v>
      </c>
      <c r="F917">
        <v>105</v>
      </c>
      <c r="G917" t="s">
        <v>353</v>
      </c>
    </row>
    <row r="918" spans="1:7">
      <c r="A918" t="s">
        <v>2169</v>
      </c>
      <c r="B918" t="s">
        <v>2170</v>
      </c>
      <c r="C918">
        <v>10</v>
      </c>
      <c r="D918" s="260">
        <v>46202</v>
      </c>
      <c r="E918" s="260">
        <v>46213</v>
      </c>
      <c r="F918">
        <v>105</v>
      </c>
      <c r="G918" t="s">
        <v>353</v>
      </c>
    </row>
    <row r="919" spans="1:7">
      <c r="A919" t="s">
        <v>2171</v>
      </c>
      <c r="B919" t="s">
        <v>2172</v>
      </c>
      <c r="C919">
        <v>10</v>
      </c>
      <c r="D919" s="260">
        <v>46230</v>
      </c>
      <c r="E919" s="260">
        <v>46247</v>
      </c>
      <c r="F919">
        <v>105</v>
      </c>
      <c r="G919" t="s">
        <v>353</v>
      </c>
    </row>
    <row r="920" spans="1:7">
      <c r="A920" t="s">
        <v>2173</v>
      </c>
      <c r="B920" t="s">
        <v>2174</v>
      </c>
      <c r="C920">
        <v>11</v>
      </c>
      <c r="D920" s="260">
        <v>46168</v>
      </c>
      <c r="E920" s="260">
        <v>46184</v>
      </c>
      <c r="F920">
        <v>5</v>
      </c>
      <c r="G920" t="s">
        <v>353</v>
      </c>
    </row>
    <row r="921" spans="1:7">
      <c r="A921" t="s">
        <v>2175</v>
      </c>
      <c r="B921" t="s">
        <v>2176</v>
      </c>
      <c r="C921">
        <v>5</v>
      </c>
      <c r="D921" s="260">
        <v>46199</v>
      </c>
      <c r="E921" s="260">
        <v>46205</v>
      </c>
      <c r="F921">
        <v>107</v>
      </c>
      <c r="G921" t="s">
        <v>353</v>
      </c>
    </row>
    <row r="922" spans="1:7">
      <c r="A922" t="s">
        <v>2177</v>
      </c>
      <c r="B922" t="s">
        <v>2178</v>
      </c>
      <c r="C922">
        <v>5</v>
      </c>
      <c r="D922" s="260">
        <v>46220</v>
      </c>
      <c r="E922" s="260">
        <v>46226</v>
      </c>
      <c r="F922">
        <v>107</v>
      </c>
      <c r="G922" t="s">
        <v>353</v>
      </c>
    </row>
    <row r="923" spans="1:7">
      <c r="A923" t="s">
        <v>2179</v>
      </c>
      <c r="B923" t="s">
        <v>2180</v>
      </c>
      <c r="C923">
        <v>11</v>
      </c>
      <c r="D923" s="260">
        <v>46169</v>
      </c>
      <c r="E923" s="260">
        <v>46185</v>
      </c>
      <c r="F923">
        <v>5</v>
      </c>
      <c r="G923" t="s">
        <v>353</v>
      </c>
    </row>
    <row r="924" spans="1:7">
      <c r="A924" t="s">
        <v>2181</v>
      </c>
      <c r="B924" t="s">
        <v>2182</v>
      </c>
      <c r="C924">
        <v>5</v>
      </c>
      <c r="D924" s="260">
        <v>46202</v>
      </c>
      <c r="E924" s="260">
        <v>46206</v>
      </c>
      <c r="F924">
        <v>106</v>
      </c>
      <c r="G924" t="s">
        <v>353</v>
      </c>
    </row>
    <row r="925" spans="1:7">
      <c r="A925" t="s">
        <v>2183</v>
      </c>
      <c r="B925" t="s">
        <v>2184</v>
      </c>
      <c r="C925">
        <v>5</v>
      </c>
      <c r="D925" s="260">
        <v>46223</v>
      </c>
      <c r="E925" s="260">
        <v>46227</v>
      </c>
      <c r="F925">
        <v>106</v>
      </c>
      <c r="G925" t="s">
        <v>353</v>
      </c>
    </row>
    <row r="926" spans="1:7">
      <c r="A926" t="s">
        <v>2185</v>
      </c>
      <c r="B926" t="s">
        <v>2186</v>
      </c>
      <c r="C926">
        <v>11</v>
      </c>
      <c r="D926" s="260">
        <v>46169</v>
      </c>
      <c r="E926" s="260">
        <v>46185</v>
      </c>
      <c r="F926">
        <v>106</v>
      </c>
      <c r="G926" t="s">
        <v>353</v>
      </c>
    </row>
    <row r="927" spans="1:7">
      <c r="A927" t="s">
        <v>2187</v>
      </c>
      <c r="B927" t="s">
        <v>2188</v>
      </c>
      <c r="C927">
        <v>5</v>
      </c>
      <c r="D927" s="260">
        <v>46202</v>
      </c>
      <c r="E927" s="260">
        <v>46206</v>
      </c>
      <c r="F927">
        <v>106</v>
      </c>
      <c r="G927" t="s">
        <v>353</v>
      </c>
    </row>
    <row r="928" spans="1:7">
      <c r="A928" t="s">
        <v>2189</v>
      </c>
      <c r="B928" t="s">
        <v>2190</v>
      </c>
      <c r="C928">
        <v>5</v>
      </c>
      <c r="D928" s="260">
        <v>46223</v>
      </c>
      <c r="E928" s="260">
        <v>46227</v>
      </c>
      <c r="F928">
        <v>106</v>
      </c>
      <c r="G928" t="s">
        <v>353</v>
      </c>
    </row>
    <row r="929" spans="1:7">
      <c r="A929" t="s">
        <v>2191</v>
      </c>
      <c r="B929" t="s">
        <v>2192</v>
      </c>
      <c r="C929">
        <v>10</v>
      </c>
      <c r="D929" s="260">
        <v>46178</v>
      </c>
      <c r="E929" s="260">
        <v>46191</v>
      </c>
      <c r="F929">
        <v>5</v>
      </c>
      <c r="G929" t="s">
        <v>353</v>
      </c>
    </row>
    <row r="930" spans="1:7">
      <c r="A930" t="s">
        <v>2193</v>
      </c>
      <c r="B930" t="s">
        <v>2194</v>
      </c>
      <c r="C930">
        <v>5</v>
      </c>
      <c r="D930" s="260">
        <v>46206</v>
      </c>
      <c r="E930" s="260">
        <v>46212</v>
      </c>
      <c r="F930">
        <v>102</v>
      </c>
      <c r="G930" t="s">
        <v>353</v>
      </c>
    </row>
    <row r="931" spans="1:7">
      <c r="A931" t="s">
        <v>2195</v>
      </c>
      <c r="B931" t="s">
        <v>2196</v>
      </c>
      <c r="C931">
        <v>5</v>
      </c>
      <c r="D931" s="260">
        <v>46227</v>
      </c>
      <c r="E931" s="260">
        <v>46238</v>
      </c>
      <c r="F931">
        <v>102</v>
      </c>
      <c r="G931" t="s">
        <v>353</v>
      </c>
    </row>
    <row r="932" spans="1:7">
      <c r="A932" t="s">
        <v>2197</v>
      </c>
      <c r="B932" t="s">
        <v>2198</v>
      </c>
      <c r="C932">
        <v>10</v>
      </c>
      <c r="D932" s="260">
        <v>46183</v>
      </c>
      <c r="E932" s="260">
        <v>46196</v>
      </c>
      <c r="F932">
        <v>5</v>
      </c>
      <c r="G932" t="s">
        <v>353</v>
      </c>
    </row>
    <row r="933" spans="1:7">
      <c r="A933" t="s">
        <v>2199</v>
      </c>
      <c r="B933" t="s">
        <v>2200</v>
      </c>
      <c r="C933">
        <v>5</v>
      </c>
      <c r="D933" s="260">
        <v>46216</v>
      </c>
      <c r="E933" s="260">
        <v>46220</v>
      </c>
      <c r="F933">
        <v>96</v>
      </c>
      <c r="G933" t="s">
        <v>353</v>
      </c>
    </row>
    <row r="934" spans="1:7">
      <c r="A934" t="s">
        <v>2201</v>
      </c>
      <c r="B934" t="s">
        <v>2202</v>
      </c>
      <c r="C934">
        <v>5</v>
      </c>
      <c r="D934" s="260">
        <v>46248</v>
      </c>
      <c r="E934" s="260">
        <v>46254</v>
      </c>
      <c r="F934">
        <v>91</v>
      </c>
      <c r="G934" t="s">
        <v>353</v>
      </c>
    </row>
    <row r="935" spans="1:7">
      <c r="A935" t="s">
        <v>2203</v>
      </c>
      <c r="B935" t="s">
        <v>2204</v>
      </c>
      <c r="C935">
        <v>10</v>
      </c>
      <c r="D935" s="260">
        <v>46183</v>
      </c>
      <c r="E935" s="260">
        <v>46196</v>
      </c>
      <c r="F935">
        <v>5</v>
      </c>
      <c r="G935" t="s">
        <v>353</v>
      </c>
    </row>
    <row r="936" spans="1:7">
      <c r="A936" t="s">
        <v>2205</v>
      </c>
      <c r="B936" t="s">
        <v>2206</v>
      </c>
      <c r="C936">
        <v>5</v>
      </c>
      <c r="D936" s="260">
        <v>46216</v>
      </c>
      <c r="E936" s="260">
        <v>46220</v>
      </c>
      <c r="F936">
        <v>96</v>
      </c>
      <c r="G936" t="s">
        <v>353</v>
      </c>
    </row>
    <row r="937" spans="1:7">
      <c r="A937" t="s">
        <v>2207</v>
      </c>
      <c r="B937" t="s">
        <v>2208</v>
      </c>
      <c r="C937">
        <v>5</v>
      </c>
      <c r="D937" s="260">
        <v>46248</v>
      </c>
      <c r="E937" s="260">
        <v>46254</v>
      </c>
      <c r="F937">
        <v>91</v>
      </c>
      <c r="G937" t="s">
        <v>353</v>
      </c>
    </row>
    <row r="938" spans="1:7">
      <c r="A938" t="s">
        <v>2209</v>
      </c>
      <c r="B938" t="s">
        <v>2210</v>
      </c>
      <c r="C938">
        <v>12</v>
      </c>
      <c r="D938" s="260">
        <v>46195</v>
      </c>
      <c r="E938" s="260">
        <v>46210</v>
      </c>
      <c r="F938">
        <v>5</v>
      </c>
      <c r="G938" t="s">
        <v>353</v>
      </c>
    </row>
    <row r="939" spans="1:7">
      <c r="A939" t="s">
        <v>2211</v>
      </c>
      <c r="B939" t="s">
        <v>2212</v>
      </c>
      <c r="C939">
        <v>5</v>
      </c>
      <c r="D939" s="260">
        <v>46225</v>
      </c>
      <c r="E939" s="260">
        <v>46234</v>
      </c>
      <c r="F939">
        <v>89</v>
      </c>
      <c r="G939" t="s">
        <v>353</v>
      </c>
    </row>
    <row r="940" spans="1:7">
      <c r="A940" t="s">
        <v>2213</v>
      </c>
      <c r="B940" t="s">
        <v>2214</v>
      </c>
      <c r="C940">
        <v>5</v>
      </c>
      <c r="D940" s="260">
        <v>46252</v>
      </c>
      <c r="E940" s="260">
        <v>46258</v>
      </c>
      <c r="F940">
        <v>89</v>
      </c>
      <c r="G940" t="s">
        <v>353</v>
      </c>
    </row>
    <row r="941" spans="1:7">
      <c r="A941" t="s">
        <v>2215</v>
      </c>
      <c r="B941" t="s">
        <v>2216</v>
      </c>
      <c r="C941">
        <v>12</v>
      </c>
      <c r="D941" s="260">
        <v>46196</v>
      </c>
      <c r="E941" s="260">
        <v>46211</v>
      </c>
      <c r="F941">
        <v>5</v>
      </c>
      <c r="G941" t="s">
        <v>353</v>
      </c>
    </row>
    <row r="942" spans="1:7">
      <c r="A942" t="s">
        <v>2217</v>
      </c>
      <c r="B942" t="s">
        <v>2218</v>
      </c>
      <c r="C942">
        <v>5</v>
      </c>
      <c r="D942" s="260">
        <v>46226</v>
      </c>
      <c r="E942" s="260">
        <v>46237</v>
      </c>
      <c r="F942">
        <v>88</v>
      </c>
      <c r="G942" t="s">
        <v>353</v>
      </c>
    </row>
    <row r="943" spans="1:7">
      <c r="A943" t="s">
        <v>2219</v>
      </c>
      <c r="B943" t="s">
        <v>2220</v>
      </c>
      <c r="C943">
        <v>5</v>
      </c>
      <c r="D943" s="260">
        <v>46253</v>
      </c>
      <c r="E943" s="260">
        <v>46259</v>
      </c>
      <c r="F943">
        <v>88</v>
      </c>
      <c r="G943" t="s">
        <v>353</v>
      </c>
    </row>
    <row r="944" spans="1:7">
      <c r="A944" t="s">
        <v>2221</v>
      </c>
      <c r="B944" t="s">
        <v>2222</v>
      </c>
      <c r="C944">
        <v>10</v>
      </c>
      <c r="D944" s="260">
        <v>46113</v>
      </c>
      <c r="E944" s="260">
        <v>46132</v>
      </c>
      <c r="F944">
        <v>43</v>
      </c>
      <c r="G944" t="s">
        <v>353</v>
      </c>
    </row>
    <row r="945" spans="1:7">
      <c r="A945" t="s">
        <v>2223</v>
      </c>
      <c r="B945" t="s">
        <v>2224</v>
      </c>
      <c r="C945">
        <v>5</v>
      </c>
      <c r="D945" s="260">
        <v>46148</v>
      </c>
      <c r="E945" s="260">
        <v>46154</v>
      </c>
      <c r="F945">
        <v>87</v>
      </c>
      <c r="G945" t="s">
        <v>353</v>
      </c>
    </row>
    <row r="946" spans="1:7">
      <c r="A946" t="s">
        <v>2225</v>
      </c>
      <c r="B946" t="s">
        <v>2226</v>
      </c>
      <c r="C946">
        <v>5</v>
      </c>
      <c r="D946" s="260">
        <v>46169</v>
      </c>
      <c r="E946" s="260">
        <v>46177</v>
      </c>
      <c r="F946">
        <v>97</v>
      </c>
      <c r="G946" t="s">
        <v>353</v>
      </c>
    </row>
    <row r="947" spans="1:7">
      <c r="A947" t="s">
        <v>2227</v>
      </c>
      <c r="B947" t="s">
        <v>2228</v>
      </c>
      <c r="C947">
        <v>12</v>
      </c>
      <c r="D947" s="260">
        <v>46128</v>
      </c>
      <c r="E947" s="260">
        <v>46146</v>
      </c>
      <c r="F947">
        <v>43</v>
      </c>
      <c r="G947" t="s">
        <v>353</v>
      </c>
    </row>
    <row r="948" spans="1:7">
      <c r="A948" t="s">
        <v>2229</v>
      </c>
      <c r="B948" t="s">
        <v>2230</v>
      </c>
      <c r="C948">
        <v>5</v>
      </c>
      <c r="D948" s="260">
        <v>46161</v>
      </c>
      <c r="E948" s="260">
        <v>46167</v>
      </c>
      <c r="F948">
        <v>83</v>
      </c>
      <c r="G948" t="s">
        <v>353</v>
      </c>
    </row>
    <row r="949" spans="1:7">
      <c r="A949" t="s">
        <v>2231</v>
      </c>
      <c r="B949" t="s">
        <v>2232</v>
      </c>
      <c r="C949">
        <v>5</v>
      </c>
      <c r="D949" s="260">
        <v>46184</v>
      </c>
      <c r="E949" s="260">
        <v>46190</v>
      </c>
      <c r="F949">
        <v>93</v>
      </c>
      <c r="G949" t="s">
        <v>353</v>
      </c>
    </row>
    <row r="950" spans="1:7">
      <c r="A950" t="s">
        <v>2233</v>
      </c>
      <c r="B950" t="s">
        <v>2234</v>
      </c>
      <c r="C950">
        <v>15</v>
      </c>
      <c r="D950" s="260">
        <v>46132</v>
      </c>
      <c r="E950" s="260">
        <v>46153</v>
      </c>
      <c r="F950">
        <v>95</v>
      </c>
      <c r="G950" t="s">
        <v>353</v>
      </c>
    </row>
    <row r="951" spans="1:7">
      <c r="A951" t="s">
        <v>2235</v>
      </c>
      <c r="B951" t="s">
        <v>2236</v>
      </c>
      <c r="C951">
        <v>5</v>
      </c>
      <c r="D951" s="260">
        <v>46168</v>
      </c>
      <c r="E951" s="260">
        <v>46175</v>
      </c>
      <c r="F951">
        <v>113</v>
      </c>
      <c r="G951" t="s">
        <v>353</v>
      </c>
    </row>
    <row r="952" spans="1:7">
      <c r="A952" t="s">
        <v>2237</v>
      </c>
      <c r="B952" t="s">
        <v>2238</v>
      </c>
      <c r="C952">
        <v>5</v>
      </c>
      <c r="D952" s="260">
        <v>46191</v>
      </c>
      <c r="E952" s="260">
        <v>46197</v>
      </c>
      <c r="F952">
        <v>118</v>
      </c>
      <c r="G952" t="s">
        <v>353</v>
      </c>
    </row>
    <row r="953" spans="1:7">
      <c r="A953" t="s">
        <v>2239</v>
      </c>
      <c r="B953" t="s">
        <v>2240</v>
      </c>
      <c r="C953">
        <v>19</v>
      </c>
      <c r="D953" s="260">
        <v>46160</v>
      </c>
      <c r="E953" s="260">
        <v>46188</v>
      </c>
      <c r="F953">
        <v>95</v>
      </c>
      <c r="G953" t="s">
        <v>353</v>
      </c>
    </row>
    <row r="954" spans="1:7">
      <c r="A954" t="s">
        <v>2241</v>
      </c>
      <c r="B954" t="s">
        <v>2242</v>
      </c>
      <c r="C954">
        <v>10</v>
      </c>
      <c r="D954" s="260">
        <v>46203</v>
      </c>
      <c r="E954" s="260">
        <v>46216</v>
      </c>
      <c r="F954">
        <v>95</v>
      </c>
      <c r="G954" t="s">
        <v>353</v>
      </c>
    </row>
    <row r="955" spans="1:7">
      <c r="A955" t="s">
        <v>2243</v>
      </c>
      <c r="B955" t="s">
        <v>2244</v>
      </c>
      <c r="C955">
        <v>10</v>
      </c>
      <c r="D955" s="260">
        <v>46234</v>
      </c>
      <c r="E955" s="260">
        <v>46248</v>
      </c>
      <c r="F955">
        <v>95</v>
      </c>
      <c r="G955" t="s">
        <v>353</v>
      </c>
    </row>
    <row r="956" spans="1:7">
      <c r="A956" t="s">
        <v>2245</v>
      </c>
      <c r="B956" t="s">
        <v>2246</v>
      </c>
      <c r="C956">
        <v>20</v>
      </c>
      <c r="D956" s="260">
        <v>46147</v>
      </c>
      <c r="E956" s="260">
        <v>46175</v>
      </c>
      <c r="F956">
        <v>43</v>
      </c>
      <c r="G956" t="s">
        <v>353</v>
      </c>
    </row>
    <row r="957" spans="1:7">
      <c r="A957" t="s">
        <v>2247</v>
      </c>
      <c r="B957" t="s">
        <v>2248</v>
      </c>
      <c r="C957">
        <v>10</v>
      </c>
      <c r="D957" s="260">
        <v>46191</v>
      </c>
      <c r="E957" s="260">
        <v>46204</v>
      </c>
      <c r="F957">
        <v>73</v>
      </c>
      <c r="G957" t="s">
        <v>353</v>
      </c>
    </row>
    <row r="958" spans="1:7">
      <c r="A958" t="s">
        <v>2249</v>
      </c>
      <c r="B958" t="s">
        <v>2250</v>
      </c>
      <c r="C958">
        <v>10</v>
      </c>
      <c r="D958" s="260">
        <v>46219</v>
      </c>
      <c r="E958" s="260">
        <v>46237</v>
      </c>
      <c r="F958">
        <v>73</v>
      </c>
      <c r="G958" t="s">
        <v>353</v>
      </c>
    </row>
    <row r="959" spans="1:7">
      <c r="A959" t="s">
        <v>2251</v>
      </c>
      <c r="B959" t="s">
        <v>2252</v>
      </c>
      <c r="C959">
        <v>16</v>
      </c>
      <c r="D959" s="260">
        <v>46245</v>
      </c>
      <c r="E959" s="260">
        <v>46267</v>
      </c>
      <c r="F959">
        <v>42</v>
      </c>
      <c r="G959" t="s">
        <v>353</v>
      </c>
    </row>
    <row r="960" spans="1:7">
      <c r="A960" t="s">
        <v>2253</v>
      </c>
      <c r="B960" t="s">
        <v>2254</v>
      </c>
      <c r="C960">
        <v>10</v>
      </c>
      <c r="D960" s="260">
        <v>46282</v>
      </c>
      <c r="E960" s="260">
        <v>46295</v>
      </c>
      <c r="F960">
        <v>42</v>
      </c>
      <c r="G960" t="s">
        <v>353</v>
      </c>
    </row>
    <row r="961" spans="1:7">
      <c r="A961" t="s">
        <v>2255</v>
      </c>
      <c r="B961" t="s">
        <v>2256</v>
      </c>
      <c r="C961">
        <v>10</v>
      </c>
      <c r="D961" s="260">
        <v>46311</v>
      </c>
      <c r="E961" s="260">
        <v>46325</v>
      </c>
      <c r="F961">
        <v>42</v>
      </c>
      <c r="G961" t="s">
        <v>353</v>
      </c>
    </row>
    <row r="962" spans="1:7">
      <c r="A962" t="s">
        <v>2257</v>
      </c>
      <c r="B962" t="s">
        <v>2258</v>
      </c>
      <c r="C962">
        <v>19</v>
      </c>
      <c r="D962" s="260">
        <v>46167</v>
      </c>
      <c r="E962" s="260">
        <v>46195</v>
      </c>
      <c r="F962">
        <v>49</v>
      </c>
      <c r="G962" t="s">
        <v>353</v>
      </c>
    </row>
    <row r="963" spans="1:7">
      <c r="A963" t="s">
        <v>2259</v>
      </c>
      <c r="B963" t="s">
        <v>2260</v>
      </c>
      <c r="C963">
        <v>10</v>
      </c>
      <c r="D963" s="260">
        <v>46210</v>
      </c>
      <c r="E963" s="260">
        <v>46223</v>
      </c>
      <c r="F963">
        <v>90</v>
      </c>
      <c r="G963" t="s">
        <v>353</v>
      </c>
    </row>
    <row r="964" spans="1:7">
      <c r="A964" t="s">
        <v>2261</v>
      </c>
      <c r="B964" t="s">
        <v>2262</v>
      </c>
      <c r="C964">
        <v>10</v>
      </c>
      <c r="D964" s="260">
        <v>46241</v>
      </c>
      <c r="E964" s="260">
        <v>46255</v>
      </c>
      <c r="F964">
        <v>90</v>
      </c>
      <c r="G964" t="s">
        <v>353</v>
      </c>
    </row>
    <row r="965" spans="1:7">
      <c r="A965" t="s">
        <v>2263</v>
      </c>
      <c r="B965" t="s">
        <v>2264</v>
      </c>
      <c r="C965">
        <v>19</v>
      </c>
      <c r="D965" s="260">
        <v>46175</v>
      </c>
      <c r="E965" s="260">
        <v>46202</v>
      </c>
      <c r="F965">
        <v>85</v>
      </c>
      <c r="G965" t="s">
        <v>353</v>
      </c>
    </row>
    <row r="966" spans="1:7">
      <c r="A966" t="s">
        <v>2265</v>
      </c>
      <c r="B966" t="s">
        <v>2266</v>
      </c>
      <c r="C966">
        <v>10</v>
      </c>
      <c r="D966" s="260">
        <v>46217</v>
      </c>
      <c r="E966" s="260">
        <v>46230</v>
      </c>
      <c r="F966">
        <v>85</v>
      </c>
      <c r="G966" t="s">
        <v>353</v>
      </c>
    </row>
    <row r="967" spans="1:7">
      <c r="A967" t="s">
        <v>2267</v>
      </c>
      <c r="B967" t="s">
        <v>2268</v>
      </c>
      <c r="C967">
        <v>10</v>
      </c>
      <c r="D967" s="260">
        <v>46251</v>
      </c>
      <c r="E967" s="260">
        <v>46262</v>
      </c>
      <c r="F967">
        <v>85</v>
      </c>
      <c r="G967" t="s">
        <v>353</v>
      </c>
    </row>
    <row r="968" spans="1:7">
      <c r="A968" t="s">
        <v>2269</v>
      </c>
      <c r="B968" t="s">
        <v>2270</v>
      </c>
      <c r="C968">
        <v>21</v>
      </c>
      <c r="D968" s="260">
        <v>46188</v>
      </c>
      <c r="E968" s="260">
        <v>46216</v>
      </c>
      <c r="F968">
        <v>49</v>
      </c>
      <c r="G968" t="s">
        <v>353</v>
      </c>
    </row>
    <row r="969" spans="1:7">
      <c r="A969" t="s">
        <v>2271</v>
      </c>
      <c r="B969" t="s">
        <v>2272</v>
      </c>
      <c r="C969">
        <v>10</v>
      </c>
      <c r="D969" s="260">
        <v>46234</v>
      </c>
      <c r="E969" s="260">
        <v>46248</v>
      </c>
      <c r="F969">
        <v>75</v>
      </c>
      <c r="G969" t="s">
        <v>353</v>
      </c>
    </row>
    <row r="970" spans="1:7">
      <c r="A970" t="s">
        <v>2273</v>
      </c>
      <c r="B970" t="s">
        <v>2274</v>
      </c>
      <c r="C970">
        <v>10</v>
      </c>
      <c r="D970" s="260">
        <v>46265</v>
      </c>
      <c r="E970" s="260">
        <v>46276</v>
      </c>
      <c r="F970">
        <v>75</v>
      </c>
      <c r="G970" t="s">
        <v>353</v>
      </c>
    </row>
    <row r="971" spans="1:7">
      <c r="A971" t="s">
        <v>2275</v>
      </c>
      <c r="B971" t="s">
        <v>2276</v>
      </c>
      <c r="C971">
        <v>21</v>
      </c>
      <c r="D971" s="260">
        <v>46195</v>
      </c>
      <c r="E971" s="260">
        <v>46223</v>
      </c>
      <c r="F971">
        <v>54</v>
      </c>
      <c r="G971" t="s">
        <v>353</v>
      </c>
    </row>
    <row r="972" spans="1:7">
      <c r="A972" t="s">
        <v>2277</v>
      </c>
      <c r="B972" t="s">
        <v>2278</v>
      </c>
      <c r="C972">
        <v>10</v>
      </c>
      <c r="D972" s="260">
        <v>46241</v>
      </c>
      <c r="E972" s="260">
        <v>46255</v>
      </c>
      <c r="F972">
        <v>70</v>
      </c>
      <c r="G972" t="s">
        <v>353</v>
      </c>
    </row>
    <row r="973" spans="1:7">
      <c r="A973" t="s">
        <v>2279</v>
      </c>
      <c r="B973" t="s">
        <v>2280</v>
      </c>
      <c r="C973">
        <v>10</v>
      </c>
      <c r="D973" s="260">
        <v>46272</v>
      </c>
      <c r="E973" s="260">
        <v>46283</v>
      </c>
      <c r="F973">
        <v>70</v>
      </c>
      <c r="G973" t="s">
        <v>353</v>
      </c>
    </row>
    <row r="974" spans="1:7">
      <c r="A974" t="s">
        <v>2281</v>
      </c>
      <c r="B974" t="s">
        <v>2282</v>
      </c>
      <c r="C974">
        <v>17</v>
      </c>
      <c r="D974" s="260">
        <v>46223</v>
      </c>
      <c r="E974" s="260">
        <v>46251</v>
      </c>
      <c r="F974">
        <v>54</v>
      </c>
      <c r="G974" t="s">
        <v>353</v>
      </c>
    </row>
    <row r="975" spans="1:7">
      <c r="A975" t="s">
        <v>2283</v>
      </c>
      <c r="B975" t="s">
        <v>2284</v>
      </c>
      <c r="C975">
        <v>10</v>
      </c>
      <c r="D975" s="260">
        <v>46266</v>
      </c>
      <c r="E975" s="260">
        <v>46279</v>
      </c>
      <c r="F975">
        <v>54</v>
      </c>
      <c r="G975" t="s">
        <v>353</v>
      </c>
    </row>
    <row r="976" spans="1:7">
      <c r="A976" t="s">
        <v>2285</v>
      </c>
      <c r="B976" t="s">
        <v>2286</v>
      </c>
      <c r="C976">
        <v>10</v>
      </c>
      <c r="D976" s="260">
        <v>46294</v>
      </c>
      <c r="E976" s="260">
        <v>46307</v>
      </c>
      <c r="F976">
        <v>54</v>
      </c>
      <c r="G976" t="s">
        <v>353</v>
      </c>
    </row>
    <row r="977" spans="1:7">
      <c r="A977" t="s">
        <v>2287</v>
      </c>
      <c r="B977" t="s">
        <v>2288</v>
      </c>
      <c r="C977">
        <v>12</v>
      </c>
      <c r="D977" s="260">
        <v>46230</v>
      </c>
      <c r="E977" s="260">
        <v>46251</v>
      </c>
      <c r="F977">
        <v>54</v>
      </c>
      <c r="G977" t="s">
        <v>353</v>
      </c>
    </row>
    <row r="978" spans="1:7">
      <c r="A978" t="s">
        <v>2289</v>
      </c>
      <c r="B978" t="s">
        <v>2290</v>
      </c>
      <c r="C978">
        <v>10</v>
      </c>
      <c r="D978" s="260">
        <v>46266</v>
      </c>
      <c r="E978" s="260">
        <v>46279</v>
      </c>
      <c r="F978">
        <v>54</v>
      </c>
      <c r="G978" t="s">
        <v>353</v>
      </c>
    </row>
    <row r="979" spans="1:7">
      <c r="A979" t="s">
        <v>2291</v>
      </c>
      <c r="B979" t="s">
        <v>2292</v>
      </c>
      <c r="C979">
        <v>10</v>
      </c>
      <c r="D979" s="260">
        <v>46294</v>
      </c>
      <c r="E979" s="260">
        <v>46307</v>
      </c>
      <c r="F979">
        <v>54</v>
      </c>
      <c r="G979" t="s">
        <v>353</v>
      </c>
    </row>
    <row r="980" spans="1:7">
      <c r="A980" t="s">
        <v>2293</v>
      </c>
      <c r="B980" t="s">
        <v>2294</v>
      </c>
      <c r="C980">
        <v>17</v>
      </c>
      <c r="D980" s="260">
        <v>46128</v>
      </c>
      <c r="E980" s="260">
        <v>46153</v>
      </c>
      <c r="F980">
        <v>118</v>
      </c>
      <c r="G980" t="s">
        <v>353</v>
      </c>
    </row>
    <row r="981" spans="1:7">
      <c r="A981" t="s">
        <v>2295</v>
      </c>
      <c r="B981" t="s">
        <v>2296</v>
      </c>
      <c r="C981">
        <v>10</v>
      </c>
      <c r="D981" s="260">
        <v>46168</v>
      </c>
      <c r="E981" s="260">
        <v>46183</v>
      </c>
      <c r="F981">
        <v>118</v>
      </c>
      <c r="G981" t="s">
        <v>353</v>
      </c>
    </row>
    <row r="982" spans="1:7">
      <c r="A982" t="s">
        <v>2297</v>
      </c>
      <c r="B982" t="s">
        <v>2298</v>
      </c>
      <c r="C982">
        <v>10</v>
      </c>
      <c r="D982" s="260">
        <v>46198</v>
      </c>
      <c r="E982" s="260">
        <v>46211</v>
      </c>
      <c r="F982">
        <v>118</v>
      </c>
      <c r="G982" t="s">
        <v>353</v>
      </c>
    </row>
    <row r="983" spans="1:7">
      <c r="A983" t="s">
        <v>2299</v>
      </c>
      <c r="B983" t="s">
        <v>2300</v>
      </c>
      <c r="C983">
        <v>17</v>
      </c>
      <c r="D983" s="260">
        <v>46199</v>
      </c>
      <c r="E983" s="260">
        <v>46223</v>
      </c>
      <c r="F983">
        <v>5</v>
      </c>
      <c r="G983" t="s">
        <v>353</v>
      </c>
    </row>
    <row r="984" spans="1:7">
      <c r="A984" t="s">
        <v>2301</v>
      </c>
      <c r="B984" t="s">
        <v>2302</v>
      </c>
      <c r="C984">
        <v>10</v>
      </c>
      <c r="D984" s="260">
        <v>46241</v>
      </c>
      <c r="E984" s="260">
        <v>46255</v>
      </c>
      <c r="F984">
        <v>35</v>
      </c>
      <c r="G984" t="s">
        <v>353</v>
      </c>
    </row>
    <row r="985" spans="1:7">
      <c r="A985" t="s">
        <v>2303</v>
      </c>
      <c r="B985" t="s">
        <v>2304</v>
      </c>
      <c r="C985">
        <v>10</v>
      </c>
      <c r="D985" s="260">
        <v>46272</v>
      </c>
      <c r="E985" s="260">
        <v>46283</v>
      </c>
      <c r="F985">
        <v>40</v>
      </c>
      <c r="G985" t="s">
        <v>353</v>
      </c>
    </row>
    <row r="986" spans="1:7">
      <c r="A986" t="s">
        <v>2305</v>
      </c>
      <c r="B986" t="s">
        <v>2306</v>
      </c>
      <c r="C986">
        <v>17</v>
      </c>
      <c r="D986" s="260">
        <v>46199</v>
      </c>
      <c r="E986" s="260">
        <v>46223</v>
      </c>
      <c r="F986">
        <v>39</v>
      </c>
      <c r="G986" t="s">
        <v>353</v>
      </c>
    </row>
    <row r="987" spans="1:7">
      <c r="A987" t="s">
        <v>2307</v>
      </c>
      <c r="B987" t="s">
        <v>2308</v>
      </c>
      <c r="C987">
        <v>10</v>
      </c>
      <c r="D987" s="260">
        <v>46241</v>
      </c>
      <c r="E987" s="260">
        <v>46255</v>
      </c>
      <c r="F987">
        <v>50</v>
      </c>
      <c r="G987" t="s">
        <v>353</v>
      </c>
    </row>
    <row r="988" spans="1:7">
      <c r="A988" t="s">
        <v>2309</v>
      </c>
      <c r="B988" t="s">
        <v>2310</v>
      </c>
      <c r="C988">
        <v>10</v>
      </c>
      <c r="D988" s="260">
        <v>46272</v>
      </c>
      <c r="E988" s="260">
        <v>46283</v>
      </c>
      <c r="F988">
        <v>50</v>
      </c>
      <c r="G988" t="s">
        <v>353</v>
      </c>
    </row>
    <row r="989" spans="1:7">
      <c r="A989" t="s">
        <v>2311</v>
      </c>
      <c r="B989" t="s">
        <v>2312</v>
      </c>
      <c r="C989">
        <v>16</v>
      </c>
      <c r="D989" s="260">
        <v>46209</v>
      </c>
      <c r="E989" s="260">
        <v>46230</v>
      </c>
      <c r="F989">
        <v>39</v>
      </c>
      <c r="G989" t="s">
        <v>353</v>
      </c>
    </row>
    <row r="990" spans="1:7">
      <c r="A990" t="s">
        <v>2313</v>
      </c>
      <c r="B990" t="s">
        <v>2314</v>
      </c>
      <c r="C990">
        <v>10</v>
      </c>
      <c r="D990" s="260">
        <v>46251</v>
      </c>
      <c r="E990" s="260">
        <v>46262</v>
      </c>
      <c r="F990">
        <v>45</v>
      </c>
      <c r="G990" t="s">
        <v>353</v>
      </c>
    </row>
    <row r="991" spans="1:7">
      <c r="A991" t="s">
        <v>2315</v>
      </c>
      <c r="B991" t="s">
        <v>2316</v>
      </c>
      <c r="C991">
        <v>10</v>
      </c>
      <c r="D991" s="260">
        <v>46279</v>
      </c>
      <c r="E991" s="260">
        <v>46290</v>
      </c>
      <c r="F991">
        <v>45</v>
      </c>
      <c r="G991" t="s">
        <v>353</v>
      </c>
    </row>
    <row r="992" spans="1:7">
      <c r="A992" t="s">
        <v>2317</v>
      </c>
      <c r="B992" t="s">
        <v>2318</v>
      </c>
      <c r="C992">
        <v>15</v>
      </c>
      <c r="D992" s="260">
        <v>46218</v>
      </c>
      <c r="E992" s="260">
        <v>46241</v>
      </c>
      <c r="F992">
        <v>39</v>
      </c>
      <c r="G992" t="s">
        <v>353</v>
      </c>
    </row>
    <row r="993" spans="1:7">
      <c r="A993" t="s">
        <v>2319</v>
      </c>
      <c r="B993" t="s">
        <v>2320</v>
      </c>
      <c r="C993">
        <v>10</v>
      </c>
      <c r="D993" s="260">
        <v>46259</v>
      </c>
      <c r="E993" s="260">
        <v>46272</v>
      </c>
      <c r="F993">
        <v>39</v>
      </c>
      <c r="G993" t="s">
        <v>353</v>
      </c>
    </row>
    <row r="994" spans="1:7">
      <c r="A994" t="s">
        <v>2321</v>
      </c>
      <c r="B994" t="s">
        <v>2322</v>
      </c>
      <c r="C994">
        <v>10</v>
      </c>
      <c r="D994" s="260">
        <v>46287</v>
      </c>
      <c r="E994" s="260">
        <v>46300</v>
      </c>
      <c r="F994">
        <v>39</v>
      </c>
      <c r="G994" t="s">
        <v>353</v>
      </c>
    </row>
    <row r="995" spans="1:7">
      <c r="A995" t="s">
        <v>2323</v>
      </c>
      <c r="B995" t="s">
        <v>2324</v>
      </c>
      <c r="C995">
        <v>15</v>
      </c>
      <c r="D995" s="260">
        <v>46218</v>
      </c>
      <c r="E995" s="260">
        <v>46241</v>
      </c>
      <c r="F995">
        <v>39</v>
      </c>
      <c r="G995" t="s">
        <v>353</v>
      </c>
    </row>
    <row r="996" spans="1:7">
      <c r="A996" t="s">
        <v>2325</v>
      </c>
      <c r="B996" t="s">
        <v>2326</v>
      </c>
      <c r="C996">
        <v>10</v>
      </c>
      <c r="D996" s="260">
        <v>46259</v>
      </c>
      <c r="E996" s="260">
        <v>46272</v>
      </c>
      <c r="F996">
        <v>39</v>
      </c>
      <c r="G996" t="s">
        <v>353</v>
      </c>
    </row>
    <row r="997" spans="1:7">
      <c r="A997" t="s">
        <v>2327</v>
      </c>
      <c r="B997" t="s">
        <v>2328</v>
      </c>
      <c r="C997">
        <v>10</v>
      </c>
      <c r="D997" s="260">
        <v>46287</v>
      </c>
      <c r="E997" s="260">
        <v>46300</v>
      </c>
      <c r="F997">
        <v>39</v>
      </c>
      <c r="G997" t="s">
        <v>353</v>
      </c>
    </row>
    <row r="998" spans="1:7">
      <c r="A998" t="s">
        <v>2329</v>
      </c>
      <c r="B998" t="s">
        <v>2330</v>
      </c>
      <c r="C998">
        <v>15</v>
      </c>
      <c r="D998" s="260">
        <v>46218</v>
      </c>
      <c r="E998" s="260">
        <v>46241</v>
      </c>
      <c r="F998">
        <v>39</v>
      </c>
      <c r="G998" t="s">
        <v>353</v>
      </c>
    </row>
    <row r="999" spans="1:7">
      <c r="A999" t="s">
        <v>2331</v>
      </c>
      <c r="B999" t="s">
        <v>2332</v>
      </c>
      <c r="C999">
        <v>10</v>
      </c>
      <c r="D999" s="260">
        <v>46259</v>
      </c>
      <c r="E999" s="260">
        <v>46272</v>
      </c>
      <c r="F999">
        <v>39</v>
      </c>
      <c r="G999" t="s">
        <v>353</v>
      </c>
    </row>
    <row r="1000" spans="1:7">
      <c r="A1000" t="s">
        <v>2333</v>
      </c>
      <c r="B1000" t="s">
        <v>2334</v>
      </c>
      <c r="C1000">
        <v>10</v>
      </c>
      <c r="D1000" s="260">
        <v>46287</v>
      </c>
      <c r="E1000" s="260">
        <v>46300</v>
      </c>
      <c r="F1000">
        <v>39</v>
      </c>
      <c r="G1000" t="s">
        <v>353</v>
      </c>
    </row>
    <row r="1001" spans="1:7">
      <c r="A1001" t="s">
        <v>2335</v>
      </c>
      <c r="B1001" t="s">
        <v>2336</v>
      </c>
      <c r="C1001">
        <v>12</v>
      </c>
      <c r="D1001" s="260">
        <v>46225</v>
      </c>
      <c r="E1001" s="260">
        <v>46245</v>
      </c>
      <c r="F1001">
        <v>33</v>
      </c>
      <c r="G1001" t="s">
        <v>353</v>
      </c>
    </row>
    <row r="1002" spans="1:7">
      <c r="A1002" t="s">
        <v>2337</v>
      </c>
      <c r="B1002" t="s">
        <v>2338</v>
      </c>
      <c r="C1002">
        <v>10</v>
      </c>
      <c r="D1002" s="260">
        <v>46261</v>
      </c>
      <c r="E1002" s="260">
        <v>46274</v>
      </c>
      <c r="F1002">
        <v>37</v>
      </c>
      <c r="G1002" t="s">
        <v>353</v>
      </c>
    </row>
    <row r="1003" spans="1:7">
      <c r="A1003" t="s">
        <v>2339</v>
      </c>
      <c r="B1003" t="s">
        <v>2340</v>
      </c>
      <c r="C1003">
        <v>10</v>
      </c>
      <c r="D1003" s="260">
        <v>46289</v>
      </c>
      <c r="E1003" s="260">
        <v>46302</v>
      </c>
      <c r="F1003">
        <v>37</v>
      </c>
      <c r="G1003" t="s">
        <v>353</v>
      </c>
    </row>
    <row r="1004" spans="1:7">
      <c r="A1004" t="s">
        <v>2341</v>
      </c>
      <c r="B1004" t="s">
        <v>2342</v>
      </c>
      <c r="C1004">
        <v>12</v>
      </c>
      <c r="D1004" s="260">
        <v>46234</v>
      </c>
      <c r="E1004" s="260">
        <v>46252</v>
      </c>
      <c r="F1004">
        <v>33</v>
      </c>
      <c r="G1004" t="s">
        <v>353</v>
      </c>
    </row>
    <row r="1005" spans="1:7">
      <c r="A1005" t="s">
        <v>2343</v>
      </c>
      <c r="B1005" t="s">
        <v>2344</v>
      </c>
      <c r="C1005">
        <v>10</v>
      </c>
      <c r="D1005" s="260">
        <v>46267</v>
      </c>
      <c r="E1005" s="260">
        <v>46280</v>
      </c>
      <c r="F1005">
        <v>33</v>
      </c>
      <c r="G1005" t="s">
        <v>353</v>
      </c>
    </row>
    <row r="1006" spans="1:7">
      <c r="A1006" t="s">
        <v>2345</v>
      </c>
      <c r="B1006" t="s">
        <v>2346</v>
      </c>
      <c r="C1006">
        <v>10</v>
      </c>
      <c r="D1006" s="260">
        <v>46295</v>
      </c>
      <c r="E1006" s="260">
        <v>46309</v>
      </c>
      <c r="F1006">
        <v>33</v>
      </c>
      <c r="G1006" t="s">
        <v>353</v>
      </c>
    </row>
    <row r="1007" spans="1:7">
      <c r="A1007" t="s">
        <v>2347</v>
      </c>
      <c r="B1007" t="s">
        <v>2348</v>
      </c>
      <c r="C1007">
        <v>12</v>
      </c>
      <c r="D1007" s="260">
        <v>46234</v>
      </c>
      <c r="E1007" s="260">
        <v>46252</v>
      </c>
      <c r="F1007">
        <v>5</v>
      </c>
      <c r="G1007" t="s">
        <v>353</v>
      </c>
    </row>
    <row r="1008" spans="1:7">
      <c r="A1008" t="s">
        <v>2349</v>
      </c>
      <c r="B1008" t="s">
        <v>2350</v>
      </c>
      <c r="C1008">
        <v>10</v>
      </c>
      <c r="D1008" s="260">
        <v>46267</v>
      </c>
      <c r="E1008" s="260">
        <v>46280</v>
      </c>
      <c r="F1008">
        <v>33</v>
      </c>
      <c r="G1008" t="s">
        <v>353</v>
      </c>
    </row>
    <row r="1009" spans="1:7">
      <c r="A1009" t="s">
        <v>2351</v>
      </c>
      <c r="B1009" t="s">
        <v>2352</v>
      </c>
      <c r="C1009">
        <v>10</v>
      </c>
      <c r="D1009" s="260">
        <v>46295</v>
      </c>
      <c r="E1009" s="260">
        <v>46309</v>
      </c>
      <c r="F1009">
        <v>33</v>
      </c>
      <c r="G1009" t="s">
        <v>353</v>
      </c>
    </row>
    <row r="1010" spans="1:7">
      <c r="A1010" t="s">
        <v>2353</v>
      </c>
      <c r="B1010" t="s">
        <v>2354</v>
      </c>
      <c r="C1010">
        <v>12</v>
      </c>
      <c r="D1010" s="260">
        <v>46238</v>
      </c>
      <c r="E1010" s="260">
        <v>46254</v>
      </c>
      <c r="F1010">
        <v>5</v>
      </c>
      <c r="G1010" t="s">
        <v>353</v>
      </c>
    </row>
    <row r="1011" spans="1:7">
      <c r="A1011" t="s">
        <v>2355</v>
      </c>
      <c r="B1011" t="s">
        <v>2356</v>
      </c>
      <c r="C1011">
        <v>10</v>
      </c>
      <c r="D1011" s="260">
        <v>46269</v>
      </c>
      <c r="E1011" s="260">
        <v>46282</v>
      </c>
      <c r="F1011">
        <v>31</v>
      </c>
      <c r="G1011" t="s">
        <v>353</v>
      </c>
    </row>
    <row r="1012" spans="1:7">
      <c r="A1012" t="s">
        <v>2357</v>
      </c>
      <c r="B1012" t="s">
        <v>2358</v>
      </c>
      <c r="C1012">
        <v>10</v>
      </c>
      <c r="D1012" s="260">
        <v>46297</v>
      </c>
      <c r="E1012" s="260">
        <v>46311</v>
      </c>
      <c r="F1012">
        <v>31</v>
      </c>
      <c r="G1012" t="s">
        <v>353</v>
      </c>
    </row>
    <row r="1013" spans="1:7">
      <c r="A1013" t="s">
        <v>2359</v>
      </c>
      <c r="B1013" t="s">
        <v>2360</v>
      </c>
      <c r="C1013">
        <v>12</v>
      </c>
      <c r="D1013" s="260">
        <v>46238</v>
      </c>
      <c r="E1013" s="260">
        <v>46254</v>
      </c>
      <c r="F1013">
        <v>9</v>
      </c>
      <c r="G1013" t="s">
        <v>353</v>
      </c>
    </row>
    <row r="1014" spans="1:7">
      <c r="A1014" t="s">
        <v>2361</v>
      </c>
      <c r="B1014" t="s">
        <v>2362</v>
      </c>
      <c r="C1014">
        <v>10</v>
      </c>
      <c r="D1014" s="260">
        <v>46269</v>
      </c>
      <c r="E1014" s="260">
        <v>46282</v>
      </c>
      <c r="F1014">
        <v>31</v>
      </c>
      <c r="G1014" t="s">
        <v>353</v>
      </c>
    </row>
    <row r="1015" spans="1:7">
      <c r="A1015" t="s">
        <v>2363</v>
      </c>
      <c r="B1015" t="s">
        <v>2364</v>
      </c>
      <c r="C1015">
        <v>10</v>
      </c>
      <c r="D1015" s="260">
        <v>46297</v>
      </c>
      <c r="E1015" s="260">
        <v>46311</v>
      </c>
      <c r="F1015">
        <v>31</v>
      </c>
      <c r="G1015" t="s">
        <v>353</v>
      </c>
    </row>
    <row r="1016" spans="1:7">
      <c r="A1016" t="s">
        <v>2365</v>
      </c>
      <c r="B1016" t="s">
        <v>2366</v>
      </c>
      <c r="C1016">
        <v>12</v>
      </c>
      <c r="D1016" s="260">
        <v>46238</v>
      </c>
      <c r="E1016" s="260">
        <v>46254</v>
      </c>
      <c r="F1016">
        <v>9</v>
      </c>
      <c r="G1016" t="s">
        <v>353</v>
      </c>
    </row>
    <row r="1017" spans="1:7">
      <c r="A1017" t="s">
        <v>2367</v>
      </c>
      <c r="B1017" t="s">
        <v>2368</v>
      </c>
      <c r="C1017">
        <v>10</v>
      </c>
      <c r="D1017" s="260">
        <v>46269</v>
      </c>
      <c r="E1017" s="260">
        <v>46282</v>
      </c>
      <c r="F1017">
        <v>31</v>
      </c>
      <c r="G1017" t="s">
        <v>353</v>
      </c>
    </row>
    <row r="1018" spans="1:7">
      <c r="A1018" t="s">
        <v>2369</v>
      </c>
      <c r="B1018" t="s">
        <v>2370</v>
      </c>
      <c r="C1018">
        <v>10</v>
      </c>
      <c r="D1018" s="260">
        <v>46297</v>
      </c>
      <c r="E1018" s="260">
        <v>46311</v>
      </c>
      <c r="F1018">
        <v>31</v>
      </c>
      <c r="G1018" t="s">
        <v>353</v>
      </c>
    </row>
    <row r="1019" spans="1:7">
      <c r="A1019" t="s">
        <v>2371</v>
      </c>
      <c r="B1019" t="s">
        <v>2372</v>
      </c>
      <c r="C1019">
        <v>9</v>
      </c>
      <c r="D1019" s="260">
        <v>46244</v>
      </c>
      <c r="E1019" s="260">
        <v>46255</v>
      </c>
      <c r="F1019">
        <v>6</v>
      </c>
      <c r="G1019" t="s">
        <v>353</v>
      </c>
    </row>
    <row r="1020" spans="1:7">
      <c r="A1020" t="s">
        <v>2373</v>
      </c>
      <c r="B1020" t="s">
        <v>2374</v>
      </c>
      <c r="C1020">
        <v>5</v>
      </c>
      <c r="D1020" s="260">
        <v>46272</v>
      </c>
      <c r="E1020" s="260">
        <v>46276</v>
      </c>
      <c r="F1020">
        <v>35</v>
      </c>
      <c r="G1020" t="s">
        <v>353</v>
      </c>
    </row>
    <row r="1021" spans="1:7">
      <c r="A1021" t="s">
        <v>2375</v>
      </c>
      <c r="B1021" t="s">
        <v>2376</v>
      </c>
      <c r="C1021">
        <v>5</v>
      </c>
      <c r="D1021" s="260">
        <v>46293</v>
      </c>
      <c r="E1021" s="260">
        <v>46297</v>
      </c>
      <c r="F1021">
        <v>40</v>
      </c>
      <c r="G1021" t="s">
        <v>353</v>
      </c>
    </row>
    <row r="1022" spans="1:7">
      <c r="A1022" t="s">
        <v>2377</v>
      </c>
      <c r="B1022" t="s">
        <v>2378</v>
      </c>
      <c r="C1022">
        <v>10</v>
      </c>
      <c r="D1022" s="260">
        <v>46113</v>
      </c>
      <c r="E1022" s="260">
        <v>46132</v>
      </c>
      <c r="F1022">
        <v>142</v>
      </c>
      <c r="G1022" t="s">
        <v>353</v>
      </c>
    </row>
    <row r="1023" spans="1:7">
      <c r="A1023" t="s">
        <v>2379</v>
      </c>
      <c r="B1023" t="s">
        <v>2380</v>
      </c>
      <c r="C1023">
        <v>5</v>
      </c>
      <c r="D1023" s="260">
        <v>46148</v>
      </c>
      <c r="E1023" s="260">
        <v>46154</v>
      </c>
      <c r="F1023">
        <v>142</v>
      </c>
      <c r="G1023" t="s">
        <v>353</v>
      </c>
    </row>
    <row r="1024" spans="1:7">
      <c r="A1024" t="s">
        <v>2381</v>
      </c>
      <c r="B1024" t="s">
        <v>2382</v>
      </c>
      <c r="C1024">
        <v>5</v>
      </c>
      <c r="D1024" s="260">
        <v>46169</v>
      </c>
      <c r="E1024" s="260">
        <v>46177</v>
      </c>
      <c r="F1024">
        <v>142</v>
      </c>
      <c r="G1024" t="s">
        <v>353</v>
      </c>
    </row>
    <row r="1025" spans="1:7">
      <c r="A1025" t="s">
        <v>2383</v>
      </c>
      <c r="B1025" t="s">
        <v>2384</v>
      </c>
      <c r="C1025">
        <v>12</v>
      </c>
      <c r="D1025" s="260">
        <v>46128</v>
      </c>
      <c r="E1025" s="260">
        <v>46146</v>
      </c>
      <c r="F1025">
        <v>70</v>
      </c>
      <c r="G1025" t="s">
        <v>353</v>
      </c>
    </row>
    <row r="1026" spans="1:7">
      <c r="A1026" t="s">
        <v>2385</v>
      </c>
      <c r="B1026" t="s">
        <v>2386</v>
      </c>
      <c r="C1026">
        <v>5</v>
      </c>
      <c r="D1026" s="260">
        <v>46161</v>
      </c>
      <c r="E1026" s="260">
        <v>46167</v>
      </c>
      <c r="F1026">
        <v>103</v>
      </c>
      <c r="G1026" t="s">
        <v>353</v>
      </c>
    </row>
    <row r="1027" spans="1:7">
      <c r="A1027" t="s">
        <v>2387</v>
      </c>
      <c r="B1027" t="s">
        <v>2388</v>
      </c>
      <c r="C1027">
        <v>5</v>
      </c>
      <c r="D1027" s="260">
        <v>46184</v>
      </c>
      <c r="E1027" s="260">
        <v>46190</v>
      </c>
      <c r="F1027">
        <v>108</v>
      </c>
      <c r="G1027" t="s">
        <v>353</v>
      </c>
    </row>
    <row r="1028" spans="1:7">
      <c r="A1028" t="s">
        <v>2389</v>
      </c>
      <c r="B1028" t="s">
        <v>2390</v>
      </c>
      <c r="C1028">
        <v>15</v>
      </c>
      <c r="D1028" s="260">
        <v>46132</v>
      </c>
      <c r="E1028" s="260">
        <v>46153</v>
      </c>
      <c r="F1028">
        <v>128</v>
      </c>
      <c r="G1028" t="s">
        <v>353</v>
      </c>
    </row>
    <row r="1029" spans="1:7">
      <c r="A1029" t="s">
        <v>2391</v>
      </c>
      <c r="B1029" t="s">
        <v>2392</v>
      </c>
      <c r="C1029">
        <v>5</v>
      </c>
      <c r="D1029" s="260">
        <v>46168</v>
      </c>
      <c r="E1029" s="260">
        <v>46175</v>
      </c>
      <c r="F1029">
        <v>128</v>
      </c>
      <c r="G1029" t="s">
        <v>353</v>
      </c>
    </row>
    <row r="1030" spans="1:7">
      <c r="A1030" t="s">
        <v>2393</v>
      </c>
      <c r="B1030" t="s">
        <v>2394</v>
      </c>
      <c r="C1030">
        <v>5</v>
      </c>
      <c r="D1030" s="260">
        <v>46191</v>
      </c>
      <c r="E1030" s="260">
        <v>46197</v>
      </c>
      <c r="F1030">
        <v>128</v>
      </c>
      <c r="G1030" t="s">
        <v>353</v>
      </c>
    </row>
    <row r="1031" spans="1:7">
      <c r="A1031" t="s">
        <v>2395</v>
      </c>
      <c r="B1031" t="s">
        <v>2396</v>
      </c>
      <c r="C1031">
        <v>19</v>
      </c>
      <c r="D1031" s="260">
        <v>46160</v>
      </c>
      <c r="E1031" s="260">
        <v>46188</v>
      </c>
      <c r="F1031">
        <v>95</v>
      </c>
      <c r="G1031" t="s">
        <v>353</v>
      </c>
    </row>
    <row r="1032" spans="1:7">
      <c r="A1032" t="s">
        <v>2397</v>
      </c>
      <c r="B1032" t="s">
        <v>2398</v>
      </c>
      <c r="C1032">
        <v>10</v>
      </c>
      <c r="D1032" s="260">
        <v>46203</v>
      </c>
      <c r="E1032" s="260">
        <v>46216</v>
      </c>
      <c r="F1032">
        <v>95</v>
      </c>
      <c r="G1032" t="s">
        <v>353</v>
      </c>
    </row>
    <row r="1033" spans="1:7">
      <c r="A1033" t="s">
        <v>2399</v>
      </c>
      <c r="B1033" t="s">
        <v>2400</v>
      </c>
      <c r="C1033">
        <v>10</v>
      </c>
      <c r="D1033" s="260">
        <v>46234</v>
      </c>
      <c r="E1033" s="260">
        <v>46248</v>
      </c>
      <c r="F1033">
        <v>95</v>
      </c>
      <c r="G1033" t="s">
        <v>353</v>
      </c>
    </row>
    <row r="1034" spans="1:7">
      <c r="A1034" t="s">
        <v>2401</v>
      </c>
      <c r="B1034" t="s">
        <v>2402</v>
      </c>
      <c r="C1034">
        <v>20</v>
      </c>
      <c r="D1034" s="260">
        <v>46147</v>
      </c>
      <c r="E1034" s="260">
        <v>46175</v>
      </c>
      <c r="F1034">
        <v>103</v>
      </c>
      <c r="G1034" t="s">
        <v>353</v>
      </c>
    </row>
    <row r="1035" spans="1:7">
      <c r="A1035" t="s">
        <v>2403</v>
      </c>
      <c r="B1035" t="s">
        <v>2404</v>
      </c>
      <c r="C1035">
        <v>10</v>
      </c>
      <c r="D1035" s="260">
        <v>46191</v>
      </c>
      <c r="E1035" s="260">
        <v>46204</v>
      </c>
      <c r="F1035">
        <v>103</v>
      </c>
      <c r="G1035" t="s">
        <v>353</v>
      </c>
    </row>
    <row r="1036" spans="1:7">
      <c r="A1036" t="s">
        <v>2405</v>
      </c>
      <c r="B1036" t="s">
        <v>2406</v>
      </c>
      <c r="C1036">
        <v>10</v>
      </c>
      <c r="D1036" s="260">
        <v>46219</v>
      </c>
      <c r="E1036" s="260">
        <v>46237</v>
      </c>
      <c r="F1036">
        <v>103</v>
      </c>
      <c r="G1036" t="s">
        <v>353</v>
      </c>
    </row>
    <row r="1037" spans="1:7">
      <c r="A1037" t="s">
        <v>2407</v>
      </c>
      <c r="B1037" t="s">
        <v>2408</v>
      </c>
      <c r="C1037">
        <v>19</v>
      </c>
      <c r="D1037" s="260">
        <v>46167</v>
      </c>
      <c r="E1037" s="260">
        <v>46195</v>
      </c>
      <c r="F1037">
        <v>90</v>
      </c>
      <c r="G1037" t="s">
        <v>353</v>
      </c>
    </row>
    <row r="1038" spans="1:7">
      <c r="A1038" t="s">
        <v>2409</v>
      </c>
      <c r="B1038" t="s">
        <v>2410</v>
      </c>
      <c r="C1038">
        <v>10</v>
      </c>
      <c r="D1038" s="260">
        <v>46210</v>
      </c>
      <c r="E1038" s="260">
        <v>46223</v>
      </c>
      <c r="F1038">
        <v>90</v>
      </c>
      <c r="G1038" t="s">
        <v>353</v>
      </c>
    </row>
    <row r="1039" spans="1:7">
      <c r="A1039" t="s">
        <v>2411</v>
      </c>
      <c r="B1039" t="s">
        <v>2412</v>
      </c>
      <c r="C1039">
        <v>10</v>
      </c>
      <c r="D1039" s="260">
        <v>46241</v>
      </c>
      <c r="E1039" s="260">
        <v>46255</v>
      </c>
      <c r="F1039">
        <v>90</v>
      </c>
      <c r="G1039" t="s">
        <v>353</v>
      </c>
    </row>
    <row r="1040" spans="1:7">
      <c r="A1040" t="s">
        <v>2413</v>
      </c>
      <c r="B1040" t="s">
        <v>2414</v>
      </c>
      <c r="C1040">
        <v>19</v>
      </c>
      <c r="D1040" s="260">
        <v>46175</v>
      </c>
      <c r="E1040" s="260">
        <v>46202</v>
      </c>
      <c r="F1040">
        <v>85</v>
      </c>
      <c r="G1040" t="s">
        <v>353</v>
      </c>
    </row>
    <row r="1041" spans="1:7">
      <c r="A1041" t="s">
        <v>2415</v>
      </c>
      <c r="B1041" t="s">
        <v>2416</v>
      </c>
      <c r="C1041">
        <v>10</v>
      </c>
      <c r="D1041" s="260">
        <v>46217</v>
      </c>
      <c r="E1041" s="260">
        <v>46230</v>
      </c>
      <c r="F1041">
        <v>85</v>
      </c>
      <c r="G1041" t="s">
        <v>353</v>
      </c>
    </row>
    <row r="1042" spans="1:7">
      <c r="A1042" t="s">
        <v>2417</v>
      </c>
      <c r="B1042" t="s">
        <v>2418</v>
      </c>
      <c r="C1042">
        <v>10</v>
      </c>
      <c r="D1042" s="260">
        <v>46251</v>
      </c>
      <c r="E1042" s="260">
        <v>46262</v>
      </c>
      <c r="F1042">
        <v>85</v>
      </c>
      <c r="G1042" t="s">
        <v>353</v>
      </c>
    </row>
    <row r="1043" spans="1:7">
      <c r="A1043" t="s">
        <v>2419</v>
      </c>
      <c r="B1043" t="s">
        <v>2420</v>
      </c>
      <c r="C1043">
        <v>21</v>
      </c>
      <c r="D1043" s="260">
        <v>46188</v>
      </c>
      <c r="E1043" s="260">
        <v>46216</v>
      </c>
      <c r="F1043">
        <v>49</v>
      </c>
      <c r="G1043" t="s">
        <v>353</v>
      </c>
    </row>
    <row r="1044" spans="1:7">
      <c r="A1044" t="s">
        <v>2421</v>
      </c>
      <c r="B1044" t="s">
        <v>2422</v>
      </c>
      <c r="C1044">
        <v>10</v>
      </c>
      <c r="D1044" s="260">
        <v>46234</v>
      </c>
      <c r="E1044" s="260">
        <v>46248</v>
      </c>
      <c r="F1044">
        <v>75</v>
      </c>
      <c r="G1044" t="s">
        <v>353</v>
      </c>
    </row>
    <row r="1045" spans="1:7">
      <c r="A1045" t="s">
        <v>2423</v>
      </c>
      <c r="B1045" t="s">
        <v>2424</v>
      </c>
      <c r="C1045">
        <v>10</v>
      </c>
      <c r="D1045" s="260">
        <v>46265</v>
      </c>
      <c r="E1045" s="260">
        <v>46276</v>
      </c>
      <c r="F1045">
        <v>75</v>
      </c>
      <c r="G1045" t="s">
        <v>353</v>
      </c>
    </row>
    <row r="1046" spans="1:7">
      <c r="A1046" t="s">
        <v>2425</v>
      </c>
      <c r="B1046" t="s">
        <v>2426</v>
      </c>
      <c r="C1046">
        <v>21</v>
      </c>
      <c r="D1046" s="260">
        <v>46195</v>
      </c>
      <c r="E1046" s="260">
        <v>46223</v>
      </c>
      <c r="F1046">
        <v>49</v>
      </c>
      <c r="G1046" t="s">
        <v>353</v>
      </c>
    </row>
    <row r="1047" spans="1:7">
      <c r="A1047" t="s">
        <v>2427</v>
      </c>
      <c r="B1047" t="s">
        <v>2428</v>
      </c>
      <c r="C1047">
        <v>10</v>
      </c>
      <c r="D1047" s="260">
        <v>46241</v>
      </c>
      <c r="E1047" s="260">
        <v>46255</v>
      </c>
      <c r="F1047">
        <v>70</v>
      </c>
      <c r="G1047" t="s">
        <v>353</v>
      </c>
    </row>
    <row r="1048" spans="1:7">
      <c r="A1048" t="s">
        <v>2429</v>
      </c>
      <c r="B1048" t="s">
        <v>2430</v>
      </c>
      <c r="C1048">
        <v>10</v>
      </c>
      <c r="D1048" s="260">
        <v>46272</v>
      </c>
      <c r="E1048" s="260">
        <v>46283</v>
      </c>
      <c r="F1048">
        <v>70</v>
      </c>
      <c r="G1048" t="s">
        <v>353</v>
      </c>
    </row>
    <row r="1049" spans="1:7">
      <c r="A1049" t="s">
        <v>2431</v>
      </c>
      <c r="B1049" t="s">
        <v>2432</v>
      </c>
      <c r="C1049">
        <v>13</v>
      </c>
      <c r="D1049" s="260">
        <v>46223</v>
      </c>
      <c r="E1049" s="260">
        <v>46244</v>
      </c>
      <c r="F1049">
        <v>49</v>
      </c>
      <c r="G1049" t="s">
        <v>353</v>
      </c>
    </row>
    <row r="1050" spans="1:7">
      <c r="A1050" t="s">
        <v>2433</v>
      </c>
      <c r="B1050" t="s">
        <v>2434</v>
      </c>
      <c r="C1050">
        <v>10</v>
      </c>
      <c r="D1050" s="260">
        <v>46260</v>
      </c>
      <c r="E1050" s="260">
        <v>46273</v>
      </c>
      <c r="F1050">
        <v>58</v>
      </c>
      <c r="G1050" t="s">
        <v>353</v>
      </c>
    </row>
    <row r="1051" spans="1:7">
      <c r="A1051" t="s">
        <v>2435</v>
      </c>
      <c r="B1051" t="s">
        <v>2436</v>
      </c>
      <c r="C1051">
        <v>10</v>
      </c>
      <c r="D1051" s="260">
        <v>46288</v>
      </c>
      <c r="E1051" s="260">
        <v>46301</v>
      </c>
      <c r="F1051">
        <v>58</v>
      </c>
      <c r="G1051" t="s">
        <v>353</v>
      </c>
    </row>
    <row r="1052" spans="1:7">
      <c r="A1052" t="s">
        <v>2437</v>
      </c>
      <c r="B1052" t="s">
        <v>2438</v>
      </c>
      <c r="C1052">
        <v>12</v>
      </c>
      <c r="D1052" s="260">
        <v>46230</v>
      </c>
      <c r="E1052" s="260">
        <v>46251</v>
      </c>
      <c r="F1052">
        <v>49</v>
      </c>
      <c r="G1052" t="s">
        <v>353</v>
      </c>
    </row>
    <row r="1053" spans="1:7">
      <c r="A1053" t="s">
        <v>2439</v>
      </c>
      <c r="B1053" t="s">
        <v>2440</v>
      </c>
      <c r="C1053">
        <v>15</v>
      </c>
      <c r="D1053" s="260">
        <v>46266</v>
      </c>
      <c r="E1053" s="260">
        <v>46286</v>
      </c>
      <c r="F1053">
        <v>49</v>
      </c>
      <c r="G1053" t="s">
        <v>353</v>
      </c>
    </row>
    <row r="1054" spans="1:7">
      <c r="A1054" t="s">
        <v>2441</v>
      </c>
      <c r="B1054" t="s">
        <v>2442</v>
      </c>
      <c r="C1054">
        <v>10</v>
      </c>
      <c r="D1054" s="260">
        <v>46301</v>
      </c>
      <c r="E1054" s="260">
        <v>46315</v>
      </c>
      <c r="F1054">
        <v>49</v>
      </c>
      <c r="G1054" t="s">
        <v>353</v>
      </c>
    </row>
    <row r="1055" spans="1:7">
      <c r="A1055" t="s">
        <v>2443</v>
      </c>
      <c r="B1055" t="s">
        <v>2444</v>
      </c>
      <c r="C1055">
        <v>17</v>
      </c>
      <c r="D1055" s="260">
        <v>46128</v>
      </c>
      <c r="E1055" s="260">
        <v>46153</v>
      </c>
      <c r="F1055">
        <v>118</v>
      </c>
      <c r="G1055" t="s">
        <v>353</v>
      </c>
    </row>
    <row r="1056" spans="1:7">
      <c r="A1056" t="s">
        <v>2445</v>
      </c>
      <c r="B1056" t="s">
        <v>2446</v>
      </c>
      <c r="C1056">
        <v>10</v>
      </c>
      <c r="D1056" s="260">
        <v>46168</v>
      </c>
      <c r="E1056" s="260">
        <v>46183</v>
      </c>
      <c r="F1056">
        <v>118</v>
      </c>
      <c r="G1056" t="s">
        <v>353</v>
      </c>
    </row>
    <row r="1057" spans="1:7">
      <c r="A1057" t="s">
        <v>2447</v>
      </c>
      <c r="B1057" t="s">
        <v>2448</v>
      </c>
      <c r="C1057">
        <v>10</v>
      </c>
      <c r="D1057" s="260">
        <v>46198</v>
      </c>
      <c r="E1057" s="260">
        <v>46211</v>
      </c>
      <c r="F1057">
        <v>118</v>
      </c>
      <c r="G1057" t="s">
        <v>353</v>
      </c>
    </row>
    <row r="1058" spans="1:7">
      <c r="A1058" t="s">
        <v>2449</v>
      </c>
      <c r="B1058" t="s">
        <v>2450</v>
      </c>
      <c r="C1058">
        <v>16</v>
      </c>
      <c r="D1058" s="260">
        <v>46245</v>
      </c>
      <c r="E1058" s="260">
        <v>46267</v>
      </c>
      <c r="F1058">
        <v>42</v>
      </c>
      <c r="G1058" t="s">
        <v>353</v>
      </c>
    </row>
    <row r="1059" spans="1:7">
      <c r="A1059" t="s">
        <v>2451</v>
      </c>
      <c r="B1059" t="s">
        <v>2452</v>
      </c>
      <c r="C1059">
        <v>10</v>
      </c>
      <c r="D1059" s="260">
        <v>46282</v>
      </c>
      <c r="E1059" s="260">
        <v>46295</v>
      </c>
      <c r="F1059">
        <v>42</v>
      </c>
      <c r="G1059" t="s">
        <v>353</v>
      </c>
    </row>
    <row r="1060" spans="1:7">
      <c r="A1060" t="s">
        <v>2453</v>
      </c>
      <c r="B1060" t="s">
        <v>2454</v>
      </c>
      <c r="C1060">
        <v>10</v>
      </c>
      <c r="D1060" s="260">
        <v>46311</v>
      </c>
      <c r="E1060" s="260">
        <v>46325</v>
      </c>
      <c r="F1060">
        <v>42</v>
      </c>
      <c r="G1060" t="s">
        <v>353</v>
      </c>
    </row>
    <row r="1061" spans="1:7">
      <c r="A1061" t="s">
        <v>2455</v>
      </c>
      <c r="B1061" t="s">
        <v>2456</v>
      </c>
      <c r="C1061">
        <v>17</v>
      </c>
      <c r="D1061" s="260">
        <v>46199</v>
      </c>
      <c r="E1061" s="260">
        <v>46223</v>
      </c>
      <c r="F1061">
        <v>59</v>
      </c>
      <c r="G1061" t="s">
        <v>353</v>
      </c>
    </row>
    <row r="1062" spans="1:7">
      <c r="A1062" t="s">
        <v>2457</v>
      </c>
      <c r="B1062" t="s">
        <v>2458</v>
      </c>
      <c r="C1062">
        <v>10</v>
      </c>
      <c r="D1062" s="260">
        <v>46241</v>
      </c>
      <c r="E1062" s="260">
        <v>46255</v>
      </c>
      <c r="F1062">
        <v>60</v>
      </c>
      <c r="G1062" t="s">
        <v>353</v>
      </c>
    </row>
    <row r="1063" spans="1:7">
      <c r="A1063" t="s">
        <v>2459</v>
      </c>
      <c r="B1063" t="s">
        <v>2460</v>
      </c>
      <c r="C1063">
        <v>10</v>
      </c>
      <c r="D1063" s="260">
        <v>46272</v>
      </c>
      <c r="E1063" s="260">
        <v>46283</v>
      </c>
      <c r="F1063">
        <v>60</v>
      </c>
      <c r="G1063" t="s">
        <v>353</v>
      </c>
    </row>
    <row r="1064" spans="1:7">
      <c r="A1064" t="s">
        <v>2461</v>
      </c>
      <c r="B1064" t="s">
        <v>2462</v>
      </c>
      <c r="C1064">
        <v>17</v>
      </c>
      <c r="D1064" s="260">
        <v>46199</v>
      </c>
      <c r="E1064" s="260">
        <v>46223</v>
      </c>
      <c r="F1064">
        <v>70</v>
      </c>
      <c r="G1064" t="s">
        <v>353</v>
      </c>
    </row>
    <row r="1065" spans="1:7">
      <c r="A1065" t="s">
        <v>2463</v>
      </c>
      <c r="B1065" t="s">
        <v>2464</v>
      </c>
      <c r="C1065">
        <v>10</v>
      </c>
      <c r="D1065" s="260">
        <v>46241</v>
      </c>
      <c r="E1065" s="260">
        <v>46255</v>
      </c>
      <c r="F1065">
        <v>70</v>
      </c>
      <c r="G1065" t="s">
        <v>353</v>
      </c>
    </row>
    <row r="1066" spans="1:7">
      <c r="A1066" t="s">
        <v>2465</v>
      </c>
      <c r="B1066" t="s">
        <v>2466</v>
      </c>
      <c r="C1066">
        <v>10</v>
      </c>
      <c r="D1066" s="260">
        <v>46272</v>
      </c>
      <c r="E1066" s="260">
        <v>46283</v>
      </c>
      <c r="F1066">
        <v>70</v>
      </c>
      <c r="G1066" t="s">
        <v>353</v>
      </c>
    </row>
    <row r="1067" spans="1:7">
      <c r="A1067" t="s">
        <v>2467</v>
      </c>
      <c r="B1067" t="s">
        <v>2468</v>
      </c>
      <c r="C1067">
        <v>16</v>
      </c>
      <c r="D1067" s="260">
        <v>46209</v>
      </c>
      <c r="E1067" s="260">
        <v>46230</v>
      </c>
      <c r="F1067">
        <v>65</v>
      </c>
      <c r="G1067" t="s">
        <v>353</v>
      </c>
    </row>
    <row r="1068" spans="1:7">
      <c r="A1068" t="s">
        <v>2469</v>
      </c>
      <c r="B1068" t="s">
        <v>2470</v>
      </c>
      <c r="C1068">
        <v>10</v>
      </c>
      <c r="D1068" s="260">
        <v>46251</v>
      </c>
      <c r="E1068" s="260">
        <v>46262</v>
      </c>
      <c r="F1068">
        <v>65</v>
      </c>
      <c r="G1068" t="s">
        <v>353</v>
      </c>
    </row>
    <row r="1069" spans="1:7">
      <c r="A1069" t="s">
        <v>2471</v>
      </c>
      <c r="B1069" t="s">
        <v>2472</v>
      </c>
      <c r="C1069">
        <v>10</v>
      </c>
      <c r="D1069" s="260">
        <v>46279</v>
      </c>
      <c r="E1069" s="260">
        <v>46290</v>
      </c>
      <c r="F1069">
        <v>65</v>
      </c>
      <c r="G1069" t="s">
        <v>353</v>
      </c>
    </row>
    <row r="1070" spans="1:7">
      <c r="A1070" t="s">
        <v>2473</v>
      </c>
      <c r="B1070" t="s">
        <v>2474</v>
      </c>
      <c r="C1070">
        <v>15</v>
      </c>
      <c r="D1070" s="260">
        <v>46218</v>
      </c>
      <c r="E1070" s="260">
        <v>46241</v>
      </c>
      <c r="F1070">
        <v>59</v>
      </c>
      <c r="G1070" t="s">
        <v>353</v>
      </c>
    </row>
    <row r="1071" spans="1:7">
      <c r="A1071" t="s">
        <v>2475</v>
      </c>
      <c r="B1071" t="s">
        <v>2476</v>
      </c>
      <c r="C1071">
        <v>10</v>
      </c>
      <c r="D1071" s="260">
        <v>46259</v>
      </c>
      <c r="E1071" s="260">
        <v>46272</v>
      </c>
      <c r="F1071">
        <v>59</v>
      </c>
      <c r="G1071" t="s">
        <v>353</v>
      </c>
    </row>
    <row r="1072" spans="1:7">
      <c r="A1072" t="s">
        <v>2477</v>
      </c>
      <c r="B1072" t="s">
        <v>2478</v>
      </c>
      <c r="C1072">
        <v>10</v>
      </c>
      <c r="D1072" s="260">
        <v>46287</v>
      </c>
      <c r="E1072" s="260">
        <v>46300</v>
      </c>
      <c r="F1072">
        <v>59</v>
      </c>
      <c r="G1072" t="s">
        <v>353</v>
      </c>
    </row>
    <row r="1073" spans="1:7">
      <c r="A1073" t="s">
        <v>2479</v>
      </c>
      <c r="B1073" t="s">
        <v>2480</v>
      </c>
      <c r="C1073">
        <v>15</v>
      </c>
      <c r="D1073" s="260">
        <v>46218</v>
      </c>
      <c r="E1073" s="260">
        <v>46241</v>
      </c>
      <c r="F1073">
        <v>59</v>
      </c>
      <c r="G1073" t="s">
        <v>353</v>
      </c>
    </row>
    <row r="1074" spans="1:7">
      <c r="A1074" t="s">
        <v>2481</v>
      </c>
      <c r="B1074" t="s">
        <v>2482</v>
      </c>
      <c r="C1074">
        <v>10</v>
      </c>
      <c r="D1074" s="260">
        <v>46259</v>
      </c>
      <c r="E1074" s="260">
        <v>46272</v>
      </c>
      <c r="F1074">
        <v>59</v>
      </c>
      <c r="G1074" t="s">
        <v>353</v>
      </c>
    </row>
    <row r="1075" spans="1:7">
      <c r="A1075" t="s">
        <v>2483</v>
      </c>
      <c r="B1075" t="s">
        <v>2484</v>
      </c>
      <c r="C1075">
        <v>10</v>
      </c>
      <c r="D1075" s="260">
        <v>46287</v>
      </c>
      <c r="E1075" s="260">
        <v>46300</v>
      </c>
      <c r="F1075">
        <v>59</v>
      </c>
      <c r="G1075" t="s">
        <v>353</v>
      </c>
    </row>
    <row r="1076" spans="1:7">
      <c r="A1076" t="s">
        <v>2485</v>
      </c>
      <c r="B1076" t="s">
        <v>2486</v>
      </c>
      <c r="C1076">
        <v>15</v>
      </c>
      <c r="D1076" s="260">
        <v>46218</v>
      </c>
      <c r="E1076" s="260">
        <v>46241</v>
      </c>
      <c r="F1076">
        <v>59</v>
      </c>
      <c r="G1076" t="s">
        <v>353</v>
      </c>
    </row>
    <row r="1077" spans="1:7">
      <c r="A1077" t="s">
        <v>2487</v>
      </c>
      <c r="B1077" t="s">
        <v>2488</v>
      </c>
      <c r="C1077">
        <v>10</v>
      </c>
      <c r="D1077" s="260">
        <v>46259</v>
      </c>
      <c r="E1077" s="260">
        <v>46272</v>
      </c>
      <c r="F1077">
        <v>59</v>
      </c>
      <c r="G1077" t="s">
        <v>353</v>
      </c>
    </row>
    <row r="1078" spans="1:7">
      <c r="A1078" t="s">
        <v>2489</v>
      </c>
      <c r="B1078" t="s">
        <v>2490</v>
      </c>
      <c r="C1078">
        <v>10</v>
      </c>
      <c r="D1078" s="260">
        <v>46287</v>
      </c>
      <c r="E1078" s="260">
        <v>46300</v>
      </c>
      <c r="F1078">
        <v>59</v>
      </c>
      <c r="G1078" t="s">
        <v>353</v>
      </c>
    </row>
    <row r="1079" spans="1:7">
      <c r="A1079" t="s">
        <v>2491</v>
      </c>
      <c r="B1079" t="s">
        <v>2492</v>
      </c>
      <c r="C1079">
        <v>12</v>
      </c>
      <c r="D1079" s="260">
        <v>46225</v>
      </c>
      <c r="E1079" s="260">
        <v>46245</v>
      </c>
      <c r="F1079">
        <v>57</v>
      </c>
      <c r="G1079" t="s">
        <v>353</v>
      </c>
    </row>
    <row r="1080" spans="1:7">
      <c r="A1080" t="s">
        <v>2493</v>
      </c>
      <c r="B1080" t="s">
        <v>2494</v>
      </c>
      <c r="C1080">
        <v>10</v>
      </c>
      <c r="D1080" s="260">
        <v>46261</v>
      </c>
      <c r="E1080" s="260">
        <v>46274</v>
      </c>
      <c r="F1080">
        <v>57</v>
      </c>
      <c r="G1080" t="s">
        <v>353</v>
      </c>
    </row>
    <row r="1081" spans="1:7">
      <c r="A1081" t="s">
        <v>2495</v>
      </c>
      <c r="B1081" t="s">
        <v>2496</v>
      </c>
      <c r="C1081">
        <v>10</v>
      </c>
      <c r="D1081" s="260">
        <v>46289</v>
      </c>
      <c r="E1081" s="260">
        <v>46302</v>
      </c>
      <c r="F1081">
        <v>57</v>
      </c>
      <c r="G1081" t="s">
        <v>353</v>
      </c>
    </row>
    <row r="1082" spans="1:7">
      <c r="A1082" t="s">
        <v>2497</v>
      </c>
      <c r="B1082" t="s">
        <v>2498</v>
      </c>
      <c r="C1082">
        <v>12</v>
      </c>
      <c r="D1082" s="260">
        <v>46234</v>
      </c>
      <c r="E1082" s="260">
        <v>46252</v>
      </c>
      <c r="F1082">
        <v>53</v>
      </c>
      <c r="G1082" t="s">
        <v>353</v>
      </c>
    </row>
    <row r="1083" spans="1:7">
      <c r="A1083" t="s">
        <v>2499</v>
      </c>
      <c r="B1083" t="s">
        <v>2500</v>
      </c>
      <c r="C1083">
        <v>10</v>
      </c>
      <c r="D1083" s="260">
        <v>46267</v>
      </c>
      <c r="E1083" s="260">
        <v>46280</v>
      </c>
      <c r="F1083">
        <v>53</v>
      </c>
      <c r="G1083" t="s">
        <v>353</v>
      </c>
    </row>
    <row r="1084" spans="1:7">
      <c r="A1084" t="s">
        <v>2501</v>
      </c>
      <c r="B1084" t="s">
        <v>2502</v>
      </c>
      <c r="C1084">
        <v>10</v>
      </c>
      <c r="D1084" s="260">
        <v>46295</v>
      </c>
      <c r="E1084" s="260">
        <v>46309</v>
      </c>
      <c r="F1084">
        <v>53</v>
      </c>
      <c r="G1084" t="s">
        <v>353</v>
      </c>
    </row>
    <row r="1085" spans="1:7">
      <c r="A1085" t="s">
        <v>2503</v>
      </c>
      <c r="B1085" t="s">
        <v>2504</v>
      </c>
      <c r="C1085">
        <v>12</v>
      </c>
      <c r="D1085" s="260">
        <v>46234</v>
      </c>
      <c r="E1085" s="260">
        <v>46252</v>
      </c>
      <c r="F1085">
        <v>53</v>
      </c>
      <c r="G1085" t="s">
        <v>353</v>
      </c>
    </row>
    <row r="1086" spans="1:7">
      <c r="A1086" t="s">
        <v>2505</v>
      </c>
      <c r="B1086" t="s">
        <v>2506</v>
      </c>
      <c r="C1086">
        <v>10</v>
      </c>
      <c r="D1086" s="260">
        <v>46267</v>
      </c>
      <c r="E1086" s="260">
        <v>46280</v>
      </c>
      <c r="F1086">
        <v>53</v>
      </c>
      <c r="G1086" t="s">
        <v>353</v>
      </c>
    </row>
    <row r="1087" spans="1:7">
      <c r="A1087" t="s">
        <v>2507</v>
      </c>
      <c r="B1087" t="s">
        <v>2508</v>
      </c>
      <c r="C1087">
        <v>10</v>
      </c>
      <c r="D1087" s="260">
        <v>46295</v>
      </c>
      <c r="E1087" s="260">
        <v>46309</v>
      </c>
      <c r="F1087">
        <v>53</v>
      </c>
      <c r="G1087" t="s">
        <v>353</v>
      </c>
    </row>
    <row r="1088" spans="1:7">
      <c r="A1088" t="s">
        <v>2509</v>
      </c>
      <c r="B1088" t="s">
        <v>2510</v>
      </c>
      <c r="C1088">
        <v>11</v>
      </c>
      <c r="D1088" s="260">
        <v>46244</v>
      </c>
      <c r="E1088" s="260">
        <v>46259</v>
      </c>
      <c r="F1088">
        <v>48</v>
      </c>
      <c r="G1088" t="s">
        <v>353</v>
      </c>
    </row>
    <row r="1089" spans="1:7">
      <c r="A1089" t="s">
        <v>2511</v>
      </c>
      <c r="B1089" t="s">
        <v>2512</v>
      </c>
      <c r="C1089">
        <v>10</v>
      </c>
      <c r="D1089" s="260">
        <v>46274</v>
      </c>
      <c r="E1089" s="260">
        <v>46287</v>
      </c>
      <c r="F1089">
        <v>48</v>
      </c>
      <c r="G1089" t="s">
        <v>353</v>
      </c>
    </row>
    <row r="1090" spans="1:7">
      <c r="A1090" t="s">
        <v>2513</v>
      </c>
      <c r="B1090" t="s">
        <v>2514</v>
      </c>
      <c r="C1090">
        <v>10</v>
      </c>
      <c r="D1090" s="260">
        <v>46302</v>
      </c>
      <c r="E1090" s="260">
        <v>46316</v>
      </c>
      <c r="F1090">
        <v>48</v>
      </c>
      <c r="G1090" t="s">
        <v>353</v>
      </c>
    </row>
    <row r="1091" spans="1:7">
      <c r="A1091" t="s">
        <v>2515</v>
      </c>
      <c r="B1091" t="s">
        <v>2516</v>
      </c>
      <c r="C1091">
        <v>11</v>
      </c>
      <c r="D1091" s="260">
        <v>46244</v>
      </c>
      <c r="E1091" s="260">
        <v>46259</v>
      </c>
      <c r="F1091">
        <v>48</v>
      </c>
      <c r="G1091" t="s">
        <v>353</v>
      </c>
    </row>
    <row r="1092" spans="1:7">
      <c r="A1092" t="s">
        <v>2517</v>
      </c>
      <c r="B1092" t="s">
        <v>2518</v>
      </c>
      <c r="C1092">
        <v>10</v>
      </c>
      <c r="D1092" s="260">
        <v>46274</v>
      </c>
      <c r="E1092" s="260">
        <v>46287</v>
      </c>
      <c r="F1092">
        <v>48</v>
      </c>
      <c r="G1092" t="s">
        <v>353</v>
      </c>
    </row>
    <row r="1093" spans="1:7">
      <c r="A1093" t="s">
        <v>2519</v>
      </c>
      <c r="B1093" t="s">
        <v>2520</v>
      </c>
      <c r="C1093">
        <v>10</v>
      </c>
      <c r="D1093" s="260">
        <v>46302</v>
      </c>
      <c r="E1093" s="260">
        <v>46316</v>
      </c>
      <c r="F1093">
        <v>48</v>
      </c>
      <c r="G1093" t="s">
        <v>353</v>
      </c>
    </row>
    <row r="1094" spans="1:7">
      <c r="A1094" t="s">
        <v>2521</v>
      </c>
      <c r="B1094" t="s">
        <v>2522</v>
      </c>
      <c r="C1094">
        <v>11</v>
      </c>
      <c r="D1094" s="260">
        <v>46244</v>
      </c>
      <c r="E1094" s="260">
        <v>46259</v>
      </c>
      <c r="F1094">
        <v>5</v>
      </c>
      <c r="G1094" t="s">
        <v>353</v>
      </c>
    </row>
    <row r="1095" spans="1:7">
      <c r="A1095" t="s">
        <v>2523</v>
      </c>
      <c r="B1095" t="s">
        <v>2524</v>
      </c>
      <c r="C1095">
        <v>10</v>
      </c>
      <c r="D1095" s="260">
        <v>46274</v>
      </c>
      <c r="E1095" s="260">
        <v>46287</v>
      </c>
      <c r="F1095">
        <v>48</v>
      </c>
      <c r="G1095" t="s">
        <v>353</v>
      </c>
    </row>
    <row r="1096" spans="1:7">
      <c r="A1096" t="s">
        <v>2525</v>
      </c>
      <c r="B1096" t="s">
        <v>2526</v>
      </c>
      <c r="C1096">
        <v>10</v>
      </c>
      <c r="D1096" s="260">
        <v>46302</v>
      </c>
      <c r="E1096" s="260">
        <v>46316</v>
      </c>
      <c r="F1096">
        <v>48</v>
      </c>
      <c r="G1096" t="s">
        <v>353</v>
      </c>
    </row>
    <row r="1097" spans="1:7">
      <c r="A1097" t="s">
        <v>2527</v>
      </c>
      <c r="B1097" t="s">
        <v>2528</v>
      </c>
      <c r="C1097">
        <v>11</v>
      </c>
      <c r="D1097" s="260">
        <v>46244</v>
      </c>
      <c r="E1097" s="260">
        <v>46259</v>
      </c>
      <c r="F1097">
        <v>5</v>
      </c>
      <c r="G1097" t="s">
        <v>353</v>
      </c>
    </row>
    <row r="1098" spans="1:7">
      <c r="A1098" t="s">
        <v>2529</v>
      </c>
      <c r="B1098" t="s">
        <v>2530</v>
      </c>
      <c r="C1098">
        <v>10</v>
      </c>
      <c r="D1098" s="260">
        <v>46274</v>
      </c>
      <c r="E1098" s="260">
        <v>46287</v>
      </c>
      <c r="F1098">
        <v>48</v>
      </c>
      <c r="G1098" t="s">
        <v>353</v>
      </c>
    </row>
    <row r="1099" spans="1:7">
      <c r="A1099" t="s">
        <v>2531</v>
      </c>
      <c r="B1099" t="s">
        <v>2532</v>
      </c>
      <c r="C1099">
        <v>10</v>
      </c>
      <c r="D1099" s="260">
        <v>46302</v>
      </c>
      <c r="E1099" s="260">
        <v>46316</v>
      </c>
      <c r="F1099">
        <v>48</v>
      </c>
      <c r="G1099" t="s">
        <v>353</v>
      </c>
    </row>
    <row r="1100" spans="1:7">
      <c r="A1100" t="s">
        <v>2533</v>
      </c>
      <c r="B1100" t="s">
        <v>2534</v>
      </c>
      <c r="C1100">
        <v>11</v>
      </c>
      <c r="D1100" s="260">
        <v>46244</v>
      </c>
      <c r="E1100" s="260">
        <v>46259</v>
      </c>
      <c r="F1100">
        <v>5</v>
      </c>
      <c r="G1100" t="s">
        <v>353</v>
      </c>
    </row>
    <row r="1101" spans="1:7">
      <c r="A1101" t="s">
        <v>2535</v>
      </c>
      <c r="B1101" t="s">
        <v>2536</v>
      </c>
      <c r="C1101">
        <v>10</v>
      </c>
      <c r="D1101" s="260">
        <v>46274</v>
      </c>
      <c r="E1101" s="260">
        <v>46287</v>
      </c>
      <c r="F1101">
        <v>48</v>
      </c>
      <c r="G1101" t="s">
        <v>353</v>
      </c>
    </row>
    <row r="1102" spans="1:7">
      <c r="A1102" t="s">
        <v>2537</v>
      </c>
      <c r="B1102" t="s">
        <v>2538</v>
      </c>
      <c r="C1102">
        <v>10</v>
      </c>
      <c r="D1102" s="260">
        <v>46302</v>
      </c>
      <c r="E1102" s="260">
        <v>46316</v>
      </c>
      <c r="F1102">
        <v>48</v>
      </c>
      <c r="G1102" t="s">
        <v>353</v>
      </c>
    </row>
    <row r="1103" spans="1:7">
      <c r="A1103" t="s">
        <v>2539</v>
      </c>
      <c r="B1103" t="s">
        <v>2540</v>
      </c>
      <c r="C1103">
        <v>12</v>
      </c>
      <c r="D1103" s="260">
        <v>46245</v>
      </c>
      <c r="E1103" s="260">
        <v>46261</v>
      </c>
      <c r="F1103">
        <v>5</v>
      </c>
      <c r="G1103" t="s">
        <v>353</v>
      </c>
    </row>
    <row r="1104" spans="1:7">
      <c r="A1104" t="s">
        <v>2541</v>
      </c>
      <c r="B1104" t="s">
        <v>2542</v>
      </c>
      <c r="C1104">
        <v>10</v>
      </c>
      <c r="D1104" s="260">
        <v>46276</v>
      </c>
      <c r="E1104" s="260">
        <v>46289</v>
      </c>
      <c r="F1104">
        <v>46</v>
      </c>
      <c r="G1104" t="s">
        <v>353</v>
      </c>
    </row>
    <row r="1105" spans="1:7">
      <c r="A1105" t="s">
        <v>2543</v>
      </c>
      <c r="B1105" t="s">
        <v>2544</v>
      </c>
      <c r="C1105">
        <v>10</v>
      </c>
      <c r="D1105" s="260">
        <v>46304</v>
      </c>
      <c r="E1105" s="260">
        <v>46321</v>
      </c>
      <c r="F1105">
        <v>46</v>
      </c>
      <c r="G1105" t="s">
        <v>353</v>
      </c>
    </row>
    <row r="1106" spans="1:7">
      <c r="A1106" t="s">
        <v>2545</v>
      </c>
      <c r="B1106" t="s">
        <v>2546</v>
      </c>
      <c r="C1106">
        <v>15</v>
      </c>
      <c r="D1106" s="260">
        <v>46258</v>
      </c>
      <c r="E1106" s="260">
        <v>46276</v>
      </c>
      <c r="F1106">
        <v>5</v>
      </c>
      <c r="G1106" t="s">
        <v>353</v>
      </c>
    </row>
    <row r="1107" spans="1:7">
      <c r="A1107" t="s">
        <v>2547</v>
      </c>
      <c r="B1107" t="s">
        <v>2548</v>
      </c>
      <c r="C1107">
        <v>10</v>
      </c>
      <c r="D1107" s="260">
        <v>46293</v>
      </c>
      <c r="E1107" s="260">
        <v>46304</v>
      </c>
      <c r="F1107">
        <v>25</v>
      </c>
      <c r="G1107" t="s">
        <v>353</v>
      </c>
    </row>
    <row r="1108" spans="1:7">
      <c r="A1108" t="s">
        <v>2549</v>
      </c>
      <c r="B1108" t="s">
        <v>2550</v>
      </c>
      <c r="C1108">
        <v>10</v>
      </c>
      <c r="D1108" s="260">
        <v>46323</v>
      </c>
      <c r="E1108" s="260">
        <v>46336</v>
      </c>
      <c r="F1108">
        <v>25</v>
      </c>
      <c r="G1108" t="s">
        <v>353</v>
      </c>
    </row>
    <row r="1109" spans="1:7">
      <c r="A1109" t="s">
        <v>2551</v>
      </c>
      <c r="B1109" t="s">
        <v>2552</v>
      </c>
      <c r="C1109">
        <v>7</v>
      </c>
      <c r="D1109" s="260">
        <v>46175</v>
      </c>
      <c r="E1109" s="260">
        <v>46184</v>
      </c>
      <c r="F1109">
        <v>77</v>
      </c>
      <c r="G1109" t="s">
        <v>353</v>
      </c>
    </row>
    <row r="1110" spans="1:7">
      <c r="A1110" t="s">
        <v>2553</v>
      </c>
      <c r="B1110" t="s">
        <v>2554</v>
      </c>
      <c r="C1110">
        <v>5</v>
      </c>
      <c r="D1110" s="260">
        <v>46199</v>
      </c>
      <c r="E1110" s="260">
        <v>46205</v>
      </c>
      <c r="F1110">
        <v>92</v>
      </c>
      <c r="G1110" t="s">
        <v>353</v>
      </c>
    </row>
    <row r="1111" spans="1:7">
      <c r="A1111" t="s">
        <v>2555</v>
      </c>
      <c r="B1111" t="s">
        <v>2556</v>
      </c>
      <c r="C1111">
        <v>5</v>
      </c>
      <c r="D1111" s="260">
        <v>46220</v>
      </c>
      <c r="E1111" s="260">
        <v>46226</v>
      </c>
      <c r="F1111">
        <v>97</v>
      </c>
      <c r="G1111" t="s">
        <v>353</v>
      </c>
    </row>
    <row r="1112" spans="1:7">
      <c r="A1112" t="s">
        <v>2557</v>
      </c>
      <c r="B1112" t="s">
        <v>2558</v>
      </c>
      <c r="C1112">
        <v>15</v>
      </c>
      <c r="D1112" s="260">
        <v>46300</v>
      </c>
      <c r="E1112" s="260">
        <v>46322</v>
      </c>
      <c r="F1112">
        <v>5</v>
      </c>
      <c r="G1112" t="s">
        <v>353</v>
      </c>
    </row>
    <row r="1113" spans="1:7">
      <c r="A1113" t="s">
        <v>2559</v>
      </c>
      <c r="B1113" t="s">
        <v>2560</v>
      </c>
      <c r="C1113">
        <v>10</v>
      </c>
      <c r="D1113" s="260">
        <v>46337</v>
      </c>
      <c r="E1113" s="260">
        <v>46350</v>
      </c>
      <c r="F1113">
        <v>5</v>
      </c>
      <c r="G1113" t="s">
        <v>353</v>
      </c>
    </row>
    <row r="1114" spans="1:7">
      <c r="A1114" t="s">
        <v>2561</v>
      </c>
      <c r="B1114" t="s">
        <v>2562</v>
      </c>
      <c r="C1114">
        <v>10</v>
      </c>
      <c r="D1114" s="260">
        <v>46367</v>
      </c>
      <c r="E1114" s="260">
        <v>46380</v>
      </c>
      <c r="F1114">
        <v>5</v>
      </c>
      <c r="G1114" t="s">
        <v>353</v>
      </c>
    </row>
    <row r="1115" spans="1:7">
      <c r="A1115" t="s">
        <v>2563</v>
      </c>
      <c r="B1115" t="s">
        <v>2564</v>
      </c>
      <c r="C1115">
        <v>15</v>
      </c>
      <c r="D1115" s="260">
        <v>46258</v>
      </c>
      <c r="E1115" s="260">
        <v>46276</v>
      </c>
      <c r="F1115">
        <v>35</v>
      </c>
      <c r="G1115" t="s">
        <v>353</v>
      </c>
    </row>
    <row r="1116" spans="1:7">
      <c r="A1116" t="s">
        <v>2565</v>
      </c>
      <c r="B1116" t="s">
        <v>2566</v>
      </c>
      <c r="C1116">
        <v>10</v>
      </c>
      <c r="D1116" s="260">
        <v>46293</v>
      </c>
      <c r="E1116" s="260">
        <v>46304</v>
      </c>
      <c r="F1116">
        <v>35</v>
      </c>
      <c r="G1116" t="s">
        <v>353</v>
      </c>
    </row>
    <row r="1117" spans="1:7">
      <c r="A1117" t="s">
        <v>2567</v>
      </c>
      <c r="B1117" t="s">
        <v>2568</v>
      </c>
      <c r="C1117">
        <v>10</v>
      </c>
      <c r="D1117" s="260">
        <v>46323</v>
      </c>
      <c r="E1117" s="260">
        <v>46336</v>
      </c>
      <c r="F1117">
        <v>35</v>
      </c>
      <c r="G1117" t="s">
        <v>353</v>
      </c>
    </row>
    <row r="1118" spans="1:7">
      <c r="A1118" t="s">
        <v>2569</v>
      </c>
      <c r="B1118" t="s">
        <v>2570</v>
      </c>
      <c r="C1118">
        <v>7</v>
      </c>
      <c r="D1118" s="260">
        <v>46175</v>
      </c>
      <c r="E1118" s="260">
        <v>46184</v>
      </c>
      <c r="F1118">
        <v>107</v>
      </c>
      <c r="G1118" t="s">
        <v>353</v>
      </c>
    </row>
    <row r="1119" spans="1:7">
      <c r="A1119" t="s">
        <v>2571</v>
      </c>
      <c r="B1119" t="s">
        <v>2572</v>
      </c>
      <c r="C1119">
        <v>5</v>
      </c>
      <c r="D1119" s="260">
        <v>46199</v>
      </c>
      <c r="E1119" s="260">
        <v>46205</v>
      </c>
      <c r="F1119">
        <v>107</v>
      </c>
      <c r="G1119" t="s">
        <v>353</v>
      </c>
    </row>
    <row r="1120" spans="1:7">
      <c r="A1120" t="s">
        <v>2573</v>
      </c>
      <c r="B1120" t="s">
        <v>2574</v>
      </c>
      <c r="C1120">
        <v>5</v>
      </c>
      <c r="D1120" s="260">
        <v>46220</v>
      </c>
      <c r="E1120" s="260">
        <v>46226</v>
      </c>
      <c r="F1120">
        <v>107</v>
      </c>
      <c r="G1120" t="s">
        <v>353</v>
      </c>
    </row>
    <row r="1121" spans="1:7">
      <c r="A1121" t="s">
        <v>2575</v>
      </c>
      <c r="B1121" t="s">
        <v>2576</v>
      </c>
      <c r="C1121">
        <v>15</v>
      </c>
      <c r="D1121" s="260">
        <v>46300</v>
      </c>
      <c r="E1121" s="260">
        <v>46322</v>
      </c>
      <c r="F1121">
        <v>5</v>
      </c>
      <c r="G1121" t="s">
        <v>353</v>
      </c>
    </row>
    <row r="1122" spans="1:7">
      <c r="A1122" t="s">
        <v>2577</v>
      </c>
      <c r="B1122" t="s">
        <v>2578</v>
      </c>
      <c r="C1122">
        <v>10</v>
      </c>
      <c r="D1122" s="260">
        <v>46337</v>
      </c>
      <c r="E1122" s="260">
        <v>46350</v>
      </c>
      <c r="F1122">
        <v>5</v>
      </c>
      <c r="G1122" t="s">
        <v>353</v>
      </c>
    </row>
    <row r="1123" spans="1:7">
      <c r="A1123" t="s">
        <v>2579</v>
      </c>
      <c r="B1123" t="s">
        <v>2580</v>
      </c>
      <c r="C1123">
        <v>10</v>
      </c>
      <c r="D1123" s="260">
        <v>46367</v>
      </c>
      <c r="E1123" s="260">
        <v>46380</v>
      </c>
      <c r="F1123">
        <v>5</v>
      </c>
      <c r="G1123" t="s">
        <v>353</v>
      </c>
    </row>
    <row r="1124" spans="1:7">
      <c r="A1124" t="s">
        <v>2581</v>
      </c>
      <c r="B1124" t="s">
        <v>2582</v>
      </c>
      <c r="C1124">
        <v>19</v>
      </c>
      <c r="D1124" s="260">
        <v>46148</v>
      </c>
      <c r="E1124" s="260">
        <v>46175</v>
      </c>
      <c r="F1124">
        <v>112</v>
      </c>
      <c r="G1124" t="s">
        <v>353</v>
      </c>
    </row>
    <row r="1125" spans="1:7">
      <c r="A1125" t="s">
        <v>2583</v>
      </c>
      <c r="B1125" t="s">
        <v>2584</v>
      </c>
      <c r="C1125">
        <v>10</v>
      </c>
      <c r="D1125" s="260">
        <v>46191</v>
      </c>
      <c r="E1125" s="260">
        <v>46204</v>
      </c>
      <c r="F1125">
        <v>112</v>
      </c>
      <c r="G1125" t="s">
        <v>353</v>
      </c>
    </row>
    <row r="1126" spans="1:7">
      <c r="A1126" t="s">
        <v>2585</v>
      </c>
      <c r="B1126" t="s">
        <v>2586</v>
      </c>
      <c r="C1126">
        <v>10</v>
      </c>
      <c r="D1126" s="260">
        <v>46219</v>
      </c>
      <c r="E1126" s="260">
        <v>46237</v>
      </c>
      <c r="F1126">
        <v>112</v>
      </c>
      <c r="G1126" t="s">
        <v>353</v>
      </c>
    </row>
    <row r="1127" spans="1:7">
      <c r="A1127" t="s">
        <v>2587</v>
      </c>
      <c r="C1127">
        <v>128</v>
      </c>
      <c r="D1127" s="260">
        <v>46128</v>
      </c>
      <c r="E1127" s="260">
        <v>46317</v>
      </c>
      <c r="F1127">
        <v>56</v>
      </c>
      <c r="G1127" t="s">
        <v>353</v>
      </c>
    </row>
    <row r="1128" spans="1:7">
      <c r="A1128" t="s">
        <v>2588</v>
      </c>
      <c r="B1128" t="s">
        <v>2589</v>
      </c>
      <c r="C1128">
        <v>17</v>
      </c>
      <c r="D1128" s="260">
        <v>46128</v>
      </c>
      <c r="E1128" s="260">
        <v>46153</v>
      </c>
      <c r="F1128">
        <v>47</v>
      </c>
      <c r="G1128" t="s">
        <v>353</v>
      </c>
    </row>
    <row r="1129" spans="1:7">
      <c r="A1129" t="s">
        <v>2590</v>
      </c>
      <c r="B1129" t="s">
        <v>2591</v>
      </c>
      <c r="C1129">
        <v>10</v>
      </c>
      <c r="D1129" s="260">
        <v>46168</v>
      </c>
      <c r="E1129" s="260">
        <v>46183</v>
      </c>
      <c r="F1129">
        <v>118</v>
      </c>
      <c r="G1129" t="s">
        <v>353</v>
      </c>
    </row>
    <row r="1130" spans="1:7">
      <c r="A1130" t="s">
        <v>2592</v>
      </c>
      <c r="B1130" t="s">
        <v>2593</v>
      </c>
      <c r="C1130">
        <v>10</v>
      </c>
      <c r="D1130" s="260">
        <v>46198</v>
      </c>
      <c r="E1130" s="260">
        <v>46211</v>
      </c>
      <c r="F1130">
        <v>118</v>
      </c>
      <c r="G1130" t="s">
        <v>353</v>
      </c>
    </row>
    <row r="1131" spans="1:7">
      <c r="A1131" t="s">
        <v>2594</v>
      </c>
      <c r="B1131" t="s">
        <v>2595</v>
      </c>
      <c r="C1131">
        <v>15</v>
      </c>
      <c r="D1131" s="260">
        <v>46148</v>
      </c>
      <c r="E1131" s="260">
        <v>46168</v>
      </c>
      <c r="F1131">
        <v>47</v>
      </c>
      <c r="G1131" t="s">
        <v>353</v>
      </c>
    </row>
    <row r="1132" spans="1:7">
      <c r="A1132" t="s">
        <v>2596</v>
      </c>
      <c r="B1132" t="s">
        <v>2597</v>
      </c>
      <c r="C1132">
        <v>10</v>
      </c>
      <c r="D1132" s="260">
        <v>46185</v>
      </c>
      <c r="E1132" s="260">
        <v>46198</v>
      </c>
      <c r="F1132">
        <v>102</v>
      </c>
      <c r="G1132" t="s">
        <v>353</v>
      </c>
    </row>
    <row r="1133" spans="1:7">
      <c r="A1133" t="s">
        <v>2598</v>
      </c>
      <c r="B1133" t="s">
        <v>2599</v>
      </c>
      <c r="C1133">
        <v>10</v>
      </c>
      <c r="D1133" s="260">
        <v>46213</v>
      </c>
      <c r="E1133" s="260">
        <v>46226</v>
      </c>
      <c r="F1133">
        <v>102</v>
      </c>
      <c r="G1133" t="s">
        <v>353</v>
      </c>
    </row>
    <row r="1134" spans="1:7">
      <c r="A1134" t="s">
        <v>2600</v>
      </c>
      <c r="B1134" t="s">
        <v>2601</v>
      </c>
      <c r="C1134">
        <v>15</v>
      </c>
      <c r="D1134" s="260">
        <v>46148</v>
      </c>
      <c r="E1134" s="260">
        <v>46168</v>
      </c>
      <c r="F1134">
        <v>107</v>
      </c>
      <c r="G1134" t="s">
        <v>353</v>
      </c>
    </row>
    <row r="1135" spans="1:7">
      <c r="A1135" t="s">
        <v>2602</v>
      </c>
      <c r="B1135" t="s">
        <v>2603</v>
      </c>
      <c r="C1135">
        <v>10</v>
      </c>
      <c r="D1135" s="260">
        <v>46185</v>
      </c>
      <c r="E1135" s="260">
        <v>46198</v>
      </c>
      <c r="F1135">
        <v>107</v>
      </c>
      <c r="G1135" t="s">
        <v>353</v>
      </c>
    </row>
    <row r="1136" spans="1:7">
      <c r="A1136" t="s">
        <v>2604</v>
      </c>
      <c r="B1136" t="s">
        <v>2605</v>
      </c>
      <c r="C1136">
        <v>10</v>
      </c>
      <c r="D1136" s="260">
        <v>46213</v>
      </c>
      <c r="E1136" s="260">
        <v>46226</v>
      </c>
      <c r="F1136">
        <v>107</v>
      </c>
      <c r="G1136" t="s">
        <v>353</v>
      </c>
    </row>
    <row r="1137" spans="1:7">
      <c r="A1137" t="s">
        <v>2606</v>
      </c>
      <c r="B1137" t="s">
        <v>2607</v>
      </c>
      <c r="C1137">
        <v>15</v>
      </c>
      <c r="D1137" s="260">
        <v>46148</v>
      </c>
      <c r="E1137" s="260">
        <v>46168</v>
      </c>
      <c r="F1137">
        <v>107</v>
      </c>
      <c r="G1137" t="s">
        <v>353</v>
      </c>
    </row>
    <row r="1138" spans="1:7">
      <c r="A1138" t="s">
        <v>2608</v>
      </c>
      <c r="B1138" t="s">
        <v>2609</v>
      </c>
      <c r="C1138">
        <v>10</v>
      </c>
      <c r="D1138" s="260">
        <v>46185</v>
      </c>
      <c r="E1138" s="260">
        <v>46198</v>
      </c>
      <c r="F1138">
        <v>107</v>
      </c>
      <c r="G1138" t="s">
        <v>353</v>
      </c>
    </row>
    <row r="1139" spans="1:7">
      <c r="A1139" t="s">
        <v>2610</v>
      </c>
      <c r="B1139" t="s">
        <v>2611</v>
      </c>
      <c r="C1139">
        <v>10</v>
      </c>
      <c r="D1139" s="260">
        <v>46213</v>
      </c>
      <c r="E1139" s="260">
        <v>46226</v>
      </c>
      <c r="F1139">
        <v>107</v>
      </c>
      <c r="G1139" t="s">
        <v>353</v>
      </c>
    </row>
    <row r="1140" spans="1:7">
      <c r="A1140" t="s">
        <v>2612</v>
      </c>
      <c r="B1140" t="s">
        <v>2613</v>
      </c>
      <c r="C1140">
        <v>15</v>
      </c>
      <c r="D1140" s="260">
        <v>46148</v>
      </c>
      <c r="E1140" s="260">
        <v>46168</v>
      </c>
      <c r="F1140">
        <v>82</v>
      </c>
      <c r="G1140" t="s">
        <v>353</v>
      </c>
    </row>
    <row r="1141" spans="1:7">
      <c r="A1141" t="s">
        <v>2614</v>
      </c>
      <c r="B1141" t="s">
        <v>2615</v>
      </c>
      <c r="C1141">
        <v>10</v>
      </c>
      <c r="D1141" s="260">
        <v>46185</v>
      </c>
      <c r="E1141" s="260">
        <v>46198</v>
      </c>
      <c r="F1141">
        <v>107</v>
      </c>
      <c r="G1141" t="s">
        <v>353</v>
      </c>
    </row>
    <row r="1142" spans="1:7">
      <c r="A1142" t="s">
        <v>2616</v>
      </c>
      <c r="B1142" t="s">
        <v>2617</v>
      </c>
      <c r="C1142">
        <v>10</v>
      </c>
      <c r="D1142" s="260">
        <v>46213</v>
      </c>
      <c r="E1142" s="260">
        <v>46226</v>
      </c>
      <c r="F1142">
        <v>107</v>
      </c>
      <c r="G1142" t="s">
        <v>353</v>
      </c>
    </row>
    <row r="1143" spans="1:7">
      <c r="A1143" t="s">
        <v>2618</v>
      </c>
      <c r="B1143" t="s">
        <v>2619</v>
      </c>
      <c r="C1143">
        <v>16</v>
      </c>
      <c r="D1143" s="260">
        <v>46154</v>
      </c>
      <c r="E1143" s="260">
        <v>46177</v>
      </c>
      <c r="F1143">
        <v>47</v>
      </c>
      <c r="G1143" t="s">
        <v>353</v>
      </c>
    </row>
    <row r="1144" spans="1:7">
      <c r="A1144" t="s">
        <v>2620</v>
      </c>
      <c r="B1144" t="s">
        <v>2621</v>
      </c>
      <c r="C1144">
        <v>10</v>
      </c>
      <c r="D1144" s="260">
        <v>46192</v>
      </c>
      <c r="E1144" s="260">
        <v>46205</v>
      </c>
      <c r="F1144">
        <v>97</v>
      </c>
      <c r="G1144" t="s">
        <v>353</v>
      </c>
    </row>
    <row r="1145" spans="1:7">
      <c r="A1145" t="s">
        <v>2622</v>
      </c>
      <c r="B1145" t="s">
        <v>2623</v>
      </c>
      <c r="C1145">
        <v>10</v>
      </c>
      <c r="D1145" s="260">
        <v>46220</v>
      </c>
      <c r="E1145" s="260">
        <v>46238</v>
      </c>
      <c r="F1145">
        <v>97</v>
      </c>
      <c r="G1145" t="s">
        <v>353</v>
      </c>
    </row>
    <row r="1146" spans="1:7">
      <c r="A1146" t="s">
        <v>2624</v>
      </c>
      <c r="B1146" t="s">
        <v>2625</v>
      </c>
      <c r="C1146">
        <v>16</v>
      </c>
      <c r="D1146" s="260">
        <v>46154</v>
      </c>
      <c r="E1146" s="260">
        <v>46177</v>
      </c>
      <c r="F1146">
        <v>102</v>
      </c>
      <c r="G1146" t="s">
        <v>353</v>
      </c>
    </row>
    <row r="1147" spans="1:7">
      <c r="A1147" t="s">
        <v>2626</v>
      </c>
      <c r="B1147" t="s">
        <v>2627</v>
      </c>
      <c r="C1147">
        <v>10</v>
      </c>
      <c r="D1147" s="260">
        <v>46192</v>
      </c>
      <c r="E1147" s="260">
        <v>46205</v>
      </c>
      <c r="F1147">
        <v>102</v>
      </c>
      <c r="G1147" t="s">
        <v>353</v>
      </c>
    </row>
    <row r="1148" spans="1:7">
      <c r="A1148" t="s">
        <v>2628</v>
      </c>
      <c r="B1148" t="s">
        <v>2629</v>
      </c>
      <c r="C1148">
        <v>10</v>
      </c>
      <c r="D1148" s="260">
        <v>46220</v>
      </c>
      <c r="E1148" s="260">
        <v>46238</v>
      </c>
      <c r="F1148">
        <v>102</v>
      </c>
      <c r="G1148" t="s">
        <v>353</v>
      </c>
    </row>
    <row r="1149" spans="1:7">
      <c r="A1149" t="s">
        <v>2630</v>
      </c>
      <c r="B1149" t="s">
        <v>2631</v>
      </c>
      <c r="C1149">
        <v>16</v>
      </c>
      <c r="D1149" s="260">
        <v>46154</v>
      </c>
      <c r="E1149" s="260">
        <v>46177</v>
      </c>
      <c r="F1149">
        <v>102</v>
      </c>
      <c r="G1149" t="s">
        <v>353</v>
      </c>
    </row>
    <row r="1150" spans="1:7">
      <c r="A1150" t="s">
        <v>2632</v>
      </c>
      <c r="B1150" t="s">
        <v>2633</v>
      </c>
      <c r="C1150">
        <v>10</v>
      </c>
      <c r="D1150" s="260">
        <v>46192</v>
      </c>
      <c r="E1150" s="260">
        <v>46205</v>
      </c>
      <c r="F1150">
        <v>102</v>
      </c>
      <c r="G1150" t="s">
        <v>353</v>
      </c>
    </row>
    <row r="1151" spans="1:7">
      <c r="A1151" t="s">
        <v>2634</v>
      </c>
      <c r="B1151" t="s">
        <v>2635</v>
      </c>
      <c r="C1151">
        <v>10</v>
      </c>
      <c r="D1151" s="260">
        <v>46220</v>
      </c>
      <c r="E1151" s="260">
        <v>46238</v>
      </c>
      <c r="F1151">
        <v>102</v>
      </c>
      <c r="G1151" t="s">
        <v>353</v>
      </c>
    </row>
    <row r="1152" spans="1:7">
      <c r="A1152" t="s">
        <v>2636</v>
      </c>
      <c r="B1152" t="s">
        <v>2637</v>
      </c>
      <c r="C1152">
        <v>16</v>
      </c>
      <c r="D1152" s="260">
        <v>46154</v>
      </c>
      <c r="E1152" s="260">
        <v>46177</v>
      </c>
      <c r="F1152">
        <v>80</v>
      </c>
      <c r="G1152" t="s">
        <v>353</v>
      </c>
    </row>
    <row r="1153" spans="1:7">
      <c r="A1153" t="s">
        <v>2638</v>
      </c>
      <c r="B1153" t="s">
        <v>2639</v>
      </c>
      <c r="C1153">
        <v>10</v>
      </c>
      <c r="D1153" s="260">
        <v>46192</v>
      </c>
      <c r="E1153" s="260">
        <v>46205</v>
      </c>
      <c r="F1153">
        <v>102</v>
      </c>
      <c r="G1153" t="s">
        <v>353</v>
      </c>
    </row>
    <row r="1154" spans="1:7">
      <c r="A1154" t="s">
        <v>2640</v>
      </c>
      <c r="B1154" t="s">
        <v>2641</v>
      </c>
      <c r="C1154">
        <v>10</v>
      </c>
      <c r="D1154" s="260">
        <v>46220</v>
      </c>
      <c r="E1154" s="260">
        <v>46238</v>
      </c>
      <c r="F1154">
        <v>102</v>
      </c>
      <c r="G1154" t="s">
        <v>353</v>
      </c>
    </row>
    <row r="1155" spans="1:7">
      <c r="A1155" t="s">
        <v>2642</v>
      </c>
      <c r="B1155" t="s">
        <v>2643</v>
      </c>
      <c r="C1155">
        <v>20</v>
      </c>
      <c r="D1155" s="260">
        <v>46147</v>
      </c>
      <c r="E1155" s="260">
        <v>46175</v>
      </c>
      <c r="F1155">
        <v>47</v>
      </c>
      <c r="G1155" t="s">
        <v>353</v>
      </c>
    </row>
    <row r="1156" spans="1:7">
      <c r="A1156" t="s">
        <v>2644</v>
      </c>
      <c r="B1156" t="s">
        <v>2645</v>
      </c>
      <c r="C1156">
        <v>10</v>
      </c>
      <c r="D1156" s="260">
        <v>46191</v>
      </c>
      <c r="E1156" s="260">
        <v>46204</v>
      </c>
      <c r="F1156">
        <v>103</v>
      </c>
      <c r="G1156" t="s">
        <v>353</v>
      </c>
    </row>
    <row r="1157" spans="1:7">
      <c r="A1157" t="s">
        <v>2646</v>
      </c>
      <c r="B1157" t="s">
        <v>2647</v>
      </c>
      <c r="C1157">
        <v>10</v>
      </c>
      <c r="D1157" s="260">
        <v>46219</v>
      </c>
      <c r="E1157" s="260">
        <v>46237</v>
      </c>
      <c r="F1157">
        <v>103</v>
      </c>
      <c r="G1157" t="s">
        <v>353</v>
      </c>
    </row>
    <row r="1158" spans="1:7">
      <c r="A1158" t="s">
        <v>2648</v>
      </c>
      <c r="B1158" t="s">
        <v>2649</v>
      </c>
      <c r="C1158">
        <v>11</v>
      </c>
      <c r="D1158" s="260">
        <v>46162</v>
      </c>
      <c r="E1158" s="260">
        <v>46178</v>
      </c>
      <c r="F1158">
        <v>101</v>
      </c>
      <c r="G1158" t="s">
        <v>353</v>
      </c>
    </row>
    <row r="1159" spans="1:7">
      <c r="A1159" t="s">
        <v>2650</v>
      </c>
      <c r="B1159" t="s">
        <v>2651</v>
      </c>
      <c r="C1159">
        <v>10</v>
      </c>
      <c r="D1159" s="260">
        <v>46195</v>
      </c>
      <c r="E1159" s="260">
        <v>46206</v>
      </c>
      <c r="F1159">
        <v>110</v>
      </c>
      <c r="G1159" t="s">
        <v>353</v>
      </c>
    </row>
    <row r="1160" spans="1:7">
      <c r="A1160" t="s">
        <v>2652</v>
      </c>
      <c r="B1160" t="s">
        <v>2653</v>
      </c>
      <c r="C1160">
        <v>10</v>
      </c>
      <c r="D1160" s="260">
        <v>46223</v>
      </c>
      <c r="E1160" s="260">
        <v>46239</v>
      </c>
      <c r="F1160">
        <v>110</v>
      </c>
      <c r="G1160" t="s">
        <v>353</v>
      </c>
    </row>
    <row r="1161" spans="1:7">
      <c r="A1161" t="s">
        <v>2654</v>
      </c>
      <c r="B1161" t="s">
        <v>2655</v>
      </c>
      <c r="C1161">
        <v>11</v>
      </c>
      <c r="D1161" s="260">
        <v>46162</v>
      </c>
      <c r="E1161" s="260">
        <v>46178</v>
      </c>
      <c r="F1161">
        <v>110</v>
      </c>
      <c r="G1161" t="s">
        <v>353</v>
      </c>
    </row>
    <row r="1162" spans="1:7">
      <c r="A1162" t="s">
        <v>2656</v>
      </c>
      <c r="B1162" t="s">
        <v>2657</v>
      </c>
      <c r="C1162">
        <v>10</v>
      </c>
      <c r="D1162" s="260">
        <v>46195</v>
      </c>
      <c r="E1162" s="260">
        <v>46206</v>
      </c>
      <c r="F1162">
        <v>110</v>
      </c>
      <c r="G1162" t="s">
        <v>353</v>
      </c>
    </row>
    <row r="1163" spans="1:7">
      <c r="A1163" t="s">
        <v>2658</v>
      </c>
      <c r="B1163" t="s">
        <v>2659</v>
      </c>
      <c r="C1163">
        <v>10</v>
      </c>
      <c r="D1163" s="260">
        <v>46223</v>
      </c>
      <c r="E1163" s="260">
        <v>46239</v>
      </c>
      <c r="F1163">
        <v>110</v>
      </c>
      <c r="G1163" t="s">
        <v>353</v>
      </c>
    </row>
    <row r="1164" spans="1:7">
      <c r="A1164" t="s">
        <v>2660</v>
      </c>
      <c r="B1164" t="s">
        <v>2661</v>
      </c>
      <c r="C1164">
        <v>11</v>
      </c>
      <c r="D1164" s="260">
        <v>46162</v>
      </c>
      <c r="E1164" s="260">
        <v>46178</v>
      </c>
      <c r="F1164">
        <v>101</v>
      </c>
      <c r="G1164" t="s">
        <v>353</v>
      </c>
    </row>
    <row r="1165" spans="1:7">
      <c r="A1165" t="s">
        <v>2662</v>
      </c>
      <c r="B1165" t="s">
        <v>2663</v>
      </c>
      <c r="C1165">
        <v>10</v>
      </c>
      <c r="D1165" s="260">
        <v>46195</v>
      </c>
      <c r="E1165" s="260">
        <v>46206</v>
      </c>
      <c r="F1165">
        <v>101</v>
      </c>
      <c r="G1165" t="s">
        <v>353</v>
      </c>
    </row>
    <row r="1166" spans="1:7">
      <c r="A1166" t="s">
        <v>2664</v>
      </c>
      <c r="B1166" t="s">
        <v>2665</v>
      </c>
      <c r="C1166">
        <v>10</v>
      </c>
      <c r="D1166" s="260">
        <v>46223</v>
      </c>
      <c r="E1166" s="260">
        <v>46239</v>
      </c>
      <c r="F1166">
        <v>101</v>
      </c>
      <c r="G1166" t="s">
        <v>353</v>
      </c>
    </row>
    <row r="1167" spans="1:7">
      <c r="A1167" t="s">
        <v>2666</v>
      </c>
      <c r="C1167">
        <v>50</v>
      </c>
      <c r="D1167" s="260">
        <v>46178</v>
      </c>
      <c r="E1167" s="260">
        <v>46253</v>
      </c>
      <c r="F1167">
        <v>92</v>
      </c>
      <c r="G1167" t="s">
        <v>353</v>
      </c>
    </row>
    <row r="1168" spans="1:7">
      <c r="A1168" t="s">
        <v>2667</v>
      </c>
      <c r="B1168" t="s">
        <v>2668</v>
      </c>
      <c r="C1168">
        <v>10</v>
      </c>
      <c r="D1168" s="260">
        <v>46178</v>
      </c>
      <c r="E1168" s="260">
        <v>46191</v>
      </c>
      <c r="F1168">
        <v>47</v>
      </c>
      <c r="G1168" t="s">
        <v>353</v>
      </c>
    </row>
    <row r="1169" spans="1:7">
      <c r="A1169" t="s">
        <v>2669</v>
      </c>
      <c r="B1169" t="s">
        <v>2670</v>
      </c>
      <c r="C1169">
        <v>5</v>
      </c>
      <c r="D1169" s="260">
        <v>46206</v>
      </c>
      <c r="E1169" s="260">
        <v>46212</v>
      </c>
      <c r="F1169">
        <v>102</v>
      </c>
      <c r="G1169" t="s">
        <v>353</v>
      </c>
    </row>
    <row r="1170" spans="1:7">
      <c r="A1170" t="s">
        <v>2671</v>
      </c>
      <c r="B1170" t="s">
        <v>2672</v>
      </c>
      <c r="C1170">
        <v>5</v>
      </c>
      <c r="D1170" s="260">
        <v>46239</v>
      </c>
      <c r="E1170" s="260">
        <v>46245</v>
      </c>
      <c r="F1170">
        <v>97</v>
      </c>
      <c r="G1170" t="s">
        <v>353</v>
      </c>
    </row>
    <row r="1171" spans="1:7">
      <c r="A1171" t="s">
        <v>2673</v>
      </c>
      <c r="B1171" t="s">
        <v>2674</v>
      </c>
      <c r="C1171">
        <v>10</v>
      </c>
      <c r="D1171" s="260">
        <v>46192</v>
      </c>
      <c r="E1171" s="260">
        <v>46205</v>
      </c>
      <c r="F1171">
        <v>47</v>
      </c>
      <c r="G1171" t="s">
        <v>353</v>
      </c>
    </row>
    <row r="1172" spans="1:7">
      <c r="A1172" t="s">
        <v>2675</v>
      </c>
      <c r="B1172" t="s">
        <v>2676</v>
      </c>
      <c r="C1172">
        <v>5</v>
      </c>
      <c r="D1172" s="260">
        <v>46220</v>
      </c>
      <c r="E1172" s="260">
        <v>46226</v>
      </c>
      <c r="F1172">
        <v>92</v>
      </c>
      <c r="G1172" t="s">
        <v>353</v>
      </c>
    </row>
    <row r="1173" spans="1:7">
      <c r="A1173" t="s">
        <v>2677</v>
      </c>
      <c r="B1173" t="s">
        <v>2678</v>
      </c>
      <c r="C1173">
        <v>5</v>
      </c>
      <c r="D1173" s="260">
        <v>46247</v>
      </c>
      <c r="E1173" s="260">
        <v>46253</v>
      </c>
      <c r="F1173">
        <v>92</v>
      </c>
      <c r="G1173" t="s">
        <v>353</v>
      </c>
    </row>
    <row r="1174" spans="1:7">
      <c r="A1174" t="s">
        <v>2679</v>
      </c>
      <c r="B1174" t="s">
        <v>2680</v>
      </c>
      <c r="C1174">
        <v>10</v>
      </c>
      <c r="D1174" s="260">
        <v>46192</v>
      </c>
      <c r="E1174" s="260">
        <v>46205</v>
      </c>
      <c r="F1174">
        <v>47</v>
      </c>
      <c r="G1174" t="s">
        <v>353</v>
      </c>
    </row>
    <row r="1175" spans="1:7">
      <c r="A1175" t="s">
        <v>2681</v>
      </c>
      <c r="B1175" t="s">
        <v>2682</v>
      </c>
      <c r="C1175">
        <v>5</v>
      </c>
      <c r="D1175" s="260">
        <v>46220</v>
      </c>
      <c r="E1175" s="260">
        <v>46226</v>
      </c>
      <c r="F1175">
        <v>92</v>
      </c>
      <c r="G1175" t="s">
        <v>353</v>
      </c>
    </row>
    <row r="1176" spans="1:7">
      <c r="A1176" t="s">
        <v>2683</v>
      </c>
      <c r="B1176" t="s">
        <v>2684</v>
      </c>
      <c r="C1176">
        <v>5</v>
      </c>
      <c r="D1176" s="260">
        <v>46247</v>
      </c>
      <c r="E1176" s="260">
        <v>46253</v>
      </c>
      <c r="F1176">
        <v>92</v>
      </c>
      <c r="G1176" t="s">
        <v>353</v>
      </c>
    </row>
    <row r="1177" spans="1:7">
      <c r="A1177" t="s">
        <v>2685</v>
      </c>
      <c r="B1177" t="s">
        <v>2686</v>
      </c>
      <c r="C1177">
        <v>10</v>
      </c>
      <c r="D1177" s="260">
        <v>46192</v>
      </c>
      <c r="E1177" s="260">
        <v>46205</v>
      </c>
      <c r="F1177">
        <v>47</v>
      </c>
      <c r="G1177" t="s">
        <v>353</v>
      </c>
    </row>
    <row r="1178" spans="1:7">
      <c r="A1178" t="s">
        <v>2687</v>
      </c>
      <c r="B1178" t="s">
        <v>2688</v>
      </c>
      <c r="C1178">
        <v>5</v>
      </c>
      <c r="D1178" s="260">
        <v>46220</v>
      </c>
      <c r="E1178" s="260">
        <v>46226</v>
      </c>
      <c r="F1178">
        <v>92</v>
      </c>
      <c r="G1178" t="s">
        <v>353</v>
      </c>
    </row>
    <row r="1179" spans="1:7">
      <c r="A1179" t="s">
        <v>2689</v>
      </c>
      <c r="B1179" t="s">
        <v>2690</v>
      </c>
      <c r="C1179">
        <v>5</v>
      </c>
      <c r="D1179" s="260">
        <v>46247</v>
      </c>
      <c r="E1179" s="260">
        <v>46253</v>
      </c>
      <c r="F1179">
        <v>92</v>
      </c>
      <c r="G1179" t="s">
        <v>353</v>
      </c>
    </row>
    <row r="1180" spans="1:7">
      <c r="A1180" t="s">
        <v>2691</v>
      </c>
      <c r="C1180">
        <v>85</v>
      </c>
      <c r="D1180" s="260">
        <v>46192</v>
      </c>
      <c r="E1180" s="260">
        <v>46317</v>
      </c>
      <c r="F1180">
        <v>47</v>
      </c>
      <c r="G1180" t="s">
        <v>353</v>
      </c>
    </row>
    <row r="1181" spans="1:7">
      <c r="A1181" t="s">
        <v>2692</v>
      </c>
      <c r="B1181" t="s">
        <v>2693</v>
      </c>
      <c r="C1181">
        <v>10</v>
      </c>
      <c r="D1181" s="260">
        <v>46192</v>
      </c>
      <c r="E1181" s="260">
        <v>46205</v>
      </c>
      <c r="F1181">
        <v>57</v>
      </c>
      <c r="G1181" t="s">
        <v>353</v>
      </c>
    </row>
    <row r="1182" spans="1:7">
      <c r="A1182" t="s">
        <v>2694</v>
      </c>
      <c r="B1182" t="s">
        <v>2695</v>
      </c>
      <c r="C1182">
        <v>5</v>
      </c>
      <c r="D1182" s="260">
        <v>46296</v>
      </c>
      <c r="E1182" s="260">
        <v>46302</v>
      </c>
      <c r="F1182">
        <v>57</v>
      </c>
      <c r="G1182" t="s">
        <v>353</v>
      </c>
    </row>
    <row r="1183" spans="1:7">
      <c r="A1183" t="s">
        <v>2696</v>
      </c>
      <c r="B1183" t="s">
        <v>2697</v>
      </c>
      <c r="C1183">
        <v>10</v>
      </c>
      <c r="D1183" s="260">
        <v>46206</v>
      </c>
      <c r="E1183" s="260">
        <v>46219</v>
      </c>
      <c r="F1183">
        <v>47</v>
      </c>
      <c r="G1183" t="s">
        <v>353</v>
      </c>
    </row>
    <row r="1184" spans="1:7">
      <c r="A1184" t="s">
        <v>2698</v>
      </c>
      <c r="B1184" t="s">
        <v>2699</v>
      </c>
      <c r="C1184">
        <v>5</v>
      </c>
      <c r="D1184" s="260">
        <v>46311</v>
      </c>
      <c r="E1184" s="260">
        <v>46317</v>
      </c>
      <c r="F1184">
        <v>47</v>
      </c>
      <c r="G1184" t="s">
        <v>353</v>
      </c>
    </row>
    <row r="1185" spans="1:7">
      <c r="A1185" t="s">
        <v>2700</v>
      </c>
      <c r="B1185" t="s">
        <v>2701</v>
      </c>
      <c r="C1185">
        <v>10</v>
      </c>
      <c r="D1185" s="260">
        <v>46206</v>
      </c>
      <c r="E1185" s="260">
        <v>46219</v>
      </c>
      <c r="F1185">
        <v>47</v>
      </c>
      <c r="G1185" t="s">
        <v>353</v>
      </c>
    </row>
    <row r="1186" spans="1:7">
      <c r="A1186" t="s">
        <v>2702</v>
      </c>
      <c r="B1186" t="s">
        <v>2703</v>
      </c>
      <c r="C1186">
        <v>5</v>
      </c>
      <c r="D1186" s="260">
        <v>46311</v>
      </c>
      <c r="E1186" s="260">
        <v>46317</v>
      </c>
      <c r="F1186">
        <v>47</v>
      </c>
      <c r="G1186" t="s">
        <v>353</v>
      </c>
    </row>
    <row r="1187" spans="1:7">
      <c r="A1187" t="s">
        <v>2704</v>
      </c>
      <c r="B1187" t="s">
        <v>2705</v>
      </c>
      <c r="C1187">
        <v>10</v>
      </c>
      <c r="D1187" s="260">
        <v>46206</v>
      </c>
      <c r="E1187" s="260">
        <v>46219</v>
      </c>
      <c r="F1187">
        <v>47</v>
      </c>
      <c r="G1187" t="s">
        <v>353</v>
      </c>
    </row>
    <row r="1188" spans="1:7">
      <c r="A1188" t="s">
        <v>2706</v>
      </c>
      <c r="B1188" t="s">
        <v>2707</v>
      </c>
      <c r="C1188">
        <v>5</v>
      </c>
      <c r="D1188" s="260">
        <v>46311</v>
      </c>
      <c r="E1188" s="260">
        <v>46317</v>
      </c>
      <c r="F1188">
        <v>47</v>
      </c>
      <c r="G1188" t="s">
        <v>353</v>
      </c>
    </row>
    <row r="1189" spans="1:7">
      <c r="A1189" t="s">
        <v>2708</v>
      </c>
      <c r="C1189">
        <v>40</v>
      </c>
      <c r="D1189" s="260">
        <v>46239</v>
      </c>
      <c r="E1189" s="260">
        <v>46295</v>
      </c>
      <c r="F1189">
        <v>47</v>
      </c>
      <c r="G1189" t="s">
        <v>353</v>
      </c>
    </row>
    <row r="1190" spans="1:7">
      <c r="A1190" t="s">
        <v>2709</v>
      </c>
      <c r="B1190" t="s">
        <v>2710</v>
      </c>
      <c r="C1190">
        <v>15</v>
      </c>
      <c r="D1190" s="260">
        <v>46239</v>
      </c>
      <c r="E1190" s="260">
        <v>46260</v>
      </c>
      <c r="F1190">
        <v>57</v>
      </c>
      <c r="G1190" t="s">
        <v>353</v>
      </c>
    </row>
    <row r="1191" spans="1:7">
      <c r="A1191" t="s">
        <v>2711</v>
      </c>
      <c r="B1191" t="s">
        <v>2712</v>
      </c>
      <c r="C1191">
        <v>5</v>
      </c>
      <c r="D1191" s="260">
        <v>46275</v>
      </c>
      <c r="E1191" s="260">
        <v>46281</v>
      </c>
      <c r="F1191">
        <v>57</v>
      </c>
      <c r="G1191" t="s">
        <v>353</v>
      </c>
    </row>
    <row r="1192" spans="1:7">
      <c r="A1192" t="s">
        <v>2713</v>
      </c>
      <c r="B1192" t="s">
        <v>2714</v>
      </c>
      <c r="C1192">
        <v>15</v>
      </c>
      <c r="D1192" s="260">
        <v>46254</v>
      </c>
      <c r="E1192" s="260">
        <v>46274</v>
      </c>
      <c r="F1192">
        <v>47</v>
      </c>
      <c r="G1192" t="s">
        <v>353</v>
      </c>
    </row>
    <row r="1193" spans="1:7">
      <c r="A1193" t="s">
        <v>2715</v>
      </c>
      <c r="B1193" t="s">
        <v>2716</v>
      </c>
      <c r="C1193">
        <v>5</v>
      </c>
      <c r="D1193" s="260">
        <v>46289</v>
      </c>
      <c r="E1193" s="260">
        <v>46295</v>
      </c>
      <c r="F1193">
        <v>47</v>
      </c>
      <c r="G1193" t="s">
        <v>353</v>
      </c>
    </row>
    <row r="1194" spans="1:7">
      <c r="A1194" t="s">
        <v>2717</v>
      </c>
      <c r="B1194" t="s">
        <v>2718</v>
      </c>
      <c r="C1194">
        <v>15</v>
      </c>
      <c r="D1194" s="260">
        <v>46254</v>
      </c>
      <c r="E1194" s="260">
        <v>46274</v>
      </c>
      <c r="F1194">
        <v>47</v>
      </c>
      <c r="G1194" t="s">
        <v>353</v>
      </c>
    </row>
    <row r="1195" spans="1:7">
      <c r="A1195" t="s">
        <v>2719</v>
      </c>
      <c r="B1195" t="s">
        <v>2720</v>
      </c>
      <c r="C1195">
        <v>5</v>
      </c>
      <c r="D1195" s="260">
        <v>46289</v>
      </c>
      <c r="E1195" s="260">
        <v>46295</v>
      </c>
      <c r="F1195">
        <v>47</v>
      </c>
      <c r="G1195" t="s">
        <v>353</v>
      </c>
    </row>
    <row r="1196" spans="1:7">
      <c r="A1196" t="s">
        <v>2721</v>
      </c>
      <c r="B1196" t="s">
        <v>2722</v>
      </c>
      <c r="C1196">
        <v>15</v>
      </c>
      <c r="D1196" s="260">
        <v>46254</v>
      </c>
      <c r="E1196" s="260">
        <v>46274</v>
      </c>
      <c r="F1196">
        <v>47</v>
      </c>
      <c r="G1196" t="s">
        <v>353</v>
      </c>
    </row>
    <row r="1197" spans="1:7">
      <c r="A1197" t="s">
        <v>2723</v>
      </c>
      <c r="B1197" t="s">
        <v>2724</v>
      </c>
      <c r="C1197">
        <v>5</v>
      </c>
      <c r="D1197" s="260">
        <v>46289</v>
      </c>
      <c r="E1197" s="260">
        <v>46295</v>
      </c>
      <c r="F1197">
        <v>47</v>
      </c>
      <c r="G1197" t="s">
        <v>353</v>
      </c>
    </row>
    <row r="1198" spans="1:7">
      <c r="A1198" t="s">
        <v>2725</v>
      </c>
      <c r="C1198">
        <v>151</v>
      </c>
      <c r="D1198" s="260">
        <v>46112</v>
      </c>
      <c r="E1198" s="260">
        <v>46339</v>
      </c>
      <c r="F1198">
        <v>32</v>
      </c>
      <c r="G1198" t="s">
        <v>353</v>
      </c>
    </row>
    <row r="1199" spans="1:7">
      <c r="A1199" t="s">
        <v>2726</v>
      </c>
      <c r="B1199" t="s">
        <v>2727</v>
      </c>
      <c r="C1199">
        <v>10</v>
      </c>
      <c r="D1199" s="260">
        <v>46113</v>
      </c>
      <c r="E1199" s="260">
        <v>46132</v>
      </c>
      <c r="F1199">
        <v>-45</v>
      </c>
      <c r="G1199" t="s">
        <v>353</v>
      </c>
    </row>
    <row r="1200" spans="1:7">
      <c r="A1200" t="s">
        <v>2728</v>
      </c>
      <c r="B1200" t="s">
        <v>2729</v>
      </c>
      <c r="C1200">
        <v>5</v>
      </c>
      <c r="D1200" s="260">
        <v>46155</v>
      </c>
      <c r="E1200" s="260">
        <v>46161</v>
      </c>
      <c r="F1200">
        <v>33</v>
      </c>
      <c r="G1200" t="s">
        <v>353</v>
      </c>
    </row>
    <row r="1201" spans="1:7">
      <c r="A1201" t="s">
        <v>2730</v>
      </c>
      <c r="B1201" t="s">
        <v>2731</v>
      </c>
      <c r="C1201">
        <v>5</v>
      </c>
      <c r="D1201" s="260">
        <v>46178</v>
      </c>
      <c r="E1201" s="260">
        <v>46184</v>
      </c>
      <c r="F1201">
        <v>33</v>
      </c>
      <c r="G1201" t="s">
        <v>353</v>
      </c>
    </row>
    <row r="1202" spans="1:7">
      <c r="A1202" t="s">
        <v>2732</v>
      </c>
      <c r="B1202" t="s">
        <v>2733</v>
      </c>
      <c r="C1202">
        <v>10</v>
      </c>
      <c r="D1202" s="260">
        <v>46120</v>
      </c>
      <c r="E1202" s="260">
        <v>46136</v>
      </c>
      <c r="F1202">
        <v>58</v>
      </c>
      <c r="G1202" t="s">
        <v>353</v>
      </c>
    </row>
    <row r="1203" spans="1:7">
      <c r="A1203" t="s">
        <v>2734</v>
      </c>
      <c r="B1203" t="s">
        <v>2735</v>
      </c>
      <c r="C1203">
        <v>10</v>
      </c>
      <c r="D1203" s="260">
        <v>46162</v>
      </c>
      <c r="E1203" s="260">
        <v>46177</v>
      </c>
      <c r="F1203">
        <v>82</v>
      </c>
      <c r="G1203" t="s">
        <v>353</v>
      </c>
    </row>
    <row r="1204" spans="1:7">
      <c r="A1204" t="s">
        <v>2736</v>
      </c>
      <c r="B1204" t="s">
        <v>2737</v>
      </c>
      <c r="C1204">
        <v>5</v>
      </c>
      <c r="D1204" s="260">
        <v>46192</v>
      </c>
      <c r="E1204" s="260">
        <v>46198</v>
      </c>
      <c r="F1204">
        <v>87</v>
      </c>
      <c r="G1204" t="s">
        <v>353</v>
      </c>
    </row>
    <row r="1205" spans="1:7">
      <c r="A1205" t="s">
        <v>2738</v>
      </c>
      <c r="B1205" t="s">
        <v>2739</v>
      </c>
      <c r="C1205">
        <v>10</v>
      </c>
      <c r="D1205" s="260">
        <v>46120</v>
      </c>
      <c r="E1205" s="260">
        <v>46136</v>
      </c>
      <c r="F1205">
        <v>83</v>
      </c>
      <c r="G1205" t="s">
        <v>353</v>
      </c>
    </row>
    <row r="1206" spans="1:7">
      <c r="A1206" t="s">
        <v>2740</v>
      </c>
      <c r="B1206" t="s">
        <v>2741</v>
      </c>
      <c r="C1206">
        <v>10</v>
      </c>
      <c r="D1206" s="260">
        <v>46162</v>
      </c>
      <c r="E1206" s="260">
        <v>46177</v>
      </c>
      <c r="F1206">
        <v>92</v>
      </c>
      <c r="G1206" t="s">
        <v>353</v>
      </c>
    </row>
    <row r="1207" spans="1:7">
      <c r="A1207" t="s">
        <v>2742</v>
      </c>
      <c r="B1207" t="s">
        <v>2743</v>
      </c>
      <c r="C1207">
        <v>5</v>
      </c>
      <c r="D1207" s="260">
        <v>46192</v>
      </c>
      <c r="E1207" s="260">
        <v>46198</v>
      </c>
      <c r="F1207">
        <v>97</v>
      </c>
      <c r="G1207" t="s">
        <v>353</v>
      </c>
    </row>
    <row r="1208" spans="1:7">
      <c r="A1208" t="s">
        <v>2744</v>
      </c>
      <c r="B1208" t="s">
        <v>2745</v>
      </c>
      <c r="C1208">
        <v>15</v>
      </c>
      <c r="D1208" s="260">
        <v>46178</v>
      </c>
      <c r="E1208" s="260">
        <v>46198</v>
      </c>
      <c r="F1208">
        <v>32</v>
      </c>
      <c r="G1208" t="s">
        <v>353</v>
      </c>
    </row>
    <row r="1209" spans="1:7">
      <c r="A1209" t="s">
        <v>2746</v>
      </c>
      <c r="B1209" t="s">
        <v>2747</v>
      </c>
      <c r="C1209">
        <v>10</v>
      </c>
      <c r="D1209" s="260">
        <v>46213</v>
      </c>
      <c r="E1209" s="260">
        <v>46226</v>
      </c>
      <c r="F1209">
        <v>67</v>
      </c>
      <c r="G1209" t="s">
        <v>353</v>
      </c>
    </row>
    <row r="1210" spans="1:7">
      <c r="A1210" t="s">
        <v>2748</v>
      </c>
      <c r="B1210" t="s">
        <v>2749</v>
      </c>
      <c r="C1210">
        <v>5</v>
      </c>
      <c r="D1210" s="260">
        <v>46247</v>
      </c>
      <c r="E1210" s="260">
        <v>46253</v>
      </c>
      <c r="F1210">
        <v>87</v>
      </c>
      <c r="G1210" t="s">
        <v>353</v>
      </c>
    </row>
    <row r="1211" spans="1:7">
      <c r="A1211" t="s">
        <v>2750</v>
      </c>
      <c r="B1211" t="s">
        <v>2751</v>
      </c>
      <c r="C1211">
        <v>15</v>
      </c>
      <c r="D1211" s="260">
        <v>46199</v>
      </c>
      <c r="E1211" s="260">
        <v>46219</v>
      </c>
      <c r="F1211">
        <v>72</v>
      </c>
      <c r="G1211" t="s">
        <v>353</v>
      </c>
    </row>
    <row r="1212" spans="1:7">
      <c r="A1212" t="s">
        <v>2752</v>
      </c>
      <c r="B1212" t="s">
        <v>2753</v>
      </c>
      <c r="C1212">
        <v>5</v>
      </c>
      <c r="D1212" s="260">
        <v>46275</v>
      </c>
      <c r="E1212" s="260">
        <v>46281</v>
      </c>
      <c r="F1212">
        <v>72</v>
      </c>
      <c r="G1212" t="s">
        <v>353</v>
      </c>
    </row>
    <row r="1213" spans="1:7">
      <c r="A1213" t="s">
        <v>2754</v>
      </c>
      <c r="B1213" t="s">
        <v>2755</v>
      </c>
      <c r="C1213">
        <v>15</v>
      </c>
      <c r="D1213" s="260">
        <v>46178</v>
      </c>
      <c r="E1213" s="260">
        <v>46198</v>
      </c>
      <c r="F1213">
        <v>72</v>
      </c>
      <c r="G1213" t="s">
        <v>353</v>
      </c>
    </row>
    <row r="1214" spans="1:7">
      <c r="A1214" t="s">
        <v>2756</v>
      </c>
      <c r="B1214" t="s">
        <v>2757</v>
      </c>
      <c r="C1214">
        <v>10</v>
      </c>
      <c r="D1214" s="260">
        <v>46227</v>
      </c>
      <c r="E1214" s="260">
        <v>46245</v>
      </c>
      <c r="F1214">
        <v>67</v>
      </c>
      <c r="G1214" t="s">
        <v>353</v>
      </c>
    </row>
    <row r="1215" spans="1:7">
      <c r="A1215" t="s">
        <v>2758</v>
      </c>
      <c r="B1215" t="s">
        <v>2759</v>
      </c>
      <c r="C1215">
        <v>5</v>
      </c>
      <c r="D1215" s="260">
        <v>46261</v>
      </c>
      <c r="E1215" s="260">
        <v>46267</v>
      </c>
      <c r="F1215">
        <v>72</v>
      </c>
      <c r="G1215" t="s">
        <v>353</v>
      </c>
    </row>
    <row r="1216" spans="1:7">
      <c r="A1216" t="s">
        <v>2760</v>
      </c>
      <c r="B1216" t="s">
        <v>2761</v>
      </c>
      <c r="C1216">
        <v>15</v>
      </c>
      <c r="D1216" s="260">
        <v>46199</v>
      </c>
      <c r="E1216" s="260">
        <v>46219</v>
      </c>
      <c r="F1216">
        <v>42</v>
      </c>
      <c r="G1216" t="s">
        <v>353</v>
      </c>
    </row>
    <row r="1217" spans="1:7">
      <c r="A1217" t="s">
        <v>2762</v>
      </c>
      <c r="B1217" t="s">
        <v>2763</v>
      </c>
      <c r="C1217">
        <v>10</v>
      </c>
      <c r="D1217" s="260">
        <v>46239</v>
      </c>
      <c r="E1217" s="260">
        <v>46253</v>
      </c>
      <c r="F1217">
        <v>77</v>
      </c>
      <c r="G1217" t="s">
        <v>353</v>
      </c>
    </row>
    <row r="1218" spans="1:7">
      <c r="A1218" t="s">
        <v>2764</v>
      </c>
      <c r="B1218" t="s">
        <v>2765</v>
      </c>
      <c r="C1218">
        <v>5</v>
      </c>
      <c r="D1218" s="260">
        <v>46268</v>
      </c>
      <c r="E1218" s="260">
        <v>46274</v>
      </c>
      <c r="F1218">
        <v>77</v>
      </c>
      <c r="G1218" t="s">
        <v>353</v>
      </c>
    </row>
    <row r="1219" spans="1:7">
      <c r="A1219" t="s">
        <v>2766</v>
      </c>
      <c r="B1219" t="s">
        <v>2767</v>
      </c>
      <c r="C1219">
        <v>15</v>
      </c>
      <c r="D1219" s="260">
        <v>46199</v>
      </c>
      <c r="E1219" s="260">
        <v>46219</v>
      </c>
      <c r="F1219">
        <v>42</v>
      </c>
      <c r="G1219" t="s">
        <v>353</v>
      </c>
    </row>
    <row r="1220" spans="1:7">
      <c r="A1220" t="s">
        <v>2768</v>
      </c>
      <c r="B1220" t="s">
        <v>2769</v>
      </c>
      <c r="C1220">
        <v>10</v>
      </c>
      <c r="D1220" s="260">
        <v>46239</v>
      </c>
      <c r="E1220" s="260">
        <v>46253</v>
      </c>
      <c r="F1220">
        <v>77</v>
      </c>
      <c r="G1220" t="s">
        <v>353</v>
      </c>
    </row>
    <row r="1221" spans="1:7">
      <c r="A1221" t="s">
        <v>2770</v>
      </c>
      <c r="B1221" t="s">
        <v>2771</v>
      </c>
      <c r="C1221">
        <v>5</v>
      </c>
      <c r="D1221" s="260">
        <v>46268</v>
      </c>
      <c r="E1221" s="260">
        <v>46274</v>
      </c>
      <c r="F1221">
        <v>77</v>
      </c>
      <c r="G1221" t="s">
        <v>353</v>
      </c>
    </row>
    <row r="1222" spans="1:7">
      <c r="A1222" t="s">
        <v>2772</v>
      </c>
      <c r="B1222" t="s">
        <v>2773</v>
      </c>
      <c r="C1222">
        <v>15</v>
      </c>
      <c r="D1222" s="260">
        <v>46199</v>
      </c>
      <c r="E1222" s="260">
        <v>46219</v>
      </c>
      <c r="F1222">
        <v>57</v>
      </c>
      <c r="G1222" t="s">
        <v>353</v>
      </c>
    </row>
    <row r="1223" spans="1:7">
      <c r="A1223" t="s">
        <v>2774</v>
      </c>
      <c r="B1223" t="s">
        <v>2775</v>
      </c>
      <c r="C1223">
        <v>10</v>
      </c>
      <c r="D1223" s="260">
        <v>46239</v>
      </c>
      <c r="E1223" s="260">
        <v>46253</v>
      </c>
      <c r="F1223">
        <v>62</v>
      </c>
      <c r="G1223" t="s">
        <v>353</v>
      </c>
    </row>
    <row r="1224" spans="1:7">
      <c r="A1224" t="s">
        <v>2776</v>
      </c>
      <c r="B1224" t="s">
        <v>2777</v>
      </c>
      <c r="C1224">
        <v>5</v>
      </c>
      <c r="D1224" s="260">
        <v>46268</v>
      </c>
      <c r="E1224" s="260">
        <v>46274</v>
      </c>
      <c r="F1224">
        <v>67</v>
      </c>
      <c r="G1224" t="s">
        <v>353</v>
      </c>
    </row>
    <row r="1225" spans="1:7">
      <c r="A1225" t="s">
        <v>2778</v>
      </c>
      <c r="B1225" t="s">
        <v>2779</v>
      </c>
      <c r="C1225">
        <v>10</v>
      </c>
      <c r="D1225" s="260">
        <v>46120</v>
      </c>
      <c r="E1225" s="260">
        <v>46136</v>
      </c>
      <c r="F1225">
        <v>58</v>
      </c>
      <c r="G1225" t="s">
        <v>353</v>
      </c>
    </row>
    <row r="1226" spans="1:7">
      <c r="A1226" t="s">
        <v>2780</v>
      </c>
      <c r="B1226" t="s">
        <v>2781</v>
      </c>
      <c r="C1226">
        <v>10</v>
      </c>
      <c r="D1226" s="260">
        <v>46162</v>
      </c>
      <c r="E1226" s="260">
        <v>46177</v>
      </c>
      <c r="F1226">
        <v>82</v>
      </c>
      <c r="G1226" t="s">
        <v>353</v>
      </c>
    </row>
    <row r="1227" spans="1:7">
      <c r="A1227" t="s">
        <v>2782</v>
      </c>
      <c r="B1227" t="s">
        <v>2783</v>
      </c>
      <c r="C1227">
        <v>5</v>
      </c>
      <c r="D1227" s="260">
        <v>46192</v>
      </c>
      <c r="E1227" s="260">
        <v>46198</v>
      </c>
      <c r="F1227">
        <v>97</v>
      </c>
      <c r="G1227" t="s">
        <v>353</v>
      </c>
    </row>
    <row r="1228" spans="1:7">
      <c r="A1228" t="s">
        <v>2784</v>
      </c>
      <c r="B1228" t="s">
        <v>2785</v>
      </c>
      <c r="C1228">
        <v>10</v>
      </c>
      <c r="D1228" s="260">
        <v>46120</v>
      </c>
      <c r="E1228" s="260">
        <v>46136</v>
      </c>
      <c r="F1228">
        <v>78</v>
      </c>
      <c r="G1228" t="s">
        <v>353</v>
      </c>
    </row>
    <row r="1229" spans="1:7">
      <c r="A1229" t="s">
        <v>2786</v>
      </c>
      <c r="B1229" t="s">
        <v>2787</v>
      </c>
      <c r="C1229">
        <v>10</v>
      </c>
      <c r="D1229" s="260">
        <v>46162</v>
      </c>
      <c r="E1229" s="260">
        <v>46177</v>
      </c>
      <c r="F1229">
        <v>102</v>
      </c>
      <c r="G1229" t="s">
        <v>353</v>
      </c>
    </row>
    <row r="1230" spans="1:7">
      <c r="A1230" t="s">
        <v>2788</v>
      </c>
      <c r="B1230" t="s">
        <v>2789</v>
      </c>
      <c r="C1230">
        <v>5</v>
      </c>
      <c r="D1230" s="260">
        <v>46192</v>
      </c>
      <c r="E1230" s="260">
        <v>46198</v>
      </c>
      <c r="F1230">
        <v>112</v>
      </c>
      <c r="G1230" t="s">
        <v>353</v>
      </c>
    </row>
    <row r="1231" spans="1:7">
      <c r="A1231" t="s">
        <v>2790</v>
      </c>
      <c r="B1231" t="s">
        <v>2791</v>
      </c>
      <c r="C1231">
        <v>15</v>
      </c>
      <c r="D1231" s="260">
        <v>46178</v>
      </c>
      <c r="E1231" s="260">
        <v>46198</v>
      </c>
      <c r="F1231">
        <v>32</v>
      </c>
      <c r="G1231" t="s">
        <v>353</v>
      </c>
    </row>
    <row r="1232" spans="1:7">
      <c r="A1232" t="s">
        <v>2792</v>
      </c>
      <c r="B1232" t="s">
        <v>2793</v>
      </c>
      <c r="C1232">
        <v>10</v>
      </c>
      <c r="D1232" s="260">
        <v>46213</v>
      </c>
      <c r="E1232" s="260">
        <v>46226</v>
      </c>
      <c r="F1232">
        <v>57</v>
      </c>
      <c r="G1232" t="s">
        <v>353</v>
      </c>
    </row>
    <row r="1233" spans="1:7">
      <c r="A1233" t="s">
        <v>2794</v>
      </c>
      <c r="B1233" t="s">
        <v>2795</v>
      </c>
      <c r="C1233">
        <v>5</v>
      </c>
      <c r="D1233" s="260">
        <v>46247</v>
      </c>
      <c r="E1233" s="260">
        <v>46253</v>
      </c>
      <c r="F1233">
        <v>67</v>
      </c>
      <c r="G1233" t="s">
        <v>353</v>
      </c>
    </row>
    <row r="1234" spans="1:7">
      <c r="A1234" t="s">
        <v>2796</v>
      </c>
      <c r="B1234" t="s">
        <v>2797</v>
      </c>
      <c r="C1234">
        <v>15</v>
      </c>
      <c r="D1234" s="260">
        <v>46199</v>
      </c>
      <c r="E1234" s="260">
        <v>46219</v>
      </c>
      <c r="F1234">
        <v>32</v>
      </c>
      <c r="G1234" t="s">
        <v>353</v>
      </c>
    </row>
    <row r="1235" spans="1:7">
      <c r="A1235" t="s">
        <v>2798</v>
      </c>
      <c r="B1235" t="s">
        <v>2799</v>
      </c>
      <c r="C1235">
        <v>5</v>
      </c>
      <c r="D1235" s="260">
        <v>46268</v>
      </c>
      <c r="E1235" s="260">
        <v>46274</v>
      </c>
      <c r="F1235">
        <v>57</v>
      </c>
      <c r="G1235" t="s">
        <v>353</v>
      </c>
    </row>
    <row r="1236" spans="1:7">
      <c r="A1236" t="s">
        <v>2800</v>
      </c>
      <c r="B1236" t="s">
        <v>2801</v>
      </c>
      <c r="C1236">
        <v>15</v>
      </c>
      <c r="D1236" s="260">
        <v>46139</v>
      </c>
      <c r="E1236" s="260">
        <v>46160</v>
      </c>
      <c r="F1236">
        <v>58</v>
      </c>
      <c r="G1236" t="s">
        <v>353</v>
      </c>
    </row>
    <row r="1237" spans="1:7">
      <c r="A1237" t="s">
        <v>2802</v>
      </c>
      <c r="B1237" t="s">
        <v>2803</v>
      </c>
      <c r="C1237">
        <v>10</v>
      </c>
      <c r="D1237" s="260">
        <v>46178</v>
      </c>
      <c r="E1237" s="260">
        <v>46191</v>
      </c>
      <c r="F1237">
        <v>82</v>
      </c>
      <c r="G1237" t="s">
        <v>353</v>
      </c>
    </row>
    <row r="1238" spans="1:7">
      <c r="A1238" t="s">
        <v>2804</v>
      </c>
      <c r="B1238" t="s">
        <v>2805</v>
      </c>
      <c r="C1238">
        <v>5</v>
      </c>
      <c r="D1238" s="260">
        <v>46206</v>
      </c>
      <c r="E1238" s="260">
        <v>46212</v>
      </c>
      <c r="F1238">
        <v>92</v>
      </c>
      <c r="G1238" t="s">
        <v>353</v>
      </c>
    </row>
    <row r="1239" spans="1:7">
      <c r="A1239" t="s">
        <v>2806</v>
      </c>
      <c r="B1239" t="s">
        <v>2807</v>
      </c>
      <c r="C1239">
        <v>15</v>
      </c>
      <c r="D1239" s="260">
        <v>46199</v>
      </c>
      <c r="E1239" s="260">
        <v>46219</v>
      </c>
      <c r="F1239">
        <v>77</v>
      </c>
      <c r="G1239" t="s">
        <v>353</v>
      </c>
    </row>
    <row r="1240" spans="1:7">
      <c r="A1240" t="s">
        <v>2808</v>
      </c>
      <c r="B1240" t="s">
        <v>2809</v>
      </c>
      <c r="C1240">
        <v>10</v>
      </c>
      <c r="D1240" s="260">
        <v>46239</v>
      </c>
      <c r="E1240" s="260">
        <v>46253</v>
      </c>
      <c r="F1240">
        <v>77</v>
      </c>
      <c r="G1240" t="s">
        <v>353</v>
      </c>
    </row>
    <row r="1241" spans="1:7">
      <c r="A1241" t="s">
        <v>2810</v>
      </c>
      <c r="B1241" t="s">
        <v>2811</v>
      </c>
      <c r="C1241">
        <v>5</v>
      </c>
      <c r="D1241" s="260">
        <v>46268</v>
      </c>
      <c r="E1241" s="260">
        <v>46274</v>
      </c>
      <c r="F1241">
        <v>77</v>
      </c>
      <c r="G1241" t="s">
        <v>353</v>
      </c>
    </row>
    <row r="1242" spans="1:7">
      <c r="A1242" t="s">
        <v>2812</v>
      </c>
      <c r="B1242" t="s">
        <v>2767</v>
      </c>
      <c r="C1242">
        <v>15</v>
      </c>
      <c r="D1242" s="260">
        <v>46199</v>
      </c>
      <c r="E1242" s="260">
        <v>46219</v>
      </c>
      <c r="F1242">
        <v>77</v>
      </c>
      <c r="G1242" t="s">
        <v>353</v>
      </c>
    </row>
    <row r="1243" spans="1:7">
      <c r="A1243" t="s">
        <v>2813</v>
      </c>
      <c r="B1243" t="s">
        <v>2769</v>
      </c>
      <c r="C1243">
        <v>10</v>
      </c>
      <c r="D1243" s="260">
        <v>46239</v>
      </c>
      <c r="E1243" s="260">
        <v>46253</v>
      </c>
      <c r="F1243">
        <v>77</v>
      </c>
      <c r="G1243" t="s">
        <v>353</v>
      </c>
    </row>
    <row r="1244" spans="1:7">
      <c r="A1244" t="s">
        <v>2814</v>
      </c>
      <c r="B1244" t="s">
        <v>2771</v>
      </c>
      <c r="C1244">
        <v>5</v>
      </c>
      <c r="D1244" s="260">
        <v>46268</v>
      </c>
      <c r="E1244" s="260">
        <v>46274</v>
      </c>
      <c r="F1244">
        <v>77</v>
      </c>
      <c r="G1244" t="s">
        <v>353</v>
      </c>
    </row>
    <row r="1245" spans="1:7">
      <c r="A1245" t="s">
        <v>2815</v>
      </c>
      <c r="B1245" t="s">
        <v>2816</v>
      </c>
      <c r="C1245">
        <v>15</v>
      </c>
      <c r="D1245" s="260">
        <v>46199</v>
      </c>
      <c r="E1245" s="260">
        <v>46219</v>
      </c>
      <c r="F1245">
        <v>37</v>
      </c>
      <c r="G1245" t="s">
        <v>353</v>
      </c>
    </row>
    <row r="1246" spans="1:7">
      <c r="A1246" t="s">
        <v>2817</v>
      </c>
      <c r="B1246" t="s">
        <v>2818</v>
      </c>
      <c r="C1246">
        <v>10</v>
      </c>
      <c r="D1246" s="260">
        <v>46239</v>
      </c>
      <c r="E1246" s="260">
        <v>46253</v>
      </c>
      <c r="F1246">
        <v>62</v>
      </c>
      <c r="G1246" t="s">
        <v>353</v>
      </c>
    </row>
    <row r="1247" spans="1:7">
      <c r="A1247" t="s">
        <v>2819</v>
      </c>
      <c r="B1247" t="s">
        <v>2820</v>
      </c>
      <c r="C1247">
        <v>5</v>
      </c>
      <c r="D1247" s="260">
        <v>46268</v>
      </c>
      <c r="E1247" s="260">
        <v>46274</v>
      </c>
      <c r="F1247">
        <v>67</v>
      </c>
      <c r="G1247" t="s">
        <v>353</v>
      </c>
    </row>
    <row r="1248" spans="1:7">
      <c r="A1248" t="s">
        <v>2821</v>
      </c>
      <c r="B1248" t="s">
        <v>2822</v>
      </c>
      <c r="C1248">
        <v>15</v>
      </c>
      <c r="D1248" s="260">
        <v>46113</v>
      </c>
      <c r="E1248" s="260">
        <v>46139</v>
      </c>
      <c r="F1248">
        <v>-45</v>
      </c>
      <c r="G1248" t="s">
        <v>353</v>
      </c>
    </row>
    <row r="1249" spans="1:7">
      <c r="A1249" t="s">
        <v>2823</v>
      </c>
      <c r="B1249" t="s">
        <v>2824</v>
      </c>
      <c r="C1249">
        <v>10</v>
      </c>
      <c r="D1249" s="260">
        <v>46185</v>
      </c>
      <c r="E1249" s="260">
        <v>46198</v>
      </c>
      <c r="F1249">
        <v>112</v>
      </c>
      <c r="G1249" t="s">
        <v>353</v>
      </c>
    </row>
    <row r="1250" spans="1:7">
      <c r="A1250" t="s">
        <v>2825</v>
      </c>
      <c r="B1250" t="s">
        <v>2826</v>
      </c>
      <c r="C1250">
        <v>15</v>
      </c>
      <c r="D1250" s="260">
        <v>46112</v>
      </c>
      <c r="E1250" s="260">
        <v>46136</v>
      </c>
      <c r="F1250">
        <v>0</v>
      </c>
      <c r="G1250" t="s">
        <v>353</v>
      </c>
    </row>
    <row r="1251" spans="1:7">
      <c r="A1251" t="s">
        <v>2827</v>
      </c>
      <c r="B1251" t="s">
        <v>2828</v>
      </c>
      <c r="C1251">
        <v>10</v>
      </c>
      <c r="D1251" s="260">
        <v>46169</v>
      </c>
      <c r="E1251" s="260">
        <v>46184</v>
      </c>
      <c r="F1251">
        <v>33</v>
      </c>
      <c r="G1251" t="s">
        <v>353</v>
      </c>
    </row>
    <row r="1252" spans="1:7">
      <c r="A1252" t="s">
        <v>2829</v>
      </c>
      <c r="B1252" t="s">
        <v>2830</v>
      </c>
      <c r="C1252">
        <v>15</v>
      </c>
      <c r="D1252" s="260">
        <v>46113</v>
      </c>
      <c r="E1252" s="260">
        <v>46139</v>
      </c>
      <c r="F1252">
        <v>-45</v>
      </c>
      <c r="G1252" t="s">
        <v>353</v>
      </c>
    </row>
    <row r="1253" spans="1:7">
      <c r="A1253" t="s">
        <v>2831</v>
      </c>
      <c r="B1253" t="s">
        <v>2832</v>
      </c>
      <c r="C1253">
        <v>10</v>
      </c>
      <c r="D1253" s="260">
        <v>46185</v>
      </c>
      <c r="E1253" s="260">
        <v>46198</v>
      </c>
      <c r="F1253">
        <v>112</v>
      </c>
      <c r="G1253" t="s">
        <v>353</v>
      </c>
    </row>
    <row r="1254" spans="1:7">
      <c r="A1254" t="s">
        <v>2833</v>
      </c>
      <c r="B1254" t="s">
        <v>2834</v>
      </c>
      <c r="C1254">
        <v>15</v>
      </c>
      <c r="D1254" s="260">
        <v>46113</v>
      </c>
      <c r="E1254" s="260">
        <v>46139</v>
      </c>
      <c r="F1254">
        <v>-45</v>
      </c>
      <c r="G1254" t="s">
        <v>353</v>
      </c>
    </row>
    <row r="1255" spans="1:7">
      <c r="A1255" t="s">
        <v>2835</v>
      </c>
      <c r="B1255" t="s">
        <v>2836</v>
      </c>
      <c r="C1255">
        <v>10</v>
      </c>
      <c r="D1255" s="260">
        <v>46185</v>
      </c>
      <c r="E1255" s="260">
        <v>46198</v>
      </c>
      <c r="F1255">
        <v>112</v>
      </c>
      <c r="G1255" t="s">
        <v>353</v>
      </c>
    </row>
    <row r="1256" spans="1:7">
      <c r="A1256" t="s">
        <v>2837</v>
      </c>
      <c r="B1256" t="s">
        <v>2838</v>
      </c>
      <c r="C1256">
        <v>15</v>
      </c>
      <c r="D1256" s="260">
        <v>46113</v>
      </c>
      <c r="E1256" s="260">
        <v>46139</v>
      </c>
      <c r="F1256">
        <v>87</v>
      </c>
      <c r="G1256" t="s">
        <v>353</v>
      </c>
    </row>
    <row r="1257" spans="1:7">
      <c r="A1257" t="s">
        <v>2839</v>
      </c>
      <c r="B1257" t="s">
        <v>2840</v>
      </c>
      <c r="C1257">
        <v>10</v>
      </c>
      <c r="D1257" s="260">
        <v>46185</v>
      </c>
      <c r="E1257" s="260">
        <v>46198</v>
      </c>
      <c r="F1257">
        <v>112</v>
      </c>
      <c r="G1257" t="s">
        <v>353</v>
      </c>
    </row>
    <row r="1258" spans="1:7">
      <c r="A1258" t="s">
        <v>2841</v>
      </c>
      <c r="B1258" t="s">
        <v>2842</v>
      </c>
      <c r="C1258">
        <v>15</v>
      </c>
      <c r="D1258" s="260">
        <v>46113</v>
      </c>
      <c r="E1258" s="260">
        <v>46139</v>
      </c>
      <c r="F1258">
        <v>87</v>
      </c>
      <c r="G1258" t="s">
        <v>353</v>
      </c>
    </row>
    <row r="1259" spans="1:7">
      <c r="A1259" t="s">
        <v>2843</v>
      </c>
      <c r="B1259" t="s">
        <v>2844</v>
      </c>
      <c r="C1259">
        <v>10</v>
      </c>
      <c r="D1259" s="260">
        <v>46185</v>
      </c>
      <c r="E1259" s="260">
        <v>46198</v>
      </c>
      <c r="F1259">
        <v>112</v>
      </c>
      <c r="G1259" t="s">
        <v>353</v>
      </c>
    </row>
    <row r="1260" spans="1:7">
      <c r="A1260" t="s">
        <v>2845</v>
      </c>
      <c r="B1260" t="s">
        <v>2846</v>
      </c>
      <c r="C1260">
        <v>15</v>
      </c>
      <c r="D1260" s="260">
        <v>46113</v>
      </c>
      <c r="E1260" s="260">
        <v>46139</v>
      </c>
      <c r="F1260">
        <v>147</v>
      </c>
      <c r="G1260" t="s">
        <v>353</v>
      </c>
    </row>
    <row r="1261" spans="1:7">
      <c r="A1261" t="s">
        <v>2847</v>
      </c>
      <c r="B1261" t="s">
        <v>2848</v>
      </c>
      <c r="C1261">
        <v>10</v>
      </c>
      <c r="D1261" s="260">
        <v>46185</v>
      </c>
      <c r="E1261" s="260">
        <v>46198</v>
      </c>
      <c r="F1261">
        <v>127</v>
      </c>
      <c r="G1261" t="s">
        <v>353</v>
      </c>
    </row>
    <row r="1262" spans="1:7">
      <c r="A1262" t="s">
        <v>2849</v>
      </c>
      <c r="B1262" t="s">
        <v>2850</v>
      </c>
      <c r="C1262">
        <v>15</v>
      </c>
      <c r="D1262" s="260">
        <v>46113</v>
      </c>
      <c r="E1262" s="260">
        <v>46139</v>
      </c>
      <c r="F1262">
        <v>112</v>
      </c>
      <c r="G1262" t="s">
        <v>353</v>
      </c>
    </row>
    <row r="1263" spans="1:7">
      <c r="A1263" t="s">
        <v>2851</v>
      </c>
      <c r="B1263" t="s">
        <v>2852</v>
      </c>
      <c r="C1263">
        <v>10</v>
      </c>
      <c r="D1263" s="260">
        <v>46185</v>
      </c>
      <c r="E1263" s="260">
        <v>46198</v>
      </c>
      <c r="F1263">
        <v>117</v>
      </c>
      <c r="G1263" t="s">
        <v>353</v>
      </c>
    </row>
    <row r="1264" spans="1:7">
      <c r="A1264" t="s">
        <v>2853</v>
      </c>
      <c r="B1264" t="s">
        <v>2854</v>
      </c>
      <c r="C1264">
        <v>15</v>
      </c>
      <c r="D1264" s="260">
        <v>46113</v>
      </c>
      <c r="E1264" s="260">
        <v>46139</v>
      </c>
      <c r="F1264">
        <v>92</v>
      </c>
      <c r="G1264" t="s">
        <v>353</v>
      </c>
    </row>
    <row r="1265" spans="1:7">
      <c r="A1265" t="s">
        <v>2855</v>
      </c>
      <c r="B1265" t="s">
        <v>2856</v>
      </c>
      <c r="C1265">
        <v>10</v>
      </c>
      <c r="D1265" s="260">
        <v>46185</v>
      </c>
      <c r="E1265" s="260">
        <v>46198</v>
      </c>
      <c r="F1265">
        <v>117</v>
      </c>
      <c r="G1265" t="s">
        <v>353</v>
      </c>
    </row>
    <row r="1266" spans="1:7">
      <c r="A1266" t="s">
        <v>2857</v>
      </c>
      <c r="B1266" t="s">
        <v>2858</v>
      </c>
      <c r="C1266">
        <v>15</v>
      </c>
      <c r="D1266" s="260">
        <v>46113</v>
      </c>
      <c r="E1266" s="260">
        <v>46139</v>
      </c>
      <c r="F1266">
        <v>147</v>
      </c>
      <c r="G1266" t="s">
        <v>353</v>
      </c>
    </row>
    <row r="1267" spans="1:7">
      <c r="A1267" t="s">
        <v>2859</v>
      </c>
      <c r="B1267" t="s">
        <v>2860</v>
      </c>
      <c r="C1267">
        <v>10</v>
      </c>
      <c r="D1267" s="260">
        <v>46185</v>
      </c>
      <c r="E1267" s="260">
        <v>46198</v>
      </c>
      <c r="F1267">
        <v>127</v>
      </c>
      <c r="G1267" t="s">
        <v>353</v>
      </c>
    </row>
    <row r="1268" spans="1:7">
      <c r="A1268" t="s">
        <v>2861</v>
      </c>
      <c r="B1268" t="s">
        <v>2862</v>
      </c>
      <c r="C1268">
        <v>15</v>
      </c>
      <c r="D1268" s="260">
        <v>46113</v>
      </c>
      <c r="E1268" s="260">
        <v>46139</v>
      </c>
      <c r="F1268">
        <v>112</v>
      </c>
      <c r="G1268" t="s">
        <v>353</v>
      </c>
    </row>
    <row r="1269" spans="1:7">
      <c r="A1269" t="s">
        <v>2863</v>
      </c>
      <c r="B1269" t="s">
        <v>2864</v>
      </c>
      <c r="C1269">
        <v>5</v>
      </c>
      <c r="D1269" s="260">
        <v>46185</v>
      </c>
      <c r="E1269" s="260">
        <v>46191</v>
      </c>
      <c r="F1269">
        <v>122</v>
      </c>
      <c r="G1269" t="s">
        <v>353</v>
      </c>
    </row>
    <row r="1270" spans="1:7">
      <c r="A1270" t="s">
        <v>2865</v>
      </c>
      <c r="B1270" t="s">
        <v>2866</v>
      </c>
      <c r="C1270">
        <v>15</v>
      </c>
      <c r="D1270" s="260">
        <v>46133</v>
      </c>
      <c r="E1270" s="260">
        <v>46154</v>
      </c>
      <c r="F1270">
        <v>137</v>
      </c>
      <c r="G1270" t="s">
        <v>353</v>
      </c>
    </row>
    <row r="1271" spans="1:7">
      <c r="A1271" t="s">
        <v>2867</v>
      </c>
      <c r="B1271" t="s">
        <v>2868</v>
      </c>
      <c r="C1271">
        <v>10</v>
      </c>
      <c r="D1271" s="260">
        <v>46169</v>
      </c>
      <c r="E1271" s="260">
        <v>46184</v>
      </c>
      <c r="F1271">
        <v>137</v>
      </c>
      <c r="G1271" t="s">
        <v>353</v>
      </c>
    </row>
    <row r="1272" spans="1:7">
      <c r="A1272" t="s">
        <v>2869</v>
      </c>
      <c r="B1272" t="s">
        <v>2870</v>
      </c>
      <c r="C1272">
        <v>15</v>
      </c>
      <c r="D1272" s="260">
        <v>46133</v>
      </c>
      <c r="E1272" s="260">
        <v>46154</v>
      </c>
      <c r="F1272">
        <v>137</v>
      </c>
      <c r="G1272" t="s">
        <v>353</v>
      </c>
    </row>
    <row r="1273" spans="1:7">
      <c r="A1273" t="s">
        <v>2871</v>
      </c>
      <c r="B1273" t="s">
        <v>2872</v>
      </c>
      <c r="C1273">
        <v>10</v>
      </c>
      <c r="D1273" s="260">
        <v>46169</v>
      </c>
      <c r="E1273" s="260">
        <v>46184</v>
      </c>
      <c r="F1273">
        <v>137</v>
      </c>
      <c r="G1273" t="s">
        <v>353</v>
      </c>
    </row>
    <row r="1274" spans="1:7">
      <c r="A1274" t="s">
        <v>2873</v>
      </c>
      <c r="B1274" t="s">
        <v>2874</v>
      </c>
      <c r="C1274">
        <v>15</v>
      </c>
      <c r="D1274" s="260">
        <v>46133</v>
      </c>
      <c r="E1274" s="260">
        <v>46154</v>
      </c>
      <c r="F1274">
        <v>137</v>
      </c>
      <c r="G1274" t="s">
        <v>353</v>
      </c>
    </row>
    <row r="1275" spans="1:7">
      <c r="A1275" t="s">
        <v>2875</v>
      </c>
      <c r="B1275" t="s">
        <v>2876</v>
      </c>
      <c r="C1275">
        <v>10</v>
      </c>
      <c r="D1275" s="260">
        <v>46169</v>
      </c>
      <c r="E1275" s="260">
        <v>46184</v>
      </c>
      <c r="F1275">
        <v>137</v>
      </c>
      <c r="G1275" t="s">
        <v>353</v>
      </c>
    </row>
    <row r="1276" spans="1:7">
      <c r="A1276" t="s">
        <v>2877</v>
      </c>
      <c r="B1276" t="s">
        <v>2878</v>
      </c>
      <c r="C1276">
        <v>15</v>
      </c>
      <c r="D1276" s="260">
        <v>46133</v>
      </c>
      <c r="E1276" s="260">
        <v>46154</v>
      </c>
      <c r="F1276">
        <v>137</v>
      </c>
      <c r="G1276" t="s">
        <v>353</v>
      </c>
    </row>
    <row r="1277" spans="1:7">
      <c r="A1277" t="s">
        <v>2879</v>
      </c>
      <c r="B1277" t="s">
        <v>2880</v>
      </c>
      <c r="C1277">
        <v>10</v>
      </c>
      <c r="D1277" s="260">
        <v>46169</v>
      </c>
      <c r="E1277" s="260">
        <v>46184</v>
      </c>
      <c r="F1277">
        <v>137</v>
      </c>
      <c r="G1277" t="s">
        <v>353</v>
      </c>
    </row>
    <row r="1278" spans="1:7">
      <c r="A1278" t="s">
        <v>2881</v>
      </c>
      <c r="B1278" t="s">
        <v>2882</v>
      </c>
      <c r="C1278">
        <v>15</v>
      </c>
      <c r="D1278" s="260">
        <v>46133</v>
      </c>
      <c r="E1278" s="260">
        <v>46154</v>
      </c>
      <c r="F1278">
        <v>137</v>
      </c>
      <c r="G1278" t="s">
        <v>353</v>
      </c>
    </row>
    <row r="1279" spans="1:7">
      <c r="A1279" t="s">
        <v>2883</v>
      </c>
      <c r="B1279" t="s">
        <v>2884</v>
      </c>
      <c r="C1279">
        <v>10</v>
      </c>
      <c r="D1279" s="260">
        <v>46169</v>
      </c>
      <c r="E1279" s="260">
        <v>46184</v>
      </c>
      <c r="F1279">
        <v>137</v>
      </c>
      <c r="G1279" t="s">
        <v>353</v>
      </c>
    </row>
    <row r="1280" spans="1:7">
      <c r="A1280" t="s">
        <v>2885</v>
      </c>
      <c r="B1280" t="s">
        <v>2886</v>
      </c>
      <c r="C1280">
        <v>15</v>
      </c>
      <c r="D1280" s="260">
        <v>46113</v>
      </c>
      <c r="E1280" s="260">
        <v>46139</v>
      </c>
      <c r="F1280">
        <v>147</v>
      </c>
      <c r="G1280" t="s">
        <v>353</v>
      </c>
    </row>
    <row r="1281" spans="1:7">
      <c r="A1281" t="s">
        <v>2887</v>
      </c>
      <c r="B1281" t="s">
        <v>2888</v>
      </c>
      <c r="C1281">
        <v>10</v>
      </c>
      <c r="D1281" s="260">
        <v>46155</v>
      </c>
      <c r="E1281" s="260">
        <v>46168</v>
      </c>
      <c r="F1281">
        <v>147</v>
      </c>
      <c r="G1281" t="s">
        <v>353</v>
      </c>
    </row>
    <row r="1282" spans="1:7">
      <c r="A1282" t="s">
        <v>2889</v>
      </c>
      <c r="B1282" t="s">
        <v>2890</v>
      </c>
      <c r="C1282">
        <v>15</v>
      </c>
      <c r="D1282" s="260">
        <v>46140</v>
      </c>
      <c r="E1282" s="260">
        <v>46161</v>
      </c>
      <c r="F1282">
        <v>112</v>
      </c>
      <c r="G1282" t="s">
        <v>353</v>
      </c>
    </row>
    <row r="1283" spans="1:7">
      <c r="A1283" t="s">
        <v>2891</v>
      </c>
      <c r="B1283" t="s">
        <v>2892</v>
      </c>
      <c r="C1283">
        <v>10</v>
      </c>
      <c r="D1283" s="260">
        <v>46206</v>
      </c>
      <c r="E1283" s="260">
        <v>46219</v>
      </c>
      <c r="F1283">
        <v>112</v>
      </c>
      <c r="G1283" t="s">
        <v>353</v>
      </c>
    </row>
    <row r="1284" spans="1:7">
      <c r="A1284" t="s">
        <v>2893</v>
      </c>
      <c r="B1284" t="s">
        <v>2894</v>
      </c>
      <c r="C1284">
        <v>15</v>
      </c>
      <c r="D1284" s="260">
        <v>46199</v>
      </c>
      <c r="E1284" s="260">
        <v>46219</v>
      </c>
      <c r="F1284">
        <v>72</v>
      </c>
      <c r="G1284" t="s">
        <v>353</v>
      </c>
    </row>
    <row r="1285" spans="1:7">
      <c r="A1285" t="s">
        <v>2895</v>
      </c>
      <c r="B1285" t="s">
        <v>2896</v>
      </c>
      <c r="C1285">
        <v>10</v>
      </c>
      <c r="D1285" s="260">
        <v>46239</v>
      </c>
      <c r="E1285" s="260">
        <v>46253</v>
      </c>
      <c r="F1285">
        <v>72</v>
      </c>
      <c r="G1285" t="s">
        <v>353</v>
      </c>
    </row>
    <row r="1286" spans="1:7">
      <c r="A1286" t="s">
        <v>2897</v>
      </c>
      <c r="B1286" t="s">
        <v>2898</v>
      </c>
      <c r="C1286">
        <v>10</v>
      </c>
      <c r="D1286" s="260">
        <v>46268</v>
      </c>
      <c r="E1286" s="260">
        <v>46281</v>
      </c>
      <c r="F1286">
        <v>72</v>
      </c>
      <c r="G1286" t="s">
        <v>353</v>
      </c>
    </row>
    <row r="1287" spans="1:7">
      <c r="A1287" t="s">
        <v>2899</v>
      </c>
      <c r="B1287" t="s">
        <v>2900</v>
      </c>
      <c r="C1287">
        <v>15</v>
      </c>
      <c r="D1287" s="260">
        <v>46199</v>
      </c>
      <c r="E1287" s="260">
        <v>46219</v>
      </c>
      <c r="F1287">
        <v>42</v>
      </c>
      <c r="G1287" t="s">
        <v>353</v>
      </c>
    </row>
    <row r="1288" spans="1:7">
      <c r="A1288" t="s">
        <v>2901</v>
      </c>
      <c r="B1288" t="s">
        <v>2902</v>
      </c>
      <c r="C1288">
        <v>10</v>
      </c>
      <c r="D1288" s="260">
        <v>46268</v>
      </c>
      <c r="E1288" s="260">
        <v>46281</v>
      </c>
      <c r="F1288">
        <v>52</v>
      </c>
      <c r="G1288" t="s">
        <v>353</v>
      </c>
    </row>
    <row r="1289" spans="1:7">
      <c r="A1289" t="s">
        <v>2903</v>
      </c>
      <c r="B1289" t="s">
        <v>2904</v>
      </c>
      <c r="C1289">
        <v>15</v>
      </c>
      <c r="D1289" s="260">
        <v>46148</v>
      </c>
      <c r="E1289" s="260">
        <v>46168</v>
      </c>
      <c r="F1289">
        <v>92</v>
      </c>
      <c r="G1289" t="s">
        <v>353</v>
      </c>
    </row>
    <row r="1290" spans="1:7">
      <c r="A1290" t="s">
        <v>2905</v>
      </c>
      <c r="B1290" t="s">
        <v>2906</v>
      </c>
      <c r="C1290">
        <v>10</v>
      </c>
      <c r="D1290" s="260">
        <v>46213</v>
      </c>
      <c r="E1290" s="260">
        <v>46226</v>
      </c>
      <c r="F1290">
        <v>77</v>
      </c>
      <c r="G1290" t="s">
        <v>353</v>
      </c>
    </row>
    <row r="1291" spans="1:7">
      <c r="A1291" t="s">
        <v>2907</v>
      </c>
      <c r="B1291" t="s">
        <v>2908</v>
      </c>
      <c r="C1291">
        <v>10</v>
      </c>
      <c r="D1291" s="260">
        <v>46275</v>
      </c>
      <c r="E1291" s="260">
        <v>46288</v>
      </c>
      <c r="F1291">
        <v>57</v>
      </c>
      <c r="G1291" t="s">
        <v>353</v>
      </c>
    </row>
    <row r="1292" spans="1:7">
      <c r="A1292" t="s">
        <v>2909</v>
      </c>
      <c r="B1292" t="s">
        <v>2910</v>
      </c>
      <c r="C1292">
        <v>15</v>
      </c>
      <c r="D1292" s="260">
        <v>46199</v>
      </c>
      <c r="E1292" s="260">
        <v>46219</v>
      </c>
      <c r="F1292">
        <v>42</v>
      </c>
      <c r="G1292" t="s">
        <v>353</v>
      </c>
    </row>
    <row r="1293" spans="1:7">
      <c r="A1293" t="s">
        <v>2911</v>
      </c>
      <c r="B1293" t="s">
        <v>2912</v>
      </c>
      <c r="C1293">
        <v>10</v>
      </c>
      <c r="D1293" s="260">
        <v>46247</v>
      </c>
      <c r="E1293" s="260">
        <v>46260</v>
      </c>
      <c r="F1293">
        <v>47</v>
      </c>
      <c r="G1293" t="s">
        <v>353</v>
      </c>
    </row>
    <row r="1294" spans="1:7">
      <c r="A1294" t="s">
        <v>2913</v>
      </c>
      <c r="B1294" t="s">
        <v>2914</v>
      </c>
      <c r="C1294">
        <v>10</v>
      </c>
      <c r="D1294" s="260">
        <v>46275</v>
      </c>
      <c r="E1294" s="260">
        <v>46288</v>
      </c>
      <c r="F1294">
        <v>47</v>
      </c>
      <c r="G1294" t="s">
        <v>353</v>
      </c>
    </row>
    <row r="1295" spans="1:7">
      <c r="A1295" t="s">
        <v>2915</v>
      </c>
      <c r="B1295" t="s">
        <v>2916</v>
      </c>
      <c r="C1295">
        <v>15</v>
      </c>
      <c r="D1295" s="260">
        <v>46199</v>
      </c>
      <c r="E1295" s="260">
        <v>46219</v>
      </c>
      <c r="F1295">
        <v>72</v>
      </c>
      <c r="G1295" t="s">
        <v>353</v>
      </c>
    </row>
    <row r="1296" spans="1:7">
      <c r="A1296" t="s">
        <v>2917</v>
      </c>
      <c r="B1296" t="s">
        <v>2918</v>
      </c>
      <c r="C1296">
        <v>10</v>
      </c>
      <c r="D1296" s="260">
        <v>46275</v>
      </c>
      <c r="E1296" s="260">
        <v>46288</v>
      </c>
      <c r="F1296">
        <v>67</v>
      </c>
      <c r="G1296" t="s">
        <v>353</v>
      </c>
    </row>
    <row r="1297" spans="1:7">
      <c r="A1297" t="s">
        <v>2919</v>
      </c>
      <c r="B1297" t="s">
        <v>2920</v>
      </c>
      <c r="C1297">
        <v>15</v>
      </c>
      <c r="D1297" s="260">
        <v>46199</v>
      </c>
      <c r="E1297" s="260">
        <v>46219</v>
      </c>
      <c r="F1297">
        <v>72</v>
      </c>
      <c r="G1297" t="s">
        <v>353</v>
      </c>
    </row>
    <row r="1298" spans="1:7">
      <c r="A1298" t="s">
        <v>2921</v>
      </c>
      <c r="B1298" t="s">
        <v>2922</v>
      </c>
      <c r="C1298">
        <v>10</v>
      </c>
      <c r="D1298" s="260">
        <v>46239</v>
      </c>
      <c r="E1298" s="260">
        <v>46253</v>
      </c>
      <c r="F1298">
        <v>72</v>
      </c>
      <c r="G1298" t="s">
        <v>353</v>
      </c>
    </row>
    <row r="1299" spans="1:7">
      <c r="A1299" t="s">
        <v>2923</v>
      </c>
      <c r="B1299" t="s">
        <v>2924</v>
      </c>
      <c r="C1299">
        <v>10</v>
      </c>
      <c r="D1299" s="260">
        <v>46268</v>
      </c>
      <c r="E1299" s="260">
        <v>46281</v>
      </c>
      <c r="F1299">
        <v>72</v>
      </c>
      <c r="G1299" t="s">
        <v>353</v>
      </c>
    </row>
    <row r="1300" spans="1:7">
      <c r="A1300" t="s">
        <v>2925</v>
      </c>
      <c r="B1300" t="s">
        <v>2926</v>
      </c>
      <c r="C1300">
        <v>15</v>
      </c>
      <c r="D1300" s="260">
        <v>46220</v>
      </c>
      <c r="E1300" s="260">
        <v>46245</v>
      </c>
      <c r="F1300">
        <v>42</v>
      </c>
      <c r="G1300" t="s">
        <v>353</v>
      </c>
    </row>
    <row r="1301" spans="1:7">
      <c r="A1301" t="s">
        <v>2927</v>
      </c>
      <c r="B1301" t="s">
        <v>2928</v>
      </c>
      <c r="C1301">
        <v>10</v>
      </c>
      <c r="D1301" s="260">
        <v>46289</v>
      </c>
      <c r="E1301" s="260">
        <v>46302</v>
      </c>
      <c r="F1301">
        <v>47</v>
      </c>
      <c r="G1301" t="s">
        <v>353</v>
      </c>
    </row>
    <row r="1302" spans="1:7">
      <c r="A1302" t="s">
        <v>2929</v>
      </c>
      <c r="B1302" t="s">
        <v>2930</v>
      </c>
      <c r="C1302">
        <v>15</v>
      </c>
      <c r="D1302" s="260">
        <v>46220</v>
      </c>
      <c r="E1302" s="260">
        <v>46245</v>
      </c>
      <c r="F1302">
        <v>57</v>
      </c>
      <c r="G1302" t="s">
        <v>353</v>
      </c>
    </row>
    <row r="1303" spans="1:7">
      <c r="A1303" t="s">
        <v>2931</v>
      </c>
      <c r="B1303" t="s">
        <v>2932</v>
      </c>
      <c r="C1303">
        <v>10</v>
      </c>
      <c r="D1303" s="260">
        <v>46289</v>
      </c>
      <c r="E1303" s="260">
        <v>46302</v>
      </c>
      <c r="F1303">
        <v>57</v>
      </c>
      <c r="G1303" t="s">
        <v>353</v>
      </c>
    </row>
    <row r="1304" spans="1:7">
      <c r="A1304" t="s">
        <v>2933</v>
      </c>
      <c r="B1304" t="s">
        <v>2934</v>
      </c>
      <c r="C1304">
        <v>15</v>
      </c>
      <c r="D1304" s="260">
        <v>46247</v>
      </c>
      <c r="E1304" s="260">
        <v>46267</v>
      </c>
      <c r="F1304">
        <v>42</v>
      </c>
      <c r="G1304" t="s">
        <v>353</v>
      </c>
    </row>
    <row r="1305" spans="1:7">
      <c r="A1305" t="s">
        <v>2935</v>
      </c>
      <c r="B1305" t="s">
        <v>2936</v>
      </c>
      <c r="C1305">
        <v>10</v>
      </c>
      <c r="D1305" s="260">
        <v>46282</v>
      </c>
      <c r="E1305" s="260">
        <v>46295</v>
      </c>
      <c r="F1305">
        <v>42</v>
      </c>
      <c r="G1305" t="s">
        <v>353</v>
      </c>
    </row>
    <row r="1306" spans="1:7">
      <c r="A1306" t="s">
        <v>2937</v>
      </c>
      <c r="B1306" t="s">
        <v>2938</v>
      </c>
      <c r="C1306">
        <v>10</v>
      </c>
      <c r="D1306" s="260">
        <v>46311</v>
      </c>
      <c r="E1306" s="260">
        <v>46325</v>
      </c>
      <c r="F1306">
        <v>42</v>
      </c>
      <c r="G1306" t="s">
        <v>353</v>
      </c>
    </row>
    <row r="1307" spans="1:7">
      <c r="A1307" t="s">
        <v>2939</v>
      </c>
      <c r="B1307" t="s">
        <v>2940</v>
      </c>
      <c r="C1307">
        <v>15</v>
      </c>
      <c r="D1307" s="260">
        <v>46199</v>
      </c>
      <c r="E1307" s="260">
        <v>46219</v>
      </c>
      <c r="F1307">
        <v>72</v>
      </c>
      <c r="G1307" t="s">
        <v>353</v>
      </c>
    </row>
    <row r="1308" spans="1:7">
      <c r="A1308" t="s">
        <v>2941</v>
      </c>
      <c r="B1308" t="s">
        <v>2942</v>
      </c>
      <c r="C1308">
        <v>10</v>
      </c>
      <c r="D1308" s="260">
        <v>46239</v>
      </c>
      <c r="E1308" s="260">
        <v>46253</v>
      </c>
      <c r="F1308">
        <v>72</v>
      </c>
      <c r="G1308" t="s">
        <v>353</v>
      </c>
    </row>
    <row r="1309" spans="1:7">
      <c r="A1309" t="s">
        <v>2943</v>
      </c>
      <c r="B1309" t="s">
        <v>2944</v>
      </c>
      <c r="C1309">
        <v>10</v>
      </c>
      <c r="D1309" s="260">
        <v>46268</v>
      </c>
      <c r="E1309" s="260">
        <v>46281</v>
      </c>
      <c r="F1309">
        <v>72</v>
      </c>
      <c r="G1309" t="s">
        <v>353</v>
      </c>
    </row>
    <row r="1310" spans="1:7">
      <c r="A1310" t="s">
        <v>2945</v>
      </c>
      <c r="B1310" t="s">
        <v>2946</v>
      </c>
      <c r="C1310">
        <v>15</v>
      </c>
      <c r="D1310" s="260">
        <v>46199</v>
      </c>
      <c r="E1310" s="260">
        <v>46219</v>
      </c>
      <c r="F1310">
        <v>72</v>
      </c>
      <c r="G1310" t="s">
        <v>353</v>
      </c>
    </row>
    <row r="1311" spans="1:7">
      <c r="A1311" t="s">
        <v>2947</v>
      </c>
      <c r="B1311" t="s">
        <v>2948</v>
      </c>
      <c r="C1311">
        <v>10</v>
      </c>
      <c r="D1311" s="260">
        <v>46239</v>
      </c>
      <c r="E1311" s="260">
        <v>46253</v>
      </c>
      <c r="F1311">
        <v>72</v>
      </c>
      <c r="G1311" t="s">
        <v>353</v>
      </c>
    </row>
    <row r="1312" spans="1:7">
      <c r="A1312" t="s">
        <v>2949</v>
      </c>
      <c r="B1312" t="s">
        <v>2950</v>
      </c>
      <c r="C1312">
        <v>10</v>
      </c>
      <c r="D1312" s="260">
        <v>46268</v>
      </c>
      <c r="E1312" s="260">
        <v>46281</v>
      </c>
      <c r="F1312">
        <v>72</v>
      </c>
      <c r="G1312" t="s">
        <v>353</v>
      </c>
    </row>
    <row r="1313" spans="1:7">
      <c r="A1313" t="s">
        <v>2951</v>
      </c>
      <c r="B1313" t="s">
        <v>2952</v>
      </c>
      <c r="C1313">
        <v>15</v>
      </c>
      <c r="D1313" s="260">
        <v>46199</v>
      </c>
      <c r="E1313" s="260">
        <v>46219</v>
      </c>
      <c r="F1313">
        <v>72</v>
      </c>
      <c r="G1313" t="s">
        <v>353</v>
      </c>
    </row>
    <row r="1314" spans="1:7">
      <c r="A1314" t="s">
        <v>2953</v>
      </c>
      <c r="B1314" t="s">
        <v>2954</v>
      </c>
      <c r="C1314">
        <v>10</v>
      </c>
      <c r="D1314" s="260">
        <v>46239</v>
      </c>
      <c r="E1314" s="260">
        <v>46253</v>
      </c>
      <c r="F1314">
        <v>72</v>
      </c>
      <c r="G1314" t="s">
        <v>353</v>
      </c>
    </row>
    <row r="1315" spans="1:7">
      <c r="A1315" t="s">
        <v>2955</v>
      </c>
      <c r="B1315" t="s">
        <v>2956</v>
      </c>
      <c r="C1315">
        <v>10</v>
      </c>
      <c r="D1315" s="260">
        <v>46268</v>
      </c>
      <c r="E1315" s="260">
        <v>46281</v>
      </c>
      <c r="F1315">
        <v>72</v>
      </c>
      <c r="G1315" t="s">
        <v>353</v>
      </c>
    </row>
    <row r="1316" spans="1:7">
      <c r="A1316" t="s">
        <v>2957</v>
      </c>
      <c r="B1316" t="s">
        <v>2958</v>
      </c>
      <c r="C1316">
        <v>15</v>
      </c>
      <c r="D1316" s="260">
        <v>46199</v>
      </c>
      <c r="E1316" s="260">
        <v>46219</v>
      </c>
      <c r="F1316">
        <v>72</v>
      </c>
      <c r="G1316" t="s">
        <v>353</v>
      </c>
    </row>
    <row r="1317" spans="1:7">
      <c r="A1317" t="s">
        <v>2959</v>
      </c>
      <c r="B1317" t="s">
        <v>2960</v>
      </c>
      <c r="C1317">
        <v>10</v>
      </c>
      <c r="D1317" s="260">
        <v>46268</v>
      </c>
      <c r="E1317" s="260">
        <v>46281</v>
      </c>
      <c r="F1317">
        <v>72</v>
      </c>
      <c r="G1317" t="s">
        <v>353</v>
      </c>
    </row>
    <row r="1318" spans="1:7">
      <c r="A1318" t="s">
        <v>2961</v>
      </c>
      <c r="B1318" t="s">
        <v>2962</v>
      </c>
      <c r="C1318">
        <v>15</v>
      </c>
      <c r="D1318" s="260">
        <v>46220</v>
      </c>
      <c r="E1318" s="260">
        <v>46245</v>
      </c>
      <c r="F1318">
        <v>42</v>
      </c>
      <c r="G1318" t="s">
        <v>353</v>
      </c>
    </row>
    <row r="1319" spans="1:7">
      <c r="A1319" t="s">
        <v>2963</v>
      </c>
      <c r="B1319" t="s">
        <v>2964</v>
      </c>
      <c r="C1319">
        <v>10</v>
      </c>
      <c r="D1319" s="260">
        <v>46289</v>
      </c>
      <c r="E1319" s="260">
        <v>46302</v>
      </c>
      <c r="F1319">
        <v>47</v>
      </c>
      <c r="G1319" t="s">
        <v>353</v>
      </c>
    </row>
    <row r="1320" spans="1:7">
      <c r="A1320" t="s">
        <v>2965</v>
      </c>
      <c r="B1320" t="s">
        <v>2966</v>
      </c>
      <c r="C1320">
        <v>15</v>
      </c>
      <c r="D1320" s="260">
        <v>46220</v>
      </c>
      <c r="E1320" s="260">
        <v>46245</v>
      </c>
      <c r="F1320">
        <v>42</v>
      </c>
      <c r="G1320" t="s">
        <v>353</v>
      </c>
    </row>
    <row r="1321" spans="1:7">
      <c r="A1321" t="s">
        <v>2967</v>
      </c>
      <c r="B1321" t="s">
        <v>2968</v>
      </c>
      <c r="C1321">
        <v>10</v>
      </c>
      <c r="D1321" s="260">
        <v>46289</v>
      </c>
      <c r="E1321" s="260">
        <v>46302</v>
      </c>
      <c r="F1321">
        <v>47</v>
      </c>
      <c r="G1321" t="s">
        <v>353</v>
      </c>
    </row>
    <row r="1322" spans="1:7">
      <c r="A1322" t="s">
        <v>2969</v>
      </c>
      <c r="B1322" t="s">
        <v>2970</v>
      </c>
      <c r="C1322">
        <v>15</v>
      </c>
      <c r="D1322" s="260">
        <v>46220</v>
      </c>
      <c r="E1322" s="260">
        <v>46245</v>
      </c>
      <c r="F1322">
        <v>42</v>
      </c>
      <c r="G1322" t="s">
        <v>353</v>
      </c>
    </row>
    <row r="1323" spans="1:7">
      <c r="A1323" t="s">
        <v>2971</v>
      </c>
      <c r="B1323" t="s">
        <v>2972</v>
      </c>
      <c r="C1323">
        <v>10</v>
      </c>
      <c r="D1323" s="260">
        <v>46289</v>
      </c>
      <c r="E1323" s="260">
        <v>46302</v>
      </c>
      <c r="F1323">
        <v>47</v>
      </c>
      <c r="G1323" t="s">
        <v>353</v>
      </c>
    </row>
    <row r="1324" spans="1:7">
      <c r="A1324" t="s">
        <v>2973</v>
      </c>
      <c r="B1324" t="s">
        <v>2974</v>
      </c>
      <c r="C1324">
        <v>15</v>
      </c>
      <c r="D1324" s="260">
        <v>46140</v>
      </c>
      <c r="E1324" s="260">
        <v>46161</v>
      </c>
      <c r="F1324">
        <v>112</v>
      </c>
      <c r="G1324" t="s">
        <v>353</v>
      </c>
    </row>
    <row r="1325" spans="1:7">
      <c r="A1325" t="s">
        <v>2975</v>
      </c>
      <c r="B1325" t="s">
        <v>2976</v>
      </c>
      <c r="C1325">
        <v>10</v>
      </c>
      <c r="D1325" s="260">
        <v>46206</v>
      </c>
      <c r="E1325" s="260">
        <v>46219</v>
      </c>
      <c r="F1325">
        <v>112</v>
      </c>
      <c r="G1325" t="s">
        <v>353</v>
      </c>
    </row>
    <row r="1326" spans="1:7">
      <c r="A1326" t="s">
        <v>2977</v>
      </c>
      <c r="B1326" t="s">
        <v>2978</v>
      </c>
      <c r="C1326">
        <v>15</v>
      </c>
      <c r="D1326" s="260">
        <v>46199</v>
      </c>
      <c r="E1326" s="260">
        <v>46219</v>
      </c>
      <c r="F1326">
        <v>72</v>
      </c>
      <c r="G1326" t="s">
        <v>353</v>
      </c>
    </row>
    <row r="1327" spans="1:7">
      <c r="A1327" t="s">
        <v>2979</v>
      </c>
      <c r="B1327" t="s">
        <v>2980</v>
      </c>
      <c r="C1327">
        <v>10</v>
      </c>
      <c r="D1327" s="260">
        <v>46239</v>
      </c>
      <c r="E1327" s="260">
        <v>46253</v>
      </c>
      <c r="F1327">
        <v>72</v>
      </c>
      <c r="G1327" t="s">
        <v>353</v>
      </c>
    </row>
    <row r="1328" spans="1:7">
      <c r="A1328" t="s">
        <v>2981</v>
      </c>
      <c r="B1328" t="s">
        <v>2982</v>
      </c>
      <c r="C1328">
        <v>10</v>
      </c>
      <c r="D1328" s="260">
        <v>46268</v>
      </c>
      <c r="E1328" s="260">
        <v>46281</v>
      </c>
      <c r="F1328">
        <v>72</v>
      </c>
      <c r="G1328" t="s">
        <v>353</v>
      </c>
    </row>
    <row r="1329" spans="1:7">
      <c r="A1329" t="s">
        <v>2983</v>
      </c>
      <c r="B1329" t="s">
        <v>2984</v>
      </c>
      <c r="C1329">
        <v>15</v>
      </c>
      <c r="D1329" s="260">
        <v>46199</v>
      </c>
      <c r="E1329" s="260">
        <v>46219</v>
      </c>
      <c r="F1329">
        <v>72</v>
      </c>
      <c r="G1329" t="s">
        <v>353</v>
      </c>
    </row>
    <row r="1330" spans="1:7">
      <c r="A1330" t="s">
        <v>2985</v>
      </c>
      <c r="B1330" t="s">
        <v>2986</v>
      </c>
      <c r="C1330">
        <v>10</v>
      </c>
      <c r="D1330" s="260">
        <v>46239</v>
      </c>
      <c r="E1330" s="260">
        <v>46253</v>
      </c>
      <c r="F1330">
        <v>72</v>
      </c>
      <c r="G1330" t="s">
        <v>353</v>
      </c>
    </row>
    <row r="1331" spans="1:7">
      <c r="A1331" t="s">
        <v>2987</v>
      </c>
      <c r="B1331" t="s">
        <v>2988</v>
      </c>
      <c r="C1331">
        <v>10</v>
      </c>
      <c r="D1331" s="260">
        <v>46268</v>
      </c>
      <c r="E1331" s="260">
        <v>46281</v>
      </c>
      <c r="F1331">
        <v>72</v>
      </c>
      <c r="G1331" t="s">
        <v>353</v>
      </c>
    </row>
    <row r="1332" spans="1:7">
      <c r="A1332" t="s">
        <v>2989</v>
      </c>
      <c r="B1332" t="s">
        <v>2990</v>
      </c>
      <c r="C1332">
        <v>15</v>
      </c>
      <c r="D1332" s="260">
        <v>46148</v>
      </c>
      <c r="E1332" s="260">
        <v>46168</v>
      </c>
      <c r="F1332">
        <v>107</v>
      </c>
      <c r="G1332" t="s">
        <v>353</v>
      </c>
    </row>
    <row r="1333" spans="1:7">
      <c r="A1333" t="s">
        <v>2991</v>
      </c>
      <c r="B1333" t="s">
        <v>2992</v>
      </c>
      <c r="C1333">
        <v>10</v>
      </c>
      <c r="D1333" s="260">
        <v>46213</v>
      </c>
      <c r="E1333" s="260">
        <v>46226</v>
      </c>
      <c r="F1333">
        <v>87</v>
      </c>
      <c r="G1333" t="s">
        <v>353</v>
      </c>
    </row>
    <row r="1334" spans="1:7">
      <c r="A1334" t="s">
        <v>2993</v>
      </c>
      <c r="B1334" t="s">
        <v>2994</v>
      </c>
      <c r="C1334">
        <v>10</v>
      </c>
      <c r="D1334" s="260">
        <v>46275</v>
      </c>
      <c r="E1334" s="260">
        <v>46288</v>
      </c>
      <c r="F1334">
        <v>67</v>
      </c>
      <c r="G1334" t="s">
        <v>353</v>
      </c>
    </row>
    <row r="1335" spans="1:7">
      <c r="A1335" t="s">
        <v>2995</v>
      </c>
      <c r="B1335" t="s">
        <v>2996</v>
      </c>
      <c r="C1335">
        <v>15</v>
      </c>
      <c r="D1335" s="260">
        <v>46199</v>
      </c>
      <c r="E1335" s="260">
        <v>46219</v>
      </c>
      <c r="F1335">
        <v>72</v>
      </c>
      <c r="G1335" t="s">
        <v>353</v>
      </c>
    </row>
    <row r="1336" spans="1:7">
      <c r="A1336" t="s">
        <v>2997</v>
      </c>
      <c r="B1336" t="s">
        <v>2998</v>
      </c>
      <c r="C1336">
        <v>10</v>
      </c>
      <c r="D1336" s="260">
        <v>46239</v>
      </c>
      <c r="E1336" s="260">
        <v>46253</v>
      </c>
      <c r="F1336">
        <v>72</v>
      </c>
      <c r="G1336" t="s">
        <v>353</v>
      </c>
    </row>
    <row r="1337" spans="1:7">
      <c r="A1337" t="s">
        <v>2999</v>
      </c>
      <c r="B1337" t="s">
        <v>3000</v>
      </c>
      <c r="C1337">
        <v>10</v>
      </c>
      <c r="D1337" s="260">
        <v>46275</v>
      </c>
      <c r="E1337" s="260">
        <v>46288</v>
      </c>
      <c r="F1337">
        <v>67</v>
      </c>
      <c r="G1337" t="s">
        <v>353</v>
      </c>
    </row>
    <row r="1338" spans="1:7">
      <c r="A1338" t="s">
        <v>3001</v>
      </c>
      <c r="B1338" t="s">
        <v>3002</v>
      </c>
      <c r="C1338">
        <v>15</v>
      </c>
      <c r="D1338" s="260">
        <v>46199</v>
      </c>
      <c r="E1338" s="260">
        <v>46219</v>
      </c>
      <c r="F1338">
        <v>72</v>
      </c>
      <c r="G1338" t="s">
        <v>353</v>
      </c>
    </row>
    <row r="1339" spans="1:7">
      <c r="A1339" t="s">
        <v>3003</v>
      </c>
      <c r="B1339" t="s">
        <v>3004</v>
      </c>
      <c r="C1339">
        <v>10</v>
      </c>
      <c r="D1339" s="260">
        <v>46268</v>
      </c>
      <c r="E1339" s="260">
        <v>46281</v>
      </c>
      <c r="F1339">
        <v>72</v>
      </c>
      <c r="G1339" t="s">
        <v>353</v>
      </c>
    </row>
    <row r="1340" spans="1:7">
      <c r="A1340" t="s">
        <v>3005</v>
      </c>
      <c r="B1340" t="s">
        <v>3006</v>
      </c>
      <c r="C1340">
        <v>15</v>
      </c>
      <c r="D1340" s="260">
        <v>46199</v>
      </c>
      <c r="E1340" s="260">
        <v>46219</v>
      </c>
      <c r="F1340">
        <v>72</v>
      </c>
      <c r="G1340" t="s">
        <v>353</v>
      </c>
    </row>
    <row r="1341" spans="1:7">
      <c r="A1341" t="s">
        <v>3007</v>
      </c>
      <c r="B1341" t="s">
        <v>3008</v>
      </c>
      <c r="C1341">
        <v>10</v>
      </c>
      <c r="D1341" s="260">
        <v>46239</v>
      </c>
      <c r="E1341" s="260">
        <v>46253</v>
      </c>
      <c r="F1341">
        <v>72</v>
      </c>
      <c r="G1341" t="s">
        <v>353</v>
      </c>
    </row>
    <row r="1342" spans="1:7">
      <c r="A1342" t="s">
        <v>3009</v>
      </c>
      <c r="B1342" t="s">
        <v>3010</v>
      </c>
      <c r="C1342">
        <v>10</v>
      </c>
      <c r="D1342" s="260">
        <v>46268</v>
      </c>
      <c r="E1342" s="260">
        <v>46281</v>
      </c>
      <c r="F1342">
        <v>72</v>
      </c>
      <c r="G1342" t="s">
        <v>353</v>
      </c>
    </row>
    <row r="1343" spans="1:7">
      <c r="A1343" t="s">
        <v>3011</v>
      </c>
      <c r="B1343" t="s">
        <v>3012</v>
      </c>
      <c r="C1343">
        <v>15</v>
      </c>
      <c r="D1343" s="260">
        <v>46220</v>
      </c>
      <c r="E1343" s="260">
        <v>46245</v>
      </c>
      <c r="F1343">
        <v>57</v>
      </c>
      <c r="G1343" t="s">
        <v>353</v>
      </c>
    </row>
    <row r="1344" spans="1:7">
      <c r="A1344" t="s">
        <v>3013</v>
      </c>
      <c r="B1344" t="s">
        <v>3014</v>
      </c>
      <c r="C1344">
        <v>10</v>
      </c>
      <c r="D1344" s="260">
        <v>46289</v>
      </c>
      <c r="E1344" s="260">
        <v>46302</v>
      </c>
      <c r="F1344">
        <v>57</v>
      </c>
      <c r="G1344" t="s">
        <v>353</v>
      </c>
    </row>
    <row r="1345" spans="1:7">
      <c r="A1345" t="s">
        <v>3015</v>
      </c>
      <c r="B1345" t="s">
        <v>3016</v>
      </c>
      <c r="C1345">
        <v>15</v>
      </c>
      <c r="D1345" s="260">
        <v>46220</v>
      </c>
      <c r="E1345" s="260">
        <v>46245</v>
      </c>
      <c r="F1345">
        <v>57</v>
      </c>
      <c r="G1345" t="s">
        <v>353</v>
      </c>
    </row>
    <row r="1346" spans="1:7">
      <c r="A1346" t="s">
        <v>3017</v>
      </c>
      <c r="B1346" t="s">
        <v>3018</v>
      </c>
      <c r="C1346">
        <v>10</v>
      </c>
      <c r="D1346" s="260">
        <v>46289</v>
      </c>
      <c r="E1346" s="260">
        <v>46302</v>
      </c>
      <c r="F1346">
        <v>57</v>
      </c>
      <c r="G1346" t="s">
        <v>353</v>
      </c>
    </row>
    <row r="1347" spans="1:7">
      <c r="A1347" t="s">
        <v>3019</v>
      </c>
      <c r="B1347" t="s">
        <v>3020</v>
      </c>
      <c r="C1347">
        <v>15</v>
      </c>
      <c r="D1347" s="260">
        <v>46247</v>
      </c>
      <c r="E1347" s="260">
        <v>46267</v>
      </c>
      <c r="F1347">
        <v>42</v>
      </c>
      <c r="G1347" t="s">
        <v>353</v>
      </c>
    </row>
    <row r="1348" spans="1:7">
      <c r="A1348" t="s">
        <v>3021</v>
      </c>
      <c r="B1348" t="s">
        <v>3022</v>
      </c>
      <c r="C1348">
        <v>10</v>
      </c>
      <c r="D1348" s="260">
        <v>46282</v>
      </c>
      <c r="E1348" s="260">
        <v>46295</v>
      </c>
      <c r="F1348">
        <v>42</v>
      </c>
      <c r="G1348" t="s">
        <v>353</v>
      </c>
    </row>
    <row r="1349" spans="1:7">
      <c r="A1349" t="s">
        <v>3023</v>
      </c>
      <c r="B1349" t="s">
        <v>3024</v>
      </c>
      <c r="C1349">
        <v>10</v>
      </c>
      <c r="D1349" s="260">
        <v>46311</v>
      </c>
      <c r="E1349" s="260">
        <v>46325</v>
      </c>
      <c r="F1349">
        <v>42</v>
      </c>
      <c r="G1349" t="s">
        <v>353</v>
      </c>
    </row>
    <row r="1350" spans="1:7">
      <c r="A1350" t="s">
        <v>3025</v>
      </c>
      <c r="B1350" t="s">
        <v>3026</v>
      </c>
      <c r="C1350">
        <v>15</v>
      </c>
      <c r="D1350" s="260">
        <v>46199</v>
      </c>
      <c r="E1350" s="260">
        <v>46219</v>
      </c>
      <c r="F1350">
        <v>72</v>
      </c>
      <c r="G1350" t="s">
        <v>353</v>
      </c>
    </row>
    <row r="1351" spans="1:7">
      <c r="A1351" t="s">
        <v>3027</v>
      </c>
      <c r="B1351" t="s">
        <v>3028</v>
      </c>
      <c r="C1351">
        <v>10</v>
      </c>
      <c r="D1351" s="260">
        <v>46239</v>
      </c>
      <c r="E1351" s="260">
        <v>46253</v>
      </c>
      <c r="F1351">
        <v>72</v>
      </c>
      <c r="G1351" t="s">
        <v>353</v>
      </c>
    </row>
    <row r="1352" spans="1:7">
      <c r="A1352" t="s">
        <v>3029</v>
      </c>
      <c r="B1352" t="s">
        <v>3030</v>
      </c>
      <c r="C1352">
        <v>10</v>
      </c>
      <c r="D1352" s="260">
        <v>46268</v>
      </c>
      <c r="E1352" s="260">
        <v>46281</v>
      </c>
      <c r="F1352">
        <v>72</v>
      </c>
      <c r="G1352" t="s">
        <v>353</v>
      </c>
    </row>
    <row r="1353" spans="1:7">
      <c r="A1353" t="s">
        <v>3031</v>
      </c>
      <c r="B1353" t="s">
        <v>3032</v>
      </c>
      <c r="C1353">
        <v>15</v>
      </c>
      <c r="D1353" s="260">
        <v>46199</v>
      </c>
      <c r="E1353" s="260">
        <v>46219</v>
      </c>
      <c r="F1353">
        <v>72</v>
      </c>
      <c r="G1353" t="s">
        <v>353</v>
      </c>
    </row>
    <row r="1354" spans="1:7">
      <c r="A1354" t="s">
        <v>3033</v>
      </c>
      <c r="B1354" t="s">
        <v>3034</v>
      </c>
      <c r="C1354">
        <v>10</v>
      </c>
      <c r="D1354" s="260">
        <v>46239</v>
      </c>
      <c r="E1354" s="260">
        <v>46253</v>
      </c>
      <c r="F1354">
        <v>72</v>
      </c>
      <c r="G1354" t="s">
        <v>353</v>
      </c>
    </row>
    <row r="1355" spans="1:7">
      <c r="A1355" t="s">
        <v>3035</v>
      </c>
      <c r="B1355" t="s">
        <v>3036</v>
      </c>
      <c r="C1355">
        <v>10</v>
      </c>
      <c r="D1355" s="260">
        <v>46268</v>
      </c>
      <c r="E1355" s="260">
        <v>46281</v>
      </c>
      <c r="F1355">
        <v>72</v>
      </c>
      <c r="G1355" t="s">
        <v>353</v>
      </c>
    </row>
    <row r="1356" spans="1:7">
      <c r="A1356" t="s">
        <v>3037</v>
      </c>
      <c r="B1356" t="s">
        <v>3038</v>
      </c>
      <c r="C1356">
        <v>15</v>
      </c>
      <c r="D1356" s="260">
        <v>46199</v>
      </c>
      <c r="E1356" s="260">
        <v>46219</v>
      </c>
      <c r="F1356">
        <v>72</v>
      </c>
      <c r="G1356" t="s">
        <v>353</v>
      </c>
    </row>
    <row r="1357" spans="1:7">
      <c r="A1357" t="s">
        <v>3039</v>
      </c>
      <c r="B1357" t="s">
        <v>3040</v>
      </c>
      <c r="C1357">
        <v>10</v>
      </c>
      <c r="D1357" s="260">
        <v>46268</v>
      </c>
      <c r="E1357" s="260">
        <v>46281</v>
      </c>
      <c r="F1357">
        <v>72</v>
      </c>
      <c r="G1357" t="s">
        <v>353</v>
      </c>
    </row>
    <row r="1358" spans="1:7">
      <c r="A1358" t="s">
        <v>3041</v>
      </c>
      <c r="B1358" t="s">
        <v>3042</v>
      </c>
      <c r="C1358">
        <v>15</v>
      </c>
      <c r="D1358" s="260">
        <v>46199</v>
      </c>
      <c r="E1358" s="260">
        <v>46219</v>
      </c>
      <c r="F1358">
        <v>72</v>
      </c>
      <c r="G1358" t="s">
        <v>353</v>
      </c>
    </row>
    <row r="1359" spans="1:7">
      <c r="A1359" t="s">
        <v>3043</v>
      </c>
      <c r="B1359" t="s">
        <v>3044</v>
      </c>
      <c r="C1359">
        <v>10</v>
      </c>
      <c r="D1359" s="260">
        <v>46268</v>
      </c>
      <c r="E1359" s="260">
        <v>46281</v>
      </c>
      <c r="F1359">
        <v>72</v>
      </c>
      <c r="G1359" t="s">
        <v>353</v>
      </c>
    </row>
    <row r="1360" spans="1:7">
      <c r="A1360" t="s">
        <v>3045</v>
      </c>
      <c r="B1360" t="s">
        <v>3046</v>
      </c>
      <c r="C1360">
        <v>15</v>
      </c>
      <c r="D1360" s="260">
        <v>46220</v>
      </c>
      <c r="E1360" s="260">
        <v>46245</v>
      </c>
      <c r="F1360">
        <v>57</v>
      </c>
      <c r="G1360" t="s">
        <v>353</v>
      </c>
    </row>
    <row r="1361" spans="1:7">
      <c r="A1361" t="s">
        <v>3047</v>
      </c>
      <c r="B1361" t="s">
        <v>3048</v>
      </c>
      <c r="C1361">
        <v>10</v>
      </c>
      <c r="D1361" s="260">
        <v>46289</v>
      </c>
      <c r="E1361" s="260">
        <v>46302</v>
      </c>
      <c r="F1361">
        <v>57</v>
      </c>
      <c r="G1361" t="s">
        <v>353</v>
      </c>
    </row>
    <row r="1362" spans="1:7">
      <c r="A1362" t="s">
        <v>3049</v>
      </c>
      <c r="B1362" t="s">
        <v>3050</v>
      </c>
      <c r="C1362">
        <v>15</v>
      </c>
      <c r="D1362" s="260">
        <v>46220</v>
      </c>
      <c r="E1362" s="260">
        <v>46245</v>
      </c>
      <c r="F1362">
        <v>57</v>
      </c>
      <c r="G1362" t="s">
        <v>353</v>
      </c>
    </row>
    <row r="1363" spans="1:7">
      <c r="A1363" t="s">
        <v>3051</v>
      </c>
      <c r="B1363" t="s">
        <v>3052</v>
      </c>
      <c r="C1363">
        <v>10</v>
      </c>
      <c r="D1363" s="260">
        <v>46289</v>
      </c>
      <c r="E1363" s="260">
        <v>46302</v>
      </c>
      <c r="F1363">
        <v>57</v>
      </c>
      <c r="G1363" t="s">
        <v>353</v>
      </c>
    </row>
    <row r="1364" spans="1:7">
      <c r="A1364" t="s">
        <v>3053</v>
      </c>
      <c r="B1364" t="s">
        <v>3054</v>
      </c>
      <c r="C1364">
        <v>15</v>
      </c>
      <c r="D1364" s="260">
        <v>46220</v>
      </c>
      <c r="E1364" s="260">
        <v>46245</v>
      </c>
      <c r="F1364">
        <v>57</v>
      </c>
      <c r="G1364" t="s">
        <v>353</v>
      </c>
    </row>
    <row r="1365" spans="1:7">
      <c r="A1365" t="s">
        <v>3055</v>
      </c>
      <c r="B1365" t="s">
        <v>3056</v>
      </c>
      <c r="C1365">
        <v>10</v>
      </c>
      <c r="D1365" s="260">
        <v>46289</v>
      </c>
      <c r="E1365" s="260">
        <v>46302</v>
      </c>
      <c r="F1365">
        <v>57</v>
      </c>
      <c r="G1365" t="s">
        <v>353</v>
      </c>
    </row>
    <row r="1366" spans="1:7">
      <c r="A1366" t="s">
        <v>3057</v>
      </c>
      <c r="B1366" t="s">
        <v>3058</v>
      </c>
      <c r="C1366">
        <v>15</v>
      </c>
      <c r="D1366" s="260">
        <v>46178</v>
      </c>
      <c r="E1366" s="260">
        <v>46198</v>
      </c>
      <c r="F1366">
        <v>72</v>
      </c>
      <c r="G1366" t="s">
        <v>353</v>
      </c>
    </row>
    <row r="1367" spans="1:7">
      <c r="A1367" t="s">
        <v>3059</v>
      </c>
      <c r="B1367" t="s">
        <v>3060</v>
      </c>
      <c r="C1367">
        <v>10</v>
      </c>
      <c r="D1367" s="260">
        <v>46213</v>
      </c>
      <c r="E1367" s="260">
        <v>46226</v>
      </c>
      <c r="F1367">
        <v>77</v>
      </c>
      <c r="G1367" t="s">
        <v>353</v>
      </c>
    </row>
    <row r="1368" spans="1:7">
      <c r="A1368" t="s">
        <v>3061</v>
      </c>
      <c r="B1368" t="s">
        <v>3062</v>
      </c>
      <c r="C1368">
        <v>10</v>
      </c>
      <c r="D1368" s="260">
        <v>46247</v>
      </c>
      <c r="E1368" s="260">
        <v>46260</v>
      </c>
      <c r="F1368">
        <v>77</v>
      </c>
      <c r="G1368" t="s">
        <v>353</v>
      </c>
    </row>
    <row r="1369" spans="1:7">
      <c r="A1369" t="s">
        <v>3063</v>
      </c>
      <c r="B1369" t="s">
        <v>3064</v>
      </c>
      <c r="C1369">
        <v>15</v>
      </c>
      <c r="D1369" s="260">
        <v>46178</v>
      </c>
      <c r="E1369" s="260">
        <v>46198</v>
      </c>
      <c r="F1369">
        <v>72</v>
      </c>
      <c r="G1369" t="s">
        <v>353</v>
      </c>
    </row>
    <row r="1370" spans="1:7">
      <c r="A1370" t="s">
        <v>3065</v>
      </c>
      <c r="B1370" t="s">
        <v>3066</v>
      </c>
      <c r="C1370">
        <v>10</v>
      </c>
      <c r="D1370" s="260">
        <v>46213</v>
      </c>
      <c r="E1370" s="260">
        <v>46226</v>
      </c>
      <c r="F1370">
        <v>77</v>
      </c>
      <c r="G1370" t="s">
        <v>353</v>
      </c>
    </row>
    <row r="1371" spans="1:7">
      <c r="A1371" t="s">
        <v>3067</v>
      </c>
      <c r="B1371" t="s">
        <v>3068</v>
      </c>
      <c r="C1371">
        <v>10</v>
      </c>
      <c r="D1371" s="260">
        <v>46247</v>
      </c>
      <c r="E1371" s="260">
        <v>46260</v>
      </c>
      <c r="F1371">
        <v>77</v>
      </c>
      <c r="G1371" t="s">
        <v>353</v>
      </c>
    </row>
    <row r="1372" spans="1:7">
      <c r="A1372" t="s">
        <v>3069</v>
      </c>
      <c r="B1372" t="s">
        <v>3070</v>
      </c>
      <c r="C1372">
        <v>15</v>
      </c>
      <c r="D1372" s="260">
        <v>46178</v>
      </c>
      <c r="E1372" s="260">
        <v>46198</v>
      </c>
      <c r="F1372">
        <v>72</v>
      </c>
      <c r="G1372" t="s">
        <v>353</v>
      </c>
    </row>
    <row r="1373" spans="1:7">
      <c r="A1373" t="s">
        <v>3071</v>
      </c>
      <c r="B1373" t="s">
        <v>3072</v>
      </c>
      <c r="C1373">
        <v>10</v>
      </c>
      <c r="D1373" s="260">
        <v>46213</v>
      </c>
      <c r="E1373" s="260">
        <v>46226</v>
      </c>
      <c r="F1373">
        <v>77</v>
      </c>
      <c r="G1373" t="s">
        <v>353</v>
      </c>
    </row>
    <row r="1374" spans="1:7">
      <c r="A1374" t="s">
        <v>3073</v>
      </c>
      <c r="B1374" t="s">
        <v>3074</v>
      </c>
      <c r="C1374">
        <v>10</v>
      </c>
      <c r="D1374" s="260">
        <v>46247</v>
      </c>
      <c r="E1374" s="260">
        <v>46260</v>
      </c>
      <c r="F1374">
        <v>77</v>
      </c>
      <c r="G1374" t="s">
        <v>353</v>
      </c>
    </row>
    <row r="1375" spans="1:7">
      <c r="A1375" t="s">
        <v>3075</v>
      </c>
      <c r="B1375" t="s">
        <v>3076</v>
      </c>
      <c r="C1375">
        <v>15</v>
      </c>
      <c r="D1375" s="260">
        <v>46199</v>
      </c>
      <c r="E1375" s="260">
        <v>46219</v>
      </c>
      <c r="F1375">
        <v>72</v>
      </c>
      <c r="G1375" t="s">
        <v>353</v>
      </c>
    </row>
    <row r="1376" spans="1:7">
      <c r="A1376" t="s">
        <v>3077</v>
      </c>
      <c r="B1376" t="s">
        <v>3078</v>
      </c>
      <c r="C1376">
        <v>10</v>
      </c>
      <c r="D1376" s="260">
        <v>46239</v>
      </c>
      <c r="E1376" s="260">
        <v>46253</v>
      </c>
      <c r="F1376">
        <v>72</v>
      </c>
      <c r="G1376" t="s">
        <v>353</v>
      </c>
    </row>
    <row r="1377" spans="1:7">
      <c r="A1377" t="s">
        <v>3079</v>
      </c>
      <c r="B1377" t="s">
        <v>3080</v>
      </c>
      <c r="C1377">
        <v>10</v>
      </c>
      <c r="D1377" s="260">
        <v>46268</v>
      </c>
      <c r="E1377" s="260">
        <v>46281</v>
      </c>
      <c r="F1377">
        <v>72</v>
      </c>
      <c r="G1377" t="s">
        <v>353</v>
      </c>
    </row>
    <row r="1378" spans="1:7">
      <c r="A1378" t="s">
        <v>3081</v>
      </c>
      <c r="B1378" t="s">
        <v>3082</v>
      </c>
      <c r="C1378">
        <v>15</v>
      </c>
      <c r="D1378" s="260">
        <v>46199</v>
      </c>
      <c r="E1378" s="260">
        <v>46219</v>
      </c>
      <c r="F1378">
        <v>72</v>
      </c>
      <c r="G1378" t="s">
        <v>353</v>
      </c>
    </row>
    <row r="1379" spans="1:7">
      <c r="A1379" t="s">
        <v>3083</v>
      </c>
      <c r="B1379" t="s">
        <v>3084</v>
      </c>
      <c r="C1379">
        <v>10</v>
      </c>
      <c r="D1379" s="260">
        <v>46239</v>
      </c>
      <c r="E1379" s="260">
        <v>46253</v>
      </c>
      <c r="F1379">
        <v>72</v>
      </c>
      <c r="G1379" t="s">
        <v>353</v>
      </c>
    </row>
    <row r="1380" spans="1:7">
      <c r="A1380" t="s">
        <v>3085</v>
      </c>
      <c r="B1380" t="s">
        <v>3086</v>
      </c>
      <c r="C1380">
        <v>10</v>
      </c>
      <c r="D1380" s="260">
        <v>46268</v>
      </c>
      <c r="E1380" s="260">
        <v>46281</v>
      </c>
      <c r="F1380">
        <v>72</v>
      </c>
      <c r="G1380" t="s">
        <v>353</v>
      </c>
    </row>
    <row r="1381" spans="1:7">
      <c r="A1381" t="s">
        <v>3087</v>
      </c>
      <c r="B1381" t="s">
        <v>3088</v>
      </c>
      <c r="C1381">
        <v>15</v>
      </c>
      <c r="D1381" s="260">
        <v>46199</v>
      </c>
      <c r="E1381" s="260">
        <v>46219</v>
      </c>
      <c r="F1381">
        <v>72</v>
      </c>
      <c r="G1381" t="s">
        <v>353</v>
      </c>
    </row>
    <row r="1382" spans="1:7">
      <c r="A1382" t="s">
        <v>3089</v>
      </c>
      <c r="B1382" t="s">
        <v>3090</v>
      </c>
      <c r="C1382">
        <v>10</v>
      </c>
      <c r="D1382" s="260">
        <v>46239</v>
      </c>
      <c r="E1382" s="260">
        <v>46253</v>
      </c>
      <c r="F1382">
        <v>72</v>
      </c>
      <c r="G1382" t="s">
        <v>353</v>
      </c>
    </row>
    <row r="1383" spans="1:7">
      <c r="A1383" t="s">
        <v>3091</v>
      </c>
      <c r="B1383" t="s">
        <v>3092</v>
      </c>
      <c r="C1383">
        <v>10</v>
      </c>
      <c r="D1383" s="260">
        <v>46268</v>
      </c>
      <c r="E1383" s="260">
        <v>46281</v>
      </c>
      <c r="F1383">
        <v>72</v>
      </c>
      <c r="G1383" t="s">
        <v>353</v>
      </c>
    </row>
    <row r="1384" spans="1:7">
      <c r="A1384" t="s">
        <v>3093</v>
      </c>
      <c r="B1384" t="s">
        <v>3094</v>
      </c>
      <c r="C1384">
        <v>15</v>
      </c>
      <c r="D1384" s="260">
        <v>46178</v>
      </c>
      <c r="E1384" s="260">
        <v>46198</v>
      </c>
      <c r="F1384">
        <v>87</v>
      </c>
      <c r="G1384" t="s">
        <v>353</v>
      </c>
    </row>
    <row r="1385" spans="1:7">
      <c r="A1385" t="s">
        <v>3095</v>
      </c>
      <c r="B1385" t="s">
        <v>3096</v>
      </c>
      <c r="C1385">
        <v>10</v>
      </c>
      <c r="D1385" s="260">
        <v>46213</v>
      </c>
      <c r="E1385" s="260">
        <v>46226</v>
      </c>
      <c r="F1385">
        <v>87</v>
      </c>
      <c r="G1385" t="s">
        <v>353</v>
      </c>
    </row>
    <row r="1386" spans="1:7">
      <c r="A1386" t="s">
        <v>3097</v>
      </c>
      <c r="B1386" t="s">
        <v>3098</v>
      </c>
      <c r="C1386">
        <v>10</v>
      </c>
      <c r="D1386" s="260">
        <v>46247</v>
      </c>
      <c r="E1386" s="260">
        <v>46260</v>
      </c>
      <c r="F1386">
        <v>87</v>
      </c>
      <c r="G1386" t="s">
        <v>353</v>
      </c>
    </row>
    <row r="1387" spans="1:7">
      <c r="A1387" t="s">
        <v>3099</v>
      </c>
      <c r="B1387" t="s">
        <v>3100</v>
      </c>
      <c r="C1387">
        <v>15</v>
      </c>
      <c r="D1387" s="260">
        <v>46178</v>
      </c>
      <c r="E1387" s="260">
        <v>46198</v>
      </c>
      <c r="F1387">
        <v>87</v>
      </c>
      <c r="G1387" t="s">
        <v>353</v>
      </c>
    </row>
    <row r="1388" spans="1:7">
      <c r="A1388" t="s">
        <v>3101</v>
      </c>
      <c r="B1388" t="s">
        <v>3102</v>
      </c>
      <c r="C1388">
        <v>10</v>
      </c>
      <c r="D1388" s="260">
        <v>46213</v>
      </c>
      <c r="E1388" s="260">
        <v>46226</v>
      </c>
      <c r="F1388">
        <v>87</v>
      </c>
      <c r="G1388" t="s">
        <v>353</v>
      </c>
    </row>
    <row r="1389" spans="1:7">
      <c r="A1389" t="s">
        <v>3103</v>
      </c>
      <c r="B1389" t="s">
        <v>3104</v>
      </c>
      <c r="C1389">
        <v>10</v>
      </c>
      <c r="D1389" s="260">
        <v>46247</v>
      </c>
      <c r="E1389" s="260">
        <v>46260</v>
      </c>
      <c r="F1389">
        <v>87</v>
      </c>
      <c r="G1389" t="s">
        <v>353</v>
      </c>
    </row>
    <row r="1390" spans="1:7">
      <c r="A1390" t="s">
        <v>3105</v>
      </c>
      <c r="B1390" t="s">
        <v>3106</v>
      </c>
      <c r="C1390">
        <v>15</v>
      </c>
      <c r="D1390" s="260">
        <v>46178</v>
      </c>
      <c r="E1390" s="260">
        <v>46198</v>
      </c>
      <c r="F1390">
        <v>87</v>
      </c>
      <c r="G1390" t="s">
        <v>353</v>
      </c>
    </row>
    <row r="1391" spans="1:7">
      <c r="A1391" t="s">
        <v>3107</v>
      </c>
      <c r="B1391" t="s">
        <v>3108</v>
      </c>
      <c r="C1391">
        <v>10</v>
      </c>
      <c r="D1391" s="260">
        <v>46213</v>
      </c>
      <c r="E1391" s="260">
        <v>46226</v>
      </c>
      <c r="F1391">
        <v>87</v>
      </c>
      <c r="G1391" t="s">
        <v>353</v>
      </c>
    </row>
    <row r="1392" spans="1:7">
      <c r="A1392" t="s">
        <v>3109</v>
      </c>
      <c r="B1392" t="s">
        <v>3110</v>
      </c>
      <c r="C1392">
        <v>10</v>
      </c>
      <c r="D1392" s="260">
        <v>46247</v>
      </c>
      <c r="E1392" s="260">
        <v>46260</v>
      </c>
      <c r="F1392">
        <v>87</v>
      </c>
      <c r="G1392" t="s">
        <v>353</v>
      </c>
    </row>
    <row r="1393" spans="1:7">
      <c r="A1393" t="s">
        <v>3111</v>
      </c>
      <c r="B1393" t="s">
        <v>3112</v>
      </c>
      <c r="C1393">
        <v>15</v>
      </c>
      <c r="D1393" s="260">
        <v>46199</v>
      </c>
      <c r="E1393" s="260">
        <v>46219</v>
      </c>
      <c r="F1393">
        <v>72</v>
      </c>
      <c r="G1393" t="s">
        <v>353</v>
      </c>
    </row>
    <row r="1394" spans="1:7">
      <c r="A1394" t="s">
        <v>3113</v>
      </c>
      <c r="B1394" t="s">
        <v>3114</v>
      </c>
      <c r="C1394">
        <v>10</v>
      </c>
      <c r="D1394" s="260">
        <v>46239</v>
      </c>
      <c r="E1394" s="260">
        <v>46253</v>
      </c>
      <c r="F1394">
        <v>72</v>
      </c>
      <c r="G1394" t="s">
        <v>353</v>
      </c>
    </row>
    <row r="1395" spans="1:7">
      <c r="A1395" t="s">
        <v>3115</v>
      </c>
      <c r="B1395" t="s">
        <v>3116</v>
      </c>
      <c r="C1395">
        <v>10</v>
      </c>
      <c r="D1395" s="260">
        <v>46268</v>
      </c>
      <c r="E1395" s="260">
        <v>46281</v>
      </c>
      <c r="F1395">
        <v>72</v>
      </c>
      <c r="G1395" t="s">
        <v>353</v>
      </c>
    </row>
    <row r="1396" spans="1:7">
      <c r="A1396" t="s">
        <v>3117</v>
      </c>
      <c r="B1396" t="s">
        <v>3118</v>
      </c>
      <c r="C1396">
        <v>15</v>
      </c>
      <c r="D1396" s="260">
        <v>46199</v>
      </c>
      <c r="E1396" s="260">
        <v>46219</v>
      </c>
      <c r="F1396">
        <v>72</v>
      </c>
      <c r="G1396" t="s">
        <v>353</v>
      </c>
    </row>
    <row r="1397" spans="1:7">
      <c r="A1397" t="s">
        <v>3119</v>
      </c>
      <c r="B1397" t="s">
        <v>3120</v>
      </c>
      <c r="C1397">
        <v>10</v>
      </c>
      <c r="D1397" s="260">
        <v>46239</v>
      </c>
      <c r="E1397" s="260">
        <v>46253</v>
      </c>
      <c r="F1397">
        <v>72</v>
      </c>
      <c r="G1397" t="s">
        <v>353</v>
      </c>
    </row>
    <row r="1398" spans="1:7">
      <c r="A1398" t="s">
        <v>3121</v>
      </c>
      <c r="B1398" t="s">
        <v>3122</v>
      </c>
      <c r="C1398">
        <v>10</v>
      </c>
      <c r="D1398" s="260">
        <v>46268</v>
      </c>
      <c r="E1398" s="260">
        <v>46281</v>
      </c>
      <c r="F1398">
        <v>72</v>
      </c>
      <c r="G1398" t="s">
        <v>353</v>
      </c>
    </row>
    <row r="1399" spans="1:7">
      <c r="A1399" t="s">
        <v>3123</v>
      </c>
      <c r="B1399" t="s">
        <v>3124</v>
      </c>
      <c r="C1399">
        <v>15</v>
      </c>
      <c r="D1399" s="260">
        <v>46199</v>
      </c>
      <c r="E1399" s="260">
        <v>46219</v>
      </c>
      <c r="F1399">
        <v>72</v>
      </c>
      <c r="G1399" t="s">
        <v>353</v>
      </c>
    </row>
    <row r="1400" spans="1:7">
      <c r="A1400" t="s">
        <v>3125</v>
      </c>
      <c r="B1400" t="s">
        <v>3126</v>
      </c>
      <c r="C1400">
        <v>10</v>
      </c>
      <c r="D1400" s="260">
        <v>46239</v>
      </c>
      <c r="E1400" s="260">
        <v>46253</v>
      </c>
      <c r="F1400">
        <v>72</v>
      </c>
      <c r="G1400" t="s">
        <v>353</v>
      </c>
    </row>
    <row r="1401" spans="1:7">
      <c r="A1401" t="s">
        <v>3127</v>
      </c>
      <c r="B1401" t="s">
        <v>3128</v>
      </c>
      <c r="C1401">
        <v>10</v>
      </c>
      <c r="D1401" s="260">
        <v>46268</v>
      </c>
      <c r="E1401" s="260">
        <v>46281</v>
      </c>
      <c r="F1401">
        <v>72</v>
      </c>
      <c r="G1401" t="s">
        <v>353</v>
      </c>
    </row>
    <row r="1402" spans="1:7">
      <c r="A1402" t="s">
        <v>3129</v>
      </c>
      <c r="C1402">
        <v>126</v>
      </c>
      <c r="D1402" s="260">
        <v>46112</v>
      </c>
      <c r="E1402" s="260">
        <v>46302</v>
      </c>
      <c r="F1402">
        <v>57</v>
      </c>
      <c r="G1402" t="s">
        <v>353</v>
      </c>
    </row>
    <row r="1403" spans="1:7">
      <c r="A1403" t="s">
        <v>3130</v>
      </c>
      <c r="B1403" t="s">
        <v>3131</v>
      </c>
      <c r="C1403">
        <v>15</v>
      </c>
      <c r="D1403" s="260">
        <v>46148</v>
      </c>
      <c r="E1403" s="260">
        <v>46168</v>
      </c>
      <c r="F1403">
        <v>36</v>
      </c>
      <c r="G1403" t="s">
        <v>353</v>
      </c>
    </row>
    <row r="1404" spans="1:7">
      <c r="A1404" t="s">
        <v>3132</v>
      </c>
      <c r="B1404" t="s">
        <v>3133</v>
      </c>
      <c r="C1404">
        <v>10</v>
      </c>
      <c r="D1404" s="260">
        <v>46185</v>
      </c>
      <c r="E1404" s="260">
        <v>46198</v>
      </c>
      <c r="F1404">
        <v>102</v>
      </c>
      <c r="G1404" t="s">
        <v>353</v>
      </c>
    </row>
    <row r="1405" spans="1:7">
      <c r="A1405" t="s">
        <v>3134</v>
      </c>
      <c r="B1405" t="s">
        <v>3135</v>
      </c>
      <c r="C1405">
        <v>10</v>
      </c>
      <c r="D1405" s="260">
        <v>46213</v>
      </c>
      <c r="E1405" s="260">
        <v>46226</v>
      </c>
      <c r="F1405">
        <v>102</v>
      </c>
      <c r="G1405" t="s">
        <v>353</v>
      </c>
    </row>
    <row r="1406" spans="1:7">
      <c r="A1406" t="s">
        <v>3136</v>
      </c>
      <c r="B1406" t="s">
        <v>3137</v>
      </c>
      <c r="C1406">
        <v>15</v>
      </c>
      <c r="D1406" s="260">
        <v>46112</v>
      </c>
      <c r="E1406" s="260">
        <v>46136</v>
      </c>
      <c r="F1406">
        <v>0</v>
      </c>
      <c r="G1406" t="s">
        <v>353</v>
      </c>
    </row>
    <row r="1407" spans="1:7">
      <c r="A1407" t="s">
        <v>3138</v>
      </c>
      <c r="B1407" t="s">
        <v>3139</v>
      </c>
      <c r="C1407">
        <v>10</v>
      </c>
      <c r="D1407" s="260">
        <v>46154</v>
      </c>
      <c r="E1407" s="260">
        <v>46167</v>
      </c>
      <c r="F1407">
        <v>34</v>
      </c>
      <c r="G1407" t="s">
        <v>353</v>
      </c>
    </row>
    <row r="1408" spans="1:7">
      <c r="A1408" t="s">
        <v>3140</v>
      </c>
      <c r="B1408" t="s">
        <v>3141</v>
      </c>
      <c r="C1408">
        <v>10</v>
      </c>
      <c r="D1408" s="260">
        <v>46185</v>
      </c>
      <c r="E1408" s="260">
        <v>46198</v>
      </c>
      <c r="F1408">
        <v>33</v>
      </c>
      <c r="G1408" t="s">
        <v>353</v>
      </c>
    </row>
    <row r="1409" spans="1:7">
      <c r="A1409" t="s">
        <v>3142</v>
      </c>
      <c r="B1409" t="s">
        <v>3143</v>
      </c>
      <c r="C1409">
        <v>15</v>
      </c>
      <c r="D1409" s="260">
        <v>46148</v>
      </c>
      <c r="E1409" s="260">
        <v>46168</v>
      </c>
      <c r="F1409">
        <v>36</v>
      </c>
      <c r="G1409" t="s">
        <v>353</v>
      </c>
    </row>
    <row r="1410" spans="1:7">
      <c r="A1410" t="s">
        <v>3144</v>
      </c>
      <c r="B1410" t="s">
        <v>3145</v>
      </c>
      <c r="C1410">
        <v>10</v>
      </c>
      <c r="D1410" s="260">
        <v>46185</v>
      </c>
      <c r="E1410" s="260">
        <v>46198</v>
      </c>
      <c r="F1410">
        <v>102</v>
      </c>
      <c r="G1410" t="s">
        <v>353</v>
      </c>
    </row>
    <row r="1411" spans="1:7">
      <c r="A1411" t="s">
        <v>3146</v>
      </c>
      <c r="B1411" t="s">
        <v>3147</v>
      </c>
      <c r="C1411">
        <v>10</v>
      </c>
      <c r="D1411" s="260">
        <v>46213</v>
      </c>
      <c r="E1411" s="260">
        <v>46226</v>
      </c>
      <c r="F1411">
        <v>102</v>
      </c>
      <c r="G1411" t="s">
        <v>353</v>
      </c>
    </row>
    <row r="1412" spans="1:7">
      <c r="A1412" t="s">
        <v>3148</v>
      </c>
      <c r="B1412" t="s">
        <v>3149</v>
      </c>
      <c r="C1412">
        <v>10</v>
      </c>
      <c r="D1412" s="260">
        <v>46132</v>
      </c>
      <c r="E1412" s="260">
        <v>46146</v>
      </c>
      <c r="F1412">
        <v>-45</v>
      </c>
      <c r="G1412" t="s">
        <v>353</v>
      </c>
    </row>
    <row r="1413" spans="1:7">
      <c r="A1413" t="s">
        <v>3150</v>
      </c>
      <c r="B1413" t="s">
        <v>3151</v>
      </c>
      <c r="C1413">
        <v>10</v>
      </c>
      <c r="D1413" s="260">
        <v>46161</v>
      </c>
      <c r="E1413" s="260">
        <v>46175</v>
      </c>
      <c r="F1413">
        <v>123</v>
      </c>
      <c r="G1413" t="s">
        <v>353</v>
      </c>
    </row>
    <row r="1414" spans="1:7">
      <c r="A1414" t="s">
        <v>3152</v>
      </c>
      <c r="B1414" t="s">
        <v>3153</v>
      </c>
      <c r="C1414">
        <v>5</v>
      </c>
      <c r="D1414" s="260">
        <v>46199</v>
      </c>
      <c r="E1414" s="260">
        <v>46205</v>
      </c>
      <c r="F1414">
        <v>117</v>
      </c>
      <c r="G1414" t="s">
        <v>353</v>
      </c>
    </row>
    <row r="1415" spans="1:7">
      <c r="A1415" t="s">
        <v>3154</v>
      </c>
      <c r="B1415" t="s">
        <v>3155</v>
      </c>
      <c r="C1415">
        <v>15</v>
      </c>
      <c r="D1415" s="260">
        <v>46199</v>
      </c>
      <c r="E1415" s="260">
        <v>46219</v>
      </c>
      <c r="F1415">
        <v>47</v>
      </c>
      <c r="G1415" t="s">
        <v>353</v>
      </c>
    </row>
    <row r="1416" spans="1:7">
      <c r="A1416" t="s">
        <v>3156</v>
      </c>
      <c r="B1416" t="s">
        <v>3157</v>
      </c>
      <c r="C1416">
        <v>10</v>
      </c>
      <c r="D1416" s="260">
        <v>46268</v>
      </c>
      <c r="E1416" s="260">
        <v>46281</v>
      </c>
      <c r="F1416">
        <v>67</v>
      </c>
      <c r="G1416" t="s">
        <v>353</v>
      </c>
    </row>
    <row r="1417" spans="1:7">
      <c r="A1417" t="s">
        <v>3158</v>
      </c>
      <c r="B1417" t="s">
        <v>3159</v>
      </c>
      <c r="C1417">
        <v>15</v>
      </c>
      <c r="D1417" s="260">
        <v>46220</v>
      </c>
      <c r="E1417" s="260">
        <v>46245</v>
      </c>
      <c r="F1417">
        <v>32</v>
      </c>
      <c r="G1417" t="s">
        <v>353</v>
      </c>
    </row>
    <row r="1418" spans="1:7">
      <c r="A1418" t="s">
        <v>3160</v>
      </c>
      <c r="B1418" t="s">
        <v>3161</v>
      </c>
      <c r="C1418">
        <v>10</v>
      </c>
      <c r="D1418" s="260">
        <v>46289</v>
      </c>
      <c r="E1418" s="260">
        <v>46302</v>
      </c>
      <c r="F1418">
        <v>52</v>
      </c>
      <c r="G1418" t="s">
        <v>353</v>
      </c>
    </row>
    <row r="1419" spans="1:7">
      <c r="A1419" t="s">
        <v>3162</v>
      </c>
      <c r="B1419" t="s">
        <v>3163</v>
      </c>
      <c r="C1419">
        <v>15</v>
      </c>
      <c r="D1419" s="260">
        <v>46199</v>
      </c>
      <c r="E1419" s="260">
        <v>46219</v>
      </c>
      <c r="F1419">
        <v>47</v>
      </c>
      <c r="G1419" t="s">
        <v>353</v>
      </c>
    </row>
    <row r="1420" spans="1:7">
      <c r="A1420" t="s">
        <v>3164</v>
      </c>
      <c r="B1420" t="s">
        <v>3165</v>
      </c>
      <c r="C1420">
        <v>10</v>
      </c>
      <c r="D1420" s="260">
        <v>46239</v>
      </c>
      <c r="E1420" s="260">
        <v>46253</v>
      </c>
      <c r="F1420">
        <v>67</v>
      </c>
      <c r="G1420" t="s">
        <v>353</v>
      </c>
    </row>
    <row r="1421" spans="1:7">
      <c r="A1421" t="s">
        <v>3166</v>
      </c>
      <c r="B1421" t="s">
        <v>3167</v>
      </c>
      <c r="C1421">
        <v>10</v>
      </c>
      <c r="D1421" s="260">
        <v>46268</v>
      </c>
      <c r="E1421" s="260">
        <v>46281</v>
      </c>
      <c r="F1421">
        <v>67</v>
      </c>
      <c r="G1421" t="s">
        <v>353</v>
      </c>
    </row>
    <row r="1422" spans="1:7">
      <c r="A1422" t="s">
        <v>3168</v>
      </c>
      <c r="B1422" t="s">
        <v>3169</v>
      </c>
      <c r="C1422">
        <v>15</v>
      </c>
      <c r="D1422" s="260">
        <v>46148</v>
      </c>
      <c r="E1422" s="260">
        <v>46168</v>
      </c>
      <c r="F1422">
        <v>63</v>
      </c>
      <c r="G1422" t="s">
        <v>353</v>
      </c>
    </row>
    <row r="1423" spans="1:7">
      <c r="A1423" t="s">
        <v>3170</v>
      </c>
      <c r="B1423" t="s">
        <v>3171</v>
      </c>
      <c r="C1423">
        <v>10</v>
      </c>
      <c r="D1423" s="260">
        <v>46185</v>
      </c>
      <c r="E1423" s="260">
        <v>46198</v>
      </c>
      <c r="F1423">
        <v>102</v>
      </c>
      <c r="G1423" t="s">
        <v>353</v>
      </c>
    </row>
    <row r="1424" spans="1:7">
      <c r="A1424" t="s">
        <v>3172</v>
      </c>
      <c r="B1424" t="s">
        <v>3173</v>
      </c>
      <c r="C1424">
        <v>10</v>
      </c>
      <c r="D1424" s="260">
        <v>46213</v>
      </c>
      <c r="E1424" s="260">
        <v>46226</v>
      </c>
      <c r="F1424">
        <v>102</v>
      </c>
      <c r="G1424" t="s">
        <v>353</v>
      </c>
    </row>
    <row r="1425" spans="1:7">
      <c r="A1425" t="s">
        <v>3174</v>
      </c>
      <c r="B1425" t="s">
        <v>3175</v>
      </c>
      <c r="C1425">
        <v>15</v>
      </c>
      <c r="D1425" s="260">
        <v>46112</v>
      </c>
      <c r="E1425" s="260">
        <v>46136</v>
      </c>
      <c r="F1425">
        <v>89</v>
      </c>
      <c r="G1425" t="s">
        <v>353</v>
      </c>
    </row>
    <row r="1426" spans="1:7">
      <c r="A1426" t="s">
        <v>3176</v>
      </c>
      <c r="B1426" t="s">
        <v>3177</v>
      </c>
      <c r="C1426">
        <v>10</v>
      </c>
      <c r="D1426" s="260">
        <v>46154</v>
      </c>
      <c r="E1426" s="260">
        <v>46167</v>
      </c>
      <c r="F1426">
        <v>123</v>
      </c>
      <c r="G1426" t="s">
        <v>353</v>
      </c>
    </row>
    <row r="1427" spans="1:7">
      <c r="A1427" t="s">
        <v>3178</v>
      </c>
      <c r="B1427" t="s">
        <v>3179</v>
      </c>
      <c r="C1427">
        <v>10</v>
      </c>
      <c r="D1427" s="260">
        <v>46184</v>
      </c>
      <c r="E1427" s="260">
        <v>46197</v>
      </c>
      <c r="F1427">
        <v>123</v>
      </c>
      <c r="G1427" t="s">
        <v>353</v>
      </c>
    </row>
    <row r="1428" spans="1:7">
      <c r="A1428" t="s">
        <v>3180</v>
      </c>
      <c r="B1428" t="s">
        <v>3181</v>
      </c>
      <c r="C1428">
        <v>15</v>
      </c>
      <c r="D1428" s="260">
        <v>46148</v>
      </c>
      <c r="E1428" s="260">
        <v>46168</v>
      </c>
      <c r="F1428">
        <v>36</v>
      </c>
      <c r="G1428" t="s">
        <v>353</v>
      </c>
    </row>
    <row r="1429" spans="1:7">
      <c r="A1429" t="s">
        <v>3182</v>
      </c>
      <c r="B1429" t="s">
        <v>3183</v>
      </c>
      <c r="C1429">
        <v>10</v>
      </c>
      <c r="D1429" s="260">
        <v>46185</v>
      </c>
      <c r="E1429" s="260">
        <v>46198</v>
      </c>
      <c r="F1429">
        <v>102</v>
      </c>
      <c r="G1429" t="s">
        <v>353</v>
      </c>
    </row>
    <row r="1430" spans="1:7">
      <c r="A1430" t="s">
        <v>3184</v>
      </c>
      <c r="B1430" t="s">
        <v>3185</v>
      </c>
      <c r="C1430">
        <v>10</v>
      </c>
      <c r="D1430" s="260">
        <v>46213</v>
      </c>
      <c r="E1430" s="260">
        <v>46226</v>
      </c>
      <c r="F1430">
        <v>102</v>
      </c>
      <c r="G1430" t="s">
        <v>353</v>
      </c>
    </row>
    <row r="1431" spans="1:7">
      <c r="A1431" t="s">
        <v>3186</v>
      </c>
      <c r="B1431" t="s">
        <v>3187</v>
      </c>
      <c r="C1431">
        <v>10</v>
      </c>
      <c r="D1431" s="260">
        <v>46132</v>
      </c>
      <c r="E1431" s="260">
        <v>46146</v>
      </c>
      <c r="F1431">
        <v>-45</v>
      </c>
      <c r="G1431" t="s">
        <v>353</v>
      </c>
    </row>
    <row r="1432" spans="1:7">
      <c r="A1432" t="s">
        <v>3188</v>
      </c>
      <c r="B1432" t="s">
        <v>3189</v>
      </c>
      <c r="C1432">
        <v>10</v>
      </c>
      <c r="D1432" s="260">
        <v>46161</v>
      </c>
      <c r="E1432" s="260">
        <v>46175</v>
      </c>
      <c r="F1432">
        <v>6</v>
      </c>
      <c r="G1432" t="s">
        <v>353</v>
      </c>
    </row>
    <row r="1433" spans="1:7">
      <c r="A1433" t="s">
        <v>3190</v>
      </c>
      <c r="B1433" t="s">
        <v>3191</v>
      </c>
      <c r="C1433">
        <v>10</v>
      </c>
      <c r="D1433" s="260">
        <v>46191</v>
      </c>
      <c r="E1433" s="260">
        <v>46204</v>
      </c>
      <c r="F1433">
        <v>6</v>
      </c>
      <c r="G1433" t="s">
        <v>353</v>
      </c>
    </row>
    <row r="1434" spans="1:7">
      <c r="A1434" t="s">
        <v>3192</v>
      </c>
      <c r="B1434" t="s">
        <v>3193</v>
      </c>
      <c r="C1434">
        <v>15</v>
      </c>
      <c r="D1434" s="260">
        <v>46199</v>
      </c>
      <c r="E1434" s="260">
        <v>46219</v>
      </c>
      <c r="F1434">
        <v>47</v>
      </c>
      <c r="G1434" t="s">
        <v>353</v>
      </c>
    </row>
    <row r="1435" spans="1:7">
      <c r="A1435" t="s">
        <v>3194</v>
      </c>
      <c r="B1435" t="s">
        <v>3195</v>
      </c>
      <c r="C1435">
        <v>10</v>
      </c>
      <c r="D1435" s="260">
        <v>46268</v>
      </c>
      <c r="E1435" s="260">
        <v>46281</v>
      </c>
      <c r="F1435">
        <v>67</v>
      </c>
      <c r="G1435" t="s">
        <v>353</v>
      </c>
    </row>
    <row r="1436" spans="1:7">
      <c r="A1436" t="s">
        <v>3196</v>
      </c>
      <c r="B1436" t="s">
        <v>3197</v>
      </c>
      <c r="C1436">
        <v>15</v>
      </c>
      <c r="D1436" s="260">
        <v>46220</v>
      </c>
      <c r="E1436" s="260">
        <v>46245</v>
      </c>
      <c r="F1436">
        <v>32</v>
      </c>
      <c r="G1436" t="s">
        <v>353</v>
      </c>
    </row>
    <row r="1437" spans="1:7">
      <c r="A1437" t="s">
        <v>3198</v>
      </c>
      <c r="B1437" t="s">
        <v>3199</v>
      </c>
      <c r="C1437">
        <v>10</v>
      </c>
      <c r="D1437" s="260">
        <v>46289</v>
      </c>
      <c r="E1437" s="260">
        <v>46302</v>
      </c>
      <c r="F1437">
        <v>52</v>
      </c>
      <c r="G1437" t="s">
        <v>353</v>
      </c>
    </row>
    <row r="1438" spans="1:7">
      <c r="A1438" t="s">
        <v>3200</v>
      </c>
      <c r="B1438" t="s">
        <v>3201</v>
      </c>
      <c r="C1438">
        <v>15</v>
      </c>
      <c r="D1438" s="260">
        <v>46220</v>
      </c>
      <c r="E1438" s="260">
        <v>46245</v>
      </c>
      <c r="F1438">
        <v>57</v>
      </c>
      <c r="G1438" t="s">
        <v>353</v>
      </c>
    </row>
    <row r="1439" spans="1:7">
      <c r="A1439" t="s">
        <v>3202</v>
      </c>
      <c r="B1439" t="s">
        <v>3203</v>
      </c>
      <c r="C1439">
        <v>10</v>
      </c>
      <c r="D1439" s="260">
        <v>46261</v>
      </c>
      <c r="E1439" s="260">
        <v>46274</v>
      </c>
      <c r="F1439">
        <v>57</v>
      </c>
      <c r="G1439" t="s">
        <v>353</v>
      </c>
    </row>
    <row r="1440" spans="1:7">
      <c r="A1440" t="s">
        <v>3204</v>
      </c>
      <c r="B1440" t="s">
        <v>3205</v>
      </c>
      <c r="C1440">
        <v>10</v>
      </c>
      <c r="D1440" s="260">
        <v>46289</v>
      </c>
      <c r="E1440" s="260">
        <v>46302</v>
      </c>
      <c r="F1440">
        <v>57</v>
      </c>
      <c r="G1440" t="s">
        <v>353</v>
      </c>
    </row>
    <row r="1441" spans="1:7">
      <c r="A1441" t="s">
        <v>3206</v>
      </c>
      <c r="B1441" t="s">
        <v>3207</v>
      </c>
      <c r="C1441">
        <v>15</v>
      </c>
      <c r="D1441" s="260">
        <v>46220</v>
      </c>
      <c r="E1441" s="260">
        <v>46245</v>
      </c>
      <c r="F1441">
        <v>37</v>
      </c>
      <c r="G1441" t="s">
        <v>353</v>
      </c>
    </row>
    <row r="1442" spans="1:7">
      <c r="A1442" t="s">
        <v>3208</v>
      </c>
      <c r="B1442" t="s">
        <v>3209</v>
      </c>
      <c r="C1442">
        <v>10</v>
      </c>
      <c r="D1442" s="260">
        <v>46261</v>
      </c>
      <c r="E1442" s="260">
        <v>46274</v>
      </c>
      <c r="F1442">
        <v>57</v>
      </c>
      <c r="G1442" t="s">
        <v>353</v>
      </c>
    </row>
    <row r="1443" spans="1:7">
      <c r="A1443" t="s">
        <v>3210</v>
      </c>
      <c r="B1443" t="s">
        <v>3211</v>
      </c>
      <c r="C1443">
        <v>10</v>
      </c>
      <c r="D1443" s="260">
        <v>46289</v>
      </c>
      <c r="E1443" s="260">
        <v>46302</v>
      </c>
      <c r="F1443">
        <v>57</v>
      </c>
      <c r="G1443" t="s">
        <v>353</v>
      </c>
    </row>
    <row r="1444" spans="1:7">
      <c r="A1444" t="s">
        <v>3212</v>
      </c>
      <c r="B1444" t="s">
        <v>3213</v>
      </c>
      <c r="C1444">
        <v>15</v>
      </c>
      <c r="D1444" s="260">
        <v>46220</v>
      </c>
      <c r="E1444" s="260">
        <v>46245</v>
      </c>
      <c r="F1444">
        <v>57</v>
      </c>
      <c r="G1444" t="s">
        <v>353</v>
      </c>
    </row>
    <row r="1445" spans="1:7">
      <c r="A1445" t="s">
        <v>3214</v>
      </c>
      <c r="B1445" t="s">
        <v>3215</v>
      </c>
      <c r="C1445">
        <v>10</v>
      </c>
      <c r="D1445" s="260">
        <v>46261</v>
      </c>
      <c r="E1445" s="260">
        <v>46274</v>
      </c>
      <c r="F1445">
        <v>57</v>
      </c>
      <c r="G1445" t="s">
        <v>353</v>
      </c>
    </row>
    <row r="1446" spans="1:7">
      <c r="A1446" t="s">
        <v>3216</v>
      </c>
      <c r="B1446" t="s">
        <v>3217</v>
      </c>
      <c r="C1446">
        <v>10</v>
      </c>
      <c r="D1446" s="260">
        <v>46289</v>
      </c>
      <c r="E1446" s="260">
        <v>46302</v>
      </c>
      <c r="F1446">
        <v>57</v>
      </c>
      <c r="G1446" t="s">
        <v>353</v>
      </c>
    </row>
    <row r="1447" spans="1:7">
      <c r="A1447" t="s">
        <v>3218</v>
      </c>
      <c r="B1447" t="s">
        <v>3219</v>
      </c>
      <c r="C1447">
        <v>15</v>
      </c>
      <c r="D1447" s="260">
        <v>46199</v>
      </c>
      <c r="E1447" s="260">
        <v>46219</v>
      </c>
      <c r="F1447">
        <v>47</v>
      </c>
      <c r="G1447" t="s">
        <v>353</v>
      </c>
    </row>
    <row r="1448" spans="1:7">
      <c r="A1448" t="s">
        <v>3220</v>
      </c>
      <c r="B1448" t="s">
        <v>3221</v>
      </c>
      <c r="C1448">
        <v>10</v>
      </c>
      <c r="D1448" s="260">
        <v>46239</v>
      </c>
      <c r="E1448" s="260">
        <v>46253</v>
      </c>
      <c r="F1448">
        <v>67</v>
      </c>
      <c r="G1448" t="s">
        <v>353</v>
      </c>
    </row>
    <row r="1449" spans="1:7">
      <c r="A1449" t="s">
        <v>3222</v>
      </c>
      <c r="B1449" t="s">
        <v>3223</v>
      </c>
      <c r="C1449">
        <v>10</v>
      </c>
      <c r="D1449" s="260">
        <v>46268</v>
      </c>
      <c r="E1449" s="260">
        <v>46281</v>
      </c>
      <c r="F1449">
        <v>67</v>
      </c>
      <c r="G1449" t="s">
        <v>353</v>
      </c>
    </row>
    <row r="1450" spans="1:7">
      <c r="A1450" t="s">
        <v>3224</v>
      </c>
      <c r="C1450">
        <v>133</v>
      </c>
      <c r="D1450" s="260">
        <v>46142</v>
      </c>
      <c r="E1450" s="260">
        <v>46339</v>
      </c>
      <c r="F1450">
        <v>32</v>
      </c>
      <c r="G1450" t="s">
        <v>353</v>
      </c>
    </row>
    <row r="1451" spans="1:7">
      <c r="A1451" t="s">
        <v>3225</v>
      </c>
      <c r="B1451" t="s">
        <v>3226</v>
      </c>
      <c r="C1451">
        <v>15</v>
      </c>
      <c r="D1451" s="260">
        <v>46181</v>
      </c>
      <c r="E1451" s="260">
        <v>46199</v>
      </c>
      <c r="F1451">
        <v>63</v>
      </c>
      <c r="G1451" t="s">
        <v>353</v>
      </c>
    </row>
    <row r="1452" spans="1:7">
      <c r="A1452" t="s">
        <v>3227</v>
      </c>
      <c r="B1452" t="s">
        <v>3228</v>
      </c>
      <c r="C1452">
        <v>5</v>
      </c>
      <c r="D1452" s="260">
        <v>46288</v>
      </c>
      <c r="E1452" s="260">
        <v>46294</v>
      </c>
      <c r="F1452">
        <v>63</v>
      </c>
      <c r="G1452" t="s">
        <v>353</v>
      </c>
    </row>
    <row r="1453" spans="1:7">
      <c r="A1453" t="s">
        <v>3229</v>
      </c>
      <c r="B1453" t="s">
        <v>3230</v>
      </c>
      <c r="C1453">
        <v>15</v>
      </c>
      <c r="D1453" s="260">
        <v>46142</v>
      </c>
      <c r="E1453" s="260">
        <v>46163</v>
      </c>
      <c r="F1453">
        <v>0</v>
      </c>
      <c r="G1453" t="s">
        <v>353</v>
      </c>
    </row>
    <row r="1454" spans="1:7">
      <c r="A1454" t="s">
        <v>3231</v>
      </c>
      <c r="B1454" t="s">
        <v>3232</v>
      </c>
      <c r="C1454">
        <v>5</v>
      </c>
      <c r="D1454" s="260">
        <v>46252</v>
      </c>
      <c r="E1454" s="260">
        <v>46258</v>
      </c>
      <c r="F1454">
        <v>0</v>
      </c>
      <c r="G1454" t="s">
        <v>353</v>
      </c>
    </row>
    <row r="1455" spans="1:7">
      <c r="A1455" t="s">
        <v>3233</v>
      </c>
      <c r="B1455" t="s">
        <v>3234</v>
      </c>
      <c r="C1455">
        <v>15</v>
      </c>
      <c r="D1455" s="260">
        <v>46213</v>
      </c>
      <c r="E1455" s="260">
        <v>46238</v>
      </c>
      <c r="F1455">
        <v>36</v>
      </c>
      <c r="G1455" t="s">
        <v>353</v>
      </c>
    </row>
    <row r="1456" spans="1:7">
      <c r="A1456" t="s">
        <v>3235</v>
      </c>
      <c r="B1456" t="s">
        <v>3236</v>
      </c>
      <c r="C1456">
        <v>5</v>
      </c>
      <c r="D1456" s="260">
        <v>46329</v>
      </c>
      <c r="E1456" s="260">
        <v>46335</v>
      </c>
      <c r="F1456">
        <v>36</v>
      </c>
      <c r="G1456" t="s">
        <v>353</v>
      </c>
    </row>
    <row r="1457" spans="1:7">
      <c r="A1457" t="s">
        <v>3237</v>
      </c>
      <c r="B1457" t="s">
        <v>3238</v>
      </c>
      <c r="C1457">
        <v>15</v>
      </c>
      <c r="D1457" s="260">
        <v>46168</v>
      </c>
      <c r="E1457" s="260">
        <v>46190</v>
      </c>
      <c r="F1457">
        <v>67</v>
      </c>
      <c r="G1457" t="s">
        <v>353</v>
      </c>
    </row>
    <row r="1458" spans="1:7">
      <c r="A1458" t="s">
        <v>3239</v>
      </c>
      <c r="B1458" t="s">
        <v>3240</v>
      </c>
      <c r="C1458">
        <v>5</v>
      </c>
      <c r="D1458" s="260">
        <v>46282</v>
      </c>
      <c r="E1458" s="260">
        <v>46288</v>
      </c>
      <c r="F1458">
        <v>67</v>
      </c>
      <c r="G1458" t="s">
        <v>353</v>
      </c>
    </row>
    <row r="1459" spans="1:7">
      <c r="A1459" t="s">
        <v>3241</v>
      </c>
      <c r="B1459" t="s">
        <v>3242</v>
      </c>
      <c r="C1459">
        <v>10</v>
      </c>
      <c r="D1459" s="260">
        <v>46220</v>
      </c>
      <c r="E1459" s="260">
        <v>46238</v>
      </c>
      <c r="F1459">
        <v>47</v>
      </c>
      <c r="G1459" t="s">
        <v>353</v>
      </c>
    </row>
    <row r="1460" spans="1:7">
      <c r="A1460" t="s">
        <v>3243</v>
      </c>
      <c r="B1460" t="s">
        <v>3244</v>
      </c>
      <c r="C1460">
        <v>5</v>
      </c>
      <c r="D1460" s="260">
        <v>46311</v>
      </c>
      <c r="E1460" s="260">
        <v>46317</v>
      </c>
      <c r="F1460">
        <v>47</v>
      </c>
      <c r="G1460" t="s">
        <v>353</v>
      </c>
    </row>
    <row r="1461" spans="1:7">
      <c r="A1461" t="s">
        <v>3245</v>
      </c>
      <c r="B1461" t="s">
        <v>3246</v>
      </c>
      <c r="C1461">
        <v>10</v>
      </c>
      <c r="D1461" s="260">
        <v>46247</v>
      </c>
      <c r="E1461" s="260">
        <v>46260</v>
      </c>
      <c r="F1461">
        <v>32</v>
      </c>
      <c r="G1461" t="s">
        <v>353</v>
      </c>
    </row>
    <row r="1462" spans="1:7">
      <c r="A1462" t="s">
        <v>3247</v>
      </c>
      <c r="B1462" t="s">
        <v>3248</v>
      </c>
      <c r="C1462">
        <v>5</v>
      </c>
      <c r="D1462" s="260">
        <v>46335</v>
      </c>
      <c r="E1462" s="260">
        <v>46339</v>
      </c>
      <c r="F1462">
        <v>32</v>
      </c>
      <c r="G1462" t="s">
        <v>353</v>
      </c>
    </row>
    <row r="1463" spans="1:7">
      <c r="A1463" t="s">
        <v>3249</v>
      </c>
      <c r="B1463" t="s">
        <v>3250</v>
      </c>
      <c r="C1463">
        <v>10</v>
      </c>
      <c r="D1463" s="260">
        <v>46220</v>
      </c>
      <c r="E1463" s="260">
        <v>46238</v>
      </c>
      <c r="F1463">
        <v>47</v>
      </c>
      <c r="G1463" t="s">
        <v>353</v>
      </c>
    </row>
    <row r="1464" spans="1:7">
      <c r="A1464" t="s">
        <v>3251</v>
      </c>
      <c r="B1464" t="s">
        <v>3252</v>
      </c>
      <c r="C1464">
        <v>5</v>
      </c>
      <c r="D1464" s="260">
        <v>46311</v>
      </c>
      <c r="E1464" s="260">
        <v>46317</v>
      </c>
      <c r="F1464">
        <v>47</v>
      </c>
      <c r="G1464" t="s">
        <v>353</v>
      </c>
    </row>
    <row r="1465" spans="1:7">
      <c r="A1465" t="s">
        <v>3253</v>
      </c>
      <c r="B1465" t="s">
        <v>3254</v>
      </c>
      <c r="C1465">
        <v>15</v>
      </c>
      <c r="D1465" s="260">
        <v>46181</v>
      </c>
      <c r="E1465" s="260">
        <v>46199</v>
      </c>
      <c r="F1465">
        <v>63</v>
      </c>
      <c r="G1465" t="s">
        <v>353</v>
      </c>
    </row>
    <row r="1466" spans="1:7">
      <c r="A1466" t="s">
        <v>3255</v>
      </c>
      <c r="B1466" t="s">
        <v>3256</v>
      </c>
      <c r="C1466">
        <v>5</v>
      </c>
      <c r="D1466" s="260">
        <v>46288</v>
      </c>
      <c r="E1466" s="260">
        <v>46294</v>
      </c>
      <c r="F1466">
        <v>63</v>
      </c>
      <c r="G1466" t="s">
        <v>353</v>
      </c>
    </row>
    <row r="1467" spans="1:7">
      <c r="A1467" t="s">
        <v>3257</v>
      </c>
      <c r="B1467" t="s">
        <v>3258</v>
      </c>
      <c r="C1467">
        <v>15</v>
      </c>
      <c r="D1467" s="260">
        <v>46142</v>
      </c>
      <c r="E1467" s="260">
        <v>46163</v>
      </c>
      <c r="F1467">
        <v>89</v>
      </c>
      <c r="G1467" t="s">
        <v>353</v>
      </c>
    </row>
    <row r="1468" spans="1:7">
      <c r="A1468" t="s">
        <v>3259</v>
      </c>
      <c r="B1468" t="s">
        <v>3260</v>
      </c>
      <c r="C1468">
        <v>5</v>
      </c>
      <c r="D1468" s="260">
        <v>46252</v>
      </c>
      <c r="E1468" s="260">
        <v>46258</v>
      </c>
      <c r="F1468">
        <v>89</v>
      </c>
      <c r="G1468" t="s">
        <v>353</v>
      </c>
    </row>
    <row r="1469" spans="1:7">
      <c r="A1469" t="s">
        <v>3261</v>
      </c>
      <c r="B1469" t="s">
        <v>3262</v>
      </c>
      <c r="C1469">
        <v>15</v>
      </c>
      <c r="D1469" s="260">
        <v>46213</v>
      </c>
      <c r="E1469" s="260">
        <v>46238</v>
      </c>
      <c r="F1469">
        <v>36</v>
      </c>
      <c r="G1469" t="s">
        <v>353</v>
      </c>
    </row>
    <row r="1470" spans="1:7">
      <c r="A1470" t="s">
        <v>3263</v>
      </c>
      <c r="B1470" t="s">
        <v>3264</v>
      </c>
      <c r="C1470">
        <v>5</v>
      </c>
      <c r="D1470" s="260">
        <v>46329</v>
      </c>
      <c r="E1470" s="260">
        <v>46335</v>
      </c>
      <c r="F1470">
        <v>36</v>
      </c>
      <c r="G1470" t="s">
        <v>353</v>
      </c>
    </row>
    <row r="1471" spans="1:7">
      <c r="A1471" t="s">
        <v>3265</v>
      </c>
      <c r="B1471" t="s">
        <v>3266</v>
      </c>
      <c r="C1471">
        <v>15</v>
      </c>
      <c r="D1471" s="260">
        <v>46168</v>
      </c>
      <c r="E1471" s="260">
        <v>46190</v>
      </c>
      <c r="F1471">
        <v>-45</v>
      </c>
      <c r="G1471" t="s">
        <v>353</v>
      </c>
    </row>
    <row r="1472" spans="1:7">
      <c r="A1472" t="s">
        <v>3267</v>
      </c>
      <c r="B1472" t="s">
        <v>3268</v>
      </c>
      <c r="C1472">
        <v>5</v>
      </c>
      <c r="D1472" s="260">
        <v>46282</v>
      </c>
      <c r="E1472" s="260">
        <v>46288</v>
      </c>
      <c r="F1472">
        <v>-45</v>
      </c>
      <c r="G1472" t="s">
        <v>353</v>
      </c>
    </row>
    <row r="1473" spans="1:7">
      <c r="A1473" t="s">
        <v>3269</v>
      </c>
      <c r="B1473" t="s">
        <v>3270</v>
      </c>
      <c r="C1473">
        <v>10</v>
      </c>
      <c r="D1473" s="260">
        <v>46220</v>
      </c>
      <c r="E1473" s="260">
        <v>46238</v>
      </c>
      <c r="F1473">
        <v>47</v>
      </c>
      <c r="G1473" t="s">
        <v>353</v>
      </c>
    </row>
    <row r="1474" spans="1:7">
      <c r="A1474" t="s">
        <v>3271</v>
      </c>
      <c r="B1474" t="s">
        <v>3272</v>
      </c>
      <c r="C1474">
        <v>5</v>
      </c>
      <c r="D1474" s="260">
        <v>46311</v>
      </c>
      <c r="E1474" s="260">
        <v>46317</v>
      </c>
      <c r="F1474">
        <v>47</v>
      </c>
      <c r="G1474" t="s">
        <v>353</v>
      </c>
    </row>
    <row r="1475" spans="1:7">
      <c r="A1475" t="s">
        <v>3273</v>
      </c>
      <c r="B1475" t="s">
        <v>3274</v>
      </c>
      <c r="C1475">
        <v>10</v>
      </c>
      <c r="D1475" s="260">
        <v>46247</v>
      </c>
      <c r="E1475" s="260">
        <v>46260</v>
      </c>
      <c r="F1475">
        <v>32</v>
      </c>
      <c r="G1475" t="s">
        <v>353</v>
      </c>
    </row>
    <row r="1476" spans="1:7">
      <c r="A1476" t="s">
        <v>3275</v>
      </c>
      <c r="B1476" t="s">
        <v>3276</v>
      </c>
      <c r="C1476">
        <v>5</v>
      </c>
      <c r="D1476" s="260">
        <v>46335</v>
      </c>
      <c r="E1476" s="260">
        <v>46339</v>
      </c>
      <c r="F1476">
        <v>32</v>
      </c>
      <c r="G1476" t="s">
        <v>353</v>
      </c>
    </row>
    <row r="1477" spans="1:7">
      <c r="A1477" t="s">
        <v>3277</v>
      </c>
      <c r="B1477" t="s">
        <v>3278</v>
      </c>
      <c r="C1477">
        <v>10</v>
      </c>
      <c r="D1477" s="260">
        <v>46220</v>
      </c>
      <c r="E1477" s="260">
        <v>46238</v>
      </c>
      <c r="F1477">
        <v>47</v>
      </c>
      <c r="G1477" t="s">
        <v>353</v>
      </c>
    </row>
    <row r="1478" spans="1:7">
      <c r="A1478" t="s">
        <v>3279</v>
      </c>
      <c r="B1478" t="s">
        <v>3280</v>
      </c>
      <c r="C1478">
        <v>5</v>
      </c>
      <c r="D1478" s="260">
        <v>46311</v>
      </c>
      <c r="E1478" s="260">
        <v>46317</v>
      </c>
      <c r="F1478">
        <v>47</v>
      </c>
      <c r="G1478" t="s">
        <v>353</v>
      </c>
    </row>
    <row r="1479" spans="1:7">
      <c r="A1479" t="s">
        <v>3281</v>
      </c>
      <c r="B1479" t="s">
        <v>3282</v>
      </c>
      <c r="C1479">
        <v>10</v>
      </c>
      <c r="D1479" s="260">
        <v>46227</v>
      </c>
      <c r="E1479" s="260">
        <v>46245</v>
      </c>
      <c r="F1479">
        <v>82</v>
      </c>
      <c r="G1479" t="s">
        <v>353</v>
      </c>
    </row>
    <row r="1480" spans="1:7">
      <c r="A1480" t="s">
        <v>3283</v>
      </c>
      <c r="B1480" t="s">
        <v>3284</v>
      </c>
      <c r="C1480">
        <v>5</v>
      </c>
      <c r="D1480" s="260">
        <v>46328</v>
      </c>
      <c r="E1480" s="260">
        <v>46332</v>
      </c>
      <c r="F1480">
        <v>37</v>
      </c>
      <c r="G1480" t="s">
        <v>353</v>
      </c>
    </row>
    <row r="1481" spans="1:7">
      <c r="A1481" t="s">
        <v>3285</v>
      </c>
      <c r="C1481">
        <v>92</v>
      </c>
      <c r="D1481" s="260">
        <v>46183</v>
      </c>
      <c r="E1481" s="260">
        <v>46317</v>
      </c>
      <c r="F1481">
        <v>32</v>
      </c>
      <c r="G1481" t="s">
        <v>353</v>
      </c>
    </row>
    <row r="1482" spans="1:7">
      <c r="A1482" t="s">
        <v>3286</v>
      </c>
      <c r="B1482" t="s">
        <v>3287</v>
      </c>
      <c r="C1482">
        <v>16</v>
      </c>
      <c r="D1482" s="260">
        <v>46225</v>
      </c>
      <c r="E1482" s="260">
        <v>46252</v>
      </c>
      <c r="F1482">
        <v>63</v>
      </c>
      <c r="G1482" t="s">
        <v>353</v>
      </c>
    </row>
    <row r="1483" spans="1:7">
      <c r="A1483" t="s">
        <v>3288</v>
      </c>
      <c r="B1483" t="s">
        <v>3289</v>
      </c>
      <c r="C1483">
        <v>5</v>
      </c>
      <c r="D1483" s="260">
        <v>46267</v>
      </c>
      <c r="E1483" s="260">
        <v>46273</v>
      </c>
      <c r="F1483">
        <v>63</v>
      </c>
      <c r="G1483" t="s">
        <v>353</v>
      </c>
    </row>
    <row r="1484" spans="1:7">
      <c r="A1484" t="s">
        <v>3290</v>
      </c>
      <c r="B1484" t="s">
        <v>3291</v>
      </c>
      <c r="C1484">
        <v>20</v>
      </c>
      <c r="D1484" s="260">
        <v>46183</v>
      </c>
      <c r="E1484" s="260">
        <v>46210</v>
      </c>
      <c r="F1484">
        <v>0</v>
      </c>
      <c r="G1484" t="s">
        <v>353</v>
      </c>
    </row>
    <row r="1485" spans="1:7">
      <c r="A1485" t="s">
        <v>3292</v>
      </c>
      <c r="B1485" t="s">
        <v>3293</v>
      </c>
      <c r="C1485">
        <v>5</v>
      </c>
      <c r="D1485" s="260">
        <v>46225</v>
      </c>
      <c r="E1485" s="260">
        <v>46234</v>
      </c>
      <c r="F1485">
        <v>0</v>
      </c>
      <c r="G1485" t="s">
        <v>353</v>
      </c>
    </row>
    <row r="1486" spans="1:7">
      <c r="A1486" t="s">
        <v>3294</v>
      </c>
      <c r="B1486" t="s">
        <v>3295</v>
      </c>
      <c r="C1486">
        <v>20</v>
      </c>
      <c r="D1486" s="260">
        <v>46262</v>
      </c>
      <c r="E1486" s="260">
        <v>46289</v>
      </c>
      <c r="F1486">
        <v>36</v>
      </c>
      <c r="G1486" t="s">
        <v>353</v>
      </c>
    </row>
    <row r="1487" spans="1:7">
      <c r="A1487" t="s">
        <v>3296</v>
      </c>
      <c r="B1487" t="s">
        <v>3297</v>
      </c>
      <c r="C1487">
        <v>5</v>
      </c>
      <c r="D1487" s="260">
        <v>46304</v>
      </c>
      <c r="E1487" s="260">
        <v>46311</v>
      </c>
      <c r="F1487">
        <v>36</v>
      </c>
      <c r="G1487" t="s">
        <v>353</v>
      </c>
    </row>
    <row r="1488" spans="1:7">
      <c r="A1488" t="s">
        <v>3298</v>
      </c>
      <c r="B1488" t="s">
        <v>3299</v>
      </c>
      <c r="C1488">
        <v>12</v>
      </c>
      <c r="D1488" s="260">
        <v>46225</v>
      </c>
      <c r="E1488" s="260">
        <v>46245</v>
      </c>
      <c r="F1488">
        <v>67</v>
      </c>
      <c r="G1488" t="s">
        <v>353</v>
      </c>
    </row>
    <row r="1489" spans="1:7">
      <c r="A1489" t="s">
        <v>3300</v>
      </c>
      <c r="B1489" t="s">
        <v>3301</v>
      </c>
      <c r="C1489">
        <v>5</v>
      </c>
      <c r="D1489" s="260">
        <v>46261</v>
      </c>
      <c r="E1489" s="260">
        <v>46267</v>
      </c>
      <c r="F1489">
        <v>67</v>
      </c>
      <c r="G1489" t="s">
        <v>353</v>
      </c>
    </row>
    <row r="1490" spans="1:7">
      <c r="A1490" t="s">
        <v>3302</v>
      </c>
      <c r="B1490" t="s">
        <v>3303</v>
      </c>
      <c r="C1490">
        <v>15</v>
      </c>
      <c r="D1490" s="260">
        <v>46254</v>
      </c>
      <c r="E1490" s="260">
        <v>46274</v>
      </c>
      <c r="F1490">
        <v>47</v>
      </c>
      <c r="G1490" t="s">
        <v>353</v>
      </c>
    </row>
    <row r="1491" spans="1:7">
      <c r="A1491" t="s">
        <v>3304</v>
      </c>
      <c r="B1491" t="s">
        <v>3305</v>
      </c>
      <c r="C1491">
        <v>5</v>
      </c>
      <c r="D1491" s="260">
        <v>46289</v>
      </c>
      <c r="E1491" s="260">
        <v>46295</v>
      </c>
      <c r="F1491">
        <v>47</v>
      </c>
      <c r="G1491" t="s">
        <v>353</v>
      </c>
    </row>
    <row r="1492" spans="1:7">
      <c r="A1492" t="s">
        <v>3306</v>
      </c>
      <c r="B1492" t="s">
        <v>3307</v>
      </c>
      <c r="C1492">
        <v>15</v>
      </c>
      <c r="D1492" s="260">
        <v>46275</v>
      </c>
      <c r="E1492" s="260">
        <v>46295</v>
      </c>
      <c r="F1492">
        <v>32</v>
      </c>
      <c r="G1492" t="s">
        <v>353</v>
      </c>
    </row>
    <row r="1493" spans="1:7">
      <c r="A1493" t="s">
        <v>3308</v>
      </c>
      <c r="B1493" t="s">
        <v>3309</v>
      </c>
      <c r="C1493">
        <v>5</v>
      </c>
      <c r="D1493" s="260">
        <v>46311</v>
      </c>
      <c r="E1493" s="260">
        <v>46317</v>
      </c>
      <c r="F1493">
        <v>32</v>
      </c>
      <c r="G1493" t="s">
        <v>353</v>
      </c>
    </row>
    <row r="1494" spans="1:7">
      <c r="A1494" t="s">
        <v>3310</v>
      </c>
      <c r="B1494" t="s">
        <v>3311</v>
      </c>
      <c r="C1494">
        <v>15</v>
      </c>
      <c r="D1494" s="260">
        <v>46254</v>
      </c>
      <c r="E1494" s="260">
        <v>46274</v>
      </c>
      <c r="F1494">
        <v>47</v>
      </c>
      <c r="G1494" t="s">
        <v>353</v>
      </c>
    </row>
    <row r="1495" spans="1:7">
      <c r="A1495" t="s">
        <v>3312</v>
      </c>
      <c r="B1495" t="s">
        <v>3313</v>
      </c>
      <c r="C1495">
        <v>5</v>
      </c>
      <c r="D1495" s="260">
        <v>46289</v>
      </c>
      <c r="E1495" s="260">
        <v>46295</v>
      </c>
      <c r="F1495">
        <v>47</v>
      </c>
      <c r="G1495" t="s">
        <v>353</v>
      </c>
    </row>
    <row r="1496" spans="1:7">
      <c r="A1496" t="s">
        <v>3314</v>
      </c>
      <c r="B1496" t="s">
        <v>3315</v>
      </c>
      <c r="C1496">
        <v>16</v>
      </c>
      <c r="D1496" s="260">
        <v>46225</v>
      </c>
      <c r="E1496" s="260">
        <v>46252</v>
      </c>
      <c r="F1496">
        <v>63</v>
      </c>
      <c r="G1496" t="s">
        <v>353</v>
      </c>
    </row>
    <row r="1497" spans="1:7">
      <c r="A1497" t="s">
        <v>3316</v>
      </c>
      <c r="B1497" t="s">
        <v>3317</v>
      </c>
      <c r="C1497">
        <v>5</v>
      </c>
      <c r="D1497" s="260">
        <v>46267</v>
      </c>
      <c r="E1497" s="260">
        <v>46273</v>
      </c>
      <c r="F1497">
        <v>63</v>
      </c>
      <c r="G1497" t="s">
        <v>353</v>
      </c>
    </row>
    <row r="1498" spans="1:7">
      <c r="A1498" t="s">
        <v>3318</v>
      </c>
      <c r="B1498" t="s">
        <v>3319</v>
      </c>
      <c r="C1498">
        <v>20</v>
      </c>
      <c r="D1498" s="260">
        <v>46183</v>
      </c>
      <c r="E1498" s="260">
        <v>46210</v>
      </c>
      <c r="F1498">
        <v>89</v>
      </c>
      <c r="G1498" t="s">
        <v>353</v>
      </c>
    </row>
    <row r="1499" spans="1:7">
      <c r="A1499" t="s">
        <v>3320</v>
      </c>
      <c r="B1499" t="s">
        <v>3321</v>
      </c>
      <c r="C1499">
        <v>5</v>
      </c>
      <c r="D1499" s="260">
        <v>46225</v>
      </c>
      <c r="E1499" s="260">
        <v>46234</v>
      </c>
      <c r="F1499">
        <v>89</v>
      </c>
      <c r="G1499" t="s">
        <v>353</v>
      </c>
    </row>
    <row r="1500" spans="1:7">
      <c r="A1500" t="s">
        <v>3322</v>
      </c>
      <c r="B1500" t="s">
        <v>3323</v>
      </c>
      <c r="C1500">
        <v>20</v>
      </c>
      <c r="D1500" s="260">
        <v>46262</v>
      </c>
      <c r="E1500" s="260">
        <v>46289</v>
      </c>
      <c r="F1500">
        <v>36</v>
      </c>
      <c r="G1500" t="s">
        <v>353</v>
      </c>
    </row>
    <row r="1501" spans="1:7">
      <c r="A1501" t="s">
        <v>3324</v>
      </c>
      <c r="B1501" t="s">
        <v>3325</v>
      </c>
      <c r="C1501">
        <v>5</v>
      </c>
      <c r="D1501" s="260">
        <v>46304</v>
      </c>
      <c r="E1501" s="260">
        <v>46311</v>
      </c>
      <c r="F1501">
        <v>36</v>
      </c>
      <c r="G1501" t="s">
        <v>353</v>
      </c>
    </row>
    <row r="1502" spans="1:7">
      <c r="A1502" t="s">
        <v>3326</v>
      </c>
      <c r="B1502" t="s">
        <v>3327</v>
      </c>
      <c r="C1502">
        <v>12</v>
      </c>
      <c r="D1502" s="260">
        <v>46225</v>
      </c>
      <c r="E1502" s="260">
        <v>46245</v>
      </c>
      <c r="F1502">
        <v>-45</v>
      </c>
      <c r="G1502" t="s">
        <v>353</v>
      </c>
    </row>
    <row r="1503" spans="1:7">
      <c r="A1503" t="s">
        <v>3328</v>
      </c>
      <c r="B1503" t="s">
        <v>3329</v>
      </c>
      <c r="C1503">
        <v>5</v>
      </c>
      <c r="D1503" s="260">
        <v>46261</v>
      </c>
      <c r="E1503" s="260">
        <v>46267</v>
      </c>
      <c r="F1503">
        <v>-45</v>
      </c>
      <c r="G1503" t="s">
        <v>353</v>
      </c>
    </row>
    <row r="1504" spans="1:7">
      <c r="A1504" t="s">
        <v>3330</v>
      </c>
      <c r="B1504" t="s">
        <v>3331</v>
      </c>
      <c r="C1504">
        <v>15</v>
      </c>
      <c r="D1504" s="260">
        <v>46254</v>
      </c>
      <c r="E1504" s="260">
        <v>46274</v>
      </c>
      <c r="F1504">
        <v>47</v>
      </c>
      <c r="G1504" t="s">
        <v>353</v>
      </c>
    </row>
    <row r="1505" spans="1:7">
      <c r="A1505" t="s">
        <v>3332</v>
      </c>
      <c r="B1505" t="s">
        <v>3333</v>
      </c>
      <c r="C1505">
        <v>5</v>
      </c>
      <c r="D1505" s="260">
        <v>46289</v>
      </c>
      <c r="E1505" s="260">
        <v>46295</v>
      </c>
      <c r="F1505">
        <v>47</v>
      </c>
      <c r="G1505" t="s">
        <v>353</v>
      </c>
    </row>
    <row r="1506" spans="1:7">
      <c r="A1506" t="s">
        <v>3334</v>
      </c>
      <c r="B1506" t="s">
        <v>3335</v>
      </c>
      <c r="C1506">
        <v>15</v>
      </c>
      <c r="D1506" s="260">
        <v>46275</v>
      </c>
      <c r="E1506" s="260">
        <v>46295</v>
      </c>
      <c r="F1506">
        <v>32</v>
      </c>
      <c r="G1506" t="s">
        <v>353</v>
      </c>
    </row>
    <row r="1507" spans="1:7">
      <c r="A1507" t="s">
        <v>3336</v>
      </c>
      <c r="B1507" t="s">
        <v>3337</v>
      </c>
      <c r="C1507">
        <v>5</v>
      </c>
      <c r="D1507" s="260">
        <v>46311</v>
      </c>
      <c r="E1507" s="260">
        <v>46317</v>
      </c>
      <c r="F1507">
        <v>32</v>
      </c>
      <c r="G1507" t="s">
        <v>353</v>
      </c>
    </row>
    <row r="1508" spans="1:7">
      <c r="A1508" t="s">
        <v>3338</v>
      </c>
      <c r="B1508" t="s">
        <v>3339</v>
      </c>
      <c r="C1508">
        <v>20</v>
      </c>
      <c r="D1508" s="260">
        <v>46261</v>
      </c>
      <c r="E1508" s="260">
        <v>46288</v>
      </c>
      <c r="F1508">
        <v>37</v>
      </c>
      <c r="G1508" t="s">
        <v>353</v>
      </c>
    </row>
    <row r="1509" spans="1:7">
      <c r="A1509" t="s">
        <v>3340</v>
      </c>
      <c r="B1509" t="s">
        <v>3341</v>
      </c>
      <c r="C1509">
        <v>5</v>
      </c>
      <c r="D1509" s="260">
        <v>46303</v>
      </c>
      <c r="E1509" s="260">
        <v>46310</v>
      </c>
      <c r="F1509">
        <v>37</v>
      </c>
      <c r="G1509" t="s">
        <v>353</v>
      </c>
    </row>
    <row r="1510" spans="1:7">
      <c r="A1510" t="s">
        <v>3342</v>
      </c>
      <c r="B1510" t="s">
        <v>3343</v>
      </c>
      <c r="C1510">
        <v>15</v>
      </c>
      <c r="D1510" s="260">
        <v>46254</v>
      </c>
      <c r="E1510" s="260">
        <v>46274</v>
      </c>
      <c r="F1510">
        <v>47</v>
      </c>
      <c r="G1510" t="s">
        <v>353</v>
      </c>
    </row>
    <row r="1511" spans="1:7">
      <c r="A1511" t="s">
        <v>3344</v>
      </c>
      <c r="B1511" t="s">
        <v>3345</v>
      </c>
      <c r="C1511">
        <v>5</v>
      </c>
      <c r="D1511" s="260">
        <v>46289</v>
      </c>
      <c r="E1511" s="260">
        <v>46295</v>
      </c>
      <c r="F1511">
        <v>47</v>
      </c>
      <c r="G1511" t="s">
        <v>353</v>
      </c>
    </row>
    <row r="1512" spans="1:7">
      <c r="A1512" t="s">
        <v>3346</v>
      </c>
      <c r="C1512">
        <v>198</v>
      </c>
      <c r="D1512" s="260">
        <v>46091</v>
      </c>
      <c r="E1512" s="260">
        <v>46392</v>
      </c>
      <c r="F1512">
        <v>0</v>
      </c>
      <c r="G1512" t="s">
        <v>353</v>
      </c>
    </row>
    <row r="1513" spans="1:7">
      <c r="A1513" t="s">
        <v>3347</v>
      </c>
      <c r="B1513" t="s">
        <v>3348</v>
      </c>
      <c r="C1513">
        <v>10</v>
      </c>
      <c r="D1513" s="260">
        <v>46091</v>
      </c>
      <c r="E1513" s="260">
        <v>46104</v>
      </c>
      <c r="F1513">
        <v>168</v>
      </c>
      <c r="G1513" t="s">
        <v>353</v>
      </c>
    </row>
    <row r="1514" spans="1:7">
      <c r="A1514" t="s">
        <v>3349</v>
      </c>
      <c r="B1514" t="s">
        <v>3350</v>
      </c>
      <c r="C1514">
        <v>10</v>
      </c>
      <c r="D1514" s="260">
        <v>46203</v>
      </c>
      <c r="E1514" s="260">
        <v>46216</v>
      </c>
      <c r="F1514">
        <v>115</v>
      </c>
      <c r="G1514" t="s">
        <v>353</v>
      </c>
    </row>
    <row r="1515" spans="1:7">
      <c r="A1515" t="s">
        <v>3351</v>
      </c>
      <c r="B1515" t="s">
        <v>3352</v>
      </c>
      <c r="C1515">
        <v>10</v>
      </c>
      <c r="D1515" s="260">
        <v>46097</v>
      </c>
      <c r="E1515" s="260">
        <v>46108</v>
      </c>
      <c r="F1515">
        <v>22</v>
      </c>
      <c r="G1515" t="s">
        <v>353</v>
      </c>
    </row>
    <row r="1516" spans="1:7">
      <c r="A1516" t="s">
        <v>3353</v>
      </c>
      <c r="B1516" t="s">
        <v>3354</v>
      </c>
      <c r="C1516">
        <v>10</v>
      </c>
      <c r="D1516" s="260">
        <v>46129</v>
      </c>
      <c r="E1516" s="260">
        <v>46142</v>
      </c>
      <c r="F1516">
        <v>144</v>
      </c>
      <c r="G1516" t="s">
        <v>353</v>
      </c>
    </row>
    <row r="1517" spans="1:7">
      <c r="A1517" t="s">
        <v>3355</v>
      </c>
      <c r="B1517" t="s">
        <v>3356</v>
      </c>
      <c r="C1517">
        <v>10</v>
      </c>
      <c r="D1517" s="260">
        <v>46203</v>
      </c>
      <c r="E1517" s="260">
        <v>46216</v>
      </c>
      <c r="F1517">
        <v>115</v>
      </c>
      <c r="G1517" t="s">
        <v>353</v>
      </c>
    </row>
    <row r="1518" spans="1:7">
      <c r="A1518" t="s">
        <v>3357</v>
      </c>
      <c r="B1518" t="s">
        <v>3358</v>
      </c>
      <c r="C1518">
        <v>10</v>
      </c>
      <c r="D1518" s="260">
        <v>46097</v>
      </c>
      <c r="E1518" s="260">
        <v>46108</v>
      </c>
      <c r="F1518">
        <v>22</v>
      </c>
      <c r="G1518" t="s">
        <v>353</v>
      </c>
    </row>
    <row r="1519" spans="1:7">
      <c r="A1519" t="s">
        <v>3359</v>
      </c>
      <c r="B1519" t="s">
        <v>3360</v>
      </c>
      <c r="C1519">
        <v>5</v>
      </c>
      <c r="D1519" s="260">
        <v>46146</v>
      </c>
      <c r="E1519" s="260">
        <v>46150</v>
      </c>
      <c r="F1519">
        <v>159</v>
      </c>
      <c r="G1519" t="s">
        <v>353</v>
      </c>
    </row>
    <row r="1520" spans="1:7">
      <c r="A1520" t="s">
        <v>3361</v>
      </c>
      <c r="B1520" t="s">
        <v>3362</v>
      </c>
      <c r="C1520">
        <v>10</v>
      </c>
      <c r="D1520" s="260">
        <v>46098</v>
      </c>
      <c r="E1520" s="260">
        <v>46111</v>
      </c>
      <c r="F1520">
        <v>22</v>
      </c>
      <c r="G1520" t="s">
        <v>353</v>
      </c>
    </row>
    <row r="1521" spans="1:7">
      <c r="A1521" t="s">
        <v>3363</v>
      </c>
      <c r="B1521" t="s">
        <v>3364</v>
      </c>
      <c r="C1521">
        <v>5</v>
      </c>
      <c r="D1521" s="260">
        <v>46147</v>
      </c>
      <c r="E1521" s="260">
        <v>46153</v>
      </c>
      <c r="F1521">
        <v>158</v>
      </c>
      <c r="G1521" t="s">
        <v>353</v>
      </c>
    </row>
    <row r="1522" spans="1:7">
      <c r="A1522" t="s">
        <v>3365</v>
      </c>
      <c r="B1522" t="s">
        <v>3366</v>
      </c>
      <c r="C1522">
        <v>10</v>
      </c>
      <c r="D1522" s="260">
        <v>46098</v>
      </c>
      <c r="E1522" s="260">
        <v>46111</v>
      </c>
      <c r="F1522">
        <v>22</v>
      </c>
      <c r="G1522" t="s">
        <v>353</v>
      </c>
    </row>
    <row r="1523" spans="1:7">
      <c r="A1523" t="s">
        <v>3367</v>
      </c>
      <c r="B1523" t="s">
        <v>3368</v>
      </c>
      <c r="C1523">
        <v>5</v>
      </c>
      <c r="D1523" s="260">
        <v>46147</v>
      </c>
      <c r="E1523" s="260">
        <v>46153</v>
      </c>
      <c r="F1523">
        <v>158</v>
      </c>
      <c r="G1523" t="s">
        <v>353</v>
      </c>
    </row>
    <row r="1524" spans="1:7">
      <c r="A1524" t="s">
        <v>3369</v>
      </c>
      <c r="B1524" t="s">
        <v>3370</v>
      </c>
      <c r="C1524">
        <v>10</v>
      </c>
      <c r="D1524" s="260">
        <v>46104</v>
      </c>
      <c r="E1524" s="260">
        <v>46115</v>
      </c>
      <c r="F1524">
        <v>22</v>
      </c>
      <c r="G1524" t="s">
        <v>353</v>
      </c>
    </row>
    <row r="1525" spans="1:7">
      <c r="A1525" t="s">
        <v>3371</v>
      </c>
      <c r="B1525" t="s">
        <v>3372</v>
      </c>
      <c r="C1525">
        <v>5</v>
      </c>
      <c r="D1525" s="260">
        <v>46153</v>
      </c>
      <c r="E1525" s="260">
        <v>46157</v>
      </c>
      <c r="F1525">
        <v>154</v>
      </c>
      <c r="G1525" t="s">
        <v>353</v>
      </c>
    </row>
    <row r="1526" spans="1:7">
      <c r="A1526" t="s">
        <v>3373</v>
      </c>
      <c r="B1526" t="s">
        <v>3374</v>
      </c>
      <c r="C1526">
        <v>10</v>
      </c>
      <c r="D1526" s="260">
        <v>46104</v>
      </c>
      <c r="E1526" s="260">
        <v>46115</v>
      </c>
      <c r="F1526">
        <v>22</v>
      </c>
      <c r="G1526" t="s">
        <v>353</v>
      </c>
    </row>
    <row r="1527" spans="1:7">
      <c r="A1527" t="s">
        <v>3375</v>
      </c>
      <c r="B1527" t="s">
        <v>3376</v>
      </c>
      <c r="C1527">
        <v>5</v>
      </c>
      <c r="D1527" s="260">
        <v>46153</v>
      </c>
      <c r="E1527" s="260">
        <v>46157</v>
      </c>
      <c r="F1527">
        <v>154</v>
      </c>
      <c r="G1527" t="s">
        <v>353</v>
      </c>
    </row>
    <row r="1528" spans="1:7">
      <c r="A1528" t="s">
        <v>3377</v>
      </c>
      <c r="B1528" t="s">
        <v>3378</v>
      </c>
      <c r="C1528">
        <v>10</v>
      </c>
      <c r="D1528" s="260">
        <v>46120</v>
      </c>
      <c r="E1528" s="260">
        <v>46136</v>
      </c>
      <c r="F1528">
        <v>22</v>
      </c>
      <c r="G1528" t="s">
        <v>353</v>
      </c>
    </row>
    <row r="1529" spans="1:7">
      <c r="A1529" t="s">
        <v>3379</v>
      </c>
      <c r="B1529" t="s">
        <v>3380</v>
      </c>
      <c r="C1529">
        <v>10</v>
      </c>
      <c r="D1529" s="260">
        <v>46154</v>
      </c>
      <c r="E1529" s="260">
        <v>46167</v>
      </c>
      <c r="F1529">
        <v>148</v>
      </c>
      <c r="G1529" t="s">
        <v>353</v>
      </c>
    </row>
    <row r="1530" spans="1:7">
      <c r="A1530" t="s">
        <v>3381</v>
      </c>
      <c r="B1530" t="s">
        <v>3382</v>
      </c>
      <c r="C1530">
        <v>10</v>
      </c>
      <c r="D1530" s="260">
        <v>46120</v>
      </c>
      <c r="E1530" s="260">
        <v>46136</v>
      </c>
      <c r="F1530">
        <v>22</v>
      </c>
      <c r="G1530" t="s">
        <v>353</v>
      </c>
    </row>
    <row r="1531" spans="1:7">
      <c r="A1531" t="s">
        <v>3383</v>
      </c>
      <c r="B1531" t="s">
        <v>3384</v>
      </c>
      <c r="C1531">
        <v>10</v>
      </c>
      <c r="D1531" s="260">
        <v>46154</v>
      </c>
      <c r="E1531" s="260">
        <v>46167</v>
      </c>
      <c r="F1531">
        <v>148</v>
      </c>
      <c r="G1531" t="s">
        <v>353</v>
      </c>
    </row>
    <row r="1532" spans="1:7">
      <c r="A1532" t="s">
        <v>3385</v>
      </c>
      <c r="B1532" t="s">
        <v>3386</v>
      </c>
      <c r="C1532">
        <v>10</v>
      </c>
      <c r="D1532" s="260">
        <v>46121</v>
      </c>
      <c r="E1532" s="260">
        <v>46139</v>
      </c>
      <c r="F1532">
        <v>22</v>
      </c>
      <c r="G1532" t="s">
        <v>353</v>
      </c>
    </row>
    <row r="1533" spans="1:7">
      <c r="A1533" t="s">
        <v>3387</v>
      </c>
      <c r="B1533" t="s">
        <v>3388</v>
      </c>
      <c r="C1533">
        <v>10</v>
      </c>
      <c r="D1533" s="260">
        <v>46155</v>
      </c>
      <c r="E1533" s="260">
        <v>46168</v>
      </c>
      <c r="F1533">
        <v>147</v>
      </c>
      <c r="G1533" t="s">
        <v>353</v>
      </c>
    </row>
    <row r="1534" spans="1:7">
      <c r="A1534" t="s">
        <v>3389</v>
      </c>
      <c r="B1534" t="s">
        <v>3390</v>
      </c>
      <c r="C1534">
        <v>10</v>
      </c>
      <c r="D1534" s="260">
        <v>46121</v>
      </c>
      <c r="E1534" s="260">
        <v>46139</v>
      </c>
      <c r="F1534">
        <v>22</v>
      </c>
      <c r="G1534" t="s">
        <v>353</v>
      </c>
    </row>
    <row r="1535" spans="1:7">
      <c r="A1535" t="s">
        <v>3391</v>
      </c>
      <c r="B1535" t="s">
        <v>3392</v>
      </c>
      <c r="C1535">
        <v>10</v>
      </c>
      <c r="D1535" s="260">
        <v>46155</v>
      </c>
      <c r="E1535" s="260">
        <v>46168</v>
      </c>
      <c r="F1535">
        <v>147</v>
      </c>
      <c r="G1535" t="s">
        <v>353</v>
      </c>
    </row>
    <row r="1536" spans="1:7">
      <c r="A1536" t="s">
        <v>3393</v>
      </c>
      <c r="B1536" t="s">
        <v>3394</v>
      </c>
      <c r="C1536">
        <v>10</v>
      </c>
      <c r="D1536" s="260">
        <v>46129</v>
      </c>
      <c r="E1536" s="260">
        <v>46142</v>
      </c>
      <c r="F1536">
        <v>22</v>
      </c>
      <c r="G1536" t="s">
        <v>353</v>
      </c>
    </row>
    <row r="1537" spans="1:7">
      <c r="A1537" t="s">
        <v>3395</v>
      </c>
      <c r="B1537" t="s">
        <v>3396</v>
      </c>
      <c r="C1537">
        <v>10</v>
      </c>
      <c r="D1537" s="260">
        <v>46160</v>
      </c>
      <c r="E1537" s="260">
        <v>46171</v>
      </c>
      <c r="F1537">
        <v>144</v>
      </c>
      <c r="G1537" t="s">
        <v>353</v>
      </c>
    </row>
    <row r="1538" spans="1:7">
      <c r="A1538" t="s">
        <v>3397</v>
      </c>
      <c r="B1538" t="s">
        <v>3398</v>
      </c>
      <c r="C1538">
        <v>10</v>
      </c>
      <c r="D1538" s="260">
        <v>46129</v>
      </c>
      <c r="E1538" s="260">
        <v>46142</v>
      </c>
      <c r="F1538">
        <v>22</v>
      </c>
      <c r="G1538" t="s">
        <v>353</v>
      </c>
    </row>
    <row r="1539" spans="1:7">
      <c r="A1539" t="s">
        <v>3399</v>
      </c>
      <c r="B1539" t="s">
        <v>3400</v>
      </c>
      <c r="C1539">
        <v>10</v>
      </c>
      <c r="D1539" s="260">
        <v>46160</v>
      </c>
      <c r="E1539" s="260">
        <v>46171</v>
      </c>
      <c r="F1539">
        <v>144</v>
      </c>
      <c r="G1539" t="s">
        <v>353</v>
      </c>
    </row>
    <row r="1540" spans="1:7">
      <c r="A1540" t="s">
        <v>3401</v>
      </c>
      <c r="B1540" t="s">
        <v>3402</v>
      </c>
      <c r="C1540">
        <v>10</v>
      </c>
      <c r="D1540" s="260">
        <v>46129</v>
      </c>
      <c r="E1540" s="260">
        <v>46142</v>
      </c>
      <c r="F1540">
        <v>22</v>
      </c>
      <c r="G1540" t="s">
        <v>353</v>
      </c>
    </row>
    <row r="1541" spans="1:7">
      <c r="A1541" t="s">
        <v>3403</v>
      </c>
      <c r="B1541" t="s">
        <v>3404</v>
      </c>
      <c r="C1541">
        <v>10</v>
      </c>
      <c r="D1541" s="260">
        <v>46160</v>
      </c>
      <c r="E1541" s="260">
        <v>46171</v>
      </c>
      <c r="F1541">
        <v>63</v>
      </c>
      <c r="G1541" t="s">
        <v>353</v>
      </c>
    </row>
    <row r="1542" spans="1:7">
      <c r="A1542" t="s">
        <v>3405</v>
      </c>
      <c r="B1542" t="s">
        <v>3406</v>
      </c>
      <c r="C1542">
        <v>10</v>
      </c>
      <c r="D1542" s="260">
        <v>46133</v>
      </c>
      <c r="E1542" s="260">
        <v>46147</v>
      </c>
      <c r="F1542">
        <v>22</v>
      </c>
      <c r="G1542" t="s">
        <v>353</v>
      </c>
    </row>
    <row r="1543" spans="1:7">
      <c r="A1543" t="s">
        <v>3407</v>
      </c>
      <c r="B1543" t="s">
        <v>3408</v>
      </c>
      <c r="C1543">
        <v>10</v>
      </c>
      <c r="D1543" s="260">
        <v>46162</v>
      </c>
      <c r="E1543" s="260">
        <v>46177</v>
      </c>
      <c r="F1543">
        <v>52</v>
      </c>
      <c r="G1543" t="s">
        <v>353</v>
      </c>
    </row>
    <row r="1544" spans="1:7">
      <c r="A1544" t="s">
        <v>3409</v>
      </c>
      <c r="B1544" t="s">
        <v>3410</v>
      </c>
      <c r="C1544">
        <v>10</v>
      </c>
      <c r="D1544" s="260">
        <v>46133</v>
      </c>
      <c r="E1544" s="260">
        <v>46147</v>
      </c>
      <c r="F1544">
        <v>22</v>
      </c>
      <c r="G1544" t="s">
        <v>353</v>
      </c>
    </row>
    <row r="1545" spans="1:7">
      <c r="A1545" t="s">
        <v>3411</v>
      </c>
      <c r="B1545" t="s">
        <v>3412</v>
      </c>
      <c r="C1545">
        <v>10</v>
      </c>
      <c r="D1545" s="260">
        <v>46162</v>
      </c>
      <c r="E1545" s="260">
        <v>46177</v>
      </c>
      <c r="F1545">
        <v>32</v>
      </c>
      <c r="G1545" t="s">
        <v>353</v>
      </c>
    </row>
    <row r="1546" spans="1:7">
      <c r="A1546" t="s">
        <v>3413</v>
      </c>
      <c r="B1546" t="s">
        <v>3414</v>
      </c>
      <c r="C1546">
        <v>10</v>
      </c>
      <c r="D1546" s="260">
        <v>46133</v>
      </c>
      <c r="E1546" s="260">
        <v>46147</v>
      </c>
      <c r="F1546">
        <v>22</v>
      </c>
      <c r="G1546" t="s">
        <v>353</v>
      </c>
    </row>
    <row r="1547" spans="1:7">
      <c r="A1547" t="s">
        <v>3415</v>
      </c>
      <c r="B1547" t="s">
        <v>3416</v>
      </c>
      <c r="C1547">
        <v>10</v>
      </c>
      <c r="D1547" s="260">
        <v>46162</v>
      </c>
      <c r="E1547" s="260">
        <v>46177</v>
      </c>
      <c r="F1547">
        <v>27</v>
      </c>
      <c r="G1547" t="s">
        <v>353</v>
      </c>
    </row>
    <row r="1548" spans="1:7">
      <c r="A1548" t="s">
        <v>3417</v>
      </c>
      <c r="B1548" t="s">
        <v>3418</v>
      </c>
      <c r="C1548">
        <v>15</v>
      </c>
      <c r="D1548" s="260">
        <v>46140</v>
      </c>
      <c r="E1548" s="260">
        <v>46161</v>
      </c>
      <c r="F1548">
        <v>22</v>
      </c>
      <c r="G1548" t="s">
        <v>353</v>
      </c>
    </row>
    <row r="1549" spans="1:7">
      <c r="A1549" t="s">
        <v>3419</v>
      </c>
      <c r="B1549" t="s">
        <v>3420</v>
      </c>
      <c r="C1549">
        <v>10</v>
      </c>
      <c r="D1549" s="260">
        <v>46178</v>
      </c>
      <c r="E1549" s="260">
        <v>46191</v>
      </c>
      <c r="F1549">
        <v>117</v>
      </c>
      <c r="G1549" t="s">
        <v>353</v>
      </c>
    </row>
    <row r="1550" spans="1:7">
      <c r="A1550" t="s">
        <v>3421</v>
      </c>
      <c r="B1550" t="s">
        <v>3422</v>
      </c>
      <c r="C1550">
        <v>5</v>
      </c>
      <c r="D1550" s="260">
        <v>46206</v>
      </c>
      <c r="E1550" s="260">
        <v>46212</v>
      </c>
      <c r="F1550">
        <v>117</v>
      </c>
      <c r="G1550" t="s">
        <v>353</v>
      </c>
    </row>
    <row r="1551" spans="1:7">
      <c r="A1551" t="s">
        <v>3423</v>
      </c>
      <c r="B1551" t="s">
        <v>3424</v>
      </c>
      <c r="C1551">
        <v>15</v>
      </c>
      <c r="D1551" s="260">
        <v>46140</v>
      </c>
      <c r="E1551" s="260">
        <v>46161</v>
      </c>
      <c r="F1551">
        <v>22</v>
      </c>
      <c r="G1551" t="s">
        <v>353</v>
      </c>
    </row>
    <row r="1552" spans="1:7">
      <c r="A1552" t="s">
        <v>3425</v>
      </c>
      <c r="B1552" t="s">
        <v>3426</v>
      </c>
      <c r="C1552">
        <v>10</v>
      </c>
      <c r="D1552" s="260">
        <v>46178</v>
      </c>
      <c r="E1552" s="260">
        <v>46191</v>
      </c>
      <c r="F1552">
        <v>112</v>
      </c>
      <c r="G1552" t="s">
        <v>353</v>
      </c>
    </row>
    <row r="1553" spans="1:7">
      <c r="A1553" t="s">
        <v>3427</v>
      </c>
      <c r="B1553" t="s">
        <v>3428</v>
      </c>
      <c r="C1553">
        <v>10</v>
      </c>
      <c r="D1553" s="260">
        <v>46206</v>
      </c>
      <c r="E1553" s="260">
        <v>46219</v>
      </c>
      <c r="F1553">
        <v>112</v>
      </c>
      <c r="G1553" t="s">
        <v>353</v>
      </c>
    </row>
    <row r="1554" spans="1:7">
      <c r="A1554" t="s">
        <v>3429</v>
      </c>
      <c r="B1554" t="s">
        <v>3430</v>
      </c>
      <c r="C1554">
        <v>15</v>
      </c>
      <c r="D1554" s="260">
        <v>46206</v>
      </c>
      <c r="E1554" s="260">
        <v>46226</v>
      </c>
      <c r="F1554">
        <v>37</v>
      </c>
      <c r="G1554" t="s">
        <v>353</v>
      </c>
    </row>
    <row r="1555" spans="1:7">
      <c r="A1555" t="s">
        <v>3431</v>
      </c>
      <c r="B1555" t="s">
        <v>3432</v>
      </c>
      <c r="C1555">
        <v>10</v>
      </c>
      <c r="D1555" s="260">
        <v>46336</v>
      </c>
      <c r="E1555" s="260">
        <v>46349</v>
      </c>
      <c r="F1555">
        <v>16</v>
      </c>
      <c r="G1555" t="s">
        <v>353</v>
      </c>
    </row>
    <row r="1556" spans="1:7">
      <c r="A1556" t="s">
        <v>3433</v>
      </c>
      <c r="B1556" t="s">
        <v>3434</v>
      </c>
      <c r="C1556">
        <v>15</v>
      </c>
      <c r="D1556" s="260">
        <v>46296</v>
      </c>
      <c r="E1556" s="260">
        <v>46317</v>
      </c>
      <c r="F1556">
        <v>12</v>
      </c>
      <c r="G1556" t="s">
        <v>353</v>
      </c>
    </row>
    <row r="1557" spans="1:7">
      <c r="A1557" t="s">
        <v>3435</v>
      </c>
      <c r="B1557" t="s">
        <v>3436</v>
      </c>
      <c r="C1557">
        <v>10</v>
      </c>
      <c r="D1557" s="260">
        <v>46351</v>
      </c>
      <c r="E1557" s="260">
        <v>46365</v>
      </c>
      <c r="F1557">
        <v>0</v>
      </c>
      <c r="G1557" t="s">
        <v>353</v>
      </c>
    </row>
    <row r="1558" spans="1:7">
      <c r="A1558" t="s">
        <v>3437</v>
      </c>
      <c r="B1558" t="s">
        <v>3438</v>
      </c>
      <c r="C1558">
        <v>5</v>
      </c>
      <c r="D1558" s="260">
        <v>46384</v>
      </c>
      <c r="E1558" s="260">
        <v>46392</v>
      </c>
      <c r="F1558">
        <v>0</v>
      </c>
      <c r="G1558" t="s">
        <v>353</v>
      </c>
    </row>
    <row r="1559" spans="1:7">
      <c r="A1559" t="s">
        <v>3439</v>
      </c>
      <c r="B1559" t="s">
        <v>3440</v>
      </c>
      <c r="C1559">
        <v>15</v>
      </c>
      <c r="D1559" s="260">
        <v>46140</v>
      </c>
      <c r="E1559" s="260">
        <v>46161</v>
      </c>
      <c r="F1559">
        <v>7</v>
      </c>
      <c r="G1559" t="s">
        <v>353</v>
      </c>
    </row>
    <row r="1560" spans="1:7">
      <c r="A1560" t="s">
        <v>3441</v>
      </c>
      <c r="B1560" t="s">
        <v>3442</v>
      </c>
      <c r="C1560">
        <v>10</v>
      </c>
      <c r="D1560" s="260">
        <v>46178</v>
      </c>
      <c r="E1560" s="260">
        <v>46191</v>
      </c>
      <c r="F1560">
        <v>47</v>
      </c>
      <c r="G1560" t="s">
        <v>353</v>
      </c>
    </row>
    <row r="1561" spans="1:7">
      <c r="A1561" t="s">
        <v>3443</v>
      </c>
      <c r="B1561" t="s">
        <v>3444</v>
      </c>
      <c r="C1561">
        <v>10</v>
      </c>
      <c r="D1561" s="260">
        <v>46206</v>
      </c>
      <c r="E1561" s="260">
        <v>46219</v>
      </c>
      <c r="F1561">
        <v>77</v>
      </c>
      <c r="G1561" t="s">
        <v>353</v>
      </c>
    </row>
    <row r="1562" spans="1:7">
      <c r="A1562" t="s">
        <v>3445</v>
      </c>
      <c r="B1562" t="s">
        <v>3446</v>
      </c>
      <c r="C1562">
        <v>15</v>
      </c>
      <c r="D1562" s="260">
        <v>46140</v>
      </c>
      <c r="E1562" s="260">
        <v>46161</v>
      </c>
      <c r="F1562">
        <v>22</v>
      </c>
      <c r="G1562" t="s">
        <v>353</v>
      </c>
    </row>
    <row r="1563" spans="1:7">
      <c r="A1563" t="s">
        <v>3447</v>
      </c>
      <c r="B1563" t="s">
        <v>3448</v>
      </c>
      <c r="C1563">
        <v>10</v>
      </c>
      <c r="D1563" s="260">
        <v>46178</v>
      </c>
      <c r="E1563" s="260">
        <v>46191</v>
      </c>
      <c r="F1563">
        <v>67</v>
      </c>
      <c r="G1563" t="s">
        <v>353</v>
      </c>
    </row>
    <row r="1564" spans="1:7">
      <c r="A1564" t="s">
        <v>3449</v>
      </c>
      <c r="B1564" t="s">
        <v>3450</v>
      </c>
      <c r="C1564">
        <v>10</v>
      </c>
      <c r="D1564" s="260">
        <v>46206</v>
      </c>
      <c r="E1564" s="260">
        <v>46219</v>
      </c>
      <c r="F1564">
        <v>87</v>
      </c>
      <c r="G1564" t="s">
        <v>353</v>
      </c>
    </row>
    <row r="1565" spans="1:7">
      <c r="A1565" t="s">
        <v>3451</v>
      </c>
      <c r="B1565" t="s">
        <v>3452</v>
      </c>
      <c r="C1565">
        <v>15</v>
      </c>
      <c r="D1565" s="260">
        <v>46162</v>
      </c>
      <c r="E1565" s="260">
        <v>46184</v>
      </c>
      <c r="F1565">
        <v>22</v>
      </c>
      <c r="G1565" t="s">
        <v>353</v>
      </c>
    </row>
    <row r="1566" spans="1:7">
      <c r="A1566" t="s">
        <v>3453</v>
      </c>
      <c r="B1566" t="s">
        <v>3454</v>
      </c>
      <c r="C1566">
        <v>10</v>
      </c>
      <c r="D1566" s="260">
        <v>46199</v>
      </c>
      <c r="E1566" s="260">
        <v>46212</v>
      </c>
      <c r="F1566">
        <v>62</v>
      </c>
      <c r="G1566" t="s">
        <v>353</v>
      </c>
    </row>
    <row r="1567" spans="1:7">
      <c r="A1567" t="s">
        <v>3455</v>
      </c>
      <c r="B1567" t="s">
        <v>3456</v>
      </c>
      <c r="C1567">
        <v>5</v>
      </c>
      <c r="D1567" s="260">
        <v>46227</v>
      </c>
      <c r="E1567" s="260">
        <v>46238</v>
      </c>
      <c r="F1567">
        <v>82</v>
      </c>
      <c r="G1567" t="s">
        <v>353</v>
      </c>
    </row>
    <row r="1568" spans="1:7">
      <c r="A1568" t="s">
        <v>3457</v>
      </c>
      <c r="B1568" t="s">
        <v>3458</v>
      </c>
      <c r="C1568">
        <v>15</v>
      </c>
      <c r="D1568" s="260">
        <v>46162</v>
      </c>
      <c r="E1568" s="260">
        <v>46184</v>
      </c>
      <c r="F1568">
        <v>22</v>
      </c>
      <c r="G1568" t="s">
        <v>353</v>
      </c>
    </row>
    <row r="1569" spans="1:7">
      <c r="A1569" t="s">
        <v>3459</v>
      </c>
      <c r="B1569" t="s">
        <v>3460</v>
      </c>
      <c r="C1569">
        <v>10</v>
      </c>
      <c r="D1569" s="260">
        <v>46199</v>
      </c>
      <c r="E1569" s="260">
        <v>46212</v>
      </c>
      <c r="F1569">
        <v>67</v>
      </c>
      <c r="G1569" t="s">
        <v>353</v>
      </c>
    </row>
    <row r="1570" spans="1:7">
      <c r="A1570" t="s">
        <v>3461</v>
      </c>
      <c r="B1570" t="s">
        <v>3462</v>
      </c>
      <c r="C1570">
        <v>5</v>
      </c>
      <c r="D1570" s="260">
        <v>46227</v>
      </c>
      <c r="E1570" s="260">
        <v>46238</v>
      </c>
      <c r="F1570">
        <v>72</v>
      </c>
      <c r="G1570" t="s">
        <v>353</v>
      </c>
    </row>
    <row r="1571" spans="1:7">
      <c r="A1571" t="s">
        <v>3463</v>
      </c>
      <c r="B1571" t="s">
        <v>3464</v>
      </c>
      <c r="C1571">
        <v>25</v>
      </c>
      <c r="D1571" s="260">
        <v>46206</v>
      </c>
      <c r="E1571" s="260">
        <v>46245</v>
      </c>
      <c r="F1571">
        <v>47</v>
      </c>
      <c r="G1571" t="s">
        <v>353</v>
      </c>
    </row>
    <row r="1572" spans="1:7">
      <c r="A1572" t="s">
        <v>3465</v>
      </c>
      <c r="B1572" t="s">
        <v>3466</v>
      </c>
      <c r="C1572">
        <v>20</v>
      </c>
      <c r="D1572" s="260">
        <v>46289</v>
      </c>
      <c r="E1572" s="260">
        <v>46317</v>
      </c>
      <c r="F1572">
        <v>42</v>
      </c>
      <c r="G1572" t="s">
        <v>353</v>
      </c>
    </row>
    <row r="1573" spans="1:7">
      <c r="A1573" t="s">
        <v>3467</v>
      </c>
      <c r="B1573" t="s">
        <v>3468</v>
      </c>
      <c r="C1573">
        <v>15</v>
      </c>
      <c r="D1573" s="260">
        <v>46185</v>
      </c>
      <c r="E1573" s="260">
        <v>46205</v>
      </c>
      <c r="F1573">
        <v>7</v>
      </c>
      <c r="G1573" t="s">
        <v>353</v>
      </c>
    </row>
    <row r="1574" spans="1:7">
      <c r="A1574" t="s">
        <v>3469</v>
      </c>
      <c r="B1574" t="s">
        <v>3470</v>
      </c>
      <c r="C1574">
        <v>10</v>
      </c>
      <c r="D1574" s="260">
        <v>46279</v>
      </c>
      <c r="E1574" s="260">
        <v>46290</v>
      </c>
      <c r="F1574">
        <v>0</v>
      </c>
      <c r="G1574" t="s">
        <v>353</v>
      </c>
    </row>
    <row r="1575" spans="1:7">
      <c r="A1575" t="s">
        <v>3471</v>
      </c>
      <c r="B1575" t="s">
        <v>3472</v>
      </c>
      <c r="C1575">
        <v>5</v>
      </c>
      <c r="D1575" s="260">
        <v>46329</v>
      </c>
      <c r="E1575" s="260">
        <v>46335</v>
      </c>
      <c r="F1575">
        <v>11</v>
      </c>
      <c r="G1575" t="s">
        <v>353</v>
      </c>
    </row>
    <row r="1576" spans="1:7">
      <c r="A1576" t="s">
        <v>3473</v>
      </c>
      <c r="B1576" t="s">
        <v>3474</v>
      </c>
      <c r="C1576">
        <v>15</v>
      </c>
      <c r="D1576" s="260">
        <v>46206</v>
      </c>
      <c r="E1576" s="260">
        <v>46226</v>
      </c>
      <c r="F1576">
        <v>7</v>
      </c>
      <c r="G1576" t="s">
        <v>353</v>
      </c>
    </row>
    <row r="1577" spans="1:7">
      <c r="A1577" t="s">
        <v>3475</v>
      </c>
      <c r="B1577" t="s">
        <v>3476</v>
      </c>
      <c r="C1577">
        <v>10</v>
      </c>
      <c r="D1577" s="260">
        <v>46293</v>
      </c>
      <c r="E1577" s="260">
        <v>46304</v>
      </c>
      <c r="F1577">
        <v>0</v>
      </c>
      <c r="G1577" t="s">
        <v>353</v>
      </c>
    </row>
    <row r="1578" spans="1:7">
      <c r="A1578" t="s">
        <v>3477</v>
      </c>
      <c r="B1578" t="s">
        <v>3478</v>
      </c>
      <c r="C1578">
        <v>5</v>
      </c>
      <c r="D1578" s="260">
        <v>46336</v>
      </c>
      <c r="E1578" s="260">
        <v>46342</v>
      </c>
      <c r="F1578">
        <v>11</v>
      </c>
      <c r="G1578" t="s">
        <v>353</v>
      </c>
    </row>
    <row r="1579" spans="1:7">
      <c r="A1579" t="s">
        <v>3479</v>
      </c>
      <c r="B1579" t="s">
        <v>3480</v>
      </c>
      <c r="C1579">
        <v>15</v>
      </c>
      <c r="D1579" s="260">
        <v>46227</v>
      </c>
      <c r="E1579" s="260">
        <v>46253</v>
      </c>
      <c r="F1579">
        <v>7</v>
      </c>
      <c r="G1579" t="s">
        <v>353</v>
      </c>
    </row>
    <row r="1580" spans="1:7">
      <c r="A1580" t="s">
        <v>3481</v>
      </c>
      <c r="B1580" t="s">
        <v>3482</v>
      </c>
      <c r="C1580">
        <v>10</v>
      </c>
      <c r="D1580" s="260">
        <v>46307</v>
      </c>
      <c r="E1580" s="260">
        <v>46322</v>
      </c>
      <c r="F1580">
        <v>0</v>
      </c>
      <c r="G1580" t="s">
        <v>353</v>
      </c>
    </row>
    <row r="1581" spans="1:7">
      <c r="A1581" t="s">
        <v>3483</v>
      </c>
      <c r="B1581" t="s">
        <v>3484</v>
      </c>
      <c r="C1581">
        <v>5</v>
      </c>
      <c r="D1581" s="260">
        <v>46343</v>
      </c>
      <c r="E1581" s="260">
        <v>46349</v>
      </c>
      <c r="F1581">
        <v>11</v>
      </c>
      <c r="G1581" t="s">
        <v>353</v>
      </c>
    </row>
    <row r="1582" spans="1:7">
      <c r="A1582" t="s">
        <v>3485</v>
      </c>
      <c r="B1582" t="s">
        <v>3486</v>
      </c>
      <c r="C1582">
        <v>15</v>
      </c>
      <c r="D1582" s="260">
        <v>46254</v>
      </c>
      <c r="E1582" s="260">
        <v>46274</v>
      </c>
      <c r="F1582">
        <v>7</v>
      </c>
      <c r="G1582" t="s">
        <v>353</v>
      </c>
    </row>
    <row r="1583" spans="1:7">
      <c r="A1583" t="s">
        <v>3487</v>
      </c>
      <c r="B1583" t="s">
        <v>3488</v>
      </c>
      <c r="C1583">
        <v>10</v>
      </c>
      <c r="D1583" s="260">
        <v>46323</v>
      </c>
      <c r="E1583" s="260">
        <v>46336</v>
      </c>
      <c r="F1583">
        <v>0</v>
      </c>
      <c r="G1583" t="s">
        <v>353</v>
      </c>
    </row>
    <row r="1584" spans="1:7">
      <c r="A1584" t="s">
        <v>3489</v>
      </c>
      <c r="B1584" t="s">
        <v>3490</v>
      </c>
      <c r="C1584">
        <v>5</v>
      </c>
      <c r="D1584" s="260">
        <v>46351</v>
      </c>
      <c r="E1584" s="260">
        <v>46357</v>
      </c>
      <c r="F1584">
        <v>10</v>
      </c>
      <c r="G1584" t="s">
        <v>353</v>
      </c>
    </row>
    <row r="1585" spans="1:7">
      <c r="A1585" t="s">
        <v>3491</v>
      </c>
      <c r="B1585" t="s">
        <v>3492</v>
      </c>
      <c r="C1585">
        <v>15</v>
      </c>
      <c r="D1585" s="260">
        <v>46162</v>
      </c>
      <c r="E1585" s="260">
        <v>46184</v>
      </c>
      <c r="F1585">
        <v>7</v>
      </c>
      <c r="G1585" t="s">
        <v>353</v>
      </c>
    </row>
    <row r="1586" spans="1:7">
      <c r="A1586" t="s">
        <v>3493</v>
      </c>
      <c r="B1586" t="s">
        <v>3494</v>
      </c>
      <c r="C1586">
        <v>10</v>
      </c>
      <c r="D1586" s="260">
        <v>46265</v>
      </c>
      <c r="E1586" s="260">
        <v>46276</v>
      </c>
      <c r="F1586">
        <v>0</v>
      </c>
      <c r="G1586" t="s">
        <v>353</v>
      </c>
    </row>
    <row r="1587" spans="1:7">
      <c r="A1587" t="s">
        <v>3495</v>
      </c>
      <c r="B1587" t="s">
        <v>3496</v>
      </c>
      <c r="C1587">
        <v>5</v>
      </c>
      <c r="D1587" s="260">
        <v>46322</v>
      </c>
      <c r="E1587" s="260">
        <v>46328</v>
      </c>
      <c r="F1587">
        <v>11</v>
      </c>
      <c r="G1587" t="s">
        <v>353</v>
      </c>
    </row>
    <row r="1588" spans="1:7">
      <c r="A1588" t="s">
        <v>3497</v>
      </c>
      <c r="B1588" t="s">
        <v>3498</v>
      </c>
      <c r="C1588">
        <v>15</v>
      </c>
      <c r="D1588" s="260">
        <v>46185</v>
      </c>
      <c r="E1588" s="260">
        <v>46205</v>
      </c>
      <c r="F1588">
        <v>52</v>
      </c>
      <c r="G1588" t="s">
        <v>353</v>
      </c>
    </row>
    <row r="1589" spans="1:7">
      <c r="A1589" t="s">
        <v>3499</v>
      </c>
      <c r="B1589" t="s">
        <v>3500</v>
      </c>
      <c r="C1589">
        <v>10</v>
      </c>
      <c r="D1589" s="260">
        <v>46279</v>
      </c>
      <c r="E1589" s="260">
        <v>46290</v>
      </c>
      <c r="F1589">
        <v>30</v>
      </c>
      <c r="G1589" t="s">
        <v>353</v>
      </c>
    </row>
    <row r="1590" spans="1:7">
      <c r="A1590" t="s">
        <v>3501</v>
      </c>
      <c r="B1590" t="s">
        <v>3502</v>
      </c>
      <c r="C1590">
        <v>5</v>
      </c>
      <c r="D1590" s="260">
        <v>46329</v>
      </c>
      <c r="E1590" s="260">
        <v>46335</v>
      </c>
      <c r="F1590">
        <v>26</v>
      </c>
      <c r="G1590" t="s">
        <v>353</v>
      </c>
    </row>
    <row r="1591" spans="1:7">
      <c r="A1591" t="s">
        <v>3503</v>
      </c>
      <c r="B1591" t="s">
        <v>3504</v>
      </c>
      <c r="C1591">
        <v>15</v>
      </c>
      <c r="D1591" s="260">
        <v>46206</v>
      </c>
      <c r="E1591" s="260">
        <v>46226</v>
      </c>
      <c r="F1591">
        <v>62</v>
      </c>
      <c r="G1591" t="s">
        <v>353</v>
      </c>
    </row>
    <row r="1592" spans="1:7">
      <c r="A1592" t="s">
        <v>3505</v>
      </c>
      <c r="B1592" t="s">
        <v>3506</v>
      </c>
      <c r="C1592">
        <v>10</v>
      </c>
      <c r="D1592" s="260">
        <v>46293</v>
      </c>
      <c r="E1592" s="260">
        <v>46304</v>
      </c>
      <c r="F1592">
        <v>30</v>
      </c>
      <c r="G1592" t="s">
        <v>353</v>
      </c>
    </row>
    <row r="1593" spans="1:7">
      <c r="A1593" t="s">
        <v>3507</v>
      </c>
      <c r="B1593" t="s">
        <v>3508</v>
      </c>
      <c r="C1593">
        <v>5</v>
      </c>
      <c r="D1593" s="260">
        <v>46336</v>
      </c>
      <c r="E1593" s="260">
        <v>46342</v>
      </c>
      <c r="F1593">
        <v>26</v>
      </c>
      <c r="G1593" t="s">
        <v>353</v>
      </c>
    </row>
    <row r="1594" spans="1:7">
      <c r="A1594" t="s">
        <v>3509</v>
      </c>
      <c r="B1594" t="s">
        <v>3510</v>
      </c>
      <c r="C1594">
        <v>15</v>
      </c>
      <c r="D1594" s="260">
        <v>46185</v>
      </c>
      <c r="E1594" s="260">
        <v>46205</v>
      </c>
      <c r="F1594">
        <v>37</v>
      </c>
      <c r="G1594" t="s">
        <v>353</v>
      </c>
    </row>
    <row r="1595" spans="1:7">
      <c r="A1595" t="s">
        <v>3511</v>
      </c>
      <c r="B1595" t="s">
        <v>3512</v>
      </c>
      <c r="C1595">
        <v>10</v>
      </c>
      <c r="D1595" s="260">
        <v>46279</v>
      </c>
      <c r="E1595" s="260">
        <v>46290</v>
      </c>
      <c r="F1595">
        <v>30</v>
      </c>
      <c r="G1595" t="s">
        <v>353</v>
      </c>
    </row>
    <row r="1596" spans="1:7">
      <c r="A1596" t="s">
        <v>3513</v>
      </c>
      <c r="B1596" t="s">
        <v>3514</v>
      </c>
      <c r="C1596">
        <v>5</v>
      </c>
      <c r="D1596" s="260">
        <v>46329</v>
      </c>
      <c r="E1596" s="260">
        <v>46335</v>
      </c>
      <c r="F1596">
        <v>16</v>
      </c>
      <c r="G1596" t="s">
        <v>353</v>
      </c>
    </row>
    <row r="1597" spans="1:7">
      <c r="A1597" t="s">
        <v>3515</v>
      </c>
      <c r="B1597" t="s">
        <v>3516</v>
      </c>
      <c r="C1597">
        <v>15</v>
      </c>
      <c r="D1597" s="260">
        <v>46185</v>
      </c>
      <c r="E1597" s="260">
        <v>46205</v>
      </c>
      <c r="F1597">
        <v>47</v>
      </c>
      <c r="G1597" t="s">
        <v>353</v>
      </c>
    </row>
    <row r="1598" spans="1:7">
      <c r="A1598" t="s">
        <v>3517</v>
      </c>
      <c r="B1598" t="s">
        <v>3518</v>
      </c>
      <c r="C1598">
        <v>10</v>
      </c>
      <c r="D1598" s="260">
        <v>46220</v>
      </c>
      <c r="E1598" s="260">
        <v>46238</v>
      </c>
      <c r="F1598">
        <v>62</v>
      </c>
      <c r="G1598" t="s">
        <v>353</v>
      </c>
    </row>
    <row r="1599" spans="1:7">
      <c r="A1599" t="s">
        <v>3519</v>
      </c>
      <c r="B1599" t="s">
        <v>3520</v>
      </c>
      <c r="C1599">
        <v>5</v>
      </c>
      <c r="D1599" s="260">
        <v>46254</v>
      </c>
      <c r="E1599" s="260">
        <v>46260</v>
      </c>
      <c r="F1599">
        <v>62</v>
      </c>
      <c r="G1599" t="s">
        <v>353</v>
      </c>
    </row>
    <row r="1600" spans="1:7">
      <c r="A1600" t="s">
        <v>3521</v>
      </c>
      <c r="B1600" t="s">
        <v>3522</v>
      </c>
      <c r="C1600">
        <v>15</v>
      </c>
      <c r="D1600" s="260">
        <v>46272</v>
      </c>
      <c r="E1600" s="260">
        <v>46290</v>
      </c>
      <c r="F1600">
        <v>20</v>
      </c>
      <c r="G1600" t="s">
        <v>353</v>
      </c>
    </row>
    <row r="1601" spans="1:7">
      <c r="A1601" t="s">
        <v>3523</v>
      </c>
      <c r="B1601" t="s">
        <v>3524</v>
      </c>
      <c r="C1601">
        <v>10</v>
      </c>
      <c r="D1601" s="260">
        <v>46307</v>
      </c>
      <c r="E1601" s="260">
        <v>46322</v>
      </c>
      <c r="F1601">
        <v>20</v>
      </c>
      <c r="G1601" t="s">
        <v>353</v>
      </c>
    </row>
    <row r="1602" spans="1:7">
      <c r="A1602" t="s">
        <v>3525</v>
      </c>
      <c r="B1602" t="s">
        <v>3526</v>
      </c>
      <c r="C1602">
        <v>5</v>
      </c>
      <c r="D1602" s="260">
        <v>46345</v>
      </c>
      <c r="E1602" s="260">
        <v>46351</v>
      </c>
      <c r="F1602">
        <v>19</v>
      </c>
      <c r="G1602" t="s">
        <v>353</v>
      </c>
    </row>
    <row r="1603" spans="1:7">
      <c r="A1603" t="s">
        <v>3527</v>
      </c>
      <c r="B1603" t="s">
        <v>3528</v>
      </c>
      <c r="C1603">
        <v>15</v>
      </c>
      <c r="D1603" s="260">
        <v>46213</v>
      </c>
      <c r="E1603" s="260">
        <v>46238</v>
      </c>
      <c r="F1603">
        <v>32</v>
      </c>
      <c r="G1603" t="s">
        <v>353</v>
      </c>
    </row>
    <row r="1604" spans="1:7">
      <c r="A1604" t="s">
        <v>3529</v>
      </c>
      <c r="B1604" t="s">
        <v>3530</v>
      </c>
      <c r="C1604">
        <v>10</v>
      </c>
      <c r="D1604" s="260">
        <v>46275</v>
      </c>
      <c r="E1604" s="260">
        <v>46288</v>
      </c>
      <c r="F1604">
        <v>62</v>
      </c>
      <c r="G1604" t="s">
        <v>353</v>
      </c>
    </row>
    <row r="1605" spans="1:7">
      <c r="A1605" t="s">
        <v>3531</v>
      </c>
      <c r="B1605" t="s">
        <v>3532</v>
      </c>
      <c r="C1605">
        <v>15</v>
      </c>
      <c r="D1605" s="260">
        <v>46275</v>
      </c>
      <c r="E1605" s="260">
        <v>46295</v>
      </c>
      <c r="F1605">
        <v>7</v>
      </c>
      <c r="G1605" t="s">
        <v>353</v>
      </c>
    </row>
    <row r="1606" spans="1:7">
      <c r="A1606" t="s">
        <v>3533</v>
      </c>
      <c r="B1606" t="s">
        <v>3534</v>
      </c>
      <c r="C1606">
        <v>10</v>
      </c>
      <c r="D1606" s="260">
        <v>46337</v>
      </c>
      <c r="E1606" s="260">
        <v>46350</v>
      </c>
      <c r="F1606">
        <v>0</v>
      </c>
      <c r="G1606" t="s">
        <v>353</v>
      </c>
    </row>
    <row r="1607" spans="1:7">
      <c r="A1607" t="s">
        <v>3535</v>
      </c>
      <c r="B1607" t="s">
        <v>3536</v>
      </c>
      <c r="C1607">
        <v>5</v>
      </c>
      <c r="D1607" s="260">
        <v>46367</v>
      </c>
      <c r="E1607" s="260">
        <v>46373</v>
      </c>
      <c r="F1607">
        <v>5</v>
      </c>
      <c r="G1607" t="s">
        <v>353</v>
      </c>
    </row>
    <row r="1608" spans="1:7">
      <c r="A1608" t="s">
        <v>3537</v>
      </c>
      <c r="B1608" t="s">
        <v>3538</v>
      </c>
      <c r="C1608">
        <v>15</v>
      </c>
      <c r="D1608" s="260">
        <v>46227</v>
      </c>
      <c r="E1608" s="260">
        <v>46253</v>
      </c>
      <c r="F1608">
        <v>42</v>
      </c>
      <c r="G1608" t="s">
        <v>353</v>
      </c>
    </row>
    <row r="1609" spans="1:7">
      <c r="A1609" t="s">
        <v>3539</v>
      </c>
      <c r="B1609" t="s">
        <v>3540</v>
      </c>
      <c r="C1609">
        <v>10</v>
      </c>
      <c r="D1609" s="260">
        <v>46268</v>
      </c>
      <c r="E1609" s="260">
        <v>46281</v>
      </c>
      <c r="F1609">
        <v>67</v>
      </c>
      <c r="G1609" t="s">
        <v>353</v>
      </c>
    </row>
    <row r="1610" spans="1:7">
      <c r="A1610" t="s">
        <v>3541</v>
      </c>
      <c r="B1610" t="s">
        <v>3542</v>
      </c>
      <c r="C1610">
        <v>15</v>
      </c>
      <c r="D1610" s="260">
        <v>46227</v>
      </c>
      <c r="E1610" s="260">
        <v>46253</v>
      </c>
      <c r="F1610">
        <v>42</v>
      </c>
      <c r="G1610" t="s">
        <v>353</v>
      </c>
    </row>
    <row r="1611" spans="1:7">
      <c r="A1611" t="s">
        <v>3543</v>
      </c>
      <c r="B1611" t="s">
        <v>3544</v>
      </c>
      <c r="C1611">
        <v>10</v>
      </c>
      <c r="D1611" s="260">
        <v>46268</v>
      </c>
      <c r="E1611" s="260">
        <v>46281</v>
      </c>
      <c r="F1611">
        <v>67</v>
      </c>
      <c r="G1611" t="s">
        <v>353</v>
      </c>
    </row>
    <row r="1612" spans="1:7">
      <c r="A1612" t="s">
        <v>3545</v>
      </c>
      <c r="B1612" t="s">
        <v>3546</v>
      </c>
      <c r="C1612">
        <v>15</v>
      </c>
      <c r="D1612" s="260">
        <v>46296</v>
      </c>
      <c r="E1612" s="260">
        <v>46317</v>
      </c>
      <c r="F1612">
        <v>22</v>
      </c>
      <c r="G1612" t="s">
        <v>353</v>
      </c>
    </row>
    <row r="1613" spans="1:7">
      <c r="A1613" t="s">
        <v>3547</v>
      </c>
      <c r="B1613" t="s">
        <v>3548</v>
      </c>
      <c r="C1613">
        <v>10</v>
      </c>
      <c r="D1613" s="260">
        <v>46351</v>
      </c>
      <c r="E1613" s="260">
        <v>46365</v>
      </c>
      <c r="F1613">
        <v>0</v>
      </c>
      <c r="G1613" t="s">
        <v>353</v>
      </c>
    </row>
    <row r="1614" spans="1:7">
      <c r="A1614" t="s">
        <v>3549</v>
      </c>
      <c r="B1614" t="s">
        <v>3550</v>
      </c>
      <c r="C1614">
        <v>5</v>
      </c>
      <c r="D1614" s="260">
        <v>46384</v>
      </c>
      <c r="E1614" s="260">
        <v>46392</v>
      </c>
      <c r="F1614">
        <v>0</v>
      </c>
      <c r="G1614" t="s">
        <v>353</v>
      </c>
    </row>
    <row r="1615" spans="1:7">
      <c r="A1615" t="s">
        <v>3551</v>
      </c>
      <c r="B1615" t="s">
        <v>3552</v>
      </c>
      <c r="C1615">
        <v>15</v>
      </c>
      <c r="D1615" s="260">
        <v>46140</v>
      </c>
      <c r="E1615" s="260">
        <v>46161</v>
      </c>
      <c r="F1615">
        <v>107</v>
      </c>
      <c r="G1615" t="s">
        <v>353</v>
      </c>
    </row>
    <row r="1616" spans="1:7">
      <c r="A1616" t="s">
        <v>3553</v>
      </c>
      <c r="B1616" t="s">
        <v>3554</v>
      </c>
      <c r="C1616">
        <v>10</v>
      </c>
      <c r="D1616" s="260">
        <v>46178</v>
      </c>
      <c r="E1616" s="260">
        <v>46191</v>
      </c>
      <c r="F1616">
        <v>107</v>
      </c>
      <c r="G1616" t="s">
        <v>353</v>
      </c>
    </row>
    <row r="1617" spans="1:7">
      <c r="A1617" t="s">
        <v>3555</v>
      </c>
      <c r="B1617" t="s">
        <v>3556</v>
      </c>
      <c r="C1617">
        <v>10</v>
      </c>
      <c r="D1617" s="260">
        <v>46206</v>
      </c>
      <c r="E1617" s="260">
        <v>46219</v>
      </c>
      <c r="F1617">
        <v>107</v>
      </c>
      <c r="G1617" t="s">
        <v>353</v>
      </c>
    </row>
    <row r="1618" spans="1:7">
      <c r="A1618" t="s">
        <v>3557</v>
      </c>
      <c r="B1618" t="s">
        <v>3558</v>
      </c>
      <c r="C1618">
        <v>15</v>
      </c>
      <c r="D1618" s="260">
        <v>46140</v>
      </c>
      <c r="E1618" s="260">
        <v>46161</v>
      </c>
      <c r="F1618">
        <v>67</v>
      </c>
      <c r="G1618" t="s">
        <v>353</v>
      </c>
    </row>
    <row r="1619" spans="1:7">
      <c r="A1619" t="s">
        <v>3559</v>
      </c>
      <c r="B1619" t="s">
        <v>3560</v>
      </c>
      <c r="C1619">
        <v>10</v>
      </c>
      <c r="D1619" s="260">
        <v>46178</v>
      </c>
      <c r="E1619" s="260">
        <v>46191</v>
      </c>
      <c r="F1619">
        <v>92</v>
      </c>
      <c r="G1619" t="s">
        <v>353</v>
      </c>
    </row>
    <row r="1620" spans="1:7">
      <c r="A1620" t="s">
        <v>3561</v>
      </c>
      <c r="B1620" t="s">
        <v>3562</v>
      </c>
      <c r="C1620">
        <v>10</v>
      </c>
      <c r="D1620" s="260">
        <v>46206</v>
      </c>
      <c r="E1620" s="260">
        <v>46219</v>
      </c>
      <c r="F1620">
        <v>92</v>
      </c>
      <c r="G1620" t="s">
        <v>353</v>
      </c>
    </row>
    <row r="1621" spans="1:7">
      <c r="A1621" t="s">
        <v>3563</v>
      </c>
      <c r="B1621" t="s">
        <v>3564</v>
      </c>
      <c r="C1621">
        <v>15</v>
      </c>
      <c r="D1621" s="260">
        <v>46162</v>
      </c>
      <c r="E1621" s="260">
        <v>46184</v>
      </c>
      <c r="F1621">
        <v>102</v>
      </c>
      <c r="G1621" t="s">
        <v>353</v>
      </c>
    </row>
    <row r="1622" spans="1:7">
      <c r="A1622" t="s">
        <v>3565</v>
      </c>
      <c r="B1622" t="s">
        <v>3566</v>
      </c>
      <c r="C1622">
        <v>10</v>
      </c>
      <c r="D1622" s="260">
        <v>46199</v>
      </c>
      <c r="E1622" s="260">
        <v>46212</v>
      </c>
      <c r="F1622">
        <v>102</v>
      </c>
      <c r="G1622" t="s">
        <v>353</v>
      </c>
    </row>
    <row r="1623" spans="1:7">
      <c r="A1623" t="s">
        <v>3567</v>
      </c>
      <c r="B1623" t="s">
        <v>3568</v>
      </c>
      <c r="C1623">
        <v>5</v>
      </c>
      <c r="D1623" s="260">
        <v>46227</v>
      </c>
      <c r="E1623" s="260">
        <v>46238</v>
      </c>
      <c r="F1623">
        <v>102</v>
      </c>
      <c r="G1623" t="s">
        <v>353</v>
      </c>
    </row>
    <row r="1624" spans="1:7">
      <c r="A1624" t="s">
        <v>3569</v>
      </c>
      <c r="B1624" t="s">
        <v>3570</v>
      </c>
      <c r="C1624">
        <v>15</v>
      </c>
      <c r="D1624" s="260">
        <v>46162</v>
      </c>
      <c r="E1624" s="260">
        <v>46184</v>
      </c>
      <c r="F1624">
        <v>102</v>
      </c>
      <c r="G1624" t="s">
        <v>353</v>
      </c>
    </row>
    <row r="1625" spans="1:7">
      <c r="A1625" t="s">
        <v>3571</v>
      </c>
      <c r="B1625" t="s">
        <v>3572</v>
      </c>
      <c r="C1625">
        <v>10</v>
      </c>
      <c r="D1625" s="260">
        <v>46199</v>
      </c>
      <c r="E1625" s="260">
        <v>46212</v>
      </c>
      <c r="F1625">
        <v>102</v>
      </c>
      <c r="G1625" t="s">
        <v>353</v>
      </c>
    </row>
    <row r="1626" spans="1:7">
      <c r="A1626" t="s">
        <v>3573</v>
      </c>
      <c r="B1626" t="s">
        <v>3574</v>
      </c>
      <c r="C1626">
        <v>5</v>
      </c>
      <c r="D1626" s="260">
        <v>46227</v>
      </c>
      <c r="E1626" s="260">
        <v>46238</v>
      </c>
      <c r="F1626">
        <v>102</v>
      </c>
      <c r="G1626" t="s">
        <v>353</v>
      </c>
    </row>
    <row r="1627" spans="1:7">
      <c r="A1627" t="s">
        <v>3575</v>
      </c>
      <c r="B1627" t="s">
        <v>3576</v>
      </c>
      <c r="C1627">
        <v>25</v>
      </c>
      <c r="D1627" s="260">
        <v>46206</v>
      </c>
      <c r="E1627" s="260">
        <v>46245</v>
      </c>
      <c r="F1627">
        <v>57</v>
      </c>
      <c r="G1627" t="s">
        <v>353</v>
      </c>
    </row>
    <row r="1628" spans="1:7">
      <c r="A1628" t="s">
        <v>3577</v>
      </c>
      <c r="B1628" t="s">
        <v>3578</v>
      </c>
      <c r="C1628">
        <v>20</v>
      </c>
      <c r="D1628" s="260">
        <v>46289</v>
      </c>
      <c r="E1628" s="260">
        <v>46317</v>
      </c>
      <c r="F1628">
        <v>42</v>
      </c>
      <c r="G1628" t="s">
        <v>353</v>
      </c>
    </row>
    <row r="1629" spans="1:7">
      <c r="A1629" t="s">
        <v>3579</v>
      </c>
      <c r="B1629" t="s">
        <v>3580</v>
      </c>
      <c r="C1629">
        <v>15</v>
      </c>
      <c r="D1629" s="260">
        <v>46185</v>
      </c>
      <c r="E1629" s="260">
        <v>46205</v>
      </c>
      <c r="F1629">
        <v>52</v>
      </c>
      <c r="G1629" t="s">
        <v>353</v>
      </c>
    </row>
    <row r="1630" spans="1:7">
      <c r="A1630" t="s">
        <v>3581</v>
      </c>
      <c r="B1630" t="s">
        <v>3582</v>
      </c>
      <c r="C1630">
        <v>15</v>
      </c>
      <c r="D1630" s="260">
        <v>46272</v>
      </c>
      <c r="E1630" s="260">
        <v>46290</v>
      </c>
      <c r="F1630">
        <v>65</v>
      </c>
      <c r="G1630" t="s">
        <v>353</v>
      </c>
    </row>
    <row r="1631" spans="1:7">
      <c r="A1631" t="s">
        <v>3583</v>
      </c>
      <c r="B1631" t="s">
        <v>3584</v>
      </c>
      <c r="C1631">
        <v>5</v>
      </c>
      <c r="D1631" s="260">
        <v>46329</v>
      </c>
      <c r="E1631" s="260">
        <v>46335</v>
      </c>
      <c r="F1631">
        <v>31</v>
      </c>
      <c r="G1631" t="s">
        <v>353</v>
      </c>
    </row>
    <row r="1632" spans="1:7">
      <c r="A1632" t="s">
        <v>3585</v>
      </c>
      <c r="B1632" t="s">
        <v>3586</v>
      </c>
      <c r="C1632">
        <v>15</v>
      </c>
      <c r="D1632" s="260">
        <v>46206</v>
      </c>
      <c r="E1632" s="260">
        <v>46226</v>
      </c>
      <c r="F1632">
        <v>32</v>
      </c>
      <c r="G1632" t="s">
        <v>353</v>
      </c>
    </row>
    <row r="1633" spans="1:7">
      <c r="A1633" t="s">
        <v>3587</v>
      </c>
      <c r="B1633" t="s">
        <v>3588</v>
      </c>
      <c r="C1633">
        <v>10</v>
      </c>
      <c r="D1633" s="260">
        <v>46293</v>
      </c>
      <c r="E1633" s="260">
        <v>46304</v>
      </c>
      <c r="F1633">
        <v>30</v>
      </c>
      <c r="G1633" t="s">
        <v>353</v>
      </c>
    </row>
    <row r="1634" spans="1:7">
      <c r="A1634" t="s">
        <v>3589</v>
      </c>
      <c r="B1634" t="s">
        <v>3590</v>
      </c>
      <c r="C1634">
        <v>5</v>
      </c>
      <c r="D1634" s="260">
        <v>46336</v>
      </c>
      <c r="E1634" s="260">
        <v>46342</v>
      </c>
      <c r="F1634">
        <v>26</v>
      </c>
      <c r="G1634" t="s">
        <v>353</v>
      </c>
    </row>
    <row r="1635" spans="1:7">
      <c r="A1635" t="s">
        <v>3591</v>
      </c>
      <c r="B1635" t="s">
        <v>3592</v>
      </c>
      <c r="C1635">
        <v>15</v>
      </c>
      <c r="D1635" s="260">
        <v>46227</v>
      </c>
      <c r="E1635" s="260">
        <v>46253</v>
      </c>
      <c r="F1635">
        <v>17</v>
      </c>
      <c r="G1635" t="s">
        <v>353</v>
      </c>
    </row>
    <row r="1636" spans="1:7">
      <c r="A1636" t="s">
        <v>3593</v>
      </c>
      <c r="B1636" t="s">
        <v>3594</v>
      </c>
      <c r="C1636">
        <v>10</v>
      </c>
      <c r="D1636" s="260">
        <v>46307</v>
      </c>
      <c r="E1636" s="260">
        <v>46322</v>
      </c>
      <c r="F1636">
        <v>20</v>
      </c>
      <c r="G1636" t="s">
        <v>353</v>
      </c>
    </row>
    <row r="1637" spans="1:7">
      <c r="A1637" t="s">
        <v>3595</v>
      </c>
      <c r="B1637" t="s">
        <v>3596</v>
      </c>
      <c r="C1637">
        <v>5</v>
      </c>
      <c r="D1637" s="260">
        <v>46343</v>
      </c>
      <c r="E1637" s="260">
        <v>46349</v>
      </c>
      <c r="F1637">
        <v>21</v>
      </c>
      <c r="G1637" t="s">
        <v>353</v>
      </c>
    </row>
    <row r="1638" spans="1:7">
      <c r="A1638" t="s">
        <v>3597</v>
      </c>
      <c r="B1638" t="s">
        <v>3598</v>
      </c>
      <c r="C1638">
        <v>15</v>
      </c>
      <c r="D1638" s="260">
        <v>46254</v>
      </c>
      <c r="E1638" s="260">
        <v>46274</v>
      </c>
      <c r="F1638">
        <v>7</v>
      </c>
      <c r="G1638" t="s">
        <v>353</v>
      </c>
    </row>
    <row r="1639" spans="1:7">
      <c r="A1639" t="s">
        <v>3599</v>
      </c>
      <c r="B1639" t="s">
        <v>3600</v>
      </c>
      <c r="C1639">
        <v>10</v>
      </c>
      <c r="D1639" s="260">
        <v>46323</v>
      </c>
      <c r="E1639" s="260">
        <v>46336</v>
      </c>
      <c r="F1639">
        <v>10</v>
      </c>
      <c r="G1639" t="s">
        <v>353</v>
      </c>
    </row>
    <row r="1640" spans="1:7">
      <c r="A1640" t="s">
        <v>3601</v>
      </c>
      <c r="B1640" t="s">
        <v>3602</v>
      </c>
      <c r="C1640">
        <v>5</v>
      </c>
      <c r="D1640" s="260">
        <v>46351</v>
      </c>
      <c r="E1640" s="260">
        <v>46357</v>
      </c>
      <c r="F1640">
        <v>15</v>
      </c>
      <c r="G1640" t="s">
        <v>353</v>
      </c>
    </row>
    <row r="1641" spans="1:7">
      <c r="A1641" t="s">
        <v>3603</v>
      </c>
      <c r="B1641" t="s">
        <v>3604</v>
      </c>
      <c r="C1641">
        <v>15</v>
      </c>
      <c r="D1641" s="260">
        <v>46162</v>
      </c>
      <c r="E1641" s="260">
        <v>46184</v>
      </c>
      <c r="F1641">
        <v>47</v>
      </c>
      <c r="G1641" t="s">
        <v>353</v>
      </c>
    </row>
    <row r="1642" spans="1:7">
      <c r="A1642" t="s">
        <v>3605</v>
      </c>
      <c r="B1642" t="s">
        <v>3606</v>
      </c>
      <c r="C1642">
        <v>10</v>
      </c>
      <c r="D1642" s="260">
        <v>46265</v>
      </c>
      <c r="E1642" s="260">
        <v>46276</v>
      </c>
      <c r="F1642">
        <v>50</v>
      </c>
      <c r="G1642" t="s">
        <v>353</v>
      </c>
    </row>
    <row r="1643" spans="1:7">
      <c r="A1643" t="s">
        <v>3607</v>
      </c>
      <c r="B1643" t="s">
        <v>3608</v>
      </c>
      <c r="C1643">
        <v>5</v>
      </c>
      <c r="D1643" s="260">
        <v>46322</v>
      </c>
      <c r="E1643" s="260">
        <v>46328</v>
      </c>
      <c r="F1643">
        <v>36</v>
      </c>
      <c r="G1643" t="s">
        <v>353</v>
      </c>
    </row>
    <row r="1644" spans="1:7">
      <c r="A1644" t="s">
        <v>3609</v>
      </c>
      <c r="B1644" t="s">
        <v>3610</v>
      </c>
      <c r="C1644">
        <v>15</v>
      </c>
      <c r="D1644" s="260">
        <v>46185</v>
      </c>
      <c r="E1644" s="260">
        <v>46205</v>
      </c>
      <c r="F1644">
        <v>52</v>
      </c>
      <c r="G1644" t="s">
        <v>353</v>
      </c>
    </row>
    <row r="1645" spans="1:7">
      <c r="A1645" t="s">
        <v>3611</v>
      </c>
      <c r="B1645" t="s">
        <v>3612</v>
      </c>
      <c r="C1645">
        <v>10</v>
      </c>
      <c r="D1645" s="260">
        <v>46279</v>
      </c>
      <c r="E1645" s="260">
        <v>46290</v>
      </c>
      <c r="F1645">
        <v>40</v>
      </c>
      <c r="G1645" t="s">
        <v>353</v>
      </c>
    </row>
    <row r="1646" spans="1:7">
      <c r="A1646" t="s">
        <v>3613</v>
      </c>
      <c r="B1646" t="s">
        <v>3614</v>
      </c>
      <c r="C1646">
        <v>5</v>
      </c>
      <c r="D1646" s="260">
        <v>46329</v>
      </c>
      <c r="E1646" s="260">
        <v>46335</v>
      </c>
      <c r="F1646">
        <v>31</v>
      </c>
      <c r="G1646" t="s">
        <v>353</v>
      </c>
    </row>
    <row r="1647" spans="1:7">
      <c r="A1647" t="s">
        <v>3615</v>
      </c>
      <c r="B1647" t="s">
        <v>3616</v>
      </c>
      <c r="C1647">
        <v>15</v>
      </c>
      <c r="D1647" s="260">
        <v>46206</v>
      </c>
      <c r="E1647" s="260">
        <v>46226</v>
      </c>
      <c r="F1647">
        <v>62</v>
      </c>
      <c r="G1647" t="s">
        <v>353</v>
      </c>
    </row>
    <row r="1648" spans="1:7">
      <c r="A1648" t="s">
        <v>3617</v>
      </c>
      <c r="B1648" t="s">
        <v>3618</v>
      </c>
      <c r="C1648">
        <v>10</v>
      </c>
      <c r="D1648" s="260">
        <v>46293</v>
      </c>
      <c r="E1648" s="260">
        <v>46304</v>
      </c>
      <c r="F1648">
        <v>30</v>
      </c>
      <c r="G1648" t="s">
        <v>353</v>
      </c>
    </row>
    <row r="1649" spans="1:7">
      <c r="A1649" t="s">
        <v>3619</v>
      </c>
      <c r="B1649" t="s">
        <v>3620</v>
      </c>
      <c r="C1649">
        <v>5</v>
      </c>
      <c r="D1649" s="260">
        <v>46336</v>
      </c>
      <c r="E1649" s="260">
        <v>46342</v>
      </c>
      <c r="F1649">
        <v>26</v>
      </c>
      <c r="G1649" t="s">
        <v>353</v>
      </c>
    </row>
    <row r="1650" spans="1:7">
      <c r="A1650" t="s">
        <v>3621</v>
      </c>
      <c r="B1650" t="s">
        <v>3622</v>
      </c>
      <c r="C1650">
        <v>15</v>
      </c>
      <c r="D1650" s="260">
        <v>46185</v>
      </c>
      <c r="E1650" s="260">
        <v>46205</v>
      </c>
      <c r="F1650">
        <v>37</v>
      </c>
      <c r="G1650" t="s">
        <v>353</v>
      </c>
    </row>
    <row r="1651" spans="1:7">
      <c r="A1651" t="s">
        <v>3623</v>
      </c>
      <c r="B1651" t="s">
        <v>3624</v>
      </c>
      <c r="C1651">
        <v>10</v>
      </c>
      <c r="D1651" s="260">
        <v>46279</v>
      </c>
      <c r="E1651" s="260">
        <v>46290</v>
      </c>
      <c r="F1651">
        <v>30</v>
      </c>
      <c r="G1651" t="s">
        <v>353</v>
      </c>
    </row>
    <row r="1652" spans="1:7">
      <c r="A1652" t="s">
        <v>3625</v>
      </c>
      <c r="B1652" t="s">
        <v>3626</v>
      </c>
      <c r="C1652">
        <v>5</v>
      </c>
      <c r="D1652" s="260">
        <v>46329</v>
      </c>
      <c r="E1652" s="260">
        <v>46335</v>
      </c>
      <c r="F1652">
        <v>16</v>
      </c>
      <c r="G1652" t="s">
        <v>353</v>
      </c>
    </row>
    <row r="1653" spans="1:7">
      <c r="A1653" t="s">
        <v>3627</v>
      </c>
      <c r="B1653" t="s">
        <v>3628</v>
      </c>
      <c r="C1653">
        <v>15</v>
      </c>
      <c r="D1653" s="260">
        <v>46185</v>
      </c>
      <c r="E1653" s="260">
        <v>46205</v>
      </c>
      <c r="F1653">
        <v>77</v>
      </c>
      <c r="G1653" t="s">
        <v>353</v>
      </c>
    </row>
    <row r="1654" spans="1:7">
      <c r="A1654" t="s">
        <v>3629</v>
      </c>
      <c r="B1654" t="s">
        <v>3630</v>
      </c>
      <c r="C1654">
        <v>10</v>
      </c>
      <c r="D1654" s="260">
        <v>46220</v>
      </c>
      <c r="E1654" s="260">
        <v>46238</v>
      </c>
      <c r="F1654">
        <v>77</v>
      </c>
      <c r="G1654" t="s">
        <v>353</v>
      </c>
    </row>
    <row r="1655" spans="1:7">
      <c r="A1655" t="s">
        <v>3631</v>
      </c>
      <c r="B1655" t="s">
        <v>3632</v>
      </c>
      <c r="C1655">
        <v>10</v>
      </c>
      <c r="D1655" s="260">
        <v>46254</v>
      </c>
      <c r="E1655" s="260">
        <v>46267</v>
      </c>
      <c r="F1655">
        <v>77</v>
      </c>
      <c r="G1655" t="s">
        <v>353</v>
      </c>
    </row>
    <row r="1656" spans="1:7">
      <c r="A1656" t="s">
        <v>3633</v>
      </c>
      <c r="B1656" t="s">
        <v>3634</v>
      </c>
      <c r="C1656">
        <v>15</v>
      </c>
      <c r="D1656" s="260">
        <v>46272</v>
      </c>
      <c r="E1656" s="260">
        <v>46290</v>
      </c>
      <c r="F1656">
        <v>20</v>
      </c>
      <c r="G1656" t="s">
        <v>353</v>
      </c>
    </row>
    <row r="1657" spans="1:7">
      <c r="A1657" t="s">
        <v>3635</v>
      </c>
      <c r="B1657" t="s">
        <v>3636</v>
      </c>
      <c r="C1657">
        <v>10</v>
      </c>
      <c r="D1657" s="260">
        <v>46307</v>
      </c>
      <c r="E1657" s="260">
        <v>46322</v>
      </c>
      <c r="F1657">
        <v>20</v>
      </c>
      <c r="G1657" t="s">
        <v>353</v>
      </c>
    </row>
    <row r="1658" spans="1:7">
      <c r="A1658" t="s">
        <v>3637</v>
      </c>
      <c r="B1658" t="s">
        <v>3638</v>
      </c>
      <c r="C1658">
        <v>10</v>
      </c>
      <c r="D1658" s="260">
        <v>46338</v>
      </c>
      <c r="E1658" s="260">
        <v>46351</v>
      </c>
      <c r="F1658">
        <v>19</v>
      </c>
      <c r="G1658" t="s">
        <v>353</v>
      </c>
    </row>
    <row r="1659" spans="1:7">
      <c r="A1659" t="s">
        <v>3639</v>
      </c>
      <c r="B1659" t="s">
        <v>3640</v>
      </c>
      <c r="C1659">
        <v>15</v>
      </c>
      <c r="D1659" s="260">
        <v>46213</v>
      </c>
      <c r="E1659" s="260">
        <v>46238</v>
      </c>
      <c r="F1659">
        <v>32</v>
      </c>
      <c r="G1659" t="s">
        <v>353</v>
      </c>
    </row>
    <row r="1660" spans="1:7">
      <c r="A1660" t="s">
        <v>3641</v>
      </c>
      <c r="B1660" t="s">
        <v>3642</v>
      </c>
      <c r="C1660">
        <v>10</v>
      </c>
      <c r="D1660" s="260">
        <v>46275</v>
      </c>
      <c r="E1660" s="260">
        <v>46288</v>
      </c>
      <c r="F1660">
        <v>62</v>
      </c>
      <c r="G1660" t="s">
        <v>353</v>
      </c>
    </row>
    <row r="1661" spans="1:7">
      <c r="A1661" t="s">
        <v>3643</v>
      </c>
      <c r="B1661" t="s">
        <v>3644</v>
      </c>
      <c r="C1661">
        <v>15</v>
      </c>
      <c r="D1661" s="260">
        <v>46275</v>
      </c>
      <c r="E1661" s="260">
        <v>46295</v>
      </c>
      <c r="F1661">
        <v>7</v>
      </c>
      <c r="G1661" t="s">
        <v>353</v>
      </c>
    </row>
    <row r="1662" spans="1:7">
      <c r="A1662" t="s">
        <v>3645</v>
      </c>
      <c r="B1662" t="s">
        <v>3646</v>
      </c>
      <c r="C1662">
        <v>10</v>
      </c>
      <c r="D1662" s="260">
        <v>46337</v>
      </c>
      <c r="E1662" s="260">
        <v>46350</v>
      </c>
      <c r="F1662">
        <v>0</v>
      </c>
      <c r="G1662" t="s">
        <v>353</v>
      </c>
    </row>
    <row r="1663" spans="1:7">
      <c r="A1663" t="s">
        <v>3647</v>
      </c>
      <c r="B1663" t="s">
        <v>3648</v>
      </c>
      <c r="C1663">
        <v>10</v>
      </c>
      <c r="D1663" s="260">
        <v>46367</v>
      </c>
      <c r="E1663" s="260">
        <v>46380</v>
      </c>
      <c r="F1663">
        <v>0</v>
      </c>
      <c r="G1663" t="s">
        <v>353</v>
      </c>
    </row>
    <row r="1664" spans="1:7">
      <c r="A1664" t="s">
        <v>3649</v>
      </c>
      <c r="B1664" t="s">
        <v>3650</v>
      </c>
      <c r="C1664">
        <v>15</v>
      </c>
      <c r="D1664" s="260">
        <v>46275</v>
      </c>
      <c r="E1664" s="260">
        <v>46295</v>
      </c>
      <c r="F1664">
        <v>22</v>
      </c>
      <c r="G1664" t="s">
        <v>353</v>
      </c>
    </row>
    <row r="1665" spans="1:7">
      <c r="A1665" t="s">
        <v>3651</v>
      </c>
      <c r="B1665" t="s">
        <v>3652</v>
      </c>
      <c r="C1665">
        <v>10</v>
      </c>
      <c r="D1665" s="260">
        <v>46311</v>
      </c>
      <c r="E1665" s="260">
        <v>46325</v>
      </c>
      <c r="F1665">
        <v>37</v>
      </c>
      <c r="G1665" t="s">
        <v>353</v>
      </c>
    </row>
    <row r="1666" spans="1:7">
      <c r="A1666" t="s">
        <v>3653</v>
      </c>
      <c r="B1666" t="s">
        <v>3654</v>
      </c>
      <c r="C1666">
        <v>15</v>
      </c>
      <c r="D1666" s="260">
        <v>46275</v>
      </c>
      <c r="E1666" s="260">
        <v>46295</v>
      </c>
      <c r="F1666">
        <v>22</v>
      </c>
      <c r="G1666" t="s">
        <v>353</v>
      </c>
    </row>
    <row r="1667" spans="1:7">
      <c r="A1667" t="s">
        <v>3655</v>
      </c>
      <c r="B1667" t="s">
        <v>3656</v>
      </c>
      <c r="C1667">
        <v>10</v>
      </c>
      <c r="D1667" s="260">
        <v>46311</v>
      </c>
      <c r="E1667" s="260">
        <v>46325</v>
      </c>
      <c r="F1667">
        <v>37</v>
      </c>
      <c r="G1667" t="s">
        <v>353</v>
      </c>
    </row>
    <row r="1668" spans="1:7">
      <c r="A1668" t="s">
        <v>3657</v>
      </c>
      <c r="C1668">
        <v>148</v>
      </c>
      <c r="D1668" s="260">
        <v>46121</v>
      </c>
      <c r="E1668" s="260">
        <v>46344</v>
      </c>
      <c r="F1668">
        <v>24</v>
      </c>
      <c r="G1668" t="s">
        <v>353</v>
      </c>
    </row>
    <row r="1669" spans="1:7">
      <c r="A1669" t="s">
        <v>3658</v>
      </c>
      <c r="B1669" t="s">
        <v>3659</v>
      </c>
      <c r="C1669">
        <v>15</v>
      </c>
      <c r="D1669" s="260">
        <v>46121</v>
      </c>
      <c r="E1669" s="260">
        <v>46147</v>
      </c>
      <c r="F1669">
        <v>22</v>
      </c>
      <c r="G1669" t="s">
        <v>353</v>
      </c>
    </row>
    <row r="1670" spans="1:7">
      <c r="A1670" t="s">
        <v>3660</v>
      </c>
      <c r="B1670" t="s">
        <v>3661</v>
      </c>
      <c r="C1670">
        <v>10</v>
      </c>
      <c r="D1670" s="260">
        <v>46162</v>
      </c>
      <c r="E1670" s="260">
        <v>46177</v>
      </c>
      <c r="F1670">
        <v>72</v>
      </c>
      <c r="G1670" t="s">
        <v>353</v>
      </c>
    </row>
    <row r="1671" spans="1:7">
      <c r="A1671" t="s">
        <v>3662</v>
      </c>
      <c r="B1671" t="s">
        <v>3663</v>
      </c>
      <c r="C1671">
        <v>5</v>
      </c>
      <c r="D1671" s="260">
        <v>46192</v>
      </c>
      <c r="E1671" s="260">
        <v>46198</v>
      </c>
      <c r="F1671">
        <v>72</v>
      </c>
      <c r="G1671" t="s">
        <v>353</v>
      </c>
    </row>
    <row r="1672" spans="1:7">
      <c r="A1672" t="s">
        <v>3664</v>
      </c>
      <c r="B1672" t="s">
        <v>3665</v>
      </c>
      <c r="C1672">
        <v>15</v>
      </c>
      <c r="D1672" s="260">
        <v>46141</v>
      </c>
      <c r="E1672" s="260">
        <v>46162</v>
      </c>
      <c r="F1672">
        <v>0</v>
      </c>
      <c r="G1672" t="s">
        <v>353</v>
      </c>
    </row>
    <row r="1673" spans="1:7">
      <c r="A1673" t="s">
        <v>3666</v>
      </c>
      <c r="B1673" t="s">
        <v>3667</v>
      </c>
      <c r="C1673">
        <v>10</v>
      </c>
      <c r="D1673" s="260">
        <v>46181</v>
      </c>
      <c r="E1673" s="260">
        <v>46192</v>
      </c>
      <c r="F1673">
        <v>96</v>
      </c>
      <c r="G1673" t="s">
        <v>353</v>
      </c>
    </row>
    <row r="1674" spans="1:7">
      <c r="A1674" t="s">
        <v>3668</v>
      </c>
      <c r="B1674" t="s">
        <v>3669</v>
      </c>
      <c r="C1674">
        <v>5</v>
      </c>
      <c r="D1674" s="260">
        <v>46211</v>
      </c>
      <c r="E1674" s="260">
        <v>46217</v>
      </c>
      <c r="F1674">
        <v>104</v>
      </c>
      <c r="G1674" t="s">
        <v>353</v>
      </c>
    </row>
    <row r="1675" spans="1:7">
      <c r="A1675" t="s">
        <v>3670</v>
      </c>
      <c r="B1675" t="s">
        <v>3671</v>
      </c>
      <c r="C1675">
        <v>15</v>
      </c>
      <c r="D1675" s="260">
        <v>46220</v>
      </c>
      <c r="E1675" s="260">
        <v>46245</v>
      </c>
      <c r="F1675">
        <v>4</v>
      </c>
      <c r="G1675" t="s">
        <v>353</v>
      </c>
    </row>
    <row r="1676" spans="1:7">
      <c r="A1676" t="s">
        <v>3672</v>
      </c>
      <c r="B1676" t="s">
        <v>3673</v>
      </c>
      <c r="C1676">
        <v>10</v>
      </c>
      <c r="D1676" s="260">
        <v>46261</v>
      </c>
      <c r="E1676" s="260">
        <v>46274</v>
      </c>
      <c r="F1676">
        <v>42</v>
      </c>
      <c r="G1676" t="s">
        <v>353</v>
      </c>
    </row>
    <row r="1677" spans="1:7">
      <c r="A1677" t="s">
        <v>3674</v>
      </c>
      <c r="B1677" t="s">
        <v>3675</v>
      </c>
      <c r="C1677">
        <v>5</v>
      </c>
      <c r="D1677" s="260">
        <v>46316</v>
      </c>
      <c r="E1677" s="260">
        <v>46323</v>
      </c>
      <c r="F1677">
        <v>34</v>
      </c>
      <c r="G1677" t="s">
        <v>353</v>
      </c>
    </row>
    <row r="1678" spans="1:7">
      <c r="A1678" t="s">
        <v>3676</v>
      </c>
      <c r="B1678" t="s">
        <v>3677</v>
      </c>
      <c r="C1678">
        <v>15</v>
      </c>
      <c r="D1678" s="260">
        <v>46230</v>
      </c>
      <c r="E1678" s="260">
        <v>46254</v>
      </c>
      <c r="F1678">
        <v>4</v>
      </c>
      <c r="G1678" t="s">
        <v>353</v>
      </c>
    </row>
    <row r="1679" spans="1:7">
      <c r="A1679" t="s">
        <v>3678</v>
      </c>
      <c r="B1679" t="s">
        <v>3679</v>
      </c>
      <c r="C1679">
        <v>10</v>
      </c>
      <c r="D1679" s="260">
        <v>46269</v>
      </c>
      <c r="E1679" s="260">
        <v>46282</v>
      </c>
      <c r="F1679">
        <v>36</v>
      </c>
      <c r="G1679" t="s">
        <v>353</v>
      </c>
    </row>
    <row r="1680" spans="1:7">
      <c r="A1680" t="s">
        <v>3680</v>
      </c>
      <c r="B1680" t="s">
        <v>3681</v>
      </c>
      <c r="C1680">
        <v>5</v>
      </c>
      <c r="D1680" s="260">
        <v>46322</v>
      </c>
      <c r="E1680" s="260">
        <v>46328</v>
      </c>
      <c r="F1680">
        <v>31</v>
      </c>
      <c r="G1680" t="s">
        <v>353</v>
      </c>
    </row>
    <row r="1681" spans="1:7">
      <c r="A1681" t="s">
        <v>3682</v>
      </c>
      <c r="B1681" t="s">
        <v>3683</v>
      </c>
      <c r="C1681">
        <v>15</v>
      </c>
      <c r="D1681" s="260">
        <v>46136</v>
      </c>
      <c r="E1681" s="260">
        <v>46157</v>
      </c>
      <c r="F1681">
        <v>57</v>
      </c>
      <c r="G1681" t="s">
        <v>353</v>
      </c>
    </row>
    <row r="1682" spans="1:7">
      <c r="A1682" t="s">
        <v>3684</v>
      </c>
      <c r="B1682" t="s">
        <v>3685</v>
      </c>
      <c r="C1682">
        <v>10</v>
      </c>
      <c r="D1682" s="260">
        <v>46175</v>
      </c>
      <c r="E1682" s="260">
        <v>46189</v>
      </c>
      <c r="F1682">
        <v>99</v>
      </c>
      <c r="G1682" t="s">
        <v>353</v>
      </c>
    </row>
    <row r="1683" spans="1:7">
      <c r="A1683" t="s">
        <v>3686</v>
      </c>
      <c r="B1683" t="s">
        <v>3687</v>
      </c>
      <c r="C1683">
        <v>5</v>
      </c>
      <c r="D1683" s="260">
        <v>46206</v>
      </c>
      <c r="E1683" s="260">
        <v>46212</v>
      </c>
      <c r="F1683">
        <v>107</v>
      </c>
      <c r="G1683" t="s">
        <v>353</v>
      </c>
    </row>
    <row r="1684" spans="1:7">
      <c r="A1684" t="s">
        <v>3688</v>
      </c>
      <c r="B1684" t="s">
        <v>3689</v>
      </c>
      <c r="C1684">
        <v>15</v>
      </c>
      <c r="D1684" s="260">
        <v>46171</v>
      </c>
      <c r="E1684" s="260">
        <v>46195</v>
      </c>
      <c r="F1684">
        <v>57</v>
      </c>
      <c r="G1684" t="s">
        <v>353</v>
      </c>
    </row>
    <row r="1685" spans="1:7">
      <c r="A1685" t="s">
        <v>3690</v>
      </c>
      <c r="B1685" t="s">
        <v>3691</v>
      </c>
      <c r="C1685">
        <v>10</v>
      </c>
      <c r="D1685" s="260">
        <v>46210</v>
      </c>
      <c r="E1685" s="260">
        <v>46223</v>
      </c>
      <c r="F1685">
        <v>75</v>
      </c>
      <c r="G1685" t="s">
        <v>353</v>
      </c>
    </row>
    <row r="1686" spans="1:7">
      <c r="A1686" t="s">
        <v>3692</v>
      </c>
      <c r="B1686" t="s">
        <v>3693</v>
      </c>
      <c r="C1686">
        <v>5</v>
      </c>
      <c r="D1686" s="260">
        <v>46261</v>
      </c>
      <c r="E1686" s="260">
        <v>46267</v>
      </c>
      <c r="F1686">
        <v>72</v>
      </c>
      <c r="G1686" t="s">
        <v>353</v>
      </c>
    </row>
    <row r="1687" spans="1:7">
      <c r="A1687" t="s">
        <v>3694</v>
      </c>
      <c r="B1687" t="s">
        <v>3695</v>
      </c>
      <c r="C1687">
        <v>15</v>
      </c>
      <c r="D1687" s="260">
        <v>46149</v>
      </c>
      <c r="E1687" s="260">
        <v>46169</v>
      </c>
      <c r="F1687">
        <v>0</v>
      </c>
      <c r="G1687" t="s">
        <v>353</v>
      </c>
    </row>
    <row r="1688" spans="1:7">
      <c r="A1688" t="s">
        <v>3696</v>
      </c>
      <c r="B1688" t="s">
        <v>3697</v>
      </c>
      <c r="C1688">
        <v>10</v>
      </c>
      <c r="D1688" s="260">
        <v>46188</v>
      </c>
      <c r="E1688" s="260">
        <v>46199</v>
      </c>
      <c r="F1688">
        <v>91</v>
      </c>
      <c r="G1688" t="s">
        <v>353</v>
      </c>
    </row>
    <row r="1689" spans="1:7">
      <c r="A1689" t="s">
        <v>3698</v>
      </c>
      <c r="B1689" t="s">
        <v>3699</v>
      </c>
      <c r="C1689">
        <v>5</v>
      </c>
      <c r="D1689" s="260">
        <v>46238</v>
      </c>
      <c r="E1689" s="260">
        <v>46244</v>
      </c>
      <c r="F1689">
        <v>88</v>
      </c>
      <c r="G1689" t="s">
        <v>353</v>
      </c>
    </row>
    <row r="1690" spans="1:7">
      <c r="A1690" t="s">
        <v>3700</v>
      </c>
      <c r="B1690" t="s">
        <v>3701</v>
      </c>
      <c r="C1690">
        <v>15</v>
      </c>
      <c r="D1690" s="260">
        <v>46251</v>
      </c>
      <c r="E1690" s="260">
        <v>46269</v>
      </c>
      <c r="F1690">
        <v>4</v>
      </c>
      <c r="G1690" t="s">
        <v>353</v>
      </c>
    </row>
    <row r="1691" spans="1:7">
      <c r="A1691" t="s">
        <v>3702</v>
      </c>
      <c r="B1691" t="s">
        <v>3703</v>
      </c>
      <c r="C1691">
        <v>10</v>
      </c>
      <c r="D1691" s="260">
        <v>46286</v>
      </c>
      <c r="E1691" s="260">
        <v>46297</v>
      </c>
      <c r="F1691">
        <v>25</v>
      </c>
      <c r="G1691" t="s">
        <v>353</v>
      </c>
    </row>
    <row r="1692" spans="1:7">
      <c r="A1692" t="s">
        <v>3704</v>
      </c>
      <c r="B1692" t="s">
        <v>3705</v>
      </c>
      <c r="C1692">
        <v>5</v>
      </c>
      <c r="D1692" s="260">
        <v>46315</v>
      </c>
      <c r="E1692" s="260">
        <v>46322</v>
      </c>
      <c r="F1692">
        <v>35</v>
      </c>
      <c r="G1692" t="s">
        <v>353</v>
      </c>
    </row>
    <row r="1693" spans="1:7">
      <c r="A1693" t="s">
        <v>3706</v>
      </c>
      <c r="B1693" t="s">
        <v>3707</v>
      </c>
      <c r="C1693">
        <v>15</v>
      </c>
      <c r="D1693" s="260">
        <v>46251</v>
      </c>
      <c r="E1693" s="260">
        <v>46269</v>
      </c>
      <c r="F1693">
        <v>14</v>
      </c>
      <c r="G1693" t="s">
        <v>353</v>
      </c>
    </row>
    <row r="1694" spans="1:7">
      <c r="A1694" t="s">
        <v>3708</v>
      </c>
      <c r="B1694" t="s">
        <v>3709</v>
      </c>
      <c r="C1694">
        <v>10</v>
      </c>
      <c r="D1694" s="260">
        <v>46286</v>
      </c>
      <c r="E1694" s="260">
        <v>46297</v>
      </c>
      <c r="F1694">
        <v>25</v>
      </c>
      <c r="G1694" t="s">
        <v>353</v>
      </c>
    </row>
    <row r="1695" spans="1:7">
      <c r="A1695" t="s">
        <v>3710</v>
      </c>
      <c r="B1695" t="s">
        <v>3711</v>
      </c>
      <c r="C1695">
        <v>5</v>
      </c>
      <c r="D1695" s="260">
        <v>46324</v>
      </c>
      <c r="E1695" s="260">
        <v>46330</v>
      </c>
      <c r="F1695">
        <v>29</v>
      </c>
      <c r="G1695" t="s">
        <v>353</v>
      </c>
    </row>
    <row r="1696" spans="1:7">
      <c r="A1696" t="s">
        <v>3712</v>
      </c>
      <c r="B1696" t="s">
        <v>3713</v>
      </c>
      <c r="C1696">
        <v>15</v>
      </c>
      <c r="D1696" s="260">
        <v>46251</v>
      </c>
      <c r="E1696" s="260">
        <v>46269</v>
      </c>
      <c r="F1696">
        <v>5</v>
      </c>
      <c r="G1696" t="s">
        <v>353</v>
      </c>
    </row>
    <row r="1697" spans="1:7">
      <c r="A1697" t="s">
        <v>3714</v>
      </c>
      <c r="B1697" t="s">
        <v>3715</v>
      </c>
      <c r="C1697">
        <v>10</v>
      </c>
      <c r="D1697" s="260">
        <v>46286</v>
      </c>
      <c r="E1697" s="260">
        <v>46297</v>
      </c>
      <c r="F1697">
        <v>25</v>
      </c>
      <c r="G1697" t="s">
        <v>353</v>
      </c>
    </row>
    <row r="1698" spans="1:7">
      <c r="A1698" t="s">
        <v>3716</v>
      </c>
      <c r="B1698" t="s">
        <v>3717</v>
      </c>
      <c r="C1698">
        <v>5</v>
      </c>
      <c r="D1698" s="260">
        <v>46337</v>
      </c>
      <c r="E1698" s="260">
        <v>46343</v>
      </c>
      <c r="F1698">
        <v>20</v>
      </c>
      <c r="G1698" t="s">
        <v>353</v>
      </c>
    </row>
    <row r="1699" spans="1:7">
      <c r="A1699" t="s">
        <v>3718</v>
      </c>
      <c r="B1699" t="s">
        <v>3719</v>
      </c>
      <c r="C1699">
        <v>15</v>
      </c>
      <c r="D1699" s="260">
        <v>46251</v>
      </c>
      <c r="E1699" s="260">
        <v>46269</v>
      </c>
      <c r="F1699">
        <v>5</v>
      </c>
      <c r="G1699" t="s">
        <v>353</v>
      </c>
    </row>
    <row r="1700" spans="1:7">
      <c r="A1700" t="s">
        <v>3720</v>
      </c>
      <c r="B1700" t="s">
        <v>3721</v>
      </c>
      <c r="C1700">
        <v>5</v>
      </c>
      <c r="D1700" s="260">
        <v>46337</v>
      </c>
      <c r="E1700" s="260">
        <v>46343</v>
      </c>
      <c r="F1700">
        <v>20</v>
      </c>
      <c r="G1700" t="s">
        <v>353</v>
      </c>
    </row>
    <row r="1701" spans="1:7">
      <c r="A1701" t="s">
        <v>3722</v>
      </c>
      <c r="B1701" t="s">
        <v>3723</v>
      </c>
      <c r="C1701">
        <v>15</v>
      </c>
      <c r="D1701" s="260">
        <v>46251</v>
      </c>
      <c r="E1701" s="260">
        <v>46269</v>
      </c>
      <c r="F1701">
        <v>5</v>
      </c>
      <c r="G1701" t="s">
        <v>353</v>
      </c>
    </row>
    <row r="1702" spans="1:7">
      <c r="A1702" t="s">
        <v>3724</v>
      </c>
      <c r="B1702" t="s">
        <v>3725</v>
      </c>
      <c r="C1702">
        <v>5</v>
      </c>
      <c r="D1702" s="260">
        <v>46337</v>
      </c>
      <c r="E1702" s="260">
        <v>46343</v>
      </c>
      <c r="F1702">
        <v>20</v>
      </c>
      <c r="G1702" t="s">
        <v>353</v>
      </c>
    </row>
    <row r="1703" spans="1:7">
      <c r="A1703" t="s">
        <v>3726</v>
      </c>
      <c r="B1703" t="s">
        <v>3727</v>
      </c>
      <c r="C1703">
        <v>15</v>
      </c>
      <c r="D1703" s="260">
        <v>46251</v>
      </c>
      <c r="E1703" s="260">
        <v>46269</v>
      </c>
      <c r="F1703">
        <v>5</v>
      </c>
      <c r="G1703" t="s">
        <v>353</v>
      </c>
    </row>
    <row r="1704" spans="1:7">
      <c r="A1704" t="s">
        <v>3728</v>
      </c>
      <c r="B1704" t="s">
        <v>3729</v>
      </c>
      <c r="C1704">
        <v>5</v>
      </c>
      <c r="D1704" s="260">
        <v>46337</v>
      </c>
      <c r="E1704" s="260">
        <v>46343</v>
      </c>
      <c r="F1704">
        <v>20</v>
      </c>
      <c r="G1704" t="s">
        <v>353</v>
      </c>
    </row>
    <row r="1705" spans="1:7">
      <c r="A1705" t="s">
        <v>3730</v>
      </c>
      <c r="B1705" t="s">
        <v>3731</v>
      </c>
      <c r="C1705">
        <v>15</v>
      </c>
      <c r="D1705" s="260">
        <v>46251</v>
      </c>
      <c r="E1705" s="260">
        <v>46269</v>
      </c>
      <c r="F1705">
        <v>5</v>
      </c>
      <c r="G1705" t="s">
        <v>353</v>
      </c>
    </row>
    <row r="1706" spans="1:7">
      <c r="A1706" t="s">
        <v>3732</v>
      </c>
      <c r="B1706" t="s">
        <v>3733</v>
      </c>
      <c r="C1706">
        <v>5</v>
      </c>
      <c r="D1706" s="260">
        <v>46337</v>
      </c>
      <c r="E1706" s="260">
        <v>46343</v>
      </c>
      <c r="F1706">
        <v>20</v>
      </c>
      <c r="G1706" t="s">
        <v>353</v>
      </c>
    </row>
    <row r="1707" spans="1:7">
      <c r="A1707" t="s">
        <v>3734</v>
      </c>
      <c r="B1707" t="s">
        <v>3735</v>
      </c>
      <c r="C1707">
        <v>15</v>
      </c>
      <c r="D1707" s="260">
        <v>46251</v>
      </c>
      <c r="E1707" s="260">
        <v>46269</v>
      </c>
      <c r="F1707">
        <v>5</v>
      </c>
      <c r="G1707" t="s">
        <v>353</v>
      </c>
    </row>
    <row r="1708" spans="1:7">
      <c r="A1708" t="s">
        <v>3736</v>
      </c>
      <c r="B1708" t="s">
        <v>3737</v>
      </c>
      <c r="C1708">
        <v>5</v>
      </c>
      <c r="D1708" s="260">
        <v>46337</v>
      </c>
      <c r="E1708" s="260">
        <v>46343</v>
      </c>
      <c r="F1708">
        <v>20</v>
      </c>
      <c r="G1708" t="s">
        <v>353</v>
      </c>
    </row>
    <row r="1709" spans="1:7">
      <c r="A1709" t="s">
        <v>3738</v>
      </c>
      <c r="B1709" t="s">
        <v>3739</v>
      </c>
      <c r="C1709">
        <v>15</v>
      </c>
      <c r="D1709" s="260">
        <v>46251</v>
      </c>
      <c r="E1709" s="260">
        <v>46269</v>
      </c>
      <c r="F1709">
        <v>5</v>
      </c>
      <c r="G1709" t="s">
        <v>353</v>
      </c>
    </row>
    <row r="1710" spans="1:7">
      <c r="A1710" t="s">
        <v>3740</v>
      </c>
      <c r="B1710" t="s">
        <v>3741</v>
      </c>
      <c r="C1710">
        <v>10</v>
      </c>
      <c r="D1710" s="260">
        <v>46286</v>
      </c>
      <c r="E1710" s="260">
        <v>46297</v>
      </c>
      <c r="F1710">
        <v>25</v>
      </c>
      <c r="G1710" t="s">
        <v>353</v>
      </c>
    </row>
    <row r="1711" spans="1:7">
      <c r="A1711" t="s">
        <v>3742</v>
      </c>
      <c r="B1711" t="s">
        <v>3743</v>
      </c>
      <c r="C1711">
        <v>5</v>
      </c>
      <c r="D1711" s="260">
        <v>46337</v>
      </c>
      <c r="E1711" s="260">
        <v>46343</v>
      </c>
      <c r="F1711">
        <v>20</v>
      </c>
      <c r="G1711" t="s">
        <v>353</v>
      </c>
    </row>
    <row r="1712" spans="1:7">
      <c r="A1712" t="s">
        <v>3744</v>
      </c>
      <c r="B1712" t="s">
        <v>3745</v>
      </c>
      <c r="C1712">
        <v>15</v>
      </c>
      <c r="D1712" s="260">
        <v>46251</v>
      </c>
      <c r="E1712" s="260">
        <v>46269</v>
      </c>
      <c r="F1712">
        <v>5</v>
      </c>
      <c r="G1712" t="s">
        <v>353</v>
      </c>
    </row>
    <row r="1713" spans="1:7">
      <c r="A1713" t="s">
        <v>3746</v>
      </c>
      <c r="B1713" t="s">
        <v>3747</v>
      </c>
      <c r="C1713">
        <v>10</v>
      </c>
      <c r="D1713" s="260">
        <v>46286</v>
      </c>
      <c r="E1713" s="260">
        <v>46297</v>
      </c>
      <c r="F1713">
        <v>25</v>
      </c>
      <c r="G1713" t="s">
        <v>353</v>
      </c>
    </row>
    <row r="1714" spans="1:7">
      <c r="A1714" t="s">
        <v>3748</v>
      </c>
      <c r="B1714" t="s">
        <v>3749</v>
      </c>
      <c r="C1714">
        <v>5</v>
      </c>
      <c r="D1714" s="260">
        <v>46337</v>
      </c>
      <c r="E1714" s="260">
        <v>46343</v>
      </c>
      <c r="F1714">
        <v>20</v>
      </c>
      <c r="G1714" t="s">
        <v>353</v>
      </c>
    </row>
    <row r="1715" spans="1:7">
      <c r="A1715" t="s">
        <v>3750</v>
      </c>
      <c r="B1715" t="s">
        <v>3751</v>
      </c>
      <c r="C1715">
        <v>15</v>
      </c>
      <c r="D1715" s="260">
        <v>46251</v>
      </c>
      <c r="E1715" s="260">
        <v>46269</v>
      </c>
      <c r="F1715">
        <v>5</v>
      </c>
      <c r="G1715" t="s">
        <v>353</v>
      </c>
    </row>
    <row r="1716" spans="1:7">
      <c r="A1716" t="s">
        <v>3752</v>
      </c>
      <c r="B1716" t="s">
        <v>3753</v>
      </c>
      <c r="C1716">
        <v>10</v>
      </c>
      <c r="D1716" s="260">
        <v>46286</v>
      </c>
      <c r="E1716" s="260">
        <v>46297</v>
      </c>
      <c r="F1716">
        <v>25</v>
      </c>
      <c r="G1716" t="s">
        <v>353</v>
      </c>
    </row>
    <row r="1717" spans="1:7">
      <c r="A1717" t="s">
        <v>3754</v>
      </c>
      <c r="B1717" t="s">
        <v>3755</v>
      </c>
      <c r="C1717">
        <v>5</v>
      </c>
      <c r="D1717" s="260">
        <v>46337</v>
      </c>
      <c r="E1717" s="260">
        <v>46343</v>
      </c>
      <c r="F1717">
        <v>20</v>
      </c>
      <c r="G1717" t="s">
        <v>353</v>
      </c>
    </row>
    <row r="1718" spans="1:7">
      <c r="A1718" t="s">
        <v>3756</v>
      </c>
      <c r="B1718" t="s">
        <v>3757</v>
      </c>
      <c r="C1718">
        <v>15</v>
      </c>
      <c r="D1718" s="260">
        <v>46209</v>
      </c>
      <c r="E1718" s="260">
        <v>46227</v>
      </c>
      <c r="F1718">
        <v>27</v>
      </c>
      <c r="G1718" t="s">
        <v>353</v>
      </c>
    </row>
    <row r="1719" spans="1:7">
      <c r="A1719" t="s">
        <v>3758</v>
      </c>
      <c r="B1719" t="s">
        <v>3759</v>
      </c>
      <c r="C1719">
        <v>5</v>
      </c>
      <c r="D1719" s="260">
        <v>46303</v>
      </c>
      <c r="E1719" s="260">
        <v>46310</v>
      </c>
      <c r="F1719">
        <v>42</v>
      </c>
      <c r="G1719" t="s">
        <v>353</v>
      </c>
    </row>
    <row r="1720" spans="1:7">
      <c r="A1720" t="s">
        <v>3760</v>
      </c>
      <c r="B1720" t="s">
        <v>3761</v>
      </c>
      <c r="C1720">
        <v>15</v>
      </c>
      <c r="D1720" s="260">
        <v>46251</v>
      </c>
      <c r="E1720" s="260">
        <v>46269</v>
      </c>
      <c r="F1720">
        <v>16</v>
      </c>
      <c r="G1720" t="s">
        <v>353</v>
      </c>
    </row>
    <row r="1721" spans="1:7">
      <c r="A1721" t="s">
        <v>3762</v>
      </c>
      <c r="B1721" t="s">
        <v>3763</v>
      </c>
      <c r="C1721">
        <v>5</v>
      </c>
      <c r="D1721" s="260">
        <v>46303</v>
      </c>
      <c r="E1721" s="260">
        <v>46310</v>
      </c>
      <c r="F1721">
        <v>42</v>
      </c>
      <c r="G1721" t="s">
        <v>353</v>
      </c>
    </row>
    <row r="1722" spans="1:7">
      <c r="A1722" t="s">
        <v>3764</v>
      </c>
      <c r="B1722" t="s">
        <v>3765</v>
      </c>
      <c r="C1722">
        <v>15</v>
      </c>
      <c r="D1722" s="260">
        <v>46251</v>
      </c>
      <c r="E1722" s="260">
        <v>46269</v>
      </c>
      <c r="F1722">
        <v>5</v>
      </c>
      <c r="G1722" t="s">
        <v>353</v>
      </c>
    </row>
    <row r="1723" spans="1:7">
      <c r="A1723" t="s">
        <v>3766</v>
      </c>
      <c r="B1723" t="s">
        <v>3767</v>
      </c>
      <c r="C1723">
        <v>10</v>
      </c>
      <c r="D1723" s="260">
        <v>46286</v>
      </c>
      <c r="E1723" s="260">
        <v>46297</v>
      </c>
      <c r="F1723">
        <v>25</v>
      </c>
      <c r="G1723" t="s">
        <v>353</v>
      </c>
    </row>
    <row r="1724" spans="1:7">
      <c r="A1724" t="s">
        <v>3768</v>
      </c>
      <c r="B1724" t="s">
        <v>3769</v>
      </c>
      <c r="C1724">
        <v>5</v>
      </c>
      <c r="D1724" s="260">
        <v>46337</v>
      </c>
      <c r="E1724" s="260">
        <v>46343</v>
      </c>
      <c r="F1724">
        <v>20</v>
      </c>
      <c r="G1724" t="s">
        <v>353</v>
      </c>
    </row>
    <row r="1725" spans="1:7">
      <c r="A1725" t="s">
        <v>3770</v>
      </c>
      <c r="B1725" t="s">
        <v>3771</v>
      </c>
      <c r="C1725">
        <v>15</v>
      </c>
      <c r="D1725" s="260">
        <v>46251</v>
      </c>
      <c r="E1725" s="260">
        <v>46269</v>
      </c>
      <c r="F1725">
        <v>5</v>
      </c>
      <c r="G1725" t="s">
        <v>353</v>
      </c>
    </row>
    <row r="1726" spans="1:7">
      <c r="A1726" t="s">
        <v>3772</v>
      </c>
      <c r="B1726" t="s">
        <v>3773</v>
      </c>
      <c r="C1726">
        <v>5</v>
      </c>
      <c r="D1726" s="260">
        <v>46286</v>
      </c>
      <c r="E1726" s="260">
        <v>46290</v>
      </c>
      <c r="F1726">
        <v>30</v>
      </c>
      <c r="G1726" t="s">
        <v>353</v>
      </c>
    </row>
    <row r="1727" spans="1:7">
      <c r="A1727" t="s">
        <v>3774</v>
      </c>
      <c r="B1727" t="s">
        <v>3775</v>
      </c>
      <c r="C1727">
        <v>5</v>
      </c>
      <c r="D1727" s="260">
        <v>46337</v>
      </c>
      <c r="E1727" s="260">
        <v>46343</v>
      </c>
      <c r="F1727">
        <v>20</v>
      </c>
      <c r="G1727" t="s">
        <v>353</v>
      </c>
    </row>
    <row r="1728" spans="1:7">
      <c r="A1728" t="s">
        <v>3776</v>
      </c>
      <c r="B1728" t="s">
        <v>3777</v>
      </c>
      <c r="C1728">
        <v>15</v>
      </c>
      <c r="D1728" s="260">
        <v>46251</v>
      </c>
      <c r="E1728" s="260">
        <v>46269</v>
      </c>
      <c r="F1728">
        <v>5</v>
      </c>
      <c r="G1728" t="s">
        <v>353</v>
      </c>
    </row>
    <row r="1729" spans="1:7">
      <c r="A1729" t="s">
        <v>3778</v>
      </c>
      <c r="B1729" t="s">
        <v>3779</v>
      </c>
      <c r="C1729">
        <v>5</v>
      </c>
      <c r="D1729" s="260">
        <v>46337</v>
      </c>
      <c r="E1729" s="260">
        <v>46343</v>
      </c>
      <c r="F1729">
        <v>25</v>
      </c>
      <c r="G1729" t="s">
        <v>353</v>
      </c>
    </row>
    <row r="1730" spans="1:7">
      <c r="A1730" t="s">
        <v>3780</v>
      </c>
      <c r="B1730" t="s">
        <v>3781</v>
      </c>
      <c r="C1730">
        <v>15</v>
      </c>
      <c r="D1730" s="260">
        <v>46141</v>
      </c>
      <c r="E1730" s="260">
        <v>46162</v>
      </c>
      <c r="F1730">
        <v>0</v>
      </c>
      <c r="G1730" t="s">
        <v>353</v>
      </c>
    </row>
    <row r="1731" spans="1:7">
      <c r="A1731" t="s">
        <v>3782</v>
      </c>
      <c r="B1731" t="s">
        <v>3783</v>
      </c>
      <c r="C1731">
        <v>10</v>
      </c>
      <c r="D1731" s="260">
        <v>46181</v>
      </c>
      <c r="E1731" s="260">
        <v>46192</v>
      </c>
      <c r="F1731">
        <v>22</v>
      </c>
      <c r="G1731" t="s">
        <v>353</v>
      </c>
    </row>
    <row r="1732" spans="1:7">
      <c r="A1732" t="s">
        <v>3784</v>
      </c>
      <c r="B1732" t="s">
        <v>3785</v>
      </c>
      <c r="C1732">
        <v>5</v>
      </c>
      <c r="D1732" s="260">
        <v>46211</v>
      </c>
      <c r="E1732" s="260">
        <v>46217</v>
      </c>
      <c r="F1732">
        <v>20</v>
      </c>
      <c r="G1732" t="s">
        <v>353</v>
      </c>
    </row>
    <row r="1733" spans="1:7">
      <c r="A1733" t="s">
        <v>3786</v>
      </c>
      <c r="B1733" t="s">
        <v>3787</v>
      </c>
      <c r="C1733">
        <v>15</v>
      </c>
      <c r="D1733" s="260">
        <v>46220</v>
      </c>
      <c r="E1733" s="260">
        <v>46245</v>
      </c>
      <c r="F1733">
        <v>19</v>
      </c>
      <c r="G1733" t="s">
        <v>353</v>
      </c>
    </row>
    <row r="1734" spans="1:7">
      <c r="A1734" t="s">
        <v>3788</v>
      </c>
      <c r="B1734" t="s">
        <v>3789</v>
      </c>
      <c r="C1734">
        <v>10</v>
      </c>
      <c r="D1734" s="260">
        <v>46261</v>
      </c>
      <c r="E1734" s="260">
        <v>46274</v>
      </c>
      <c r="F1734">
        <v>42</v>
      </c>
      <c r="G1734" t="s">
        <v>353</v>
      </c>
    </row>
    <row r="1735" spans="1:7">
      <c r="A1735" t="s">
        <v>3790</v>
      </c>
      <c r="B1735" t="s">
        <v>3791</v>
      </c>
      <c r="C1735">
        <v>5</v>
      </c>
      <c r="D1735" s="260">
        <v>46316</v>
      </c>
      <c r="E1735" s="260">
        <v>46323</v>
      </c>
      <c r="F1735">
        <v>34</v>
      </c>
      <c r="G1735" t="s">
        <v>353</v>
      </c>
    </row>
    <row r="1736" spans="1:7">
      <c r="A1736" t="s">
        <v>3792</v>
      </c>
      <c r="B1736" t="s">
        <v>3793</v>
      </c>
      <c r="C1736">
        <v>15</v>
      </c>
      <c r="D1736" s="260">
        <v>46230</v>
      </c>
      <c r="E1736" s="260">
        <v>46254</v>
      </c>
      <c r="F1736">
        <v>16</v>
      </c>
      <c r="G1736" t="s">
        <v>353</v>
      </c>
    </row>
    <row r="1737" spans="1:7">
      <c r="A1737" t="s">
        <v>3794</v>
      </c>
      <c r="B1737" t="s">
        <v>3795</v>
      </c>
      <c r="C1737">
        <v>10</v>
      </c>
      <c r="D1737" s="260">
        <v>46269</v>
      </c>
      <c r="E1737" s="260">
        <v>46282</v>
      </c>
      <c r="F1737">
        <v>36</v>
      </c>
      <c r="G1737" t="s">
        <v>353</v>
      </c>
    </row>
    <row r="1738" spans="1:7">
      <c r="A1738" t="s">
        <v>3796</v>
      </c>
      <c r="B1738" t="s">
        <v>3797</v>
      </c>
      <c r="C1738">
        <v>5</v>
      </c>
      <c r="D1738" s="260">
        <v>46322</v>
      </c>
      <c r="E1738" s="260">
        <v>46328</v>
      </c>
      <c r="F1738">
        <v>31</v>
      </c>
      <c r="G1738" t="s">
        <v>353</v>
      </c>
    </row>
    <row r="1739" spans="1:7">
      <c r="A1739" t="s">
        <v>3798</v>
      </c>
      <c r="B1739" t="s">
        <v>3799</v>
      </c>
      <c r="C1739">
        <v>15</v>
      </c>
      <c r="D1739" s="260">
        <v>46136</v>
      </c>
      <c r="E1739" s="260">
        <v>46157</v>
      </c>
      <c r="F1739">
        <v>93</v>
      </c>
      <c r="G1739" t="s">
        <v>353</v>
      </c>
    </row>
    <row r="1740" spans="1:7">
      <c r="A1740" t="s">
        <v>3800</v>
      </c>
      <c r="B1740" t="s">
        <v>3801</v>
      </c>
      <c r="C1740">
        <v>10</v>
      </c>
      <c r="D1740" s="260">
        <v>46175</v>
      </c>
      <c r="E1740" s="260">
        <v>46189</v>
      </c>
      <c r="F1740">
        <v>99</v>
      </c>
      <c r="G1740" t="s">
        <v>353</v>
      </c>
    </row>
    <row r="1741" spans="1:7">
      <c r="A1741" t="s">
        <v>3802</v>
      </c>
      <c r="B1741" t="s">
        <v>3803</v>
      </c>
      <c r="C1741">
        <v>5</v>
      </c>
      <c r="D1741" s="260">
        <v>46205</v>
      </c>
      <c r="E1741" s="260">
        <v>46211</v>
      </c>
      <c r="F1741">
        <v>108</v>
      </c>
      <c r="G1741" t="s">
        <v>353</v>
      </c>
    </row>
    <row r="1742" spans="1:7">
      <c r="A1742" t="s">
        <v>3804</v>
      </c>
      <c r="B1742" t="s">
        <v>3805</v>
      </c>
      <c r="C1742">
        <v>15</v>
      </c>
      <c r="D1742" s="260">
        <v>46171</v>
      </c>
      <c r="E1742" s="260">
        <v>46195</v>
      </c>
      <c r="F1742">
        <v>57</v>
      </c>
      <c r="G1742" t="s">
        <v>353</v>
      </c>
    </row>
    <row r="1743" spans="1:7">
      <c r="A1743" t="s">
        <v>3806</v>
      </c>
      <c r="B1743" t="s">
        <v>3807</v>
      </c>
      <c r="C1743">
        <v>10</v>
      </c>
      <c r="D1743" s="260">
        <v>46210</v>
      </c>
      <c r="E1743" s="260">
        <v>46223</v>
      </c>
      <c r="F1743">
        <v>75</v>
      </c>
      <c r="G1743" t="s">
        <v>353</v>
      </c>
    </row>
    <row r="1744" spans="1:7">
      <c r="A1744" t="s">
        <v>3808</v>
      </c>
      <c r="B1744" t="s">
        <v>3809</v>
      </c>
      <c r="C1744">
        <v>5</v>
      </c>
      <c r="D1744" s="260">
        <v>46261</v>
      </c>
      <c r="E1744" s="260">
        <v>46267</v>
      </c>
      <c r="F1744">
        <v>72</v>
      </c>
      <c r="G1744" t="s">
        <v>353</v>
      </c>
    </row>
    <row r="1745" spans="1:7">
      <c r="A1745" t="s">
        <v>3810</v>
      </c>
      <c r="B1745" t="s">
        <v>3811</v>
      </c>
      <c r="C1745">
        <v>15</v>
      </c>
      <c r="D1745" s="260">
        <v>46149</v>
      </c>
      <c r="E1745" s="260">
        <v>46169</v>
      </c>
      <c r="F1745">
        <v>0</v>
      </c>
      <c r="G1745" t="s">
        <v>353</v>
      </c>
    </row>
    <row r="1746" spans="1:7">
      <c r="A1746" t="s">
        <v>3812</v>
      </c>
      <c r="B1746" t="s">
        <v>3813</v>
      </c>
      <c r="C1746">
        <v>10</v>
      </c>
      <c r="D1746" s="260">
        <v>46188</v>
      </c>
      <c r="E1746" s="260">
        <v>46199</v>
      </c>
      <c r="F1746">
        <v>38</v>
      </c>
      <c r="G1746" t="s">
        <v>353</v>
      </c>
    </row>
    <row r="1747" spans="1:7">
      <c r="A1747" t="s">
        <v>3814</v>
      </c>
      <c r="B1747" t="s">
        <v>3815</v>
      </c>
      <c r="C1747">
        <v>5</v>
      </c>
      <c r="D1747" s="260">
        <v>46238</v>
      </c>
      <c r="E1747" s="260">
        <v>46244</v>
      </c>
      <c r="F1747">
        <v>25</v>
      </c>
      <c r="G1747" t="s">
        <v>353</v>
      </c>
    </row>
    <row r="1748" spans="1:7">
      <c r="A1748" t="s">
        <v>3816</v>
      </c>
      <c r="B1748" t="s">
        <v>3817</v>
      </c>
      <c r="C1748">
        <v>15</v>
      </c>
      <c r="D1748" s="260">
        <v>46251</v>
      </c>
      <c r="E1748" s="260">
        <v>46269</v>
      </c>
      <c r="F1748">
        <v>4</v>
      </c>
      <c r="G1748" t="s">
        <v>353</v>
      </c>
    </row>
    <row r="1749" spans="1:7">
      <c r="A1749" t="s">
        <v>3818</v>
      </c>
      <c r="B1749" t="s">
        <v>3819</v>
      </c>
      <c r="C1749">
        <v>10</v>
      </c>
      <c r="D1749" s="260">
        <v>46286</v>
      </c>
      <c r="E1749" s="260">
        <v>46297</v>
      </c>
      <c r="F1749">
        <v>25</v>
      </c>
      <c r="G1749" t="s">
        <v>353</v>
      </c>
    </row>
    <row r="1750" spans="1:7">
      <c r="A1750" t="s">
        <v>3820</v>
      </c>
      <c r="B1750" t="s">
        <v>3821</v>
      </c>
      <c r="C1750">
        <v>5</v>
      </c>
      <c r="D1750" s="260">
        <v>46338</v>
      </c>
      <c r="E1750" s="260">
        <v>46344</v>
      </c>
      <c r="F1750">
        <v>19</v>
      </c>
      <c r="G1750" t="s">
        <v>353</v>
      </c>
    </row>
    <row r="1751" spans="1:7">
      <c r="A1751" t="s">
        <v>3822</v>
      </c>
      <c r="B1751" t="s">
        <v>3823</v>
      </c>
      <c r="C1751">
        <v>15</v>
      </c>
      <c r="D1751" s="260">
        <v>46251</v>
      </c>
      <c r="E1751" s="260">
        <v>46269</v>
      </c>
      <c r="F1751">
        <v>14</v>
      </c>
      <c r="G1751" t="s">
        <v>353</v>
      </c>
    </row>
    <row r="1752" spans="1:7">
      <c r="A1752" t="s">
        <v>3824</v>
      </c>
      <c r="B1752" t="s">
        <v>3825</v>
      </c>
      <c r="C1752">
        <v>10</v>
      </c>
      <c r="D1752" s="260">
        <v>46286</v>
      </c>
      <c r="E1752" s="260">
        <v>46297</v>
      </c>
      <c r="F1752">
        <v>25</v>
      </c>
      <c r="G1752" t="s">
        <v>353</v>
      </c>
    </row>
    <row r="1753" spans="1:7">
      <c r="A1753" t="s">
        <v>3826</v>
      </c>
      <c r="B1753" t="s">
        <v>3827</v>
      </c>
      <c r="C1753">
        <v>5</v>
      </c>
      <c r="D1753" s="260">
        <v>46324</v>
      </c>
      <c r="E1753" s="260">
        <v>46330</v>
      </c>
      <c r="F1753">
        <v>29</v>
      </c>
      <c r="G1753" t="s">
        <v>353</v>
      </c>
    </row>
    <row r="1754" spans="1:7">
      <c r="A1754" t="s">
        <v>3828</v>
      </c>
      <c r="B1754" t="s">
        <v>3829</v>
      </c>
      <c r="C1754">
        <v>15</v>
      </c>
      <c r="D1754" s="260">
        <v>46251</v>
      </c>
      <c r="E1754" s="260">
        <v>46269</v>
      </c>
      <c r="F1754">
        <v>5</v>
      </c>
      <c r="G1754" t="s">
        <v>353</v>
      </c>
    </row>
    <row r="1755" spans="1:7">
      <c r="A1755" t="s">
        <v>3830</v>
      </c>
      <c r="B1755" t="s">
        <v>3831</v>
      </c>
      <c r="C1755">
        <v>10</v>
      </c>
      <c r="D1755" s="260">
        <v>46286</v>
      </c>
      <c r="E1755" s="260">
        <v>46297</v>
      </c>
      <c r="F1755">
        <v>25</v>
      </c>
      <c r="G1755" t="s">
        <v>353</v>
      </c>
    </row>
    <row r="1756" spans="1:7">
      <c r="A1756" t="s">
        <v>3832</v>
      </c>
      <c r="B1756" t="s">
        <v>3833</v>
      </c>
      <c r="C1756">
        <v>5</v>
      </c>
      <c r="D1756" s="260">
        <v>46337</v>
      </c>
      <c r="E1756" s="260">
        <v>46343</v>
      </c>
      <c r="F1756">
        <v>20</v>
      </c>
      <c r="G1756" t="s">
        <v>353</v>
      </c>
    </row>
    <row r="1757" spans="1:7">
      <c r="A1757" t="s">
        <v>3834</v>
      </c>
      <c r="B1757" t="s">
        <v>3835</v>
      </c>
      <c r="C1757">
        <v>15</v>
      </c>
      <c r="D1757" s="260">
        <v>46251</v>
      </c>
      <c r="E1757" s="260">
        <v>46269</v>
      </c>
      <c r="F1757">
        <v>5</v>
      </c>
      <c r="G1757" t="s">
        <v>353</v>
      </c>
    </row>
    <row r="1758" spans="1:7">
      <c r="A1758" t="s">
        <v>3836</v>
      </c>
      <c r="B1758" t="s">
        <v>3837</v>
      </c>
      <c r="C1758">
        <v>5</v>
      </c>
      <c r="D1758" s="260">
        <v>46337</v>
      </c>
      <c r="E1758" s="260">
        <v>46343</v>
      </c>
      <c r="F1758">
        <v>20</v>
      </c>
      <c r="G1758" t="s">
        <v>353</v>
      </c>
    </row>
    <row r="1759" spans="1:7">
      <c r="A1759" t="s">
        <v>3838</v>
      </c>
      <c r="B1759" t="s">
        <v>3839</v>
      </c>
      <c r="C1759">
        <v>15</v>
      </c>
      <c r="D1759" s="260">
        <v>46251</v>
      </c>
      <c r="E1759" s="260">
        <v>46269</v>
      </c>
      <c r="F1759">
        <v>5</v>
      </c>
      <c r="G1759" t="s">
        <v>353</v>
      </c>
    </row>
    <row r="1760" spans="1:7">
      <c r="A1760" t="s">
        <v>3840</v>
      </c>
      <c r="B1760" t="s">
        <v>3841</v>
      </c>
      <c r="C1760">
        <v>5</v>
      </c>
      <c r="D1760" s="260">
        <v>46337</v>
      </c>
      <c r="E1760" s="260">
        <v>46343</v>
      </c>
      <c r="F1760">
        <v>20</v>
      </c>
      <c r="G1760" t="s">
        <v>353</v>
      </c>
    </row>
    <row r="1761" spans="1:7">
      <c r="A1761" t="s">
        <v>3842</v>
      </c>
      <c r="B1761" t="s">
        <v>3843</v>
      </c>
      <c r="C1761">
        <v>15</v>
      </c>
      <c r="D1761" s="260">
        <v>46251</v>
      </c>
      <c r="E1761" s="260">
        <v>46269</v>
      </c>
      <c r="F1761">
        <v>5</v>
      </c>
      <c r="G1761" t="s">
        <v>353</v>
      </c>
    </row>
    <row r="1762" spans="1:7">
      <c r="A1762" t="s">
        <v>3844</v>
      </c>
      <c r="B1762" t="s">
        <v>3845</v>
      </c>
      <c r="C1762">
        <v>5</v>
      </c>
      <c r="D1762" s="260">
        <v>46337</v>
      </c>
      <c r="E1762" s="260">
        <v>46343</v>
      </c>
      <c r="F1762">
        <v>20</v>
      </c>
      <c r="G1762" t="s">
        <v>353</v>
      </c>
    </row>
    <row r="1763" spans="1:7">
      <c r="A1763" t="s">
        <v>3846</v>
      </c>
      <c r="B1763" t="s">
        <v>3847</v>
      </c>
      <c r="C1763">
        <v>15</v>
      </c>
      <c r="D1763" s="260">
        <v>46251</v>
      </c>
      <c r="E1763" s="260">
        <v>46269</v>
      </c>
      <c r="F1763">
        <v>5</v>
      </c>
      <c r="G1763" t="s">
        <v>353</v>
      </c>
    </row>
    <row r="1764" spans="1:7">
      <c r="A1764" t="s">
        <v>3848</v>
      </c>
      <c r="B1764" t="s">
        <v>3849</v>
      </c>
      <c r="C1764">
        <v>5</v>
      </c>
      <c r="D1764" s="260">
        <v>46337</v>
      </c>
      <c r="E1764" s="260">
        <v>46343</v>
      </c>
      <c r="F1764">
        <v>20</v>
      </c>
      <c r="G1764" t="s">
        <v>353</v>
      </c>
    </row>
    <row r="1765" spans="1:7">
      <c r="A1765" t="s">
        <v>3850</v>
      </c>
      <c r="B1765" t="s">
        <v>3851</v>
      </c>
      <c r="C1765">
        <v>15</v>
      </c>
      <c r="D1765" s="260">
        <v>46251</v>
      </c>
      <c r="E1765" s="260">
        <v>46269</v>
      </c>
      <c r="F1765">
        <v>5</v>
      </c>
      <c r="G1765" t="s">
        <v>353</v>
      </c>
    </row>
    <row r="1766" spans="1:7">
      <c r="A1766" t="s">
        <v>3852</v>
      </c>
      <c r="B1766" t="s">
        <v>3853</v>
      </c>
      <c r="C1766">
        <v>5</v>
      </c>
      <c r="D1766" s="260">
        <v>46337</v>
      </c>
      <c r="E1766" s="260">
        <v>46343</v>
      </c>
      <c r="F1766">
        <v>20</v>
      </c>
      <c r="G1766" t="s">
        <v>353</v>
      </c>
    </row>
    <row r="1767" spans="1:7">
      <c r="A1767" t="s">
        <v>3854</v>
      </c>
      <c r="B1767" t="s">
        <v>3855</v>
      </c>
      <c r="C1767">
        <v>15</v>
      </c>
      <c r="D1767" s="260">
        <v>46251</v>
      </c>
      <c r="E1767" s="260">
        <v>46269</v>
      </c>
      <c r="F1767">
        <v>5</v>
      </c>
      <c r="G1767" t="s">
        <v>353</v>
      </c>
    </row>
    <row r="1768" spans="1:7">
      <c r="A1768" t="s">
        <v>3856</v>
      </c>
      <c r="B1768" t="s">
        <v>3857</v>
      </c>
      <c r="C1768">
        <v>10</v>
      </c>
      <c r="D1768" s="260">
        <v>46286</v>
      </c>
      <c r="E1768" s="260">
        <v>46297</v>
      </c>
      <c r="F1768">
        <v>25</v>
      </c>
      <c r="G1768" t="s">
        <v>353</v>
      </c>
    </row>
    <row r="1769" spans="1:7">
      <c r="A1769" t="s">
        <v>3858</v>
      </c>
      <c r="B1769" t="s">
        <v>3859</v>
      </c>
      <c r="C1769">
        <v>5</v>
      </c>
      <c r="D1769" s="260">
        <v>46337</v>
      </c>
      <c r="E1769" s="260">
        <v>46343</v>
      </c>
      <c r="F1769">
        <v>20</v>
      </c>
      <c r="G1769" t="s">
        <v>353</v>
      </c>
    </row>
    <row r="1770" spans="1:7">
      <c r="A1770" t="s">
        <v>3860</v>
      </c>
      <c r="B1770" t="s">
        <v>3861</v>
      </c>
      <c r="C1770">
        <v>15</v>
      </c>
      <c r="D1770" s="260">
        <v>46251</v>
      </c>
      <c r="E1770" s="260">
        <v>46269</v>
      </c>
      <c r="F1770">
        <v>5</v>
      </c>
      <c r="G1770" t="s">
        <v>353</v>
      </c>
    </row>
    <row r="1771" spans="1:7">
      <c r="A1771" t="s">
        <v>3862</v>
      </c>
      <c r="B1771" t="s">
        <v>3863</v>
      </c>
      <c r="C1771">
        <v>10</v>
      </c>
      <c r="D1771" s="260">
        <v>46286</v>
      </c>
      <c r="E1771" s="260">
        <v>46297</v>
      </c>
      <c r="F1771">
        <v>25</v>
      </c>
      <c r="G1771" t="s">
        <v>353</v>
      </c>
    </row>
    <row r="1772" spans="1:7">
      <c r="A1772" t="s">
        <v>3864</v>
      </c>
      <c r="B1772" t="s">
        <v>3865</v>
      </c>
      <c r="C1772">
        <v>5</v>
      </c>
      <c r="D1772" s="260">
        <v>46337</v>
      </c>
      <c r="E1772" s="260">
        <v>46343</v>
      </c>
      <c r="F1772">
        <v>20</v>
      </c>
      <c r="G1772" t="s">
        <v>353</v>
      </c>
    </row>
    <row r="1773" spans="1:7">
      <c r="A1773" t="s">
        <v>3866</v>
      </c>
      <c r="B1773" t="s">
        <v>3867</v>
      </c>
      <c r="C1773">
        <v>15</v>
      </c>
      <c r="D1773" s="260">
        <v>46251</v>
      </c>
      <c r="E1773" s="260">
        <v>46269</v>
      </c>
      <c r="F1773">
        <v>5</v>
      </c>
      <c r="G1773" t="s">
        <v>353</v>
      </c>
    </row>
    <row r="1774" spans="1:7">
      <c r="A1774" t="s">
        <v>3868</v>
      </c>
      <c r="B1774" t="s">
        <v>3869</v>
      </c>
      <c r="C1774">
        <v>10</v>
      </c>
      <c r="D1774" s="260">
        <v>46286</v>
      </c>
      <c r="E1774" s="260">
        <v>46297</v>
      </c>
      <c r="F1774">
        <v>25</v>
      </c>
      <c r="G1774" t="s">
        <v>353</v>
      </c>
    </row>
    <row r="1775" spans="1:7">
      <c r="A1775" t="s">
        <v>3870</v>
      </c>
      <c r="B1775" t="s">
        <v>3871</v>
      </c>
      <c r="C1775">
        <v>5</v>
      </c>
      <c r="D1775" s="260">
        <v>46337</v>
      </c>
      <c r="E1775" s="260">
        <v>46343</v>
      </c>
      <c r="F1775">
        <v>20</v>
      </c>
      <c r="G1775" t="s">
        <v>353</v>
      </c>
    </row>
    <row r="1776" spans="1:7">
      <c r="A1776" t="s">
        <v>3872</v>
      </c>
      <c r="B1776" t="s">
        <v>3873</v>
      </c>
      <c r="C1776">
        <v>15</v>
      </c>
      <c r="D1776" s="260">
        <v>46209</v>
      </c>
      <c r="E1776" s="260">
        <v>46227</v>
      </c>
      <c r="F1776">
        <v>27</v>
      </c>
      <c r="G1776" t="s">
        <v>353</v>
      </c>
    </row>
    <row r="1777" spans="1:7">
      <c r="A1777" t="s">
        <v>3874</v>
      </c>
      <c r="B1777" t="s">
        <v>3875</v>
      </c>
      <c r="C1777">
        <v>10</v>
      </c>
      <c r="D1777" s="260">
        <v>46248</v>
      </c>
      <c r="E1777" s="260">
        <v>46261</v>
      </c>
      <c r="F1777">
        <v>51</v>
      </c>
      <c r="G1777" t="s">
        <v>353</v>
      </c>
    </row>
    <row r="1778" spans="1:7">
      <c r="A1778" t="s">
        <v>3876</v>
      </c>
      <c r="B1778" t="s">
        <v>3877</v>
      </c>
      <c r="C1778">
        <v>5</v>
      </c>
      <c r="D1778" s="260">
        <v>46303</v>
      </c>
      <c r="E1778" s="260">
        <v>46310</v>
      </c>
      <c r="F1778">
        <v>42</v>
      </c>
      <c r="G1778" t="s">
        <v>353</v>
      </c>
    </row>
    <row r="1779" spans="1:7">
      <c r="A1779" t="s">
        <v>3878</v>
      </c>
      <c r="B1779" t="s">
        <v>3879</v>
      </c>
      <c r="C1779">
        <v>15</v>
      </c>
      <c r="D1779" s="260">
        <v>46209</v>
      </c>
      <c r="E1779" s="260">
        <v>46227</v>
      </c>
      <c r="F1779">
        <v>27</v>
      </c>
      <c r="G1779" t="s">
        <v>353</v>
      </c>
    </row>
    <row r="1780" spans="1:7">
      <c r="A1780" t="s">
        <v>3880</v>
      </c>
      <c r="B1780" t="s">
        <v>3881</v>
      </c>
      <c r="C1780">
        <v>5</v>
      </c>
      <c r="D1780" s="260">
        <v>46303</v>
      </c>
      <c r="E1780" s="260">
        <v>46310</v>
      </c>
      <c r="F1780">
        <v>42</v>
      </c>
      <c r="G1780" t="s">
        <v>353</v>
      </c>
    </row>
    <row r="1781" spans="1:7">
      <c r="A1781" t="s">
        <v>3882</v>
      </c>
      <c r="B1781" t="s">
        <v>3883</v>
      </c>
      <c r="C1781">
        <v>15</v>
      </c>
      <c r="D1781" s="260">
        <v>46251</v>
      </c>
      <c r="E1781" s="260">
        <v>46269</v>
      </c>
      <c r="F1781">
        <v>16</v>
      </c>
      <c r="G1781" t="s">
        <v>353</v>
      </c>
    </row>
    <row r="1782" spans="1:7">
      <c r="A1782" t="s">
        <v>3884</v>
      </c>
      <c r="B1782" t="s">
        <v>3885</v>
      </c>
      <c r="C1782">
        <v>5</v>
      </c>
      <c r="D1782" s="260">
        <v>46331</v>
      </c>
      <c r="E1782" s="260">
        <v>46337</v>
      </c>
      <c r="F1782">
        <v>24</v>
      </c>
      <c r="G1782" t="s">
        <v>353</v>
      </c>
    </row>
    <row r="1783" spans="1:7">
      <c r="A1783" t="s">
        <v>3886</v>
      </c>
      <c r="B1783" t="s">
        <v>3887</v>
      </c>
      <c r="C1783">
        <v>15</v>
      </c>
      <c r="D1783" s="260">
        <v>46251</v>
      </c>
      <c r="E1783" s="260">
        <v>46269</v>
      </c>
      <c r="F1783">
        <v>5</v>
      </c>
      <c r="G1783" t="s">
        <v>353</v>
      </c>
    </row>
    <row r="1784" spans="1:7">
      <c r="A1784" t="s">
        <v>3888</v>
      </c>
      <c r="B1784" t="s">
        <v>3889</v>
      </c>
      <c r="C1784">
        <v>10</v>
      </c>
      <c r="D1784" s="260">
        <v>46286</v>
      </c>
      <c r="E1784" s="260">
        <v>46297</v>
      </c>
      <c r="F1784">
        <v>25</v>
      </c>
      <c r="G1784" t="s">
        <v>353</v>
      </c>
    </row>
    <row r="1785" spans="1:7">
      <c r="A1785" t="s">
        <v>3890</v>
      </c>
      <c r="B1785" t="s">
        <v>3891</v>
      </c>
      <c r="C1785">
        <v>5</v>
      </c>
      <c r="D1785" s="260">
        <v>46337</v>
      </c>
      <c r="E1785" s="260">
        <v>46343</v>
      </c>
      <c r="F1785">
        <v>20</v>
      </c>
      <c r="G1785" t="s">
        <v>353</v>
      </c>
    </row>
    <row r="1786" spans="1:7">
      <c r="A1786" t="s">
        <v>3892</v>
      </c>
      <c r="B1786" t="s">
        <v>3893</v>
      </c>
      <c r="C1786">
        <v>15</v>
      </c>
      <c r="D1786" s="260">
        <v>46251</v>
      </c>
      <c r="E1786" s="260">
        <v>46269</v>
      </c>
      <c r="F1786">
        <v>5</v>
      </c>
      <c r="G1786" t="s">
        <v>353</v>
      </c>
    </row>
    <row r="1787" spans="1:7">
      <c r="A1787" t="s">
        <v>3894</v>
      </c>
      <c r="B1787" t="s">
        <v>3895</v>
      </c>
      <c r="C1787">
        <v>10</v>
      </c>
      <c r="D1787" s="260">
        <v>46286</v>
      </c>
      <c r="E1787" s="260">
        <v>46297</v>
      </c>
      <c r="F1787">
        <v>25</v>
      </c>
      <c r="G1787" t="s">
        <v>353</v>
      </c>
    </row>
    <row r="1788" spans="1:7">
      <c r="A1788" t="s">
        <v>3896</v>
      </c>
      <c r="B1788" t="s">
        <v>3897</v>
      </c>
      <c r="C1788">
        <v>5</v>
      </c>
      <c r="D1788" s="260">
        <v>46337</v>
      </c>
      <c r="E1788" s="260">
        <v>46343</v>
      </c>
      <c r="F1788">
        <v>20</v>
      </c>
      <c r="G1788" t="s">
        <v>353</v>
      </c>
    </row>
    <row r="1789" spans="1:7">
      <c r="A1789" t="s">
        <v>3898</v>
      </c>
      <c r="B1789" t="s">
        <v>3899</v>
      </c>
      <c r="C1789">
        <v>15</v>
      </c>
      <c r="D1789" s="260">
        <v>46251</v>
      </c>
      <c r="E1789" s="260">
        <v>46269</v>
      </c>
      <c r="F1789">
        <v>5</v>
      </c>
      <c r="G1789" t="s">
        <v>353</v>
      </c>
    </row>
    <row r="1790" spans="1:7">
      <c r="A1790" t="s">
        <v>3900</v>
      </c>
      <c r="B1790" t="s">
        <v>3901</v>
      </c>
      <c r="C1790">
        <v>10</v>
      </c>
      <c r="D1790" s="260">
        <v>46286</v>
      </c>
      <c r="E1790" s="260">
        <v>46297</v>
      </c>
      <c r="F1790">
        <v>25</v>
      </c>
      <c r="G1790" t="s">
        <v>353</v>
      </c>
    </row>
    <row r="1791" spans="1:7">
      <c r="A1791" t="s">
        <v>3902</v>
      </c>
      <c r="B1791" t="s">
        <v>3903</v>
      </c>
      <c r="C1791">
        <v>5</v>
      </c>
      <c r="D1791" s="260">
        <v>46337</v>
      </c>
      <c r="E1791" s="260">
        <v>46343</v>
      </c>
      <c r="F1791">
        <v>20</v>
      </c>
      <c r="G1791" t="s">
        <v>353</v>
      </c>
    </row>
    <row r="1792" spans="1:7">
      <c r="A1792" t="s">
        <v>3904</v>
      </c>
      <c r="C1792">
        <v>160</v>
      </c>
      <c r="D1792" s="260">
        <v>46146</v>
      </c>
      <c r="E1792" s="260">
        <v>46384</v>
      </c>
      <c r="F1792">
        <v>4</v>
      </c>
      <c r="G1792" t="s">
        <v>353</v>
      </c>
    </row>
    <row r="1793" spans="1:7">
      <c r="A1793" t="s">
        <v>3905</v>
      </c>
      <c r="B1793" t="s">
        <v>3906</v>
      </c>
      <c r="C1793">
        <v>10</v>
      </c>
      <c r="D1793" s="260">
        <v>46149</v>
      </c>
      <c r="E1793" s="260">
        <v>46162</v>
      </c>
      <c r="F1793">
        <v>0</v>
      </c>
      <c r="G1793" t="s">
        <v>353</v>
      </c>
    </row>
    <row r="1794" spans="1:7">
      <c r="A1794" t="s">
        <v>3907</v>
      </c>
      <c r="B1794" t="s">
        <v>3908</v>
      </c>
      <c r="C1794">
        <v>5</v>
      </c>
      <c r="D1794" s="260">
        <v>46252</v>
      </c>
      <c r="E1794" s="260">
        <v>46258</v>
      </c>
      <c r="F1794">
        <v>0</v>
      </c>
      <c r="G1794" t="s">
        <v>353</v>
      </c>
    </row>
    <row r="1795" spans="1:7">
      <c r="A1795" t="s">
        <v>3909</v>
      </c>
      <c r="B1795" t="s">
        <v>3910</v>
      </c>
      <c r="C1795">
        <v>10</v>
      </c>
      <c r="D1795" s="260">
        <v>46148</v>
      </c>
      <c r="E1795" s="260">
        <v>46161</v>
      </c>
      <c r="F1795">
        <v>90</v>
      </c>
      <c r="G1795" t="s">
        <v>353</v>
      </c>
    </row>
    <row r="1796" spans="1:7">
      <c r="A1796" t="s">
        <v>3911</v>
      </c>
      <c r="B1796" t="s">
        <v>3912</v>
      </c>
      <c r="C1796">
        <v>5</v>
      </c>
      <c r="D1796" s="260">
        <v>46251</v>
      </c>
      <c r="E1796" s="260">
        <v>46255</v>
      </c>
      <c r="F1796">
        <v>90</v>
      </c>
      <c r="G1796" t="s">
        <v>353</v>
      </c>
    </row>
    <row r="1797" spans="1:7">
      <c r="A1797" t="s">
        <v>3913</v>
      </c>
      <c r="B1797" t="s">
        <v>3914</v>
      </c>
      <c r="C1797">
        <v>10</v>
      </c>
      <c r="D1797" s="260">
        <v>46148</v>
      </c>
      <c r="E1797" s="260">
        <v>46161</v>
      </c>
      <c r="F1797">
        <v>42</v>
      </c>
      <c r="G1797" t="s">
        <v>353</v>
      </c>
    </row>
    <row r="1798" spans="1:7">
      <c r="A1798" t="s">
        <v>3915</v>
      </c>
      <c r="B1798" t="s">
        <v>3916</v>
      </c>
      <c r="C1798">
        <v>5</v>
      </c>
      <c r="D1798" s="260">
        <v>46247</v>
      </c>
      <c r="E1798" s="260">
        <v>46253</v>
      </c>
      <c r="F1798">
        <v>42</v>
      </c>
      <c r="G1798" t="s">
        <v>353</v>
      </c>
    </row>
    <row r="1799" spans="1:7">
      <c r="A1799" t="s">
        <v>3917</v>
      </c>
      <c r="B1799" t="s">
        <v>3918</v>
      </c>
      <c r="C1799">
        <v>10</v>
      </c>
      <c r="D1799" s="260">
        <v>46252</v>
      </c>
      <c r="E1799" s="260">
        <v>46265</v>
      </c>
      <c r="F1799">
        <v>19</v>
      </c>
      <c r="G1799" t="s">
        <v>353</v>
      </c>
    </row>
    <row r="1800" spans="1:7">
      <c r="A1800" t="s">
        <v>3919</v>
      </c>
      <c r="B1800" t="s">
        <v>3920</v>
      </c>
      <c r="C1800">
        <v>5</v>
      </c>
      <c r="D1800" s="260">
        <v>46352</v>
      </c>
      <c r="E1800" s="260">
        <v>46358</v>
      </c>
      <c r="F1800">
        <v>19</v>
      </c>
      <c r="G1800" t="s">
        <v>353</v>
      </c>
    </row>
    <row r="1801" spans="1:7">
      <c r="A1801" t="s">
        <v>3921</v>
      </c>
      <c r="B1801" t="s">
        <v>3922</v>
      </c>
      <c r="C1801">
        <v>10</v>
      </c>
      <c r="D1801" s="260">
        <v>46255</v>
      </c>
      <c r="E1801" s="260">
        <v>46268</v>
      </c>
      <c r="F1801">
        <v>16</v>
      </c>
      <c r="G1801" t="s">
        <v>353</v>
      </c>
    </row>
    <row r="1802" spans="1:7">
      <c r="A1802" t="s">
        <v>3923</v>
      </c>
      <c r="B1802" t="s">
        <v>3924</v>
      </c>
      <c r="C1802">
        <v>5</v>
      </c>
      <c r="D1802" s="260">
        <v>46357</v>
      </c>
      <c r="E1802" s="260">
        <v>46364</v>
      </c>
      <c r="F1802">
        <v>16</v>
      </c>
      <c r="G1802" t="s">
        <v>353</v>
      </c>
    </row>
    <row r="1803" spans="1:7">
      <c r="A1803" t="s">
        <v>3925</v>
      </c>
      <c r="B1803" t="s">
        <v>3926</v>
      </c>
      <c r="C1803">
        <v>10</v>
      </c>
      <c r="D1803" s="260">
        <v>46146</v>
      </c>
      <c r="E1803" s="260">
        <v>46157</v>
      </c>
      <c r="F1803">
        <v>93</v>
      </c>
      <c r="G1803" t="s">
        <v>353</v>
      </c>
    </row>
    <row r="1804" spans="1:7">
      <c r="A1804" t="s">
        <v>3927</v>
      </c>
      <c r="B1804" t="s">
        <v>3928</v>
      </c>
      <c r="C1804">
        <v>5</v>
      </c>
      <c r="D1804" s="260">
        <v>46245</v>
      </c>
      <c r="E1804" s="260">
        <v>46252</v>
      </c>
      <c r="F1804">
        <v>93</v>
      </c>
      <c r="G1804" t="s">
        <v>353</v>
      </c>
    </row>
    <row r="1805" spans="1:7">
      <c r="A1805" t="s">
        <v>3929</v>
      </c>
      <c r="B1805" t="s">
        <v>3930</v>
      </c>
      <c r="C1805">
        <v>10</v>
      </c>
      <c r="D1805" s="260">
        <v>46196</v>
      </c>
      <c r="E1805" s="260">
        <v>46209</v>
      </c>
      <c r="F1805">
        <v>57</v>
      </c>
      <c r="G1805" t="s">
        <v>353</v>
      </c>
    </row>
    <row r="1806" spans="1:7">
      <c r="A1806" t="s">
        <v>3931</v>
      </c>
      <c r="B1806" t="s">
        <v>3932</v>
      </c>
      <c r="C1806">
        <v>5</v>
      </c>
      <c r="D1806" s="260">
        <v>46296</v>
      </c>
      <c r="E1806" s="260">
        <v>46302</v>
      </c>
      <c r="F1806">
        <v>57</v>
      </c>
      <c r="G1806" t="s">
        <v>353</v>
      </c>
    </row>
    <row r="1807" spans="1:7">
      <c r="A1807" t="s">
        <v>3933</v>
      </c>
      <c r="B1807" t="s">
        <v>3934</v>
      </c>
      <c r="C1807">
        <v>10</v>
      </c>
      <c r="D1807" s="260">
        <v>46169</v>
      </c>
      <c r="E1807" s="260">
        <v>46184</v>
      </c>
      <c r="F1807">
        <v>0</v>
      </c>
      <c r="G1807" t="s">
        <v>353</v>
      </c>
    </row>
    <row r="1808" spans="1:7">
      <c r="A1808" t="s">
        <v>3935</v>
      </c>
      <c r="B1808" t="s">
        <v>3936</v>
      </c>
      <c r="C1808">
        <v>5</v>
      </c>
      <c r="D1808" s="260">
        <v>46274</v>
      </c>
      <c r="E1808" s="260">
        <v>46280</v>
      </c>
      <c r="F1808">
        <v>0</v>
      </c>
      <c r="G1808" t="s">
        <v>353</v>
      </c>
    </row>
    <row r="1809" spans="1:7">
      <c r="A1809" t="s">
        <v>3937</v>
      </c>
      <c r="B1809" t="s">
        <v>3938</v>
      </c>
      <c r="C1809">
        <v>10</v>
      </c>
      <c r="D1809" s="260">
        <v>46273</v>
      </c>
      <c r="E1809" s="260">
        <v>46286</v>
      </c>
      <c r="F1809">
        <v>4</v>
      </c>
      <c r="G1809" t="s">
        <v>353</v>
      </c>
    </row>
    <row r="1810" spans="1:7">
      <c r="A1810" t="s">
        <v>3939</v>
      </c>
      <c r="B1810" t="s">
        <v>3940</v>
      </c>
      <c r="C1810">
        <v>5</v>
      </c>
      <c r="D1810" s="260">
        <v>46377</v>
      </c>
      <c r="E1810" s="260">
        <v>46384</v>
      </c>
      <c r="F1810">
        <v>4</v>
      </c>
      <c r="G1810" t="s">
        <v>353</v>
      </c>
    </row>
    <row r="1811" spans="1:7">
      <c r="A1811" t="s">
        <v>3941</v>
      </c>
      <c r="B1811" t="s">
        <v>3942</v>
      </c>
      <c r="C1811">
        <v>10</v>
      </c>
      <c r="D1811" s="260">
        <v>46259</v>
      </c>
      <c r="E1811" s="260">
        <v>46272</v>
      </c>
      <c r="F1811">
        <v>14</v>
      </c>
      <c r="G1811" t="s">
        <v>353</v>
      </c>
    </row>
    <row r="1812" spans="1:7">
      <c r="A1812" t="s">
        <v>3943</v>
      </c>
      <c r="B1812" t="s">
        <v>3944</v>
      </c>
      <c r="C1812">
        <v>5</v>
      </c>
      <c r="D1812" s="260">
        <v>46359</v>
      </c>
      <c r="E1812" s="260">
        <v>46367</v>
      </c>
      <c r="F1812">
        <v>14</v>
      </c>
      <c r="G1812" t="s">
        <v>353</v>
      </c>
    </row>
    <row r="1813" spans="1:7">
      <c r="A1813" t="s">
        <v>3945</v>
      </c>
      <c r="B1813" t="s">
        <v>3946</v>
      </c>
      <c r="C1813">
        <v>10</v>
      </c>
      <c r="D1813" s="260">
        <v>46272</v>
      </c>
      <c r="E1813" s="260">
        <v>46283</v>
      </c>
      <c r="F1813">
        <v>5</v>
      </c>
      <c r="G1813" t="s">
        <v>353</v>
      </c>
    </row>
    <row r="1814" spans="1:7">
      <c r="A1814" t="s">
        <v>3947</v>
      </c>
      <c r="B1814" t="s">
        <v>3948</v>
      </c>
      <c r="C1814">
        <v>5</v>
      </c>
      <c r="D1814" s="260">
        <v>46374</v>
      </c>
      <c r="E1814" s="260">
        <v>46380</v>
      </c>
      <c r="F1814">
        <v>5</v>
      </c>
      <c r="G1814" t="s">
        <v>353</v>
      </c>
    </row>
    <row r="1815" spans="1:7">
      <c r="A1815" t="s">
        <v>3949</v>
      </c>
      <c r="B1815" t="s">
        <v>3950</v>
      </c>
      <c r="C1815">
        <v>10</v>
      </c>
      <c r="D1815" s="260">
        <v>46272</v>
      </c>
      <c r="E1815" s="260">
        <v>46283</v>
      </c>
      <c r="F1815">
        <v>5</v>
      </c>
      <c r="G1815" t="s">
        <v>353</v>
      </c>
    </row>
    <row r="1816" spans="1:7">
      <c r="A1816" t="s">
        <v>3951</v>
      </c>
      <c r="B1816" t="s">
        <v>3952</v>
      </c>
      <c r="C1816">
        <v>5</v>
      </c>
      <c r="D1816" s="260">
        <v>46374</v>
      </c>
      <c r="E1816" s="260">
        <v>46380</v>
      </c>
      <c r="F1816">
        <v>5</v>
      </c>
      <c r="G1816" t="s">
        <v>353</v>
      </c>
    </row>
    <row r="1817" spans="1:7">
      <c r="A1817" t="s">
        <v>3953</v>
      </c>
      <c r="B1817" t="s">
        <v>3954</v>
      </c>
      <c r="C1817">
        <v>10</v>
      </c>
      <c r="D1817" s="260">
        <v>46272</v>
      </c>
      <c r="E1817" s="260">
        <v>46283</v>
      </c>
      <c r="F1817">
        <v>5</v>
      </c>
      <c r="G1817" t="s">
        <v>353</v>
      </c>
    </row>
    <row r="1818" spans="1:7">
      <c r="A1818" t="s">
        <v>3955</v>
      </c>
      <c r="B1818" t="s">
        <v>3956</v>
      </c>
      <c r="C1818">
        <v>5</v>
      </c>
      <c r="D1818" s="260">
        <v>46374</v>
      </c>
      <c r="E1818" s="260">
        <v>46380</v>
      </c>
      <c r="F1818">
        <v>5</v>
      </c>
      <c r="G1818" t="s">
        <v>353</v>
      </c>
    </row>
    <row r="1819" spans="1:7">
      <c r="A1819" t="s">
        <v>3957</v>
      </c>
      <c r="B1819" t="s">
        <v>3958</v>
      </c>
      <c r="C1819">
        <v>10</v>
      </c>
      <c r="D1819" s="260">
        <v>46272</v>
      </c>
      <c r="E1819" s="260">
        <v>46283</v>
      </c>
      <c r="F1819">
        <v>5</v>
      </c>
      <c r="G1819" t="s">
        <v>353</v>
      </c>
    </row>
    <row r="1820" spans="1:7">
      <c r="A1820" t="s">
        <v>3959</v>
      </c>
      <c r="B1820" t="s">
        <v>3960</v>
      </c>
      <c r="C1820">
        <v>5</v>
      </c>
      <c r="D1820" s="260">
        <v>46374</v>
      </c>
      <c r="E1820" s="260">
        <v>46380</v>
      </c>
      <c r="F1820">
        <v>5</v>
      </c>
      <c r="G1820" t="s">
        <v>353</v>
      </c>
    </row>
    <row r="1821" spans="1:7">
      <c r="A1821" t="s">
        <v>3961</v>
      </c>
      <c r="B1821" t="s">
        <v>3962</v>
      </c>
      <c r="C1821">
        <v>10</v>
      </c>
      <c r="D1821" s="260">
        <v>46272</v>
      </c>
      <c r="E1821" s="260">
        <v>46283</v>
      </c>
      <c r="F1821">
        <v>5</v>
      </c>
      <c r="G1821" t="s">
        <v>353</v>
      </c>
    </row>
    <row r="1822" spans="1:7">
      <c r="A1822" t="s">
        <v>3963</v>
      </c>
      <c r="B1822" t="s">
        <v>3964</v>
      </c>
      <c r="C1822">
        <v>5</v>
      </c>
      <c r="D1822" s="260">
        <v>46374</v>
      </c>
      <c r="E1822" s="260">
        <v>46380</v>
      </c>
      <c r="F1822">
        <v>5</v>
      </c>
      <c r="G1822" t="s">
        <v>353</v>
      </c>
    </row>
    <row r="1823" spans="1:7">
      <c r="A1823" t="s">
        <v>3965</v>
      </c>
      <c r="B1823" t="s">
        <v>3966</v>
      </c>
      <c r="C1823">
        <v>10</v>
      </c>
      <c r="D1823" s="260">
        <v>46272</v>
      </c>
      <c r="E1823" s="260">
        <v>46283</v>
      </c>
      <c r="F1823">
        <v>5</v>
      </c>
      <c r="G1823" t="s">
        <v>353</v>
      </c>
    </row>
    <row r="1824" spans="1:7">
      <c r="A1824" t="s">
        <v>3967</v>
      </c>
      <c r="B1824" t="s">
        <v>3968</v>
      </c>
      <c r="C1824">
        <v>5</v>
      </c>
      <c r="D1824" s="260">
        <v>46374</v>
      </c>
      <c r="E1824" s="260">
        <v>46380</v>
      </c>
      <c r="F1824">
        <v>5</v>
      </c>
      <c r="G1824" t="s">
        <v>353</v>
      </c>
    </row>
    <row r="1825" spans="1:7">
      <c r="A1825" t="s">
        <v>3969</v>
      </c>
      <c r="B1825" t="s">
        <v>3970</v>
      </c>
      <c r="C1825">
        <v>10</v>
      </c>
      <c r="D1825" s="260">
        <v>46272</v>
      </c>
      <c r="E1825" s="260">
        <v>46283</v>
      </c>
      <c r="F1825">
        <v>5</v>
      </c>
      <c r="G1825" t="s">
        <v>353</v>
      </c>
    </row>
    <row r="1826" spans="1:7">
      <c r="A1826" t="s">
        <v>3971</v>
      </c>
      <c r="B1826" t="s">
        <v>3972</v>
      </c>
      <c r="C1826">
        <v>5</v>
      </c>
      <c r="D1826" s="260">
        <v>46374</v>
      </c>
      <c r="E1826" s="260">
        <v>46380</v>
      </c>
      <c r="F1826">
        <v>5</v>
      </c>
      <c r="G1826" t="s">
        <v>353</v>
      </c>
    </row>
    <row r="1827" spans="1:7">
      <c r="A1827" t="s">
        <v>3973</v>
      </c>
      <c r="B1827" t="s">
        <v>3974</v>
      </c>
      <c r="C1827">
        <v>10</v>
      </c>
      <c r="D1827" s="260">
        <v>46272</v>
      </c>
      <c r="E1827" s="260">
        <v>46283</v>
      </c>
      <c r="F1827">
        <v>5</v>
      </c>
      <c r="G1827" t="s">
        <v>353</v>
      </c>
    </row>
    <row r="1828" spans="1:7">
      <c r="A1828" t="s">
        <v>3975</v>
      </c>
      <c r="B1828" t="s">
        <v>3976</v>
      </c>
      <c r="C1828">
        <v>5</v>
      </c>
      <c r="D1828" s="260">
        <v>46374</v>
      </c>
      <c r="E1828" s="260">
        <v>46380</v>
      </c>
      <c r="F1828">
        <v>5</v>
      </c>
      <c r="G1828" t="s">
        <v>353</v>
      </c>
    </row>
    <row r="1829" spans="1:7">
      <c r="A1829" t="s">
        <v>3977</v>
      </c>
      <c r="B1829" t="s">
        <v>3978</v>
      </c>
      <c r="C1829">
        <v>10</v>
      </c>
      <c r="D1829" s="260">
        <v>46272</v>
      </c>
      <c r="E1829" s="260">
        <v>46283</v>
      </c>
      <c r="F1829">
        <v>5</v>
      </c>
      <c r="G1829" t="s">
        <v>353</v>
      </c>
    </row>
    <row r="1830" spans="1:7">
      <c r="A1830" t="s">
        <v>3979</v>
      </c>
      <c r="B1830" t="s">
        <v>3980</v>
      </c>
      <c r="C1830">
        <v>5</v>
      </c>
      <c r="D1830" s="260">
        <v>46374</v>
      </c>
      <c r="E1830" s="260">
        <v>46380</v>
      </c>
      <c r="F1830">
        <v>5</v>
      </c>
      <c r="G1830" t="s">
        <v>353</v>
      </c>
    </row>
    <row r="1831" spans="1:7">
      <c r="A1831" t="s">
        <v>3981</v>
      </c>
      <c r="B1831" t="s">
        <v>3982</v>
      </c>
      <c r="C1831">
        <v>10</v>
      </c>
      <c r="D1831" s="260">
        <v>46230</v>
      </c>
      <c r="E1831" s="260">
        <v>46247</v>
      </c>
      <c r="F1831">
        <v>27</v>
      </c>
      <c r="G1831" t="s">
        <v>353</v>
      </c>
    </row>
    <row r="1832" spans="1:7">
      <c r="A1832" t="s">
        <v>3983</v>
      </c>
      <c r="B1832" t="s">
        <v>3984</v>
      </c>
      <c r="C1832">
        <v>5</v>
      </c>
      <c r="D1832" s="260">
        <v>46342</v>
      </c>
      <c r="E1832" s="260">
        <v>46346</v>
      </c>
      <c r="F1832">
        <v>27</v>
      </c>
      <c r="G1832" t="s">
        <v>353</v>
      </c>
    </row>
    <row r="1833" spans="1:7">
      <c r="A1833" t="s">
        <v>3985</v>
      </c>
      <c r="B1833" t="s">
        <v>3986</v>
      </c>
      <c r="C1833">
        <v>10</v>
      </c>
      <c r="D1833" s="260">
        <v>46230</v>
      </c>
      <c r="E1833" s="260">
        <v>46247</v>
      </c>
      <c r="F1833">
        <v>27</v>
      </c>
      <c r="G1833" t="s">
        <v>353</v>
      </c>
    </row>
    <row r="1834" spans="1:7">
      <c r="A1834" t="s">
        <v>3987</v>
      </c>
      <c r="B1834" t="s">
        <v>3988</v>
      </c>
      <c r="C1834">
        <v>5</v>
      </c>
      <c r="D1834" s="260">
        <v>46342</v>
      </c>
      <c r="E1834" s="260">
        <v>46346</v>
      </c>
      <c r="F1834">
        <v>27</v>
      </c>
      <c r="G1834" t="s">
        <v>353</v>
      </c>
    </row>
    <row r="1835" spans="1:7">
      <c r="A1835" t="s">
        <v>3989</v>
      </c>
      <c r="B1835" t="s">
        <v>3990</v>
      </c>
      <c r="C1835">
        <v>10</v>
      </c>
      <c r="D1835" s="260">
        <v>46273</v>
      </c>
      <c r="E1835" s="260">
        <v>46286</v>
      </c>
      <c r="F1835">
        <v>4</v>
      </c>
      <c r="G1835" t="s">
        <v>353</v>
      </c>
    </row>
    <row r="1836" spans="1:7">
      <c r="A1836" t="s">
        <v>3991</v>
      </c>
      <c r="B1836" t="s">
        <v>3992</v>
      </c>
      <c r="C1836">
        <v>5</v>
      </c>
      <c r="D1836" s="260">
        <v>46377</v>
      </c>
      <c r="E1836" s="260">
        <v>46384</v>
      </c>
      <c r="F1836">
        <v>4</v>
      </c>
      <c r="G1836" t="s">
        <v>353</v>
      </c>
    </row>
    <row r="1837" spans="1:7">
      <c r="A1837" t="s">
        <v>3993</v>
      </c>
      <c r="B1837" t="s">
        <v>3994</v>
      </c>
      <c r="C1837">
        <v>10</v>
      </c>
      <c r="D1837" s="260">
        <v>46272</v>
      </c>
      <c r="E1837" s="260">
        <v>46283</v>
      </c>
      <c r="F1837">
        <v>16</v>
      </c>
      <c r="G1837" t="s">
        <v>353</v>
      </c>
    </row>
    <row r="1838" spans="1:7">
      <c r="A1838" t="s">
        <v>3995</v>
      </c>
      <c r="B1838" t="s">
        <v>3996</v>
      </c>
      <c r="C1838">
        <v>5</v>
      </c>
      <c r="D1838" s="260">
        <v>46357</v>
      </c>
      <c r="E1838" s="260">
        <v>46364</v>
      </c>
      <c r="F1838">
        <v>16</v>
      </c>
      <c r="G1838" t="s">
        <v>353</v>
      </c>
    </row>
    <row r="1839" spans="1:7">
      <c r="A1839" t="s">
        <v>3997</v>
      </c>
      <c r="B1839" t="s">
        <v>3998</v>
      </c>
      <c r="C1839">
        <v>10</v>
      </c>
      <c r="D1839" s="260">
        <v>46272</v>
      </c>
      <c r="E1839" s="260">
        <v>46283</v>
      </c>
      <c r="F1839">
        <v>5</v>
      </c>
      <c r="G1839" t="s">
        <v>353</v>
      </c>
    </row>
    <row r="1840" spans="1:7">
      <c r="A1840" t="s">
        <v>3999</v>
      </c>
      <c r="B1840" t="s">
        <v>4000</v>
      </c>
      <c r="C1840">
        <v>5</v>
      </c>
      <c r="D1840" s="260">
        <v>46374</v>
      </c>
      <c r="E1840" s="260">
        <v>46380</v>
      </c>
      <c r="F1840">
        <v>5</v>
      </c>
      <c r="G1840" t="s">
        <v>353</v>
      </c>
    </row>
    <row r="1841" spans="1:7">
      <c r="A1841" t="s">
        <v>4001</v>
      </c>
      <c r="B1841" t="s">
        <v>4002</v>
      </c>
      <c r="C1841">
        <v>10</v>
      </c>
      <c r="D1841" s="260">
        <v>46272</v>
      </c>
      <c r="E1841" s="260">
        <v>46283</v>
      </c>
      <c r="F1841">
        <v>5</v>
      </c>
      <c r="G1841" t="s">
        <v>353</v>
      </c>
    </row>
    <row r="1842" spans="1:7">
      <c r="A1842" t="s">
        <v>4003</v>
      </c>
      <c r="B1842" t="s">
        <v>4004</v>
      </c>
      <c r="C1842">
        <v>5</v>
      </c>
      <c r="D1842" s="260">
        <v>46374</v>
      </c>
      <c r="E1842" s="260">
        <v>46380</v>
      </c>
      <c r="F1842">
        <v>5</v>
      </c>
      <c r="G1842" t="s">
        <v>353</v>
      </c>
    </row>
    <row r="1843" spans="1:7">
      <c r="A1843" t="s">
        <v>4005</v>
      </c>
      <c r="B1843" t="s">
        <v>4006</v>
      </c>
      <c r="C1843">
        <v>10</v>
      </c>
      <c r="D1843" s="260">
        <v>46272</v>
      </c>
      <c r="E1843" s="260">
        <v>46283</v>
      </c>
      <c r="F1843">
        <v>5</v>
      </c>
      <c r="G1843" t="s">
        <v>353</v>
      </c>
    </row>
    <row r="1844" spans="1:7">
      <c r="A1844" t="s">
        <v>4007</v>
      </c>
      <c r="B1844" t="s">
        <v>4008</v>
      </c>
      <c r="C1844">
        <v>5</v>
      </c>
      <c r="D1844" s="260">
        <v>46374</v>
      </c>
      <c r="E1844" s="260">
        <v>46380</v>
      </c>
      <c r="F1844">
        <v>5</v>
      </c>
      <c r="G1844" t="s">
        <v>353</v>
      </c>
    </row>
    <row r="1845" spans="1:7">
      <c r="A1845" t="s">
        <v>4009</v>
      </c>
      <c r="B1845" t="s">
        <v>4010</v>
      </c>
      <c r="C1845">
        <v>10</v>
      </c>
      <c r="D1845" s="260">
        <v>46272</v>
      </c>
      <c r="E1845" s="260">
        <v>46283</v>
      </c>
      <c r="F1845">
        <v>5</v>
      </c>
      <c r="G1845" t="s">
        <v>353</v>
      </c>
    </row>
    <row r="1846" spans="1:7">
      <c r="A1846" t="s">
        <v>4011</v>
      </c>
      <c r="B1846" t="s">
        <v>4012</v>
      </c>
      <c r="C1846">
        <v>5</v>
      </c>
      <c r="D1846" s="260">
        <v>46374</v>
      </c>
      <c r="E1846" s="260">
        <v>46380</v>
      </c>
      <c r="F1846">
        <v>5</v>
      </c>
      <c r="G1846" t="s">
        <v>353</v>
      </c>
    </row>
    <row r="1847" spans="1:7">
      <c r="A1847" t="s">
        <v>4013</v>
      </c>
      <c r="B1847" t="s">
        <v>4014</v>
      </c>
      <c r="C1847">
        <v>10</v>
      </c>
      <c r="D1847" s="260">
        <v>46282</v>
      </c>
      <c r="E1847" s="260">
        <v>46295</v>
      </c>
      <c r="F1847">
        <v>7</v>
      </c>
      <c r="G1847" t="s">
        <v>353</v>
      </c>
    </row>
    <row r="1848" spans="1:7">
      <c r="A1848" t="s">
        <v>4015</v>
      </c>
      <c r="B1848" t="s">
        <v>4016</v>
      </c>
      <c r="C1848">
        <v>5</v>
      </c>
      <c r="D1848" s="260">
        <v>46372</v>
      </c>
      <c r="E1848" s="260">
        <v>46378</v>
      </c>
      <c r="F1848">
        <v>7</v>
      </c>
      <c r="G1848" t="s">
        <v>353</v>
      </c>
    </row>
    <row r="1849" spans="1:7">
      <c r="A1849" t="s">
        <v>4017</v>
      </c>
      <c r="C1849">
        <v>124</v>
      </c>
      <c r="D1849" s="260">
        <v>46177</v>
      </c>
      <c r="E1849" s="260">
        <v>46358</v>
      </c>
      <c r="F1849">
        <v>4</v>
      </c>
      <c r="G1849" t="s">
        <v>353</v>
      </c>
    </row>
    <row r="1850" spans="1:7">
      <c r="A1850" t="s">
        <v>4018</v>
      </c>
      <c r="B1850" t="s">
        <v>4019</v>
      </c>
      <c r="C1850">
        <v>20</v>
      </c>
      <c r="D1850" s="260">
        <v>46182</v>
      </c>
      <c r="E1850" s="260">
        <v>46209</v>
      </c>
      <c r="F1850">
        <v>90</v>
      </c>
      <c r="G1850" t="s">
        <v>353</v>
      </c>
    </row>
    <row r="1851" spans="1:7">
      <c r="A1851" t="s">
        <v>4020</v>
      </c>
      <c r="B1851" t="s">
        <v>4021</v>
      </c>
      <c r="C1851">
        <v>5</v>
      </c>
      <c r="D1851" s="260">
        <v>46224</v>
      </c>
      <c r="E1851" s="260">
        <v>46230</v>
      </c>
      <c r="F1851">
        <v>90</v>
      </c>
      <c r="G1851" t="s">
        <v>353</v>
      </c>
    </row>
    <row r="1852" spans="1:7">
      <c r="A1852" t="s">
        <v>4022</v>
      </c>
      <c r="B1852" t="s">
        <v>4023</v>
      </c>
      <c r="C1852">
        <v>20</v>
      </c>
      <c r="D1852" s="260">
        <v>46183</v>
      </c>
      <c r="E1852" s="260">
        <v>46210</v>
      </c>
      <c r="F1852">
        <v>0</v>
      </c>
      <c r="G1852" t="s">
        <v>353</v>
      </c>
    </row>
    <row r="1853" spans="1:7">
      <c r="A1853" t="s">
        <v>4024</v>
      </c>
      <c r="B1853" t="s">
        <v>4025</v>
      </c>
      <c r="C1853">
        <v>5</v>
      </c>
      <c r="D1853" s="260">
        <v>46225</v>
      </c>
      <c r="E1853" s="260">
        <v>46234</v>
      </c>
      <c r="F1853">
        <v>0</v>
      </c>
      <c r="G1853" t="s">
        <v>353</v>
      </c>
    </row>
    <row r="1854" spans="1:7">
      <c r="A1854" t="s">
        <v>4026</v>
      </c>
      <c r="B1854" t="s">
        <v>4027</v>
      </c>
      <c r="C1854">
        <v>20</v>
      </c>
      <c r="D1854" s="260">
        <v>46178</v>
      </c>
      <c r="E1854" s="260">
        <v>46205</v>
      </c>
      <c r="F1854">
        <v>42</v>
      </c>
      <c r="G1854" t="s">
        <v>353</v>
      </c>
    </row>
    <row r="1855" spans="1:7">
      <c r="A1855" t="s">
        <v>4028</v>
      </c>
      <c r="B1855" t="s">
        <v>4029</v>
      </c>
      <c r="C1855">
        <v>5</v>
      </c>
      <c r="D1855" s="260">
        <v>46220</v>
      </c>
      <c r="E1855" s="260">
        <v>46226</v>
      </c>
      <c r="F1855">
        <v>42</v>
      </c>
      <c r="G1855" t="s">
        <v>353</v>
      </c>
    </row>
    <row r="1856" spans="1:7">
      <c r="A1856" t="s">
        <v>4030</v>
      </c>
      <c r="B1856" t="s">
        <v>4031</v>
      </c>
      <c r="C1856">
        <v>18</v>
      </c>
      <c r="D1856" s="260">
        <v>46289</v>
      </c>
      <c r="E1856" s="260">
        <v>46315</v>
      </c>
      <c r="F1856">
        <v>19</v>
      </c>
      <c r="G1856" t="s">
        <v>353</v>
      </c>
    </row>
    <row r="1857" spans="1:7">
      <c r="A1857" t="s">
        <v>4032</v>
      </c>
      <c r="B1857" t="s">
        <v>4033</v>
      </c>
      <c r="C1857">
        <v>5</v>
      </c>
      <c r="D1857" s="260">
        <v>46331</v>
      </c>
      <c r="E1857" s="260">
        <v>46337</v>
      </c>
      <c r="F1857">
        <v>19</v>
      </c>
      <c r="G1857" t="s">
        <v>353</v>
      </c>
    </row>
    <row r="1858" spans="1:7">
      <c r="A1858" t="s">
        <v>4034</v>
      </c>
      <c r="B1858" t="s">
        <v>4035</v>
      </c>
      <c r="C1858">
        <v>18</v>
      </c>
      <c r="D1858" s="260">
        <v>46294</v>
      </c>
      <c r="E1858" s="260">
        <v>46321</v>
      </c>
      <c r="F1858">
        <v>16</v>
      </c>
      <c r="G1858" t="s">
        <v>353</v>
      </c>
    </row>
    <row r="1859" spans="1:7">
      <c r="A1859" t="s">
        <v>4036</v>
      </c>
      <c r="B1859" t="s">
        <v>4037</v>
      </c>
      <c r="C1859">
        <v>5</v>
      </c>
      <c r="D1859" s="260">
        <v>46336</v>
      </c>
      <c r="E1859" s="260">
        <v>46342</v>
      </c>
      <c r="F1859">
        <v>16</v>
      </c>
      <c r="G1859" t="s">
        <v>353</v>
      </c>
    </row>
    <row r="1860" spans="1:7">
      <c r="A1860" t="s">
        <v>4038</v>
      </c>
      <c r="B1860" t="s">
        <v>4039</v>
      </c>
      <c r="C1860">
        <v>20</v>
      </c>
      <c r="D1860" s="260">
        <v>46177</v>
      </c>
      <c r="E1860" s="260">
        <v>46204</v>
      </c>
      <c r="F1860">
        <v>93</v>
      </c>
      <c r="G1860" t="s">
        <v>353</v>
      </c>
    </row>
    <row r="1861" spans="1:7">
      <c r="A1861" t="s">
        <v>4040</v>
      </c>
      <c r="B1861" t="s">
        <v>4041</v>
      </c>
      <c r="C1861">
        <v>5</v>
      </c>
      <c r="D1861" s="260">
        <v>46219</v>
      </c>
      <c r="E1861" s="260">
        <v>46225</v>
      </c>
      <c r="F1861">
        <v>93</v>
      </c>
      <c r="G1861" t="s">
        <v>353</v>
      </c>
    </row>
    <row r="1862" spans="1:7">
      <c r="A1862" t="s">
        <v>4042</v>
      </c>
      <c r="B1862" t="s">
        <v>4043</v>
      </c>
      <c r="C1862">
        <v>19</v>
      </c>
      <c r="D1862" s="260">
        <v>46230</v>
      </c>
      <c r="E1862" s="260">
        <v>46260</v>
      </c>
      <c r="F1862">
        <v>57</v>
      </c>
      <c r="G1862" t="s">
        <v>353</v>
      </c>
    </row>
    <row r="1863" spans="1:7">
      <c r="A1863" t="s">
        <v>4044</v>
      </c>
      <c r="B1863" t="s">
        <v>4045</v>
      </c>
      <c r="C1863">
        <v>5</v>
      </c>
      <c r="D1863" s="260">
        <v>46275</v>
      </c>
      <c r="E1863" s="260">
        <v>46281</v>
      </c>
      <c r="F1863">
        <v>57</v>
      </c>
      <c r="G1863" t="s">
        <v>353</v>
      </c>
    </row>
    <row r="1864" spans="1:7">
      <c r="A1864" t="s">
        <v>4046</v>
      </c>
      <c r="B1864" t="s">
        <v>4047</v>
      </c>
      <c r="C1864">
        <v>17</v>
      </c>
      <c r="D1864" s="260">
        <v>46210</v>
      </c>
      <c r="E1864" s="260">
        <v>46237</v>
      </c>
      <c r="F1864">
        <v>0</v>
      </c>
      <c r="G1864" t="s">
        <v>353</v>
      </c>
    </row>
    <row r="1865" spans="1:7">
      <c r="A1865" t="s">
        <v>4048</v>
      </c>
      <c r="B1865" t="s">
        <v>4049</v>
      </c>
      <c r="C1865">
        <v>5</v>
      </c>
      <c r="D1865" s="260">
        <v>46253</v>
      </c>
      <c r="E1865" s="260">
        <v>46259</v>
      </c>
      <c r="F1865">
        <v>0</v>
      </c>
      <c r="G1865" t="s">
        <v>353</v>
      </c>
    </row>
    <row r="1866" spans="1:7">
      <c r="A1866" t="s">
        <v>4050</v>
      </c>
      <c r="B1866" t="s">
        <v>4051</v>
      </c>
      <c r="C1866">
        <v>19</v>
      </c>
      <c r="D1866" s="260">
        <v>46310</v>
      </c>
      <c r="E1866" s="260">
        <v>46337</v>
      </c>
      <c r="F1866">
        <v>4</v>
      </c>
      <c r="G1866" t="s">
        <v>353</v>
      </c>
    </row>
    <row r="1867" spans="1:7">
      <c r="A1867" t="s">
        <v>4052</v>
      </c>
      <c r="B1867" t="s">
        <v>4053</v>
      </c>
      <c r="C1867">
        <v>5</v>
      </c>
      <c r="D1867" s="260">
        <v>46352</v>
      </c>
      <c r="E1867" s="260">
        <v>46358</v>
      </c>
      <c r="F1867">
        <v>4</v>
      </c>
      <c r="G1867" t="s">
        <v>353</v>
      </c>
    </row>
    <row r="1868" spans="1:7">
      <c r="A1868" t="s">
        <v>4054</v>
      </c>
      <c r="B1868" t="s">
        <v>4055</v>
      </c>
      <c r="C1868">
        <v>19</v>
      </c>
      <c r="D1868" s="260">
        <v>46295</v>
      </c>
      <c r="E1868" s="260">
        <v>46323</v>
      </c>
      <c r="F1868">
        <v>14</v>
      </c>
      <c r="G1868" t="s">
        <v>353</v>
      </c>
    </row>
    <row r="1869" spans="1:7">
      <c r="A1869" t="s">
        <v>4056</v>
      </c>
      <c r="B1869" t="s">
        <v>4057</v>
      </c>
      <c r="C1869">
        <v>5</v>
      </c>
      <c r="D1869" s="260">
        <v>46338</v>
      </c>
      <c r="E1869" s="260">
        <v>46344</v>
      </c>
      <c r="F1869">
        <v>14</v>
      </c>
      <c r="G1869" t="s">
        <v>353</v>
      </c>
    </row>
    <row r="1870" spans="1:7">
      <c r="A1870" t="s">
        <v>4058</v>
      </c>
      <c r="B1870" t="s">
        <v>4059</v>
      </c>
      <c r="C1870">
        <v>19</v>
      </c>
      <c r="D1870" s="260">
        <v>46309</v>
      </c>
      <c r="E1870" s="260">
        <v>46336</v>
      </c>
      <c r="F1870">
        <v>5</v>
      </c>
      <c r="G1870" t="s">
        <v>353</v>
      </c>
    </row>
    <row r="1871" spans="1:7">
      <c r="A1871" t="s">
        <v>4060</v>
      </c>
      <c r="B1871" t="s">
        <v>4061</v>
      </c>
      <c r="C1871">
        <v>5</v>
      </c>
      <c r="D1871" s="260">
        <v>46351</v>
      </c>
      <c r="E1871" s="260">
        <v>46357</v>
      </c>
      <c r="F1871">
        <v>5</v>
      </c>
      <c r="G1871" t="s">
        <v>353</v>
      </c>
    </row>
    <row r="1872" spans="1:7">
      <c r="A1872" t="s">
        <v>4062</v>
      </c>
      <c r="B1872" t="s">
        <v>4063</v>
      </c>
      <c r="C1872">
        <v>19</v>
      </c>
      <c r="D1872" s="260">
        <v>46309</v>
      </c>
      <c r="E1872" s="260">
        <v>46336</v>
      </c>
      <c r="F1872">
        <v>5</v>
      </c>
      <c r="G1872" t="s">
        <v>353</v>
      </c>
    </row>
    <row r="1873" spans="1:7">
      <c r="A1873" t="s">
        <v>4064</v>
      </c>
      <c r="B1873" t="s">
        <v>4065</v>
      </c>
      <c r="C1873">
        <v>5</v>
      </c>
      <c r="D1873" s="260">
        <v>46351</v>
      </c>
      <c r="E1873" s="260">
        <v>46357</v>
      </c>
      <c r="F1873">
        <v>5</v>
      </c>
      <c r="G1873" t="s">
        <v>353</v>
      </c>
    </row>
    <row r="1874" spans="1:7">
      <c r="A1874" t="s">
        <v>4066</v>
      </c>
      <c r="B1874" t="s">
        <v>4067</v>
      </c>
      <c r="C1874">
        <v>19</v>
      </c>
      <c r="D1874" s="260">
        <v>46309</v>
      </c>
      <c r="E1874" s="260">
        <v>46336</v>
      </c>
      <c r="F1874">
        <v>5</v>
      </c>
      <c r="G1874" t="s">
        <v>353</v>
      </c>
    </row>
    <row r="1875" spans="1:7">
      <c r="A1875" t="s">
        <v>4068</v>
      </c>
      <c r="B1875" t="s">
        <v>4069</v>
      </c>
      <c r="C1875">
        <v>5</v>
      </c>
      <c r="D1875" s="260">
        <v>46351</v>
      </c>
      <c r="E1875" s="260">
        <v>46357</v>
      </c>
      <c r="F1875">
        <v>5</v>
      </c>
      <c r="G1875" t="s">
        <v>353</v>
      </c>
    </row>
    <row r="1876" spans="1:7">
      <c r="A1876" t="s">
        <v>4070</v>
      </c>
      <c r="B1876" t="s">
        <v>4071</v>
      </c>
      <c r="C1876">
        <v>19</v>
      </c>
      <c r="D1876" s="260">
        <v>46309</v>
      </c>
      <c r="E1876" s="260">
        <v>46336</v>
      </c>
      <c r="F1876">
        <v>5</v>
      </c>
      <c r="G1876" t="s">
        <v>353</v>
      </c>
    </row>
    <row r="1877" spans="1:7">
      <c r="A1877" t="s">
        <v>4072</v>
      </c>
      <c r="B1877" t="s">
        <v>4073</v>
      </c>
      <c r="C1877">
        <v>5</v>
      </c>
      <c r="D1877" s="260">
        <v>46351</v>
      </c>
      <c r="E1877" s="260">
        <v>46357</v>
      </c>
      <c r="F1877">
        <v>5</v>
      </c>
      <c r="G1877" t="s">
        <v>353</v>
      </c>
    </row>
    <row r="1878" spans="1:7">
      <c r="A1878" t="s">
        <v>4074</v>
      </c>
      <c r="B1878" t="s">
        <v>4075</v>
      </c>
      <c r="C1878">
        <v>19</v>
      </c>
      <c r="D1878" s="260">
        <v>46309</v>
      </c>
      <c r="E1878" s="260">
        <v>46336</v>
      </c>
      <c r="F1878">
        <v>5</v>
      </c>
      <c r="G1878" t="s">
        <v>353</v>
      </c>
    </row>
    <row r="1879" spans="1:7">
      <c r="A1879" t="s">
        <v>4076</v>
      </c>
      <c r="B1879" t="s">
        <v>4077</v>
      </c>
      <c r="C1879">
        <v>5</v>
      </c>
      <c r="D1879" s="260">
        <v>46351</v>
      </c>
      <c r="E1879" s="260">
        <v>46357</v>
      </c>
      <c r="F1879">
        <v>5</v>
      </c>
      <c r="G1879" t="s">
        <v>353</v>
      </c>
    </row>
    <row r="1880" spans="1:7">
      <c r="A1880" t="s">
        <v>4078</v>
      </c>
      <c r="B1880" t="s">
        <v>4079</v>
      </c>
      <c r="C1880">
        <v>19</v>
      </c>
      <c r="D1880" s="260">
        <v>46309</v>
      </c>
      <c r="E1880" s="260">
        <v>46336</v>
      </c>
      <c r="F1880">
        <v>5</v>
      </c>
      <c r="G1880" t="s">
        <v>353</v>
      </c>
    </row>
    <row r="1881" spans="1:7">
      <c r="A1881" t="s">
        <v>4080</v>
      </c>
      <c r="B1881" t="s">
        <v>4081</v>
      </c>
      <c r="C1881">
        <v>5</v>
      </c>
      <c r="D1881" s="260">
        <v>46351</v>
      </c>
      <c r="E1881" s="260">
        <v>46357</v>
      </c>
      <c r="F1881">
        <v>5</v>
      </c>
      <c r="G1881" t="s">
        <v>353</v>
      </c>
    </row>
    <row r="1882" spans="1:7">
      <c r="A1882" t="s">
        <v>4082</v>
      </c>
      <c r="B1882" t="s">
        <v>4083</v>
      </c>
      <c r="C1882">
        <v>19</v>
      </c>
      <c r="D1882" s="260">
        <v>46309</v>
      </c>
      <c r="E1882" s="260">
        <v>46336</v>
      </c>
      <c r="F1882">
        <v>5</v>
      </c>
      <c r="G1882" t="s">
        <v>353</v>
      </c>
    </row>
    <row r="1883" spans="1:7">
      <c r="A1883" t="s">
        <v>4084</v>
      </c>
      <c r="B1883" t="s">
        <v>4085</v>
      </c>
      <c r="C1883">
        <v>5</v>
      </c>
      <c r="D1883" s="260">
        <v>46351</v>
      </c>
      <c r="E1883" s="260">
        <v>46357</v>
      </c>
      <c r="F1883">
        <v>5</v>
      </c>
      <c r="G1883" t="s">
        <v>353</v>
      </c>
    </row>
    <row r="1884" spans="1:7">
      <c r="A1884" t="s">
        <v>4086</v>
      </c>
      <c r="B1884" t="s">
        <v>4087</v>
      </c>
      <c r="C1884">
        <v>19</v>
      </c>
      <c r="D1884" s="260">
        <v>46309</v>
      </c>
      <c r="E1884" s="260">
        <v>46336</v>
      </c>
      <c r="F1884">
        <v>5</v>
      </c>
      <c r="G1884" t="s">
        <v>353</v>
      </c>
    </row>
    <row r="1885" spans="1:7">
      <c r="A1885" t="s">
        <v>4088</v>
      </c>
      <c r="B1885" t="s">
        <v>4089</v>
      </c>
      <c r="C1885">
        <v>5</v>
      </c>
      <c r="D1885" s="260">
        <v>46351</v>
      </c>
      <c r="E1885" s="260">
        <v>46357</v>
      </c>
      <c r="F1885">
        <v>5</v>
      </c>
      <c r="G1885" t="s">
        <v>353</v>
      </c>
    </row>
    <row r="1886" spans="1:7">
      <c r="A1886" t="s">
        <v>4090</v>
      </c>
      <c r="B1886" t="s">
        <v>4091</v>
      </c>
      <c r="C1886">
        <v>19</v>
      </c>
      <c r="D1886" s="260">
        <v>46309</v>
      </c>
      <c r="E1886" s="260">
        <v>46336</v>
      </c>
      <c r="F1886">
        <v>5</v>
      </c>
      <c r="G1886" t="s">
        <v>353</v>
      </c>
    </row>
    <row r="1887" spans="1:7">
      <c r="A1887" t="s">
        <v>4092</v>
      </c>
      <c r="B1887" t="s">
        <v>4093</v>
      </c>
      <c r="C1887">
        <v>5</v>
      </c>
      <c r="D1887" s="260">
        <v>46351</v>
      </c>
      <c r="E1887" s="260">
        <v>46357</v>
      </c>
      <c r="F1887">
        <v>5</v>
      </c>
      <c r="G1887" t="s">
        <v>353</v>
      </c>
    </row>
    <row r="1888" spans="1:7">
      <c r="A1888" t="s">
        <v>4094</v>
      </c>
      <c r="B1888" t="s">
        <v>4095</v>
      </c>
      <c r="C1888">
        <v>20</v>
      </c>
      <c r="D1888" s="260">
        <v>46275</v>
      </c>
      <c r="E1888" s="260">
        <v>46302</v>
      </c>
      <c r="F1888">
        <v>27</v>
      </c>
      <c r="G1888" t="s">
        <v>353</v>
      </c>
    </row>
    <row r="1889" spans="1:7">
      <c r="A1889" t="s">
        <v>4096</v>
      </c>
      <c r="B1889" t="s">
        <v>4097</v>
      </c>
      <c r="C1889">
        <v>5</v>
      </c>
      <c r="D1889" s="260">
        <v>46321</v>
      </c>
      <c r="E1889" s="260">
        <v>46325</v>
      </c>
      <c r="F1889">
        <v>27</v>
      </c>
      <c r="G1889" t="s">
        <v>353</v>
      </c>
    </row>
    <row r="1890" spans="1:7">
      <c r="A1890" t="s">
        <v>4098</v>
      </c>
      <c r="B1890" t="s">
        <v>4099</v>
      </c>
      <c r="C1890">
        <v>20</v>
      </c>
      <c r="D1890" s="260">
        <v>46275</v>
      </c>
      <c r="E1890" s="260">
        <v>46302</v>
      </c>
      <c r="F1890">
        <v>27</v>
      </c>
      <c r="G1890" t="s">
        <v>353</v>
      </c>
    </row>
    <row r="1891" spans="1:7">
      <c r="A1891" t="s">
        <v>4100</v>
      </c>
      <c r="B1891" t="s">
        <v>4101</v>
      </c>
      <c r="C1891">
        <v>5</v>
      </c>
      <c r="D1891" s="260">
        <v>46321</v>
      </c>
      <c r="E1891" s="260">
        <v>46325</v>
      </c>
      <c r="F1891">
        <v>27</v>
      </c>
      <c r="G1891" t="s">
        <v>353</v>
      </c>
    </row>
    <row r="1892" spans="1:7">
      <c r="A1892" t="s">
        <v>4102</v>
      </c>
      <c r="B1892" t="s">
        <v>4103</v>
      </c>
      <c r="C1892">
        <v>19</v>
      </c>
      <c r="D1892" s="260">
        <v>46310</v>
      </c>
      <c r="E1892" s="260">
        <v>46337</v>
      </c>
      <c r="F1892">
        <v>4</v>
      </c>
      <c r="G1892" t="s">
        <v>353</v>
      </c>
    </row>
    <row r="1893" spans="1:7">
      <c r="A1893" t="s">
        <v>4104</v>
      </c>
      <c r="B1893" t="s">
        <v>4105</v>
      </c>
      <c r="C1893">
        <v>5</v>
      </c>
      <c r="D1893" s="260">
        <v>46352</v>
      </c>
      <c r="E1893" s="260">
        <v>46358</v>
      </c>
      <c r="F1893">
        <v>4</v>
      </c>
      <c r="G1893" t="s">
        <v>353</v>
      </c>
    </row>
    <row r="1894" spans="1:7">
      <c r="A1894" t="s">
        <v>4106</v>
      </c>
      <c r="B1894" t="s">
        <v>4107</v>
      </c>
      <c r="C1894">
        <v>20</v>
      </c>
      <c r="D1894" s="260">
        <v>46301</v>
      </c>
      <c r="E1894" s="260">
        <v>46330</v>
      </c>
      <c r="F1894">
        <v>16</v>
      </c>
      <c r="G1894" t="s">
        <v>353</v>
      </c>
    </row>
    <row r="1895" spans="1:7">
      <c r="A1895" t="s">
        <v>4108</v>
      </c>
      <c r="B1895" t="s">
        <v>4109</v>
      </c>
      <c r="C1895">
        <v>3</v>
      </c>
      <c r="D1895" s="260">
        <v>46338</v>
      </c>
      <c r="E1895" s="260">
        <v>46342</v>
      </c>
      <c r="F1895">
        <v>16</v>
      </c>
      <c r="G1895" t="s">
        <v>353</v>
      </c>
    </row>
    <row r="1896" spans="1:7">
      <c r="A1896" t="s">
        <v>4110</v>
      </c>
      <c r="B1896" t="s">
        <v>4111</v>
      </c>
      <c r="C1896">
        <v>19</v>
      </c>
      <c r="D1896" s="260">
        <v>46309</v>
      </c>
      <c r="E1896" s="260">
        <v>46336</v>
      </c>
      <c r="F1896">
        <v>5</v>
      </c>
      <c r="G1896" t="s">
        <v>353</v>
      </c>
    </row>
    <row r="1897" spans="1:7">
      <c r="A1897" t="s">
        <v>4112</v>
      </c>
      <c r="B1897" t="s">
        <v>4113</v>
      </c>
      <c r="C1897">
        <v>5</v>
      </c>
      <c r="D1897" s="260">
        <v>46351</v>
      </c>
      <c r="E1897" s="260">
        <v>46357</v>
      </c>
      <c r="F1897">
        <v>5</v>
      </c>
      <c r="G1897" t="s">
        <v>353</v>
      </c>
    </row>
    <row r="1898" spans="1:7">
      <c r="A1898" t="s">
        <v>4114</v>
      </c>
      <c r="B1898" t="s">
        <v>4115</v>
      </c>
      <c r="C1898">
        <v>19</v>
      </c>
      <c r="D1898" s="260">
        <v>46309</v>
      </c>
      <c r="E1898" s="260">
        <v>46336</v>
      </c>
      <c r="F1898">
        <v>5</v>
      </c>
      <c r="G1898" t="s">
        <v>353</v>
      </c>
    </row>
    <row r="1899" spans="1:7">
      <c r="A1899" t="s">
        <v>4116</v>
      </c>
      <c r="B1899" t="s">
        <v>4117</v>
      </c>
      <c r="C1899">
        <v>5</v>
      </c>
      <c r="D1899" s="260">
        <v>46351</v>
      </c>
      <c r="E1899" s="260">
        <v>46357</v>
      </c>
      <c r="F1899">
        <v>5</v>
      </c>
      <c r="G1899" t="s">
        <v>353</v>
      </c>
    </row>
    <row r="1900" spans="1:7">
      <c r="A1900" t="s">
        <v>4118</v>
      </c>
      <c r="B1900" t="s">
        <v>4119</v>
      </c>
      <c r="C1900">
        <v>19</v>
      </c>
      <c r="D1900" s="260">
        <v>46309</v>
      </c>
      <c r="E1900" s="260">
        <v>46336</v>
      </c>
      <c r="F1900">
        <v>5</v>
      </c>
      <c r="G1900" t="s">
        <v>353</v>
      </c>
    </row>
    <row r="1901" spans="1:7">
      <c r="A1901" t="s">
        <v>4120</v>
      </c>
      <c r="B1901" t="s">
        <v>4121</v>
      </c>
      <c r="C1901">
        <v>5</v>
      </c>
      <c r="D1901" s="260">
        <v>46351</v>
      </c>
      <c r="E1901" s="260">
        <v>46357</v>
      </c>
      <c r="F1901">
        <v>5</v>
      </c>
      <c r="G1901" t="s">
        <v>353</v>
      </c>
    </row>
    <row r="1902" spans="1:7">
      <c r="A1902" t="s">
        <v>4122</v>
      </c>
      <c r="B1902" t="s">
        <v>4123</v>
      </c>
      <c r="C1902">
        <v>19</v>
      </c>
      <c r="D1902" s="260">
        <v>46309</v>
      </c>
      <c r="E1902" s="260">
        <v>46336</v>
      </c>
      <c r="F1902">
        <v>5</v>
      </c>
      <c r="G1902" t="s">
        <v>353</v>
      </c>
    </row>
    <row r="1903" spans="1:7">
      <c r="A1903" t="s">
        <v>4124</v>
      </c>
      <c r="B1903" t="s">
        <v>4125</v>
      </c>
      <c r="C1903">
        <v>5</v>
      </c>
      <c r="D1903" s="260">
        <v>46351</v>
      </c>
      <c r="E1903" s="260">
        <v>46357</v>
      </c>
      <c r="F1903">
        <v>5</v>
      </c>
      <c r="G1903" t="s">
        <v>353</v>
      </c>
    </row>
    <row r="1904" spans="1:7">
      <c r="A1904" t="s">
        <v>4126</v>
      </c>
      <c r="B1904" t="s">
        <v>4127</v>
      </c>
      <c r="C1904">
        <v>15</v>
      </c>
      <c r="D1904" s="260">
        <v>46311</v>
      </c>
      <c r="E1904" s="260">
        <v>46332</v>
      </c>
      <c r="F1904">
        <v>7</v>
      </c>
      <c r="G1904" t="s">
        <v>353</v>
      </c>
    </row>
    <row r="1905" spans="1:7">
      <c r="A1905" t="s">
        <v>4128</v>
      </c>
      <c r="B1905" t="s">
        <v>4129</v>
      </c>
      <c r="C1905">
        <v>5</v>
      </c>
      <c r="D1905" s="260">
        <v>46349</v>
      </c>
      <c r="E1905" s="260">
        <v>46353</v>
      </c>
      <c r="F1905">
        <v>7</v>
      </c>
      <c r="G1905" t="s">
        <v>353</v>
      </c>
    </row>
    <row r="1906" spans="1:7">
      <c r="A1906" t="s">
        <v>4130</v>
      </c>
      <c r="C1906">
        <v>180</v>
      </c>
      <c r="D1906" s="260">
        <v>46106</v>
      </c>
      <c r="E1906" s="260">
        <v>46378</v>
      </c>
      <c r="F1906">
        <v>7</v>
      </c>
      <c r="G1906" t="s">
        <v>353</v>
      </c>
    </row>
    <row r="1907" spans="1:7">
      <c r="A1907" t="s">
        <v>4131</v>
      </c>
      <c r="B1907" t="s">
        <v>4132</v>
      </c>
      <c r="C1907">
        <v>10</v>
      </c>
      <c r="D1907" s="260">
        <v>46106</v>
      </c>
      <c r="E1907" s="260">
        <v>46120</v>
      </c>
      <c r="F1907">
        <v>-10</v>
      </c>
      <c r="G1907" t="s">
        <v>353</v>
      </c>
    </row>
    <row r="1908" spans="1:7">
      <c r="A1908" t="s">
        <v>4133</v>
      </c>
      <c r="B1908" t="s">
        <v>4134</v>
      </c>
      <c r="C1908">
        <v>10</v>
      </c>
      <c r="D1908" s="260">
        <v>46140</v>
      </c>
      <c r="E1908" s="260">
        <v>46154</v>
      </c>
      <c r="F1908">
        <v>142</v>
      </c>
      <c r="G1908" t="s">
        <v>353</v>
      </c>
    </row>
    <row r="1909" spans="1:7">
      <c r="A1909" t="s">
        <v>4135</v>
      </c>
      <c r="B1909" t="s">
        <v>4136</v>
      </c>
      <c r="C1909">
        <v>5</v>
      </c>
      <c r="D1909" s="260">
        <v>46169</v>
      </c>
      <c r="E1909" s="260">
        <v>46177</v>
      </c>
      <c r="F1909">
        <v>142</v>
      </c>
      <c r="G1909" t="s">
        <v>353</v>
      </c>
    </row>
    <row r="1910" spans="1:7">
      <c r="A1910" t="s">
        <v>4137</v>
      </c>
      <c r="B1910" t="s">
        <v>4138</v>
      </c>
      <c r="C1910">
        <v>10</v>
      </c>
      <c r="D1910" s="260">
        <v>46106</v>
      </c>
      <c r="E1910" s="260">
        <v>46120</v>
      </c>
      <c r="F1910">
        <v>-10</v>
      </c>
      <c r="G1910" t="s">
        <v>353</v>
      </c>
    </row>
    <row r="1911" spans="1:7">
      <c r="A1911" t="s">
        <v>4139</v>
      </c>
      <c r="B1911" t="s">
        <v>4140</v>
      </c>
      <c r="C1911">
        <v>5</v>
      </c>
      <c r="D1911" s="260">
        <v>46140</v>
      </c>
      <c r="E1911" s="260">
        <v>46147</v>
      </c>
      <c r="F1911">
        <v>28</v>
      </c>
      <c r="G1911" t="s">
        <v>353</v>
      </c>
    </row>
    <row r="1912" spans="1:7">
      <c r="A1912" t="s">
        <v>4141</v>
      </c>
      <c r="B1912" t="s">
        <v>4142</v>
      </c>
      <c r="C1912">
        <v>5</v>
      </c>
      <c r="D1912" s="260">
        <v>46162</v>
      </c>
      <c r="E1912" s="260">
        <v>46168</v>
      </c>
      <c r="F1912">
        <v>28</v>
      </c>
      <c r="G1912" t="s">
        <v>353</v>
      </c>
    </row>
    <row r="1913" spans="1:7">
      <c r="A1913" t="s">
        <v>4143</v>
      </c>
      <c r="B1913" t="s">
        <v>4144</v>
      </c>
      <c r="C1913">
        <v>15</v>
      </c>
      <c r="D1913" s="260">
        <v>46121</v>
      </c>
      <c r="E1913" s="260">
        <v>46147</v>
      </c>
      <c r="F1913">
        <v>-10</v>
      </c>
      <c r="G1913" t="s">
        <v>353</v>
      </c>
    </row>
    <row r="1914" spans="1:7">
      <c r="A1914" t="s">
        <v>4145</v>
      </c>
      <c r="B1914" t="s">
        <v>4146</v>
      </c>
      <c r="C1914">
        <v>5</v>
      </c>
      <c r="D1914" s="260">
        <v>46169</v>
      </c>
      <c r="E1914" s="260">
        <v>46177</v>
      </c>
      <c r="F1914">
        <v>28</v>
      </c>
      <c r="G1914" t="s">
        <v>353</v>
      </c>
    </row>
    <row r="1915" spans="1:7">
      <c r="A1915" t="s">
        <v>4147</v>
      </c>
      <c r="B1915" t="s">
        <v>4148</v>
      </c>
      <c r="C1915">
        <v>15</v>
      </c>
      <c r="D1915" s="260">
        <v>46121</v>
      </c>
      <c r="E1915" s="260">
        <v>46147</v>
      </c>
      <c r="F1915">
        <v>7</v>
      </c>
      <c r="G1915" t="s">
        <v>353</v>
      </c>
    </row>
    <row r="1916" spans="1:7">
      <c r="A1916" t="s">
        <v>4149</v>
      </c>
      <c r="B1916" t="s">
        <v>4150</v>
      </c>
      <c r="C1916">
        <v>5</v>
      </c>
      <c r="D1916" s="260">
        <v>46169</v>
      </c>
      <c r="E1916" s="260">
        <v>46177</v>
      </c>
      <c r="F1916">
        <v>87</v>
      </c>
      <c r="G1916" t="s">
        <v>353</v>
      </c>
    </row>
    <row r="1917" spans="1:7">
      <c r="A1917" t="s">
        <v>4151</v>
      </c>
      <c r="B1917" t="s">
        <v>4152</v>
      </c>
      <c r="C1917">
        <v>20</v>
      </c>
      <c r="D1917" s="260">
        <v>46148</v>
      </c>
      <c r="E1917" s="260">
        <v>46177</v>
      </c>
      <c r="F1917">
        <v>7</v>
      </c>
      <c r="G1917" t="s">
        <v>353</v>
      </c>
    </row>
    <row r="1918" spans="1:7">
      <c r="A1918" t="s">
        <v>4153</v>
      </c>
      <c r="B1918" t="s">
        <v>4154</v>
      </c>
      <c r="C1918">
        <v>10</v>
      </c>
      <c r="D1918" s="260">
        <v>46192</v>
      </c>
      <c r="E1918" s="260">
        <v>46205</v>
      </c>
      <c r="F1918">
        <v>42</v>
      </c>
      <c r="G1918" t="s">
        <v>353</v>
      </c>
    </row>
    <row r="1919" spans="1:7">
      <c r="A1919" t="s">
        <v>4155</v>
      </c>
      <c r="B1919" t="s">
        <v>4156</v>
      </c>
      <c r="C1919">
        <v>5</v>
      </c>
      <c r="D1919" s="260">
        <v>46220</v>
      </c>
      <c r="E1919" s="260">
        <v>46226</v>
      </c>
      <c r="F1919">
        <v>57</v>
      </c>
      <c r="G1919" t="s">
        <v>353</v>
      </c>
    </row>
    <row r="1920" spans="1:7">
      <c r="A1920" t="s">
        <v>4157</v>
      </c>
      <c r="B1920" t="s">
        <v>4158</v>
      </c>
      <c r="C1920">
        <v>20</v>
      </c>
      <c r="D1920" s="260">
        <v>46148</v>
      </c>
      <c r="E1920" s="260">
        <v>46177</v>
      </c>
      <c r="F1920">
        <v>7</v>
      </c>
      <c r="G1920" t="s">
        <v>353</v>
      </c>
    </row>
    <row r="1921" spans="1:7">
      <c r="A1921" t="s">
        <v>4159</v>
      </c>
      <c r="B1921" t="s">
        <v>4160</v>
      </c>
      <c r="C1921">
        <v>10</v>
      </c>
      <c r="D1921" s="260">
        <v>46192</v>
      </c>
      <c r="E1921" s="260">
        <v>46205</v>
      </c>
      <c r="F1921">
        <v>42</v>
      </c>
      <c r="G1921" t="s">
        <v>353</v>
      </c>
    </row>
    <row r="1922" spans="1:7">
      <c r="A1922" t="s">
        <v>4161</v>
      </c>
      <c r="B1922" t="s">
        <v>4162</v>
      </c>
      <c r="C1922">
        <v>5</v>
      </c>
      <c r="D1922" s="260">
        <v>46220</v>
      </c>
      <c r="E1922" s="260">
        <v>46226</v>
      </c>
      <c r="F1922">
        <v>57</v>
      </c>
      <c r="G1922" t="s">
        <v>353</v>
      </c>
    </row>
    <row r="1923" spans="1:7">
      <c r="A1923" t="s">
        <v>4163</v>
      </c>
      <c r="B1923" t="s">
        <v>4164</v>
      </c>
      <c r="C1923">
        <v>20</v>
      </c>
      <c r="D1923" s="260">
        <v>46162</v>
      </c>
      <c r="E1923" s="260">
        <v>46191</v>
      </c>
      <c r="F1923">
        <v>7</v>
      </c>
      <c r="G1923" t="s">
        <v>353</v>
      </c>
    </row>
    <row r="1924" spans="1:7">
      <c r="A1924" t="s">
        <v>4165</v>
      </c>
      <c r="B1924" t="s">
        <v>4166</v>
      </c>
      <c r="C1924">
        <v>10</v>
      </c>
      <c r="D1924" s="260">
        <v>46206</v>
      </c>
      <c r="E1924" s="260">
        <v>46219</v>
      </c>
      <c r="F1924">
        <v>32</v>
      </c>
      <c r="G1924" t="s">
        <v>353</v>
      </c>
    </row>
    <row r="1925" spans="1:7">
      <c r="A1925" t="s">
        <v>4167</v>
      </c>
      <c r="B1925" t="s">
        <v>4168</v>
      </c>
      <c r="C1925">
        <v>5</v>
      </c>
      <c r="D1925" s="260">
        <v>46239</v>
      </c>
      <c r="E1925" s="260">
        <v>46245</v>
      </c>
      <c r="F1925">
        <v>47</v>
      </c>
      <c r="G1925" t="s">
        <v>353</v>
      </c>
    </row>
    <row r="1926" spans="1:7">
      <c r="A1926" t="s">
        <v>4169</v>
      </c>
      <c r="B1926" t="s">
        <v>4170</v>
      </c>
      <c r="C1926">
        <v>20</v>
      </c>
      <c r="D1926" s="260">
        <v>46162</v>
      </c>
      <c r="E1926" s="260">
        <v>46191</v>
      </c>
      <c r="F1926">
        <v>7</v>
      </c>
      <c r="G1926" t="s">
        <v>353</v>
      </c>
    </row>
    <row r="1927" spans="1:7">
      <c r="A1927" t="s">
        <v>4171</v>
      </c>
      <c r="B1927" t="s">
        <v>4172</v>
      </c>
      <c r="C1927">
        <v>10</v>
      </c>
      <c r="D1927" s="260">
        <v>46206</v>
      </c>
      <c r="E1927" s="260">
        <v>46219</v>
      </c>
      <c r="F1927">
        <v>32</v>
      </c>
      <c r="G1927" t="s">
        <v>353</v>
      </c>
    </row>
    <row r="1928" spans="1:7">
      <c r="A1928" t="s">
        <v>4173</v>
      </c>
      <c r="B1928" t="s">
        <v>4174</v>
      </c>
      <c r="C1928">
        <v>5</v>
      </c>
      <c r="D1928" s="260">
        <v>46239</v>
      </c>
      <c r="E1928" s="260">
        <v>46245</v>
      </c>
      <c r="F1928">
        <v>47</v>
      </c>
      <c r="G1928" t="s">
        <v>353</v>
      </c>
    </row>
    <row r="1929" spans="1:7">
      <c r="A1929" t="s">
        <v>4175</v>
      </c>
      <c r="B1929" t="s">
        <v>4176</v>
      </c>
      <c r="C1929">
        <v>15</v>
      </c>
      <c r="D1929" s="260">
        <v>46192</v>
      </c>
      <c r="E1929" s="260">
        <v>46212</v>
      </c>
      <c r="F1929">
        <v>7</v>
      </c>
      <c r="G1929" t="s">
        <v>353</v>
      </c>
    </row>
    <row r="1930" spans="1:7">
      <c r="A1930" t="s">
        <v>4177</v>
      </c>
      <c r="B1930" t="s">
        <v>4178</v>
      </c>
      <c r="C1930">
        <v>10</v>
      </c>
      <c r="D1930" s="260">
        <v>46227</v>
      </c>
      <c r="E1930" s="260">
        <v>46245</v>
      </c>
      <c r="F1930">
        <v>27</v>
      </c>
      <c r="G1930" t="s">
        <v>353</v>
      </c>
    </row>
    <row r="1931" spans="1:7">
      <c r="A1931" t="s">
        <v>4179</v>
      </c>
      <c r="B1931" t="s">
        <v>4180</v>
      </c>
      <c r="C1931">
        <v>5</v>
      </c>
      <c r="D1931" s="260">
        <v>46261</v>
      </c>
      <c r="E1931" s="260">
        <v>46267</v>
      </c>
      <c r="F1931">
        <v>37</v>
      </c>
      <c r="G1931" t="s">
        <v>353</v>
      </c>
    </row>
    <row r="1932" spans="1:7">
      <c r="A1932" t="s">
        <v>4181</v>
      </c>
      <c r="B1932" t="s">
        <v>4182</v>
      </c>
      <c r="C1932">
        <v>15</v>
      </c>
      <c r="D1932" s="260">
        <v>46192</v>
      </c>
      <c r="E1932" s="260">
        <v>46212</v>
      </c>
      <c r="F1932">
        <v>62</v>
      </c>
      <c r="G1932" t="s">
        <v>353</v>
      </c>
    </row>
    <row r="1933" spans="1:7">
      <c r="A1933" t="s">
        <v>4183</v>
      </c>
      <c r="B1933" t="s">
        <v>4184</v>
      </c>
      <c r="C1933">
        <v>10</v>
      </c>
      <c r="D1933" s="260">
        <v>46227</v>
      </c>
      <c r="E1933" s="260">
        <v>46245</v>
      </c>
      <c r="F1933">
        <v>67</v>
      </c>
      <c r="G1933" t="s">
        <v>353</v>
      </c>
    </row>
    <row r="1934" spans="1:7">
      <c r="A1934" t="s">
        <v>4185</v>
      </c>
      <c r="B1934" t="s">
        <v>4186</v>
      </c>
      <c r="C1934">
        <v>10</v>
      </c>
      <c r="D1934" s="260">
        <v>46261</v>
      </c>
      <c r="E1934" s="260">
        <v>46274</v>
      </c>
      <c r="F1934">
        <v>67</v>
      </c>
      <c r="G1934" t="s">
        <v>353</v>
      </c>
    </row>
    <row r="1935" spans="1:7">
      <c r="A1935" t="s">
        <v>4187</v>
      </c>
      <c r="B1935" t="s">
        <v>4188</v>
      </c>
      <c r="C1935">
        <v>15</v>
      </c>
      <c r="D1935" s="260">
        <v>46192</v>
      </c>
      <c r="E1935" s="260">
        <v>46212</v>
      </c>
      <c r="F1935">
        <v>7</v>
      </c>
      <c r="G1935" t="s">
        <v>353</v>
      </c>
    </row>
    <row r="1936" spans="1:7">
      <c r="A1936" t="s">
        <v>4189</v>
      </c>
      <c r="B1936" t="s">
        <v>4190</v>
      </c>
      <c r="C1936">
        <v>10</v>
      </c>
      <c r="D1936" s="260">
        <v>46227</v>
      </c>
      <c r="E1936" s="260">
        <v>46245</v>
      </c>
      <c r="F1936">
        <v>27</v>
      </c>
      <c r="G1936" t="s">
        <v>353</v>
      </c>
    </row>
    <row r="1937" spans="1:7">
      <c r="A1937" t="s">
        <v>4191</v>
      </c>
      <c r="B1937" t="s">
        <v>4192</v>
      </c>
      <c r="C1937">
        <v>10</v>
      </c>
      <c r="D1937" s="260">
        <v>46261</v>
      </c>
      <c r="E1937" s="260">
        <v>46274</v>
      </c>
      <c r="F1937">
        <v>32</v>
      </c>
      <c r="G1937" t="s">
        <v>353</v>
      </c>
    </row>
    <row r="1938" spans="1:7">
      <c r="A1938" t="s">
        <v>4193</v>
      </c>
      <c r="B1938" t="s">
        <v>4194</v>
      </c>
      <c r="C1938">
        <v>15</v>
      </c>
      <c r="D1938" s="260">
        <v>46199</v>
      </c>
      <c r="E1938" s="260">
        <v>46219</v>
      </c>
      <c r="F1938">
        <v>7</v>
      </c>
      <c r="G1938" t="s">
        <v>353</v>
      </c>
    </row>
    <row r="1939" spans="1:7">
      <c r="A1939" t="s">
        <v>4195</v>
      </c>
      <c r="B1939" t="s">
        <v>4196</v>
      </c>
      <c r="C1939">
        <v>10</v>
      </c>
      <c r="D1939" s="260">
        <v>46247</v>
      </c>
      <c r="E1939" s="260">
        <v>46260</v>
      </c>
      <c r="F1939">
        <v>27</v>
      </c>
      <c r="G1939" t="s">
        <v>353</v>
      </c>
    </row>
    <row r="1940" spans="1:7">
      <c r="A1940" t="s">
        <v>4197</v>
      </c>
      <c r="B1940" t="s">
        <v>4198</v>
      </c>
      <c r="C1940">
        <v>10</v>
      </c>
      <c r="D1940" s="260">
        <v>46275</v>
      </c>
      <c r="E1940" s="260">
        <v>46288</v>
      </c>
      <c r="F1940">
        <v>32</v>
      </c>
      <c r="G1940" t="s">
        <v>353</v>
      </c>
    </row>
    <row r="1941" spans="1:7">
      <c r="A1941" t="s">
        <v>4199</v>
      </c>
      <c r="B1941" t="s">
        <v>4200</v>
      </c>
      <c r="C1941">
        <v>15</v>
      </c>
      <c r="D1941" s="260">
        <v>46199</v>
      </c>
      <c r="E1941" s="260">
        <v>46219</v>
      </c>
      <c r="F1941">
        <v>7</v>
      </c>
      <c r="G1941" t="s">
        <v>353</v>
      </c>
    </row>
    <row r="1942" spans="1:7">
      <c r="A1942" t="s">
        <v>4201</v>
      </c>
      <c r="B1942" t="s">
        <v>4202</v>
      </c>
      <c r="C1942">
        <v>10</v>
      </c>
      <c r="D1942" s="260">
        <v>46261</v>
      </c>
      <c r="E1942" s="260">
        <v>46274</v>
      </c>
      <c r="F1942">
        <v>27</v>
      </c>
      <c r="G1942" t="s">
        <v>353</v>
      </c>
    </row>
    <row r="1943" spans="1:7">
      <c r="A1943" t="s">
        <v>4203</v>
      </c>
      <c r="B1943" t="s">
        <v>4204</v>
      </c>
      <c r="C1943">
        <v>10</v>
      </c>
      <c r="D1943" s="260">
        <v>46289</v>
      </c>
      <c r="E1943" s="260">
        <v>46302</v>
      </c>
      <c r="F1943">
        <v>32</v>
      </c>
      <c r="G1943" t="s">
        <v>353</v>
      </c>
    </row>
    <row r="1944" spans="1:7">
      <c r="A1944" t="s">
        <v>4205</v>
      </c>
      <c r="B1944" t="s">
        <v>4206</v>
      </c>
      <c r="C1944">
        <v>20</v>
      </c>
      <c r="D1944" s="260">
        <v>46220</v>
      </c>
      <c r="E1944" s="260">
        <v>46253</v>
      </c>
      <c r="F1944">
        <v>7</v>
      </c>
      <c r="G1944" t="s">
        <v>353</v>
      </c>
    </row>
    <row r="1945" spans="1:7">
      <c r="A1945" t="s">
        <v>4207</v>
      </c>
      <c r="B1945" t="s">
        <v>4208</v>
      </c>
      <c r="C1945">
        <v>15</v>
      </c>
      <c r="D1945" s="260">
        <v>46268</v>
      </c>
      <c r="E1945" s="260">
        <v>46288</v>
      </c>
      <c r="F1945">
        <v>22</v>
      </c>
      <c r="G1945" t="s">
        <v>353</v>
      </c>
    </row>
    <row r="1946" spans="1:7">
      <c r="A1946" t="s">
        <v>4209</v>
      </c>
      <c r="B1946" t="s">
        <v>4210</v>
      </c>
      <c r="C1946">
        <v>15</v>
      </c>
      <c r="D1946" s="260">
        <v>46303</v>
      </c>
      <c r="E1946" s="260">
        <v>46325</v>
      </c>
      <c r="F1946">
        <v>22</v>
      </c>
      <c r="G1946" t="s">
        <v>353</v>
      </c>
    </row>
    <row r="1947" spans="1:7">
      <c r="A1947" t="s">
        <v>4211</v>
      </c>
      <c r="B1947" t="s">
        <v>4212</v>
      </c>
      <c r="C1947">
        <v>15</v>
      </c>
      <c r="D1947" s="260">
        <v>46254</v>
      </c>
      <c r="E1947" s="260">
        <v>46274</v>
      </c>
      <c r="F1947">
        <v>7</v>
      </c>
      <c r="G1947" t="s">
        <v>353</v>
      </c>
    </row>
    <row r="1948" spans="1:7">
      <c r="A1948" t="s">
        <v>4213</v>
      </c>
      <c r="B1948" t="s">
        <v>4214</v>
      </c>
      <c r="C1948">
        <v>10</v>
      </c>
      <c r="D1948" s="260">
        <v>46289</v>
      </c>
      <c r="E1948" s="260">
        <v>46302</v>
      </c>
      <c r="F1948">
        <v>22</v>
      </c>
      <c r="G1948" t="s">
        <v>353</v>
      </c>
    </row>
    <row r="1949" spans="1:7">
      <c r="A1949" t="s">
        <v>4215</v>
      </c>
      <c r="B1949" t="s">
        <v>4216</v>
      </c>
      <c r="C1949">
        <v>10</v>
      </c>
      <c r="D1949" s="260">
        <v>46321</v>
      </c>
      <c r="E1949" s="260">
        <v>46332</v>
      </c>
      <c r="F1949">
        <v>22</v>
      </c>
      <c r="G1949" t="s">
        <v>353</v>
      </c>
    </row>
    <row r="1950" spans="1:7">
      <c r="A1950" t="s">
        <v>4217</v>
      </c>
      <c r="B1950" t="s">
        <v>4218</v>
      </c>
      <c r="C1950">
        <v>15</v>
      </c>
      <c r="D1950" s="260">
        <v>46192</v>
      </c>
      <c r="E1950" s="260">
        <v>46212</v>
      </c>
      <c r="F1950">
        <v>77</v>
      </c>
      <c r="G1950" t="s">
        <v>353</v>
      </c>
    </row>
    <row r="1951" spans="1:7">
      <c r="A1951" t="s">
        <v>4219</v>
      </c>
      <c r="B1951" t="s">
        <v>4220</v>
      </c>
      <c r="C1951">
        <v>10</v>
      </c>
      <c r="D1951" s="260">
        <v>46227</v>
      </c>
      <c r="E1951" s="260">
        <v>46245</v>
      </c>
      <c r="F1951">
        <v>77</v>
      </c>
      <c r="G1951" t="s">
        <v>353</v>
      </c>
    </row>
    <row r="1952" spans="1:7">
      <c r="A1952" t="s">
        <v>4221</v>
      </c>
      <c r="B1952" t="s">
        <v>4222</v>
      </c>
      <c r="C1952">
        <v>10</v>
      </c>
      <c r="D1952" s="260">
        <v>46261</v>
      </c>
      <c r="E1952" s="260">
        <v>46274</v>
      </c>
      <c r="F1952">
        <v>77</v>
      </c>
      <c r="G1952" t="s">
        <v>353</v>
      </c>
    </row>
    <row r="1953" spans="1:7">
      <c r="A1953" t="s">
        <v>4223</v>
      </c>
      <c r="B1953" t="s">
        <v>4224</v>
      </c>
      <c r="C1953">
        <v>15</v>
      </c>
      <c r="D1953" s="260">
        <v>46199</v>
      </c>
      <c r="E1953" s="260">
        <v>46219</v>
      </c>
      <c r="F1953">
        <v>72</v>
      </c>
      <c r="G1953" t="s">
        <v>353</v>
      </c>
    </row>
    <row r="1954" spans="1:7">
      <c r="A1954" t="s">
        <v>4225</v>
      </c>
      <c r="B1954" t="s">
        <v>4226</v>
      </c>
      <c r="C1954">
        <v>10</v>
      </c>
      <c r="D1954" s="260">
        <v>46239</v>
      </c>
      <c r="E1954" s="260">
        <v>46253</v>
      </c>
      <c r="F1954">
        <v>72</v>
      </c>
      <c r="G1954" t="s">
        <v>353</v>
      </c>
    </row>
    <row r="1955" spans="1:7">
      <c r="A1955" t="s">
        <v>4227</v>
      </c>
      <c r="B1955" t="s">
        <v>4228</v>
      </c>
      <c r="C1955">
        <v>10</v>
      </c>
      <c r="D1955" s="260">
        <v>46268</v>
      </c>
      <c r="E1955" s="260">
        <v>46281</v>
      </c>
      <c r="F1955">
        <v>72</v>
      </c>
      <c r="G1955" t="s">
        <v>353</v>
      </c>
    </row>
    <row r="1956" spans="1:7">
      <c r="A1956" t="s">
        <v>4229</v>
      </c>
      <c r="B1956" t="s">
        <v>4230</v>
      </c>
      <c r="C1956">
        <v>15</v>
      </c>
      <c r="D1956" s="260">
        <v>46199</v>
      </c>
      <c r="E1956" s="260">
        <v>46219</v>
      </c>
      <c r="F1956">
        <v>72</v>
      </c>
      <c r="G1956" t="s">
        <v>353</v>
      </c>
    </row>
    <row r="1957" spans="1:7">
      <c r="A1957" t="s">
        <v>4231</v>
      </c>
      <c r="B1957" t="s">
        <v>4232</v>
      </c>
      <c r="C1957">
        <v>10</v>
      </c>
      <c r="D1957" s="260">
        <v>46239</v>
      </c>
      <c r="E1957" s="260">
        <v>46253</v>
      </c>
      <c r="F1957">
        <v>72</v>
      </c>
      <c r="G1957" t="s">
        <v>353</v>
      </c>
    </row>
    <row r="1958" spans="1:7">
      <c r="A1958" t="s">
        <v>4233</v>
      </c>
      <c r="B1958" t="s">
        <v>4234</v>
      </c>
      <c r="C1958">
        <v>10</v>
      </c>
      <c r="D1958" s="260">
        <v>46268</v>
      </c>
      <c r="E1958" s="260">
        <v>46281</v>
      </c>
      <c r="F1958">
        <v>72</v>
      </c>
      <c r="G1958" t="s">
        <v>353</v>
      </c>
    </row>
    <row r="1959" spans="1:7">
      <c r="A1959" t="s">
        <v>4235</v>
      </c>
      <c r="B1959" t="s">
        <v>4236</v>
      </c>
      <c r="C1959">
        <v>20</v>
      </c>
      <c r="D1959" s="260">
        <v>46220</v>
      </c>
      <c r="E1959" s="260">
        <v>46253</v>
      </c>
      <c r="F1959">
        <v>22</v>
      </c>
      <c r="G1959" t="s">
        <v>353</v>
      </c>
    </row>
    <row r="1960" spans="1:7">
      <c r="A1960" t="s">
        <v>4237</v>
      </c>
      <c r="B1960" t="s">
        <v>4238</v>
      </c>
      <c r="C1960">
        <v>15</v>
      </c>
      <c r="D1960" s="260">
        <v>46268</v>
      </c>
      <c r="E1960" s="260">
        <v>46288</v>
      </c>
      <c r="F1960">
        <v>22</v>
      </c>
      <c r="G1960" t="s">
        <v>353</v>
      </c>
    </row>
    <row r="1961" spans="1:7">
      <c r="A1961" t="s">
        <v>4239</v>
      </c>
      <c r="B1961" t="s">
        <v>4240</v>
      </c>
      <c r="C1961">
        <v>15</v>
      </c>
      <c r="D1961" s="260">
        <v>46303</v>
      </c>
      <c r="E1961" s="260">
        <v>46325</v>
      </c>
      <c r="F1961">
        <v>22</v>
      </c>
      <c r="G1961" t="s">
        <v>353</v>
      </c>
    </row>
    <row r="1962" spans="1:7">
      <c r="A1962" t="s">
        <v>4241</v>
      </c>
      <c r="B1962" t="s">
        <v>4242</v>
      </c>
      <c r="C1962">
        <v>15</v>
      </c>
      <c r="D1962" s="260">
        <v>46254</v>
      </c>
      <c r="E1962" s="260">
        <v>46274</v>
      </c>
      <c r="F1962">
        <v>7</v>
      </c>
      <c r="G1962" t="s">
        <v>353</v>
      </c>
    </row>
    <row r="1963" spans="1:7">
      <c r="A1963" t="s">
        <v>4243</v>
      </c>
      <c r="B1963" t="s">
        <v>4244</v>
      </c>
      <c r="C1963">
        <v>10</v>
      </c>
      <c r="D1963" s="260">
        <v>46289</v>
      </c>
      <c r="E1963" s="260">
        <v>46302</v>
      </c>
      <c r="F1963">
        <v>22</v>
      </c>
      <c r="G1963" t="s">
        <v>353</v>
      </c>
    </row>
    <row r="1964" spans="1:7">
      <c r="A1964" t="s">
        <v>4245</v>
      </c>
      <c r="B1964" t="s">
        <v>4246</v>
      </c>
      <c r="C1964">
        <v>10</v>
      </c>
      <c r="D1964" s="260">
        <v>46321</v>
      </c>
      <c r="E1964" s="260">
        <v>46332</v>
      </c>
      <c r="F1964">
        <v>22</v>
      </c>
      <c r="G1964" t="s">
        <v>353</v>
      </c>
    </row>
    <row r="1965" spans="1:7">
      <c r="A1965" t="s">
        <v>4247</v>
      </c>
      <c r="B1965" t="s">
        <v>4248</v>
      </c>
      <c r="C1965">
        <v>15</v>
      </c>
      <c r="D1965" s="260">
        <v>46192</v>
      </c>
      <c r="E1965" s="260">
        <v>46212</v>
      </c>
      <c r="F1965">
        <v>77</v>
      </c>
      <c r="G1965" t="s">
        <v>353</v>
      </c>
    </row>
    <row r="1966" spans="1:7">
      <c r="A1966" t="s">
        <v>4249</v>
      </c>
      <c r="B1966" t="s">
        <v>4250</v>
      </c>
      <c r="C1966">
        <v>10</v>
      </c>
      <c r="D1966" s="260">
        <v>46227</v>
      </c>
      <c r="E1966" s="260">
        <v>46245</v>
      </c>
      <c r="F1966">
        <v>77</v>
      </c>
      <c r="G1966" t="s">
        <v>353</v>
      </c>
    </row>
    <row r="1967" spans="1:7">
      <c r="A1967" t="s">
        <v>4251</v>
      </c>
      <c r="B1967" t="s">
        <v>4252</v>
      </c>
      <c r="C1967">
        <v>10</v>
      </c>
      <c r="D1967" s="260">
        <v>46261</v>
      </c>
      <c r="E1967" s="260">
        <v>46274</v>
      </c>
      <c r="F1967">
        <v>77</v>
      </c>
      <c r="G1967" t="s">
        <v>353</v>
      </c>
    </row>
    <row r="1968" spans="1:7">
      <c r="A1968" t="s">
        <v>4253</v>
      </c>
      <c r="B1968" t="s">
        <v>4254</v>
      </c>
      <c r="C1968">
        <v>15</v>
      </c>
      <c r="D1968" s="260">
        <v>46213</v>
      </c>
      <c r="E1968" s="260">
        <v>46238</v>
      </c>
      <c r="F1968">
        <v>62</v>
      </c>
      <c r="G1968" t="s">
        <v>353</v>
      </c>
    </row>
    <row r="1969" spans="1:7">
      <c r="A1969" t="s">
        <v>4255</v>
      </c>
      <c r="B1969" t="s">
        <v>4256</v>
      </c>
      <c r="C1969">
        <v>10</v>
      </c>
      <c r="D1969" s="260">
        <v>46254</v>
      </c>
      <c r="E1969" s="260">
        <v>46267</v>
      </c>
      <c r="F1969">
        <v>62</v>
      </c>
      <c r="G1969" t="s">
        <v>353</v>
      </c>
    </row>
    <row r="1970" spans="1:7">
      <c r="A1970" t="s">
        <v>4257</v>
      </c>
      <c r="B1970" t="s">
        <v>4258</v>
      </c>
      <c r="C1970">
        <v>10</v>
      </c>
      <c r="D1970" s="260">
        <v>46275</v>
      </c>
      <c r="E1970" s="260">
        <v>46288</v>
      </c>
      <c r="F1970">
        <v>67</v>
      </c>
      <c r="G1970" t="s">
        <v>353</v>
      </c>
    </row>
    <row r="1971" spans="1:7">
      <c r="A1971" t="s">
        <v>4259</v>
      </c>
      <c r="B1971" t="s">
        <v>4260</v>
      </c>
      <c r="C1971">
        <v>15</v>
      </c>
      <c r="D1971" s="260">
        <v>46220</v>
      </c>
      <c r="E1971" s="260">
        <v>46245</v>
      </c>
      <c r="F1971">
        <v>37</v>
      </c>
      <c r="G1971" t="s">
        <v>353</v>
      </c>
    </row>
    <row r="1972" spans="1:7">
      <c r="A1972" t="s">
        <v>4261</v>
      </c>
      <c r="B1972" t="s">
        <v>4262</v>
      </c>
      <c r="C1972">
        <v>10</v>
      </c>
      <c r="D1972" s="260">
        <v>46261</v>
      </c>
      <c r="E1972" s="260">
        <v>46274</v>
      </c>
      <c r="F1972">
        <v>37</v>
      </c>
      <c r="G1972" t="s">
        <v>353</v>
      </c>
    </row>
    <row r="1973" spans="1:7">
      <c r="A1973" t="s">
        <v>4263</v>
      </c>
      <c r="B1973" t="s">
        <v>4264</v>
      </c>
      <c r="C1973">
        <v>10</v>
      </c>
      <c r="D1973" s="260">
        <v>46289</v>
      </c>
      <c r="E1973" s="260">
        <v>46302</v>
      </c>
      <c r="F1973">
        <v>37</v>
      </c>
      <c r="G1973" t="s">
        <v>353</v>
      </c>
    </row>
    <row r="1974" spans="1:7">
      <c r="A1974" t="s">
        <v>4265</v>
      </c>
      <c r="B1974" t="s">
        <v>4266</v>
      </c>
      <c r="C1974">
        <v>15</v>
      </c>
      <c r="D1974" s="260">
        <v>46239</v>
      </c>
      <c r="E1974" s="260">
        <v>46260</v>
      </c>
      <c r="F1974">
        <v>37</v>
      </c>
      <c r="G1974" t="s">
        <v>353</v>
      </c>
    </row>
    <row r="1975" spans="1:7">
      <c r="A1975" t="s">
        <v>4267</v>
      </c>
      <c r="B1975" t="s">
        <v>4268</v>
      </c>
      <c r="C1975">
        <v>10</v>
      </c>
      <c r="D1975" s="260">
        <v>46275</v>
      </c>
      <c r="E1975" s="260">
        <v>46288</v>
      </c>
      <c r="F1975">
        <v>37</v>
      </c>
      <c r="G1975" t="s">
        <v>353</v>
      </c>
    </row>
    <row r="1976" spans="1:7">
      <c r="A1976" t="s">
        <v>4269</v>
      </c>
      <c r="B1976" t="s">
        <v>4270</v>
      </c>
      <c r="C1976">
        <v>10</v>
      </c>
      <c r="D1976" s="260">
        <v>46303</v>
      </c>
      <c r="E1976" s="260">
        <v>46317</v>
      </c>
      <c r="F1976">
        <v>37</v>
      </c>
      <c r="G1976" t="s">
        <v>353</v>
      </c>
    </row>
    <row r="1977" spans="1:7">
      <c r="A1977" t="s">
        <v>4271</v>
      </c>
      <c r="B1977" t="s">
        <v>4272</v>
      </c>
      <c r="C1977">
        <v>15</v>
      </c>
      <c r="D1977" s="260">
        <v>46239</v>
      </c>
      <c r="E1977" s="260">
        <v>46260</v>
      </c>
      <c r="F1977">
        <v>37</v>
      </c>
      <c r="G1977" t="s">
        <v>353</v>
      </c>
    </row>
    <row r="1978" spans="1:7">
      <c r="A1978" t="s">
        <v>4273</v>
      </c>
      <c r="B1978" t="s">
        <v>4274</v>
      </c>
      <c r="C1978">
        <v>10</v>
      </c>
      <c r="D1978" s="260">
        <v>46289</v>
      </c>
      <c r="E1978" s="260">
        <v>46302</v>
      </c>
      <c r="F1978">
        <v>37</v>
      </c>
      <c r="G1978" t="s">
        <v>353</v>
      </c>
    </row>
    <row r="1979" spans="1:7">
      <c r="A1979" t="s">
        <v>4275</v>
      </c>
      <c r="B1979" t="s">
        <v>4276</v>
      </c>
      <c r="C1979">
        <v>10</v>
      </c>
      <c r="D1979" s="260">
        <v>46321</v>
      </c>
      <c r="E1979" s="260">
        <v>46332</v>
      </c>
      <c r="F1979">
        <v>37</v>
      </c>
      <c r="G1979" t="s">
        <v>353</v>
      </c>
    </row>
    <row r="1980" spans="1:7">
      <c r="A1980" t="s">
        <v>4277</v>
      </c>
      <c r="B1980" t="s">
        <v>4278</v>
      </c>
      <c r="C1980">
        <v>15</v>
      </c>
      <c r="D1980" s="260">
        <v>46254</v>
      </c>
      <c r="E1980" s="260">
        <v>46274</v>
      </c>
      <c r="F1980">
        <v>37</v>
      </c>
      <c r="G1980" t="s">
        <v>353</v>
      </c>
    </row>
    <row r="1981" spans="1:7">
      <c r="A1981" t="s">
        <v>4279</v>
      </c>
      <c r="B1981" t="s">
        <v>4280</v>
      </c>
      <c r="C1981">
        <v>10</v>
      </c>
      <c r="D1981" s="260">
        <v>46289</v>
      </c>
      <c r="E1981" s="260">
        <v>46302</v>
      </c>
      <c r="F1981">
        <v>37</v>
      </c>
      <c r="G1981" t="s">
        <v>353</v>
      </c>
    </row>
    <row r="1982" spans="1:7">
      <c r="A1982" t="s">
        <v>4281</v>
      </c>
      <c r="B1982" t="s">
        <v>4282</v>
      </c>
      <c r="C1982">
        <v>10</v>
      </c>
      <c r="D1982" s="260">
        <v>46321</v>
      </c>
      <c r="E1982" s="260">
        <v>46332</v>
      </c>
      <c r="F1982">
        <v>37</v>
      </c>
      <c r="G1982" t="s">
        <v>353</v>
      </c>
    </row>
    <row r="1983" spans="1:7">
      <c r="A1983" t="s">
        <v>4283</v>
      </c>
      <c r="B1983" t="s">
        <v>4284</v>
      </c>
      <c r="C1983">
        <v>15</v>
      </c>
      <c r="D1983" s="260">
        <v>46254</v>
      </c>
      <c r="E1983" s="260">
        <v>46274</v>
      </c>
      <c r="F1983">
        <v>37</v>
      </c>
      <c r="G1983" t="s">
        <v>353</v>
      </c>
    </row>
    <row r="1984" spans="1:7">
      <c r="A1984" t="s">
        <v>4285</v>
      </c>
      <c r="B1984" t="s">
        <v>4286</v>
      </c>
      <c r="C1984">
        <v>10</v>
      </c>
      <c r="D1984" s="260">
        <v>46289</v>
      </c>
      <c r="E1984" s="260">
        <v>46302</v>
      </c>
      <c r="F1984">
        <v>37</v>
      </c>
      <c r="G1984" t="s">
        <v>353</v>
      </c>
    </row>
    <row r="1985" spans="1:7">
      <c r="A1985" t="s">
        <v>4287</v>
      </c>
      <c r="B1985" t="s">
        <v>4288</v>
      </c>
      <c r="C1985">
        <v>10</v>
      </c>
      <c r="D1985" s="260">
        <v>46321</v>
      </c>
      <c r="E1985" s="260">
        <v>46332</v>
      </c>
      <c r="F1985">
        <v>37</v>
      </c>
      <c r="G1985" t="s">
        <v>353</v>
      </c>
    </row>
    <row r="1986" spans="1:7">
      <c r="A1986" t="s">
        <v>4289</v>
      </c>
      <c r="B1986" t="s">
        <v>4290</v>
      </c>
      <c r="C1986">
        <v>15</v>
      </c>
      <c r="D1986" s="260">
        <v>46192</v>
      </c>
      <c r="E1986" s="260">
        <v>46212</v>
      </c>
      <c r="F1986">
        <v>77</v>
      </c>
      <c r="G1986" t="s">
        <v>353</v>
      </c>
    </row>
    <row r="1987" spans="1:7">
      <c r="A1987" t="s">
        <v>4291</v>
      </c>
      <c r="B1987" t="s">
        <v>4292</v>
      </c>
      <c r="C1987">
        <v>10</v>
      </c>
      <c r="D1987" s="260">
        <v>46227</v>
      </c>
      <c r="E1987" s="260">
        <v>46245</v>
      </c>
      <c r="F1987">
        <v>77</v>
      </c>
      <c r="G1987" t="s">
        <v>353</v>
      </c>
    </row>
    <row r="1988" spans="1:7">
      <c r="A1988" t="s">
        <v>4293</v>
      </c>
      <c r="B1988" t="s">
        <v>4294</v>
      </c>
      <c r="C1988">
        <v>10</v>
      </c>
      <c r="D1988" s="260">
        <v>46261</v>
      </c>
      <c r="E1988" s="260">
        <v>46274</v>
      </c>
      <c r="F1988">
        <v>77</v>
      </c>
      <c r="G1988" t="s">
        <v>353</v>
      </c>
    </row>
    <row r="1989" spans="1:7">
      <c r="A1989" t="s">
        <v>4295</v>
      </c>
      <c r="B1989" t="s">
        <v>4296</v>
      </c>
      <c r="C1989">
        <v>15</v>
      </c>
      <c r="D1989" s="260">
        <v>46213</v>
      </c>
      <c r="E1989" s="260">
        <v>46238</v>
      </c>
      <c r="F1989">
        <v>62</v>
      </c>
      <c r="G1989" t="s">
        <v>353</v>
      </c>
    </row>
    <row r="1990" spans="1:7">
      <c r="A1990" t="s">
        <v>4297</v>
      </c>
      <c r="B1990" t="s">
        <v>4298</v>
      </c>
      <c r="C1990">
        <v>10</v>
      </c>
      <c r="D1990" s="260">
        <v>46254</v>
      </c>
      <c r="E1990" s="260">
        <v>46267</v>
      </c>
      <c r="F1990">
        <v>62</v>
      </c>
      <c r="G1990" t="s">
        <v>353</v>
      </c>
    </row>
    <row r="1991" spans="1:7">
      <c r="A1991" t="s">
        <v>4299</v>
      </c>
      <c r="B1991" t="s">
        <v>4300</v>
      </c>
      <c r="C1991">
        <v>10</v>
      </c>
      <c r="D1991" s="260">
        <v>46282</v>
      </c>
      <c r="E1991" s="260">
        <v>46295</v>
      </c>
      <c r="F1991">
        <v>62</v>
      </c>
      <c r="G1991" t="s">
        <v>353</v>
      </c>
    </row>
    <row r="1992" spans="1:7">
      <c r="A1992" t="s">
        <v>4301</v>
      </c>
      <c r="B1992" t="s">
        <v>4302</v>
      </c>
      <c r="C1992">
        <v>15</v>
      </c>
      <c r="D1992" s="260">
        <v>46220</v>
      </c>
      <c r="E1992" s="260">
        <v>46245</v>
      </c>
      <c r="F1992">
        <v>57</v>
      </c>
      <c r="G1992" t="s">
        <v>353</v>
      </c>
    </row>
    <row r="1993" spans="1:7">
      <c r="A1993" t="s">
        <v>4303</v>
      </c>
      <c r="B1993" t="s">
        <v>4304</v>
      </c>
      <c r="C1993">
        <v>10</v>
      </c>
      <c r="D1993" s="260">
        <v>46261</v>
      </c>
      <c r="E1993" s="260">
        <v>46274</v>
      </c>
      <c r="F1993">
        <v>57</v>
      </c>
      <c r="G1993" t="s">
        <v>353</v>
      </c>
    </row>
    <row r="1994" spans="1:7">
      <c r="A1994" t="s">
        <v>4305</v>
      </c>
      <c r="B1994" t="s">
        <v>4306</v>
      </c>
      <c r="C1994">
        <v>10</v>
      </c>
      <c r="D1994" s="260">
        <v>46289</v>
      </c>
      <c r="E1994" s="260">
        <v>46302</v>
      </c>
      <c r="F1994">
        <v>57</v>
      </c>
      <c r="G1994" t="s">
        <v>353</v>
      </c>
    </row>
    <row r="1995" spans="1:7">
      <c r="A1995" t="s">
        <v>4307</v>
      </c>
      <c r="B1995" t="s">
        <v>4308</v>
      </c>
      <c r="C1995">
        <v>15</v>
      </c>
      <c r="D1995" s="260">
        <v>46239</v>
      </c>
      <c r="E1995" s="260">
        <v>46260</v>
      </c>
      <c r="F1995">
        <v>47</v>
      </c>
      <c r="G1995" t="s">
        <v>353</v>
      </c>
    </row>
    <row r="1996" spans="1:7">
      <c r="A1996" t="s">
        <v>4309</v>
      </c>
      <c r="B1996" t="s">
        <v>4310</v>
      </c>
      <c r="C1996">
        <v>10</v>
      </c>
      <c r="D1996" s="260">
        <v>46275</v>
      </c>
      <c r="E1996" s="260">
        <v>46288</v>
      </c>
      <c r="F1996">
        <v>47</v>
      </c>
      <c r="G1996" t="s">
        <v>353</v>
      </c>
    </row>
    <row r="1997" spans="1:7">
      <c r="A1997" t="s">
        <v>4311</v>
      </c>
      <c r="B1997" t="s">
        <v>4312</v>
      </c>
      <c r="C1997">
        <v>10</v>
      </c>
      <c r="D1997" s="260">
        <v>46303</v>
      </c>
      <c r="E1997" s="260">
        <v>46317</v>
      </c>
      <c r="F1997">
        <v>47</v>
      </c>
      <c r="G1997" t="s">
        <v>353</v>
      </c>
    </row>
    <row r="1998" spans="1:7">
      <c r="A1998" t="s">
        <v>4313</v>
      </c>
      <c r="B1998" t="s">
        <v>4314</v>
      </c>
      <c r="C1998">
        <v>15</v>
      </c>
      <c r="D1998" s="260">
        <v>46239</v>
      </c>
      <c r="E1998" s="260">
        <v>46260</v>
      </c>
      <c r="F1998">
        <v>47</v>
      </c>
      <c r="G1998" t="s">
        <v>353</v>
      </c>
    </row>
    <row r="1999" spans="1:7">
      <c r="A1999" t="s">
        <v>4315</v>
      </c>
      <c r="B1999" t="s">
        <v>4316</v>
      </c>
      <c r="C1999">
        <v>10</v>
      </c>
      <c r="D1999" s="260">
        <v>46289</v>
      </c>
      <c r="E1999" s="260">
        <v>46302</v>
      </c>
      <c r="F1999">
        <v>37</v>
      </c>
      <c r="G1999" t="s">
        <v>353</v>
      </c>
    </row>
    <row r="2000" spans="1:7">
      <c r="A2000" t="s">
        <v>4317</v>
      </c>
      <c r="B2000" t="s">
        <v>4318</v>
      </c>
      <c r="C2000">
        <v>10</v>
      </c>
      <c r="D2000" s="260">
        <v>46321</v>
      </c>
      <c r="E2000" s="260">
        <v>46332</v>
      </c>
      <c r="F2000">
        <v>37</v>
      </c>
      <c r="G2000" t="s">
        <v>353</v>
      </c>
    </row>
    <row r="2001" spans="1:7">
      <c r="A2001" t="s">
        <v>4319</v>
      </c>
      <c r="B2001" t="s">
        <v>4320</v>
      </c>
      <c r="C2001">
        <v>15</v>
      </c>
      <c r="D2001" s="260">
        <v>46254</v>
      </c>
      <c r="E2001" s="260">
        <v>46274</v>
      </c>
      <c r="F2001">
        <v>37</v>
      </c>
      <c r="G2001" t="s">
        <v>353</v>
      </c>
    </row>
    <row r="2002" spans="1:7">
      <c r="A2002" t="s">
        <v>4321</v>
      </c>
      <c r="B2002" t="s">
        <v>4322</v>
      </c>
      <c r="C2002">
        <v>10</v>
      </c>
      <c r="D2002" s="260">
        <v>46289</v>
      </c>
      <c r="E2002" s="260">
        <v>46302</v>
      </c>
      <c r="F2002">
        <v>37</v>
      </c>
      <c r="G2002" t="s">
        <v>353</v>
      </c>
    </row>
    <row r="2003" spans="1:7">
      <c r="A2003" t="s">
        <v>4323</v>
      </c>
      <c r="B2003" t="s">
        <v>4324</v>
      </c>
      <c r="C2003">
        <v>10</v>
      </c>
      <c r="D2003" s="260">
        <v>46321</v>
      </c>
      <c r="E2003" s="260">
        <v>46332</v>
      </c>
      <c r="F2003">
        <v>37</v>
      </c>
      <c r="G2003" t="s">
        <v>353</v>
      </c>
    </row>
    <row r="2004" spans="1:7">
      <c r="A2004" t="s">
        <v>4325</v>
      </c>
      <c r="B2004" t="s">
        <v>4326</v>
      </c>
      <c r="C2004">
        <v>15</v>
      </c>
      <c r="D2004" s="260">
        <v>46254</v>
      </c>
      <c r="E2004" s="260">
        <v>46274</v>
      </c>
      <c r="F2004">
        <v>37</v>
      </c>
      <c r="G2004" t="s">
        <v>353</v>
      </c>
    </row>
    <row r="2005" spans="1:7">
      <c r="A2005" t="s">
        <v>4327</v>
      </c>
      <c r="B2005" t="s">
        <v>4328</v>
      </c>
      <c r="C2005">
        <v>10</v>
      </c>
      <c r="D2005" s="260">
        <v>46289</v>
      </c>
      <c r="E2005" s="260">
        <v>46302</v>
      </c>
      <c r="F2005">
        <v>37</v>
      </c>
      <c r="G2005" t="s">
        <v>353</v>
      </c>
    </row>
    <row r="2006" spans="1:7">
      <c r="A2006" t="s">
        <v>4329</v>
      </c>
      <c r="B2006" t="s">
        <v>4330</v>
      </c>
      <c r="C2006">
        <v>10</v>
      </c>
      <c r="D2006" s="260">
        <v>46321</v>
      </c>
      <c r="E2006" s="260">
        <v>46332</v>
      </c>
      <c r="F2006">
        <v>37</v>
      </c>
      <c r="G2006" t="s">
        <v>353</v>
      </c>
    </row>
    <row r="2007" spans="1:7">
      <c r="A2007" t="s">
        <v>4331</v>
      </c>
      <c r="B2007" t="s">
        <v>4332</v>
      </c>
      <c r="C2007">
        <v>15</v>
      </c>
      <c r="D2007" s="260">
        <v>46275</v>
      </c>
      <c r="E2007" s="260">
        <v>46295</v>
      </c>
      <c r="F2007">
        <v>42</v>
      </c>
      <c r="G2007" t="s">
        <v>353</v>
      </c>
    </row>
    <row r="2008" spans="1:7">
      <c r="A2008" t="s">
        <v>4333</v>
      </c>
      <c r="B2008" t="s">
        <v>4334</v>
      </c>
      <c r="C2008">
        <v>10</v>
      </c>
      <c r="D2008" s="260">
        <v>46321</v>
      </c>
      <c r="E2008" s="260">
        <v>46332</v>
      </c>
      <c r="F2008">
        <v>37</v>
      </c>
      <c r="G2008" t="s">
        <v>353</v>
      </c>
    </row>
    <row r="2009" spans="1:7">
      <c r="A2009" t="s">
        <v>4335</v>
      </c>
      <c r="B2009" t="s">
        <v>4336</v>
      </c>
      <c r="C2009">
        <v>15</v>
      </c>
      <c r="D2009" s="260">
        <v>46275</v>
      </c>
      <c r="E2009" s="260">
        <v>46295</v>
      </c>
      <c r="F2009">
        <v>42</v>
      </c>
      <c r="G2009" t="s">
        <v>353</v>
      </c>
    </row>
    <row r="2010" spans="1:7">
      <c r="A2010" t="s">
        <v>4337</v>
      </c>
      <c r="B2010" t="s">
        <v>4338</v>
      </c>
      <c r="C2010">
        <v>10</v>
      </c>
      <c r="D2010" s="260">
        <v>46321</v>
      </c>
      <c r="E2010" s="260">
        <v>46332</v>
      </c>
      <c r="F2010">
        <v>37</v>
      </c>
      <c r="G2010" t="s">
        <v>353</v>
      </c>
    </row>
    <row r="2011" spans="1:7">
      <c r="A2011" t="s">
        <v>4339</v>
      </c>
      <c r="C2011">
        <v>135</v>
      </c>
      <c r="D2011" s="260">
        <v>46148</v>
      </c>
      <c r="E2011" s="260">
        <v>46346</v>
      </c>
      <c r="F2011">
        <v>27</v>
      </c>
      <c r="G2011" t="s">
        <v>353</v>
      </c>
    </row>
    <row r="2012" spans="1:7">
      <c r="A2012" t="s">
        <v>4340</v>
      </c>
      <c r="B2012" t="s">
        <v>4341</v>
      </c>
      <c r="C2012">
        <v>15</v>
      </c>
      <c r="D2012" s="260">
        <v>46239</v>
      </c>
      <c r="E2012" s="260">
        <v>46260</v>
      </c>
      <c r="F2012">
        <v>7</v>
      </c>
      <c r="G2012" t="s">
        <v>353</v>
      </c>
    </row>
    <row r="2013" spans="1:7">
      <c r="A2013" t="s">
        <v>4342</v>
      </c>
      <c r="B2013" t="s">
        <v>4343</v>
      </c>
      <c r="C2013">
        <v>10</v>
      </c>
      <c r="D2013" s="260">
        <v>46275</v>
      </c>
      <c r="E2013" s="260">
        <v>46288</v>
      </c>
      <c r="F2013">
        <v>42</v>
      </c>
      <c r="G2013" t="s">
        <v>353</v>
      </c>
    </row>
    <row r="2014" spans="1:7">
      <c r="A2014" t="s">
        <v>4344</v>
      </c>
      <c r="B2014" t="s">
        <v>4345</v>
      </c>
      <c r="C2014">
        <v>10</v>
      </c>
      <c r="D2014" s="260">
        <v>46335</v>
      </c>
      <c r="E2014" s="260">
        <v>46346</v>
      </c>
      <c r="F2014">
        <v>22</v>
      </c>
      <c r="G2014" t="s">
        <v>353</v>
      </c>
    </row>
    <row r="2015" spans="1:7">
      <c r="A2015" t="s">
        <v>4346</v>
      </c>
      <c r="B2015" t="s">
        <v>4347</v>
      </c>
      <c r="C2015">
        <v>15</v>
      </c>
      <c r="D2015" s="260">
        <v>46239</v>
      </c>
      <c r="E2015" s="260">
        <v>46260</v>
      </c>
      <c r="F2015">
        <v>7</v>
      </c>
      <c r="G2015" t="s">
        <v>353</v>
      </c>
    </row>
    <row r="2016" spans="1:7">
      <c r="A2016" t="s">
        <v>4348</v>
      </c>
      <c r="B2016" t="s">
        <v>4349</v>
      </c>
      <c r="C2016">
        <v>10</v>
      </c>
      <c r="D2016" s="260">
        <v>46275</v>
      </c>
      <c r="E2016" s="260">
        <v>46288</v>
      </c>
      <c r="F2016">
        <v>42</v>
      </c>
      <c r="G2016" t="s">
        <v>353</v>
      </c>
    </row>
    <row r="2017" spans="1:7">
      <c r="A2017" t="s">
        <v>4350</v>
      </c>
      <c r="B2017" t="s">
        <v>4351</v>
      </c>
      <c r="C2017">
        <v>10</v>
      </c>
      <c r="D2017" s="260">
        <v>46335</v>
      </c>
      <c r="E2017" s="260">
        <v>46346</v>
      </c>
      <c r="F2017">
        <v>22</v>
      </c>
      <c r="G2017" t="s">
        <v>353</v>
      </c>
    </row>
    <row r="2018" spans="1:7">
      <c r="A2018" t="s">
        <v>4352</v>
      </c>
      <c r="B2018" t="s">
        <v>4353</v>
      </c>
      <c r="C2018">
        <v>15</v>
      </c>
      <c r="D2018" s="260">
        <v>46239</v>
      </c>
      <c r="E2018" s="260">
        <v>46260</v>
      </c>
      <c r="F2018">
        <v>7</v>
      </c>
      <c r="G2018" t="s">
        <v>353</v>
      </c>
    </row>
    <row r="2019" spans="1:7">
      <c r="A2019" t="s">
        <v>4354</v>
      </c>
      <c r="B2019" t="s">
        <v>4355</v>
      </c>
      <c r="C2019">
        <v>10</v>
      </c>
      <c r="D2019" s="260">
        <v>46275</v>
      </c>
      <c r="E2019" s="260">
        <v>46288</v>
      </c>
      <c r="F2019">
        <v>42</v>
      </c>
      <c r="G2019" t="s">
        <v>353</v>
      </c>
    </row>
    <row r="2020" spans="1:7">
      <c r="A2020" t="s">
        <v>4356</v>
      </c>
      <c r="B2020" t="s">
        <v>4357</v>
      </c>
      <c r="C2020">
        <v>10</v>
      </c>
      <c r="D2020" s="260">
        <v>46335</v>
      </c>
      <c r="E2020" s="260">
        <v>46346</v>
      </c>
      <c r="F2020">
        <v>22</v>
      </c>
      <c r="G2020" t="s">
        <v>353</v>
      </c>
    </row>
    <row r="2021" spans="1:7">
      <c r="A2021" t="s">
        <v>4358</v>
      </c>
      <c r="B2021" t="s">
        <v>4359</v>
      </c>
      <c r="C2021">
        <v>15</v>
      </c>
      <c r="D2021" s="260">
        <v>46239</v>
      </c>
      <c r="E2021" s="260">
        <v>46260</v>
      </c>
      <c r="F2021">
        <v>7</v>
      </c>
      <c r="G2021" t="s">
        <v>353</v>
      </c>
    </row>
    <row r="2022" spans="1:7">
      <c r="A2022" t="s">
        <v>4360</v>
      </c>
      <c r="B2022" t="s">
        <v>4361</v>
      </c>
      <c r="C2022">
        <v>10</v>
      </c>
      <c r="D2022" s="260">
        <v>46275</v>
      </c>
      <c r="E2022" s="260">
        <v>46288</v>
      </c>
      <c r="F2022">
        <v>42</v>
      </c>
      <c r="G2022" t="s">
        <v>353</v>
      </c>
    </row>
    <row r="2023" spans="1:7">
      <c r="A2023" t="s">
        <v>4362</v>
      </c>
      <c r="B2023" t="s">
        <v>4363</v>
      </c>
      <c r="C2023">
        <v>10</v>
      </c>
      <c r="D2023" s="260">
        <v>46335</v>
      </c>
      <c r="E2023" s="260">
        <v>46346</v>
      </c>
      <c r="F2023">
        <v>22</v>
      </c>
      <c r="G2023" t="s">
        <v>353</v>
      </c>
    </row>
    <row r="2024" spans="1:7">
      <c r="A2024" t="s">
        <v>4364</v>
      </c>
      <c r="B2024" t="s">
        <v>4365</v>
      </c>
      <c r="C2024">
        <v>15</v>
      </c>
      <c r="D2024" s="260">
        <v>46239</v>
      </c>
      <c r="E2024" s="260">
        <v>46260</v>
      </c>
      <c r="F2024">
        <v>7</v>
      </c>
      <c r="G2024" t="s">
        <v>353</v>
      </c>
    </row>
    <row r="2025" spans="1:7">
      <c r="A2025" t="s">
        <v>4366</v>
      </c>
      <c r="B2025" t="s">
        <v>4367</v>
      </c>
      <c r="C2025">
        <v>10</v>
      </c>
      <c r="D2025" s="260">
        <v>46275</v>
      </c>
      <c r="E2025" s="260">
        <v>46288</v>
      </c>
      <c r="F2025">
        <v>42</v>
      </c>
      <c r="G2025" t="s">
        <v>353</v>
      </c>
    </row>
    <row r="2026" spans="1:7">
      <c r="A2026" t="s">
        <v>4368</v>
      </c>
      <c r="B2026" t="s">
        <v>4369</v>
      </c>
      <c r="C2026">
        <v>10</v>
      </c>
      <c r="D2026" s="260">
        <v>46335</v>
      </c>
      <c r="E2026" s="260">
        <v>46346</v>
      </c>
      <c r="F2026">
        <v>22</v>
      </c>
      <c r="G2026" t="s">
        <v>353</v>
      </c>
    </row>
    <row r="2027" spans="1:7">
      <c r="A2027" t="s">
        <v>4370</v>
      </c>
      <c r="B2027" t="s">
        <v>4371</v>
      </c>
      <c r="C2027">
        <v>10</v>
      </c>
      <c r="D2027" s="260">
        <v>46148</v>
      </c>
      <c r="E2027" s="260">
        <v>46161</v>
      </c>
      <c r="F2027">
        <v>-10</v>
      </c>
      <c r="G2027" t="s">
        <v>353</v>
      </c>
    </row>
    <row r="2028" spans="1:7">
      <c r="A2028" t="s">
        <v>4372</v>
      </c>
      <c r="B2028" t="s">
        <v>4373</v>
      </c>
      <c r="C2028">
        <v>10</v>
      </c>
      <c r="D2028" s="260">
        <v>46178</v>
      </c>
      <c r="E2028" s="260">
        <v>46191</v>
      </c>
      <c r="F2028">
        <v>5</v>
      </c>
      <c r="G2028" t="s">
        <v>353</v>
      </c>
    </row>
    <row r="2029" spans="1:7">
      <c r="A2029" t="s">
        <v>4374</v>
      </c>
      <c r="B2029" t="s">
        <v>4375</v>
      </c>
      <c r="C2029">
        <v>10</v>
      </c>
      <c r="D2029" s="260">
        <v>46219</v>
      </c>
      <c r="E2029" s="260">
        <v>46237</v>
      </c>
      <c r="F2029">
        <v>-1</v>
      </c>
      <c r="G2029" t="s">
        <v>353</v>
      </c>
    </row>
    <row r="2030" spans="1:7">
      <c r="A2030" t="s">
        <v>4376</v>
      </c>
      <c r="B2030" t="s">
        <v>4377</v>
      </c>
      <c r="C2030">
        <v>10</v>
      </c>
      <c r="D2030" s="260">
        <v>46275</v>
      </c>
      <c r="E2030" s="260">
        <v>46288</v>
      </c>
      <c r="F2030">
        <v>7</v>
      </c>
      <c r="G2030" t="s">
        <v>353</v>
      </c>
    </row>
    <row r="2031" spans="1:7">
      <c r="A2031" t="s">
        <v>4378</v>
      </c>
      <c r="B2031" t="s">
        <v>4379</v>
      </c>
      <c r="C2031">
        <v>10</v>
      </c>
      <c r="D2031" s="260">
        <v>46303</v>
      </c>
      <c r="E2031" s="260">
        <v>46317</v>
      </c>
      <c r="F2031">
        <v>22</v>
      </c>
      <c r="G2031" t="s">
        <v>353</v>
      </c>
    </row>
    <row r="2032" spans="1:7">
      <c r="A2032" t="s">
        <v>4380</v>
      </c>
      <c r="B2032" t="s">
        <v>4381</v>
      </c>
      <c r="C2032">
        <v>10</v>
      </c>
      <c r="D2032" s="260">
        <v>46335</v>
      </c>
      <c r="E2032" s="260">
        <v>46346</v>
      </c>
      <c r="F2032">
        <v>22</v>
      </c>
      <c r="G2032" t="s">
        <v>353</v>
      </c>
    </row>
    <row r="2033" spans="1:7">
      <c r="A2033" t="s">
        <v>4382</v>
      </c>
      <c r="B2033" t="s">
        <v>4383</v>
      </c>
      <c r="C2033">
        <v>15</v>
      </c>
      <c r="D2033" s="260">
        <v>46239</v>
      </c>
      <c r="E2033" s="260">
        <v>46260</v>
      </c>
      <c r="F2033">
        <v>47</v>
      </c>
      <c r="G2033" t="s">
        <v>353</v>
      </c>
    </row>
    <row r="2034" spans="1:7">
      <c r="A2034" t="s">
        <v>4384</v>
      </c>
      <c r="B2034" t="s">
        <v>4385</v>
      </c>
      <c r="C2034">
        <v>10</v>
      </c>
      <c r="D2034" s="260">
        <v>46275</v>
      </c>
      <c r="E2034" s="260">
        <v>46288</v>
      </c>
      <c r="F2034">
        <v>47</v>
      </c>
      <c r="G2034" t="s">
        <v>353</v>
      </c>
    </row>
    <row r="2035" spans="1:7">
      <c r="A2035" t="s">
        <v>4386</v>
      </c>
      <c r="B2035" t="s">
        <v>4387</v>
      </c>
      <c r="C2035">
        <v>10</v>
      </c>
      <c r="D2035" s="260">
        <v>46335</v>
      </c>
      <c r="E2035" s="260">
        <v>46346</v>
      </c>
      <c r="F2035">
        <v>27</v>
      </c>
      <c r="G2035" t="s">
        <v>353</v>
      </c>
    </row>
    <row r="2036" spans="1:7">
      <c r="A2036" t="s">
        <v>4388</v>
      </c>
      <c r="B2036" t="s">
        <v>4389</v>
      </c>
      <c r="C2036">
        <v>15</v>
      </c>
      <c r="D2036" s="260">
        <v>46239</v>
      </c>
      <c r="E2036" s="260">
        <v>46260</v>
      </c>
      <c r="F2036">
        <v>47</v>
      </c>
      <c r="G2036" t="s">
        <v>353</v>
      </c>
    </row>
    <row r="2037" spans="1:7">
      <c r="A2037" t="s">
        <v>4390</v>
      </c>
      <c r="B2037" t="s">
        <v>4391</v>
      </c>
      <c r="C2037">
        <v>10</v>
      </c>
      <c r="D2037" s="260">
        <v>46275</v>
      </c>
      <c r="E2037" s="260">
        <v>46288</v>
      </c>
      <c r="F2037">
        <v>47</v>
      </c>
      <c r="G2037" t="s">
        <v>353</v>
      </c>
    </row>
    <row r="2038" spans="1:7">
      <c r="A2038" t="s">
        <v>4392</v>
      </c>
      <c r="B2038" t="s">
        <v>4393</v>
      </c>
      <c r="C2038">
        <v>10</v>
      </c>
      <c r="D2038" s="260">
        <v>46335</v>
      </c>
      <c r="E2038" s="260">
        <v>46346</v>
      </c>
      <c r="F2038">
        <v>27</v>
      </c>
      <c r="G2038" t="s">
        <v>353</v>
      </c>
    </row>
    <row r="2039" spans="1:7">
      <c r="A2039" t="s">
        <v>4394</v>
      </c>
      <c r="B2039" t="s">
        <v>4395</v>
      </c>
      <c r="C2039">
        <v>15</v>
      </c>
      <c r="D2039" s="260">
        <v>46239</v>
      </c>
      <c r="E2039" s="260">
        <v>46260</v>
      </c>
      <c r="F2039">
        <v>47</v>
      </c>
      <c r="G2039" t="s">
        <v>353</v>
      </c>
    </row>
    <row r="2040" spans="1:7">
      <c r="A2040" t="s">
        <v>4396</v>
      </c>
      <c r="B2040" t="s">
        <v>4397</v>
      </c>
      <c r="C2040">
        <v>10</v>
      </c>
      <c r="D2040" s="260">
        <v>46275</v>
      </c>
      <c r="E2040" s="260">
        <v>46288</v>
      </c>
      <c r="F2040">
        <v>47</v>
      </c>
      <c r="G2040" t="s">
        <v>353</v>
      </c>
    </row>
    <row r="2041" spans="1:7">
      <c r="A2041" t="s">
        <v>4398</v>
      </c>
      <c r="B2041" t="s">
        <v>4399</v>
      </c>
      <c r="C2041">
        <v>10</v>
      </c>
      <c r="D2041" s="260">
        <v>46335</v>
      </c>
      <c r="E2041" s="260">
        <v>46346</v>
      </c>
      <c r="F2041">
        <v>27</v>
      </c>
      <c r="G2041" t="s">
        <v>353</v>
      </c>
    </row>
    <row r="2042" spans="1:7">
      <c r="A2042" t="s">
        <v>4400</v>
      </c>
      <c r="B2042" t="s">
        <v>4401</v>
      </c>
      <c r="C2042">
        <v>15</v>
      </c>
      <c r="D2042" s="260">
        <v>46239</v>
      </c>
      <c r="E2042" s="260">
        <v>46260</v>
      </c>
      <c r="F2042">
        <v>47</v>
      </c>
      <c r="G2042" t="s">
        <v>353</v>
      </c>
    </row>
    <row r="2043" spans="1:7">
      <c r="A2043" t="s">
        <v>4402</v>
      </c>
      <c r="B2043" t="s">
        <v>4403</v>
      </c>
      <c r="C2043">
        <v>10</v>
      </c>
      <c r="D2043" s="260">
        <v>46275</v>
      </c>
      <c r="E2043" s="260">
        <v>46288</v>
      </c>
      <c r="F2043">
        <v>47</v>
      </c>
      <c r="G2043" t="s">
        <v>353</v>
      </c>
    </row>
    <row r="2044" spans="1:7">
      <c r="A2044" t="s">
        <v>4404</v>
      </c>
      <c r="B2044" t="s">
        <v>4405</v>
      </c>
      <c r="C2044">
        <v>10</v>
      </c>
      <c r="D2044" s="260">
        <v>46335</v>
      </c>
      <c r="E2044" s="260">
        <v>46346</v>
      </c>
      <c r="F2044">
        <v>27</v>
      </c>
      <c r="G2044" t="s">
        <v>353</v>
      </c>
    </row>
    <row r="2045" spans="1:7">
      <c r="A2045" t="s">
        <v>4406</v>
      </c>
      <c r="B2045" t="s">
        <v>4407</v>
      </c>
      <c r="C2045">
        <v>15</v>
      </c>
      <c r="D2045" s="260">
        <v>46239</v>
      </c>
      <c r="E2045" s="260">
        <v>46260</v>
      </c>
      <c r="F2045">
        <v>47</v>
      </c>
      <c r="G2045" t="s">
        <v>353</v>
      </c>
    </row>
    <row r="2046" spans="1:7">
      <c r="A2046" t="s">
        <v>4408</v>
      </c>
      <c r="B2046" t="s">
        <v>4409</v>
      </c>
      <c r="C2046">
        <v>10</v>
      </c>
      <c r="D2046" s="260">
        <v>46275</v>
      </c>
      <c r="E2046" s="260">
        <v>46288</v>
      </c>
      <c r="F2046">
        <v>47</v>
      </c>
      <c r="G2046" t="s">
        <v>353</v>
      </c>
    </row>
    <row r="2047" spans="1:7">
      <c r="A2047" t="s">
        <v>4410</v>
      </c>
      <c r="B2047" t="s">
        <v>4411</v>
      </c>
      <c r="C2047">
        <v>10</v>
      </c>
      <c r="D2047" s="260">
        <v>46335</v>
      </c>
      <c r="E2047" s="260">
        <v>46346</v>
      </c>
      <c r="F2047">
        <v>27</v>
      </c>
      <c r="G2047" t="s">
        <v>353</v>
      </c>
    </row>
    <row r="2048" spans="1:7">
      <c r="A2048" t="s">
        <v>4412</v>
      </c>
      <c r="B2048" t="s">
        <v>4413</v>
      </c>
      <c r="C2048">
        <v>10</v>
      </c>
      <c r="D2048" s="260">
        <v>46148</v>
      </c>
      <c r="E2048" s="260">
        <v>46161</v>
      </c>
      <c r="F2048">
        <v>-10</v>
      </c>
      <c r="G2048" t="s">
        <v>353</v>
      </c>
    </row>
    <row r="2049" spans="1:7">
      <c r="A2049" t="s">
        <v>4414</v>
      </c>
      <c r="B2049" t="s">
        <v>4415</v>
      </c>
      <c r="C2049">
        <v>10</v>
      </c>
      <c r="D2049" s="260">
        <v>46178</v>
      </c>
      <c r="E2049" s="260">
        <v>46191</v>
      </c>
      <c r="F2049">
        <v>5</v>
      </c>
      <c r="G2049" t="s">
        <v>353</v>
      </c>
    </row>
    <row r="2050" spans="1:7">
      <c r="A2050" t="s">
        <v>4416</v>
      </c>
      <c r="B2050" t="s">
        <v>4417</v>
      </c>
      <c r="C2050">
        <v>10</v>
      </c>
      <c r="D2050" s="260">
        <v>46219</v>
      </c>
      <c r="E2050" s="260">
        <v>46237</v>
      </c>
      <c r="F2050">
        <v>-1</v>
      </c>
      <c r="G2050" t="s">
        <v>353</v>
      </c>
    </row>
    <row r="2051" spans="1:7">
      <c r="A2051" t="s">
        <v>4418</v>
      </c>
      <c r="B2051" t="s">
        <v>4419</v>
      </c>
      <c r="C2051">
        <v>10</v>
      </c>
      <c r="D2051" s="260">
        <v>46275</v>
      </c>
      <c r="E2051" s="260">
        <v>46288</v>
      </c>
      <c r="F2051">
        <v>7</v>
      </c>
      <c r="G2051" t="s">
        <v>353</v>
      </c>
    </row>
    <row r="2052" spans="1:7">
      <c r="A2052" t="s">
        <v>4420</v>
      </c>
      <c r="B2052" t="s">
        <v>4421</v>
      </c>
      <c r="C2052">
        <v>10</v>
      </c>
      <c r="D2052" s="260">
        <v>46303</v>
      </c>
      <c r="E2052" s="260">
        <v>46317</v>
      </c>
      <c r="F2052">
        <v>22</v>
      </c>
      <c r="G2052" t="s">
        <v>353</v>
      </c>
    </row>
    <row r="2053" spans="1:7">
      <c r="A2053" t="s">
        <v>4422</v>
      </c>
      <c r="B2053" t="s">
        <v>4423</v>
      </c>
      <c r="C2053">
        <v>10</v>
      </c>
      <c r="D2053" s="260">
        <v>46335</v>
      </c>
      <c r="E2053" s="260">
        <v>46346</v>
      </c>
      <c r="F2053">
        <v>22</v>
      </c>
      <c r="G2053" t="s">
        <v>353</v>
      </c>
    </row>
    <row r="2054" spans="1:7">
      <c r="A2054" t="s">
        <v>4424</v>
      </c>
      <c r="C2054">
        <v>153</v>
      </c>
      <c r="D2054" s="260">
        <v>46150</v>
      </c>
      <c r="E2054" s="260">
        <v>46378</v>
      </c>
      <c r="F2054">
        <v>7</v>
      </c>
      <c r="G2054" t="s">
        <v>353</v>
      </c>
    </row>
    <row r="2055" spans="1:7">
      <c r="A2055" t="s">
        <v>4425</v>
      </c>
      <c r="B2055" t="s">
        <v>4426</v>
      </c>
      <c r="C2055">
        <v>10</v>
      </c>
      <c r="D2055" s="260">
        <v>46150</v>
      </c>
      <c r="E2055" s="260">
        <v>46163</v>
      </c>
      <c r="F2055">
        <v>-10</v>
      </c>
      <c r="G2055" t="s">
        <v>353</v>
      </c>
    </row>
    <row r="2056" spans="1:7">
      <c r="A2056" t="s">
        <v>4427</v>
      </c>
      <c r="B2056" t="s">
        <v>4428</v>
      </c>
      <c r="C2056">
        <v>10</v>
      </c>
      <c r="D2056" s="260">
        <v>46192</v>
      </c>
      <c r="E2056" s="260">
        <v>46205</v>
      </c>
      <c r="F2056">
        <v>5</v>
      </c>
      <c r="G2056" t="s">
        <v>353</v>
      </c>
    </row>
    <row r="2057" spans="1:7">
      <c r="A2057" t="s">
        <v>4429</v>
      </c>
      <c r="B2057" t="s">
        <v>4430</v>
      </c>
      <c r="C2057">
        <v>5</v>
      </c>
      <c r="D2057" s="260">
        <v>46245</v>
      </c>
      <c r="E2057" s="260">
        <v>46252</v>
      </c>
      <c r="F2057">
        <v>-10</v>
      </c>
      <c r="G2057" t="s">
        <v>353</v>
      </c>
    </row>
    <row r="2058" spans="1:7">
      <c r="A2058" t="s">
        <v>4431</v>
      </c>
      <c r="B2058" t="s">
        <v>4432</v>
      </c>
      <c r="C2058">
        <v>15</v>
      </c>
      <c r="D2058" s="260">
        <v>46261</v>
      </c>
      <c r="E2058" s="260">
        <v>46281</v>
      </c>
      <c r="F2058">
        <v>7</v>
      </c>
      <c r="G2058" t="s">
        <v>353</v>
      </c>
    </row>
    <row r="2059" spans="1:7">
      <c r="A2059" t="s">
        <v>4433</v>
      </c>
      <c r="B2059" t="s">
        <v>4434</v>
      </c>
      <c r="C2059">
        <v>5</v>
      </c>
      <c r="D2059" s="260">
        <v>46372</v>
      </c>
      <c r="E2059" s="260">
        <v>46378</v>
      </c>
      <c r="F2059">
        <v>7</v>
      </c>
      <c r="G2059" t="s">
        <v>353</v>
      </c>
    </row>
    <row r="2060" spans="1:7">
      <c r="A2060" t="s">
        <v>4435</v>
      </c>
      <c r="B2060" t="s">
        <v>4436</v>
      </c>
      <c r="C2060">
        <v>10</v>
      </c>
      <c r="D2060" s="260">
        <v>46275</v>
      </c>
      <c r="E2060" s="260">
        <v>46288</v>
      </c>
      <c r="F2060">
        <v>7</v>
      </c>
      <c r="G2060" t="s">
        <v>353</v>
      </c>
    </row>
    <row r="2061" spans="1:7">
      <c r="A2061" t="s">
        <v>4437</v>
      </c>
      <c r="B2061" t="s">
        <v>4438</v>
      </c>
      <c r="C2061">
        <v>5</v>
      </c>
      <c r="D2061" s="260">
        <v>46372</v>
      </c>
      <c r="E2061" s="260">
        <v>46378</v>
      </c>
      <c r="F2061">
        <v>7</v>
      </c>
      <c r="G2061" t="s">
        <v>353</v>
      </c>
    </row>
    <row r="2062" spans="1:7">
      <c r="A2062" t="s">
        <v>4439</v>
      </c>
      <c r="C2062">
        <v>111</v>
      </c>
      <c r="D2062" s="260">
        <v>46191</v>
      </c>
      <c r="E2062" s="260">
        <v>46353</v>
      </c>
      <c r="F2062">
        <v>7</v>
      </c>
      <c r="G2062" t="s">
        <v>353</v>
      </c>
    </row>
    <row r="2063" spans="1:7">
      <c r="A2063" t="s">
        <v>4440</v>
      </c>
      <c r="B2063" t="s">
        <v>4441</v>
      </c>
      <c r="C2063">
        <v>20</v>
      </c>
      <c r="D2063" s="260">
        <v>46191</v>
      </c>
      <c r="E2063" s="260">
        <v>46218</v>
      </c>
      <c r="F2063">
        <v>-10</v>
      </c>
      <c r="G2063" t="s">
        <v>353</v>
      </c>
    </row>
    <row r="2064" spans="1:7">
      <c r="A2064" t="s">
        <v>4442</v>
      </c>
      <c r="B2064" t="s">
        <v>4443</v>
      </c>
      <c r="C2064">
        <v>5</v>
      </c>
      <c r="D2064" s="260">
        <v>46238</v>
      </c>
      <c r="E2064" s="260">
        <v>46244</v>
      </c>
      <c r="F2064">
        <v>-10</v>
      </c>
      <c r="G2064" t="s">
        <v>353</v>
      </c>
    </row>
    <row r="2065" spans="1:7">
      <c r="A2065" t="s">
        <v>4444</v>
      </c>
      <c r="B2065" t="s">
        <v>4445</v>
      </c>
      <c r="C2065">
        <v>20</v>
      </c>
      <c r="D2065" s="260">
        <v>46303</v>
      </c>
      <c r="E2065" s="260">
        <v>46332</v>
      </c>
      <c r="F2065">
        <v>7</v>
      </c>
      <c r="G2065" t="s">
        <v>353</v>
      </c>
    </row>
    <row r="2066" spans="1:7">
      <c r="A2066" t="s">
        <v>4446</v>
      </c>
      <c r="B2066" t="s">
        <v>4447</v>
      </c>
      <c r="C2066">
        <v>5</v>
      </c>
      <c r="D2066" s="260">
        <v>46349</v>
      </c>
      <c r="E2066" s="260">
        <v>46353</v>
      </c>
      <c r="F2066">
        <v>7</v>
      </c>
      <c r="G2066" t="s">
        <v>353</v>
      </c>
    </row>
    <row r="2067" spans="1:7">
      <c r="A2067" t="s">
        <v>4448</v>
      </c>
      <c r="B2067" t="s">
        <v>4449</v>
      </c>
      <c r="C2067">
        <v>20</v>
      </c>
      <c r="D2067" s="260">
        <v>46303</v>
      </c>
      <c r="E2067" s="260">
        <v>46332</v>
      </c>
      <c r="F2067">
        <v>7</v>
      </c>
      <c r="G2067" t="s">
        <v>353</v>
      </c>
    </row>
    <row r="2068" spans="1:7">
      <c r="A2068" t="s">
        <v>4450</v>
      </c>
      <c r="B2068" t="s">
        <v>4451</v>
      </c>
      <c r="C2068">
        <v>5</v>
      </c>
      <c r="D2068" s="260">
        <v>46349</v>
      </c>
      <c r="E2068" s="260">
        <v>46353</v>
      </c>
      <c r="F2068">
        <v>7</v>
      </c>
      <c r="G2068" t="s">
        <v>353</v>
      </c>
    </row>
    <row r="2069" spans="1:7">
      <c r="A2069" t="s">
        <v>4452</v>
      </c>
      <c r="C2069">
        <v>180</v>
      </c>
      <c r="D2069" s="260">
        <v>46085</v>
      </c>
      <c r="E2069" s="260">
        <v>46353</v>
      </c>
      <c r="F2069">
        <v>22</v>
      </c>
      <c r="G2069" t="s">
        <v>353</v>
      </c>
    </row>
    <row r="2070" spans="1:7">
      <c r="A2070" t="s">
        <v>4453</v>
      </c>
      <c r="B2070" t="s">
        <v>4454</v>
      </c>
      <c r="C2070">
        <v>20</v>
      </c>
      <c r="D2070" s="260">
        <v>46085</v>
      </c>
      <c r="E2070" s="260">
        <v>46112</v>
      </c>
      <c r="F2070">
        <v>52</v>
      </c>
      <c r="G2070" t="s">
        <v>353</v>
      </c>
    </row>
    <row r="2071" spans="1:7">
      <c r="A2071" t="s">
        <v>4455</v>
      </c>
      <c r="B2071" t="s">
        <v>4456</v>
      </c>
      <c r="C2071">
        <v>10</v>
      </c>
      <c r="D2071" s="260">
        <v>46133</v>
      </c>
      <c r="E2071" s="260">
        <v>46147</v>
      </c>
      <c r="F2071">
        <v>142</v>
      </c>
      <c r="G2071" t="s">
        <v>353</v>
      </c>
    </row>
    <row r="2072" spans="1:7">
      <c r="A2072" t="s">
        <v>4457</v>
      </c>
      <c r="B2072" t="s">
        <v>4458</v>
      </c>
      <c r="C2072">
        <v>10</v>
      </c>
      <c r="D2072" s="260">
        <v>46162</v>
      </c>
      <c r="E2072" s="260">
        <v>46177</v>
      </c>
      <c r="F2072">
        <v>142</v>
      </c>
      <c r="G2072" t="s">
        <v>353</v>
      </c>
    </row>
    <row r="2073" spans="1:7">
      <c r="A2073" t="s">
        <v>4459</v>
      </c>
      <c r="B2073" t="s">
        <v>4460</v>
      </c>
      <c r="C2073">
        <v>20</v>
      </c>
      <c r="D2073" s="260">
        <v>46112</v>
      </c>
      <c r="E2073" s="260">
        <v>46146</v>
      </c>
      <c r="F2073">
        <v>143</v>
      </c>
      <c r="G2073" t="s">
        <v>353</v>
      </c>
    </row>
    <row r="2074" spans="1:7">
      <c r="A2074" t="s">
        <v>4461</v>
      </c>
      <c r="B2074" t="s">
        <v>4462</v>
      </c>
      <c r="C2074">
        <v>10</v>
      </c>
      <c r="D2074" s="260">
        <v>46161</v>
      </c>
      <c r="E2074" s="260">
        <v>46175</v>
      </c>
      <c r="F2074">
        <v>143</v>
      </c>
      <c r="G2074" t="s">
        <v>353</v>
      </c>
    </row>
    <row r="2075" spans="1:7">
      <c r="A2075" t="s">
        <v>4463</v>
      </c>
      <c r="B2075" t="s">
        <v>4464</v>
      </c>
      <c r="C2075">
        <v>20</v>
      </c>
      <c r="D2075" s="260">
        <v>46111</v>
      </c>
      <c r="E2075" s="260">
        <v>46142</v>
      </c>
      <c r="F2075">
        <v>101</v>
      </c>
      <c r="G2075" t="s">
        <v>353</v>
      </c>
    </row>
    <row r="2076" spans="1:7">
      <c r="A2076" t="s">
        <v>4465</v>
      </c>
      <c r="B2076" t="s">
        <v>4466</v>
      </c>
      <c r="C2076">
        <v>10</v>
      </c>
      <c r="D2076" s="260">
        <v>46160</v>
      </c>
      <c r="E2076" s="260">
        <v>46171</v>
      </c>
      <c r="F2076">
        <v>144</v>
      </c>
      <c r="G2076" t="s">
        <v>353</v>
      </c>
    </row>
    <row r="2077" spans="1:7">
      <c r="A2077" t="s">
        <v>4467</v>
      </c>
      <c r="B2077" t="s">
        <v>4468</v>
      </c>
      <c r="C2077">
        <v>30</v>
      </c>
      <c r="D2077" s="260">
        <v>46163</v>
      </c>
      <c r="E2077" s="260">
        <v>46206</v>
      </c>
      <c r="F2077">
        <v>101</v>
      </c>
      <c r="G2077" t="s">
        <v>353</v>
      </c>
    </row>
    <row r="2078" spans="1:7">
      <c r="A2078" t="s">
        <v>4469</v>
      </c>
      <c r="B2078" t="s">
        <v>4470</v>
      </c>
      <c r="C2078">
        <v>10</v>
      </c>
      <c r="D2078" s="260">
        <v>46223</v>
      </c>
      <c r="E2078" s="260">
        <v>46239</v>
      </c>
      <c r="F2078">
        <v>101</v>
      </c>
      <c r="G2078" t="s">
        <v>353</v>
      </c>
    </row>
    <row r="2079" spans="1:7">
      <c r="A2079" t="s">
        <v>4471</v>
      </c>
      <c r="B2079" t="s">
        <v>4472</v>
      </c>
      <c r="C2079">
        <v>10</v>
      </c>
      <c r="D2079" s="260">
        <v>46121</v>
      </c>
      <c r="E2079" s="260">
        <v>46139</v>
      </c>
      <c r="F2079">
        <v>152</v>
      </c>
      <c r="G2079" t="s">
        <v>353</v>
      </c>
    </row>
    <row r="2080" spans="1:7">
      <c r="A2080" t="s">
        <v>4473</v>
      </c>
      <c r="B2080" t="s">
        <v>4474</v>
      </c>
      <c r="C2080">
        <v>5</v>
      </c>
      <c r="D2080" s="260">
        <v>46155</v>
      </c>
      <c r="E2080" s="260">
        <v>46161</v>
      </c>
      <c r="F2080">
        <v>152</v>
      </c>
      <c r="G2080" t="s">
        <v>353</v>
      </c>
    </row>
    <row r="2081" spans="1:7">
      <c r="A2081" t="s">
        <v>4475</v>
      </c>
      <c r="B2081" t="s">
        <v>4476</v>
      </c>
      <c r="C2081">
        <v>10</v>
      </c>
      <c r="D2081" s="260">
        <v>46164</v>
      </c>
      <c r="E2081" s="260">
        <v>46181</v>
      </c>
      <c r="F2081">
        <v>105</v>
      </c>
      <c r="G2081" t="s">
        <v>353</v>
      </c>
    </row>
    <row r="2082" spans="1:7">
      <c r="A2082" t="s">
        <v>4477</v>
      </c>
      <c r="B2082" t="s">
        <v>4478</v>
      </c>
      <c r="C2082">
        <v>5</v>
      </c>
      <c r="D2082" s="260">
        <v>46196</v>
      </c>
      <c r="E2082" s="260">
        <v>46202</v>
      </c>
      <c r="F2082">
        <v>105</v>
      </c>
      <c r="G2082" t="s">
        <v>353</v>
      </c>
    </row>
    <row r="2083" spans="1:7">
      <c r="A2083" t="s">
        <v>4479</v>
      </c>
      <c r="B2083" t="s">
        <v>4480</v>
      </c>
      <c r="C2083">
        <v>5</v>
      </c>
      <c r="D2083" s="260">
        <v>46203</v>
      </c>
      <c r="E2083" s="260">
        <v>46209</v>
      </c>
      <c r="F2083">
        <v>105</v>
      </c>
      <c r="G2083" t="s">
        <v>353</v>
      </c>
    </row>
    <row r="2084" spans="1:7">
      <c r="A2084" t="s">
        <v>4481</v>
      </c>
      <c r="B2084" t="s">
        <v>4482</v>
      </c>
      <c r="C2084">
        <v>10</v>
      </c>
      <c r="D2084" s="260">
        <v>46121</v>
      </c>
      <c r="E2084" s="260">
        <v>46139</v>
      </c>
      <c r="F2084">
        <v>152</v>
      </c>
      <c r="G2084" t="s">
        <v>353</v>
      </c>
    </row>
    <row r="2085" spans="1:7">
      <c r="A2085" t="s">
        <v>4483</v>
      </c>
      <c r="B2085" t="s">
        <v>4484</v>
      </c>
      <c r="C2085">
        <v>5</v>
      </c>
      <c r="D2085" s="260">
        <v>46155</v>
      </c>
      <c r="E2085" s="260">
        <v>46161</v>
      </c>
      <c r="F2085">
        <v>152</v>
      </c>
      <c r="G2085" t="s">
        <v>353</v>
      </c>
    </row>
    <row r="2086" spans="1:7">
      <c r="A2086" t="s">
        <v>4485</v>
      </c>
      <c r="B2086" t="s">
        <v>4486</v>
      </c>
      <c r="C2086">
        <v>15</v>
      </c>
      <c r="D2086" s="260">
        <v>46185</v>
      </c>
      <c r="E2086" s="260">
        <v>46205</v>
      </c>
      <c r="F2086">
        <v>97</v>
      </c>
      <c r="G2086" t="s">
        <v>353</v>
      </c>
    </row>
    <row r="2087" spans="1:7">
      <c r="A2087" t="s">
        <v>4487</v>
      </c>
      <c r="B2087" t="s">
        <v>4488</v>
      </c>
      <c r="C2087">
        <v>10</v>
      </c>
      <c r="D2087" s="260">
        <v>46220</v>
      </c>
      <c r="E2087" s="260">
        <v>46238</v>
      </c>
      <c r="F2087">
        <v>97</v>
      </c>
      <c r="G2087" t="s">
        <v>353</v>
      </c>
    </row>
    <row r="2088" spans="1:7">
      <c r="A2088" t="s">
        <v>4489</v>
      </c>
      <c r="B2088" t="s">
        <v>4490</v>
      </c>
      <c r="C2088">
        <v>5</v>
      </c>
      <c r="D2088" s="260">
        <v>46239</v>
      </c>
      <c r="E2088" s="260">
        <v>46245</v>
      </c>
      <c r="F2088">
        <v>97</v>
      </c>
      <c r="G2088" t="s">
        <v>353</v>
      </c>
    </row>
    <row r="2089" spans="1:7">
      <c r="A2089" t="s">
        <v>4491</v>
      </c>
      <c r="B2089" t="s">
        <v>4492</v>
      </c>
      <c r="C2089">
        <v>10</v>
      </c>
      <c r="D2089" s="260">
        <v>46148</v>
      </c>
      <c r="E2089" s="260">
        <v>46161</v>
      </c>
      <c r="F2089">
        <v>67</v>
      </c>
      <c r="G2089" t="s">
        <v>353</v>
      </c>
    </row>
    <row r="2090" spans="1:7">
      <c r="A2090" t="s">
        <v>4493</v>
      </c>
      <c r="B2090" t="s">
        <v>4494</v>
      </c>
      <c r="C2090">
        <v>5</v>
      </c>
      <c r="D2090" s="260">
        <v>46178</v>
      </c>
      <c r="E2090" s="260">
        <v>46184</v>
      </c>
      <c r="F2090">
        <v>132</v>
      </c>
      <c r="G2090" t="s">
        <v>353</v>
      </c>
    </row>
    <row r="2091" spans="1:7">
      <c r="A2091" t="s">
        <v>4495</v>
      </c>
      <c r="B2091" t="s">
        <v>4496</v>
      </c>
      <c r="C2091">
        <v>10</v>
      </c>
      <c r="D2091" s="260">
        <v>46196</v>
      </c>
      <c r="E2091" s="260">
        <v>46209</v>
      </c>
      <c r="F2091">
        <v>75</v>
      </c>
      <c r="G2091" t="s">
        <v>353</v>
      </c>
    </row>
    <row r="2092" spans="1:7">
      <c r="A2092" t="s">
        <v>4497</v>
      </c>
      <c r="B2092" t="s">
        <v>4498</v>
      </c>
      <c r="C2092">
        <v>10</v>
      </c>
      <c r="D2092" s="260">
        <v>46224</v>
      </c>
      <c r="E2092" s="260">
        <v>46240</v>
      </c>
      <c r="F2092">
        <v>90</v>
      </c>
      <c r="G2092" t="s">
        <v>353</v>
      </c>
    </row>
    <row r="2093" spans="1:7">
      <c r="A2093" t="s">
        <v>4499</v>
      </c>
      <c r="B2093" t="s">
        <v>4500</v>
      </c>
      <c r="C2093">
        <v>10</v>
      </c>
      <c r="D2093" s="260">
        <v>46210</v>
      </c>
      <c r="E2093" s="260">
        <v>46223</v>
      </c>
      <c r="F2093">
        <v>75</v>
      </c>
      <c r="G2093" t="s">
        <v>353</v>
      </c>
    </row>
    <row r="2094" spans="1:7">
      <c r="A2094" t="s">
        <v>4501</v>
      </c>
      <c r="B2094" t="s">
        <v>4502</v>
      </c>
      <c r="C2094">
        <v>5</v>
      </c>
      <c r="D2094" s="260">
        <v>46241</v>
      </c>
      <c r="E2094" s="260">
        <v>46248</v>
      </c>
      <c r="F2094">
        <v>75</v>
      </c>
      <c r="G2094" t="s">
        <v>353</v>
      </c>
    </row>
    <row r="2095" spans="1:7">
      <c r="A2095" t="s">
        <v>4503</v>
      </c>
      <c r="B2095" t="s">
        <v>4504</v>
      </c>
      <c r="C2095">
        <v>5</v>
      </c>
      <c r="D2095" s="260">
        <v>46265</v>
      </c>
      <c r="E2095" s="260">
        <v>46269</v>
      </c>
      <c r="F2095">
        <v>75</v>
      </c>
      <c r="G2095" t="s">
        <v>353</v>
      </c>
    </row>
    <row r="2096" spans="1:7">
      <c r="A2096" t="s">
        <v>4505</v>
      </c>
      <c r="B2096" t="s">
        <v>4506</v>
      </c>
      <c r="C2096">
        <v>5</v>
      </c>
      <c r="D2096" s="260">
        <v>46272</v>
      </c>
      <c r="E2096" s="260">
        <v>46276</v>
      </c>
      <c r="F2096">
        <v>75</v>
      </c>
      <c r="G2096" t="s">
        <v>353</v>
      </c>
    </row>
    <row r="2097" spans="1:7">
      <c r="A2097" t="s">
        <v>4507</v>
      </c>
      <c r="B2097" t="s">
        <v>4508</v>
      </c>
      <c r="C2097">
        <v>10</v>
      </c>
      <c r="D2097" s="260">
        <v>46185</v>
      </c>
      <c r="E2097" s="260">
        <v>46198</v>
      </c>
      <c r="F2097">
        <v>52</v>
      </c>
      <c r="G2097" t="s">
        <v>353</v>
      </c>
    </row>
    <row r="2098" spans="1:7">
      <c r="A2098" t="s">
        <v>4509</v>
      </c>
      <c r="B2098" t="s">
        <v>4510</v>
      </c>
      <c r="C2098">
        <v>5</v>
      </c>
      <c r="D2098" s="260">
        <v>46213</v>
      </c>
      <c r="E2098" s="260">
        <v>46219</v>
      </c>
      <c r="F2098">
        <v>112</v>
      </c>
      <c r="G2098" t="s">
        <v>353</v>
      </c>
    </row>
    <row r="2099" spans="1:7">
      <c r="A2099" t="s">
        <v>4511</v>
      </c>
      <c r="B2099" t="s">
        <v>4512</v>
      </c>
      <c r="C2099">
        <v>15</v>
      </c>
      <c r="D2099" s="260">
        <v>46261</v>
      </c>
      <c r="E2099" s="260">
        <v>46281</v>
      </c>
      <c r="F2099">
        <v>52</v>
      </c>
      <c r="G2099" t="s">
        <v>353</v>
      </c>
    </row>
    <row r="2100" spans="1:7">
      <c r="A2100" t="s">
        <v>4513</v>
      </c>
      <c r="B2100" t="s">
        <v>4514</v>
      </c>
      <c r="C2100">
        <v>10</v>
      </c>
      <c r="D2100" s="260">
        <v>46296</v>
      </c>
      <c r="E2100" s="260">
        <v>46310</v>
      </c>
      <c r="F2100">
        <v>52</v>
      </c>
      <c r="G2100" t="s">
        <v>353</v>
      </c>
    </row>
    <row r="2101" spans="1:7">
      <c r="A2101" t="s">
        <v>4515</v>
      </c>
      <c r="B2101" t="s">
        <v>4516</v>
      </c>
      <c r="C2101">
        <v>15</v>
      </c>
      <c r="D2101" s="260">
        <v>46185</v>
      </c>
      <c r="E2101" s="260">
        <v>46205</v>
      </c>
      <c r="F2101">
        <v>82</v>
      </c>
      <c r="G2101" t="s">
        <v>353</v>
      </c>
    </row>
    <row r="2102" spans="1:7">
      <c r="A2102" t="s">
        <v>4517</v>
      </c>
      <c r="B2102" t="s">
        <v>4518</v>
      </c>
      <c r="C2102">
        <v>10</v>
      </c>
      <c r="D2102" s="260">
        <v>46220</v>
      </c>
      <c r="E2102" s="260">
        <v>46238</v>
      </c>
      <c r="F2102">
        <v>82</v>
      </c>
      <c r="G2102" t="s">
        <v>353</v>
      </c>
    </row>
    <row r="2103" spans="1:7">
      <c r="A2103" t="s">
        <v>4519</v>
      </c>
      <c r="B2103" t="s">
        <v>4520</v>
      </c>
      <c r="C2103">
        <v>10</v>
      </c>
      <c r="D2103" s="260">
        <v>46254</v>
      </c>
      <c r="E2103" s="260">
        <v>46267</v>
      </c>
      <c r="F2103">
        <v>82</v>
      </c>
      <c r="G2103" t="s">
        <v>353</v>
      </c>
    </row>
    <row r="2104" spans="1:7">
      <c r="A2104" t="s">
        <v>4521</v>
      </c>
      <c r="B2104" t="s">
        <v>4522</v>
      </c>
      <c r="C2104">
        <v>30</v>
      </c>
      <c r="D2104" s="260">
        <v>46160</v>
      </c>
      <c r="E2104" s="260">
        <v>46203</v>
      </c>
      <c r="F2104">
        <v>84</v>
      </c>
      <c r="G2104" t="s">
        <v>353</v>
      </c>
    </row>
    <row r="2105" spans="1:7">
      <c r="A2105" t="s">
        <v>4523</v>
      </c>
      <c r="B2105" t="s">
        <v>4524</v>
      </c>
      <c r="C2105">
        <v>10</v>
      </c>
      <c r="D2105" s="260">
        <v>46218</v>
      </c>
      <c r="E2105" s="260">
        <v>46234</v>
      </c>
      <c r="F2105">
        <v>84</v>
      </c>
      <c r="G2105" t="s">
        <v>353</v>
      </c>
    </row>
    <row r="2106" spans="1:7">
      <c r="A2106" t="s">
        <v>4525</v>
      </c>
      <c r="B2106" t="s">
        <v>4526</v>
      </c>
      <c r="C2106">
        <v>10</v>
      </c>
      <c r="D2106" s="260">
        <v>46275</v>
      </c>
      <c r="E2106" s="260">
        <v>46288</v>
      </c>
      <c r="F2106">
        <v>67</v>
      </c>
      <c r="G2106" t="s">
        <v>353</v>
      </c>
    </row>
    <row r="2107" spans="1:7">
      <c r="A2107" t="s">
        <v>4527</v>
      </c>
      <c r="B2107" t="s">
        <v>4528</v>
      </c>
      <c r="C2107">
        <v>40</v>
      </c>
      <c r="D2107" s="260">
        <v>46153</v>
      </c>
      <c r="E2107" s="260">
        <v>46210</v>
      </c>
      <c r="F2107">
        <v>79</v>
      </c>
      <c r="G2107" t="s">
        <v>353</v>
      </c>
    </row>
    <row r="2108" spans="1:7">
      <c r="A2108" t="s">
        <v>4529</v>
      </c>
      <c r="B2108" t="s">
        <v>4530</v>
      </c>
      <c r="C2108">
        <v>10</v>
      </c>
      <c r="D2108" s="260">
        <v>46225</v>
      </c>
      <c r="E2108" s="260">
        <v>46241</v>
      </c>
      <c r="F2108">
        <v>79</v>
      </c>
      <c r="G2108" t="s">
        <v>353</v>
      </c>
    </row>
    <row r="2109" spans="1:7">
      <c r="A2109" t="s">
        <v>4531</v>
      </c>
      <c r="B2109" t="s">
        <v>4532</v>
      </c>
      <c r="C2109">
        <v>10</v>
      </c>
      <c r="D2109" s="260">
        <v>46259</v>
      </c>
      <c r="E2109" s="260">
        <v>46272</v>
      </c>
      <c r="F2109">
        <v>79</v>
      </c>
      <c r="G2109" t="s">
        <v>353</v>
      </c>
    </row>
    <row r="2110" spans="1:7">
      <c r="A2110" t="s">
        <v>4533</v>
      </c>
      <c r="B2110" t="s">
        <v>4534</v>
      </c>
      <c r="C2110">
        <v>30</v>
      </c>
      <c r="D2110" s="260">
        <v>46218</v>
      </c>
      <c r="E2110" s="260">
        <v>46265</v>
      </c>
      <c r="F2110">
        <v>44</v>
      </c>
      <c r="G2110" t="s">
        <v>353</v>
      </c>
    </row>
    <row r="2111" spans="1:7">
      <c r="A2111" t="s">
        <v>4535</v>
      </c>
      <c r="B2111" t="s">
        <v>4536</v>
      </c>
      <c r="C2111">
        <v>10</v>
      </c>
      <c r="D2111" s="260">
        <v>46280</v>
      </c>
      <c r="E2111" s="260">
        <v>46293</v>
      </c>
      <c r="F2111">
        <v>44</v>
      </c>
      <c r="G2111" t="s">
        <v>353</v>
      </c>
    </row>
    <row r="2112" spans="1:7">
      <c r="A2112" t="s">
        <v>4537</v>
      </c>
      <c r="B2112" t="s">
        <v>4538</v>
      </c>
      <c r="C2112">
        <v>10</v>
      </c>
      <c r="D2112" s="260">
        <v>46309</v>
      </c>
      <c r="E2112" s="260">
        <v>46323</v>
      </c>
      <c r="F2112">
        <v>44</v>
      </c>
      <c r="G2112" t="s">
        <v>353</v>
      </c>
    </row>
    <row r="2113" spans="1:7">
      <c r="A2113" t="s">
        <v>4539</v>
      </c>
      <c r="B2113" t="s">
        <v>4540</v>
      </c>
      <c r="C2113">
        <v>30</v>
      </c>
      <c r="D2113" s="260">
        <v>46218</v>
      </c>
      <c r="E2113" s="260">
        <v>46265</v>
      </c>
      <c r="F2113">
        <v>44</v>
      </c>
      <c r="G2113" t="s">
        <v>353</v>
      </c>
    </row>
    <row r="2114" spans="1:7">
      <c r="A2114" t="s">
        <v>4541</v>
      </c>
      <c r="B2114" t="s">
        <v>4542</v>
      </c>
      <c r="C2114">
        <v>10</v>
      </c>
      <c r="D2114" s="260">
        <v>46280</v>
      </c>
      <c r="E2114" s="260">
        <v>46293</v>
      </c>
      <c r="F2114">
        <v>44</v>
      </c>
      <c r="G2114" t="s">
        <v>353</v>
      </c>
    </row>
    <row r="2115" spans="1:7">
      <c r="A2115" t="s">
        <v>4543</v>
      </c>
      <c r="B2115" t="s">
        <v>4544</v>
      </c>
      <c r="C2115">
        <v>10</v>
      </c>
      <c r="D2115" s="260">
        <v>46309</v>
      </c>
      <c r="E2115" s="260">
        <v>46323</v>
      </c>
      <c r="F2115">
        <v>44</v>
      </c>
      <c r="G2115" t="s">
        <v>353</v>
      </c>
    </row>
    <row r="2116" spans="1:7">
      <c r="A2116" t="s">
        <v>4545</v>
      </c>
      <c r="B2116" t="s">
        <v>4546</v>
      </c>
      <c r="C2116">
        <v>40</v>
      </c>
      <c r="D2116" s="260">
        <v>46182</v>
      </c>
      <c r="E2116" s="260">
        <v>46240</v>
      </c>
      <c r="F2116">
        <v>60</v>
      </c>
      <c r="G2116" t="s">
        <v>353</v>
      </c>
    </row>
    <row r="2117" spans="1:7">
      <c r="A2117" t="s">
        <v>4547</v>
      </c>
      <c r="B2117" t="s">
        <v>4548</v>
      </c>
      <c r="C2117">
        <v>10</v>
      </c>
      <c r="D2117" s="260">
        <v>46258</v>
      </c>
      <c r="E2117" s="260">
        <v>46269</v>
      </c>
      <c r="F2117">
        <v>60</v>
      </c>
      <c r="G2117" t="s">
        <v>353</v>
      </c>
    </row>
    <row r="2118" spans="1:7">
      <c r="A2118" t="s">
        <v>4549</v>
      </c>
      <c r="B2118" t="s">
        <v>4550</v>
      </c>
      <c r="C2118">
        <v>10</v>
      </c>
      <c r="D2118" s="260">
        <v>46286</v>
      </c>
      <c r="E2118" s="260">
        <v>46297</v>
      </c>
      <c r="F2118">
        <v>60</v>
      </c>
      <c r="G2118" t="s">
        <v>353</v>
      </c>
    </row>
    <row r="2119" spans="1:7">
      <c r="A2119" t="s">
        <v>4551</v>
      </c>
      <c r="B2119" t="s">
        <v>4552</v>
      </c>
      <c r="C2119">
        <v>15</v>
      </c>
      <c r="D2119" s="260">
        <v>46185</v>
      </c>
      <c r="E2119" s="260">
        <v>46205</v>
      </c>
      <c r="F2119">
        <v>82</v>
      </c>
      <c r="G2119" t="s">
        <v>353</v>
      </c>
    </row>
    <row r="2120" spans="1:7">
      <c r="A2120" t="s">
        <v>4553</v>
      </c>
      <c r="B2120" t="s">
        <v>4554</v>
      </c>
      <c r="C2120">
        <v>10</v>
      </c>
      <c r="D2120" s="260">
        <v>46220</v>
      </c>
      <c r="E2120" s="260">
        <v>46238</v>
      </c>
      <c r="F2120">
        <v>82</v>
      </c>
      <c r="G2120" t="s">
        <v>353</v>
      </c>
    </row>
    <row r="2121" spans="1:7">
      <c r="A2121" t="s">
        <v>4555</v>
      </c>
      <c r="B2121" t="s">
        <v>4556</v>
      </c>
      <c r="C2121">
        <v>10</v>
      </c>
      <c r="D2121" s="260">
        <v>46254</v>
      </c>
      <c r="E2121" s="260">
        <v>46267</v>
      </c>
      <c r="F2121">
        <v>82</v>
      </c>
      <c r="G2121" t="s">
        <v>353</v>
      </c>
    </row>
    <row r="2122" spans="1:7">
      <c r="A2122" t="s">
        <v>4557</v>
      </c>
      <c r="B2122" t="s">
        <v>4558</v>
      </c>
      <c r="C2122">
        <v>20</v>
      </c>
      <c r="D2122" s="260">
        <v>46182</v>
      </c>
      <c r="E2122" s="260">
        <v>46209</v>
      </c>
      <c r="F2122">
        <v>80</v>
      </c>
      <c r="G2122" t="s">
        <v>353</v>
      </c>
    </row>
    <row r="2123" spans="1:7">
      <c r="A2123" t="s">
        <v>4559</v>
      </c>
      <c r="B2123" t="s">
        <v>4560</v>
      </c>
      <c r="C2123">
        <v>10</v>
      </c>
      <c r="D2123" s="260">
        <v>46224</v>
      </c>
      <c r="E2123" s="260">
        <v>46240</v>
      </c>
      <c r="F2123">
        <v>80</v>
      </c>
      <c r="G2123" t="s">
        <v>353</v>
      </c>
    </row>
    <row r="2124" spans="1:7">
      <c r="A2124" t="s">
        <v>4561</v>
      </c>
      <c r="B2124" t="s">
        <v>4562</v>
      </c>
      <c r="C2124">
        <v>10</v>
      </c>
      <c r="D2124" s="260">
        <v>46258</v>
      </c>
      <c r="E2124" s="260">
        <v>46269</v>
      </c>
      <c r="F2124">
        <v>80</v>
      </c>
      <c r="G2124" t="s">
        <v>353</v>
      </c>
    </row>
    <row r="2125" spans="1:7">
      <c r="A2125" t="s">
        <v>4563</v>
      </c>
      <c r="B2125" t="s">
        <v>4564</v>
      </c>
      <c r="C2125">
        <v>30</v>
      </c>
      <c r="D2125" s="260">
        <v>46282</v>
      </c>
      <c r="E2125" s="260">
        <v>46325</v>
      </c>
      <c r="F2125">
        <v>22</v>
      </c>
      <c r="G2125" t="s">
        <v>353</v>
      </c>
    </row>
    <row r="2126" spans="1:7">
      <c r="A2126" t="s">
        <v>4565</v>
      </c>
      <c r="B2126" t="s">
        <v>4566</v>
      </c>
      <c r="C2126">
        <v>10</v>
      </c>
      <c r="D2126" s="260">
        <v>46342</v>
      </c>
      <c r="E2126" s="260">
        <v>46353</v>
      </c>
      <c r="F2126">
        <v>22</v>
      </c>
      <c r="G2126" t="s">
        <v>353</v>
      </c>
    </row>
    <row r="2127" spans="1:7">
      <c r="A2127" t="s">
        <v>4567</v>
      </c>
      <c r="B2127" t="s">
        <v>4568</v>
      </c>
      <c r="C2127">
        <v>15</v>
      </c>
      <c r="D2127" s="260">
        <v>46185</v>
      </c>
      <c r="E2127" s="260">
        <v>46205</v>
      </c>
      <c r="F2127">
        <v>102</v>
      </c>
      <c r="G2127" t="s">
        <v>353</v>
      </c>
    </row>
    <row r="2128" spans="1:7">
      <c r="A2128" t="s">
        <v>4569</v>
      </c>
      <c r="B2128" t="s">
        <v>4570</v>
      </c>
      <c r="C2128">
        <v>10</v>
      </c>
      <c r="D2128" s="260">
        <v>46220</v>
      </c>
      <c r="E2128" s="260">
        <v>46238</v>
      </c>
      <c r="F2128">
        <v>102</v>
      </c>
      <c r="G2128" t="s">
        <v>353</v>
      </c>
    </row>
    <row r="2129" spans="1:7">
      <c r="A2129" t="s">
        <v>4571</v>
      </c>
      <c r="B2129" t="s">
        <v>4572</v>
      </c>
      <c r="C2129">
        <v>20</v>
      </c>
      <c r="D2129" s="260">
        <v>46113</v>
      </c>
      <c r="E2129" s="260">
        <v>46147</v>
      </c>
      <c r="F2129">
        <v>52</v>
      </c>
      <c r="G2129" t="s">
        <v>353</v>
      </c>
    </row>
    <row r="2130" spans="1:7">
      <c r="A2130" t="s">
        <v>4573</v>
      </c>
      <c r="B2130" t="s">
        <v>4574</v>
      </c>
      <c r="C2130">
        <v>10</v>
      </c>
      <c r="D2130" s="260">
        <v>46162</v>
      </c>
      <c r="E2130" s="260">
        <v>46177</v>
      </c>
      <c r="F2130">
        <v>117</v>
      </c>
      <c r="G2130" t="s">
        <v>353</v>
      </c>
    </row>
    <row r="2131" spans="1:7">
      <c r="A2131" t="s">
        <v>4575</v>
      </c>
      <c r="B2131" t="s">
        <v>4576</v>
      </c>
      <c r="C2131">
        <v>5</v>
      </c>
      <c r="D2131" s="260">
        <v>46192</v>
      </c>
      <c r="E2131" s="260">
        <v>46198</v>
      </c>
      <c r="F2131">
        <v>117</v>
      </c>
      <c r="G2131" t="s">
        <v>353</v>
      </c>
    </row>
    <row r="2132" spans="1:7">
      <c r="A2132" t="s">
        <v>4577</v>
      </c>
      <c r="B2132" t="s">
        <v>4578</v>
      </c>
      <c r="C2132">
        <v>20</v>
      </c>
      <c r="D2132" s="260">
        <v>46113</v>
      </c>
      <c r="E2132" s="260">
        <v>46147</v>
      </c>
      <c r="F2132">
        <v>52</v>
      </c>
      <c r="G2132" t="s">
        <v>353</v>
      </c>
    </row>
    <row r="2133" spans="1:7">
      <c r="A2133" t="s">
        <v>4579</v>
      </c>
      <c r="B2133" t="s">
        <v>4580</v>
      </c>
      <c r="C2133">
        <v>10</v>
      </c>
      <c r="D2133" s="260">
        <v>46162</v>
      </c>
      <c r="E2133" s="260">
        <v>46177</v>
      </c>
      <c r="F2133">
        <v>132</v>
      </c>
      <c r="G2133" t="s">
        <v>353</v>
      </c>
    </row>
    <row r="2134" spans="1:7">
      <c r="A2134" t="s">
        <v>4581</v>
      </c>
      <c r="B2134" t="s">
        <v>4582</v>
      </c>
      <c r="C2134">
        <v>20</v>
      </c>
      <c r="D2134" s="260">
        <v>46113</v>
      </c>
      <c r="E2134" s="260">
        <v>46147</v>
      </c>
      <c r="F2134">
        <v>52</v>
      </c>
      <c r="G2134" t="s">
        <v>353</v>
      </c>
    </row>
    <row r="2135" spans="1:7">
      <c r="A2135" t="s">
        <v>4583</v>
      </c>
      <c r="B2135" t="s">
        <v>4584</v>
      </c>
      <c r="C2135">
        <v>10</v>
      </c>
      <c r="D2135" s="260">
        <v>46162</v>
      </c>
      <c r="E2135" s="260">
        <v>46177</v>
      </c>
      <c r="F2135">
        <v>132</v>
      </c>
      <c r="G2135" t="s">
        <v>353</v>
      </c>
    </row>
    <row r="2136" spans="1:7">
      <c r="A2136" t="s">
        <v>4585</v>
      </c>
      <c r="B2136" t="s">
        <v>4586</v>
      </c>
      <c r="C2136">
        <v>15</v>
      </c>
      <c r="D2136" s="260">
        <v>46162</v>
      </c>
      <c r="E2136" s="260">
        <v>46184</v>
      </c>
      <c r="F2136">
        <v>27</v>
      </c>
      <c r="G2136" t="s">
        <v>353</v>
      </c>
    </row>
    <row r="2137" spans="1:7">
      <c r="A2137" t="s">
        <v>4587</v>
      </c>
      <c r="B2137" t="s">
        <v>4588</v>
      </c>
      <c r="C2137">
        <v>10</v>
      </c>
      <c r="D2137" s="260">
        <v>46199</v>
      </c>
      <c r="E2137" s="260">
        <v>46212</v>
      </c>
      <c r="F2137">
        <v>97</v>
      </c>
      <c r="G2137" t="s">
        <v>353</v>
      </c>
    </row>
    <row r="2138" spans="1:7">
      <c r="A2138" t="s">
        <v>4589</v>
      </c>
      <c r="B2138" t="s">
        <v>4590</v>
      </c>
      <c r="C2138">
        <v>10</v>
      </c>
      <c r="D2138" s="260">
        <v>46227</v>
      </c>
      <c r="E2138" s="260">
        <v>46245</v>
      </c>
      <c r="F2138">
        <v>97</v>
      </c>
      <c r="G2138" t="s">
        <v>353</v>
      </c>
    </row>
    <row r="2139" spans="1:7">
      <c r="A2139" t="s">
        <v>4591</v>
      </c>
      <c r="B2139" t="s">
        <v>4592</v>
      </c>
      <c r="C2139">
        <v>10</v>
      </c>
      <c r="D2139" s="260">
        <v>46140</v>
      </c>
      <c r="E2139" s="260">
        <v>46154</v>
      </c>
      <c r="F2139">
        <v>102</v>
      </c>
      <c r="G2139" t="s">
        <v>353</v>
      </c>
    </row>
    <row r="2140" spans="1:7">
      <c r="A2140" t="s">
        <v>4593</v>
      </c>
      <c r="B2140" t="s">
        <v>4594</v>
      </c>
      <c r="C2140">
        <v>10</v>
      </c>
      <c r="D2140" s="260">
        <v>46171</v>
      </c>
      <c r="E2140" s="260">
        <v>46188</v>
      </c>
      <c r="F2140">
        <v>105</v>
      </c>
      <c r="G2140" t="s">
        <v>353</v>
      </c>
    </row>
    <row r="2141" spans="1:7">
      <c r="A2141" t="s">
        <v>4595</v>
      </c>
      <c r="B2141" t="s">
        <v>4596</v>
      </c>
      <c r="C2141">
        <v>5</v>
      </c>
      <c r="D2141" s="260">
        <v>46203</v>
      </c>
      <c r="E2141" s="260">
        <v>46209</v>
      </c>
      <c r="F2141">
        <v>110</v>
      </c>
      <c r="G2141" t="s">
        <v>353</v>
      </c>
    </row>
    <row r="2142" spans="1:7">
      <c r="A2142" t="s">
        <v>4597</v>
      </c>
      <c r="B2142" t="s">
        <v>4598</v>
      </c>
      <c r="C2142">
        <v>15</v>
      </c>
      <c r="D2142" s="260">
        <v>46155</v>
      </c>
      <c r="E2142" s="260">
        <v>46177</v>
      </c>
      <c r="F2142">
        <v>102</v>
      </c>
      <c r="G2142" t="s">
        <v>353</v>
      </c>
    </row>
    <row r="2143" spans="1:7">
      <c r="A2143" t="s">
        <v>4599</v>
      </c>
      <c r="B2143" t="s">
        <v>4600</v>
      </c>
      <c r="C2143">
        <v>10</v>
      </c>
      <c r="D2143" s="260">
        <v>46192</v>
      </c>
      <c r="E2143" s="260">
        <v>46205</v>
      </c>
      <c r="F2143">
        <v>102</v>
      </c>
      <c r="G2143" t="s">
        <v>353</v>
      </c>
    </row>
    <row r="2144" spans="1:7">
      <c r="A2144" t="s">
        <v>4601</v>
      </c>
      <c r="B2144" t="s">
        <v>4602</v>
      </c>
      <c r="C2144">
        <v>10</v>
      </c>
      <c r="D2144" s="260">
        <v>46220</v>
      </c>
      <c r="E2144" s="260">
        <v>46238</v>
      </c>
      <c r="F2144">
        <v>102</v>
      </c>
      <c r="G2144" t="s">
        <v>353</v>
      </c>
    </row>
    <row r="2145" spans="1:7">
      <c r="A2145" t="s">
        <v>4603</v>
      </c>
      <c r="B2145" t="s">
        <v>4604</v>
      </c>
      <c r="C2145">
        <v>15</v>
      </c>
      <c r="D2145" s="260">
        <v>46155</v>
      </c>
      <c r="E2145" s="260">
        <v>46177</v>
      </c>
      <c r="F2145">
        <v>102</v>
      </c>
      <c r="G2145" t="s">
        <v>353</v>
      </c>
    </row>
    <row r="2146" spans="1:7">
      <c r="A2146" t="s">
        <v>4605</v>
      </c>
      <c r="B2146" t="s">
        <v>4606</v>
      </c>
      <c r="C2146">
        <v>10</v>
      </c>
      <c r="D2146" s="260">
        <v>46192</v>
      </c>
      <c r="E2146" s="260">
        <v>46205</v>
      </c>
      <c r="F2146">
        <v>102</v>
      </c>
      <c r="G2146" t="s">
        <v>353</v>
      </c>
    </row>
    <row r="2147" spans="1:7">
      <c r="A2147" t="s">
        <v>4607</v>
      </c>
      <c r="B2147" t="s">
        <v>4608</v>
      </c>
      <c r="C2147">
        <v>10</v>
      </c>
      <c r="D2147" s="260">
        <v>46220</v>
      </c>
      <c r="E2147" s="260">
        <v>46238</v>
      </c>
      <c r="F2147">
        <v>102</v>
      </c>
      <c r="G2147" t="s">
        <v>353</v>
      </c>
    </row>
    <row r="2148" spans="1:7">
      <c r="A2148" t="s">
        <v>4609</v>
      </c>
      <c r="B2148" t="s">
        <v>4610</v>
      </c>
      <c r="C2148">
        <v>15</v>
      </c>
      <c r="D2148" s="260">
        <v>46155</v>
      </c>
      <c r="E2148" s="260">
        <v>46177</v>
      </c>
      <c r="F2148">
        <v>102</v>
      </c>
      <c r="G2148" t="s">
        <v>353</v>
      </c>
    </row>
    <row r="2149" spans="1:7">
      <c r="A2149" t="s">
        <v>4611</v>
      </c>
      <c r="B2149" t="s">
        <v>4612</v>
      </c>
      <c r="C2149">
        <v>10</v>
      </c>
      <c r="D2149" s="260">
        <v>46192</v>
      </c>
      <c r="E2149" s="260">
        <v>46205</v>
      </c>
      <c r="F2149">
        <v>102</v>
      </c>
      <c r="G2149" t="s">
        <v>353</v>
      </c>
    </row>
    <row r="2150" spans="1:7">
      <c r="A2150" t="s">
        <v>4613</v>
      </c>
      <c r="B2150" t="s">
        <v>4614</v>
      </c>
      <c r="C2150">
        <v>10</v>
      </c>
      <c r="D2150" s="260">
        <v>46220</v>
      </c>
      <c r="E2150" s="260">
        <v>46238</v>
      </c>
      <c r="F2150">
        <v>102</v>
      </c>
      <c r="G2150" t="s">
        <v>353</v>
      </c>
    </row>
    <row r="2151" spans="1:7">
      <c r="A2151" t="s">
        <v>4615</v>
      </c>
      <c r="B2151" t="s">
        <v>4616</v>
      </c>
      <c r="C2151">
        <v>15</v>
      </c>
      <c r="D2151" s="260">
        <v>46155</v>
      </c>
      <c r="E2151" s="260">
        <v>46177</v>
      </c>
      <c r="F2151">
        <v>102</v>
      </c>
      <c r="G2151" t="s">
        <v>353</v>
      </c>
    </row>
    <row r="2152" spans="1:7">
      <c r="A2152" t="s">
        <v>4617</v>
      </c>
      <c r="B2152" t="s">
        <v>4618</v>
      </c>
      <c r="C2152">
        <v>10</v>
      </c>
      <c r="D2152" s="260">
        <v>46192</v>
      </c>
      <c r="E2152" s="260">
        <v>46205</v>
      </c>
      <c r="F2152">
        <v>102</v>
      </c>
      <c r="G2152" t="s">
        <v>353</v>
      </c>
    </row>
    <row r="2153" spans="1:7">
      <c r="A2153" t="s">
        <v>4619</v>
      </c>
      <c r="B2153" t="s">
        <v>4620</v>
      </c>
      <c r="C2153">
        <v>10</v>
      </c>
      <c r="D2153" s="260">
        <v>46220</v>
      </c>
      <c r="E2153" s="260">
        <v>46238</v>
      </c>
      <c r="F2153">
        <v>102</v>
      </c>
      <c r="G2153" t="s">
        <v>353</v>
      </c>
    </row>
    <row r="2154" spans="1:7">
      <c r="A2154" t="s">
        <v>4621</v>
      </c>
      <c r="B2154" t="s">
        <v>4622</v>
      </c>
      <c r="C2154">
        <v>15</v>
      </c>
      <c r="D2154" s="260">
        <v>46169</v>
      </c>
      <c r="E2154" s="260">
        <v>46191</v>
      </c>
      <c r="F2154">
        <v>92</v>
      </c>
      <c r="G2154" t="s">
        <v>353</v>
      </c>
    </row>
    <row r="2155" spans="1:7">
      <c r="A2155" t="s">
        <v>4623</v>
      </c>
      <c r="B2155" t="s">
        <v>4624</v>
      </c>
      <c r="C2155">
        <v>10</v>
      </c>
      <c r="D2155" s="260">
        <v>46213</v>
      </c>
      <c r="E2155" s="260">
        <v>46226</v>
      </c>
      <c r="F2155">
        <v>87</v>
      </c>
      <c r="G2155" t="s">
        <v>353</v>
      </c>
    </row>
    <row r="2156" spans="1:7">
      <c r="A2156" t="s">
        <v>4625</v>
      </c>
      <c r="B2156" t="s">
        <v>4626</v>
      </c>
      <c r="C2156">
        <v>10</v>
      </c>
      <c r="D2156" s="260">
        <v>46275</v>
      </c>
      <c r="E2156" s="260">
        <v>46288</v>
      </c>
      <c r="F2156">
        <v>67</v>
      </c>
      <c r="G2156" t="s">
        <v>353</v>
      </c>
    </row>
    <row r="2157" spans="1:7">
      <c r="A2157" t="s">
        <v>4627</v>
      </c>
      <c r="B2157" t="s">
        <v>4628</v>
      </c>
      <c r="C2157">
        <v>15</v>
      </c>
      <c r="D2157" s="260">
        <v>46169</v>
      </c>
      <c r="E2157" s="260">
        <v>46191</v>
      </c>
      <c r="F2157">
        <v>92</v>
      </c>
      <c r="G2157" t="s">
        <v>353</v>
      </c>
    </row>
    <row r="2158" spans="1:7">
      <c r="A2158" t="s">
        <v>4629</v>
      </c>
      <c r="B2158" t="s">
        <v>4630</v>
      </c>
      <c r="C2158">
        <v>10</v>
      </c>
      <c r="D2158" s="260">
        <v>46213</v>
      </c>
      <c r="E2158" s="260">
        <v>46226</v>
      </c>
      <c r="F2158">
        <v>87</v>
      </c>
      <c r="G2158" t="s">
        <v>353</v>
      </c>
    </row>
    <row r="2159" spans="1:7">
      <c r="A2159" t="s">
        <v>4631</v>
      </c>
      <c r="B2159" t="s">
        <v>4632</v>
      </c>
      <c r="C2159">
        <v>10</v>
      </c>
      <c r="D2159" s="260">
        <v>46275</v>
      </c>
      <c r="E2159" s="260">
        <v>46288</v>
      </c>
      <c r="F2159">
        <v>67</v>
      </c>
      <c r="G2159" t="s">
        <v>353</v>
      </c>
    </row>
    <row r="2160" spans="1:7">
      <c r="A2160" t="s">
        <v>4633</v>
      </c>
      <c r="B2160" t="s">
        <v>4634</v>
      </c>
      <c r="C2160">
        <v>15</v>
      </c>
      <c r="D2160" s="260">
        <v>46169</v>
      </c>
      <c r="E2160" s="260">
        <v>46191</v>
      </c>
      <c r="F2160">
        <v>32</v>
      </c>
      <c r="G2160" t="s">
        <v>353</v>
      </c>
    </row>
    <row r="2161" spans="1:7">
      <c r="A2161" t="s">
        <v>4635</v>
      </c>
      <c r="B2161" t="s">
        <v>4636</v>
      </c>
      <c r="C2161">
        <v>10</v>
      </c>
      <c r="D2161" s="260">
        <v>46213</v>
      </c>
      <c r="E2161" s="260">
        <v>46226</v>
      </c>
      <c r="F2161">
        <v>77</v>
      </c>
      <c r="G2161" t="s">
        <v>353</v>
      </c>
    </row>
    <row r="2162" spans="1:7">
      <c r="A2162" t="s">
        <v>4637</v>
      </c>
      <c r="B2162" t="s">
        <v>4638</v>
      </c>
      <c r="C2162">
        <v>10</v>
      </c>
      <c r="D2162" s="260">
        <v>46275</v>
      </c>
      <c r="E2162" s="260">
        <v>46288</v>
      </c>
      <c r="F2162">
        <v>67</v>
      </c>
      <c r="G2162" t="s">
        <v>353</v>
      </c>
    </row>
    <row r="2163" spans="1:7">
      <c r="A2163" t="s">
        <v>4639</v>
      </c>
      <c r="B2163" t="s">
        <v>4640</v>
      </c>
      <c r="C2163">
        <v>15</v>
      </c>
      <c r="D2163" s="260">
        <v>46169</v>
      </c>
      <c r="E2163" s="260">
        <v>46191</v>
      </c>
      <c r="F2163">
        <v>77</v>
      </c>
      <c r="G2163" t="s">
        <v>353</v>
      </c>
    </row>
    <row r="2164" spans="1:7">
      <c r="A2164" t="s">
        <v>4641</v>
      </c>
      <c r="B2164" t="s">
        <v>4642</v>
      </c>
      <c r="C2164">
        <v>10</v>
      </c>
      <c r="D2164" s="260">
        <v>46213</v>
      </c>
      <c r="E2164" s="260">
        <v>46226</v>
      </c>
      <c r="F2164">
        <v>77</v>
      </c>
      <c r="G2164" t="s">
        <v>353</v>
      </c>
    </row>
    <row r="2165" spans="1:7">
      <c r="A2165" t="s">
        <v>4643</v>
      </c>
      <c r="B2165" t="s">
        <v>4644</v>
      </c>
      <c r="C2165">
        <v>10</v>
      </c>
      <c r="D2165" s="260">
        <v>46275</v>
      </c>
      <c r="E2165" s="260">
        <v>46288</v>
      </c>
      <c r="F2165">
        <v>67</v>
      </c>
      <c r="G2165" t="s">
        <v>353</v>
      </c>
    </row>
    <row r="2166" spans="1:7">
      <c r="A2166" t="s">
        <v>4645</v>
      </c>
      <c r="B2166" t="s">
        <v>4646</v>
      </c>
      <c r="C2166">
        <v>15</v>
      </c>
      <c r="D2166" s="260">
        <v>46192</v>
      </c>
      <c r="E2166" s="260">
        <v>46212</v>
      </c>
      <c r="F2166">
        <v>32</v>
      </c>
      <c r="G2166" t="s">
        <v>353</v>
      </c>
    </row>
    <row r="2167" spans="1:7">
      <c r="A2167" t="s">
        <v>4647</v>
      </c>
      <c r="B2167" t="s">
        <v>4648</v>
      </c>
      <c r="C2167">
        <v>10</v>
      </c>
      <c r="D2167" s="260">
        <v>46227</v>
      </c>
      <c r="E2167" s="260">
        <v>46245</v>
      </c>
      <c r="F2167">
        <v>77</v>
      </c>
      <c r="G2167" t="s">
        <v>353</v>
      </c>
    </row>
    <row r="2168" spans="1:7">
      <c r="A2168" t="s">
        <v>4649</v>
      </c>
      <c r="B2168" t="s">
        <v>4650</v>
      </c>
      <c r="C2168">
        <v>10</v>
      </c>
      <c r="D2168" s="260">
        <v>46261</v>
      </c>
      <c r="E2168" s="260">
        <v>46274</v>
      </c>
      <c r="F2168">
        <v>77</v>
      </c>
      <c r="G2168" t="s">
        <v>353</v>
      </c>
    </row>
    <row r="2169" spans="1:7">
      <c r="A2169" t="s">
        <v>4651</v>
      </c>
      <c r="B2169" t="s">
        <v>4652</v>
      </c>
      <c r="C2169">
        <v>15</v>
      </c>
      <c r="D2169" s="260">
        <v>46192</v>
      </c>
      <c r="E2169" s="260">
        <v>46212</v>
      </c>
      <c r="F2169">
        <v>77</v>
      </c>
      <c r="G2169" t="s">
        <v>353</v>
      </c>
    </row>
    <row r="2170" spans="1:7">
      <c r="A2170" t="s">
        <v>4653</v>
      </c>
      <c r="B2170" t="s">
        <v>4654</v>
      </c>
      <c r="C2170">
        <v>10</v>
      </c>
      <c r="D2170" s="260">
        <v>46227</v>
      </c>
      <c r="E2170" s="260">
        <v>46245</v>
      </c>
      <c r="F2170">
        <v>77</v>
      </c>
      <c r="G2170" t="s">
        <v>353</v>
      </c>
    </row>
    <row r="2171" spans="1:7">
      <c r="A2171" t="s">
        <v>4655</v>
      </c>
      <c r="B2171" t="s">
        <v>4656</v>
      </c>
      <c r="C2171">
        <v>10</v>
      </c>
      <c r="D2171" s="260">
        <v>46261</v>
      </c>
      <c r="E2171" s="260">
        <v>46274</v>
      </c>
      <c r="F2171">
        <v>77</v>
      </c>
      <c r="G2171" t="s">
        <v>353</v>
      </c>
    </row>
    <row r="2172" spans="1:7">
      <c r="A2172" t="s">
        <v>4657</v>
      </c>
      <c r="B2172" t="s">
        <v>4658</v>
      </c>
      <c r="C2172">
        <v>15</v>
      </c>
      <c r="D2172" s="260">
        <v>46192</v>
      </c>
      <c r="E2172" s="260">
        <v>46212</v>
      </c>
      <c r="F2172">
        <v>32</v>
      </c>
      <c r="G2172" t="s">
        <v>353</v>
      </c>
    </row>
    <row r="2173" spans="1:7">
      <c r="A2173" t="s">
        <v>4659</v>
      </c>
      <c r="B2173" t="s">
        <v>4660</v>
      </c>
      <c r="C2173">
        <v>10</v>
      </c>
      <c r="D2173" s="260">
        <v>46227</v>
      </c>
      <c r="E2173" s="260">
        <v>46245</v>
      </c>
      <c r="F2173">
        <v>62</v>
      </c>
      <c r="G2173" t="s">
        <v>353</v>
      </c>
    </row>
    <row r="2174" spans="1:7">
      <c r="A2174" t="s">
        <v>4661</v>
      </c>
      <c r="B2174" t="s">
        <v>4662</v>
      </c>
      <c r="C2174">
        <v>10</v>
      </c>
      <c r="D2174" s="260">
        <v>46261</v>
      </c>
      <c r="E2174" s="260">
        <v>46274</v>
      </c>
      <c r="F2174">
        <v>62</v>
      </c>
      <c r="G2174" t="s">
        <v>353</v>
      </c>
    </row>
    <row r="2175" spans="1:7">
      <c r="A2175" t="s">
        <v>4663</v>
      </c>
      <c r="B2175" t="s">
        <v>4664</v>
      </c>
      <c r="C2175">
        <v>15</v>
      </c>
      <c r="D2175" s="260">
        <v>46192</v>
      </c>
      <c r="E2175" s="260">
        <v>46212</v>
      </c>
      <c r="F2175">
        <v>32</v>
      </c>
      <c r="G2175" t="s">
        <v>353</v>
      </c>
    </row>
    <row r="2176" spans="1:7">
      <c r="A2176" t="s">
        <v>4665</v>
      </c>
      <c r="B2176" t="s">
        <v>4666</v>
      </c>
      <c r="C2176">
        <v>10</v>
      </c>
      <c r="D2176" s="260">
        <v>46227</v>
      </c>
      <c r="E2176" s="260">
        <v>46245</v>
      </c>
      <c r="F2176">
        <v>62</v>
      </c>
      <c r="G2176" t="s">
        <v>353</v>
      </c>
    </row>
    <row r="2177" spans="1:7">
      <c r="A2177" t="s">
        <v>4667</v>
      </c>
      <c r="B2177" t="s">
        <v>4668</v>
      </c>
      <c r="C2177">
        <v>10</v>
      </c>
      <c r="D2177" s="260">
        <v>46261</v>
      </c>
      <c r="E2177" s="260">
        <v>46274</v>
      </c>
      <c r="F2177">
        <v>62</v>
      </c>
      <c r="G2177" t="s">
        <v>353</v>
      </c>
    </row>
    <row r="2178" spans="1:7">
      <c r="A2178" t="s">
        <v>4669</v>
      </c>
      <c r="C2178">
        <v>85</v>
      </c>
      <c r="D2178" s="260">
        <v>46185</v>
      </c>
      <c r="E2178" s="260">
        <v>46310</v>
      </c>
      <c r="F2178">
        <v>52</v>
      </c>
      <c r="G2178" t="s">
        <v>353</v>
      </c>
    </row>
    <row r="2179" spans="1:7">
      <c r="A2179" t="s">
        <v>4670</v>
      </c>
      <c r="B2179" t="s">
        <v>4671</v>
      </c>
      <c r="C2179">
        <v>15</v>
      </c>
      <c r="D2179" s="260">
        <v>46185</v>
      </c>
      <c r="E2179" s="260">
        <v>46205</v>
      </c>
      <c r="F2179">
        <v>27</v>
      </c>
      <c r="G2179" t="s">
        <v>353</v>
      </c>
    </row>
    <row r="2180" spans="1:7">
      <c r="A2180" t="s">
        <v>4672</v>
      </c>
      <c r="B2180" t="s">
        <v>4673</v>
      </c>
      <c r="C2180">
        <v>10</v>
      </c>
      <c r="D2180" s="260">
        <v>46296</v>
      </c>
      <c r="E2180" s="260">
        <v>46310</v>
      </c>
      <c r="F2180">
        <v>52</v>
      </c>
      <c r="G2180" t="s">
        <v>353</v>
      </c>
    </row>
    <row r="2181" spans="1:7">
      <c r="A2181" t="s">
        <v>4674</v>
      </c>
      <c r="B2181" t="s">
        <v>4675</v>
      </c>
      <c r="C2181">
        <v>15</v>
      </c>
      <c r="D2181" s="260">
        <v>46185</v>
      </c>
      <c r="E2181" s="260">
        <v>46205</v>
      </c>
      <c r="F2181">
        <v>27</v>
      </c>
      <c r="G2181" t="s">
        <v>353</v>
      </c>
    </row>
    <row r="2182" spans="1:7">
      <c r="A2182" t="s">
        <v>4676</v>
      </c>
      <c r="B2182" t="s">
        <v>4677</v>
      </c>
      <c r="C2182">
        <v>10</v>
      </c>
      <c r="D2182" s="260">
        <v>46296</v>
      </c>
      <c r="E2182" s="260">
        <v>46310</v>
      </c>
      <c r="F2182">
        <v>52</v>
      </c>
      <c r="G2182" t="s">
        <v>353</v>
      </c>
    </row>
    <row r="2183" spans="1:7">
      <c r="A2183" t="s">
        <v>4678</v>
      </c>
      <c r="B2183" t="s">
        <v>4679</v>
      </c>
      <c r="C2183">
        <v>15</v>
      </c>
      <c r="D2183" s="260">
        <v>46185</v>
      </c>
      <c r="E2183" s="260">
        <v>46205</v>
      </c>
      <c r="F2183">
        <v>27</v>
      </c>
      <c r="G2183" t="s">
        <v>353</v>
      </c>
    </row>
    <row r="2184" spans="1:7">
      <c r="A2184" t="s">
        <v>4680</v>
      </c>
      <c r="B2184" t="s">
        <v>4681</v>
      </c>
      <c r="C2184">
        <v>10</v>
      </c>
      <c r="D2184" s="260">
        <v>46296</v>
      </c>
      <c r="E2184" s="260">
        <v>46310</v>
      </c>
      <c r="F2184">
        <v>52</v>
      </c>
      <c r="G2184" t="s">
        <v>353</v>
      </c>
    </row>
    <row r="2185" spans="1:7">
      <c r="A2185" t="s">
        <v>4682</v>
      </c>
      <c r="C2185">
        <v>95</v>
      </c>
      <c r="D2185" s="260">
        <v>46206</v>
      </c>
      <c r="E2185" s="260">
        <v>46346</v>
      </c>
      <c r="F2185">
        <v>27</v>
      </c>
      <c r="G2185" t="s">
        <v>353</v>
      </c>
    </row>
    <row r="2186" spans="1:7">
      <c r="A2186" t="s">
        <v>4683</v>
      </c>
      <c r="B2186" t="s">
        <v>4684</v>
      </c>
      <c r="C2186">
        <v>10</v>
      </c>
      <c r="D2186" s="260">
        <v>46206</v>
      </c>
      <c r="E2186" s="260">
        <v>46219</v>
      </c>
      <c r="F2186">
        <v>27</v>
      </c>
      <c r="G2186" t="s">
        <v>353</v>
      </c>
    </row>
    <row r="2187" spans="1:7">
      <c r="A2187" t="s">
        <v>4685</v>
      </c>
      <c r="B2187" t="s">
        <v>4686</v>
      </c>
      <c r="C2187">
        <v>5</v>
      </c>
      <c r="D2187" s="260">
        <v>46342</v>
      </c>
      <c r="E2187" s="260">
        <v>46346</v>
      </c>
      <c r="F2187">
        <v>27</v>
      </c>
      <c r="G2187" t="s">
        <v>353</v>
      </c>
    </row>
    <row r="2188" spans="1:7">
      <c r="A2188" t="s">
        <v>4687</v>
      </c>
      <c r="B2188" t="s">
        <v>4688</v>
      </c>
      <c r="C2188">
        <v>10</v>
      </c>
      <c r="D2188" s="260">
        <v>46206</v>
      </c>
      <c r="E2188" s="260">
        <v>46219</v>
      </c>
      <c r="F2188">
        <v>27</v>
      </c>
      <c r="G2188" t="s">
        <v>353</v>
      </c>
    </row>
    <row r="2189" spans="1:7">
      <c r="A2189" t="s">
        <v>4689</v>
      </c>
      <c r="B2189" t="s">
        <v>4690</v>
      </c>
      <c r="C2189">
        <v>5</v>
      </c>
      <c r="D2189" s="260">
        <v>46342</v>
      </c>
      <c r="E2189" s="260">
        <v>46346</v>
      </c>
      <c r="F2189">
        <v>27</v>
      </c>
      <c r="G2189" t="s">
        <v>353</v>
      </c>
    </row>
    <row r="2190" spans="1:7">
      <c r="A2190" t="s">
        <v>4691</v>
      </c>
      <c r="B2190" t="s">
        <v>4692</v>
      </c>
      <c r="C2190">
        <v>10</v>
      </c>
      <c r="D2190" s="260">
        <v>46206</v>
      </c>
      <c r="E2190" s="260">
        <v>46219</v>
      </c>
      <c r="F2190">
        <v>27</v>
      </c>
      <c r="G2190" t="s">
        <v>353</v>
      </c>
    </row>
    <row r="2191" spans="1:7">
      <c r="A2191" t="s">
        <v>4693</v>
      </c>
      <c r="B2191" t="s">
        <v>4694</v>
      </c>
      <c r="C2191">
        <v>5</v>
      </c>
      <c r="D2191" s="260">
        <v>46342</v>
      </c>
      <c r="E2191" s="260">
        <v>46346</v>
      </c>
      <c r="F2191">
        <v>27</v>
      </c>
      <c r="G2191" t="s">
        <v>353</v>
      </c>
    </row>
    <row r="2192" spans="1:7">
      <c r="A2192" t="s">
        <v>4695</v>
      </c>
      <c r="C2192">
        <v>60</v>
      </c>
      <c r="D2192" s="260">
        <v>46254</v>
      </c>
      <c r="E2192" s="260">
        <v>46339</v>
      </c>
      <c r="F2192">
        <v>27</v>
      </c>
      <c r="G2192" t="s">
        <v>353</v>
      </c>
    </row>
    <row r="2193" spans="1:7">
      <c r="A2193" t="s">
        <v>4696</v>
      </c>
      <c r="B2193" t="s">
        <v>4697</v>
      </c>
      <c r="C2193">
        <v>20</v>
      </c>
      <c r="D2193" s="260">
        <v>46254</v>
      </c>
      <c r="E2193" s="260">
        <v>46281</v>
      </c>
      <c r="F2193">
        <v>27</v>
      </c>
      <c r="G2193" t="s">
        <v>353</v>
      </c>
    </row>
    <row r="2194" spans="1:7">
      <c r="A2194" t="s">
        <v>4698</v>
      </c>
      <c r="B2194" t="s">
        <v>4699</v>
      </c>
      <c r="C2194">
        <v>10</v>
      </c>
      <c r="D2194" s="260">
        <v>46296</v>
      </c>
      <c r="E2194" s="260">
        <v>46310</v>
      </c>
      <c r="F2194">
        <v>27</v>
      </c>
      <c r="G2194" t="s">
        <v>353</v>
      </c>
    </row>
    <row r="2195" spans="1:7">
      <c r="A2195" t="s">
        <v>4700</v>
      </c>
      <c r="B2195" t="s">
        <v>4701</v>
      </c>
      <c r="C2195">
        <v>10</v>
      </c>
      <c r="D2195" s="260">
        <v>46328</v>
      </c>
      <c r="E2195" s="260">
        <v>46339</v>
      </c>
      <c r="F2195">
        <v>27</v>
      </c>
      <c r="G2195" t="s">
        <v>353</v>
      </c>
    </row>
    <row r="2196" spans="1:7">
      <c r="A2196" t="s">
        <v>4702</v>
      </c>
      <c r="B2196" t="s">
        <v>4703</v>
      </c>
      <c r="C2196">
        <v>20</v>
      </c>
      <c r="D2196" s="260">
        <v>46254</v>
      </c>
      <c r="E2196" s="260">
        <v>46281</v>
      </c>
      <c r="F2196">
        <v>27</v>
      </c>
      <c r="G2196" t="s">
        <v>353</v>
      </c>
    </row>
    <row r="2197" spans="1:7">
      <c r="A2197" t="s">
        <v>4704</v>
      </c>
      <c r="B2197" t="s">
        <v>4705</v>
      </c>
      <c r="C2197">
        <v>10</v>
      </c>
      <c r="D2197" s="260">
        <v>46296</v>
      </c>
      <c r="E2197" s="260">
        <v>46310</v>
      </c>
      <c r="F2197">
        <v>27</v>
      </c>
      <c r="G2197" t="s">
        <v>353</v>
      </c>
    </row>
    <row r="2198" spans="1:7">
      <c r="A2198" t="s">
        <v>4706</v>
      </c>
      <c r="B2198" t="s">
        <v>4707</v>
      </c>
      <c r="C2198">
        <v>10</v>
      </c>
      <c r="D2198" s="260">
        <v>46328</v>
      </c>
      <c r="E2198" s="260">
        <v>46339</v>
      </c>
      <c r="F2198">
        <v>27</v>
      </c>
      <c r="G2198" t="s">
        <v>353</v>
      </c>
    </row>
    <row r="2199" spans="1:7">
      <c r="A2199" t="s">
        <v>4708</v>
      </c>
      <c r="B2199" t="s">
        <v>4709</v>
      </c>
      <c r="C2199">
        <v>20</v>
      </c>
      <c r="D2199" s="260">
        <v>46254</v>
      </c>
      <c r="E2199" s="260">
        <v>46281</v>
      </c>
      <c r="F2199">
        <v>27</v>
      </c>
      <c r="G2199" t="s">
        <v>353</v>
      </c>
    </row>
    <row r="2200" spans="1:7">
      <c r="A2200" t="s">
        <v>4710</v>
      </c>
      <c r="B2200" t="s">
        <v>4711</v>
      </c>
      <c r="C2200">
        <v>10</v>
      </c>
      <c r="D2200" s="260">
        <v>46296</v>
      </c>
      <c r="E2200" s="260">
        <v>46310</v>
      </c>
      <c r="F2200">
        <v>27</v>
      </c>
      <c r="G2200" t="s">
        <v>353</v>
      </c>
    </row>
    <row r="2201" spans="1:7">
      <c r="A2201" t="s">
        <v>4712</v>
      </c>
      <c r="B2201" t="s">
        <v>4713</v>
      </c>
      <c r="C2201">
        <v>10</v>
      </c>
      <c r="D2201" s="260">
        <v>46328</v>
      </c>
      <c r="E2201" s="260">
        <v>46339</v>
      </c>
      <c r="F2201">
        <v>27</v>
      </c>
      <c r="G2201" t="s">
        <v>353</v>
      </c>
    </row>
    <row r="2202" spans="1:7">
      <c r="A2202" t="s">
        <v>677</v>
      </c>
      <c r="C2202">
        <v>10</v>
      </c>
      <c r="D2202" s="260">
        <v>46167</v>
      </c>
      <c r="E2202" s="260">
        <v>46182</v>
      </c>
      <c r="F2202">
        <v>99</v>
      </c>
      <c r="G2202" t="s">
        <v>353</v>
      </c>
    </row>
    <row r="2203" spans="1:7">
      <c r="A2203" t="s">
        <v>4714</v>
      </c>
      <c r="B2203" t="s">
        <v>4715</v>
      </c>
      <c r="C2203">
        <v>10</v>
      </c>
      <c r="D2203" s="260">
        <v>46167</v>
      </c>
      <c r="E2203" s="260">
        <v>46182</v>
      </c>
      <c r="F2203">
        <v>99</v>
      </c>
      <c r="G2203" t="s">
        <v>353</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W247"/>
  <sheetViews>
    <sheetView view="pageBreakPreview" zoomScale="85" zoomScaleNormal="55" workbookViewId="0">
      <pane xSplit="10" ySplit="16" topLeftCell="R23" activePane="bottomRight" state="frozen"/>
      <selection pane="topRight"/>
      <selection pane="bottomLeft"/>
      <selection pane="bottomRight" activeCell="Y35" sqref="Y35:Y37"/>
    </sheetView>
  </sheetViews>
  <sheetFormatPr defaultColWidth="10.73046875" defaultRowHeight="18"/>
  <cols>
    <col min="1" max="1" width="3.86328125" style="170" customWidth="1"/>
    <col min="2" max="2" width="11.1328125" style="170" customWidth="1"/>
    <col min="3" max="3" width="10.73046875" style="24" customWidth="1"/>
    <col min="4" max="4" width="19.86328125" style="24" customWidth="1"/>
    <col min="5" max="5" width="17.86328125" style="24" customWidth="1"/>
    <col min="6" max="6" width="11.86328125" style="24" customWidth="1"/>
    <col min="7" max="7" width="10.86328125" style="171" customWidth="1"/>
    <col min="8" max="9" width="10.3984375" style="172" customWidth="1"/>
    <col min="10" max="10" width="8.3984375" style="172" customWidth="1"/>
    <col min="11" max="11" width="11" style="172" customWidth="1"/>
    <col min="12" max="15" width="11" style="173" customWidth="1"/>
    <col min="16" max="16" width="11" style="174" customWidth="1"/>
    <col min="17" max="17" width="11" style="175" customWidth="1"/>
    <col min="18" max="21" width="11" style="173" customWidth="1"/>
    <col min="22" max="22" width="10.3984375" style="173" customWidth="1"/>
    <col min="23" max="23" width="10.3984375" style="176" customWidth="1"/>
    <col min="24" max="25" width="10.3984375" style="173" customWidth="1"/>
    <col min="26" max="27" width="10.3984375" style="177" customWidth="1"/>
    <col min="28" max="28" width="10.3984375" style="178" customWidth="1"/>
    <col min="29" max="39" width="10.73046875" style="172" customWidth="1"/>
    <col min="40" max="40" width="10.73046875" style="172"/>
    <col min="41" max="41" width="10.73046875" style="172" customWidth="1"/>
    <col min="42" max="44" width="11" style="173" customWidth="1"/>
    <col min="45" max="45" width="10.3984375" style="179" customWidth="1"/>
    <col min="46" max="47" width="10.73046875" style="172" customWidth="1"/>
    <col min="48" max="48" width="10.73046875" style="172"/>
    <col min="49" max="49" width="10.73046875" style="180" customWidth="1"/>
    <col min="50" max="16384" width="10.73046875" style="172"/>
  </cols>
  <sheetData>
    <row r="1" spans="1:49" ht="53.1" customHeight="1">
      <c r="A1" s="35" t="s">
        <v>4716</v>
      </c>
      <c r="B1" s="35"/>
      <c r="G1" s="25"/>
      <c r="H1" s="25"/>
      <c r="I1" s="25" t="s">
        <v>4717</v>
      </c>
      <c r="J1" s="38"/>
      <c r="K1" s="38"/>
      <c r="L1" s="181"/>
      <c r="M1" s="181"/>
      <c r="N1" s="181"/>
      <c r="O1" s="181"/>
      <c r="P1" s="182"/>
      <c r="Q1" s="183"/>
      <c r="R1" s="181"/>
      <c r="S1" s="181"/>
      <c r="T1" s="181"/>
      <c r="U1" s="181"/>
      <c r="V1" s="181"/>
      <c r="W1" s="184"/>
      <c r="X1" s="185"/>
      <c r="Y1" s="186"/>
      <c r="Z1" s="187"/>
      <c r="AA1" s="187"/>
      <c r="AB1" s="188"/>
      <c r="AP1" s="181"/>
      <c r="AQ1" s="181"/>
      <c r="AR1" s="181"/>
      <c r="AS1" s="189"/>
    </row>
    <row r="2" spans="1:49" ht="53.1" hidden="1" customHeight="1">
      <c r="A2" s="35"/>
      <c r="B2" s="35"/>
      <c r="G2" s="25"/>
      <c r="H2" s="25"/>
      <c r="I2" s="25"/>
      <c r="J2" s="38"/>
      <c r="K2" s="38"/>
      <c r="L2" s="181"/>
      <c r="M2" s="181"/>
      <c r="N2" s="181"/>
      <c r="O2" s="181"/>
      <c r="P2" s="182"/>
      <c r="Q2" s="183"/>
      <c r="R2" s="181"/>
      <c r="S2" s="181"/>
      <c r="T2" s="181"/>
      <c r="U2" s="181"/>
      <c r="V2" s="181"/>
      <c r="W2" s="184"/>
      <c r="X2" s="185"/>
      <c r="Y2" s="186"/>
      <c r="Z2" s="187"/>
      <c r="AA2" s="187"/>
      <c r="AB2" s="188"/>
      <c r="AP2" s="181"/>
      <c r="AQ2" s="181"/>
      <c r="AR2" s="181"/>
      <c r="AS2" s="189"/>
    </row>
    <row r="3" spans="1:49" ht="53.1" hidden="1" customHeight="1">
      <c r="A3" s="35"/>
      <c r="B3" s="35"/>
      <c r="G3" s="25"/>
      <c r="H3" s="25"/>
      <c r="I3" s="25"/>
      <c r="J3" s="38"/>
      <c r="K3" s="38"/>
      <c r="L3" s="181"/>
      <c r="M3" s="181"/>
      <c r="N3" s="181"/>
      <c r="O3" s="181"/>
      <c r="P3" s="182"/>
      <c r="Q3" s="183"/>
      <c r="R3" s="181"/>
      <c r="S3" s="181"/>
      <c r="T3" s="181"/>
      <c r="U3" s="181"/>
      <c r="V3" s="181"/>
      <c r="W3" s="184"/>
      <c r="X3" s="185"/>
      <c r="Y3" s="186"/>
      <c r="Z3" s="187"/>
      <c r="AA3" s="187"/>
      <c r="AB3" s="188"/>
      <c r="AP3" s="181"/>
      <c r="AQ3" s="181"/>
      <c r="AR3" s="181"/>
      <c r="AS3" s="189"/>
    </row>
    <row r="4" spans="1:49" ht="53.1" hidden="1" customHeight="1">
      <c r="A4" s="35"/>
      <c r="B4" s="35"/>
      <c r="G4" s="25"/>
      <c r="H4" s="25"/>
      <c r="I4" s="25"/>
      <c r="J4" s="38"/>
      <c r="K4" s="38"/>
      <c r="L4" s="181"/>
      <c r="M4" s="181"/>
      <c r="N4" s="181"/>
      <c r="O4" s="181"/>
      <c r="P4" s="182"/>
      <c r="Q4" s="183"/>
      <c r="R4" s="181"/>
      <c r="S4" s="181"/>
      <c r="T4" s="181"/>
      <c r="U4" s="181"/>
      <c r="V4" s="181"/>
      <c r="W4" s="184"/>
      <c r="X4" s="185"/>
      <c r="Y4" s="186"/>
      <c r="Z4" s="187"/>
      <c r="AA4" s="187"/>
      <c r="AB4" s="188"/>
      <c r="AP4" s="181"/>
      <c r="AQ4" s="181"/>
      <c r="AR4" s="181"/>
      <c r="AS4" s="189"/>
    </row>
    <row r="5" spans="1:49" ht="53.1" hidden="1" customHeight="1">
      <c r="A5" s="35"/>
      <c r="B5" s="35"/>
      <c r="G5" s="25"/>
      <c r="H5" s="25"/>
      <c r="I5" s="25"/>
      <c r="J5" s="38"/>
      <c r="K5" s="38"/>
      <c r="L5" s="181"/>
      <c r="M5" s="181"/>
      <c r="N5" s="181"/>
      <c r="O5" s="181"/>
      <c r="P5" s="182"/>
      <c r="Q5" s="183"/>
      <c r="R5" s="181"/>
      <c r="S5" s="181"/>
      <c r="T5" s="181"/>
      <c r="U5" s="181"/>
      <c r="V5" s="181"/>
      <c r="W5" s="184"/>
      <c r="X5" s="185"/>
      <c r="Y5" s="186"/>
      <c r="Z5" s="187"/>
      <c r="AA5" s="187"/>
      <c r="AB5" s="188"/>
      <c r="AP5" s="181"/>
      <c r="AQ5" s="181"/>
      <c r="AR5" s="181"/>
      <c r="AS5" s="189"/>
    </row>
    <row r="6" spans="1:49" ht="53.1" hidden="1" customHeight="1">
      <c r="A6" s="35"/>
      <c r="B6" s="35"/>
      <c r="G6" s="25"/>
      <c r="H6" s="25"/>
      <c r="I6" s="25"/>
      <c r="J6" s="38"/>
      <c r="K6" s="38"/>
      <c r="L6" s="181"/>
      <c r="M6" s="181"/>
      <c r="N6" s="181"/>
      <c r="O6" s="181"/>
      <c r="P6" s="182"/>
      <c r="Q6" s="183"/>
      <c r="R6" s="181"/>
      <c r="S6" s="181"/>
      <c r="T6" s="181"/>
      <c r="U6" s="181"/>
      <c r="V6" s="181"/>
      <c r="W6" s="184"/>
      <c r="X6" s="185"/>
      <c r="Y6" s="186"/>
      <c r="Z6" s="187"/>
      <c r="AA6" s="187"/>
      <c r="AB6" s="188"/>
      <c r="AP6" s="181"/>
      <c r="AQ6" s="181"/>
      <c r="AR6" s="181"/>
      <c r="AS6" s="189"/>
    </row>
    <row r="7" spans="1:49" ht="53.1" hidden="1" customHeight="1">
      <c r="A7" s="35"/>
      <c r="B7" s="35"/>
      <c r="G7" s="25"/>
      <c r="H7" s="25"/>
      <c r="I7" s="25"/>
      <c r="J7" s="38"/>
      <c r="K7" s="38"/>
      <c r="L7" s="181"/>
      <c r="M7" s="181"/>
      <c r="N7" s="181"/>
      <c r="O7" s="181"/>
      <c r="P7" s="182"/>
      <c r="Q7" s="183"/>
      <c r="R7" s="181"/>
      <c r="S7" s="181"/>
      <c r="T7" s="181"/>
      <c r="U7" s="181"/>
      <c r="V7" s="181"/>
      <c r="W7" s="184"/>
      <c r="X7" s="185"/>
      <c r="Y7" s="186"/>
      <c r="Z7" s="187"/>
      <c r="AA7" s="187"/>
      <c r="AB7" s="188"/>
      <c r="AP7" s="181"/>
      <c r="AQ7" s="181"/>
      <c r="AR7" s="181"/>
      <c r="AS7" s="189"/>
    </row>
    <row r="8" spans="1:49" ht="53.1" hidden="1" customHeight="1">
      <c r="A8" s="35"/>
      <c r="B8" s="35"/>
      <c r="G8" s="25"/>
      <c r="H8" s="25"/>
      <c r="I8" s="25"/>
      <c r="J8" s="38"/>
      <c r="K8" s="38"/>
      <c r="L8" s="181"/>
      <c r="M8" s="181"/>
      <c r="N8" s="181"/>
      <c r="O8" s="181"/>
      <c r="P8" s="182"/>
      <c r="Q8" s="183"/>
      <c r="R8" s="181"/>
      <c r="S8" s="181"/>
      <c r="T8" s="181"/>
      <c r="U8" s="181"/>
      <c r="V8" s="181"/>
      <c r="W8" s="184"/>
      <c r="X8" s="185"/>
      <c r="Y8" s="186"/>
      <c r="Z8" s="187"/>
      <c r="AA8" s="187"/>
      <c r="AB8" s="188"/>
      <c r="AP8" s="181"/>
      <c r="AQ8" s="181"/>
      <c r="AR8" s="181"/>
      <c r="AS8" s="189"/>
    </row>
    <row r="9" spans="1:49" ht="53.1" hidden="1" customHeight="1">
      <c r="A9" s="35"/>
      <c r="B9" s="35"/>
      <c r="G9" s="25"/>
      <c r="H9" s="25"/>
      <c r="I9" s="25"/>
      <c r="J9" s="38"/>
      <c r="K9" s="38"/>
      <c r="L9" s="181"/>
      <c r="M9" s="181"/>
      <c r="N9" s="181"/>
      <c r="O9" s="181"/>
      <c r="P9" s="182"/>
      <c r="Q9" s="183"/>
      <c r="R9" s="181"/>
      <c r="S9" s="181"/>
      <c r="T9" s="181"/>
      <c r="U9" s="181"/>
      <c r="V9" s="181"/>
      <c r="W9" s="184"/>
      <c r="X9" s="185"/>
      <c r="Y9" s="186"/>
      <c r="Z9" s="187"/>
      <c r="AA9" s="187"/>
      <c r="AB9" s="188"/>
      <c r="AP9" s="181"/>
      <c r="AQ9" s="181"/>
      <c r="AR9" s="181"/>
      <c r="AS9" s="189"/>
    </row>
    <row r="10" spans="1:49" ht="53.1" hidden="1" customHeight="1">
      <c r="A10" s="35"/>
      <c r="B10" s="35"/>
      <c r="G10" s="25"/>
      <c r="H10" s="25"/>
      <c r="I10" s="25"/>
      <c r="J10" s="38"/>
      <c r="K10" s="38"/>
      <c r="L10" s="181"/>
      <c r="M10" s="181"/>
      <c r="N10" s="181"/>
      <c r="O10" s="181"/>
      <c r="P10" s="182"/>
      <c r="Q10" s="183"/>
      <c r="R10" s="181"/>
      <c r="S10" s="181"/>
      <c r="T10" s="181"/>
      <c r="U10" s="181"/>
      <c r="V10" s="181"/>
      <c r="W10" s="184"/>
      <c r="X10" s="185"/>
      <c r="Y10" s="186"/>
      <c r="Z10" s="187"/>
      <c r="AA10" s="187"/>
      <c r="AB10" s="188"/>
      <c r="AP10" s="181"/>
      <c r="AQ10" s="181"/>
      <c r="AR10" s="181"/>
      <c r="AS10" s="189"/>
    </row>
    <row r="11" spans="1:49" ht="6" customHeight="1">
      <c r="A11" s="35"/>
      <c r="B11" s="35"/>
      <c r="G11" s="25"/>
      <c r="H11" s="25"/>
      <c r="I11" s="25"/>
      <c r="J11" s="38"/>
      <c r="K11" s="38"/>
      <c r="L11" s="181"/>
      <c r="M11" s="181"/>
      <c r="N11" s="181"/>
      <c r="O11" s="181"/>
      <c r="P11" s="182"/>
      <c r="Q11" s="183"/>
      <c r="R11" s="181"/>
      <c r="S11" s="181"/>
      <c r="T11" s="181"/>
      <c r="U11" s="181"/>
      <c r="V11" s="181"/>
      <c r="W11" s="184"/>
      <c r="X11" s="185"/>
      <c r="Y11" s="186"/>
      <c r="Z11" s="187"/>
      <c r="AA11" s="187"/>
      <c r="AB11" s="188"/>
      <c r="AP11" s="181"/>
      <c r="AQ11" s="181"/>
      <c r="AR11" s="181"/>
      <c r="AS11" s="189"/>
    </row>
    <row r="12" spans="1:49" ht="12" customHeight="1">
      <c r="A12" s="44"/>
      <c r="B12" s="44"/>
      <c r="G12" s="25"/>
      <c r="H12" s="190"/>
      <c r="I12" s="190" t="s">
        <v>6</v>
      </c>
      <c r="J12" s="38"/>
      <c r="K12" s="38"/>
      <c r="L12" s="191">
        <v>1</v>
      </c>
      <c r="M12" s="191">
        <v>5</v>
      </c>
      <c r="N12" s="192">
        <v>1</v>
      </c>
      <c r="O12" s="191">
        <v>5</v>
      </c>
      <c r="P12" s="193"/>
      <c r="Q12" s="194"/>
      <c r="R12" s="192">
        <v>10</v>
      </c>
      <c r="S12" s="191">
        <v>20</v>
      </c>
      <c r="T12" s="191">
        <v>3</v>
      </c>
      <c r="U12" s="192">
        <v>10</v>
      </c>
      <c r="V12" s="192">
        <v>2</v>
      </c>
      <c r="W12" s="195">
        <f>SUM(L12:V12)</f>
        <v>57</v>
      </c>
      <c r="X12" s="186"/>
      <c r="Y12" s="186"/>
      <c r="Z12" s="187"/>
      <c r="AA12" s="187"/>
      <c r="AB12" s="188"/>
      <c r="AP12" s="192">
        <v>2</v>
      </c>
      <c r="AQ12" s="192">
        <v>4</v>
      </c>
      <c r="AR12" s="192">
        <v>5</v>
      </c>
      <c r="AS12" s="189"/>
    </row>
    <row r="13" spans="1:49" ht="12" customHeight="1">
      <c r="A13" s="46"/>
      <c r="B13" s="46"/>
      <c r="G13" s="25"/>
      <c r="H13" s="45"/>
      <c r="I13" s="45" t="s">
        <v>7</v>
      </c>
      <c r="J13" s="38"/>
      <c r="K13" s="38"/>
      <c r="L13" s="191">
        <v>1</v>
      </c>
      <c r="M13" s="191">
        <v>5</v>
      </c>
      <c r="N13" s="192">
        <v>1</v>
      </c>
      <c r="O13" s="191">
        <v>5</v>
      </c>
      <c r="P13" s="193"/>
      <c r="Q13" s="194"/>
      <c r="R13" s="192">
        <v>10</v>
      </c>
      <c r="S13" s="191">
        <v>20</v>
      </c>
      <c r="T13" s="191">
        <v>3</v>
      </c>
      <c r="U13" s="192">
        <v>10</v>
      </c>
      <c r="V13" s="192">
        <v>2</v>
      </c>
      <c r="W13" s="195">
        <f>SUM(L13:V13)</f>
        <v>57</v>
      </c>
      <c r="X13" s="186"/>
      <c r="Y13" s="186"/>
      <c r="Z13" s="187"/>
      <c r="AA13" s="187"/>
      <c r="AB13" s="188"/>
      <c r="AP13" s="192">
        <v>2</v>
      </c>
      <c r="AQ13" s="192">
        <v>4</v>
      </c>
      <c r="AR13" s="192">
        <v>5</v>
      </c>
      <c r="AS13" s="189"/>
    </row>
    <row r="14" spans="1:49" ht="12" customHeight="1">
      <c r="A14" s="46"/>
      <c r="B14" s="46"/>
      <c r="G14" s="25"/>
      <c r="H14" s="45"/>
      <c r="I14" s="45" t="s">
        <v>8</v>
      </c>
      <c r="J14" s="38"/>
      <c r="K14" s="38"/>
      <c r="L14" s="191">
        <v>3</v>
      </c>
      <c r="M14" s="191">
        <v>10</v>
      </c>
      <c r="N14" s="192">
        <v>1</v>
      </c>
      <c r="O14" s="191">
        <v>10</v>
      </c>
      <c r="P14" s="193"/>
      <c r="Q14" s="194"/>
      <c r="R14" s="192">
        <v>10</v>
      </c>
      <c r="S14" s="191">
        <v>15</v>
      </c>
      <c r="T14" s="191">
        <v>10</v>
      </c>
      <c r="U14" s="192">
        <v>10</v>
      </c>
      <c r="V14" s="192">
        <v>2</v>
      </c>
      <c r="W14" s="195">
        <f>SUM(L14:V14)</f>
        <v>71</v>
      </c>
      <c r="X14" s="186"/>
      <c r="Y14" s="186"/>
      <c r="Z14" s="187"/>
      <c r="AA14" s="187"/>
      <c r="AB14" s="188"/>
      <c r="AP14" s="192">
        <v>2</v>
      </c>
      <c r="AQ14" s="192">
        <v>2</v>
      </c>
      <c r="AR14" s="192">
        <v>5</v>
      </c>
      <c r="AS14" s="189"/>
    </row>
    <row r="15" spans="1:49" s="164" customFormat="1" ht="21.75" customHeight="1">
      <c r="A15" s="46"/>
      <c r="B15" s="46"/>
      <c r="C15" s="24"/>
      <c r="D15" s="24"/>
      <c r="E15" s="24"/>
      <c r="F15" s="24"/>
      <c r="G15" s="25"/>
      <c r="H15" s="45"/>
      <c r="I15" s="45" t="s">
        <v>9</v>
      </c>
      <c r="J15" s="196"/>
      <c r="K15" s="196"/>
      <c r="L15" s="191">
        <v>3</v>
      </c>
      <c r="M15" s="191">
        <v>5</v>
      </c>
      <c r="N15" s="192">
        <v>1</v>
      </c>
      <c r="O15" s="191">
        <v>3</v>
      </c>
      <c r="P15" s="193"/>
      <c r="Q15" s="194"/>
      <c r="R15" s="192">
        <v>5</v>
      </c>
      <c r="S15" s="191">
        <v>7</v>
      </c>
      <c r="T15" s="191">
        <v>2</v>
      </c>
      <c r="U15" s="192">
        <v>5</v>
      </c>
      <c r="V15" s="192">
        <v>2</v>
      </c>
      <c r="W15" s="195">
        <f>SUM(L15:V15)</f>
        <v>33</v>
      </c>
      <c r="X15" s="192"/>
      <c r="Y15" s="192"/>
      <c r="Z15" s="197"/>
      <c r="AA15" s="197"/>
      <c r="AB15" s="198"/>
      <c r="AP15" s="192">
        <v>2</v>
      </c>
      <c r="AQ15" s="192">
        <v>2</v>
      </c>
      <c r="AR15" s="192">
        <v>5</v>
      </c>
      <c r="AS15" s="199"/>
      <c r="AW15" s="200"/>
    </row>
    <row r="16" spans="1:49" s="165" customFormat="1" ht="42" customHeight="1">
      <c r="A16" s="201" t="s">
        <v>12</v>
      </c>
      <c r="B16" s="201" t="s">
        <v>4718</v>
      </c>
      <c r="C16" s="202" t="s">
        <v>13</v>
      </c>
      <c r="D16" s="202" t="s">
        <v>14</v>
      </c>
      <c r="E16" s="202" t="s">
        <v>4719</v>
      </c>
      <c r="F16" s="202" t="s">
        <v>20</v>
      </c>
      <c r="G16" s="202" t="s">
        <v>21</v>
      </c>
      <c r="H16" s="201" t="s">
        <v>22</v>
      </c>
      <c r="I16" s="201" t="s">
        <v>23</v>
      </c>
      <c r="J16" s="201"/>
      <c r="K16" s="202" t="s">
        <v>24</v>
      </c>
      <c r="L16" s="203" t="s">
        <v>4720</v>
      </c>
      <c r="M16" s="203" t="s">
        <v>26</v>
      </c>
      <c r="N16" s="203" t="s">
        <v>27</v>
      </c>
      <c r="O16" s="203" t="s">
        <v>28</v>
      </c>
      <c r="P16" s="204" t="s">
        <v>4721</v>
      </c>
      <c r="Q16" s="205" t="s">
        <v>29</v>
      </c>
      <c r="R16" s="203" t="s">
        <v>30</v>
      </c>
      <c r="S16" s="203" t="s">
        <v>31</v>
      </c>
      <c r="T16" s="203" t="s">
        <v>32</v>
      </c>
      <c r="U16" s="203" t="s">
        <v>34</v>
      </c>
      <c r="V16" s="203" t="s">
        <v>35</v>
      </c>
      <c r="W16" s="206" t="s">
        <v>16</v>
      </c>
      <c r="X16" s="203" t="s">
        <v>4722</v>
      </c>
      <c r="Y16" s="207" t="s">
        <v>4723</v>
      </c>
      <c r="Z16" s="207" t="s">
        <v>49</v>
      </c>
      <c r="AA16" s="207" t="s">
        <v>4724</v>
      </c>
      <c r="AB16" s="207" t="s">
        <v>4725</v>
      </c>
      <c r="AC16" s="208">
        <v>40329</v>
      </c>
      <c r="AD16" s="209">
        <v>40359</v>
      </c>
      <c r="AE16" s="209">
        <v>40390</v>
      </c>
      <c r="AF16" s="209">
        <v>40421</v>
      </c>
      <c r="AG16" s="209">
        <v>40451</v>
      </c>
      <c r="AH16" s="209">
        <v>40482</v>
      </c>
      <c r="AI16" s="209">
        <v>40512</v>
      </c>
      <c r="AJ16" s="209">
        <v>40543</v>
      </c>
      <c r="AK16" s="209">
        <v>40574</v>
      </c>
      <c r="AL16" s="209">
        <v>40602</v>
      </c>
      <c r="AM16" s="209">
        <f ca="1">TODAY()</f>
        <v>46249</v>
      </c>
      <c r="AP16" s="207" t="s">
        <v>4726</v>
      </c>
      <c r="AQ16" s="207" t="s">
        <v>4727</v>
      </c>
      <c r="AR16" s="207" t="s">
        <v>4728</v>
      </c>
      <c r="AS16" s="210" t="s">
        <v>4729</v>
      </c>
      <c r="AW16" s="211"/>
    </row>
    <row r="17" spans="1:49" s="166" customFormat="1" ht="18" customHeight="1">
      <c r="A17" s="482">
        <v>1</v>
      </c>
      <c r="B17" s="479"/>
      <c r="C17" s="458" t="s">
        <v>4730</v>
      </c>
      <c r="D17" s="458" t="s">
        <v>4731</v>
      </c>
      <c r="E17" s="449"/>
      <c r="F17" s="460" t="s">
        <v>62</v>
      </c>
      <c r="G17" s="458" t="str">
        <f>IF(_xlfn.XLOOKUP(C17,'[35]Before Award'!D:D,'[35]Before Award'!AV:AV,"N/A")="N/A","N","Y")</f>
        <v>N</v>
      </c>
      <c r="H17" s="449"/>
      <c r="I17" s="212" t="s">
        <v>6</v>
      </c>
      <c r="J17" s="214" t="s">
        <v>4732</v>
      </c>
      <c r="K17" s="215">
        <f>WORKDAY(L17,-INDEX(L$12:L$15,MATCH($I17,$I$12:$I$15,0)))</f>
        <v>46140</v>
      </c>
      <c r="L17" s="215">
        <f>WORKDAY(M17,-INDEX(M$12:M$15,MATCH($I17,$I$12:$I$15,0)))</f>
        <v>46141</v>
      </c>
      <c r="M17" s="215">
        <f>WORKDAY(N17,-INDEX(N$12:N$15,MATCH($I17,$I$12:$I$15,0)))</f>
        <v>46148</v>
      </c>
      <c r="N17" s="215">
        <f>WORKDAY(O17,-INDEX(O$12:O$15,MATCH($I17,$I$12:$I$15,0)))</f>
        <v>46149</v>
      </c>
      <c r="O17" s="215">
        <f>WORKDAY(R17,-INDEX(R$12:R$15,MATCH($I17,$I$12:$I$15,0)))</f>
        <v>46156</v>
      </c>
      <c r="P17" s="216">
        <f>U17-L17</f>
        <v>76</v>
      </c>
      <c r="Q17" s="217"/>
      <c r="R17" s="215">
        <f>WORKDAY(S17,-INDEX(S$12:S$15,MATCH($I17,$I$12:$I$15,0)))</f>
        <v>46170</v>
      </c>
      <c r="S17" s="215">
        <f>WORKDAY(T17,-INDEX(T$12:T$15,MATCH($I17,$I$12:$I$15,0)))</f>
        <v>46198</v>
      </c>
      <c r="T17" s="215">
        <f>WORKDAY(U17,-INDEX(U$12:U$15,MATCH($I17,$I$12:$I$15,0)))</f>
        <v>46203</v>
      </c>
      <c r="U17" s="215">
        <f>X17-Y17</f>
        <v>46217</v>
      </c>
      <c r="V17" s="215">
        <f>WORKDAY(U17,INDEX(V$12:V$15,MATCH($I17,$I$12:$I$15,0)))</f>
        <v>46219</v>
      </c>
      <c r="W17" s="218">
        <f>Y17/7</f>
        <v>50</v>
      </c>
      <c r="X17" s="215">
        <f>Z17</f>
        <v>46567</v>
      </c>
      <c r="Y17" s="448">
        <v>350</v>
      </c>
      <c r="Z17" s="447">
        <v>46567</v>
      </c>
      <c r="AA17" s="443">
        <v>46567</v>
      </c>
      <c r="AB17" s="442">
        <f>Z17-X18</f>
        <v>0</v>
      </c>
      <c r="AC17" s="220">
        <f>IF(ISERROR(LOOKUP(AC$16,$L17:$X17,#REF!)),0,(LOOKUP(AC$16,$L17:$X17,#REF!)))</f>
        <v>0</v>
      </c>
      <c r="AD17" s="221">
        <f>IF(ISERROR(LOOKUP(AD$16,$L17:$X17,#REF!)),0,(LOOKUP(AD$16,$L17:$X17,#REF!)))</f>
        <v>0</v>
      </c>
      <c r="AE17" s="221">
        <f>IF(ISERROR(LOOKUP(AE$16,$L17:$X17,#REF!)),0,(LOOKUP(AE$16,$L17:$X17,#REF!)))</f>
        <v>0</v>
      </c>
      <c r="AF17" s="221">
        <f>IF(ISERROR(LOOKUP(AF$16,$L17:$X17,#REF!)),0,(LOOKUP(AF$16,$L17:$X17,#REF!)))</f>
        <v>0</v>
      </c>
      <c r="AG17" s="221">
        <f>IF(ISERROR(LOOKUP(AG$16,$L17:$X17,#REF!)),0,(LOOKUP(AG$16,$L17:$X17,#REF!)))</f>
        <v>0</v>
      </c>
      <c r="AH17" s="221">
        <f>IF(ISERROR(LOOKUP(AH$16,$L17:$X17,#REF!)),0,(LOOKUP(AH$16,$L17:$X17,#REF!)))</f>
        <v>0</v>
      </c>
      <c r="AI17" s="221">
        <f>IF(ISERROR(LOOKUP(AI$16,$L17:$X17,#REF!)),0,(LOOKUP(AI$16,$L17:$X17,#REF!)))</f>
        <v>0</v>
      </c>
      <c r="AJ17" s="221">
        <f>IF(ISERROR(LOOKUP(AJ$16,$L17:$X17,#REF!)),0,(LOOKUP(AJ$16,$L17:$X17,#REF!)))</f>
        <v>0</v>
      </c>
      <c r="AK17" s="221">
        <f>IF(ISERROR(LOOKUP(AK$16,$L17:$X17,#REF!)),0,(LOOKUP(AK$16,$L17:$X17,#REF!)))</f>
        <v>0</v>
      </c>
      <c r="AL17" s="221">
        <f>IF(ISERROR(LOOKUP(AL$16,$L17:$X17,#REF!)),0,(LOOKUP(AL$16,$L17:$X17,#REF!)))</f>
        <v>0</v>
      </c>
      <c r="AM17" s="221">
        <f ca="1">IF(ISERROR(LOOKUP(AM$16,$L17:$X17,#REF!)),0,(LOOKUP(AM$16,$L17:$X17,#REF!)))</f>
        <v>0</v>
      </c>
      <c r="AO17" s="166">
        <f t="shared" ref="AO17:AO71" si="0">U17-T17</f>
        <v>14</v>
      </c>
      <c r="AP17" s="215" t="e">
        <f>WORKDAY(AQ17,-INDEX(AQ$12:AQ$15,MATCH($I17,$I$12:$I$15,0)),$AW$17:$AW$148)</f>
        <v>#REF!</v>
      </c>
      <c r="AQ17" s="215" t="e">
        <f>WORKDAY(U17,-INDEX(U$12:U$15,MATCH($I17,$I$12:$I$15,0)),$AW$17:$AW$148)</f>
        <v>#REF!</v>
      </c>
      <c r="AR17" s="215" t="e">
        <f>WORKDAY(U17,-INDEX(U$12:U$15,MATCH($I17,$I$12:$I$15,0)),$AW$17:$AW$148)</f>
        <v>#REF!</v>
      </c>
      <c r="AS17" s="440">
        <v>14</v>
      </c>
      <c r="AW17" s="223" t="e" cm="1">
        <f t="array" ref="AW17:AW95">'[35]Equipment List and MR List (3)'!$A$2:$A$80</f>
        <v>#REF!</v>
      </c>
    </row>
    <row r="18" spans="1:49" s="166" customFormat="1" ht="18" customHeight="1">
      <c r="A18" s="482"/>
      <c r="B18" s="480"/>
      <c r="C18" s="458" t="str">
        <f>C17</f>
        <v>RFQ-001</v>
      </c>
      <c r="D18" s="458" t="str">
        <f>D17</f>
        <v>Pedestal Crane</v>
      </c>
      <c r="E18" s="450"/>
      <c r="F18" s="461"/>
      <c r="G18" s="458"/>
      <c r="H18" s="450"/>
      <c r="I18" s="212" t="str">
        <f>I17</f>
        <v>LA</v>
      </c>
      <c r="J18" s="214" t="s">
        <v>68</v>
      </c>
      <c r="K18" s="215">
        <f>K17</f>
        <v>46140</v>
      </c>
      <c r="L18" s="215">
        <f>WORKDAY(IF(K19="",K18,K19),INDEX(L$12:L$15,MATCH($I17,$I$12:$I$15,0)))</f>
        <v>46141</v>
      </c>
      <c r="M18" s="215">
        <f>WORKDAY(IF(L19="",L18,L19),INDEX(M$12:M$15,MATCH($I17,$I$12:$I$15,0)))</f>
        <v>46148</v>
      </c>
      <c r="N18" s="215">
        <f>WORKDAY(IF(M19="",M18,M19),INDEX(N$12:N$15,MATCH($I17,$I$12:$I$15,0)))</f>
        <v>46149</v>
      </c>
      <c r="O18" s="215">
        <f>WORKDAY(IF(N19="",N18,N19),INDEX(O$12:O$15,MATCH($I17,$I$12:$I$15,0)))</f>
        <v>46156</v>
      </c>
      <c r="P18" s="216"/>
      <c r="Q18" s="217"/>
      <c r="R18" s="215">
        <f>WORKDAY(IF(O19="",O18,O19),INDEX(R$12:R$15,MATCH($I17,$I$12:$I$15,0)))</f>
        <v>46170</v>
      </c>
      <c r="S18" s="215">
        <f>WORKDAY(IF(R19="",R18,R19),INDEX(S$12:S$15,MATCH($I17,$I$12:$I$15,0)))</f>
        <v>46198</v>
      </c>
      <c r="T18" s="215">
        <f>WORKDAY(IF(S19="",S18,S19),INDEX(T$12:T$15,MATCH($I17,$I$12:$I$15,0)))</f>
        <v>46203</v>
      </c>
      <c r="U18" s="215">
        <f>WORKDAY(IF(T19="",T18,T19),INDEX(U$12:U$15,MATCH($I17,$I$12:$I$15,0)))</f>
        <v>46217</v>
      </c>
      <c r="V18" s="215">
        <f>WORKDAY(IF(U19="",U18,U19),INDEX(V$12:V$15,MATCH($I17,$I$12:$I$15,0)))</f>
        <v>46219</v>
      </c>
      <c r="W18" s="218"/>
      <c r="X18" s="215">
        <f>U18+Y17</f>
        <v>46567</v>
      </c>
      <c r="Y18" s="448"/>
      <c r="Z18" s="447"/>
      <c r="AA18" s="443"/>
      <c r="AB18" s="442"/>
      <c r="AC18" s="220">
        <f>IF(ISERROR(LOOKUP(AC$16,$L18:$X18,#REF!)),0,(LOOKUP(AC$16,$L18:$X18,#REF!)))</f>
        <v>0</v>
      </c>
      <c r="AD18" s="221">
        <f>IF(ISERROR(LOOKUP(AD$16,$L18:$X18,#REF!)),0,(LOOKUP(AD$16,$L18:$X18,#REF!)))</f>
        <v>0</v>
      </c>
      <c r="AE18" s="221">
        <f>IF(ISERROR(LOOKUP(AE$16,$L18:$X18,#REF!)),0,(LOOKUP(AE$16,$L18:$X18,#REF!)))</f>
        <v>0</v>
      </c>
      <c r="AF18" s="221">
        <f>IF(ISERROR(LOOKUP(AF$16,$L18:$X18,#REF!)),0,(LOOKUP(AF$16,$L18:$X18,#REF!)))</f>
        <v>0</v>
      </c>
      <c r="AG18" s="221">
        <f>IF(ISERROR(LOOKUP(AG$16,$L18:$X18,#REF!)),0,(LOOKUP(AG$16,$L18:$X18,#REF!)))</f>
        <v>0</v>
      </c>
      <c r="AH18" s="221">
        <f>IF(ISERROR(LOOKUP(AH$16,$L18:$X18,#REF!)),0,(LOOKUP(AH$16,$L18:$X18,#REF!)))</f>
        <v>0</v>
      </c>
      <c r="AI18" s="221">
        <f>IF(ISERROR(LOOKUP(AI$16,$L18:$X18,#REF!)),0,(LOOKUP(AI$16,$L18:$X18,#REF!)))</f>
        <v>0</v>
      </c>
      <c r="AJ18" s="221">
        <f>IF(ISERROR(LOOKUP(AJ$16,$L18:$X18,#REF!)),0,(LOOKUP(AJ$16,$L18:$X18,#REF!)))</f>
        <v>0</v>
      </c>
      <c r="AK18" s="221">
        <f>IF(ISERROR(LOOKUP(AK$16,$L18:$X18,#REF!)),0,(LOOKUP(AK$16,$L18:$X18,#REF!)))</f>
        <v>0</v>
      </c>
      <c r="AL18" s="221">
        <f>IF(ISERROR(LOOKUP(AL$16,$L18:$X18,#REF!)),0,(LOOKUP(AL$16,$L18:$X18,#REF!)))</f>
        <v>0</v>
      </c>
      <c r="AM18" s="221">
        <f ca="1">IF(ISERROR(LOOKUP(AM$16,$L18:$X18,#REF!)),0,(LOOKUP(AM$16,$L18:$X18,#REF!)))</f>
        <v>0</v>
      </c>
      <c r="AO18" s="166">
        <f t="shared" si="0"/>
        <v>14</v>
      </c>
      <c r="AP18" s="215" t="e">
        <f>WORKDAY(IF(T19="",T18,T19),INDEX(AP$12:AP$15,MATCH($I17,$I$12:$I$15,0)),$AW$17:$AW$148)</f>
        <v>#REF!</v>
      </c>
      <c r="AQ18" s="215" t="e">
        <f>WORKDAY(IF(AP19="",AP18,AP19),INDEX(AQ$12:AQ$15,MATCH($I17,$I$12:$I$15,0)),$AW$17:$AW$148)</f>
        <v>#REF!</v>
      </c>
      <c r="AR18" s="215" t="e">
        <f>WORKDAY(IF(AQ19="",AQ18,AQ19),INDEX(AR$12:AR$15,MATCH($I17,$I$12:$I$15,0)),$AW$17:$AW$148)</f>
        <v>#REF!</v>
      </c>
      <c r="AS18" s="440"/>
      <c r="AW18" s="223" t="e">
        <v>#REF!</v>
      </c>
    </row>
    <row r="19" spans="1:49" s="166" customFormat="1" ht="18" customHeight="1">
      <c r="A19" s="482"/>
      <c r="B19" s="481"/>
      <c r="C19" s="458" t="str">
        <f>C17</f>
        <v>RFQ-001</v>
      </c>
      <c r="D19" s="458" t="str">
        <f>D17</f>
        <v>Pedestal Crane</v>
      </c>
      <c r="E19" s="451"/>
      <c r="F19" s="462"/>
      <c r="G19" s="458"/>
      <c r="H19" s="451"/>
      <c r="I19" s="212" t="str">
        <f>I17</f>
        <v>LA</v>
      </c>
      <c r="J19" s="214" t="s">
        <v>70</v>
      </c>
      <c r="K19" s="212"/>
      <c r="L19" s="212"/>
      <c r="M19" s="212"/>
      <c r="N19" s="212"/>
      <c r="O19" s="212"/>
      <c r="P19" s="226"/>
      <c r="Q19" s="227"/>
      <c r="R19" s="212"/>
      <c r="S19" s="212"/>
      <c r="T19" s="212"/>
      <c r="U19" s="212"/>
      <c r="V19" s="212"/>
      <c r="W19" s="228"/>
      <c r="X19" s="212"/>
      <c r="Y19" s="448"/>
      <c r="Z19" s="447"/>
      <c r="AA19" s="443"/>
      <c r="AB19" s="442"/>
      <c r="AC19" s="229">
        <f>IF(ISERROR(LOOKUP(AC$16,$L19:$X19,#REF!)),0,(LOOKUP(AC$16,$L19:$X19,#REF!)))</f>
        <v>0</v>
      </c>
      <c r="AD19" s="230">
        <f>IF(ISERROR(LOOKUP(AD$16,$L19:$X19,#REF!)),0,(LOOKUP(AD$16,$L19:$X19,#REF!)))</f>
        <v>0</v>
      </c>
      <c r="AE19" s="230">
        <f>IF(ISERROR(LOOKUP(AE$16,$L19:$X19,#REF!)),0,(LOOKUP(AE$16,$L19:$X19,#REF!)))</f>
        <v>0</v>
      </c>
      <c r="AF19" s="230">
        <f>IF(ISERROR(LOOKUP(AF$16,$L19:$X19,#REF!)),0,(LOOKUP(AF$16,$L19:$X19,#REF!)))</f>
        <v>0</v>
      </c>
      <c r="AG19" s="230">
        <f>IF(ISERROR(LOOKUP(AG$16,$L19:$X19,#REF!)),0,(LOOKUP(AG$16,$L19:$X19,#REF!)))</f>
        <v>0</v>
      </c>
      <c r="AH19" s="230">
        <f>IF(ISERROR(LOOKUP(AH$16,$L19:$X19,#REF!)),0,(LOOKUP(AH$16,$L19:$X19,#REF!)))</f>
        <v>0</v>
      </c>
      <c r="AI19" s="230">
        <f>IF(ISERROR(LOOKUP(AI$16,$L19:$X19,#REF!)),0,(LOOKUP(AI$16,$L19:$X19,#REF!)))</f>
        <v>0</v>
      </c>
      <c r="AJ19" s="230">
        <f>IF(ISERROR(LOOKUP(AJ$16,$L19:$X19,#REF!)),0,(LOOKUP(AJ$16,$L19:$X19,#REF!)))</f>
        <v>0</v>
      </c>
      <c r="AK19" s="230">
        <f>IF(ISERROR(LOOKUP(AK$16,$L19:$X19,#REF!)),0,(LOOKUP(AK$16,$L19:$X19,#REF!)))</f>
        <v>0</v>
      </c>
      <c r="AL19" s="230">
        <f>IF(ISERROR(LOOKUP(AL$16,$L19:$X19,#REF!)),0,(LOOKUP(AL$16,$L19:$X19,#REF!)))</f>
        <v>0</v>
      </c>
      <c r="AM19" s="230">
        <f ca="1">IF(ISERROR(LOOKUP(AM$16,$L19:$X19,#REF!)),0,(LOOKUP(AM$16,$L19:$X19,#REF!)))</f>
        <v>0</v>
      </c>
      <c r="AO19" s="166">
        <f t="shared" si="0"/>
        <v>0</v>
      </c>
      <c r="AP19" s="212"/>
      <c r="AQ19" s="212"/>
      <c r="AR19" s="212"/>
      <c r="AS19" s="440"/>
      <c r="AW19" s="223" t="e">
        <v>#REF!</v>
      </c>
    </row>
    <row r="20" spans="1:49" s="167" customFormat="1" ht="18" customHeight="1">
      <c r="A20" s="483">
        <f>A17+1</f>
        <v>2</v>
      </c>
      <c r="B20" s="479"/>
      <c r="C20" s="459" t="s">
        <v>4733</v>
      </c>
      <c r="D20" s="459" t="s">
        <v>73</v>
      </c>
      <c r="E20" s="449"/>
      <c r="F20" s="469" t="s">
        <v>62</v>
      </c>
      <c r="G20" s="459" t="s">
        <v>75</v>
      </c>
      <c r="H20" s="455"/>
      <c r="I20" s="45" t="s">
        <v>8</v>
      </c>
      <c r="J20" s="233" t="s">
        <v>4732</v>
      </c>
      <c r="K20" s="215">
        <f>WORKDAY(L20,-INDEX(L$12:L$15,MATCH($I20,$I$12:$I$15,0)))</f>
        <v>46296</v>
      </c>
      <c r="L20" s="215">
        <f>WORKDAY(M20,-INDEX(M$12:M$15,MATCH($I20,$I$12:$I$15,0)))</f>
        <v>46301</v>
      </c>
      <c r="M20" s="215">
        <f>WORKDAY(N20,-INDEX(N$12:N$15,MATCH($I20,$I$12:$I$15,0)))</f>
        <v>46315</v>
      </c>
      <c r="N20" s="215">
        <f>WORKDAY(O20,-INDEX(O$12:O$15,MATCH($I20,$I$12:$I$15,0)))</f>
        <v>46316</v>
      </c>
      <c r="O20" s="215">
        <f>WORKDAY(R20,-INDEX(R$12:R$15,MATCH($I20,$I$12:$I$15,0)))</f>
        <v>46330</v>
      </c>
      <c r="P20" s="216">
        <f>U20-L20</f>
        <v>92</v>
      </c>
      <c r="Q20" s="217"/>
      <c r="R20" s="215">
        <f>WORKDAY(S20,-INDEX(S$12:S$15,MATCH($I20,$I$12:$I$15,0)))</f>
        <v>46344</v>
      </c>
      <c r="S20" s="215">
        <f>WORKDAY(T20,-INDEX(T$12:T$15,MATCH($I20,$I$12:$I$15,0)))</f>
        <v>46365</v>
      </c>
      <c r="T20" s="215">
        <f>WORKDAY(U20,-INDEX(U$12:U$15,MATCH($I20,$I$12:$I$15,0)))</f>
        <v>46379</v>
      </c>
      <c r="U20" s="215">
        <f>X20-Y20</f>
        <v>46393</v>
      </c>
      <c r="V20" s="215">
        <f>WORKDAY(U20,INDEX(V$12:V$15,MATCH($I20,$I$12:$I$15,0)))</f>
        <v>46395</v>
      </c>
      <c r="W20" s="218">
        <f>Y20/7</f>
        <v>25</v>
      </c>
      <c r="X20" s="215">
        <f>Z20</f>
        <v>46568</v>
      </c>
      <c r="Y20" s="448">
        <v>175</v>
      </c>
      <c r="Z20" s="447">
        <v>46568</v>
      </c>
      <c r="AA20" s="443">
        <v>46568</v>
      </c>
      <c r="AB20" s="442">
        <f>Z20-X21</f>
        <v>0</v>
      </c>
      <c r="AC20" s="234">
        <f>IF(ISERROR(LOOKUP(AC$16,$L20:$X20,#REF!)),0,(LOOKUP(AC$16,$L20:$X20,#REF!)))</f>
        <v>0</v>
      </c>
      <c r="AD20" s="235">
        <f>IF(ISERROR(LOOKUP(AD$16,$L20:$X20,#REF!)),0,(LOOKUP(AD$16,$L20:$X20,#REF!)))</f>
        <v>0</v>
      </c>
      <c r="AE20" s="235">
        <f>IF(ISERROR(LOOKUP(AE$16,$L20:$X20,#REF!)),0,(LOOKUP(AE$16,$L20:$X20,#REF!)))</f>
        <v>0</v>
      </c>
      <c r="AF20" s="235">
        <f>IF(ISERROR(LOOKUP(AF$16,$L20:$X20,#REF!)),0,(LOOKUP(AF$16,$L20:$X20,#REF!)))</f>
        <v>0</v>
      </c>
      <c r="AG20" s="235">
        <f>IF(ISERROR(LOOKUP(AG$16,$L20:$X20,#REF!)),0,(LOOKUP(AG$16,$L20:$X20,#REF!)))</f>
        <v>0</v>
      </c>
      <c r="AH20" s="235">
        <f>IF(ISERROR(LOOKUP(AH$16,$L20:$X20,#REF!)),0,(LOOKUP(AH$16,$L20:$X20,#REF!)))</f>
        <v>0</v>
      </c>
      <c r="AI20" s="235">
        <f>IF(ISERROR(LOOKUP(AI$16,$L20:$X20,#REF!)),0,(LOOKUP(AI$16,$L20:$X20,#REF!)))</f>
        <v>0</v>
      </c>
      <c r="AJ20" s="235">
        <f>IF(ISERROR(LOOKUP(AJ$16,$L20:$X20,#REF!)),0,(LOOKUP(AJ$16,$L20:$X20,#REF!)))</f>
        <v>0</v>
      </c>
      <c r="AK20" s="235">
        <f>IF(ISERROR(LOOKUP(AK$16,$L20:$X20,#REF!)),0,(LOOKUP(AK$16,$L20:$X20,#REF!)))</f>
        <v>0</v>
      </c>
      <c r="AL20" s="235">
        <f>IF(ISERROR(LOOKUP(AL$16,$L20:$X20,#REF!)),0,(LOOKUP(AL$16,$L20:$X20,#REF!)))</f>
        <v>0</v>
      </c>
      <c r="AM20" s="235">
        <f ca="1">IF(ISERROR(LOOKUP(AM$16,$L20:$X20,#REF!)),0,(LOOKUP(AM$16,$L20:$X20,#REF!)))</f>
        <v>0</v>
      </c>
      <c r="AO20" s="166">
        <f t="shared" si="0"/>
        <v>14</v>
      </c>
      <c r="AP20" s="215" t="e">
        <f>WORKDAY(AQ20,-INDEX(AQ$12:AQ$15,MATCH($I20,$I$12:$I$15,0)),$AW$17:$AW$148)</f>
        <v>#REF!</v>
      </c>
      <c r="AQ20" s="215" t="e">
        <f>WORKDAY(U20,-INDEX(U$12:U$15,MATCH($I20,$I$12:$I$15,0)),$AW$17:$AW$148)</f>
        <v>#REF!</v>
      </c>
      <c r="AR20" s="215" t="e">
        <f>WORKDAY(U20,-INDEX(U$12:U$15,MATCH($I20,$I$12:$I$15,0)),$AW$17:$AW$148)</f>
        <v>#REF!</v>
      </c>
      <c r="AS20" s="440">
        <v>14</v>
      </c>
      <c r="AW20" s="236" t="e">
        <v>#REF!</v>
      </c>
    </row>
    <row r="21" spans="1:49" s="167" customFormat="1" ht="18" customHeight="1">
      <c r="A21" s="483"/>
      <c r="B21" s="480"/>
      <c r="C21" s="459" t="str">
        <f>C20</f>
        <v>RFQ-002</v>
      </c>
      <c r="D21" s="459" t="str">
        <f>D20</f>
        <v>Material Handling Equipment</v>
      </c>
      <c r="E21" s="450"/>
      <c r="F21" s="470"/>
      <c r="G21" s="459" t="str">
        <f>G20</f>
        <v>N</v>
      </c>
      <c r="H21" s="456"/>
      <c r="I21" s="231" t="str">
        <f>I20</f>
        <v>LC</v>
      </c>
      <c r="J21" s="233" t="s">
        <v>68</v>
      </c>
      <c r="K21" s="215">
        <f>K20</f>
        <v>46296</v>
      </c>
      <c r="L21" s="215">
        <f>WORKDAY(IF(K22="",K21,K22),INDEX(L$12:L$15,MATCH($I20,$I$12:$I$15,0)))</f>
        <v>46301</v>
      </c>
      <c r="M21" s="215">
        <f>WORKDAY(IF(L22="",L21,L22),INDEX(M$12:M$15,MATCH($I20,$I$12:$I$15,0)))</f>
        <v>46315</v>
      </c>
      <c r="N21" s="215">
        <f>WORKDAY(IF(M22="",M21,M22),INDEX(N$12:N$15,MATCH($I20,$I$12:$I$15,0)))</f>
        <v>46316</v>
      </c>
      <c r="O21" s="215">
        <f>WORKDAY(IF(N22="",N21,N22),INDEX(O$12:O$15,MATCH($I20,$I$12:$I$15,0)))</f>
        <v>46330</v>
      </c>
      <c r="P21" s="216"/>
      <c r="Q21" s="217"/>
      <c r="R21" s="215">
        <f>WORKDAY(IF(O22="",O21,O22),INDEX(R$12:R$15,MATCH($I20,$I$12:$I$15,0)))</f>
        <v>46344</v>
      </c>
      <c r="S21" s="215">
        <f>WORKDAY(IF(R22="",R21,R22),INDEX(S$12:S$15,MATCH($I20,$I$12:$I$15,0)))</f>
        <v>46365</v>
      </c>
      <c r="T21" s="215">
        <f>WORKDAY(IF(S22="",S21,S22),INDEX(T$12:T$15,MATCH($I20,$I$12:$I$15,0)))</f>
        <v>46379</v>
      </c>
      <c r="U21" s="215">
        <f>WORKDAY(IF(T22="",T21,T22),INDEX(U$12:U$15,MATCH($I20,$I$12:$I$15,0)))</f>
        <v>46393</v>
      </c>
      <c r="V21" s="215">
        <f>WORKDAY(IF(U22="",U21,U22),INDEX(V$12:V$15,MATCH($I20,$I$12:$I$15,0)))</f>
        <v>46395</v>
      </c>
      <c r="W21" s="218"/>
      <c r="X21" s="215">
        <f>U21+Y20</f>
        <v>46568</v>
      </c>
      <c r="Y21" s="448"/>
      <c r="Z21" s="447"/>
      <c r="AA21" s="443"/>
      <c r="AB21" s="442"/>
      <c r="AC21" s="234">
        <f>IF(ISERROR(LOOKUP(AC$16,$L21:$X21,#REF!)),0,(LOOKUP(AC$16,$L21:$X21,#REF!)))</f>
        <v>0</v>
      </c>
      <c r="AD21" s="235">
        <f>IF(ISERROR(LOOKUP(AD$16,$L21:$X21,#REF!)),0,(LOOKUP(AD$16,$L21:$X21,#REF!)))</f>
        <v>0</v>
      </c>
      <c r="AE21" s="235">
        <f>IF(ISERROR(LOOKUP(AE$16,$L21:$X21,#REF!)),0,(LOOKUP(AE$16,$L21:$X21,#REF!)))</f>
        <v>0</v>
      </c>
      <c r="AF21" s="235">
        <f>IF(ISERROR(LOOKUP(AF$16,$L21:$X21,#REF!)),0,(LOOKUP(AF$16,$L21:$X21,#REF!)))</f>
        <v>0</v>
      </c>
      <c r="AG21" s="235">
        <f>IF(ISERROR(LOOKUP(AG$16,$L21:$X21,#REF!)),0,(LOOKUP(AG$16,$L21:$X21,#REF!)))</f>
        <v>0</v>
      </c>
      <c r="AH21" s="235">
        <f>IF(ISERROR(LOOKUP(AH$16,$L21:$X21,#REF!)),0,(LOOKUP(AH$16,$L21:$X21,#REF!)))</f>
        <v>0</v>
      </c>
      <c r="AI21" s="235">
        <f>IF(ISERROR(LOOKUP(AI$16,$L21:$X21,#REF!)),0,(LOOKUP(AI$16,$L21:$X21,#REF!)))</f>
        <v>0</v>
      </c>
      <c r="AJ21" s="235">
        <f>IF(ISERROR(LOOKUP(AJ$16,$L21:$X21,#REF!)),0,(LOOKUP(AJ$16,$L21:$X21,#REF!)))</f>
        <v>0</v>
      </c>
      <c r="AK21" s="235">
        <f>IF(ISERROR(LOOKUP(AK$16,$L21:$X21,#REF!)),0,(LOOKUP(AK$16,$L21:$X21,#REF!)))</f>
        <v>0</v>
      </c>
      <c r="AL21" s="235">
        <f>IF(ISERROR(LOOKUP(AL$16,$L21:$X21,#REF!)),0,(LOOKUP(AL$16,$L21:$X21,#REF!)))</f>
        <v>0</v>
      </c>
      <c r="AM21" s="235">
        <f ca="1">IF(ISERROR(LOOKUP(AM$16,$L21:$X21,#REF!)),0,(LOOKUP(AM$16,$L21:$X21,#REF!)))</f>
        <v>0</v>
      </c>
      <c r="AO21" s="166">
        <f t="shared" si="0"/>
        <v>14</v>
      </c>
      <c r="AP21" s="215" t="e">
        <f>WORKDAY(IF(T22="",T21,T22),INDEX(AP$12:AP$15,MATCH($I20,$I$12:$I$15,0)),$AW$17:$AW$148)</f>
        <v>#REF!</v>
      </c>
      <c r="AQ21" s="215" t="e">
        <f>WORKDAY(IF(AP22="",AP21,AP22),INDEX(AQ$12:AQ$15,MATCH($I20,$I$12:$I$15,0)),$AW$17:$AW$148)</f>
        <v>#REF!</v>
      </c>
      <c r="AR21" s="215" t="e">
        <f>WORKDAY(IF(AQ22="",AQ21,AQ22),INDEX(AR$12:AR$15,MATCH($I20,$I$12:$I$15,0)),$AW$17:$AW$148)</f>
        <v>#REF!</v>
      </c>
      <c r="AS21" s="440"/>
      <c r="AW21" s="236" t="e">
        <v>#REF!</v>
      </c>
    </row>
    <row r="22" spans="1:49" s="167" customFormat="1" ht="18" customHeight="1">
      <c r="A22" s="483"/>
      <c r="B22" s="481"/>
      <c r="C22" s="459" t="str">
        <f>C20</f>
        <v>RFQ-002</v>
      </c>
      <c r="D22" s="459" t="str">
        <f>D20</f>
        <v>Material Handling Equipment</v>
      </c>
      <c r="E22" s="451"/>
      <c r="F22" s="471"/>
      <c r="G22" s="459" t="str">
        <f>G20</f>
        <v>N</v>
      </c>
      <c r="H22" s="457"/>
      <c r="I22" s="231" t="str">
        <f>I20</f>
        <v>LC</v>
      </c>
      <c r="J22" s="233" t="s">
        <v>70</v>
      </c>
      <c r="K22" s="212"/>
      <c r="L22" s="212"/>
      <c r="M22" s="212"/>
      <c r="N22" s="212"/>
      <c r="O22" s="212"/>
      <c r="P22" s="226"/>
      <c r="Q22" s="227"/>
      <c r="R22" s="212"/>
      <c r="S22" s="212"/>
      <c r="T22" s="212"/>
      <c r="U22" s="212"/>
      <c r="V22" s="212"/>
      <c r="W22" s="228"/>
      <c r="X22" s="212"/>
      <c r="Y22" s="448"/>
      <c r="Z22" s="447"/>
      <c r="AA22" s="443"/>
      <c r="AB22" s="442"/>
      <c r="AC22" s="239">
        <f>IF(ISERROR(LOOKUP(AC$16,$L22:$X22,#REF!)),0,(LOOKUP(AC$16,$L22:$X22,#REF!)))</f>
        <v>0</v>
      </c>
      <c r="AD22" s="240">
        <f>IF(ISERROR(LOOKUP(AD$16,$L22:$X22,#REF!)),0,(LOOKUP(AD$16,$L22:$X22,#REF!)))</f>
        <v>0</v>
      </c>
      <c r="AE22" s="240">
        <f>IF(ISERROR(LOOKUP(AE$16,$L22:$X22,#REF!)),0,(LOOKUP(AE$16,$L22:$X22,#REF!)))</f>
        <v>0</v>
      </c>
      <c r="AF22" s="240">
        <f>IF(ISERROR(LOOKUP(AF$16,$L22:$X22,#REF!)),0,(LOOKUP(AF$16,$L22:$X22,#REF!)))</f>
        <v>0</v>
      </c>
      <c r="AG22" s="240">
        <f>IF(ISERROR(LOOKUP(AG$16,$L22:$X22,#REF!)),0,(LOOKUP(AG$16,$L22:$X22,#REF!)))</f>
        <v>0</v>
      </c>
      <c r="AH22" s="240">
        <f>IF(ISERROR(LOOKUP(AH$16,$L22:$X22,#REF!)),0,(LOOKUP(AH$16,$L22:$X22,#REF!)))</f>
        <v>0</v>
      </c>
      <c r="AI22" s="240">
        <f>IF(ISERROR(LOOKUP(AI$16,$L22:$X22,#REF!)),0,(LOOKUP(AI$16,$L22:$X22,#REF!)))</f>
        <v>0</v>
      </c>
      <c r="AJ22" s="240">
        <f>IF(ISERROR(LOOKUP(AJ$16,$L22:$X22,#REF!)),0,(LOOKUP(AJ$16,$L22:$X22,#REF!)))</f>
        <v>0</v>
      </c>
      <c r="AK22" s="240">
        <f>IF(ISERROR(LOOKUP(AK$16,$L22:$X22,#REF!)),0,(LOOKUP(AK$16,$L22:$X22,#REF!)))</f>
        <v>0</v>
      </c>
      <c r="AL22" s="240">
        <f>IF(ISERROR(LOOKUP(AL$16,$L22:$X22,#REF!)),0,(LOOKUP(AL$16,$L22:$X22,#REF!)))</f>
        <v>0</v>
      </c>
      <c r="AM22" s="240">
        <f ca="1">IF(ISERROR(LOOKUP(AM$16,$L22:$X22,#REF!)),0,(LOOKUP(AM$16,$L22:$X22,#REF!)))</f>
        <v>0</v>
      </c>
      <c r="AO22" s="166">
        <f t="shared" si="0"/>
        <v>0</v>
      </c>
      <c r="AP22" s="212"/>
      <c r="AQ22" s="212"/>
      <c r="AR22" s="212"/>
      <c r="AS22" s="440"/>
      <c r="AW22" s="236" t="e">
        <v>#REF!</v>
      </c>
    </row>
    <row r="23" spans="1:49" s="167" customFormat="1" ht="18" customHeight="1">
      <c r="A23" s="483">
        <f>A20+1</f>
        <v>3</v>
      </c>
      <c r="B23" s="479"/>
      <c r="C23" s="478" t="s">
        <v>4734</v>
      </c>
      <c r="D23" s="478" t="s">
        <v>78</v>
      </c>
      <c r="E23" s="449"/>
      <c r="F23" s="474" t="s">
        <v>62</v>
      </c>
      <c r="G23" s="459" t="s">
        <v>67</v>
      </c>
      <c r="H23" s="455"/>
      <c r="I23" s="231" t="s">
        <v>6</v>
      </c>
      <c r="J23" s="233" t="s">
        <v>4732</v>
      </c>
      <c r="K23" s="215">
        <f>WORKDAY(L23,-INDEX(L$12:L$15,MATCH($I23,$I$12:$I$15,0)))</f>
        <v>46209</v>
      </c>
      <c r="L23" s="215">
        <f>WORKDAY(M23,-INDEX(M$12:M$15,MATCH($I23,$I$12:$I$15,0)))</f>
        <v>46210</v>
      </c>
      <c r="M23" s="215">
        <f>WORKDAY(N23,-INDEX(N$12:N$15,MATCH($I23,$I$12:$I$15,0)))</f>
        <v>46217</v>
      </c>
      <c r="N23" s="215">
        <f>WORKDAY(O23,-INDEX(O$12:O$15,MATCH($I23,$I$12:$I$15,0)))</f>
        <v>46218</v>
      </c>
      <c r="O23" s="215">
        <f>WORKDAY(R23,-INDEX(R$12:R$15,MATCH($I23,$I$12:$I$15,0)))</f>
        <v>46225</v>
      </c>
      <c r="P23" s="216">
        <f>U23-L23</f>
        <v>76</v>
      </c>
      <c r="Q23" s="217"/>
      <c r="R23" s="215">
        <f>WORKDAY(S23,-INDEX(S$12:S$15,MATCH($I23,$I$12:$I$15,0)))</f>
        <v>46239</v>
      </c>
      <c r="S23" s="215">
        <f>WORKDAY(T23,-INDEX(T$12:T$15,MATCH($I23,$I$12:$I$15,0)))</f>
        <v>46267</v>
      </c>
      <c r="T23" s="215">
        <f>WORKDAY(U23,-INDEX(U$12:U$15,MATCH($I23,$I$12:$I$15,0)))</f>
        <v>46272</v>
      </c>
      <c r="U23" s="215">
        <f>X23-Y23</f>
        <v>46286</v>
      </c>
      <c r="V23" s="215">
        <f>WORKDAY(U23,INDEX(V$12:V$15,MATCH($I23,$I$12:$I$15,0)))</f>
        <v>46288</v>
      </c>
      <c r="W23" s="218">
        <f>Y23/7</f>
        <v>25.714285714285701</v>
      </c>
      <c r="X23" s="215">
        <f>Z23</f>
        <v>46466</v>
      </c>
      <c r="Y23" s="448">
        <v>180</v>
      </c>
      <c r="Z23" s="443">
        <v>46466</v>
      </c>
      <c r="AA23" s="443">
        <v>46466</v>
      </c>
      <c r="AB23" s="442">
        <f>Z23-X24</f>
        <v>0</v>
      </c>
      <c r="AC23" s="234">
        <f>IF(ISERROR(LOOKUP(AC$16,$L23:$X23,#REF!)),0,(LOOKUP(AC$16,$L23:$X23,#REF!)))</f>
        <v>0</v>
      </c>
      <c r="AD23" s="235">
        <f>IF(ISERROR(LOOKUP(AD$16,$L23:$X23,#REF!)),0,(LOOKUP(AD$16,$L23:$X23,#REF!)))</f>
        <v>0</v>
      </c>
      <c r="AE23" s="235">
        <f>IF(ISERROR(LOOKUP(AE$16,$L23:$X23,#REF!)),0,(LOOKUP(AE$16,$L23:$X23,#REF!)))</f>
        <v>0</v>
      </c>
      <c r="AF23" s="235">
        <f>IF(ISERROR(LOOKUP(AF$16,$L23:$X23,#REF!)),0,(LOOKUP(AF$16,$L23:$X23,#REF!)))</f>
        <v>0</v>
      </c>
      <c r="AG23" s="235">
        <f>IF(ISERROR(LOOKUP(AG$16,$L23:$X23,#REF!)),0,(LOOKUP(AG$16,$L23:$X23,#REF!)))</f>
        <v>0</v>
      </c>
      <c r="AH23" s="235">
        <f>IF(ISERROR(LOOKUP(AH$16,$L23:$X23,#REF!)),0,(LOOKUP(AH$16,$L23:$X23,#REF!)))</f>
        <v>0</v>
      </c>
      <c r="AI23" s="235">
        <f>IF(ISERROR(LOOKUP(AI$16,$L23:$X23,#REF!)),0,(LOOKUP(AI$16,$L23:$X23,#REF!)))</f>
        <v>0</v>
      </c>
      <c r="AJ23" s="235">
        <f>IF(ISERROR(LOOKUP(AJ$16,$L23:$X23,#REF!)),0,(LOOKUP(AJ$16,$L23:$X23,#REF!)))</f>
        <v>0</v>
      </c>
      <c r="AK23" s="235">
        <f>IF(ISERROR(LOOKUP(AK$16,$L23:$X23,#REF!)),0,(LOOKUP(AK$16,$L23:$X23,#REF!)))</f>
        <v>0</v>
      </c>
      <c r="AL23" s="235">
        <f>IF(ISERROR(LOOKUP(AL$16,$L23:$X23,#REF!)),0,(LOOKUP(AL$16,$L23:$X23,#REF!)))</f>
        <v>0</v>
      </c>
      <c r="AM23" s="235">
        <f ca="1">IF(ISERROR(LOOKUP(AM$16,$L23:$X23,#REF!)),0,(LOOKUP(AM$16,$L23:$X23,#REF!)))</f>
        <v>0</v>
      </c>
      <c r="AO23" s="166">
        <f t="shared" si="0"/>
        <v>14</v>
      </c>
      <c r="AP23" s="215" t="e">
        <f>WORKDAY(AQ23,-INDEX(AQ$12:AQ$15,MATCH($I23,$I$12:$I$15,0)),$AW$17:$AW$148)</f>
        <v>#REF!</v>
      </c>
      <c r="AQ23" s="215" t="e">
        <f>WORKDAY(U23,-INDEX(U$12:U$15,MATCH($I23,$I$12:$I$15,0)),$AW$17:$AW$148)</f>
        <v>#REF!</v>
      </c>
      <c r="AR23" s="215" t="e">
        <f>WORKDAY(U23,-INDEX(U$12:U$15,MATCH($I23,$I$12:$I$15,0)),$AW$17:$AW$148)</f>
        <v>#REF!</v>
      </c>
      <c r="AS23" s="440">
        <v>7</v>
      </c>
      <c r="AW23" s="236" t="e">
        <v>#REF!</v>
      </c>
    </row>
    <row r="24" spans="1:49" s="167" customFormat="1" ht="18" customHeight="1">
      <c r="A24" s="483"/>
      <c r="B24" s="480"/>
      <c r="C24" s="478" t="str">
        <f>C23</f>
        <v>RFQ-003</v>
      </c>
      <c r="D24" s="478" t="str">
        <f>D23</f>
        <v>Instrument Gas Filter Coalescer</v>
      </c>
      <c r="E24" s="450"/>
      <c r="F24" s="475"/>
      <c r="G24" s="459" t="str">
        <f>G23</f>
        <v>Y</v>
      </c>
      <c r="H24" s="456"/>
      <c r="I24" s="231" t="str">
        <f>I23</f>
        <v>LA</v>
      </c>
      <c r="J24" s="233" t="s">
        <v>68</v>
      </c>
      <c r="K24" s="215">
        <f>K23</f>
        <v>46209</v>
      </c>
      <c r="L24" s="215">
        <f>WORKDAY(IF(K25="",K24,K25),INDEX(L$12:L$15,MATCH($I23,$I$12:$I$15,0)))</f>
        <v>46210</v>
      </c>
      <c r="M24" s="215">
        <f>WORKDAY(IF(L25="",L24,L25),INDEX(M$12:M$15,MATCH($I23,$I$12:$I$15,0)))</f>
        <v>46217</v>
      </c>
      <c r="N24" s="215">
        <f>WORKDAY(IF(M25="",M24,M25),INDEX(N$12:N$15,MATCH($I23,$I$12:$I$15,0)))</f>
        <v>46218</v>
      </c>
      <c r="O24" s="215">
        <f>WORKDAY(IF(N25="",N24,N25),INDEX(O$12:O$15,MATCH($I23,$I$12:$I$15,0)))</f>
        <v>46225</v>
      </c>
      <c r="P24" s="216"/>
      <c r="Q24" s="217"/>
      <c r="R24" s="215">
        <f>WORKDAY(IF(O25="",O24,O25),INDEX(R$12:R$15,MATCH($I23,$I$12:$I$15,0)))</f>
        <v>46239</v>
      </c>
      <c r="S24" s="215">
        <f>WORKDAY(IF(R25="",R24,R25),INDEX(S$12:S$15,MATCH($I23,$I$12:$I$15,0)))</f>
        <v>46267</v>
      </c>
      <c r="T24" s="215">
        <f>WORKDAY(IF(S25="",S24,S25),INDEX(T$12:T$15,MATCH($I23,$I$12:$I$15,0)))</f>
        <v>46272</v>
      </c>
      <c r="U24" s="215">
        <f>WORKDAY(IF(T25="",T24,T25),INDEX(U$12:U$15,MATCH($I23,$I$12:$I$15,0)))</f>
        <v>46286</v>
      </c>
      <c r="V24" s="215">
        <f>WORKDAY(IF(U25="",U24,U25),INDEX(V$12:V$15,MATCH($I23,$I$12:$I$15,0)))</f>
        <v>46288</v>
      </c>
      <c r="W24" s="218"/>
      <c r="X24" s="215">
        <f>U24+Y23</f>
        <v>46466</v>
      </c>
      <c r="Y24" s="448"/>
      <c r="Z24" s="443"/>
      <c r="AA24" s="443"/>
      <c r="AB24" s="442"/>
      <c r="AC24" s="234">
        <f>IF(ISERROR(LOOKUP(AC$16,$L24:$X24,#REF!)),0,(LOOKUP(AC$16,$L24:$X24,#REF!)))</f>
        <v>0</v>
      </c>
      <c r="AD24" s="235">
        <f>IF(ISERROR(LOOKUP(AD$16,$L24:$X24,#REF!)),0,(LOOKUP(AD$16,$L24:$X24,#REF!)))</f>
        <v>0</v>
      </c>
      <c r="AE24" s="235">
        <f>IF(ISERROR(LOOKUP(AE$16,$L24:$X24,#REF!)),0,(LOOKUP(AE$16,$L24:$X24,#REF!)))</f>
        <v>0</v>
      </c>
      <c r="AF24" s="235">
        <f>IF(ISERROR(LOOKUP(AF$16,$L24:$X24,#REF!)),0,(LOOKUP(AF$16,$L24:$X24,#REF!)))</f>
        <v>0</v>
      </c>
      <c r="AG24" s="235">
        <f>IF(ISERROR(LOOKUP(AG$16,$L24:$X24,#REF!)),0,(LOOKUP(AG$16,$L24:$X24,#REF!)))</f>
        <v>0</v>
      </c>
      <c r="AH24" s="235">
        <f>IF(ISERROR(LOOKUP(AH$16,$L24:$X24,#REF!)),0,(LOOKUP(AH$16,$L24:$X24,#REF!)))</f>
        <v>0</v>
      </c>
      <c r="AI24" s="235">
        <f>IF(ISERROR(LOOKUP(AI$16,$L24:$X24,#REF!)),0,(LOOKUP(AI$16,$L24:$X24,#REF!)))</f>
        <v>0</v>
      </c>
      <c r="AJ24" s="235">
        <f>IF(ISERROR(LOOKUP(AJ$16,$L24:$X24,#REF!)),0,(LOOKUP(AJ$16,$L24:$X24,#REF!)))</f>
        <v>0</v>
      </c>
      <c r="AK24" s="235">
        <f>IF(ISERROR(LOOKUP(AK$16,$L24:$X24,#REF!)),0,(LOOKUP(AK$16,$L24:$X24,#REF!)))</f>
        <v>0</v>
      </c>
      <c r="AL24" s="235">
        <f>IF(ISERROR(LOOKUP(AL$16,$L24:$X24,#REF!)),0,(LOOKUP(AL$16,$L24:$X24,#REF!)))</f>
        <v>0</v>
      </c>
      <c r="AM24" s="235">
        <f ca="1">IF(ISERROR(LOOKUP(AM$16,$L24:$X24,#REF!)),0,(LOOKUP(AM$16,$L24:$X24,#REF!)))</f>
        <v>0</v>
      </c>
      <c r="AO24" s="166">
        <f t="shared" si="0"/>
        <v>14</v>
      </c>
      <c r="AP24" s="215" t="e">
        <f>WORKDAY(IF(T25="",T24,T25),INDEX(AP$12:AP$15,MATCH($I23,$I$12:$I$15,0)),$AW$17:$AW$148)</f>
        <v>#REF!</v>
      </c>
      <c r="AQ24" s="215" t="e">
        <f>WORKDAY(IF(AP25="",AP24,AP25),INDEX(AQ$12:AQ$15,MATCH($I23,$I$12:$I$15,0)),$AW$17:$AW$148)</f>
        <v>#REF!</v>
      </c>
      <c r="AR24" s="215" t="e">
        <f>WORKDAY(IF(AQ25="",AQ24,AQ25),INDEX(AR$12:AR$15,MATCH($I23,$I$12:$I$15,0)),$AW$17:$AW$148)</f>
        <v>#REF!</v>
      </c>
      <c r="AS24" s="440"/>
      <c r="AW24" s="236" t="e">
        <v>#REF!</v>
      </c>
    </row>
    <row r="25" spans="1:49" s="167" customFormat="1" ht="18" customHeight="1">
      <c r="A25" s="483"/>
      <c r="B25" s="481"/>
      <c r="C25" s="478" t="str">
        <f>C23</f>
        <v>RFQ-003</v>
      </c>
      <c r="D25" s="478" t="str">
        <f>D23</f>
        <v>Instrument Gas Filter Coalescer</v>
      </c>
      <c r="E25" s="451"/>
      <c r="F25" s="476"/>
      <c r="G25" s="459" t="str">
        <f>G23</f>
        <v>Y</v>
      </c>
      <c r="H25" s="457"/>
      <c r="I25" s="231" t="str">
        <f>I23</f>
        <v>LA</v>
      </c>
      <c r="J25" s="233" t="s">
        <v>70</v>
      </c>
      <c r="K25" s="212"/>
      <c r="L25" s="212"/>
      <c r="M25" s="212"/>
      <c r="N25" s="212"/>
      <c r="O25" s="212"/>
      <c r="P25" s="226"/>
      <c r="Q25" s="227"/>
      <c r="R25" s="212"/>
      <c r="S25" s="212"/>
      <c r="T25" s="212"/>
      <c r="U25" s="212"/>
      <c r="V25" s="212"/>
      <c r="W25" s="228"/>
      <c r="X25" s="212"/>
      <c r="Y25" s="448"/>
      <c r="Z25" s="443"/>
      <c r="AA25" s="443"/>
      <c r="AB25" s="442"/>
      <c r="AC25" s="239">
        <f>IF(ISERROR(LOOKUP(AC$16,$L25:$X25,#REF!)),0,(LOOKUP(AC$16,$L25:$X25,#REF!)))</f>
        <v>0</v>
      </c>
      <c r="AD25" s="240">
        <f>IF(ISERROR(LOOKUP(AD$16,$L25:$X25,#REF!)),0,(LOOKUP(AD$16,$L25:$X25,#REF!)))</f>
        <v>0</v>
      </c>
      <c r="AE25" s="240">
        <f>IF(ISERROR(LOOKUP(AE$16,$L25:$X25,#REF!)),0,(LOOKUP(AE$16,$L25:$X25,#REF!)))</f>
        <v>0</v>
      </c>
      <c r="AF25" s="240">
        <f>IF(ISERROR(LOOKUP(AF$16,$L25:$X25,#REF!)),0,(LOOKUP(AF$16,$L25:$X25,#REF!)))</f>
        <v>0</v>
      </c>
      <c r="AG25" s="240">
        <f>IF(ISERROR(LOOKUP(AG$16,$L25:$X25,#REF!)),0,(LOOKUP(AG$16,$L25:$X25,#REF!)))</f>
        <v>0</v>
      </c>
      <c r="AH25" s="240">
        <f>IF(ISERROR(LOOKUP(AH$16,$L25:$X25,#REF!)),0,(LOOKUP(AH$16,$L25:$X25,#REF!)))</f>
        <v>0</v>
      </c>
      <c r="AI25" s="240">
        <f>IF(ISERROR(LOOKUP(AI$16,$L25:$X25,#REF!)),0,(LOOKUP(AI$16,$L25:$X25,#REF!)))</f>
        <v>0</v>
      </c>
      <c r="AJ25" s="240">
        <f>IF(ISERROR(LOOKUP(AJ$16,$L25:$X25,#REF!)),0,(LOOKUP(AJ$16,$L25:$X25,#REF!)))</f>
        <v>0</v>
      </c>
      <c r="AK25" s="240">
        <f>IF(ISERROR(LOOKUP(AK$16,$L25:$X25,#REF!)),0,(LOOKUP(AK$16,$L25:$X25,#REF!)))</f>
        <v>0</v>
      </c>
      <c r="AL25" s="240">
        <f>IF(ISERROR(LOOKUP(AL$16,$L25:$X25,#REF!)),0,(LOOKUP(AL$16,$L25:$X25,#REF!)))</f>
        <v>0</v>
      </c>
      <c r="AM25" s="240">
        <f ca="1">IF(ISERROR(LOOKUP(AM$16,$L25:$X25,#REF!)),0,(LOOKUP(AM$16,$L25:$X25,#REF!)))</f>
        <v>0</v>
      </c>
      <c r="AO25" s="166">
        <f t="shared" si="0"/>
        <v>0</v>
      </c>
      <c r="AP25" s="212"/>
      <c r="AQ25" s="212"/>
      <c r="AR25" s="212"/>
      <c r="AS25" s="440"/>
      <c r="AW25" s="236" t="e">
        <v>#REF!</v>
      </c>
    </row>
    <row r="26" spans="1:49" s="168" customFormat="1" ht="16.5" customHeight="1">
      <c r="A26" s="483">
        <f>A23+1</f>
        <v>4</v>
      </c>
      <c r="B26" s="479"/>
      <c r="C26" s="472" t="s">
        <v>4735</v>
      </c>
      <c r="D26" s="472" t="s">
        <v>4736</v>
      </c>
      <c r="E26" s="449"/>
      <c r="F26" s="472" t="s">
        <v>62</v>
      </c>
      <c r="G26" s="458" t="str">
        <f>IF(_xlfn.XLOOKUP(C26,'[35]Before Award'!D:D,'[35]Before Award'!AV:AV,"N/A")="N/A","N","Y")</f>
        <v>N</v>
      </c>
      <c r="H26" s="449"/>
      <c r="I26" s="212" t="s">
        <v>6</v>
      </c>
      <c r="J26" s="214" t="s">
        <v>4732</v>
      </c>
      <c r="K26" s="215">
        <v>46211</v>
      </c>
      <c r="L26" s="215">
        <v>46212</v>
      </c>
      <c r="M26" s="215">
        <v>46217</v>
      </c>
      <c r="N26" s="215">
        <v>46218</v>
      </c>
      <c r="O26" s="215">
        <v>46223</v>
      </c>
      <c r="P26" s="216">
        <f>U26-L26</f>
        <v>71</v>
      </c>
      <c r="Q26" s="217"/>
      <c r="R26" s="215">
        <v>46237</v>
      </c>
      <c r="S26" s="215">
        <v>46265</v>
      </c>
      <c r="T26" s="215">
        <v>46268</v>
      </c>
      <c r="U26" s="215">
        <v>46283</v>
      </c>
      <c r="V26" s="215">
        <v>46290</v>
      </c>
      <c r="W26" s="218">
        <v>26</v>
      </c>
      <c r="X26" s="215">
        <v>46466</v>
      </c>
      <c r="Y26" s="448">
        <f>W26*7</f>
        <v>182</v>
      </c>
      <c r="Z26" s="443">
        <v>46466</v>
      </c>
      <c r="AA26" s="444">
        <v>46466</v>
      </c>
      <c r="AB26" s="442">
        <f>Z26-X27</f>
        <v>0</v>
      </c>
      <c r="AC26" s="242">
        <f>IF(ISERROR(LOOKUP(AC$16,$L26:$X26,#REF!)),0,(LOOKUP(AC$16,$L26:$X26,#REF!)))</f>
        <v>0</v>
      </c>
      <c r="AD26" s="243">
        <f>IF(ISERROR(LOOKUP(AD$16,$L26:$X26,#REF!)),0,(LOOKUP(AD$16,$L26:$X26,#REF!)))</f>
        <v>0</v>
      </c>
      <c r="AE26" s="243">
        <f>IF(ISERROR(LOOKUP(AE$16,$L26:$X26,#REF!)),0,(LOOKUP(AE$16,$L26:$X26,#REF!)))</f>
        <v>0</v>
      </c>
      <c r="AF26" s="243">
        <f>IF(ISERROR(LOOKUP(AF$16,$L26:$X26,#REF!)),0,(LOOKUP(AF$16,$L26:$X26,#REF!)))</f>
        <v>0</v>
      </c>
      <c r="AG26" s="243">
        <f>IF(ISERROR(LOOKUP(AG$16,$L26:$X26,#REF!)),0,(LOOKUP(AG$16,$L26:$X26,#REF!)))</f>
        <v>0</v>
      </c>
      <c r="AH26" s="243">
        <f>IF(ISERROR(LOOKUP(AH$16,$L26:$X26,#REF!)),0,(LOOKUP(AH$16,$L26:$X26,#REF!)))</f>
        <v>0</v>
      </c>
      <c r="AI26" s="243">
        <f>IF(ISERROR(LOOKUP(AI$16,$L26:$X26,#REF!)),0,(LOOKUP(AI$16,$L26:$X26,#REF!)))</f>
        <v>0</v>
      </c>
      <c r="AJ26" s="243">
        <f>IF(ISERROR(LOOKUP(AJ$16,$L26:$X26,#REF!)),0,(LOOKUP(AJ$16,$L26:$X26,#REF!)))</f>
        <v>0</v>
      </c>
      <c r="AK26" s="243">
        <f>IF(ISERROR(LOOKUP(AK$16,$L26:$X26,#REF!)),0,(LOOKUP(AK$16,$L26:$X26,#REF!)))</f>
        <v>0</v>
      </c>
      <c r="AL26" s="243">
        <f>IF(ISERROR(LOOKUP(AL$16,$L26:$X26,#REF!)),0,(LOOKUP(AL$16,$L26:$X26,#REF!)))</f>
        <v>0</v>
      </c>
      <c r="AM26" s="243">
        <f ca="1">IF(ISERROR(LOOKUP(AM$16,$L26:$X26,#REF!)),0,(LOOKUP(AM$16,$L26:$X26,#REF!)))</f>
        <v>0</v>
      </c>
      <c r="AO26" s="166">
        <f t="shared" si="0"/>
        <v>15</v>
      </c>
      <c r="AP26" s="215">
        <v>46272</v>
      </c>
      <c r="AQ26" s="215">
        <v>46276</v>
      </c>
      <c r="AR26" s="215">
        <v>46276</v>
      </c>
      <c r="AS26" s="440">
        <v>14</v>
      </c>
      <c r="AW26" s="244" t="e">
        <v>#REF!</v>
      </c>
    </row>
    <row r="27" spans="1:49" s="168" customFormat="1" ht="16.5" customHeight="1">
      <c r="A27" s="483"/>
      <c r="B27" s="480"/>
      <c r="C27" s="472" t="str">
        <f>C26</f>
        <v>RFQ-004</v>
      </c>
      <c r="D27" s="472" t="str">
        <f>D26</f>
        <v>Production &amp; Test Seperator</v>
      </c>
      <c r="E27" s="450"/>
      <c r="F27" s="472"/>
      <c r="G27" s="458" t="str">
        <f>G26</f>
        <v>N</v>
      </c>
      <c r="H27" s="450"/>
      <c r="I27" s="212" t="str">
        <f>I26</f>
        <v>LA</v>
      </c>
      <c r="J27" s="214" t="s">
        <v>68</v>
      </c>
      <c r="K27" s="215">
        <v>46211</v>
      </c>
      <c r="L27" s="215">
        <v>46212</v>
      </c>
      <c r="M27" s="215">
        <v>46217</v>
      </c>
      <c r="N27" s="215">
        <v>46218</v>
      </c>
      <c r="O27" s="215">
        <v>46223</v>
      </c>
      <c r="P27" s="216"/>
      <c r="Q27" s="217"/>
      <c r="R27" s="215">
        <v>46237</v>
      </c>
      <c r="S27" s="215">
        <v>46265</v>
      </c>
      <c r="T27" s="215">
        <v>46268</v>
      </c>
      <c r="U27" s="215">
        <v>46283</v>
      </c>
      <c r="V27" s="215">
        <v>46290</v>
      </c>
      <c r="W27" s="218"/>
      <c r="X27" s="215">
        <v>46466</v>
      </c>
      <c r="Y27" s="448"/>
      <c r="Z27" s="443"/>
      <c r="AA27" s="445"/>
      <c r="AB27" s="442"/>
      <c r="AC27" s="242">
        <f>IF(ISERROR(LOOKUP(AC$16,$L27:$X27,#REF!)),0,(LOOKUP(AC$16,$L27:$X27,#REF!)))</f>
        <v>0</v>
      </c>
      <c r="AD27" s="243">
        <f>IF(ISERROR(LOOKUP(AD$16,$L27:$X27,#REF!)),0,(LOOKUP(AD$16,$L27:$X27,#REF!)))</f>
        <v>0</v>
      </c>
      <c r="AE27" s="243">
        <f>IF(ISERROR(LOOKUP(AE$16,$L27:$X27,#REF!)),0,(LOOKUP(AE$16,$L27:$X27,#REF!)))</f>
        <v>0</v>
      </c>
      <c r="AF27" s="243">
        <f>IF(ISERROR(LOOKUP(AF$16,$L27:$X27,#REF!)),0,(LOOKUP(AF$16,$L27:$X27,#REF!)))</f>
        <v>0</v>
      </c>
      <c r="AG27" s="243">
        <f>IF(ISERROR(LOOKUP(AG$16,$L27:$X27,#REF!)),0,(LOOKUP(AG$16,$L27:$X27,#REF!)))</f>
        <v>0</v>
      </c>
      <c r="AH27" s="243">
        <f>IF(ISERROR(LOOKUP(AH$16,$L27:$X27,#REF!)),0,(LOOKUP(AH$16,$L27:$X27,#REF!)))</f>
        <v>0</v>
      </c>
      <c r="AI27" s="243">
        <f>IF(ISERROR(LOOKUP(AI$16,$L27:$X27,#REF!)),0,(LOOKUP(AI$16,$L27:$X27,#REF!)))</f>
        <v>0</v>
      </c>
      <c r="AJ27" s="243">
        <f>IF(ISERROR(LOOKUP(AJ$16,$L27:$X27,#REF!)),0,(LOOKUP(AJ$16,$L27:$X27,#REF!)))</f>
        <v>0</v>
      </c>
      <c r="AK27" s="243">
        <f>IF(ISERROR(LOOKUP(AK$16,$L27:$X27,#REF!)),0,(LOOKUP(AK$16,$L27:$X27,#REF!)))</f>
        <v>0</v>
      </c>
      <c r="AL27" s="243">
        <f>IF(ISERROR(LOOKUP(AL$16,$L27:$X27,#REF!)),0,(LOOKUP(AL$16,$L27:$X27,#REF!)))</f>
        <v>0</v>
      </c>
      <c r="AM27" s="243">
        <f ca="1">IF(ISERROR(LOOKUP(AM$16,$L27:$X27,#REF!)),0,(LOOKUP(AM$16,$L27:$X27,#REF!)))</f>
        <v>0</v>
      </c>
      <c r="AO27" s="166">
        <f t="shared" si="0"/>
        <v>15</v>
      </c>
      <c r="AP27" s="215">
        <v>46272</v>
      </c>
      <c r="AQ27" s="215">
        <v>46276</v>
      </c>
      <c r="AR27" s="215">
        <v>46283</v>
      </c>
      <c r="AS27" s="440"/>
      <c r="AW27" s="244" t="e">
        <v>#REF!</v>
      </c>
    </row>
    <row r="28" spans="1:49" s="168" customFormat="1" ht="16.5" customHeight="1">
      <c r="A28" s="483"/>
      <c r="B28" s="481"/>
      <c r="C28" s="473" t="str">
        <f>C26</f>
        <v>RFQ-004</v>
      </c>
      <c r="D28" s="473" t="str">
        <f>D26</f>
        <v>Production &amp; Test Seperator</v>
      </c>
      <c r="E28" s="451"/>
      <c r="F28" s="473"/>
      <c r="G28" s="458" t="str">
        <f>G26</f>
        <v>N</v>
      </c>
      <c r="H28" s="451"/>
      <c r="I28" s="212" t="str">
        <f>I26</f>
        <v>LA</v>
      </c>
      <c r="J28" s="214" t="s">
        <v>70</v>
      </c>
      <c r="K28" s="212"/>
      <c r="L28" s="212"/>
      <c r="M28" s="212"/>
      <c r="N28" s="212"/>
      <c r="O28" s="212"/>
      <c r="P28" s="226"/>
      <c r="Q28" s="227"/>
      <c r="R28" s="212"/>
      <c r="S28" s="212"/>
      <c r="T28" s="212"/>
      <c r="U28" s="219"/>
      <c r="V28" s="212"/>
      <c r="W28" s="228"/>
      <c r="X28" s="212"/>
      <c r="Y28" s="448"/>
      <c r="Z28" s="443"/>
      <c r="AA28" s="446"/>
      <c r="AB28" s="442"/>
      <c r="AC28" s="246">
        <f>IF(ISERROR(LOOKUP(AC$16,$L28:$X28,#REF!)),0,(LOOKUP(AC$16,$L28:$X28,#REF!)))</f>
        <v>0</v>
      </c>
      <c r="AD28" s="247">
        <f>IF(ISERROR(LOOKUP(AD$16,$L28:$X28,#REF!)),0,(LOOKUP(AD$16,$L28:$X28,#REF!)))</f>
        <v>0</v>
      </c>
      <c r="AE28" s="247">
        <f>IF(ISERROR(LOOKUP(AE$16,$L28:$X28,#REF!)),0,(LOOKUP(AE$16,$L28:$X28,#REF!)))</f>
        <v>0</v>
      </c>
      <c r="AF28" s="247">
        <f>IF(ISERROR(LOOKUP(AF$16,$L28:$X28,#REF!)),0,(LOOKUP(AF$16,$L28:$X28,#REF!)))</f>
        <v>0</v>
      </c>
      <c r="AG28" s="247">
        <f>IF(ISERROR(LOOKUP(AG$16,$L28:$X28,#REF!)),0,(LOOKUP(AG$16,$L28:$X28,#REF!)))</f>
        <v>0</v>
      </c>
      <c r="AH28" s="247">
        <f>IF(ISERROR(LOOKUP(AH$16,$L28:$X28,#REF!)),0,(LOOKUP(AH$16,$L28:$X28,#REF!)))</f>
        <v>0</v>
      </c>
      <c r="AI28" s="247">
        <f>IF(ISERROR(LOOKUP(AI$16,$L28:$X28,#REF!)),0,(LOOKUP(AI$16,$L28:$X28,#REF!)))</f>
        <v>0</v>
      </c>
      <c r="AJ28" s="247">
        <f>IF(ISERROR(LOOKUP(AJ$16,$L28:$X28,#REF!)),0,(LOOKUP(AJ$16,$L28:$X28,#REF!)))</f>
        <v>0</v>
      </c>
      <c r="AK28" s="247">
        <f>IF(ISERROR(LOOKUP(AK$16,$L28:$X28,#REF!)),0,(LOOKUP(AK$16,$L28:$X28,#REF!)))</f>
        <v>0</v>
      </c>
      <c r="AL28" s="247">
        <f>IF(ISERROR(LOOKUP(AL$16,$L28:$X28,#REF!)),0,(LOOKUP(AL$16,$L28:$X28,#REF!)))</f>
        <v>0</v>
      </c>
      <c r="AM28" s="247">
        <f ca="1">IF(ISERROR(LOOKUP(AM$16,$L28:$X28,#REF!)),0,(LOOKUP(AM$16,$L28:$X28,#REF!)))</f>
        <v>0</v>
      </c>
      <c r="AO28" s="166">
        <f t="shared" si="0"/>
        <v>0</v>
      </c>
      <c r="AP28" s="212"/>
      <c r="AQ28" s="212"/>
      <c r="AR28" s="212"/>
      <c r="AS28" s="440"/>
      <c r="AW28" s="244" t="e">
        <v>#REF!</v>
      </c>
    </row>
    <row r="29" spans="1:49" s="168" customFormat="1" ht="16.5" customHeight="1">
      <c r="A29" s="483">
        <f>A26+1</f>
        <v>5</v>
      </c>
      <c r="B29" s="479"/>
      <c r="C29" s="472" t="s">
        <v>4737</v>
      </c>
      <c r="D29" s="472" t="s">
        <v>4738</v>
      </c>
      <c r="E29" s="449"/>
      <c r="F29" s="472" t="s">
        <v>86</v>
      </c>
      <c r="G29" s="458" t="s">
        <v>67</v>
      </c>
      <c r="H29" s="449"/>
      <c r="I29" s="212" t="s">
        <v>6</v>
      </c>
      <c r="J29" s="214" t="s">
        <v>4732</v>
      </c>
      <c r="K29" s="215">
        <v>46176</v>
      </c>
      <c r="L29" s="215">
        <v>46177</v>
      </c>
      <c r="M29" s="215">
        <v>46182</v>
      </c>
      <c r="N29" s="215">
        <v>46183</v>
      </c>
      <c r="O29" s="215">
        <v>46188</v>
      </c>
      <c r="P29" s="216">
        <f>U29-L29</f>
        <v>71</v>
      </c>
      <c r="Q29" s="217"/>
      <c r="R29" s="215">
        <v>46202</v>
      </c>
      <c r="S29" s="215">
        <v>46230</v>
      </c>
      <c r="T29" s="215">
        <v>46233</v>
      </c>
      <c r="U29" s="215">
        <v>46248</v>
      </c>
      <c r="V29" s="215">
        <v>46255</v>
      </c>
      <c r="W29" s="218">
        <v>32</v>
      </c>
      <c r="X29" s="215">
        <v>46472</v>
      </c>
      <c r="Y29" s="448">
        <f>W29*7</f>
        <v>224</v>
      </c>
      <c r="Z29" s="443">
        <v>46472</v>
      </c>
      <c r="AA29" s="443">
        <v>46472</v>
      </c>
      <c r="AB29" s="442">
        <f>Z29-X30</f>
        <v>0</v>
      </c>
      <c r="AC29" s="242">
        <f>IF(ISERROR(LOOKUP(AC$16,$L29:$X29,#REF!)),0,(LOOKUP(AC$16,$L29:$X29,#REF!)))</f>
        <v>0</v>
      </c>
      <c r="AD29" s="243">
        <f>IF(ISERROR(LOOKUP(AD$16,$L29:$X29,#REF!)),0,(LOOKUP(AD$16,$L29:$X29,#REF!)))</f>
        <v>0</v>
      </c>
      <c r="AE29" s="243">
        <f>IF(ISERROR(LOOKUP(AE$16,$L29:$X29,#REF!)),0,(LOOKUP(AE$16,$L29:$X29,#REF!)))</f>
        <v>0</v>
      </c>
      <c r="AF29" s="243">
        <f>IF(ISERROR(LOOKUP(AF$16,$L29:$X29,#REF!)),0,(LOOKUP(AF$16,$L29:$X29,#REF!)))</f>
        <v>0</v>
      </c>
      <c r="AG29" s="243">
        <f>IF(ISERROR(LOOKUP(AG$16,$L29:$X29,#REF!)),0,(LOOKUP(AG$16,$L29:$X29,#REF!)))</f>
        <v>0</v>
      </c>
      <c r="AH29" s="243">
        <f>IF(ISERROR(LOOKUP(AH$16,$L29:$X29,#REF!)),0,(LOOKUP(AH$16,$L29:$X29,#REF!)))</f>
        <v>0</v>
      </c>
      <c r="AI29" s="243">
        <f>IF(ISERROR(LOOKUP(AI$16,$L29:$X29,#REF!)),0,(LOOKUP(AI$16,$L29:$X29,#REF!)))</f>
        <v>0</v>
      </c>
      <c r="AJ29" s="243">
        <f>IF(ISERROR(LOOKUP(AJ$16,$L29:$X29,#REF!)),0,(LOOKUP(AJ$16,$L29:$X29,#REF!)))</f>
        <v>0</v>
      </c>
      <c r="AK29" s="243">
        <f>IF(ISERROR(LOOKUP(AK$16,$L29:$X29,#REF!)),0,(LOOKUP(AK$16,$L29:$X29,#REF!)))</f>
        <v>0</v>
      </c>
      <c r="AL29" s="243">
        <f>IF(ISERROR(LOOKUP(AL$16,$L29:$X29,#REF!)),0,(LOOKUP(AL$16,$L29:$X29,#REF!)))</f>
        <v>0</v>
      </c>
      <c r="AM29" s="243">
        <f ca="1">IF(ISERROR(LOOKUP(AM$16,$L29:$X29,#REF!)),0,(LOOKUP(AM$16,$L29:$X29,#REF!)))</f>
        <v>0</v>
      </c>
      <c r="AO29" s="166">
        <f t="shared" si="0"/>
        <v>15</v>
      </c>
      <c r="AP29" s="215">
        <v>46237</v>
      </c>
      <c r="AQ29" s="215">
        <v>46241</v>
      </c>
      <c r="AR29" s="215">
        <v>46241</v>
      </c>
      <c r="AS29" s="440">
        <v>14</v>
      </c>
      <c r="AW29" s="244" t="e">
        <v>#REF!</v>
      </c>
    </row>
    <row r="30" spans="1:49" s="168" customFormat="1" ht="16.5" customHeight="1">
      <c r="A30" s="483"/>
      <c r="B30" s="480"/>
      <c r="C30" s="472" t="str">
        <f>C29</f>
        <v>RFQ-005</v>
      </c>
      <c r="D30" s="472" t="str">
        <f>D29</f>
        <v>Pig Launcher and Receiver</v>
      </c>
      <c r="E30" s="450"/>
      <c r="F30" s="472" t="str">
        <f>F29</f>
        <v>Piping</v>
      </c>
      <c r="G30" s="458" t="str">
        <f>G29</f>
        <v>Y</v>
      </c>
      <c r="H30" s="450"/>
      <c r="I30" s="212" t="str">
        <f>I29</f>
        <v>LA</v>
      </c>
      <c r="J30" s="214" t="s">
        <v>68</v>
      </c>
      <c r="K30" s="215">
        <v>46176</v>
      </c>
      <c r="L30" s="215">
        <v>46177</v>
      </c>
      <c r="M30" s="215">
        <v>46182</v>
      </c>
      <c r="N30" s="215">
        <v>46183</v>
      </c>
      <c r="O30" s="215">
        <v>46188</v>
      </c>
      <c r="P30" s="216"/>
      <c r="Q30" s="217"/>
      <c r="R30" s="215">
        <v>46202</v>
      </c>
      <c r="S30" s="215">
        <v>46230</v>
      </c>
      <c r="T30" s="215">
        <v>46233</v>
      </c>
      <c r="U30" s="215">
        <v>46248</v>
      </c>
      <c r="V30" s="215">
        <v>46255</v>
      </c>
      <c r="W30" s="218"/>
      <c r="X30" s="215">
        <v>46472</v>
      </c>
      <c r="Y30" s="448"/>
      <c r="Z30" s="443"/>
      <c r="AA30" s="443"/>
      <c r="AB30" s="442"/>
      <c r="AC30" s="242">
        <f>IF(ISERROR(LOOKUP(AC$16,$L30:$X30,#REF!)),0,(LOOKUP(AC$16,$L30:$X30,#REF!)))</f>
        <v>0</v>
      </c>
      <c r="AD30" s="243">
        <f>IF(ISERROR(LOOKUP(AD$16,$L30:$X30,#REF!)),0,(LOOKUP(AD$16,$L30:$X30,#REF!)))</f>
        <v>0</v>
      </c>
      <c r="AE30" s="243">
        <f>IF(ISERROR(LOOKUP(AE$16,$L30:$X30,#REF!)),0,(LOOKUP(AE$16,$L30:$X30,#REF!)))</f>
        <v>0</v>
      </c>
      <c r="AF30" s="243">
        <f>IF(ISERROR(LOOKUP(AF$16,$L30:$X30,#REF!)),0,(LOOKUP(AF$16,$L30:$X30,#REF!)))</f>
        <v>0</v>
      </c>
      <c r="AG30" s="243">
        <f>IF(ISERROR(LOOKUP(AG$16,$L30:$X30,#REF!)),0,(LOOKUP(AG$16,$L30:$X30,#REF!)))</f>
        <v>0</v>
      </c>
      <c r="AH30" s="243">
        <f>IF(ISERROR(LOOKUP(AH$16,$L30:$X30,#REF!)),0,(LOOKUP(AH$16,$L30:$X30,#REF!)))</f>
        <v>0</v>
      </c>
      <c r="AI30" s="243">
        <f>IF(ISERROR(LOOKUP(AI$16,$L30:$X30,#REF!)),0,(LOOKUP(AI$16,$L30:$X30,#REF!)))</f>
        <v>0</v>
      </c>
      <c r="AJ30" s="243">
        <f>IF(ISERROR(LOOKUP(AJ$16,$L30:$X30,#REF!)),0,(LOOKUP(AJ$16,$L30:$X30,#REF!)))</f>
        <v>0</v>
      </c>
      <c r="AK30" s="243">
        <f>IF(ISERROR(LOOKUP(AK$16,$L30:$X30,#REF!)),0,(LOOKUP(AK$16,$L30:$X30,#REF!)))</f>
        <v>0</v>
      </c>
      <c r="AL30" s="243">
        <f>IF(ISERROR(LOOKUP(AL$16,$L30:$X30,#REF!)),0,(LOOKUP(AL$16,$L30:$X30,#REF!)))</f>
        <v>0</v>
      </c>
      <c r="AM30" s="243">
        <f ca="1">IF(ISERROR(LOOKUP(AM$16,$L30:$X30,#REF!)),0,(LOOKUP(AM$16,$L30:$X30,#REF!)))</f>
        <v>0</v>
      </c>
      <c r="AO30" s="166">
        <f t="shared" si="0"/>
        <v>15</v>
      </c>
      <c r="AP30" s="215">
        <v>46237</v>
      </c>
      <c r="AQ30" s="215">
        <v>46241</v>
      </c>
      <c r="AR30" s="215">
        <v>46248</v>
      </c>
      <c r="AS30" s="440"/>
      <c r="AW30" s="244" t="e">
        <v>#REF!</v>
      </c>
    </row>
    <row r="31" spans="1:49" s="168" customFormat="1" ht="16.5" customHeight="1">
      <c r="A31" s="483"/>
      <c r="B31" s="481"/>
      <c r="C31" s="473" t="str">
        <f>C29</f>
        <v>RFQ-005</v>
      </c>
      <c r="D31" s="473" t="str">
        <f>D29</f>
        <v>Pig Launcher and Receiver</v>
      </c>
      <c r="E31" s="451"/>
      <c r="F31" s="473" t="str">
        <f>F29</f>
        <v>Piping</v>
      </c>
      <c r="G31" s="458" t="str">
        <f>G29</f>
        <v>Y</v>
      </c>
      <c r="H31" s="451"/>
      <c r="I31" s="212" t="str">
        <f>I29</f>
        <v>LA</v>
      </c>
      <c r="J31" s="214" t="s">
        <v>70</v>
      </c>
      <c r="K31" s="212"/>
      <c r="L31" s="212"/>
      <c r="M31" s="212"/>
      <c r="N31" s="212"/>
      <c r="O31" s="212"/>
      <c r="P31" s="226"/>
      <c r="Q31" s="227"/>
      <c r="R31" s="212"/>
      <c r="S31" s="212"/>
      <c r="T31" s="212"/>
      <c r="U31" s="212"/>
      <c r="V31" s="212"/>
      <c r="W31" s="228"/>
      <c r="X31" s="212"/>
      <c r="Y31" s="448"/>
      <c r="Z31" s="443"/>
      <c r="AA31" s="443"/>
      <c r="AB31" s="442"/>
      <c r="AC31" s="246">
        <f>IF(ISERROR(LOOKUP(AC$16,$L31:$X31,#REF!)),0,(LOOKUP(AC$16,$L31:$X31,#REF!)))</f>
        <v>0</v>
      </c>
      <c r="AD31" s="247">
        <f>IF(ISERROR(LOOKUP(AD$16,$L31:$X31,#REF!)),0,(LOOKUP(AD$16,$L31:$X31,#REF!)))</f>
        <v>0</v>
      </c>
      <c r="AE31" s="247">
        <f>IF(ISERROR(LOOKUP(AE$16,$L31:$X31,#REF!)),0,(LOOKUP(AE$16,$L31:$X31,#REF!)))</f>
        <v>0</v>
      </c>
      <c r="AF31" s="247">
        <f>IF(ISERROR(LOOKUP(AF$16,$L31:$X31,#REF!)),0,(LOOKUP(AF$16,$L31:$X31,#REF!)))</f>
        <v>0</v>
      </c>
      <c r="AG31" s="247">
        <f>IF(ISERROR(LOOKUP(AG$16,$L31:$X31,#REF!)),0,(LOOKUP(AG$16,$L31:$X31,#REF!)))</f>
        <v>0</v>
      </c>
      <c r="AH31" s="247">
        <f>IF(ISERROR(LOOKUP(AH$16,$L31:$X31,#REF!)),0,(LOOKUP(AH$16,$L31:$X31,#REF!)))</f>
        <v>0</v>
      </c>
      <c r="AI31" s="247">
        <f>IF(ISERROR(LOOKUP(AI$16,$L31:$X31,#REF!)),0,(LOOKUP(AI$16,$L31:$X31,#REF!)))</f>
        <v>0</v>
      </c>
      <c r="AJ31" s="247">
        <f>IF(ISERROR(LOOKUP(AJ$16,$L31:$X31,#REF!)),0,(LOOKUP(AJ$16,$L31:$X31,#REF!)))</f>
        <v>0</v>
      </c>
      <c r="AK31" s="247">
        <f>IF(ISERROR(LOOKUP(AK$16,$L31:$X31,#REF!)),0,(LOOKUP(AK$16,$L31:$X31,#REF!)))</f>
        <v>0</v>
      </c>
      <c r="AL31" s="247">
        <f>IF(ISERROR(LOOKUP(AL$16,$L31:$X31,#REF!)),0,(LOOKUP(AL$16,$L31:$X31,#REF!)))</f>
        <v>0</v>
      </c>
      <c r="AM31" s="247">
        <f ca="1">IF(ISERROR(LOOKUP(AM$16,$L31:$X31,#REF!)),0,(LOOKUP(AM$16,$L31:$X31,#REF!)))</f>
        <v>0</v>
      </c>
      <c r="AO31" s="166">
        <f t="shared" si="0"/>
        <v>0</v>
      </c>
      <c r="AP31" s="212"/>
      <c r="AQ31" s="212"/>
      <c r="AR31" s="212"/>
      <c r="AS31" s="440"/>
      <c r="AW31" s="244" t="e">
        <v>#REF!</v>
      </c>
    </row>
    <row r="32" spans="1:49" s="166" customFormat="1" ht="18" customHeight="1">
      <c r="A32" s="482">
        <f>A29+1</f>
        <v>6</v>
      </c>
      <c r="B32" s="479"/>
      <c r="C32" s="449" t="s">
        <v>4739</v>
      </c>
      <c r="D32" s="449" t="s">
        <v>4740</v>
      </c>
      <c r="E32" s="213"/>
      <c r="F32" s="460" t="s">
        <v>62</v>
      </c>
      <c r="G32" s="458" t="s">
        <v>75</v>
      </c>
      <c r="H32" s="449"/>
      <c r="I32" s="212" t="s">
        <v>6</v>
      </c>
      <c r="J32" s="214" t="s">
        <v>4732</v>
      </c>
      <c r="K32" s="215">
        <f>WORKDAY(L32,-INDEX(L$12:L$15,MATCH($I32,$I$12:$I$15,0)))</f>
        <v>46143</v>
      </c>
      <c r="L32" s="215">
        <f>WORKDAY(M32,-INDEX(M$12:M$15,MATCH($I32,$I$12:$I$15,0)))</f>
        <v>46146</v>
      </c>
      <c r="M32" s="215">
        <f>WORKDAY(N32,-INDEX(N$12:N$15,MATCH($I32,$I$12:$I$15,0)))</f>
        <v>46153</v>
      </c>
      <c r="N32" s="215">
        <f>WORKDAY(O32,-INDEX(O$12:O$15,MATCH($I32,$I$12:$I$15,0)))</f>
        <v>46154</v>
      </c>
      <c r="O32" s="215">
        <f>WORKDAY(R32,-INDEX(R$12:R$15,MATCH($I32,$I$12:$I$15,0)))</f>
        <v>46161</v>
      </c>
      <c r="P32" s="216">
        <f>U32-L32</f>
        <v>74</v>
      </c>
      <c r="Q32" s="217"/>
      <c r="R32" s="215">
        <f>WORKDAY(S32,-INDEX(S$12:S$15,MATCH($I32,$I$12:$I$15,0)))</f>
        <v>46175</v>
      </c>
      <c r="S32" s="215">
        <f>WORKDAY(T32,-INDEX(T$12:T$15,MATCH($I32,$I$12:$I$15,0)))</f>
        <v>46203</v>
      </c>
      <c r="T32" s="215">
        <f>WORKDAY(U32,-INDEX(U$12:U$15,MATCH($I32,$I$12:$I$15,0)))</f>
        <v>46206</v>
      </c>
      <c r="U32" s="215">
        <f>X32-Y32</f>
        <v>46220</v>
      </c>
      <c r="V32" s="215">
        <f>WORKDAY(U32,INDEX(V$12:V$15,MATCH($I32,$I$12:$I$15,0)))</f>
        <v>46224</v>
      </c>
      <c r="W32" s="218">
        <f>Y32/7</f>
        <v>32</v>
      </c>
      <c r="X32" s="215">
        <f>Z32</f>
        <v>46444</v>
      </c>
      <c r="Y32" s="452">
        <f>32*7</f>
        <v>224</v>
      </c>
      <c r="Z32" s="443">
        <v>46444</v>
      </c>
      <c r="AA32" s="443">
        <v>46444</v>
      </c>
      <c r="AB32" s="442">
        <f>Z32-X33</f>
        <v>0</v>
      </c>
      <c r="AC32" s="220">
        <f>IF(ISERROR(LOOKUP(AC$16,$L32:$X32,#REF!)),0,(LOOKUP(AC$16,$L32:$X32,#REF!)))</f>
        <v>0</v>
      </c>
      <c r="AD32" s="221">
        <f>IF(ISERROR(LOOKUP(AD$16,$L32:$X32,#REF!)),0,(LOOKUP(AD$16,$L32:$X32,#REF!)))</f>
        <v>0</v>
      </c>
      <c r="AE32" s="221">
        <f>IF(ISERROR(LOOKUP(AE$16,$L32:$X32,#REF!)),0,(LOOKUP(AE$16,$L32:$X32,#REF!)))</f>
        <v>0</v>
      </c>
      <c r="AF32" s="221">
        <f>IF(ISERROR(LOOKUP(AF$16,$L32:$X32,#REF!)),0,(LOOKUP(AF$16,$L32:$X32,#REF!)))</f>
        <v>0</v>
      </c>
      <c r="AG32" s="221">
        <f>IF(ISERROR(LOOKUP(AG$16,$L32:$X32,#REF!)),0,(LOOKUP(AG$16,$L32:$X32,#REF!)))</f>
        <v>0</v>
      </c>
      <c r="AH32" s="221">
        <f>IF(ISERROR(LOOKUP(AH$16,$L32:$X32,#REF!)),0,(LOOKUP(AH$16,$L32:$X32,#REF!)))</f>
        <v>0</v>
      </c>
      <c r="AI32" s="221">
        <f>IF(ISERROR(LOOKUP(AI$16,$L32:$X32,#REF!)),0,(LOOKUP(AI$16,$L32:$X32,#REF!)))</f>
        <v>0</v>
      </c>
      <c r="AJ32" s="221">
        <f>IF(ISERROR(LOOKUP(AJ$16,$L32:$X32,#REF!)),0,(LOOKUP(AJ$16,$L32:$X32,#REF!)))</f>
        <v>0</v>
      </c>
      <c r="AK32" s="221">
        <f>IF(ISERROR(LOOKUP(AK$16,$L32:$X32,#REF!)),0,(LOOKUP(AK$16,$L32:$X32,#REF!)))</f>
        <v>0</v>
      </c>
      <c r="AL32" s="221">
        <f>IF(ISERROR(LOOKUP(AL$16,$L32:$X32,#REF!)),0,(LOOKUP(AL$16,$L32:$X32,#REF!)))</f>
        <v>0</v>
      </c>
      <c r="AM32" s="221">
        <f ca="1">IF(ISERROR(LOOKUP(AM$16,$L32:$X32,#REF!)),0,(LOOKUP(AM$16,$L32:$X32,#REF!)))</f>
        <v>0</v>
      </c>
      <c r="AO32" s="166">
        <f t="shared" si="0"/>
        <v>14</v>
      </c>
      <c r="AP32" s="215" t="e">
        <f>WORKDAY(AQ32,-INDEX(AQ$12:AQ$15,MATCH($I32,$I$12:$I$15,0)),$AW$17:$AW$148)</f>
        <v>#REF!</v>
      </c>
      <c r="AQ32" s="215" t="e">
        <f>WORKDAY(U32,-INDEX(U$12:U$15,MATCH($I32,$I$12:$I$15,0)),$AW$17:$AW$148)</f>
        <v>#REF!</v>
      </c>
      <c r="AR32" s="215" t="e">
        <f>WORKDAY(U32,-INDEX(U$12:U$15,MATCH($I32,$I$12:$I$15,0)),$AW$17:$AW$148)</f>
        <v>#REF!</v>
      </c>
      <c r="AS32" s="440">
        <v>14</v>
      </c>
      <c r="AW32" s="223" t="e">
        <v>#REF!</v>
      </c>
    </row>
    <row r="33" spans="1:49" s="166" customFormat="1" ht="18" customHeight="1">
      <c r="A33" s="482"/>
      <c r="B33" s="480"/>
      <c r="C33" s="450" t="str">
        <f>C32</f>
        <v>RFQ-006</v>
      </c>
      <c r="D33" s="450"/>
      <c r="E33" s="224"/>
      <c r="F33" s="461"/>
      <c r="G33" s="458" t="str">
        <f>G32</f>
        <v>N</v>
      </c>
      <c r="H33" s="450"/>
      <c r="I33" s="212" t="str">
        <f>I32</f>
        <v>LA</v>
      </c>
      <c r="J33" s="214" t="s">
        <v>68</v>
      </c>
      <c r="K33" s="215">
        <f>K32</f>
        <v>46143</v>
      </c>
      <c r="L33" s="215">
        <f>WORKDAY(IF(K34="",K33,K34),INDEX(L$12:L$15,MATCH($I32,$I$12:$I$15,0)))</f>
        <v>46146</v>
      </c>
      <c r="M33" s="215">
        <f>WORKDAY(IF(L34="",L33,L34),INDEX(M$12:M$15,MATCH($I32,$I$12:$I$15,0)))</f>
        <v>46153</v>
      </c>
      <c r="N33" s="215">
        <f>WORKDAY(IF(M34="",M33,M34),INDEX(N$12:N$15,MATCH($I32,$I$12:$I$15,0)))</f>
        <v>46154</v>
      </c>
      <c r="O33" s="215">
        <f>WORKDAY(IF(N34="",N33,N34),INDEX(O$12:O$15,MATCH($I32,$I$12:$I$15,0)))</f>
        <v>46161</v>
      </c>
      <c r="P33" s="216"/>
      <c r="Q33" s="217"/>
      <c r="R33" s="215">
        <f>WORKDAY(IF(O34="",O33,O34),INDEX(R$12:R$15,MATCH($I32,$I$12:$I$15,0)))</f>
        <v>46175</v>
      </c>
      <c r="S33" s="215">
        <f>WORKDAY(IF(R34="",R33,R34),INDEX(S$12:S$15,MATCH($I32,$I$12:$I$15,0)))</f>
        <v>46203</v>
      </c>
      <c r="T33" s="215">
        <f>WORKDAY(IF(S34="",S33,S34),INDEX(T$12:T$15,MATCH($I32,$I$12:$I$15,0)))</f>
        <v>46206</v>
      </c>
      <c r="U33" s="215">
        <f>WORKDAY(IF(T34="",T33,T34),INDEX(U$12:U$15,MATCH($I32,$I$12:$I$15,0)))</f>
        <v>46220</v>
      </c>
      <c r="V33" s="215">
        <f>WORKDAY(IF(U34="",U33,U34),INDEX(V$12:V$15,MATCH($I32,$I$12:$I$15,0)))</f>
        <v>46224</v>
      </c>
      <c r="W33" s="218"/>
      <c r="X33" s="215">
        <f>U33+Y32</f>
        <v>46444</v>
      </c>
      <c r="Y33" s="453"/>
      <c r="Z33" s="443"/>
      <c r="AA33" s="443"/>
      <c r="AB33" s="442"/>
      <c r="AC33" s="220">
        <f>IF(ISERROR(LOOKUP(AC$16,$L33:$X33,#REF!)),0,(LOOKUP(AC$16,$L33:$X33,#REF!)))</f>
        <v>0</v>
      </c>
      <c r="AD33" s="221">
        <f>IF(ISERROR(LOOKUP(AD$16,$L33:$X33,#REF!)),0,(LOOKUP(AD$16,$L33:$X33,#REF!)))</f>
        <v>0</v>
      </c>
      <c r="AE33" s="221">
        <f>IF(ISERROR(LOOKUP(AE$16,$L33:$X33,#REF!)),0,(LOOKUP(AE$16,$L33:$X33,#REF!)))</f>
        <v>0</v>
      </c>
      <c r="AF33" s="221">
        <f>IF(ISERROR(LOOKUP(AF$16,$L33:$X33,#REF!)),0,(LOOKUP(AF$16,$L33:$X33,#REF!)))</f>
        <v>0</v>
      </c>
      <c r="AG33" s="221">
        <f>IF(ISERROR(LOOKUP(AG$16,$L33:$X33,#REF!)),0,(LOOKUP(AG$16,$L33:$X33,#REF!)))</f>
        <v>0</v>
      </c>
      <c r="AH33" s="221">
        <f>IF(ISERROR(LOOKUP(AH$16,$L33:$X33,#REF!)),0,(LOOKUP(AH$16,$L33:$X33,#REF!)))</f>
        <v>0</v>
      </c>
      <c r="AI33" s="221">
        <f>IF(ISERROR(LOOKUP(AI$16,$L33:$X33,#REF!)),0,(LOOKUP(AI$16,$L33:$X33,#REF!)))</f>
        <v>0</v>
      </c>
      <c r="AJ33" s="221">
        <f>IF(ISERROR(LOOKUP(AJ$16,$L33:$X33,#REF!)),0,(LOOKUP(AJ$16,$L33:$X33,#REF!)))</f>
        <v>0</v>
      </c>
      <c r="AK33" s="221">
        <f>IF(ISERROR(LOOKUP(AK$16,$L33:$X33,#REF!)),0,(LOOKUP(AK$16,$L33:$X33,#REF!)))</f>
        <v>0</v>
      </c>
      <c r="AL33" s="221">
        <f>IF(ISERROR(LOOKUP(AL$16,$L33:$X33,#REF!)),0,(LOOKUP(AL$16,$L33:$X33,#REF!)))</f>
        <v>0</v>
      </c>
      <c r="AM33" s="221">
        <f ca="1">IF(ISERROR(LOOKUP(AM$16,$L33:$X33,#REF!)),0,(LOOKUP(AM$16,$L33:$X33,#REF!)))</f>
        <v>0</v>
      </c>
      <c r="AO33" s="166">
        <f t="shared" si="0"/>
        <v>14</v>
      </c>
      <c r="AP33" s="215" t="e">
        <f>WORKDAY(IF(T34="",T33,T34),INDEX(AP$12:AP$15,MATCH($I32,$I$12:$I$15,0)),$AW$17:$AW$148)</f>
        <v>#REF!</v>
      </c>
      <c r="AQ33" s="215" t="e">
        <f>WORKDAY(IF(AP34="",AP33,AP34),INDEX(AQ$12:AQ$15,MATCH($I32,$I$12:$I$15,0)),$AW$17:$AW$148)</f>
        <v>#REF!</v>
      </c>
      <c r="AR33" s="215" t="e">
        <f>WORKDAY(IF(AQ34="",AQ33,AQ34),INDEX(AR$12:AR$15,MATCH($I32,$I$12:$I$15,0)),$AW$17:$AW$148)</f>
        <v>#REF!</v>
      </c>
      <c r="AS33" s="440"/>
      <c r="AW33" s="223" t="e">
        <v>#REF!</v>
      </c>
    </row>
    <row r="34" spans="1:49" s="166" customFormat="1" ht="18" customHeight="1">
      <c r="A34" s="482"/>
      <c r="B34" s="481"/>
      <c r="C34" s="451" t="str">
        <f>C32</f>
        <v>RFQ-006</v>
      </c>
      <c r="D34" s="451"/>
      <c r="E34" s="225"/>
      <c r="F34" s="462"/>
      <c r="G34" s="458" t="str">
        <f>G32</f>
        <v>N</v>
      </c>
      <c r="H34" s="451"/>
      <c r="I34" s="212" t="str">
        <f>I32</f>
        <v>LA</v>
      </c>
      <c r="J34" s="214" t="s">
        <v>70</v>
      </c>
      <c r="K34" s="212"/>
      <c r="L34" s="212"/>
      <c r="M34" s="212"/>
      <c r="N34" s="212"/>
      <c r="O34" s="212"/>
      <c r="P34" s="226"/>
      <c r="Q34" s="227"/>
      <c r="R34" s="212"/>
      <c r="S34" s="212"/>
      <c r="T34" s="212"/>
      <c r="U34" s="212"/>
      <c r="V34" s="212"/>
      <c r="W34" s="228"/>
      <c r="X34" s="212"/>
      <c r="Y34" s="454"/>
      <c r="Z34" s="443"/>
      <c r="AA34" s="443"/>
      <c r="AB34" s="442"/>
      <c r="AC34" s="229">
        <f>IF(ISERROR(LOOKUP(AC$16,$L34:$X34,#REF!)),0,(LOOKUP(AC$16,$L34:$X34,#REF!)))</f>
        <v>0</v>
      </c>
      <c r="AD34" s="230">
        <f>IF(ISERROR(LOOKUP(AD$16,$L34:$X34,#REF!)),0,(LOOKUP(AD$16,$L34:$X34,#REF!)))</f>
        <v>0</v>
      </c>
      <c r="AE34" s="230">
        <f>IF(ISERROR(LOOKUP(AE$16,$L34:$X34,#REF!)),0,(LOOKUP(AE$16,$L34:$X34,#REF!)))</f>
        <v>0</v>
      </c>
      <c r="AF34" s="230">
        <f>IF(ISERROR(LOOKUP(AF$16,$L34:$X34,#REF!)),0,(LOOKUP(AF$16,$L34:$X34,#REF!)))</f>
        <v>0</v>
      </c>
      <c r="AG34" s="230">
        <f>IF(ISERROR(LOOKUP(AG$16,$L34:$X34,#REF!)),0,(LOOKUP(AG$16,$L34:$X34,#REF!)))</f>
        <v>0</v>
      </c>
      <c r="AH34" s="230">
        <f>IF(ISERROR(LOOKUP(AH$16,$L34:$X34,#REF!)),0,(LOOKUP(AH$16,$L34:$X34,#REF!)))</f>
        <v>0</v>
      </c>
      <c r="AI34" s="230">
        <f>IF(ISERROR(LOOKUP(AI$16,$L34:$X34,#REF!)),0,(LOOKUP(AI$16,$L34:$X34,#REF!)))</f>
        <v>0</v>
      </c>
      <c r="AJ34" s="230">
        <f>IF(ISERROR(LOOKUP(AJ$16,$L34:$X34,#REF!)),0,(LOOKUP(AJ$16,$L34:$X34,#REF!)))</f>
        <v>0</v>
      </c>
      <c r="AK34" s="230">
        <f>IF(ISERROR(LOOKUP(AK$16,$L34:$X34,#REF!)),0,(LOOKUP(AK$16,$L34:$X34,#REF!)))</f>
        <v>0</v>
      </c>
      <c r="AL34" s="230">
        <f>IF(ISERROR(LOOKUP(AL$16,$L34:$X34,#REF!)),0,(LOOKUP(AL$16,$L34:$X34,#REF!)))</f>
        <v>0</v>
      </c>
      <c r="AM34" s="230">
        <f ca="1">IF(ISERROR(LOOKUP(AM$16,$L34:$X34,#REF!)),0,(LOOKUP(AM$16,$L34:$X34,#REF!)))</f>
        <v>0</v>
      </c>
      <c r="AO34" s="166">
        <f t="shared" si="0"/>
        <v>0</v>
      </c>
      <c r="AP34" s="212"/>
      <c r="AQ34" s="212"/>
      <c r="AR34" s="212"/>
      <c r="AS34" s="440"/>
      <c r="AW34" s="223" t="e">
        <v>#REF!</v>
      </c>
    </row>
    <row r="35" spans="1:49" s="167" customFormat="1" ht="18" customHeight="1">
      <c r="A35" s="483">
        <f>A32+1</f>
        <v>7</v>
      </c>
      <c r="B35" s="479"/>
      <c r="C35" s="459" t="s">
        <v>4741</v>
      </c>
      <c r="D35" s="459" t="s">
        <v>4742</v>
      </c>
      <c r="E35" s="449"/>
      <c r="F35" s="469" t="s">
        <v>62</v>
      </c>
      <c r="G35" s="458" t="s">
        <v>75</v>
      </c>
      <c r="H35" s="449"/>
      <c r="I35" s="212" t="s">
        <v>6</v>
      </c>
      <c r="J35" s="214" t="s">
        <v>4732</v>
      </c>
      <c r="K35" s="215">
        <f>WORKDAY(L35,-INDEX(L$12:L$15,MATCH($I35,$I$12:$I$15,0)))</f>
        <v>46176</v>
      </c>
      <c r="L35" s="215">
        <f>WORKDAY(M35,-INDEX(M$12:M$15,MATCH($I35,$I$12:$I$15,0)))</f>
        <v>46177</v>
      </c>
      <c r="M35" s="215">
        <f>WORKDAY(N35,-INDEX(N$12:N$15,MATCH($I35,$I$12:$I$15,0)))</f>
        <v>46184</v>
      </c>
      <c r="N35" s="215">
        <f>WORKDAY(O35,-INDEX(O$12:O$15,MATCH($I35,$I$12:$I$15,0)))</f>
        <v>46185</v>
      </c>
      <c r="O35" s="215">
        <f>WORKDAY(R35,-INDEX(R$12:R$15,MATCH($I35,$I$12:$I$15,0)))</f>
        <v>46192</v>
      </c>
      <c r="P35" s="216">
        <f>U35-L35</f>
        <v>76</v>
      </c>
      <c r="Q35" s="217"/>
      <c r="R35" s="215">
        <f>WORKDAY(S35,-INDEX(S$12:S$15,MATCH($I35,$I$12:$I$15,0)))</f>
        <v>46206</v>
      </c>
      <c r="S35" s="215">
        <f>WORKDAY(T35,-INDEX(T$12:T$15,MATCH($I35,$I$12:$I$15,0)))</f>
        <v>46234</v>
      </c>
      <c r="T35" s="215">
        <f>WORKDAY(U35,-INDEX(U$12:U$15,MATCH($I35,$I$12:$I$15,0)))</f>
        <v>46239</v>
      </c>
      <c r="U35" s="215">
        <f>X35-Y35</f>
        <v>46253</v>
      </c>
      <c r="V35" s="215">
        <f>WORKDAY(U35,INDEX(V$12:V$15,MATCH($I35,$I$12:$I$15,0)))</f>
        <v>46255</v>
      </c>
      <c r="W35" s="218">
        <f>Y35/7</f>
        <v>32</v>
      </c>
      <c r="X35" s="215">
        <f>Z35</f>
        <v>46477</v>
      </c>
      <c r="Y35" s="448">
        <f>32*7</f>
        <v>224</v>
      </c>
      <c r="Z35" s="443">
        <v>46477</v>
      </c>
      <c r="AA35" s="443">
        <v>46477</v>
      </c>
      <c r="AB35" s="442">
        <f>Z35-X36</f>
        <v>0</v>
      </c>
      <c r="AC35" s="234">
        <f>IF(ISERROR(LOOKUP(AC$16,$L35:$X35,#REF!)),0,(LOOKUP(AC$16,$L35:$X35,#REF!)))</f>
        <v>0</v>
      </c>
      <c r="AD35" s="235">
        <f>IF(ISERROR(LOOKUP(AD$16,$L35:$X35,#REF!)),0,(LOOKUP(AD$16,$L35:$X35,#REF!)))</f>
        <v>0</v>
      </c>
      <c r="AE35" s="235">
        <f>IF(ISERROR(LOOKUP(AE$16,$L35:$X35,#REF!)),0,(LOOKUP(AE$16,$L35:$X35,#REF!)))</f>
        <v>0</v>
      </c>
      <c r="AF35" s="235">
        <f>IF(ISERROR(LOOKUP(AF$16,$L35:$X35,#REF!)),0,(LOOKUP(AF$16,$L35:$X35,#REF!)))</f>
        <v>0</v>
      </c>
      <c r="AG35" s="235">
        <f>IF(ISERROR(LOOKUP(AG$16,$L35:$X35,#REF!)),0,(LOOKUP(AG$16,$L35:$X35,#REF!)))</f>
        <v>0</v>
      </c>
      <c r="AH35" s="235">
        <f>IF(ISERROR(LOOKUP(AH$16,$L35:$X35,#REF!)),0,(LOOKUP(AH$16,$L35:$X35,#REF!)))</f>
        <v>0</v>
      </c>
      <c r="AI35" s="235">
        <f>IF(ISERROR(LOOKUP(AI$16,$L35:$X35,#REF!)),0,(LOOKUP(AI$16,$L35:$X35,#REF!)))</f>
        <v>0</v>
      </c>
      <c r="AJ35" s="235">
        <f>IF(ISERROR(LOOKUP(AJ$16,$L35:$X35,#REF!)),0,(LOOKUP(AJ$16,$L35:$X35,#REF!)))</f>
        <v>0</v>
      </c>
      <c r="AK35" s="235">
        <f>IF(ISERROR(LOOKUP(AK$16,$L35:$X35,#REF!)),0,(LOOKUP(AK$16,$L35:$X35,#REF!)))</f>
        <v>0</v>
      </c>
      <c r="AL35" s="235">
        <f>IF(ISERROR(LOOKUP(AL$16,$L35:$X35,#REF!)),0,(LOOKUP(AL$16,$L35:$X35,#REF!)))</f>
        <v>0</v>
      </c>
      <c r="AM35" s="235">
        <f ca="1">IF(ISERROR(LOOKUP(AM$16,$L35:$X35,#REF!)),0,(LOOKUP(AM$16,$L35:$X35,#REF!)))</f>
        <v>0</v>
      </c>
      <c r="AO35" s="166">
        <f t="shared" si="0"/>
        <v>14</v>
      </c>
      <c r="AP35" s="215" t="e">
        <f>WORKDAY(AQ35,-INDEX(AQ$12:AQ$15,MATCH($I35,$I$12:$I$15,0)),$AW$17:$AW$148)</f>
        <v>#REF!</v>
      </c>
      <c r="AQ35" s="215" t="e">
        <f>WORKDAY(U35,-INDEX(U$12:U$15,MATCH($I35,$I$12:$I$15,0)),$AW$17:$AW$148)</f>
        <v>#REF!</v>
      </c>
      <c r="AR35" s="215" t="e">
        <f>WORKDAY(U35,-INDEX(U$12:U$15,MATCH($I35,$I$12:$I$15,0)),$AW$17:$AW$148)</f>
        <v>#REF!</v>
      </c>
      <c r="AS35" s="440">
        <v>14</v>
      </c>
      <c r="AW35" s="236" t="e">
        <v>#REF!</v>
      </c>
    </row>
    <row r="36" spans="1:49" s="167" customFormat="1" ht="18" customHeight="1">
      <c r="A36" s="483"/>
      <c r="B36" s="480"/>
      <c r="C36" s="459" t="str">
        <f>C35</f>
        <v>RFQ-007</v>
      </c>
      <c r="D36" s="459" t="str">
        <f>D35</f>
        <v>Demulsifier/Water Clarifier Injection Pump</v>
      </c>
      <c r="E36" s="450"/>
      <c r="F36" s="470"/>
      <c r="G36" s="458" t="str">
        <f>G35</f>
        <v>N</v>
      </c>
      <c r="H36" s="450"/>
      <c r="I36" s="212" t="str">
        <f>I35</f>
        <v>LA</v>
      </c>
      <c r="J36" s="214" t="s">
        <v>68</v>
      </c>
      <c r="K36" s="215">
        <f>K35</f>
        <v>46176</v>
      </c>
      <c r="L36" s="215">
        <f>WORKDAY(IF(K37="",K36,K37),INDEX(L$12:L$15,MATCH($I35,$I$12:$I$15,0)))</f>
        <v>46177</v>
      </c>
      <c r="M36" s="215">
        <f>WORKDAY(IF(L37="",L36,L37),INDEX(M$12:M$15,MATCH($I35,$I$12:$I$15,0)))</f>
        <v>46184</v>
      </c>
      <c r="N36" s="215">
        <f>WORKDAY(IF(M37="",M36,M37),INDEX(N$12:N$15,MATCH($I35,$I$12:$I$15,0)))</f>
        <v>46185</v>
      </c>
      <c r="O36" s="215">
        <f>WORKDAY(IF(N37="",N36,N37),INDEX(O$12:O$15,MATCH($I35,$I$12:$I$15,0)))</f>
        <v>46192</v>
      </c>
      <c r="P36" s="216"/>
      <c r="Q36" s="217"/>
      <c r="R36" s="215">
        <f>WORKDAY(IF(O37="",O36,O37),INDEX(R$12:R$15,MATCH($I35,$I$12:$I$15,0)))</f>
        <v>46206</v>
      </c>
      <c r="S36" s="215">
        <f>WORKDAY(IF(R37="",R36,R37),INDEX(S$12:S$15,MATCH($I35,$I$12:$I$15,0)))</f>
        <v>46234</v>
      </c>
      <c r="T36" s="215">
        <f>WORKDAY(IF(S37="",S36,S37),INDEX(T$12:T$15,MATCH($I35,$I$12:$I$15,0)))</f>
        <v>46239</v>
      </c>
      <c r="U36" s="215">
        <f>WORKDAY(IF(T37="",T36,T37),INDEX(U$12:U$15,MATCH($I35,$I$12:$I$15,0)))</f>
        <v>46253</v>
      </c>
      <c r="V36" s="215">
        <f>WORKDAY(IF(U37="",U36,U37),INDEX(V$12:V$15,MATCH($I35,$I$12:$I$15,0)))</f>
        <v>46255</v>
      </c>
      <c r="W36" s="218"/>
      <c r="X36" s="215">
        <f>U36+Y35</f>
        <v>46477</v>
      </c>
      <c r="Y36" s="448"/>
      <c r="Z36" s="443"/>
      <c r="AA36" s="443"/>
      <c r="AB36" s="442"/>
      <c r="AC36" s="234">
        <f>IF(ISERROR(LOOKUP(AC$16,$L36:$X36,#REF!)),0,(LOOKUP(AC$16,$L36:$X36,#REF!)))</f>
        <v>0</v>
      </c>
      <c r="AD36" s="235">
        <f>IF(ISERROR(LOOKUP(AD$16,$L36:$X36,#REF!)),0,(LOOKUP(AD$16,$L36:$X36,#REF!)))</f>
        <v>0</v>
      </c>
      <c r="AE36" s="235">
        <f>IF(ISERROR(LOOKUP(AE$16,$L36:$X36,#REF!)),0,(LOOKUP(AE$16,$L36:$X36,#REF!)))</f>
        <v>0</v>
      </c>
      <c r="AF36" s="235">
        <f>IF(ISERROR(LOOKUP(AF$16,$L36:$X36,#REF!)),0,(LOOKUP(AF$16,$L36:$X36,#REF!)))</f>
        <v>0</v>
      </c>
      <c r="AG36" s="235">
        <f>IF(ISERROR(LOOKUP(AG$16,$L36:$X36,#REF!)),0,(LOOKUP(AG$16,$L36:$X36,#REF!)))</f>
        <v>0</v>
      </c>
      <c r="AH36" s="235">
        <f>IF(ISERROR(LOOKUP(AH$16,$L36:$X36,#REF!)),0,(LOOKUP(AH$16,$L36:$X36,#REF!)))</f>
        <v>0</v>
      </c>
      <c r="AI36" s="235">
        <f>IF(ISERROR(LOOKUP(AI$16,$L36:$X36,#REF!)),0,(LOOKUP(AI$16,$L36:$X36,#REF!)))</f>
        <v>0</v>
      </c>
      <c r="AJ36" s="235">
        <f>IF(ISERROR(LOOKUP(AJ$16,$L36:$X36,#REF!)),0,(LOOKUP(AJ$16,$L36:$X36,#REF!)))</f>
        <v>0</v>
      </c>
      <c r="AK36" s="235">
        <f>IF(ISERROR(LOOKUP(AK$16,$L36:$X36,#REF!)),0,(LOOKUP(AK$16,$L36:$X36,#REF!)))</f>
        <v>0</v>
      </c>
      <c r="AL36" s="235">
        <f>IF(ISERROR(LOOKUP(AL$16,$L36:$X36,#REF!)),0,(LOOKUP(AL$16,$L36:$X36,#REF!)))</f>
        <v>0</v>
      </c>
      <c r="AM36" s="235">
        <f ca="1">IF(ISERROR(LOOKUP(AM$16,$L36:$X36,#REF!)),0,(LOOKUP(AM$16,$L36:$X36,#REF!)))</f>
        <v>0</v>
      </c>
      <c r="AO36" s="166">
        <f t="shared" si="0"/>
        <v>14</v>
      </c>
      <c r="AP36" s="215" t="e">
        <f>WORKDAY(IF(T37="",T36,T37),INDEX(AP$12:AP$15,MATCH($I35,$I$12:$I$15,0)),$AW$17:$AW$148)</f>
        <v>#REF!</v>
      </c>
      <c r="AQ36" s="215" t="e">
        <f>WORKDAY(IF(AP37="",AP36,AP37),INDEX(AQ$12:AQ$15,MATCH($I35,$I$12:$I$15,0)),$AW$17:$AW$148)</f>
        <v>#REF!</v>
      </c>
      <c r="AR36" s="215" t="e">
        <f>WORKDAY(IF(AQ37="",AQ36,AQ37),INDEX(AR$12:AR$15,MATCH($I35,$I$12:$I$15,0)),$AW$17:$AW$148)</f>
        <v>#REF!</v>
      </c>
      <c r="AS36" s="440"/>
      <c r="AW36" s="236" t="e">
        <v>#REF!</v>
      </c>
    </row>
    <row r="37" spans="1:49" s="167" customFormat="1" ht="18" customHeight="1">
      <c r="A37" s="483"/>
      <c r="B37" s="481"/>
      <c r="C37" s="459" t="str">
        <f>C35</f>
        <v>RFQ-007</v>
      </c>
      <c r="D37" s="459" t="str">
        <f>D35</f>
        <v>Demulsifier/Water Clarifier Injection Pump</v>
      </c>
      <c r="E37" s="451"/>
      <c r="F37" s="471"/>
      <c r="G37" s="458" t="str">
        <f>G35</f>
        <v>N</v>
      </c>
      <c r="H37" s="451"/>
      <c r="I37" s="212" t="str">
        <f>I35</f>
        <v>LA</v>
      </c>
      <c r="J37" s="214" t="s">
        <v>70</v>
      </c>
      <c r="K37" s="212"/>
      <c r="L37" s="212"/>
      <c r="M37" s="212"/>
      <c r="N37" s="212"/>
      <c r="O37" s="212"/>
      <c r="P37" s="226"/>
      <c r="Q37" s="227"/>
      <c r="R37" s="212"/>
      <c r="S37" s="212"/>
      <c r="T37" s="212"/>
      <c r="U37" s="212"/>
      <c r="V37" s="212"/>
      <c r="W37" s="228"/>
      <c r="X37" s="212"/>
      <c r="Y37" s="448"/>
      <c r="Z37" s="443"/>
      <c r="AA37" s="443"/>
      <c r="AB37" s="442"/>
      <c r="AC37" s="239">
        <f>IF(ISERROR(LOOKUP(AC$16,$L37:$X37,#REF!)),0,(LOOKUP(AC$16,$L37:$X37,#REF!)))</f>
        <v>0</v>
      </c>
      <c r="AD37" s="240">
        <f>IF(ISERROR(LOOKUP(AD$16,$L37:$X37,#REF!)),0,(LOOKUP(AD$16,$L37:$X37,#REF!)))</f>
        <v>0</v>
      </c>
      <c r="AE37" s="240">
        <f>IF(ISERROR(LOOKUP(AE$16,$L37:$X37,#REF!)),0,(LOOKUP(AE$16,$L37:$X37,#REF!)))</f>
        <v>0</v>
      </c>
      <c r="AF37" s="240">
        <f>IF(ISERROR(LOOKUP(AF$16,$L37:$X37,#REF!)),0,(LOOKUP(AF$16,$L37:$X37,#REF!)))</f>
        <v>0</v>
      </c>
      <c r="AG37" s="240">
        <f>IF(ISERROR(LOOKUP(AG$16,$L37:$X37,#REF!)),0,(LOOKUP(AG$16,$L37:$X37,#REF!)))</f>
        <v>0</v>
      </c>
      <c r="AH37" s="240">
        <f>IF(ISERROR(LOOKUP(AH$16,$L37:$X37,#REF!)),0,(LOOKUP(AH$16,$L37:$X37,#REF!)))</f>
        <v>0</v>
      </c>
      <c r="AI37" s="240">
        <f>IF(ISERROR(LOOKUP(AI$16,$L37:$X37,#REF!)),0,(LOOKUP(AI$16,$L37:$X37,#REF!)))</f>
        <v>0</v>
      </c>
      <c r="AJ37" s="240">
        <f>IF(ISERROR(LOOKUP(AJ$16,$L37:$X37,#REF!)),0,(LOOKUP(AJ$16,$L37:$X37,#REF!)))</f>
        <v>0</v>
      </c>
      <c r="AK37" s="240">
        <f>IF(ISERROR(LOOKUP(AK$16,$L37:$X37,#REF!)),0,(LOOKUP(AK$16,$L37:$X37,#REF!)))</f>
        <v>0</v>
      </c>
      <c r="AL37" s="240">
        <f>IF(ISERROR(LOOKUP(AL$16,$L37:$X37,#REF!)),0,(LOOKUP(AL$16,$L37:$X37,#REF!)))</f>
        <v>0</v>
      </c>
      <c r="AM37" s="240">
        <f ca="1">IF(ISERROR(LOOKUP(AM$16,$L37:$X37,#REF!)),0,(LOOKUP(AM$16,$L37:$X37,#REF!)))</f>
        <v>0</v>
      </c>
      <c r="AO37" s="166">
        <f t="shared" si="0"/>
        <v>0</v>
      </c>
      <c r="AP37" s="212"/>
      <c r="AQ37" s="212"/>
      <c r="AR37" s="212"/>
      <c r="AS37" s="440"/>
      <c r="AW37" s="236" t="e">
        <v>#REF!</v>
      </c>
    </row>
    <row r="38" spans="1:49" s="168" customFormat="1" ht="18" customHeight="1">
      <c r="A38" s="483">
        <f>A35+1</f>
        <v>8</v>
      </c>
      <c r="B38" s="479"/>
      <c r="C38" s="472" t="s">
        <v>4743</v>
      </c>
      <c r="D38" s="472" t="s">
        <v>4744</v>
      </c>
      <c r="E38" s="449"/>
      <c r="F38" s="472" t="s">
        <v>62</v>
      </c>
      <c r="G38" s="458" t="str">
        <f>IF(_xlfn.XLOOKUP(C38,'[35]Before Award'!D:D,'[35]Before Award'!AV:AV,"N/A")="N/A","N","Y")</f>
        <v>N</v>
      </c>
      <c r="H38" s="449"/>
      <c r="I38" s="212" t="s">
        <v>4745</v>
      </c>
      <c r="J38" s="214" t="s">
        <v>4732</v>
      </c>
      <c r="K38" s="215">
        <v>46162</v>
      </c>
      <c r="L38" s="215">
        <v>46163</v>
      </c>
      <c r="M38" s="215">
        <v>46168</v>
      </c>
      <c r="N38" s="215">
        <v>46169</v>
      </c>
      <c r="O38" s="215">
        <v>46174</v>
      </c>
      <c r="P38" s="216">
        <f>U38-L38</f>
        <v>71</v>
      </c>
      <c r="Q38" s="217"/>
      <c r="R38" s="215">
        <v>46188</v>
      </c>
      <c r="S38" s="215">
        <v>46216</v>
      </c>
      <c r="T38" s="215">
        <v>46219</v>
      </c>
      <c r="U38" s="215">
        <v>46234</v>
      </c>
      <c r="V38" s="215">
        <v>46241</v>
      </c>
      <c r="W38" s="218">
        <v>26</v>
      </c>
      <c r="X38" s="215">
        <v>46416</v>
      </c>
      <c r="Y38" s="448">
        <f>W38*7</f>
        <v>182</v>
      </c>
      <c r="Z38" s="443">
        <v>46416</v>
      </c>
      <c r="AA38" s="443">
        <v>46416</v>
      </c>
      <c r="AB38" s="442">
        <f>Z38-X39</f>
        <v>0</v>
      </c>
      <c r="AC38" s="242">
        <f>IF(ISERROR(LOOKUP(AC$16,$L38:$X38,#REF!)),0,(LOOKUP(AC$16,$L38:$X38,#REF!)))</f>
        <v>0</v>
      </c>
      <c r="AD38" s="243">
        <f>IF(ISERROR(LOOKUP(AD$16,$L38:$X38,#REF!)),0,(LOOKUP(AD$16,$L38:$X38,#REF!)))</f>
        <v>0</v>
      </c>
      <c r="AE38" s="243">
        <f>IF(ISERROR(LOOKUP(AE$16,$L38:$X38,#REF!)),0,(LOOKUP(AE$16,$L38:$X38,#REF!)))</f>
        <v>0</v>
      </c>
      <c r="AF38" s="243">
        <f>IF(ISERROR(LOOKUP(AF$16,$L38:$X38,#REF!)),0,(LOOKUP(AF$16,$L38:$X38,#REF!)))</f>
        <v>0</v>
      </c>
      <c r="AG38" s="243">
        <f>IF(ISERROR(LOOKUP(AG$16,$L38:$X38,#REF!)),0,(LOOKUP(AG$16,$L38:$X38,#REF!)))</f>
        <v>0</v>
      </c>
      <c r="AH38" s="243">
        <f>IF(ISERROR(LOOKUP(AH$16,$L38:$X38,#REF!)),0,(LOOKUP(AH$16,$L38:$X38,#REF!)))</f>
        <v>0</v>
      </c>
      <c r="AI38" s="243">
        <f>IF(ISERROR(LOOKUP(AI$16,$L38:$X38,#REF!)),0,(LOOKUP(AI$16,$L38:$X38,#REF!)))</f>
        <v>0</v>
      </c>
      <c r="AJ38" s="243">
        <f>IF(ISERROR(LOOKUP(AJ$16,$L38:$X38,#REF!)),0,(LOOKUP(AJ$16,$L38:$X38,#REF!)))</f>
        <v>0</v>
      </c>
      <c r="AK38" s="243">
        <f>IF(ISERROR(LOOKUP(AK$16,$L38:$X38,#REF!)),0,(LOOKUP(AK$16,$L38:$X38,#REF!)))</f>
        <v>0</v>
      </c>
      <c r="AL38" s="243">
        <f>IF(ISERROR(LOOKUP(AL$16,$L38:$X38,#REF!)),0,(LOOKUP(AL$16,$L38:$X38,#REF!)))</f>
        <v>0</v>
      </c>
      <c r="AM38" s="243">
        <f ca="1">IF(ISERROR(LOOKUP(AM$16,$L38:$X38,#REF!)),0,(LOOKUP(AM$16,$L38:$X38,#REF!)))</f>
        <v>0</v>
      </c>
      <c r="AO38" s="166">
        <f t="shared" si="0"/>
        <v>15</v>
      </c>
      <c r="AP38" s="215">
        <v>46223</v>
      </c>
      <c r="AQ38" s="215">
        <v>46227</v>
      </c>
      <c r="AR38" s="215">
        <v>46227</v>
      </c>
      <c r="AS38" s="440">
        <v>14</v>
      </c>
      <c r="AW38" s="244" t="e">
        <v>#REF!</v>
      </c>
    </row>
    <row r="39" spans="1:49" s="168" customFormat="1" ht="18" customHeight="1">
      <c r="A39" s="483"/>
      <c r="B39" s="480"/>
      <c r="C39" s="472" t="str">
        <f>C38</f>
        <v>RFQ-008</v>
      </c>
      <c r="D39" s="472" t="str">
        <f>D38</f>
        <v>De-Oiler Hydrocyclone</v>
      </c>
      <c r="E39" s="450"/>
      <c r="F39" s="472"/>
      <c r="G39" s="458" t="str">
        <f>G38</f>
        <v>N</v>
      </c>
      <c r="H39" s="450"/>
      <c r="I39" s="212" t="str">
        <f>I38</f>
        <v/>
      </c>
      <c r="J39" s="214" t="s">
        <v>68</v>
      </c>
      <c r="K39" s="215">
        <v>46162</v>
      </c>
      <c r="L39" s="215">
        <v>46163</v>
      </c>
      <c r="M39" s="215">
        <v>46168</v>
      </c>
      <c r="N39" s="215">
        <v>46169</v>
      </c>
      <c r="O39" s="215">
        <v>46174</v>
      </c>
      <c r="P39" s="216"/>
      <c r="Q39" s="217"/>
      <c r="R39" s="215">
        <v>46188</v>
      </c>
      <c r="S39" s="215">
        <v>46216</v>
      </c>
      <c r="T39" s="215">
        <v>46219</v>
      </c>
      <c r="U39" s="215">
        <v>46234</v>
      </c>
      <c r="V39" s="215">
        <v>46241</v>
      </c>
      <c r="W39" s="218"/>
      <c r="X39" s="215">
        <v>46416</v>
      </c>
      <c r="Y39" s="448"/>
      <c r="Z39" s="443"/>
      <c r="AA39" s="443"/>
      <c r="AB39" s="442"/>
      <c r="AC39" s="242">
        <f>IF(ISERROR(LOOKUP(AC$16,$L39:$X39,#REF!)),0,(LOOKUP(AC$16,$L39:$X39,#REF!)))</f>
        <v>0</v>
      </c>
      <c r="AD39" s="243">
        <f>IF(ISERROR(LOOKUP(AD$16,$L39:$X39,#REF!)),0,(LOOKUP(AD$16,$L39:$X39,#REF!)))</f>
        <v>0</v>
      </c>
      <c r="AE39" s="243">
        <f>IF(ISERROR(LOOKUP(AE$16,$L39:$X39,#REF!)),0,(LOOKUP(AE$16,$L39:$X39,#REF!)))</f>
        <v>0</v>
      </c>
      <c r="AF39" s="243">
        <f>IF(ISERROR(LOOKUP(AF$16,$L39:$X39,#REF!)),0,(LOOKUP(AF$16,$L39:$X39,#REF!)))</f>
        <v>0</v>
      </c>
      <c r="AG39" s="243">
        <f>IF(ISERROR(LOOKUP(AG$16,$L39:$X39,#REF!)),0,(LOOKUP(AG$16,$L39:$X39,#REF!)))</f>
        <v>0</v>
      </c>
      <c r="AH39" s="243">
        <f>IF(ISERROR(LOOKUP(AH$16,$L39:$X39,#REF!)),0,(LOOKUP(AH$16,$L39:$X39,#REF!)))</f>
        <v>0</v>
      </c>
      <c r="AI39" s="243">
        <f>IF(ISERROR(LOOKUP(AI$16,$L39:$X39,#REF!)),0,(LOOKUP(AI$16,$L39:$X39,#REF!)))</f>
        <v>0</v>
      </c>
      <c r="AJ39" s="243">
        <f>IF(ISERROR(LOOKUP(AJ$16,$L39:$X39,#REF!)),0,(LOOKUP(AJ$16,$L39:$X39,#REF!)))</f>
        <v>0</v>
      </c>
      <c r="AK39" s="243">
        <f>IF(ISERROR(LOOKUP(AK$16,$L39:$X39,#REF!)),0,(LOOKUP(AK$16,$L39:$X39,#REF!)))</f>
        <v>0</v>
      </c>
      <c r="AL39" s="243">
        <f>IF(ISERROR(LOOKUP(AL$16,$L39:$X39,#REF!)),0,(LOOKUP(AL$16,$L39:$X39,#REF!)))</f>
        <v>0</v>
      </c>
      <c r="AM39" s="243">
        <f ca="1">IF(ISERROR(LOOKUP(AM$16,$L39:$X39,#REF!)),0,(LOOKUP(AM$16,$L39:$X39,#REF!)))</f>
        <v>0</v>
      </c>
      <c r="AO39" s="166">
        <f t="shared" si="0"/>
        <v>15</v>
      </c>
      <c r="AP39" s="215">
        <v>46223</v>
      </c>
      <c r="AQ39" s="215">
        <v>46227</v>
      </c>
      <c r="AR39" s="215">
        <v>46234</v>
      </c>
      <c r="AS39" s="440"/>
      <c r="AW39" s="244" t="e">
        <v>#REF!</v>
      </c>
    </row>
    <row r="40" spans="1:49" s="168" customFormat="1" ht="18" customHeight="1">
      <c r="A40" s="483"/>
      <c r="B40" s="481"/>
      <c r="C40" s="473" t="str">
        <f>C38</f>
        <v>RFQ-008</v>
      </c>
      <c r="D40" s="473" t="str">
        <f>D38</f>
        <v>De-Oiler Hydrocyclone</v>
      </c>
      <c r="E40" s="451"/>
      <c r="F40" s="473"/>
      <c r="G40" s="458" t="str">
        <f>G38</f>
        <v>N</v>
      </c>
      <c r="H40" s="451"/>
      <c r="I40" s="212" t="str">
        <f>I38</f>
        <v/>
      </c>
      <c r="J40" s="214" t="s">
        <v>70</v>
      </c>
      <c r="K40" s="212"/>
      <c r="L40" s="212"/>
      <c r="M40" s="212"/>
      <c r="N40" s="212"/>
      <c r="O40" s="212"/>
      <c r="P40" s="226"/>
      <c r="Q40" s="227"/>
      <c r="R40" s="212"/>
      <c r="S40" s="212"/>
      <c r="T40" s="212"/>
      <c r="U40" s="212"/>
      <c r="V40" s="212"/>
      <c r="W40" s="228"/>
      <c r="X40" s="212"/>
      <c r="Y40" s="448"/>
      <c r="Z40" s="443"/>
      <c r="AA40" s="443"/>
      <c r="AB40" s="442"/>
      <c r="AC40" s="246">
        <f>IF(ISERROR(LOOKUP(AC$16,$L40:$X40,#REF!)),0,(LOOKUP(AC$16,$L40:$X40,#REF!)))</f>
        <v>0</v>
      </c>
      <c r="AD40" s="247">
        <f>IF(ISERROR(LOOKUP(AD$16,$L40:$X40,#REF!)),0,(LOOKUP(AD$16,$L40:$X40,#REF!)))</f>
        <v>0</v>
      </c>
      <c r="AE40" s="247">
        <f>IF(ISERROR(LOOKUP(AE$16,$L40:$X40,#REF!)),0,(LOOKUP(AE$16,$L40:$X40,#REF!)))</f>
        <v>0</v>
      </c>
      <c r="AF40" s="247">
        <f>IF(ISERROR(LOOKUP(AF$16,$L40:$X40,#REF!)),0,(LOOKUP(AF$16,$L40:$X40,#REF!)))</f>
        <v>0</v>
      </c>
      <c r="AG40" s="247">
        <f>IF(ISERROR(LOOKUP(AG$16,$L40:$X40,#REF!)),0,(LOOKUP(AG$16,$L40:$X40,#REF!)))</f>
        <v>0</v>
      </c>
      <c r="AH40" s="247">
        <f>IF(ISERROR(LOOKUP(AH$16,$L40:$X40,#REF!)),0,(LOOKUP(AH$16,$L40:$X40,#REF!)))</f>
        <v>0</v>
      </c>
      <c r="AI40" s="247">
        <f>IF(ISERROR(LOOKUP(AI$16,$L40:$X40,#REF!)),0,(LOOKUP(AI$16,$L40:$X40,#REF!)))</f>
        <v>0</v>
      </c>
      <c r="AJ40" s="247">
        <f>IF(ISERROR(LOOKUP(AJ$16,$L40:$X40,#REF!)),0,(LOOKUP(AJ$16,$L40:$X40,#REF!)))</f>
        <v>0</v>
      </c>
      <c r="AK40" s="247">
        <f>IF(ISERROR(LOOKUP(AK$16,$L40:$X40,#REF!)),0,(LOOKUP(AK$16,$L40:$X40,#REF!)))</f>
        <v>0</v>
      </c>
      <c r="AL40" s="247">
        <f>IF(ISERROR(LOOKUP(AL$16,$L40:$X40,#REF!)),0,(LOOKUP(AL$16,$L40:$X40,#REF!)))</f>
        <v>0</v>
      </c>
      <c r="AM40" s="247">
        <f ca="1">IF(ISERROR(LOOKUP(AM$16,$L40:$X40,#REF!)),0,(LOOKUP(AM$16,$L40:$X40,#REF!)))</f>
        <v>0</v>
      </c>
      <c r="AO40" s="166">
        <f t="shared" si="0"/>
        <v>0</v>
      </c>
      <c r="AP40" s="212"/>
      <c r="AQ40" s="212"/>
      <c r="AR40" s="212"/>
      <c r="AS40" s="440"/>
      <c r="AW40" s="244" t="e">
        <v>#REF!</v>
      </c>
    </row>
    <row r="41" spans="1:49" s="168" customFormat="1" ht="18" customHeight="1">
      <c r="A41" s="483">
        <f>A38+1</f>
        <v>9</v>
      </c>
      <c r="B41" s="479"/>
      <c r="C41" s="472" t="s">
        <v>4746</v>
      </c>
      <c r="D41" s="472" t="s">
        <v>4747</v>
      </c>
      <c r="E41" s="449"/>
      <c r="F41" s="472" t="s">
        <v>62</v>
      </c>
      <c r="G41" s="458" t="str">
        <f>IF(_xlfn.XLOOKUP(C41,'[35]Before Award'!D:D,'[35]Before Award'!AV:AV,"N/A")="N/A","N","Y")</f>
        <v>N</v>
      </c>
      <c r="H41" s="449"/>
      <c r="I41" s="212" t="s">
        <v>6</v>
      </c>
      <c r="J41" s="214" t="s">
        <v>4732</v>
      </c>
      <c r="K41" s="215">
        <v>46162</v>
      </c>
      <c r="L41" s="215">
        <v>46163</v>
      </c>
      <c r="M41" s="215">
        <v>46168</v>
      </c>
      <c r="N41" s="215">
        <v>46169</v>
      </c>
      <c r="O41" s="215">
        <v>46174</v>
      </c>
      <c r="P41" s="216">
        <f>U41-L41</f>
        <v>71</v>
      </c>
      <c r="Q41" s="217"/>
      <c r="R41" s="215">
        <v>46188</v>
      </c>
      <c r="S41" s="215">
        <v>46216</v>
      </c>
      <c r="T41" s="215">
        <v>46219</v>
      </c>
      <c r="U41" s="215">
        <v>46234</v>
      </c>
      <c r="V41" s="215">
        <v>46241</v>
      </c>
      <c r="W41" s="218">
        <v>26</v>
      </c>
      <c r="X41" s="215">
        <v>46416</v>
      </c>
      <c r="Y41" s="448">
        <f>W41*7</f>
        <v>182</v>
      </c>
      <c r="Z41" s="443">
        <v>46416</v>
      </c>
      <c r="AA41" s="443">
        <v>46416</v>
      </c>
      <c r="AB41" s="442">
        <f>Z41-X42</f>
        <v>0</v>
      </c>
      <c r="AC41" s="242">
        <f>IF(ISERROR(LOOKUP(AC$16,$L41:$X41,#REF!)),0,(LOOKUP(AC$16,$L41:$X41,#REF!)))</f>
        <v>0</v>
      </c>
      <c r="AD41" s="243">
        <f>IF(ISERROR(LOOKUP(AD$16,$L41:$X41,#REF!)),0,(LOOKUP(AD$16,$L41:$X41,#REF!)))</f>
        <v>0</v>
      </c>
      <c r="AE41" s="243">
        <f>IF(ISERROR(LOOKUP(AE$16,$L41:$X41,#REF!)),0,(LOOKUP(AE$16,$L41:$X41,#REF!)))</f>
        <v>0</v>
      </c>
      <c r="AF41" s="243">
        <f>IF(ISERROR(LOOKUP(AF$16,$L41:$X41,#REF!)),0,(LOOKUP(AF$16,$L41:$X41,#REF!)))</f>
        <v>0</v>
      </c>
      <c r="AG41" s="243">
        <f>IF(ISERROR(LOOKUP(AG$16,$L41:$X41,#REF!)),0,(LOOKUP(AG$16,$L41:$X41,#REF!)))</f>
        <v>0</v>
      </c>
      <c r="AH41" s="243">
        <f>IF(ISERROR(LOOKUP(AH$16,$L41:$X41,#REF!)),0,(LOOKUP(AH$16,$L41:$X41,#REF!)))</f>
        <v>0</v>
      </c>
      <c r="AI41" s="243">
        <f>IF(ISERROR(LOOKUP(AI$16,$L41:$X41,#REF!)),0,(LOOKUP(AI$16,$L41:$X41,#REF!)))</f>
        <v>0</v>
      </c>
      <c r="AJ41" s="243">
        <f>IF(ISERROR(LOOKUP(AJ$16,$L41:$X41,#REF!)),0,(LOOKUP(AJ$16,$L41:$X41,#REF!)))</f>
        <v>0</v>
      </c>
      <c r="AK41" s="243">
        <f>IF(ISERROR(LOOKUP(AK$16,$L41:$X41,#REF!)),0,(LOOKUP(AK$16,$L41:$X41,#REF!)))</f>
        <v>0</v>
      </c>
      <c r="AL41" s="243">
        <f>IF(ISERROR(LOOKUP(AL$16,$L41:$X41,#REF!)),0,(LOOKUP(AL$16,$L41:$X41,#REF!)))</f>
        <v>0</v>
      </c>
      <c r="AM41" s="243">
        <f ca="1">IF(ISERROR(LOOKUP(AM$16,$L41:$X41,#REF!)),0,(LOOKUP(AM$16,$L41:$X41,#REF!)))</f>
        <v>0</v>
      </c>
      <c r="AO41" s="166">
        <f t="shared" si="0"/>
        <v>15</v>
      </c>
      <c r="AP41" s="215">
        <v>46223</v>
      </c>
      <c r="AQ41" s="215">
        <v>46227</v>
      </c>
      <c r="AR41" s="215">
        <v>46227</v>
      </c>
      <c r="AS41" s="440">
        <v>14</v>
      </c>
      <c r="AW41" s="244" t="e">
        <v>#REF!</v>
      </c>
    </row>
    <row r="42" spans="1:49" s="168" customFormat="1" ht="18" customHeight="1">
      <c r="A42" s="483"/>
      <c r="B42" s="480"/>
      <c r="C42" s="472" t="str">
        <f>C41</f>
        <v>RFQ-009</v>
      </c>
      <c r="D42" s="472" t="str">
        <f>D41</f>
        <v>Degasser</v>
      </c>
      <c r="E42" s="450"/>
      <c r="F42" s="472"/>
      <c r="G42" s="458" t="str">
        <f>G41</f>
        <v>N</v>
      </c>
      <c r="H42" s="450"/>
      <c r="I42" s="212" t="str">
        <f>I41</f>
        <v>LA</v>
      </c>
      <c r="J42" s="214" t="s">
        <v>68</v>
      </c>
      <c r="K42" s="215">
        <v>46162</v>
      </c>
      <c r="L42" s="215">
        <v>46163</v>
      </c>
      <c r="M42" s="215">
        <v>46168</v>
      </c>
      <c r="N42" s="215">
        <v>46169</v>
      </c>
      <c r="O42" s="215">
        <v>46174</v>
      </c>
      <c r="P42" s="216"/>
      <c r="Q42" s="217"/>
      <c r="R42" s="215">
        <v>46188</v>
      </c>
      <c r="S42" s="215">
        <v>46216</v>
      </c>
      <c r="T42" s="215">
        <v>46219</v>
      </c>
      <c r="U42" s="215">
        <v>46234</v>
      </c>
      <c r="V42" s="215">
        <v>46241</v>
      </c>
      <c r="W42" s="218"/>
      <c r="X42" s="215">
        <v>46416</v>
      </c>
      <c r="Y42" s="448"/>
      <c r="Z42" s="443"/>
      <c r="AA42" s="443"/>
      <c r="AB42" s="442"/>
      <c r="AC42" s="242">
        <f>IF(ISERROR(LOOKUP(AC$16,$L42:$X42,#REF!)),0,(LOOKUP(AC$16,$L42:$X42,#REF!)))</f>
        <v>0</v>
      </c>
      <c r="AD42" s="243">
        <f>IF(ISERROR(LOOKUP(AD$16,$L42:$X42,#REF!)),0,(LOOKUP(AD$16,$L42:$X42,#REF!)))</f>
        <v>0</v>
      </c>
      <c r="AE42" s="243">
        <f>IF(ISERROR(LOOKUP(AE$16,$L42:$X42,#REF!)),0,(LOOKUP(AE$16,$L42:$X42,#REF!)))</f>
        <v>0</v>
      </c>
      <c r="AF42" s="243">
        <f>IF(ISERROR(LOOKUP(AF$16,$L42:$X42,#REF!)),0,(LOOKUP(AF$16,$L42:$X42,#REF!)))</f>
        <v>0</v>
      </c>
      <c r="AG42" s="243">
        <f>IF(ISERROR(LOOKUP(AG$16,$L42:$X42,#REF!)),0,(LOOKUP(AG$16,$L42:$X42,#REF!)))</f>
        <v>0</v>
      </c>
      <c r="AH42" s="243">
        <f>IF(ISERROR(LOOKUP(AH$16,$L42:$X42,#REF!)),0,(LOOKUP(AH$16,$L42:$X42,#REF!)))</f>
        <v>0</v>
      </c>
      <c r="AI42" s="243">
        <f>IF(ISERROR(LOOKUP(AI$16,$L42:$X42,#REF!)),0,(LOOKUP(AI$16,$L42:$X42,#REF!)))</f>
        <v>0</v>
      </c>
      <c r="AJ42" s="243">
        <f>IF(ISERROR(LOOKUP(AJ$16,$L42:$X42,#REF!)),0,(LOOKUP(AJ$16,$L42:$X42,#REF!)))</f>
        <v>0</v>
      </c>
      <c r="AK42" s="243">
        <f>IF(ISERROR(LOOKUP(AK$16,$L42:$X42,#REF!)),0,(LOOKUP(AK$16,$L42:$X42,#REF!)))</f>
        <v>0</v>
      </c>
      <c r="AL42" s="243">
        <f>IF(ISERROR(LOOKUP(AL$16,$L42:$X42,#REF!)),0,(LOOKUP(AL$16,$L42:$X42,#REF!)))</f>
        <v>0</v>
      </c>
      <c r="AM42" s="243">
        <f ca="1">IF(ISERROR(LOOKUP(AM$16,$L42:$X42,#REF!)),0,(LOOKUP(AM$16,$L42:$X42,#REF!)))</f>
        <v>0</v>
      </c>
      <c r="AO42" s="166">
        <f t="shared" si="0"/>
        <v>15</v>
      </c>
      <c r="AP42" s="215">
        <v>46223</v>
      </c>
      <c r="AQ42" s="215">
        <v>46227</v>
      </c>
      <c r="AR42" s="215">
        <v>46234</v>
      </c>
      <c r="AS42" s="440"/>
      <c r="AW42" s="244" t="e">
        <v>#REF!</v>
      </c>
    </row>
    <row r="43" spans="1:49" s="168" customFormat="1" ht="18" customHeight="1">
      <c r="A43" s="483"/>
      <c r="B43" s="481"/>
      <c r="C43" s="473" t="str">
        <f>C41</f>
        <v>RFQ-009</v>
      </c>
      <c r="D43" s="473" t="str">
        <f>D41</f>
        <v>Degasser</v>
      </c>
      <c r="E43" s="451"/>
      <c r="F43" s="473"/>
      <c r="G43" s="458" t="str">
        <f>G41</f>
        <v>N</v>
      </c>
      <c r="H43" s="451"/>
      <c r="I43" s="212" t="str">
        <f>I41</f>
        <v>LA</v>
      </c>
      <c r="J43" s="214" t="s">
        <v>70</v>
      </c>
      <c r="K43" s="212"/>
      <c r="L43" s="212"/>
      <c r="M43" s="212"/>
      <c r="N43" s="212"/>
      <c r="O43" s="212"/>
      <c r="P43" s="226"/>
      <c r="Q43" s="227"/>
      <c r="R43" s="212"/>
      <c r="S43" s="212"/>
      <c r="T43" s="212"/>
      <c r="U43" s="212"/>
      <c r="V43" s="212"/>
      <c r="W43" s="228"/>
      <c r="X43" s="212"/>
      <c r="Y43" s="448"/>
      <c r="Z43" s="443"/>
      <c r="AA43" s="443"/>
      <c r="AB43" s="442"/>
      <c r="AC43" s="246">
        <f>IF(ISERROR(LOOKUP(AC$16,$L43:$X43,#REF!)),0,(LOOKUP(AC$16,$L43:$X43,#REF!)))</f>
        <v>0</v>
      </c>
      <c r="AD43" s="247">
        <f>IF(ISERROR(LOOKUP(AD$16,$L43:$X43,#REF!)),0,(LOOKUP(AD$16,$L43:$X43,#REF!)))</f>
        <v>0</v>
      </c>
      <c r="AE43" s="247">
        <f>IF(ISERROR(LOOKUP(AE$16,$L43:$X43,#REF!)),0,(LOOKUP(AE$16,$L43:$X43,#REF!)))</f>
        <v>0</v>
      </c>
      <c r="AF43" s="247">
        <f>IF(ISERROR(LOOKUP(AF$16,$L43:$X43,#REF!)),0,(LOOKUP(AF$16,$L43:$X43,#REF!)))</f>
        <v>0</v>
      </c>
      <c r="AG43" s="247">
        <f>IF(ISERROR(LOOKUP(AG$16,$L43:$X43,#REF!)),0,(LOOKUP(AG$16,$L43:$X43,#REF!)))</f>
        <v>0</v>
      </c>
      <c r="AH43" s="247">
        <f>IF(ISERROR(LOOKUP(AH$16,$L43:$X43,#REF!)),0,(LOOKUP(AH$16,$L43:$X43,#REF!)))</f>
        <v>0</v>
      </c>
      <c r="AI43" s="247">
        <f>IF(ISERROR(LOOKUP(AI$16,$L43:$X43,#REF!)),0,(LOOKUP(AI$16,$L43:$X43,#REF!)))</f>
        <v>0</v>
      </c>
      <c r="AJ43" s="247">
        <f>IF(ISERROR(LOOKUP(AJ$16,$L43:$X43,#REF!)),0,(LOOKUP(AJ$16,$L43:$X43,#REF!)))</f>
        <v>0</v>
      </c>
      <c r="AK43" s="247">
        <f>IF(ISERROR(LOOKUP(AK$16,$L43:$X43,#REF!)),0,(LOOKUP(AK$16,$L43:$X43,#REF!)))</f>
        <v>0</v>
      </c>
      <c r="AL43" s="247">
        <f>IF(ISERROR(LOOKUP(AL$16,$L43:$X43,#REF!)),0,(LOOKUP(AL$16,$L43:$X43,#REF!)))</f>
        <v>0</v>
      </c>
      <c r="AM43" s="247">
        <f ca="1">IF(ISERROR(LOOKUP(AM$16,$L43:$X43,#REF!)),0,(LOOKUP(AM$16,$L43:$X43,#REF!)))</f>
        <v>0</v>
      </c>
      <c r="AO43" s="166">
        <f t="shared" si="0"/>
        <v>0</v>
      </c>
      <c r="AP43" s="212"/>
      <c r="AQ43" s="212"/>
      <c r="AR43" s="212"/>
      <c r="AS43" s="440"/>
      <c r="AW43" s="244" t="e">
        <v>#REF!</v>
      </c>
    </row>
    <row r="44" spans="1:49" s="168" customFormat="1" ht="18.600000000000001" customHeight="1">
      <c r="A44" s="483">
        <f>A41+1</f>
        <v>10</v>
      </c>
      <c r="B44" s="479"/>
      <c r="C44" s="472" t="s">
        <v>4748</v>
      </c>
      <c r="D44" s="472" t="s">
        <v>100</v>
      </c>
      <c r="E44" s="449"/>
      <c r="F44" s="472" t="s">
        <v>62</v>
      </c>
      <c r="G44" s="458" t="str">
        <f>IF(_xlfn.XLOOKUP(C44,'[35]Before Award'!D:D,'[35]Before Award'!AV:AV,"N/A")="N/A","N","Y")</f>
        <v>N</v>
      </c>
      <c r="H44" s="449"/>
      <c r="I44" s="212" t="s">
        <v>6</v>
      </c>
      <c r="J44" s="214" t="s">
        <v>4732</v>
      </c>
      <c r="K44" s="215">
        <v>46162</v>
      </c>
      <c r="L44" s="215">
        <v>46163</v>
      </c>
      <c r="M44" s="215">
        <v>46168</v>
      </c>
      <c r="N44" s="215">
        <v>46169</v>
      </c>
      <c r="O44" s="215">
        <v>46174</v>
      </c>
      <c r="P44" s="216">
        <f>U44-L44</f>
        <v>71</v>
      </c>
      <c r="Q44" s="217"/>
      <c r="R44" s="215">
        <v>46188</v>
      </c>
      <c r="S44" s="215">
        <v>46216</v>
      </c>
      <c r="T44" s="215">
        <v>46219</v>
      </c>
      <c r="U44" s="215">
        <v>46234</v>
      </c>
      <c r="V44" s="215">
        <v>46241</v>
      </c>
      <c r="W44" s="218">
        <v>26</v>
      </c>
      <c r="X44" s="215">
        <v>46416</v>
      </c>
      <c r="Y44" s="448">
        <f>W44*7</f>
        <v>182</v>
      </c>
      <c r="Z44" s="443">
        <v>46416</v>
      </c>
      <c r="AA44" s="443">
        <v>46416</v>
      </c>
      <c r="AB44" s="442">
        <f>Z44-X45</f>
        <v>0</v>
      </c>
      <c r="AC44" s="242">
        <f>IF(ISERROR(LOOKUP(AC$16,$L44:$X44,#REF!)),0,(LOOKUP(AC$16,$L44:$X44,#REF!)))</f>
        <v>0</v>
      </c>
      <c r="AD44" s="243">
        <f>IF(ISERROR(LOOKUP(AD$16,$L44:$X44,#REF!)),0,(LOOKUP(AD$16,$L44:$X44,#REF!)))</f>
        <v>0</v>
      </c>
      <c r="AE44" s="243">
        <f>IF(ISERROR(LOOKUP(AE$16,$L44:$X44,#REF!)),0,(LOOKUP(AE$16,$L44:$X44,#REF!)))</f>
        <v>0</v>
      </c>
      <c r="AF44" s="243">
        <f>IF(ISERROR(LOOKUP(AF$16,$L44:$X44,#REF!)),0,(LOOKUP(AF$16,$L44:$X44,#REF!)))</f>
        <v>0</v>
      </c>
      <c r="AG44" s="243">
        <f>IF(ISERROR(LOOKUP(AG$16,$L44:$X44,#REF!)),0,(LOOKUP(AG$16,$L44:$X44,#REF!)))</f>
        <v>0</v>
      </c>
      <c r="AH44" s="243">
        <f>IF(ISERROR(LOOKUP(AH$16,$L44:$X44,#REF!)),0,(LOOKUP(AH$16,$L44:$X44,#REF!)))</f>
        <v>0</v>
      </c>
      <c r="AI44" s="243">
        <f>IF(ISERROR(LOOKUP(AI$16,$L44:$X44,#REF!)),0,(LOOKUP(AI$16,$L44:$X44,#REF!)))</f>
        <v>0</v>
      </c>
      <c r="AJ44" s="243">
        <f>IF(ISERROR(LOOKUP(AJ$16,$L44:$X44,#REF!)),0,(LOOKUP(AJ$16,$L44:$X44,#REF!)))</f>
        <v>0</v>
      </c>
      <c r="AK44" s="243">
        <f>IF(ISERROR(LOOKUP(AK$16,$L44:$X44,#REF!)),0,(LOOKUP(AK$16,$L44:$X44,#REF!)))</f>
        <v>0</v>
      </c>
      <c r="AL44" s="243">
        <f>IF(ISERROR(LOOKUP(AL$16,$L44:$X44,#REF!)),0,(LOOKUP(AL$16,$L44:$X44,#REF!)))</f>
        <v>0</v>
      </c>
      <c r="AM44" s="243">
        <f ca="1">IF(ISERROR(LOOKUP(AM$16,$L44:$X44,#REF!)),0,(LOOKUP(AM$16,$L44:$X44,#REF!)))</f>
        <v>0</v>
      </c>
      <c r="AO44" s="166">
        <f t="shared" si="0"/>
        <v>15</v>
      </c>
      <c r="AP44" s="215">
        <v>46223</v>
      </c>
      <c r="AQ44" s="215">
        <v>46227</v>
      </c>
      <c r="AR44" s="215">
        <v>46227</v>
      </c>
      <c r="AS44" s="440">
        <v>14</v>
      </c>
      <c r="AW44" s="244" t="e">
        <v>#REF!</v>
      </c>
    </row>
    <row r="45" spans="1:49" s="168" customFormat="1" ht="18.600000000000001" customHeight="1">
      <c r="A45" s="483"/>
      <c r="B45" s="480"/>
      <c r="C45" s="472" t="str">
        <f>C44</f>
        <v>RFQ-010</v>
      </c>
      <c r="D45" s="472" t="str">
        <f>D44</f>
        <v>Skim Tank Vessel</v>
      </c>
      <c r="E45" s="450"/>
      <c r="F45" s="472"/>
      <c r="G45" s="458" t="str">
        <f>G44</f>
        <v>N</v>
      </c>
      <c r="H45" s="450"/>
      <c r="I45" s="212" t="str">
        <f>I44</f>
        <v>LA</v>
      </c>
      <c r="J45" s="214" t="s">
        <v>68</v>
      </c>
      <c r="K45" s="215">
        <v>46162</v>
      </c>
      <c r="L45" s="215">
        <v>46163</v>
      </c>
      <c r="M45" s="215">
        <v>46168</v>
      </c>
      <c r="N45" s="215">
        <v>46169</v>
      </c>
      <c r="O45" s="215">
        <v>46174</v>
      </c>
      <c r="P45" s="216"/>
      <c r="Q45" s="217"/>
      <c r="R45" s="215">
        <v>46188</v>
      </c>
      <c r="S45" s="215">
        <v>46216</v>
      </c>
      <c r="T45" s="215">
        <v>46219</v>
      </c>
      <c r="U45" s="215">
        <v>46234</v>
      </c>
      <c r="V45" s="215">
        <v>46241</v>
      </c>
      <c r="W45" s="218"/>
      <c r="X45" s="215">
        <v>46416</v>
      </c>
      <c r="Y45" s="448"/>
      <c r="Z45" s="443"/>
      <c r="AA45" s="443"/>
      <c r="AB45" s="442"/>
      <c r="AC45" s="242">
        <f>IF(ISERROR(LOOKUP(AC$16,$L45:$X45,#REF!)),0,(LOOKUP(AC$16,$L45:$X45,#REF!)))</f>
        <v>0</v>
      </c>
      <c r="AD45" s="243">
        <f>IF(ISERROR(LOOKUP(AD$16,$L45:$X45,#REF!)),0,(LOOKUP(AD$16,$L45:$X45,#REF!)))</f>
        <v>0</v>
      </c>
      <c r="AE45" s="243">
        <f>IF(ISERROR(LOOKUP(AE$16,$L45:$X45,#REF!)),0,(LOOKUP(AE$16,$L45:$X45,#REF!)))</f>
        <v>0</v>
      </c>
      <c r="AF45" s="243">
        <f>IF(ISERROR(LOOKUP(AF$16,$L45:$X45,#REF!)),0,(LOOKUP(AF$16,$L45:$X45,#REF!)))</f>
        <v>0</v>
      </c>
      <c r="AG45" s="243">
        <f>IF(ISERROR(LOOKUP(AG$16,$L45:$X45,#REF!)),0,(LOOKUP(AG$16,$L45:$X45,#REF!)))</f>
        <v>0</v>
      </c>
      <c r="AH45" s="243">
        <f>IF(ISERROR(LOOKUP(AH$16,$L45:$X45,#REF!)),0,(LOOKUP(AH$16,$L45:$X45,#REF!)))</f>
        <v>0</v>
      </c>
      <c r="AI45" s="243">
        <f>IF(ISERROR(LOOKUP(AI$16,$L45:$X45,#REF!)),0,(LOOKUP(AI$16,$L45:$X45,#REF!)))</f>
        <v>0</v>
      </c>
      <c r="AJ45" s="243">
        <f>IF(ISERROR(LOOKUP(AJ$16,$L45:$X45,#REF!)),0,(LOOKUP(AJ$16,$L45:$X45,#REF!)))</f>
        <v>0</v>
      </c>
      <c r="AK45" s="243">
        <f>IF(ISERROR(LOOKUP(AK$16,$L45:$X45,#REF!)),0,(LOOKUP(AK$16,$L45:$X45,#REF!)))</f>
        <v>0</v>
      </c>
      <c r="AL45" s="243">
        <f>IF(ISERROR(LOOKUP(AL$16,$L45:$X45,#REF!)),0,(LOOKUP(AL$16,$L45:$X45,#REF!)))</f>
        <v>0</v>
      </c>
      <c r="AM45" s="243">
        <f ca="1">IF(ISERROR(LOOKUP(AM$16,$L45:$X45,#REF!)),0,(LOOKUP(AM$16,$L45:$X45,#REF!)))</f>
        <v>0</v>
      </c>
      <c r="AO45" s="166">
        <f t="shared" si="0"/>
        <v>15</v>
      </c>
      <c r="AP45" s="215">
        <v>46223</v>
      </c>
      <c r="AQ45" s="215">
        <v>46227</v>
      </c>
      <c r="AR45" s="215">
        <v>46234</v>
      </c>
      <c r="AS45" s="440"/>
      <c r="AW45" s="244" t="e">
        <v>#REF!</v>
      </c>
    </row>
    <row r="46" spans="1:49" s="168" customFormat="1" ht="18.600000000000001" customHeight="1">
      <c r="A46" s="483"/>
      <c r="B46" s="481"/>
      <c r="C46" s="473" t="str">
        <f>C44</f>
        <v>RFQ-010</v>
      </c>
      <c r="D46" s="473" t="str">
        <f>D44</f>
        <v>Skim Tank Vessel</v>
      </c>
      <c r="E46" s="451"/>
      <c r="F46" s="473"/>
      <c r="G46" s="458" t="str">
        <f>G44</f>
        <v>N</v>
      </c>
      <c r="H46" s="451"/>
      <c r="I46" s="212" t="str">
        <f>I44</f>
        <v>LA</v>
      </c>
      <c r="J46" s="214" t="s">
        <v>70</v>
      </c>
      <c r="K46" s="212"/>
      <c r="L46" s="212"/>
      <c r="M46" s="212"/>
      <c r="N46" s="212"/>
      <c r="O46" s="212"/>
      <c r="P46" s="226"/>
      <c r="Q46" s="227"/>
      <c r="R46" s="212"/>
      <c r="S46" s="212"/>
      <c r="T46" s="212"/>
      <c r="U46" s="212"/>
      <c r="V46" s="212"/>
      <c r="W46" s="228"/>
      <c r="X46" s="212"/>
      <c r="Y46" s="448"/>
      <c r="Z46" s="443"/>
      <c r="AA46" s="443"/>
      <c r="AB46" s="442"/>
      <c r="AC46" s="246">
        <f>IF(ISERROR(LOOKUP(AC$16,$L46:$X46,#REF!)),0,(LOOKUP(AC$16,$L46:$X46,#REF!)))</f>
        <v>0</v>
      </c>
      <c r="AD46" s="247">
        <f>IF(ISERROR(LOOKUP(AD$16,$L46:$X46,#REF!)),0,(LOOKUP(AD$16,$L46:$X46,#REF!)))</f>
        <v>0</v>
      </c>
      <c r="AE46" s="247">
        <f>IF(ISERROR(LOOKUP(AE$16,$L46:$X46,#REF!)),0,(LOOKUP(AE$16,$L46:$X46,#REF!)))</f>
        <v>0</v>
      </c>
      <c r="AF46" s="247">
        <f>IF(ISERROR(LOOKUP(AF$16,$L46:$X46,#REF!)),0,(LOOKUP(AF$16,$L46:$X46,#REF!)))</f>
        <v>0</v>
      </c>
      <c r="AG46" s="247">
        <f>IF(ISERROR(LOOKUP(AG$16,$L46:$X46,#REF!)),0,(LOOKUP(AG$16,$L46:$X46,#REF!)))</f>
        <v>0</v>
      </c>
      <c r="AH46" s="247">
        <f>IF(ISERROR(LOOKUP(AH$16,$L46:$X46,#REF!)),0,(LOOKUP(AH$16,$L46:$X46,#REF!)))</f>
        <v>0</v>
      </c>
      <c r="AI46" s="247">
        <f>IF(ISERROR(LOOKUP(AI$16,$L46:$X46,#REF!)),0,(LOOKUP(AI$16,$L46:$X46,#REF!)))</f>
        <v>0</v>
      </c>
      <c r="AJ46" s="247">
        <f>IF(ISERROR(LOOKUP(AJ$16,$L46:$X46,#REF!)),0,(LOOKUP(AJ$16,$L46:$X46,#REF!)))</f>
        <v>0</v>
      </c>
      <c r="AK46" s="247">
        <f>IF(ISERROR(LOOKUP(AK$16,$L46:$X46,#REF!)),0,(LOOKUP(AK$16,$L46:$X46,#REF!)))</f>
        <v>0</v>
      </c>
      <c r="AL46" s="247">
        <f>IF(ISERROR(LOOKUP(AL$16,$L46:$X46,#REF!)),0,(LOOKUP(AL$16,$L46:$X46,#REF!)))</f>
        <v>0</v>
      </c>
      <c r="AM46" s="247">
        <f ca="1">IF(ISERROR(LOOKUP(AM$16,$L46:$X46,#REF!)),0,(LOOKUP(AM$16,$L46:$X46,#REF!)))</f>
        <v>0</v>
      </c>
      <c r="AO46" s="166">
        <f t="shared" si="0"/>
        <v>0</v>
      </c>
      <c r="AP46" s="212"/>
      <c r="AQ46" s="212"/>
      <c r="AR46" s="212"/>
      <c r="AS46" s="440"/>
      <c r="AW46" s="244" t="e">
        <v>#REF!</v>
      </c>
    </row>
    <row r="47" spans="1:49" s="168" customFormat="1" ht="18.600000000000001" customHeight="1">
      <c r="A47" s="483">
        <f>A44+1</f>
        <v>11</v>
      </c>
      <c r="B47" s="479"/>
      <c r="C47" s="472" t="s">
        <v>4749</v>
      </c>
      <c r="D47" s="472" t="s">
        <v>103</v>
      </c>
      <c r="E47" s="449"/>
      <c r="F47" s="472" t="s">
        <v>62</v>
      </c>
      <c r="G47" s="458" t="s">
        <v>67</v>
      </c>
      <c r="H47" s="449"/>
      <c r="I47" s="212" t="s">
        <v>6</v>
      </c>
      <c r="J47" s="214" t="s">
        <v>4732</v>
      </c>
      <c r="K47" s="215">
        <v>46183</v>
      </c>
      <c r="L47" s="215">
        <v>46184</v>
      </c>
      <c r="M47" s="215">
        <v>46189</v>
      </c>
      <c r="N47" s="215">
        <v>46190</v>
      </c>
      <c r="O47" s="215">
        <v>46195</v>
      </c>
      <c r="P47" s="216">
        <f>U47-L47</f>
        <v>71</v>
      </c>
      <c r="Q47" s="217"/>
      <c r="R47" s="215">
        <v>46209</v>
      </c>
      <c r="S47" s="215">
        <v>46237</v>
      </c>
      <c r="T47" s="215">
        <v>46240</v>
      </c>
      <c r="U47" s="215">
        <v>46255</v>
      </c>
      <c r="V47" s="215">
        <v>46262</v>
      </c>
      <c r="W47" s="218">
        <v>26</v>
      </c>
      <c r="X47" s="215">
        <v>46437</v>
      </c>
      <c r="Y47" s="448">
        <f>W47*7</f>
        <v>182</v>
      </c>
      <c r="Z47" s="443">
        <v>46437</v>
      </c>
      <c r="AA47" s="443">
        <v>46386</v>
      </c>
      <c r="AB47" s="442">
        <f>Z47-X48</f>
        <v>0</v>
      </c>
      <c r="AC47" s="242">
        <f>IF(ISERROR(LOOKUP(AC$16,$L47:$X47,#REF!)),0,(LOOKUP(AC$16,$L47:$X47,#REF!)))</f>
        <v>0</v>
      </c>
      <c r="AD47" s="243">
        <f>IF(ISERROR(LOOKUP(AD$16,$L47:$X47,#REF!)),0,(LOOKUP(AD$16,$L47:$X47,#REF!)))</f>
        <v>0</v>
      </c>
      <c r="AE47" s="243">
        <f>IF(ISERROR(LOOKUP(AE$16,$L47:$X47,#REF!)),0,(LOOKUP(AE$16,$L47:$X47,#REF!)))</f>
        <v>0</v>
      </c>
      <c r="AF47" s="243">
        <f>IF(ISERROR(LOOKUP(AF$16,$L47:$X47,#REF!)),0,(LOOKUP(AF$16,$L47:$X47,#REF!)))</f>
        <v>0</v>
      </c>
      <c r="AG47" s="243">
        <f>IF(ISERROR(LOOKUP(AG$16,$L47:$X47,#REF!)),0,(LOOKUP(AG$16,$L47:$X47,#REF!)))</f>
        <v>0</v>
      </c>
      <c r="AH47" s="243">
        <f>IF(ISERROR(LOOKUP(AH$16,$L47:$X47,#REF!)),0,(LOOKUP(AH$16,$L47:$X47,#REF!)))</f>
        <v>0</v>
      </c>
      <c r="AI47" s="243">
        <f>IF(ISERROR(LOOKUP(AI$16,$L47:$X47,#REF!)),0,(LOOKUP(AI$16,$L47:$X47,#REF!)))</f>
        <v>0</v>
      </c>
      <c r="AJ47" s="243">
        <f>IF(ISERROR(LOOKUP(AJ$16,$L47:$X47,#REF!)),0,(LOOKUP(AJ$16,$L47:$X47,#REF!)))</f>
        <v>0</v>
      </c>
      <c r="AK47" s="243">
        <f>IF(ISERROR(LOOKUP(AK$16,$L47:$X47,#REF!)),0,(LOOKUP(AK$16,$L47:$X47,#REF!)))</f>
        <v>0</v>
      </c>
      <c r="AL47" s="243">
        <f>IF(ISERROR(LOOKUP(AL$16,$L47:$X47,#REF!)),0,(LOOKUP(AL$16,$L47:$X47,#REF!)))</f>
        <v>0</v>
      </c>
      <c r="AM47" s="243">
        <f ca="1">IF(ISERROR(LOOKUP(AM$16,$L47:$X47,#REF!)),0,(LOOKUP(AM$16,$L47:$X47,#REF!)))</f>
        <v>0</v>
      </c>
      <c r="AO47" s="166">
        <f t="shared" si="0"/>
        <v>15</v>
      </c>
      <c r="AP47" s="215">
        <v>46244</v>
      </c>
      <c r="AQ47" s="215">
        <v>46248</v>
      </c>
      <c r="AR47" s="215">
        <v>46248</v>
      </c>
      <c r="AS47" s="440">
        <v>14</v>
      </c>
      <c r="AW47" s="244" t="e">
        <v>#REF!</v>
      </c>
    </row>
    <row r="48" spans="1:49" s="168" customFormat="1" ht="18.600000000000001" customHeight="1">
      <c r="A48" s="483"/>
      <c r="B48" s="480"/>
      <c r="C48" s="472" t="str">
        <f>C47</f>
        <v>RFQ-011</v>
      </c>
      <c r="D48" s="472" t="str">
        <f>D47</f>
        <v>Closed Drain Sump Vessel</v>
      </c>
      <c r="E48" s="450"/>
      <c r="F48" s="472"/>
      <c r="G48" s="458" t="str">
        <f>G47</f>
        <v>Y</v>
      </c>
      <c r="H48" s="450"/>
      <c r="I48" s="212" t="str">
        <f>I47</f>
        <v>LA</v>
      </c>
      <c r="J48" s="214" t="s">
        <v>68</v>
      </c>
      <c r="K48" s="215">
        <v>46183</v>
      </c>
      <c r="L48" s="215">
        <v>46184</v>
      </c>
      <c r="M48" s="215">
        <v>46189</v>
      </c>
      <c r="N48" s="215">
        <v>46190</v>
      </c>
      <c r="O48" s="215">
        <v>46195</v>
      </c>
      <c r="P48" s="216"/>
      <c r="Q48" s="217"/>
      <c r="R48" s="215">
        <v>46209</v>
      </c>
      <c r="S48" s="215">
        <v>46237</v>
      </c>
      <c r="T48" s="215">
        <v>46240</v>
      </c>
      <c r="U48" s="215">
        <v>46255</v>
      </c>
      <c r="V48" s="215">
        <v>46262</v>
      </c>
      <c r="W48" s="218"/>
      <c r="X48" s="215">
        <v>46437</v>
      </c>
      <c r="Y48" s="448"/>
      <c r="Z48" s="443"/>
      <c r="AA48" s="443"/>
      <c r="AB48" s="442"/>
      <c r="AC48" s="242">
        <f>IF(ISERROR(LOOKUP(AC$16,$L48:$X48,#REF!)),0,(LOOKUP(AC$16,$L48:$X48,#REF!)))</f>
        <v>0</v>
      </c>
      <c r="AD48" s="243">
        <f>IF(ISERROR(LOOKUP(AD$16,$L48:$X48,#REF!)),0,(LOOKUP(AD$16,$L48:$X48,#REF!)))</f>
        <v>0</v>
      </c>
      <c r="AE48" s="243">
        <f>IF(ISERROR(LOOKUP(AE$16,$L48:$X48,#REF!)),0,(LOOKUP(AE$16,$L48:$X48,#REF!)))</f>
        <v>0</v>
      </c>
      <c r="AF48" s="243">
        <f>IF(ISERROR(LOOKUP(AF$16,$L48:$X48,#REF!)),0,(LOOKUP(AF$16,$L48:$X48,#REF!)))</f>
        <v>0</v>
      </c>
      <c r="AG48" s="243">
        <f>IF(ISERROR(LOOKUP(AG$16,$L48:$X48,#REF!)),0,(LOOKUP(AG$16,$L48:$X48,#REF!)))</f>
        <v>0</v>
      </c>
      <c r="AH48" s="243">
        <f>IF(ISERROR(LOOKUP(AH$16,$L48:$X48,#REF!)),0,(LOOKUP(AH$16,$L48:$X48,#REF!)))</f>
        <v>0</v>
      </c>
      <c r="AI48" s="243">
        <f>IF(ISERROR(LOOKUP(AI$16,$L48:$X48,#REF!)),0,(LOOKUP(AI$16,$L48:$X48,#REF!)))</f>
        <v>0</v>
      </c>
      <c r="AJ48" s="243">
        <f>IF(ISERROR(LOOKUP(AJ$16,$L48:$X48,#REF!)),0,(LOOKUP(AJ$16,$L48:$X48,#REF!)))</f>
        <v>0</v>
      </c>
      <c r="AK48" s="243">
        <f>IF(ISERROR(LOOKUP(AK$16,$L48:$X48,#REF!)),0,(LOOKUP(AK$16,$L48:$X48,#REF!)))</f>
        <v>0</v>
      </c>
      <c r="AL48" s="243">
        <f>IF(ISERROR(LOOKUP(AL$16,$L48:$X48,#REF!)),0,(LOOKUP(AL$16,$L48:$X48,#REF!)))</f>
        <v>0</v>
      </c>
      <c r="AM48" s="243">
        <f ca="1">IF(ISERROR(LOOKUP(AM$16,$L48:$X48,#REF!)),0,(LOOKUP(AM$16,$L48:$X48,#REF!)))</f>
        <v>0</v>
      </c>
      <c r="AO48" s="166">
        <f t="shared" si="0"/>
        <v>15</v>
      </c>
      <c r="AP48" s="215">
        <v>46244</v>
      </c>
      <c r="AQ48" s="215">
        <v>46248</v>
      </c>
      <c r="AR48" s="215">
        <v>46255</v>
      </c>
      <c r="AS48" s="440"/>
      <c r="AW48" s="244" t="e">
        <v>#REF!</v>
      </c>
    </row>
    <row r="49" spans="1:49" s="168" customFormat="1" ht="18.600000000000001" customHeight="1">
      <c r="A49" s="483"/>
      <c r="B49" s="481"/>
      <c r="C49" s="473" t="str">
        <f>C47</f>
        <v>RFQ-011</v>
      </c>
      <c r="D49" s="473" t="str">
        <f>D47</f>
        <v>Closed Drain Sump Vessel</v>
      </c>
      <c r="E49" s="451"/>
      <c r="F49" s="473"/>
      <c r="G49" s="458" t="str">
        <f>G47</f>
        <v>Y</v>
      </c>
      <c r="H49" s="451"/>
      <c r="I49" s="212" t="str">
        <f>I47</f>
        <v>LA</v>
      </c>
      <c r="J49" s="214" t="s">
        <v>70</v>
      </c>
      <c r="K49" s="212"/>
      <c r="L49" s="212"/>
      <c r="M49" s="212"/>
      <c r="N49" s="212"/>
      <c r="O49" s="212"/>
      <c r="P49" s="226"/>
      <c r="Q49" s="227"/>
      <c r="R49" s="212"/>
      <c r="S49" s="212"/>
      <c r="T49" s="212"/>
      <c r="U49" s="212"/>
      <c r="V49" s="212"/>
      <c r="W49" s="228"/>
      <c r="X49" s="212"/>
      <c r="Y49" s="448"/>
      <c r="Z49" s="443"/>
      <c r="AA49" s="443"/>
      <c r="AB49" s="442"/>
      <c r="AC49" s="246">
        <f>IF(ISERROR(LOOKUP(AC$16,$L49:$X49,#REF!)),0,(LOOKUP(AC$16,$L49:$X49,#REF!)))</f>
        <v>0</v>
      </c>
      <c r="AD49" s="247">
        <f>IF(ISERROR(LOOKUP(AD$16,$L49:$X49,#REF!)),0,(LOOKUP(AD$16,$L49:$X49,#REF!)))</f>
        <v>0</v>
      </c>
      <c r="AE49" s="247">
        <f>IF(ISERROR(LOOKUP(AE$16,$L49:$X49,#REF!)),0,(LOOKUP(AE$16,$L49:$X49,#REF!)))</f>
        <v>0</v>
      </c>
      <c r="AF49" s="247">
        <f>IF(ISERROR(LOOKUP(AF$16,$L49:$X49,#REF!)),0,(LOOKUP(AF$16,$L49:$X49,#REF!)))</f>
        <v>0</v>
      </c>
      <c r="AG49" s="247">
        <f>IF(ISERROR(LOOKUP(AG$16,$L49:$X49,#REF!)),0,(LOOKUP(AG$16,$L49:$X49,#REF!)))</f>
        <v>0</v>
      </c>
      <c r="AH49" s="247">
        <f>IF(ISERROR(LOOKUP(AH$16,$L49:$X49,#REF!)),0,(LOOKUP(AH$16,$L49:$X49,#REF!)))</f>
        <v>0</v>
      </c>
      <c r="AI49" s="247">
        <f>IF(ISERROR(LOOKUP(AI$16,$L49:$X49,#REF!)),0,(LOOKUP(AI$16,$L49:$X49,#REF!)))</f>
        <v>0</v>
      </c>
      <c r="AJ49" s="247">
        <f>IF(ISERROR(LOOKUP(AJ$16,$L49:$X49,#REF!)),0,(LOOKUP(AJ$16,$L49:$X49,#REF!)))</f>
        <v>0</v>
      </c>
      <c r="AK49" s="247">
        <f>IF(ISERROR(LOOKUP(AK$16,$L49:$X49,#REF!)),0,(LOOKUP(AK$16,$L49:$X49,#REF!)))</f>
        <v>0</v>
      </c>
      <c r="AL49" s="247">
        <f>IF(ISERROR(LOOKUP(AL$16,$L49:$X49,#REF!)),0,(LOOKUP(AL$16,$L49:$X49,#REF!)))</f>
        <v>0</v>
      </c>
      <c r="AM49" s="247">
        <f ca="1">IF(ISERROR(LOOKUP(AM$16,$L49:$X49,#REF!)),0,(LOOKUP(AM$16,$L49:$X49,#REF!)))</f>
        <v>0</v>
      </c>
      <c r="AO49" s="166">
        <f t="shared" si="0"/>
        <v>0</v>
      </c>
      <c r="AP49" s="212"/>
      <c r="AQ49" s="212"/>
      <c r="AR49" s="212"/>
      <c r="AS49" s="440"/>
      <c r="AW49" s="244" t="e">
        <v>#REF!</v>
      </c>
    </row>
    <row r="50" spans="1:49" s="168" customFormat="1" ht="18.600000000000001" customHeight="1">
      <c r="A50" s="483">
        <f>A47+1</f>
        <v>12</v>
      </c>
      <c r="B50" s="479"/>
      <c r="C50" s="472" t="s">
        <v>4750</v>
      </c>
      <c r="D50" s="472" t="s">
        <v>4751</v>
      </c>
      <c r="E50" s="241"/>
      <c r="F50" s="472" t="s">
        <v>62</v>
      </c>
      <c r="G50" s="458" t="str">
        <f>IF(_xlfn.XLOOKUP(C50,'[35]Before Award'!D:D,'[35]Before Award'!AV:AV,"N/A")="N/A","N","Y")</f>
        <v>N</v>
      </c>
      <c r="H50" s="449"/>
      <c r="I50" s="212" t="s">
        <v>6</v>
      </c>
      <c r="J50" s="214" t="s">
        <v>4732</v>
      </c>
      <c r="K50" s="215">
        <v>46204</v>
      </c>
      <c r="L50" s="215">
        <v>46205</v>
      </c>
      <c r="M50" s="215">
        <v>46210</v>
      </c>
      <c r="N50" s="215">
        <v>46211</v>
      </c>
      <c r="O50" s="215">
        <v>46216</v>
      </c>
      <c r="P50" s="216">
        <f>U50-L50</f>
        <v>71</v>
      </c>
      <c r="Q50" s="217"/>
      <c r="R50" s="215">
        <v>46230</v>
      </c>
      <c r="S50" s="215">
        <v>46258</v>
      </c>
      <c r="T50" s="215">
        <v>46261</v>
      </c>
      <c r="U50" s="215">
        <v>46276</v>
      </c>
      <c r="V50" s="215">
        <v>46283</v>
      </c>
      <c r="W50" s="218">
        <v>20</v>
      </c>
      <c r="X50" s="215">
        <v>46416</v>
      </c>
      <c r="Y50" s="448">
        <f>W50*7</f>
        <v>140</v>
      </c>
      <c r="Z50" s="443">
        <v>46416</v>
      </c>
      <c r="AA50" s="443">
        <v>46416</v>
      </c>
      <c r="AB50" s="442">
        <f>Z50-X51</f>
        <v>0</v>
      </c>
      <c r="AC50" s="242">
        <f>IF(ISERROR(LOOKUP(AC$16,$L50:$X50,#REF!)),0,(LOOKUP(AC$16,$L50:$X50,#REF!)))</f>
        <v>0</v>
      </c>
      <c r="AD50" s="243">
        <f>IF(ISERROR(LOOKUP(AD$16,$L50:$X50,#REF!)),0,(LOOKUP(AD$16,$L50:$X50,#REF!)))</f>
        <v>0</v>
      </c>
      <c r="AE50" s="243">
        <f>IF(ISERROR(LOOKUP(AE$16,$L50:$X50,#REF!)),0,(LOOKUP(AE$16,$L50:$X50,#REF!)))</f>
        <v>0</v>
      </c>
      <c r="AF50" s="243">
        <f>IF(ISERROR(LOOKUP(AF$16,$L50:$X50,#REF!)),0,(LOOKUP(AF$16,$L50:$X50,#REF!)))</f>
        <v>0</v>
      </c>
      <c r="AG50" s="243">
        <f>IF(ISERROR(LOOKUP(AG$16,$L50:$X50,#REF!)),0,(LOOKUP(AG$16,$L50:$X50,#REF!)))</f>
        <v>0</v>
      </c>
      <c r="AH50" s="243">
        <f>IF(ISERROR(LOOKUP(AH$16,$L50:$X50,#REF!)),0,(LOOKUP(AH$16,$L50:$X50,#REF!)))</f>
        <v>0</v>
      </c>
      <c r="AI50" s="243">
        <f>IF(ISERROR(LOOKUP(AI$16,$L50:$X50,#REF!)),0,(LOOKUP(AI$16,$L50:$X50,#REF!)))</f>
        <v>0</v>
      </c>
      <c r="AJ50" s="243">
        <f>IF(ISERROR(LOOKUP(AJ$16,$L50:$X50,#REF!)),0,(LOOKUP(AJ$16,$L50:$X50,#REF!)))</f>
        <v>0</v>
      </c>
      <c r="AK50" s="243">
        <f>IF(ISERROR(LOOKUP(AK$16,$L50:$X50,#REF!)),0,(LOOKUP(AK$16,$L50:$X50,#REF!)))</f>
        <v>0</v>
      </c>
      <c r="AL50" s="243">
        <f>IF(ISERROR(LOOKUP(AL$16,$L50:$X50,#REF!)),0,(LOOKUP(AL$16,$L50:$X50,#REF!)))</f>
        <v>0</v>
      </c>
      <c r="AM50" s="243">
        <f ca="1">IF(ISERROR(LOOKUP(AM$16,$L50:$X50,#REF!)),0,(LOOKUP(AM$16,$L50:$X50,#REF!)))</f>
        <v>0</v>
      </c>
      <c r="AO50" s="166">
        <f t="shared" si="0"/>
        <v>15</v>
      </c>
      <c r="AP50" s="215">
        <v>46265</v>
      </c>
      <c r="AQ50" s="215">
        <v>46269</v>
      </c>
      <c r="AR50" s="215">
        <v>46269</v>
      </c>
      <c r="AS50" s="440">
        <v>14</v>
      </c>
      <c r="AW50" s="244" t="e">
        <v>#REF!</v>
      </c>
    </row>
    <row r="51" spans="1:49" s="168" customFormat="1" ht="18.600000000000001" customHeight="1">
      <c r="A51" s="483"/>
      <c r="B51" s="480"/>
      <c r="C51" s="472" t="str">
        <f>C50</f>
        <v>RFQ-012</v>
      </c>
      <c r="D51" s="472" t="str">
        <f>D50</f>
        <v>Storage Tote Tank</v>
      </c>
      <c r="E51" s="241"/>
      <c r="F51" s="472"/>
      <c r="G51" s="458" t="str">
        <f>G50</f>
        <v>N</v>
      </c>
      <c r="H51" s="450"/>
      <c r="I51" s="212" t="str">
        <f>I50</f>
        <v>LA</v>
      </c>
      <c r="J51" s="214" t="s">
        <v>68</v>
      </c>
      <c r="K51" s="215">
        <v>46204</v>
      </c>
      <c r="L51" s="215">
        <v>46205</v>
      </c>
      <c r="M51" s="215">
        <v>46210</v>
      </c>
      <c r="N51" s="215">
        <v>46211</v>
      </c>
      <c r="O51" s="215">
        <v>46216</v>
      </c>
      <c r="P51" s="216"/>
      <c r="Q51" s="217"/>
      <c r="R51" s="215">
        <v>46230</v>
      </c>
      <c r="S51" s="215">
        <v>46258</v>
      </c>
      <c r="T51" s="215">
        <v>46261</v>
      </c>
      <c r="U51" s="215">
        <v>46276</v>
      </c>
      <c r="V51" s="215">
        <v>46283</v>
      </c>
      <c r="W51" s="218"/>
      <c r="X51" s="215">
        <v>46416</v>
      </c>
      <c r="Y51" s="448"/>
      <c r="Z51" s="443"/>
      <c r="AA51" s="443"/>
      <c r="AB51" s="442"/>
      <c r="AC51" s="242">
        <f>IF(ISERROR(LOOKUP(AC$16,$L51:$X51,#REF!)),0,(LOOKUP(AC$16,$L51:$X51,#REF!)))</f>
        <v>0</v>
      </c>
      <c r="AD51" s="243">
        <f>IF(ISERROR(LOOKUP(AD$16,$L51:$X51,#REF!)),0,(LOOKUP(AD$16,$L51:$X51,#REF!)))</f>
        <v>0</v>
      </c>
      <c r="AE51" s="243">
        <f>IF(ISERROR(LOOKUP(AE$16,$L51:$X51,#REF!)),0,(LOOKUP(AE$16,$L51:$X51,#REF!)))</f>
        <v>0</v>
      </c>
      <c r="AF51" s="243">
        <f>IF(ISERROR(LOOKUP(AF$16,$L51:$X51,#REF!)),0,(LOOKUP(AF$16,$L51:$X51,#REF!)))</f>
        <v>0</v>
      </c>
      <c r="AG51" s="243">
        <f>IF(ISERROR(LOOKUP(AG$16,$L51:$X51,#REF!)),0,(LOOKUP(AG$16,$L51:$X51,#REF!)))</f>
        <v>0</v>
      </c>
      <c r="AH51" s="243">
        <f>IF(ISERROR(LOOKUP(AH$16,$L51:$X51,#REF!)),0,(LOOKUP(AH$16,$L51:$X51,#REF!)))</f>
        <v>0</v>
      </c>
      <c r="AI51" s="243">
        <f>IF(ISERROR(LOOKUP(AI$16,$L51:$X51,#REF!)),0,(LOOKUP(AI$16,$L51:$X51,#REF!)))</f>
        <v>0</v>
      </c>
      <c r="AJ51" s="243">
        <f>IF(ISERROR(LOOKUP(AJ$16,$L51:$X51,#REF!)),0,(LOOKUP(AJ$16,$L51:$X51,#REF!)))</f>
        <v>0</v>
      </c>
      <c r="AK51" s="243">
        <f>IF(ISERROR(LOOKUP(AK$16,$L51:$X51,#REF!)),0,(LOOKUP(AK$16,$L51:$X51,#REF!)))</f>
        <v>0</v>
      </c>
      <c r="AL51" s="243">
        <f>IF(ISERROR(LOOKUP(AL$16,$L51:$X51,#REF!)),0,(LOOKUP(AL$16,$L51:$X51,#REF!)))</f>
        <v>0</v>
      </c>
      <c r="AM51" s="243">
        <f ca="1">IF(ISERROR(LOOKUP(AM$16,$L51:$X51,#REF!)),0,(LOOKUP(AM$16,$L51:$X51,#REF!)))</f>
        <v>0</v>
      </c>
      <c r="AO51" s="166">
        <f t="shared" si="0"/>
        <v>15</v>
      </c>
      <c r="AP51" s="215">
        <v>46265</v>
      </c>
      <c r="AQ51" s="215">
        <v>46269</v>
      </c>
      <c r="AR51" s="215">
        <v>46276</v>
      </c>
      <c r="AS51" s="440"/>
      <c r="AW51" s="244" t="e">
        <v>#REF!</v>
      </c>
    </row>
    <row r="52" spans="1:49" s="168" customFormat="1" ht="18.600000000000001" customHeight="1">
      <c r="A52" s="483"/>
      <c r="B52" s="481"/>
      <c r="C52" s="473" t="str">
        <f>C50</f>
        <v>RFQ-012</v>
      </c>
      <c r="D52" s="473" t="str">
        <f>D50</f>
        <v>Storage Tote Tank</v>
      </c>
      <c r="E52" s="245"/>
      <c r="F52" s="473"/>
      <c r="G52" s="458" t="str">
        <f>G50</f>
        <v>N</v>
      </c>
      <c r="H52" s="451"/>
      <c r="I52" s="212" t="str">
        <f>I50</f>
        <v>LA</v>
      </c>
      <c r="J52" s="214" t="s">
        <v>70</v>
      </c>
      <c r="K52" s="212"/>
      <c r="L52" s="212"/>
      <c r="M52" s="212"/>
      <c r="N52" s="212"/>
      <c r="O52" s="212"/>
      <c r="P52" s="226"/>
      <c r="Q52" s="227"/>
      <c r="R52" s="212"/>
      <c r="S52" s="212"/>
      <c r="T52" s="212"/>
      <c r="U52" s="212"/>
      <c r="V52" s="212"/>
      <c r="W52" s="228"/>
      <c r="X52" s="212"/>
      <c r="Y52" s="448"/>
      <c r="Z52" s="443"/>
      <c r="AA52" s="443"/>
      <c r="AB52" s="442"/>
      <c r="AC52" s="246">
        <f>IF(ISERROR(LOOKUP(AC$16,$L52:$X52,#REF!)),0,(LOOKUP(AC$16,$L52:$X52,#REF!)))</f>
        <v>0</v>
      </c>
      <c r="AD52" s="247">
        <f>IF(ISERROR(LOOKUP(AD$16,$L52:$X52,#REF!)),0,(LOOKUP(AD$16,$L52:$X52,#REF!)))</f>
        <v>0</v>
      </c>
      <c r="AE52" s="247">
        <f>IF(ISERROR(LOOKUP(AE$16,$L52:$X52,#REF!)),0,(LOOKUP(AE$16,$L52:$X52,#REF!)))</f>
        <v>0</v>
      </c>
      <c r="AF52" s="247">
        <f>IF(ISERROR(LOOKUP(AF$16,$L52:$X52,#REF!)),0,(LOOKUP(AF$16,$L52:$X52,#REF!)))</f>
        <v>0</v>
      </c>
      <c r="AG52" s="247">
        <f>IF(ISERROR(LOOKUP(AG$16,$L52:$X52,#REF!)),0,(LOOKUP(AG$16,$L52:$X52,#REF!)))</f>
        <v>0</v>
      </c>
      <c r="AH52" s="247">
        <f>IF(ISERROR(LOOKUP(AH$16,$L52:$X52,#REF!)),0,(LOOKUP(AH$16,$L52:$X52,#REF!)))</f>
        <v>0</v>
      </c>
      <c r="AI52" s="247">
        <f>IF(ISERROR(LOOKUP(AI$16,$L52:$X52,#REF!)),0,(LOOKUP(AI$16,$L52:$X52,#REF!)))</f>
        <v>0</v>
      </c>
      <c r="AJ52" s="247">
        <f>IF(ISERROR(LOOKUP(AJ$16,$L52:$X52,#REF!)),0,(LOOKUP(AJ$16,$L52:$X52,#REF!)))</f>
        <v>0</v>
      </c>
      <c r="AK52" s="247">
        <f>IF(ISERROR(LOOKUP(AK$16,$L52:$X52,#REF!)),0,(LOOKUP(AK$16,$L52:$X52,#REF!)))</f>
        <v>0</v>
      </c>
      <c r="AL52" s="247">
        <f>IF(ISERROR(LOOKUP(AL$16,$L52:$X52,#REF!)),0,(LOOKUP(AL$16,$L52:$X52,#REF!)))</f>
        <v>0</v>
      </c>
      <c r="AM52" s="247">
        <f ca="1">IF(ISERROR(LOOKUP(AM$16,$L52:$X52,#REF!)),0,(LOOKUP(AM$16,$L52:$X52,#REF!)))</f>
        <v>0</v>
      </c>
      <c r="AO52" s="166">
        <f t="shared" si="0"/>
        <v>0</v>
      </c>
      <c r="AP52" s="212"/>
      <c r="AQ52" s="212"/>
      <c r="AR52" s="212"/>
      <c r="AS52" s="440"/>
      <c r="AW52" s="244" t="e">
        <v>#REF!</v>
      </c>
    </row>
    <row r="53" spans="1:49" s="168" customFormat="1" ht="18.600000000000001" customHeight="1">
      <c r="A53" s="483">
        <f>A50+1</f>
        <v>13</v>
      </c>
      <c r="B53" s="479"/>
      <c r="C53" s="472" t="s">
        <v>4752</v>
      </c>
      <c r="D53" s="472" t="s">
        <v>107</v>
      </c>
      <c r="E53" s="241"/>
      <c r="F53" s="472" t="s">
        <v>62</v>
      </c>
      <c r="G53" s="458" t="str">
        <f>IF(_xlfn.XLOOKUP(C53,'[35]Before Award'!D:D,'[35]Before Award'!AV:AV,"N/A")="N/A","N","Y")</f>
        <v>N</v>
      </c>
      <c r="H53" s="449"/>
      <c r="I53" s="212" t="s">
        <v>6</v>
      </c>
      <c r="J53" s="214" t="s">
        <v>4732</v>
      </c>
      <c r="K53" s="215">
        <v>46240</v>
      </c>
      <c r="L53" s="215">
        <v>46241</v>
      </c>
      <c r="M53" s="215">
        <v>46246</v>
      </c>
      <c r="N53" s="215">
        <v>46247</v>
      </c>
      <c r="O53" s="215">
        <v>46252</v>
      </c>
      <c r="P53" s="216">
        <f>U53-L53</f>
        <v>73</v>
      </c>
      <c r="Q53" s="217"/>
      <c r="R53" s="215">
        <v>46266</v>
      </c>
      <c r="S53" s="215">
        <v>46294</v>
      </c>
      <c r="T53" s="215">
        <v>46297</v>
      </c>
      <c r="U53" s="215">
        <v>46314</v>
      </c>
      <c r="V53" s="215">
        <v>46321</v>
      </c>
      <c r="W53" s="218">
        <v>20</v>
      </c>
      <c r="X53" s="215">
        <v>46454</v>
      </c>
      <c r="Y53" s="448">
        <f>W53*7</f>
        <v>140</v>
      </c>
      <c r="Z53" s="443">
        <v>46454</v>
      </c>
      <c r="AA53" s="443">
        <v>46416</v>
      </c>
      <c r="AB53" s="442">
        <f>Z53-X54</f>
        <v>0</v>
      </c>
      <c r="AC53" s="242">
        <f>IF(ISERROR(LOOKUP(AC$16,$L53:$X53,#REF!)),0,(LOOKUP(AC$16,$L53:$X53,#REF!)))</f>
        <v>0</v>
      </c>
      <c r="AD53" s="243">
        <f>IF(ISERROR(LOOKUP(AD$16,$L53:$X53,#REF!)),0,(LOOKUP(AD$16,$L53:$X53,#REF!)))</f>
        <v>0</v>
      </c>
      <c r="AE53" s="243">
        <f>IF(ISERROR(LOOKUP(AE$16,$L53:$X53,#REF!)),0,(LOOKUP(AE$16,$L53:$X53,#REF!)))</f>
        <v>0</v>
      </c>
      <c r="AF53" s="243">
        <f>IF(ISERROR(LOOKUP(AF$16,$L53:$X53,#REF!)),0,(LOOKUP(AF$16,$L53:$X53,#REF!)))</f>
        <v>0</v>
      </c>
      <c r="AG53" s="243">
        <f>IF(ISERROR(LOOKUP(AG$16,$L53:$X53,#REF!)),0,(LOOKUP(AG$16,$L53:$X53,#REF!)))</f>
        <v>0</v>
      </c>
      <c r="AH53" s="243">
        <f>IF(ISERROR(LOOKUP(AH$16,$L53:$X53,#REF!)),0,(LOOKUP(AH$16,$L53:$X53,#REF!)))</f>
        <v>0</v>
      </c>
      <c r="AI53" s="243">
        <f>IF(ISERROR(LOOKUP(AI$16,$L53:$X53,#REF!)),0,(LOOKUP(AI$16,$L53:$X53,#REF!)))</f>
        <v>0</v>
      </c>
      <c r="AJ53" s="243">
        <f>IF(ISERROR(LOOKUP(AJ$16,$L53:$X53,#REF!)),0,(LOOKUP(AJ$16,$L53:$X53,#REF!)))</f>
        <v>0</v>
      </c>
      <c r="AK53" s="243">
        <f>IF(ISERROR(LOOKUP(AK$16,$L53:$X53,#REF!)),0,(LOOKUP(AK$16,$L53:$X53,#REF!)))</f>
        <v>0</v>
      </c>
      <c r="AL53" s="243">
        <f>IF(ISERROR(LOOKUP(AL$16,$L53:$X53,#REF!)),0,(LOOKUP(AL$16,$L53:$X53,#REF!)))</f>
        <v>0</v>
      </c>
      <c r="AM53" s="243">
        <f ca="1">IF(ISERROR(LOOKUP(AM$16,$L53:$X53,#REF!)),0,(LOOKUP(AM$16,$L53:$X53,#REF!)))</f>
        <v>0</v>
      </c>
      <c r="AO53" s="166">
        <f t="shared" si="0"/>
        <v>17</v>
      </c>
      <c r="AP53" s="215">
        <v>46301</v>
      </c>
      <c r="AQ53" s="215">
        <v>46307</v>
      </c>
      <c r="AR53" s="215">
        <v>46307</v>
      </c>
      <c r="AS53" s="440">
        <v>14</v>
      </c>
      <c r="AW53" s="244" t="e">
        <v>#REF!</v>
      </c>
    </row>
    <row r="54" spans="1:49" s="168" customFormat="1" ht="18.600000000000001" customHeight="1">
      <c r="A54" s="483"/>
      <c r="B54" s="480"/>
      <c r="C54" s="472" t="str">
        <f>C53</f>
        <v>RFQ-013</v>
      </c>
      <c r="D54" s="472" t="str">
        <f>D53</f>
        <v>Storage Tank</v>
      </c>
      <c r="E54" s="241"/>
      <c r="F54" s="472"/>
      <c r="G54" s="458" t="str">
        <f>G53</f>
        <v>N</v>
      </c>
      <c r="H54" s="450"/>
      <c r="I54" s="212" t="str">
        <f>I53</f>
        <v>LA</v>
      </c>
      <c r="J54" s="214" t="s">
        <v>68</v>
      </c>
      <c r="K54" s="215">
        <v>46240</v>
      </c>
      <c r="L54" s="215">
        <v>46241</v>
      </c>
      <c r="M54" s="215">
        <v>46246</v>
      </c>
      <c r="N54" s="215">
        <v>46247</v>
      </c>
      <c r="O54" s="215">
        <v>46252</v>
      </c>
      <c r="P54" s="216"/>
      <c r="Q54" s="217"/>
      <c r="R54" s="215">
        <v>46266</v>
      </c>
      <c r="S54" s="215">
        <v>46294</v>
      </c>
      <c r="T54" s="215">
        <v>46297</v>
      </c>
      <c r="U54" s="215">
        <v>46314</v>
      </c>
      <c r="V54" s="215">
        <v>46321</v>
      </c>
      <c r="W54" s="218"/>
      <c r="X54" s="215">
        <v>46454</v>
      </c>
      <c r="Y54" s="448"/>
      <c r="Z54" s="443"/>
      <c r="AA54" s="443"/>
      <c r="AB54" s="442"/>
      <c r="AC54" s="242">
        <f>IF(ISERROR(LOOKUP(AC$16,$L54:$X54,#REF!)),0,(LOOKUP(AC$16,$L54:$X54,#REF!)))</f>
        <v>0</v>
      </c>
      <c r="AD54" s="243">
        <f>IF(ISERROR(LOOKUP(AD$16,$L54:$X54,#REF!)),0,(LOOKUP(AD$16,$L54:$X54,#REF!)))</f>
        <v>0</v>
      </c>
      <c r="AE54" s="243">
        <f>IF(ISERROR(LOOKUP(AE$16,$L54:$X54,#REF!)),0,(LOOKUP(AE$16,$L54:$X54,#REF!)))</f>
        <v>0</v>
      </c>
      <c r="AF54" s="243">
        <f>IF(ISERROR(LOOKUP(AF$16,$L54:$X54,#REF!)),0,(LOOKUP(AF$16,$L54:$X54,#REF!)))</f>
        <v>0</v>
      </c>
      <c r="AG54" s="243">
        <f>IF(ISERROR(LOOKUP(AG$16,$L54:$X54,#REF!)),0,(LOOKUP(AG$16,$L54:$X54,#REF!)))</f>
        <v>0</v>
      </c>
      <c r="AH54" s="243">
        <f>IF(ISERROR(LOOKUP(AH$16,$L54:$X54,#REF!)),0,(LOOKUP(AH$16,$L54:$X54,#REF!)))</f>
        <v>0</v>
      </c>
      <c r="AI54" s="243">
        <f>IF(ISERROR(LOOKUP(AI$16,$L54:$X54,#REF!)),0,(LOOKUP(AI$16,$L54:$X54,#REF!)))</f>
        <v>0</v>
      </c>
      <c r="AJ54" s="243">
        <f>IF(ISERROR(LOOKUP(AJ$16,$L54:$X54,#REF!)),0,(LOOKUP(AJ$16,$L54:$X54,#REF!)))</f>
        <v>0</v>
      </c>
      <c r="AK54" s="243">
        <f>IF(ISERROR(LOOKUP(AK$16,$L54:$X54,#REF!)),0,(LOOKUP(AK$16,$L54:$X54,#REF!)))</f>
        <v>0</v>
      </c>
      <c r="AL54" s="243">
        <f>IF(ISERROR(LOOKUP(AL$16,$L54:$X54,#REF!)),0,(LOOKUP(AL$16,$L54:$X54,#REF!)))</f>
        <v>0</v>
      </c>
      <c r="AM54" s="243">
        <f ca="1">IF(ISERROR(LOOKUP(AM$16,$L54:$X54,#REF!)),0,(LOOKUP(AM$16,$L54:$X54,#REF!)))</f>
        <v>0</v>
      </c>
      <c r="AO54" s="166">
        <f t="shared" si="0"/>
        <v>17</v>
      </c>
      <c r="AP54" s="215">
        <v>46301</v>
      </c>
      <c r="AQ54" s="215">
        <v>46307</v>
      </c>
      <c r="AR54" s="215">
        <v>46314</v>
      </c>
      <c r="AS54" s="440"/>
      <c r="AW54" s="244" t="e">
        <v>#REF!</v>
      </c>
    </row>
    <row r="55" spans="1:49" s="168" customFormat="1" ht="18.600000000000001" customHeight="1">
      <c r="A55" s="483"/>
      <c r="B55" s="481"/>
      <c r="C55" s="473" t="str">
        <f>C53</f>
        <v>RFQ-013</v>
      </c>
      <c r="D55" s="473" t="str">
        <f>D53</f>
        <v>Storage Tank</v>
      </c>
      <c r="E55" s="245"/>
      <c r="F55" s="473"/>
      <c r="G55" s="458" t="str">
        <f>G53</f>
        <v>N</v>
      </c>
      <c r="H55" s="451"/>
      <c r="I55" s="212" t="str">
        <f>I53</f>
        <v>LA</v>
      </c>
      <c r="J55" s="214" t="s">
        <v>70</v>
      </c>
      <c r="K55" s="212"/>
      <c r="L55" s="212"/>
      <c r="M55" s="212"/>
      <c r="N55" s="212"/>
      <c r="O55" s="212"/>
      <c r="P55" s="226"/>
      <c r="Q55" s="227"/>
      <c r="R55" s="212"/>
      <c r="S55" s="212"/>
      <c r="T55" s="212"/>
      <c r="U55" s="248"/>
      <c r="V55" s="248"/>
      <c r="W55" s="228"/>
      <c r="X55" s="248"/>
      <c r="Y55" s="448"/>
      <c r="Z55" s="443"/>
      <c r="AA55" s="443"/>
      <c r="AB55" s="442"/>
      <c r="AC55" s="246">
        <f>IF(ISERROR(LOOKUP(AC$16,$L55:$X55,#REF!)),0,(LOOKUP(AC$16,$L55:$X55,#REF!)))</f>
        <v>0</v>
      </c>
      <c r="AD55" s="247">
        <f>IF(ISERROR(LOOKUP(AD$16,$L55:$X55,#REF!)),0,(LOOKUP(AD$16,$L55:$X55,#REF!)))</f>
        <v>0</v>
      </c>
      <c r="AE55" s="247">
        <f>IF(ISERROR(LOOKUP(AE$16,$L55:$X55,#REF!)),0,(LOOKUP(AE$16,$L55:$X55,#REF!)))</f>
        <v>0</v>
      </c>
      <c r="AF55" s="247">
        <f>IF(ISERROR(LOOKUP(AF$16,$L55:$X55,#REF!)),0,(LOOKUP(AF$16,$L55:$X55,#REF!)))</f>
        <v>0</v>
      </c>
      <c r="AG55" s="247">
        <f>IF(ISERROR(LOOKUP(AG$16,$L55:$X55,#REF!)),0,(LOOKUP(AG$16,$L55:$X55,#REF!)))</f>
        <v>0</v>
      </c>
      <c r="AH55" s="247">
        <f>IF(ISERROR(LOOKUP(AH$16,$L55:$X55,#REF!)),0,(LOOKUP(AH$16,$L55:$X55,#REF!)))</f>
        <v>0</v>
      </c>
      <c r="AI55" s="247">
        <f>IF(ISERROR(LOOKUP(AI$16,$L55:$X55,#REF!)),0,(LOOKUP(AI$16,$L55:$X55,#REF!)))</f>
        <v>0</v>
      </c>
      <c r="AJ55" s="247">
        <f>IF(ISERROR(LOOKUP(AJ$16,$L55:$X55,#REF!)),0,(LOOKUP(AJ$16,$L55:$X55,#REF!)))</f>
        <v>0</v>
      </c>
      <c r="AK55" s="247">
        <f>IF(ISERROR(LOOKUP(AK$16,$L55:$X55,#REF!)),0,(LOOKUP(AK$16,$L55:$X55,#REF!)))</f>
        <v>0</v>
      </c>
      <c r="AL55" s="247">
        <f>IF(ISERROR(LOOKUP(AL$16,$L55:$X55,#REF!)),0,(LOOKUP(AL$16,$L55:$X55,#REF!)))</f>
        <v>0</v>
      </c>
      <c r="AM55" s="247">
        <f ca="1">IF(ISERROR(LOOKUP(AM$16,$L55:$X55,#REF!)),0,(LOOKUP(AM$16,$L55:$X55,#REF!)))</f>
        <v>0</v>
      </c>
      <c r="AO55" s="166">
        <f t="shared" si="0"/>
        <v>0</v>
      </c>
      <c r="AP55" s="248"/>
      <c r="AQ55" s="248"/>
      <c r="AR55" s="248"/>
      <c r="AS55" s="440"/>
      <c r="AW55" s="244" t="e">
        <v>#REF!</v>
      </c>
    </row>
    <row r="56" spans="1:49" s="166" customFormat="1" ht="18" customHeight="1">
      <c r="A56" s="482">
        <f>A53+1</f>
        <v>14</v>
      </c>
      <c r="B56" s="479"/>
      <c r="C56" s="458" t="s">
        <v>4753</v>
      </c>
      <c r="D56" s="458" t="s">
        <v>4754</v>
      </c>
      <c r="E56" s="213"/>
      <c r="F56" s="460" t="s">
        <v>62</v>
      </c>
      <c r="G56" s="458" t="str">
        <f>IF(_xlfn.XLOOKUP(C56,'[35]Before Award'!D:D,'[35]Before Award'!AV:AV,"N/A")="N/A","N","Y")</f>
        <v>N</v>
      </c>
      <c r="H56" s="449"/>
      <c r="I56" s="212" t="s">
        <v>6</v>
      </c>
      <c r="J56" s="214" t="s">
        <v>4732</v>
      </c>
      <c r="K56" s="215">
        <f>WORKDAY(L56,-INDEX(L$12:L$15,MATCH($I56,$I$12:$I$15,0)))</f>
        <v>46133</v>
      </c>
      <c r="L56" s="215">
        <f>WORKDAY(M56,-INDEX(M$12:M$15,MATCH($I56,$I$12:$I$15,0)))</f>
        <v>46134</v>
      </c>
      <c r="M56" s="215">
        <f>WORKDAY(N56,-INDEX(N$12:N$15,MATCH($I56,$I$12:$I$15,0)))</f>
        <v>46141</v>
      </c>
      <c r="N56" s="215">
        <f>WORKDAY(O56,-INDEX(O$12:O$15,MATCH($I56,$I$12:$I$15,0)))</f>
        <v>46142</v>
      </c>
      <c r="O56" s="215">
        <f>WORKDAY(R56,-INDEX(R$12:R$15,MATCH($I56,$I$12:$I$15,0)))</f>
        <v>46149</v>
      </c>
      <c r="P56" s="216">
        <f>U56-L56</f>
        <v>76</v>
      </c>
      <c r="Q56" s="217"/>
      <c r="R56" s="215">
        <f>WORKDAY(S56,-INDEX(S$12:S$15,MATCH($I56,$I$12:$I$15,0)))</f>
        <v>46163</v>
      </c>
      <c r="S56" s="215">
        <f>WORKDAY(T56,-INDEX(T$12:T$15,MATCH($I56,$I$12:$I$15,0)))</f>
        <v>46191</v>
      </c>
      <c r="T56" s="215">
        <f>WORKDAY(U56,-INDEX(U$12:U$15,MATCH($I56,$I$12:$I$15,0)))</f>
        <v>46196</v>
      </c>
      <c r="U56" s="215">
        <f>X56-Y56</f>
        <v>46210</v>
      </c>
      <c r="V56" s="215">
        <f>WORKDAY(U56,INDEX(V$12:V$15,MATCH($I56,$I$12:$I$15,0)))</f>
        <v>46212</v>
      </c>
      <c r="W56" s="218">
        <f>Y56/7</f>
        <v>32</v>
      </c>
      <c r="X56" s="215">
        <f>Z56</f>
        <v>46434</v>
      </c>
      <c r="Y56" s="448">
        <f>32*7</f>
        <v>224</v>
      </c>
      <c r="Z56" s="443">
        <v>46434</v>
      </c>
      <c r="AA56" s="443">
        <v>46386</v>
      </c>
      <c r="AB56" s="442">
        <f>Z56-X57</f>
        <v>0</v>
      </c>
      <c r="AC56" s="220">
        <f>IF(ISERROR(LOOKUP(AC$16,$L56:$X56,#REF!)),0,(LOOKUP(AC$16,$L56:$X56,#REF!)))</f>
        <v>0</v>
      </c>
      <c r="AD56" s="221">
        <f>IF(ISERROR(LOOKUP(AD$16,$L56:$X56,#REF!)),0,(LOOKUP(AD$16,$L56:$X56,#REF!)))</f>
        <v>0</v>
      </c>
      <c r="AE56" s="221">
        <f>IF(ISERROR(LOOKUP(AE$16,$L56:$X56,#REF!)),0,(LOOKUP(AE$16,$L56:$X56,#REF!)))</f>
        <v>0</v>
      </c>
      <c r="AF56" s="221">
        <f>IF(ISERROR(LOOKUP(AF$16,$L56:$X56,#REF!)),0,(LOOKUP(AF$16,$L56:$X56,#REF!)))</f>
        <v>0</v>
      </c>
      <c r="AG56" s="221">
        <f>IF(ISERROR(LOOKUP(AG$16,$L56:$X56,#REF!)),0,(LOOKUP(AG$16,$L56:$X56,#REF!)))</f>
        <v>0</v>
      </c>
      <c r="AH56" s="221">
        <f>IF(ISERROR(LOOKUP(AH$16,$L56:$X56,#REF!)),0,(LOOKUP(AH$16,$L56:$X56,#REF!)))</f>
        <v>0</v>
      </c>
      <c r="AI56" s="221">
        <f>IF(ISERROR(LOOKUP(AI$16,$L56:$X56,#REF!)),0,(LOOKUP(AI$16,$L56:$X56,#REF!)))</f>
        <v>0</v>
      </c>
      <c r="AJ56" s="221">
        <f>IF(ISERROR(LOOKUP(AJ$16,$L56:$X56,#REF!)),0,(LOOKUP(AJ$16,$L56:$X56,#REF!)))</f>
        <v>0</v>
      </c>
      <c r="AK56" s="221">
        <f>IF(ISERROR(LOOKUP(AK$16,$L56:$X56,#REF!)),0,(LOOKUP(AK$16,$L56:$X56,#REF!)))</f>
        <v>0</v>
      </c>
      <c r="AL56" s="221">
        <f>IF(ISERROR(LOOKUP(AL$16,$L56:$X56,#REF!)),0,(LOOKUP(AL$16,$L56:$X56,#REF!)))</f>
        <v>0</v>
      </c>
      <c r="AM56" s="221">
        <f ca="1">IF(ISERROR(LOOKUP(AM$16,$L56:$X56,#REF!)),0,(LOOKUP(AM$16,$L56:$X56,#REF!)))</f>
        <v>0</v>
      </c>
      <c r="AO56" s="166">
        <f t="shared" si="0"/>
        <v>14</v>
      </c>
      <c r="AP56" s="215" t="e">
        <f>WORKDAY(AQ56,-INDEX(AQ$12:AQ$15,MATCH($I56,$I$12:$I$15,0)),$AW$17:$AW$148)</f>
        <v>#REF!</v>
      </c>
      <c r="AQ56" s="215" t="e">
        <f>WORKDAY(U56,-INDEX(U$12:U$15,MATCH($I56,$I$12:$I$15,0)),$AW$17:$AW$148)</f>
        <v>#REF!</v>
      </c>
      <c r="AR56" s="215" t="e">
        <f>WORKDAY(U56,-INDEX(U$12:U$15,MATCH($I56,$I$12:$I$15,0)),$AW$17:$AW$148)</f>
        <v>#REF!</v>
      </c>
      <c r="AS56" s="440">
        <v>14</v>
      </c>
      <c r="AW56" s="223" t="e">
        <v>#REF!</v>
      </c>
    </row>
    <row r="57" spans="1:49" s="166" customFormat="1" ht="18" customHeight="1">
      <c r="A57" s="482"/>
      <c r="B57" s="480"/>
      <c r="C57" s="458" t="str">
        <f>C56</f>
        <v>RFQ-014</v>
      </c>
      <c r="D57" s="458" t="str">
        <f>D56</f>
        <v>Closed Drain Sump Pump</v>
      </c>
      <c r="E57" s="224"/>
      <c r="F57" s="461"/>
      <c r="G57" s="458" t="str">
        <f>G56</f>
        <v>N</v>
      </c>
      <c r="H57" s="450"/>
      <c r="I57" s="212" t="str">
        <f>I56</f>
        <v>LA</v>
      </c>
      <c r="J57" s="214" t="s">
        <v>68</v>
      </c>
      <c r="K57" s="215">
        <f>K56</f>
        <v>46133</v>
      </c>
      <c r="L57" s="215">
        <f>WORKDAY(IF(K58="",K57,K58),INDEX(L$12:L$15,MATCH($I56,$I$12:$I$15,0)))</f>
        <v>46134</v>
      </c>
      <c r="M57" s="215">
        <f>WORKDAY(IF(L58="",L57,L58),INDEX(M$12:M$15,MATCH($I56,$I$12:$I$15,0)))</f>
        <v>46141</v>
      </c>
      <c r="N57" s="215">
        <f>WORKDAY(IF(M58="",M57,M58),INDEX(N$12:N$15,MATCH($I56,$I$12:$I$15,0)))</f>
        <v>46142</v>
      </c>
      <c r="O57" s="215">
        <f>WORKDAY(IF(N58="",N57,N58),INDEX(O$12:O$15,MATCH($I56,$I$12:$I$15,0)))</f>
        <v>46149</v>
      </c>
      <c r="P57" s="216"/>
      <c r="Q57" s="217"/>
      <c r="R57" s="215">
        <f>WORKDAY(IF(O58="",O57,O58),INDEX(R$12:R$15,MATCH($I56,$I$12:$I$15,0)))</f>
        <v>46163</v>
      </c>
      <c r="S57" s="215">
        <f>WORKDAY(IF(R58="",R57,R58),INDEX(S$12:S$15,MATCH($I56,$I$12:$I$15,0)))</f>
        <v>46191</v>
      </c>
      <c r="T57" s="215">
        <f>WORKDAY(IF(S58="",S57,S58),INDEX(T$12:T$15,MATCH($I56,$I$12:$I$15,0)))</f>
        <v>46196</v>
      </c>
      <c r="U57" s="215">
        <f>WORKDAY(IF(T58="",T57,T58),INDEX(U$12:U$15,MATCH($I56,$I$12:$I$15,0)))</f>
        <v>46210</v>
      </c>
      <c r="V57" s="215">
        <f>WORKDAY(IF(U58="",U57,U58),INDEX(V$12:V$15,MATCH($I56,$I$12:$I$15,0)))</f>
        <v>46212</v>
      </c>
      <c r="W57" s="218"/>
      <c r="X57" s="215">
        <f>U57+Y56</f>
        <v>46434</v>
      </c>
      <c r="Y57" s="448"/>
      <c r="Z57" s="443"/>
      <c r="AA57" s="443"/>
      <c r="AB57" s="442"/>
      <c r="AC57" s="220">
        <f>IF(ISERROR(LOOKUP(AC$16,$L57:$X57,#REF!)),0,(LOOKUP(AC$16,$L57:$X57,#REF!)))</f>
        <v>0</v>
      </c>
      <c r="AD57" s="221">
        <f>IF(ISERROR(LOOKUP(AD$16,$L57:$X57,#REF!)),0,(LOOKUP(AD$16,$L57:$X57,#REF!)))</f>
        <v>0</v>
      </c>
      <c r="AE57" s="221">
        <f>IF(ISERROR(LOOKUP(AE$16,$L57:$X57,#REF!)),0,(LOOKUP(AE$16,$L57:$X57,#REF!)))</f>
        <v>0</v>
      </c>
      <c r="AF57" s="221">
        <f>IF(ISERROR(LOOKUP(AF$16,$L57:$X57,#REF!)),0,(LOOKUP(AF$16,$L57:$X57,#REF!)))</f>
        <v>0</v>
      </c>
      <c r="AG57" s="221">
        <f>IF(ISERROR(LOOKUP(AG$16,$L57:$X57,#REF!)),0,(LOOKUP(AG$16,$L57:$X57,#REF!)))</f>
        <v>0</v>
      </c>
      <c r="AH57" s="221">
        <f>IF(ISERROR(LOOKUP(AH$16,$L57:$X57,#REF!)),0,(LOOKUP(AH$16,$L57:$X57,#REF!)))</f>
        <v>0</v>
      </c>
      <c r="AI57" s="221">
        <f>IF(ISERROR(LOOKUP(AI$16,$L57:$X57,#REF!)),0,(LOOKUP(AI$16,$L57:$X57,#REF!)))</f>
        <v>0</v>
      </c>
      <c r="AJ57" s="221">
        <f>IF(ISERROR(LOOKUP(AJ$16,$L57:$X57,#REF!)),0,(LOOKUP(AJ$16,$L57:$X57,#REF!)))</f>
        <v>0</v>
      </c>
      <c r="AK57" s="221">
        <f>IF(ISERROR(LOOKUP(AK$16,$L57:$X57,#REF!)),0,(LOOKUP(AK$16,$L57:$X57,#REF!)))</f>
        <v>0</v>
      </c>
      <c r="AL57" s="221">
        <f>IF(ISERROR(LOOKUP(AL$16,$L57:$X57,#REF!)),0,(LOOKUP(AL$16,$L57:$X57,#REF!)))</f>
        <v>0</v>
      </c>
      <c r="AM57" s="221">
        <f ca="1">IF(ISERROR(LOOKUP(AM$16,$L57:$X57,#REF!)),0,(LOOKUP(AM$16,$L57:$X57,#REF!)))</f>
        <v>0</v>
      </c>
      <c r="AO57" s="166">
        <f t="shared" si="0"/>
        <v>14</v>
      </c>
      <c r="AP57" s="215" t="e">
        <f>WORKDAY(IF(T58="",T57,T58),INDEX(AP$12:AP$15,MATCH($I56,$I$12:$I$15,0)),$AW$17:$AW$148)</f>
        <v>#REF!</v>
      </c>
      <c r="AQ57" s="215" t="e">
        <f>WORKDAY(IF(AP58="",AP57,AP58),INDEX(AQ$12:AQ$15,MATCH($I56,$I$12:$I$15,0)),$AW$17:$AW$148)</f>
        <v>#REF!</v>
      </c>
      <c r="AR57" s="215" t="e">
        <f>WORKDAY(IF(AQ58="",AQ57,AQ58),INDEX(AR$12:AR$15,MATCH($I56,$I$12:$I$15,0)),$AW$17:$AW$148)</f>
        <v>#REF!</v>
      </c>
      <c r="AS57" s="440"/>
      <c r="AW57" s="223" t="e">
        <v>#REF!</v>
      </c>
    </row>
    <row r="58" spans="1:49" s="166" customFormat="1" ht="18" customHeight="1">
      <c r="A58" s="482"/>
      <c r="B58" s="481"/>
      <c r="C58" s="458" t="str">
        <f>C56</f>
        <v>RFQ-014</v>
      </c>
      <c r="D58" s="458" t="str">
        <f>D56</f>
        <v>Closed Drain Sump Pump</v>
      </c>
      <c r="E58" s="225"/>
      <c r="F58" s="462"/>
      <c r="G58" s="458" t="str">
        <f>G56</f>
        <v>N</v>
      </c>
      <c r="H58" s="451"/>
      <c r="I58" s="212" t="str">
        <f>I56</f>
        <v>LA</v>
      </c>
      <c r="J58" s="214" t="s">
        <v>70</v>
      </c>
      <c r="K58" s="212"/>
      <c r="L58" s="212"/>
      <c r="M58" s="212"/>
      <c r="N58" s="212"/>
      <c r="O58" s="212"/>
      <c r="P58" s="226"/>
      <c r="Q58" s="227"/>
      <c r="R58" s="212"/>
      <c r="S58" s="212"/>
      <c r="T58" s="212"/>
      <c r="U58" s="212"/>
      <c r="V58" s="212"/>
      <c r="W58" s="228"/>
      <c r="X58" s="212"/>
      <c r="Y58" s="448"/>
      <c r="Z58" s="443"/>
      <c r="AA58" s="443"/>
      <c r="AB58" s="442"/>
      <c r="AC58" s="229">
        <f>IF(ISERROR(LOOKUP(AC$16,$L58:$X58,#REF!)),0,(LOOKUP(AC$16,$L58:$X58,#REF!)))</f>
        <v>0</v>
      </c>
      <c r="AD58" s="230">
        <f>IF(ISERROR(LOOKUP(AD$16,$L58:$X58,#REF!)),0,(LOOKUP(AD$16,$L58:$X58,#REF!)))</f>
        <v>0</v>
      </c>
      <c r="AE58" s="230">
        <f>IF(ISERROR(LOOKUP(AE$16,$L58:$X58,#REF!)),0,(LOOKUP(AE$16,$L58:$X58,#REF!)))</f>
        <v>0</v>
      </c>
      <c r="AF58" s="230">
        <f>IF(ISERROR(LOOKUP(AF$16,$L58:$X58,#REF!)),0,(LOOKUP(AF$16,$L58:$X58,#REF!)))</f>
        <v>0</v>
      </c>
      <c r="AG58" s="230">
        <f>IF(ISERROR(LOOKUP(AG$16,$L58:$X58,#REF!)),0,(LOOKUP(AG$16,$L58:$X58,#REF!)))</f>
        <v>0</v>
      </c>
      <c r="AH58" s="230">
        <f>IF(ISERROR(LOOKUP(AH$16,$L58:$X58,#REF!)),0,(LOOKUP(AH$16,$L58:$X58,#REF!)))</f>
        <v>0</v>
      </c>
      <c r="AI58" s="230">
        <f>IF(ISERROR(LOOKUP(AI$16,$L58:$X58,#REF!)),0,(LOOKUP(AI$16,$L58:$X58,#REF!)))</f>
        <v>0</v>
      </c>
      <c r="AJ58" s="230">
        <f>IF(ISERROR(LOOKUP(AJ$16,$L58:$X58,#REF!)),0,(LOOKUP(AJ$16,$L58:$X58,#REF!)))</f>
        <v>0</v>
      </c>
      <c r="AK58" s="230">
        <f>IF(ISERROR(LOOKUP(AK$16,$L58:$X58,#REF!)),0,(LOOKUP(AK$16,$L58:$X58,#REF!)))</f>
        <v>0</v>
      </c>
      <c r="AL58" s="230">
        <f>IF(ISERROR(LOOKUP(AL$16,$L58:$X58,#REF!)),0,(LOOKUP(AL$16,$L58:$X58,#REF!)))</f>
        <v>0</v>
      </c>
      <c r="AM58" s="230">
        <f ca="1">IF(ISERROR(LOOKUP(AM$16,$L58:$X58,#REF!)),0,(LOOKUP(AM$16,$L58:$X58,#REF!)))</f>
        <v>0</v>
      </c>
      <c r="AO58" s="166">
        <f t="shared" si="0"/>
        <v>0</v>
      </c>
      <c r="AP58" s="212"/>
      <c r="AQ58" s="212"/>
      <c r="AR58" s="212"/>
      <c r="AS58" s="440"/>
      <c r="AW58" s="223" t="e">
        <v>#REF!</v>
      </c>
    </row>
    <row r="59" spans="1:49" s="166" customFormat="1" ht="18" customHeight="1">
      <c r="A59" s="482">
        <f>A56+1</f>
        <v>15</v>
      </c>
      <c r="B59" s="479"/>
      <c r="C59" s="458" t="s">
        <v>4755</v>
      </c>
      <c r="D59" s="458" t="s">
        <v>4756</v>
      </c>
      <c r="E59" s="213"/>
      <c r="F59" s="460" t="s">
        <v>62</v>
      </c>
      <c r="G59" s="458" t="s">
        <v>75</v>
      </c>
      <c r="H59" s="449"/>
      <c r="I59" s="212" t="s">
        <v>6</v>
      </c>
      <c r="J59" s="214" t="s">
        <v>4732</v>
      </c>
      <c r="K59" s="215">
        <f>WORKDAY(L59,-INDEX(L$12:L$15,MATCH($I59,$I$12:$I$15,0)))</f>
        <v>46220</v>
      </c>
      <c r="L59" s="215">
        <f>WORKDAY(M59,-INDEX(M$12:M$15,MATCH($I59,$I$12:$I$15,0)))</f>
        <v>46223</v>
      </c>
      <c r="M59" s="215">
        <f>WORKDAY(N59,-INDEX(N$12:N$15,MATCH($I59,$I$12:$I$15,0)))</f>
        <v>46230</v>
      </c>
      <c r="N59" s="215">
        <f>WORKDAY(O59,-INDEX(O$12:O$15,MATCH($I59,$I$12:$I$15,0)))</f>
        <v>46231</v>
      </c>
      <c r="O59" s="215">
        <f>WORKDAY(R59,-INDEX(R$12:R$15,MATCH($I59,$I$12:$I$15,0)))</f>
        <v>46238</v>
      </c>
      <c r="P59" s="216">
        <f>U59-L59</f>
        <v>74</v>
      </c>
      <c r="Q59" s="217"/>
      <c r="R59" s="215">
        <f>WORKDAY(S59,-INDEX(S$12:S$15,MATCH($I59,$I$12:$I$15,0)))</f>
        <v>46252</v>
      </c>
      <c r="S59" s="215">
        <f>WORKDAY(T59,-INDEX(T$12:T$15,MATCH($I59,$I$12:$I$15,0)))</f>
        <v>46280</v>
      </c>
      <c r="T59" s="215">
        <f>WORKDAY(U59,-INDEX(U$12:U$15,MATCH($I59,$I$12:$I$15,0)))</f>
        <v>46283</v>
      </c>
      <c r="U59" s="215">
        <f>X59-Y59</f>
        <v>46297</v>
      </c>
      <c r="V59" s="215">
        <f>WORKDAY(U59,INDEX(V$12:V$15,MATCH($I59,$I$12:$I$15,0)))</f>
        <v>46301</v>
      </c>
      <c r="W59" s="218">
        <f>Y59/7</f>
        <v>32</v>
      </c>
      <c r="X59" s="215">
        <f>Z59</f>
        <v>46521</v>
      </c>
      <c r="Y59" s="448">
        <f>32*7</f>
        <v>224</v>
      </c>
      <c r="Z59" s="443">
        <v>46521</v>
      </c>
      <c r="AA59" s="443">
        <v>46521</v>
      </c>
      <c r="AB59" s="442">
        <f>Z59-X60</f>
        <v>0</v>
      </c>
      <c r="AC59" s="220">
        <f>IF(ISERROR(LOOKUP(AC$16,$L59:$X59,#REF!)),0,(LOOKUP(AC$16,$L59:$X59,#REF!)))</f>
        <v>0</v>
      </c>
      <c r="AD59" s="221">
        <f>IF(ISERROR(LOOKUP(AD$16,$L59:$X59,#REF!)),0,(LOOKUP(AD$16,$L59:$X59,#REF!)))</f>
        <v>0</v>
      </c>
      <c r="AE59" s="221">
        <f>IF(ISERROR(LOOKUP(AE$16,$L59:$X59,#REF!)),0,(LOOKUP(AE$16,$L59:$X59,#REF!)))</f>
        <v>0</v>
      </c>
      <c r="AF59" s="221">
        <f>IF(ISERROR(LOOKUP(AF$16,$L59:$X59,#REF!)),0,(LOOKUP(AF$16,$L59:$X59,#REF!)))</f>
        <v>0</v>
      </c>
      <c r="AG59" s="221">
        <f>IF(ISERROR(LOOKUP(AG$16,$L59:$X59,#REF!)),0,(LOOKUP(AG$16,$L59:$X59,#REF!)))</f>
        <v>0</v>
      </c>
      <c r="AH59" s="221">
        <f>IF(ISERROR(LOOKUP(AH$16,$L59:$X59,#REF!)),0,(LOOKUP(AH$16,$L59:$X59,#REF!)))</f>
        <v>0</v>
      </c>
      <c r="AI59" s="221">
        <f>IF(ISERROR(LOOKUP(AI$16,$L59:$X59,#REF!)),0,(LOOKUP(AI$16,$L59:$X59,#REF!)))</f>
        <v>0</v>
      </c>
      <c r="AJ59" s="221">
        <f>IF(ISERROR(LOOKUP(AJ$16,$L59:$X59,#REF!)),0,(LOOKUP(AJ$16,$L59:$X59,#REF!)))</f>
        <v>0</v>
      </c>
      <c r="AK59" s="221">
        <f>IF(ISERROR(LOOKUP(AK$16,$L59:$X59,#REF!)),0,(LOOKUP(AK$16,$L59:$X59,#REF!)))</f>
        <v>0</v>
      </c>
      <c r="AL59" s="221">
        <f>IF(ISERROR(LOOKUP(AL$16,$L59:$X59,#REF!)),0,(LOOKUP(AL$16,$L59:$X59,#REF!)))</f>
        <v>0</v>
      </c>
      <c r="AM59" s="221">
        <f ca="1">IF(ISERROR(LOOKUP(AM$16,$L59:$X59,#REF!)),0,(LOOKUP(AM$16,$L59:$X59,#REF!)))</f>
        <v>0</v>
      </c>
      <c r="AO59" s="166">
        <f t="shared" si="0"/>
        <v>14</v>
      </c>
      <c r="AP59" s="215" t="e">
        <f>WORKDAY(AQ59,-INDEX(AQ$12:AQ$15,MATCH($I59,$I$12:$I$15,0)),$AW$17:$AW$148)</f>
        <v>#REF!</v>
      </c>
      <c r="AQ59" s="215" t="e">
        <f>WORKDAY(U59,-INDEX(U$12:U$15,MATCH($I59,$I$12:$I$15,0)),$AW$17:$AW$148)</f>
        <v>#REF!</v>
      </c>
      <c r="AR59" s="215" t="e">
        <f>WORKDAY(U59,-INDEX(U$12:U$15,MATCH($I59,$I$12:$I$15,0)),$AW$17:$AW$148)</f>
        <v>#REF!</v>
      </c>
      <c r="AS59" s="440">
        <v>14</v>
      </c>
      <c r="AW59" s="223" t="e">
        <v>#REF!</v>
      </c>
    </row>
    <row r="60" spans="1:49" s="166" customFormat="1" ht="18" customHeight="1">
      <c r="A60" s="482"/>
      <c r="B60" s="480"/>
      <c r="C60" s="458" t="str">
        <f>C59</f>
        <v>RFQ-015</v>
      </c>
      <c r="D60" s="458" t="str">
        <f>D59</f>
        <v>Diesel Transfer Pump</v>
      </c>
      <c r="E60" s="224"/>
      <c r="F60" s="461"/>
      <c r="G60" s="458" t="str">
        <f>G59</f>
        <v>N</v>
      </c>
      <c r="H60" s="450"/>
      <c r="I60" s="212" t="str">
        <f>I59</f>
        <v>LA</v>
      </c>
      <c r="J60" s="214" t="s">
        <v>68</v>
      </c>
      <c r="K60" s="215">
        <f>K59</f>
        <v>46220</v>
      </c>
      <c r="L60" s="215">
        <f>WORKDAY(IF(K61="",K60,K61),INDEX(L$12:L$15,MATCH($I59,$I$12:$I$15,0)))</f>
        <v>46223</v>
      </c>
      <c r="M60" s="215">
        <f>WORKDAY(IF(L61="",L60,L61),INDEX(M$12:M$15,MATCH($I59,$I$12:$I$15,0)))</f>
        <v>46230</v>
      </c>
      <c r="N60" s="215">
        <f>WORKDAY(IF(M61="",M60,M61),INDEX(N$12:N$15,MATCH($I59,$I$12:$I$15,0)))</f>
        <v>46231</v>
      </c>
      <c r="O60" s="215">
        <f>WORKDAY(IF(N61="",N60,N61),INDEX(O$12:O$15,MATCH($I59,$I$12:$I$15,0)))</f>
        <v>46238</v>
      </c>
      <c r="P60" s="216"/>
      <c r="Q60" s="217"/>
      <c r="R60" s="215">
        <f>WORKDAY(IF(O61="",O60,O61),INDEX(R$12:R$15,MATCH($I59,$I$12:$I$15,0)))</f>
        <v>46252</v>
      </c>
      <c r="S60" s="215">
        <f>WORKDAY(IF(R61="",R60,R61),INDEX(S$12:S$15,MATCH($I59,$I$12:$I$15,0)))</f>
        <v>46280</v>
      </c>
      <c r="T60" s="215">
        <f>WORKDAY(IF(S61="",S60,S61),INDEX(T$12:T$15,MATCH($I59,$I$12:$I$15,0)))</f>
        <v>46283</v>
      </c>
      <c r="U60" s="215">
        <f>WORKDAY(IF(T61="",T60,T61),INDEX(U$12:U$15,MATCH($I59,$I$12:$I$15,0)))</f>
        <v>46297</v>
      </c>
      <c r="V60" s="215">
        <f>WORKDAY(IF(U61="",U60,U61),INDEX(V$12:V$15,MATCH($I59,$I$12:$I$15,0)))</f>
        <v>46301</v>
      </c>
      <c r="W60" s="218"/>
      <c r="X60" s="215">
        <f>U60+Y59</f>
        <v>46521</v>
      </c>
      <c r="Y60" s="448"/>
      <c r="Z60" s="443"/>
      <c r="AA60" s="443"/>
      <c r="AB60" s="442"/>
      <c r="AC60" s="220">
        <f>IF(ISERROR(LOOKUP(AC$16,$L60:$X60,#REF!)),0,(LOOKUP(AC$16,$L60:$X60,#REF!)))</f>
        <v>0</v>
      </c>
      <c r="AD60" s="221">
        <f>IF(ISERROR(LOOKUP(AD$16,$L60:$X60,#REF!)),0,(LOOKUP(AD$16,$L60:$X60,#REF!)))</f>
        <v>0</v>
      </c>
      <c r="AE60" s="221">
        <f>IF(ISERROR(LOOKUP(AE$16,$L60:$X60,#REF!)),0,(LOOKUP(AE$16,$L60:$X60,#REF!)))</f>
        <v>0</v>
      </c>
      <c r="AF60" s="221">
        <f>IF(ISERROR(LOOKUP(AF$16,$L60:$X60,#REF!)),0,(LOOKUP(AF$16,$L60:$X60,#REF!)))</f>
        <v>0</v>
      </c>
      <c r="AG60" s="221">
        <f>IF(ISERROR(LOOKUP(AG$16,$L60:$X60,#REF!)),0,(LOOKUP(AG$16,$L60:$X60,#REF!)))</f>
        <v>0</v>
      </c>
      <c r="AH60" s="221">
        <f>IF(ISERROR(LOOKUP(AH$16,$L60:$X60,#REF!)),0,(LOOKUP(AH$16,$L60:$X60,#REF!)))</f>
        <v>0</v>
      </c>
      <c r="AI60" s="221">
        <f>IF(ISERROR(LOOKUP(AI$16,$L60:$X60,#REF!)),0,(LOOKUP(AI$16,$L60:$X60,#REF!)))</f>
        <v>0</v>
      </c>
      <c r="AJ60" s="221">
        <f>IF(ISERROR(LOOKUP(AJ$16,$L60:$X60,#REF!)),0,(LOOKUP(AJ$16,$L60:$X60,#REF!)))</f>
        <v>0</v>
      </c>
      <c r="AK60" s="221">
        <f>IF(ISERROR(LOOKUP(AK$16,$L60:$X60,#REF!)),0,(LOOKUP(AK$16,$L60:$X60,#REF!)))</f>
        <v>0</v>
      </c>
      <c r="AL60" s="221">
        <f>IF(ISERROR(LOOKUP(AL$16,$L60:$X60,#REF!)),0,(LOOKUP(AL$16,$L60:$X60,#REF!)))</f>
        <v>0</v>
      </c>
      <c r="AM60" s="221">
        <f ca="1">IF(ISERROR(LOOKUP(AM$16,$L60:$X60,#REF!)),0,(LOOKUP(AM$16,$L60:$X60,#REF!)))</f>
        <v>0</v>
      </c>
      <c r="AO60" s="166">
        <f t="shared" si="0"/>
        <v>14</v>
      </c>
      <c r="AP60" s="215" t="e">
        <f>WORKDAY(IF(T61="",T60,T61),INDEX(AP$12:AP$15,MATCH($I59,$I$12:$I$15,0)),$AW$17:$AW$148)</f>
        <v>#REF!</v>
      </c>
      <c r="AQ60" s="215" t="e">
        <f>WORKDAY(IF(AP61="",AP60,AP61),INDEX(AQ$12:AQ$15,MATCH($I59,$I$12:$I$15,0)),$AW$17:$AW$148)</f>
        <v>#REF!</v>
      </c>
      <c r="AR60" s="215" t="e">
        <f>WORKDAY(IF(AQ61="",AQ60,AQ61),INDEX(AR$12:AR$15,MATCH($I59,$I$12:$I$15,0)),$AW$17:$AW$148)</f>
        <v>#REF!</v>
      </c>
      <c r="AS60" s="440"/>
      <c r="AW60" s="223" t="e">
        <v>#REF!</v>
      </c>
    </row>
    <row r="61" spans="1:49" s="166" customFormat="1" ht="18" customHeight="1">
      <c r="A61" s="482"/>
      <c r="B61" s="481"/>
      <c r="C61" s="458" t="str">
        <f>C59</f>
        <v>RFQ-015</v>
      </c>
      <c r="D61" s="458" t="str">
        <f>D59</f>
        <v>Diesel Transfer Pump</v>
      </c>
      <c r="E61" s="225"/>
      <c r="F61" s="462"/>
      <c r="G61" s="458" t="str">
        <f>G59</f>
        <v>N</v>
      </c>
      <c r="H61" s="451"/>
      <c r="I61" s="212" t="str">
        <f>I59</f>
        <v>LA</v>
      </c>
      <c r="J61" s="214" t="s">
        <v>70</v>
      </c>
      <c r="K61" s="212"/>
      <c r="L61" s="212"/>
      <c r="M61" s="212"/>
      <c r="N61" s="212"/>
      <c r="O61" s="212"/>
      <c r="P61" s="226"/>
      <c r="Q61" s="227"/>
      <c r="R61" s="212"/>
      <c r="S61" s="212"/>
      <c r="T61" s="212"/>
      <c r="U61" s="212"/>
      <c r="V61" s="212"/>
      <c r="W61" s="228"/>
      <c r="X61" s="212"/>
      <c r="Y61" s="448"/>
      <c r="Z61" s="443"/>
      <c r="AA61" s="443"/>
      <c r="AB61" s="442"/>
      <c r="AC61" s="229">
        <f>IF(ISERROR(LOOKUP(AC$16,$L61:$X61,#REF!)),0,(LOOKUP(AC$16,$L61:$X61,#REF!)))</f>
        <v>0</v>
      </c>
      <c r="AD61" s="230">
        <f>IF(ISERROR(LOOKUP(AD$16,$L61:$X61,#REF!)),0,(LOOKUP(AD$16,$L61:$X61,#REF!)))</f>
        <v>0</v>
      </c>
      <c r="AE61" s="230">
        <f>IF(ISERROR(LOOKUP(AE$16,$L61:$X61,#REF!)),0,(LOOKUP(AE$16,$L61:$X61,#REF!)))</f>
        <v>0</v>
      </c>
      <c r="AF61" s="230">
        <f>IF(ISERROR(LOOKUP(AF$16,$L61:$X61,#REF!)),0,(LOOKUP(AF$16,$L61:$X61,#REF!)))</f>
        <v>0</v>
      </c>
      <c r="AG61" s="230">
        <f>IF(ISERROR(LOOKUP(AG$16,$L61:$X61,#REF!)),0,(LOOKUP(AG$16,$L61:$X61,#REF!)))</f>
        <v>0</v>
      </c>
      <c r="AH61" s="230">
        <f>IF(ISERROR(LOOKUP(AH$16,$L61:$X61,#REF!)),0,(LOOKUP(AH$16,$L61:$X61,#REF!)))</f>
        <v>0</v>
      </c>
      <c r="AI61" s="230">
        <f>IF(ISERROR(LOOKUP(AI$16,$L61:$X61,#REF!)),0,(LOOKUP(AI$16,$L61:$X61,#REF!)))</f>
        <v>0</v>
      </c>
      <c r="AJ61" s="230">
        <f>IF(ISERROR(LOOKUP(AJ$16,$L61:$X61,#REF!)),0,(LOOKUP(AJ$16,$L61:$X61,#REF!)))</f>
        <v>0</v>
      </c>
      <c r="AK61" s="230">
        <f>IF(ISERROR(LOOKUP(AK$16,$L61:$X61,#REF!)),0,(LOOKUP(AK$16,$L61:$X61,#REF!)))</f>
        <v>0</v>
      </c>
      <c r="AL61" s="230">
        <f>IF(ISERROR(LOOKUP(AL$16,$L61:$X61,#REF!)),0,(LOOKUP(AL$16,$L61:$X61,#REF!)))</f>
        <v>0</v>
      </c>
      <c r="AM61" s="230">
        <f ca="1">IF(ISERROR(LOOKUP(AM$16,$L61:$X61,#REF!)),0,(LOOKUP(AM$16,$L61:$X61,#REF!)))</f>
        <v>0</v>
      </c>
      <c r="AO61" s="166">
        <f t="shared" si="0"/>
        <v>0</v>
      </c>
      <c r="AP61" s="212"/>
      <c r="AQ61" s="212"/>
      <c r="AR61" s="212"/>
      <c r="AS61" s="440"/>
      <c r="AW61" s="223" t="e">
        <v>#REF!</v>
      </c>
    </row>
    <row r="62" spans="1:49" s="166" customFormat="1" ht="18" customHeight="1">
      <c r="A62" s="482">
        <f>A59+1</f>
        <v>16</v>
      </c>
      <c r="B62" s="479"/>
      <c r="C62" s="458" t="s">
        <v>4757</v>
      </c>
      <c r="D62" s="458" t="s">
        <v>4758</v>
      </c>
      <c r="E62" s="213"/>
      <c r="F62" s="460" t="s">
        <v>62</v>
      </c>
      <c r="G62" s="458" t="s">
        <v>75</v>
      </c>
      <c r="H62" s="449"/>
      <c r="I62" s="212" t="s">
        <v>6</v>
      </c>
      <c r="J62" s="214" t="s">
        <v>4732</v>
      </c>
      <c r="K62" s="215">
        <f>WORKDAY(L62,-INDEX(L$12:L$15,MATCH($I62,$I$12:$I$15,0)))</f>
        <v>46176</v>
      </c>
      <c r="L62" s="215">
        <f>WORKDAY(M62,-INDEX(M$12:M$15,MATCH($I62,$I$12:$I$15,0)))</f>
        <v>46177</v>
      </c>
      <c r="M62" s="215">
        <f>WORKDAY(N62,-INDEX(N$12:N$15,MATCH($I62,$I$12:$I$15,0)))</f>
        <v>46184</v>
      </c>
      <c r="N62" s="215">
        <f>WORKDAY(O62,-INDEX(O$12:O$15,MATCH($I62,$I$12:$I$15,0)))</f>
        <v>46185</v>
      </c>
      <c r="O62" s="215">
        <f>WORKDAY(R62,-INDEX(R$12:R$15,MATCH($I62,$I$12:$I$15,0)))</f>
        <v>46192</v>
      </c>
      <c r="P62" s="216">
        <f>U62-L62</f>
        <v>76</v>
      </c>
      <c r="Q62" s="217"/>
      <c r="R62" s="215">
        <f>WORKDAY(S62,-INDEX(S$12:S$15,MATCH($I62,$I$12:$I$15,0)))</f>
        <v>46206</v>
      </c>
      <c r="S62" s="215">
        <f>WORKDAY(T62,-INDEX(T$12:T$15,MATCH($I62,$I$12:$I$15,0)))</f>
        <v>46234</v>
      </c>
      <c r="T62" s="215">
        <f>WORKDAY(U62,-INDEX(U$12:U$15,MATCH($I62,$I$12:$I$15,0)))</f>
        <v>46239</v>
      </c>
      <c r="U62" s="215">
        <f>X62-Y62</f>
        <v>46253</v>
      </c>
      <c r="V62" s="215">
        <f>WORKDAY(U62,INDEX(V$12:V$15,MATCH($I62,$I$12:$I$15,0)))</f>
        <v>46255</v>
      </c>
      <c r="W62" s="218">
        <f>Y62/7</f>
        <v>32</v>
      </c>
      <c r="X62" s="215">
        <f>Z62</f>
        <v>46477</v>
      </c>
      <c r="Y62" s="448">
        <f>32*7</f>
        <v>224</v>
      </c>
      <c r="Z62" s="443">
        <v>46477</v>
      </c>
      <c r="AA62" s="443">
        <v>46477</v>
      </c>
      <c r="AB62" s="442">
        <f>Z62-X63</f>
        <v>0</v>
      </c>
      <c r="AC62" s="220">
        <f>IF(ISERROR(LOOKUP(AC$16,$L62:$X62,#REF!)),0,(LOOKUP(AC$16,$L62:$X62,#REF!)))</f>
        <v>0</v>
      </c>
      <c r="AD62" s="221">
        <f>IF(ISERROR(LOOKUP(AD$16,$L62:$X62,#REF!)),0,(LOOKUP(AD$16,$L62:$X62,#REF!)))</f>
        <v>0</v>
      </c>
      <c r="AE62" s="221">
        <f>IF(ISERROR(LOOKUP(AE$16,$L62:$X62,#REF!)),0,(LOOKUP(AE$16,$L62:$X62,#REF!)))</f>
        <v>0</v>
      </c>
      <c r="AF62" s="221">
        <f>IF(ISERROR(LOOKUP(AF$16,$L62:$X62,#REF!)),0,(LOOKUP(AF$16,$L62:$X62,#REF!)))</f>
        <v>0</v>
      </c>
      <c r="AG62" s="221">
        <f>IF(ISERROR(LOOKUP(AG$16,$L62:$X62,#REF!)),0,(LOOKUP(AG$16,$L62:$X62,#REF!)))</f>
        <v>0</v>
      </c>
      <c r="AH62" s="221">
        <f>IF(ISERROR(LOOKUP(AH$16,$L62:$X62,#REF!)),0,(LOOKUP(AH$16,$L62:$X62,#REF!)))</f>
        <v>0</v>
      </c>
      <c r="AI62" s="221">
        <f>IF(ISERROR(LOOKUP(AI$16,$L62:$X62,#REF!)),0,(LOOKUP(AI$16,$L62:$X62,#REF!)))</f>
        <v>0</v>
      </c>
      <c r="AJ62" s="221">
        <f>IF(ISERROR(LOOKUP(AJ$16,$L62:$X62,#REF!)),0,(LOOKUP(AJ$16,$L62:$X62,#REF!)))</f>
        <v>0</v>
      </c>
      <c r="AK62" s="221">
        <f>IF(ISERROR(LOOKUP(AK$16,$L62:$X62,#REF!)),0,(LOOKUP(AK$16,$L62:$X62,#REF!)))</f>
        <v>0</v>
      </c>
      <c r="AL62" s="221">
        <f>IF(ISERROR(LOOKUP(AL$16,$L62:$X62,#REF!)),0,(LOOKUP(AL$16,$L62:$X62,#REF!)))</f>
        <v>0</v>
      </c>
      <c r="AM62" s="221">
        <f ca="1">IF(ISERROR(LOOKUP(AM$16,$L62:$X62,#REF!)),0,(LOOKUP(AM$16,$L62:$X62,#REF!)))</f>
        <v>0</v>
      </c>
      <c r="AO62" s="166">
        <f t="shared" si="0"/>
        <v>14</v>
      </c>
      <c r="AP62" s="215" t="e">
        <f>WORKDAY(AQ62,-INDEX(AQ$12:AQ$15,MATCH($I62,$I$12:$I$15,0)),$AW$17:$AW$148)</f>
        <v>#REF!</v>
      </c>
      <c r="AQ62" s="215" t="e">
        <f>WORKDAY(U62,-INDEX(U$12:U$15,MATCH($I62,$I$12:$I$15,0)),$AW$17:$AW$148)</f>
        <v>#REF!</v>
      </c>
      <c r="AR62" s="215" t="e">
        <f>WORKDAY(U62,-INDEX(U$12:U$15,MATCH($I62,$I$12:$I$15,0)),$AW$17:$AW$148)</f>
        <v>#REF!</v>
      </c>
      <c r="AS62" s="440">
        <v>14</v>
      </c>
      <c r="AW62" s="223" t="e">
        <v>#REF!</v>
      </c>
    </row>
    <row r="63" spans="1:49" s="166" customFormat="1" ht="18" customHeight="1">
      <c r="A63" s="482"/>
      <c r="B63" s="480"/>
      <c r="C63" s="458" t="str">
        <f>C62</f>
        <v>RFQ-016</v>
      </c>
      <c r="D63" s="458" t="str">
        <f>D62</f>
        <v>Open Drain Caisson Pump</v>
      </c>
      <c r="E63" s="224"/>
      <c r="F63" s="461"/>
      <c r="G63" s="458" t="str">
        <f>G62</f>
        <v>N</v>
      </c>
      <c r="H63" s="450"/>
      <c r="I63" s="212" t="str">
        <f>I62</f>
        <v>LA</v>
      </c>
      <c r="J63" s="214" t="s">
        <v>68</v>
      </c>
      <c r="K63" s="215">
        <f>K62</f>
        <v>46176</v>
      </c>
      <c r="L63" s="215">
        <f>WORKDAY(IF(K64="",K63,K64),INDEX(L$12:L$15,MATCH($I62,$I$12:$I$15,0)))</f>
        <v>46177</v>
      </c>
      <c r="M63" s="215">
        <f>WORKDAY(IF(L64="",L63,L64),INDEX(M$12:M$15,MATCH($I62,$I$12:$I$15,0)))</f>
        <v>46184</v>
      </c>
      <c r="N63" s="215">
        <f>WORKDAY(IF(M64="",M63,M64),INDEX(N$12:N$15,MATCH($I62,$I$12:$I$15,0)))</f>
        <v>46185</v>
      </c>
      <c r="O63" s="215">
        <f>WORKDAY(IF(N64="",N63,N64),INDEX(O$12:O$15,MATCH($I62,$I$12:$I$15,0)))</f>
        <v>46192</v>
      </c>
      <c r="P63" s="216"/>
      <c r="Q63" s="217"/>
      <c r="R63" s="215">
        <f>WORKDAY(IF(O64="",O63,O64),INDEX(R$12:R$15,MATCH($I62,$I$12:$I$15,0)))</f>
        <v>46206</v>
      </c>
      <c r="S63" s="215">
        <f>WORKDAY(IF(R64="",R63,R64),INDEX(S$12:S$15,MATCH($I62,$I$12:$I$15,0)))</f>
        <v>46234</v>
      </c>
      <c r="T63" s="215">
        <f>WORKDAY(IF(S64="",S63,S64),INDEX(T$12:T$15,MATCH($I62,$I$12:$I$15,0)))</f>
        <v>46239</v>
      </c>
      <c r="U63" s="215">
        <f>WORKDAY(IF(T64="",T63,T64),INDEX(U$12:U$15,MATCH($I62,$I$12:$I$15,0)))</f>
        <v>46253</v>
      </c>
      <c r="V63" s="215">
        <f>WORKDAY(IF(U64="",U63,U64),INDEX(V$12:V$15,MATCH($I62,$I$12:$I$15,0)))</f>
        <v>46255</v>
      </c>
      <c r="W63" s="218"/>
      <c r="X63" s="215">
        <f>U63+Y62</f>
        <v>46477</v>
      </c>
      <c r="Y63" s="448"/>
      <c r="Z63" s="443"/>
      <c r="AA63" s="443"/>
      <c r="AB63" s="442"/>
      <c r="AC63" s="220">
        <f>IF(ISERROR(LOOKUP(AC$16,$L63:$X63,#REF!)),0,(LOOKUP(AC$16,$L63:$X63,#REF!)))</f>
        <v>0</v>
      </c>
      <c r="AD63" s="221">
        <f>IF(ISERROR(LOOKUP(AD$16,$L63:$X63,#REF!)),0,(LOOKUP(AD$16,$L63:$X63,#REF!)))</f>
        <v>0</v>
      </c>
      <c r="AE63" s="221">
        <f>IF(ISERROR(LOOKUP(AE$16,$L63:$X63,#REF!)),0,(LOOKUP(AE$16,$L63:$X63,#REF!)))</f>
        <v>0</v>
      </c>
      <c r="AF63" s="221">
        <f>IF(ISERROR(LOOKUP(AF$16,$L63:$X63,#REF!)),0,(LOOKUP(AF$16,$L63:$X63,#REF!)))</f>
        <v>0</v>
      </c>
      <c r="AG63" s="221">
        <f>IF(ISERROR(LOOKUP(AG$16,$L63:$X63,#REF!)),0,(LOOKUP(AG$16,$L63:$X63,#REF!)))</f>
        <v>0</v>
      </c>
      <c r="AH63" s="221">
        <f>IF(ISERROR(LOOKUP(AH$16,$L63:$X63,#REF!)),0,(LOOKUP(AH$16,$L63:$X63,#REF!)))</f>
        <v>0</v>
      </c>
      <c r="AI63" s="221">
        <f>IF(ISERROR(LOOKUP(AI$16,$L63:$X63,#REF!)),0,(LOOKUP(AI$16,$L63:$X63,#REF!)))</f>
        <v>0</v>
      </c>
      <c r="AJ63" s="221">
        <f>IF(ISERROR(LOOKUP(AJ$16,$L63:$X63,#REF!)),0,(LOOKUP(AJ$16,$L63:$X63,#REF!)))</f>
        <v>0</v>
      </c>
      <c r="AK63" s="221">
        <f>IF(ISERROR(LOOKUP(AK$16,$L63:$X63,#REF!)),0,(LOOKUP(AK$16,$L63:$X63,#REF!)))</f>
        <v>0</v>
      </c>
      <c r="AL63" s="221">
        <f>IF(ISERROR(LOOKUP(AL$16,$L63:$X63,#REF!)),0,(LOOKUP(AL$16,$L63:$X63,#REF!)))</f>
        <v>0</v>
      </c>
      <c r="AM63" s="221">
        <f ca="1">IF(ISERROR(LOOKUP(AM$16,$L63:$X63,#REF!)),0,(LOOKUP(AM$16,$L63:$X63,#REF!)))</f>
        <v>0</v>
      </c>
      <c r="AO63" s="166">
        <f t="shared" si="0"/>
        <v>14</v>
      </c>
      <c r="AP63" s="215" t="e">
        <f>WORKDAY(IF(T64="",T63,T64),INDEX(AP$12:AP$15,MATCH($I62,$I$12:$I$15,0)),$AW$17:$AW$148)</f>
        <v>#REF!</v>
      </c>
      <c r="AQ63" s="215" t="e">
        <f>WORKDAY(IF(AP64="",AP63,AP64),INDEX(AQ$12:AQ$15,MATCH($I62,$I$12:$I$15,0)),$AW$17:$AW$148)</f>
        <v>#REF!</v>
      </c>
      <c r="AR63" s="215" t="e">
        <f>WORKDAY(IF(AQ64="",AQ63,AQ64),INDEX(AR$12:AR$15,MATCH($I62,$I$12:$I$15,0)),$AW$17:$AW$148)</f>
        <v>#REF!</v>
      </c>
      <c r="AS63" s="440"/>
      <c r="AW63" s="223" t="e">
        <v>#REF!</v>
      </c>
    </row>
    <row r="64" spans="1:49" s="166" customFormat="1" ht="18" customHeight="1">
      <c r="A64" s="482"/>
      <c r="B64" s="481"/>
      <c r="C64" s="458" t="str">
        <f>C62</f>
        <v>RFQ-016</v>
      </c>
      <c r="D64" s="458" t="str">
        <f>D62</f>
        <v>Open Drain Caisson Pump</v>
      </c>
      <c r="E64" s="225"/>
      <c r="F64" s="462"/>
      <c r="G64" s="458" t="str">
        <f>G62</f>
        <v>N</v>
      </c>
      <c r="H64" s="451"/>
      <c r="I64" s="212" t="str">
        <f>I62</f>
        <v>LA</v>
      </c>
      <c r="J64" s="214" t="s">
        <v>70</v>
      </c>
      <c r="K64" s="212"/>
      <c r="L64" s="212"/>
      <c r="M64" s="212"/>
      <c r="N64" s="212"/>
      <c r="O64" s="212"/>
      <c r="P64" s="226"/>
      <c r="Q64" s="227"/>
      <c r="R64" s="212"/>
      <c r="S64" s="212"/>
      <c r="T64" s="212"/>
      <c r="U64" s="212"/>
      <c r="V64" s="212"/>
      <c r="W64" s="228"/>
      <c r="X64" s="212"/>
      <c r="Y64" s="448"/>
      <c r="Z64" s="443"/>
      <c r="AA64" s="443"/>
      <c r="AB64" s="442"/>
      <c r="AC64" s="229">
        <f>IF(ISERROR(LOOKUP(AC$16,$L64:$X64,#REF!)),0,(LOOKUP(AC$16,$L64:$X64,#REF!)))</f>
        <v>0</v>
      </c>
      <c r="AD64" s="230">
        <f>IF(ISERROR(LOOKUP(AD$16,$L64:$X64,#REF!)),0,(LOOKUP(AD$16,$L64:$X64,#REF!)))</f>
        <v>0</v>
      </c>
      <c r="AE64" s="230">
        <f>IF(ISERROR(LOOKUP(AE$16,$L64:$X64,#REF!)),0,(LOOKUP(AE$16,$L64:$X64,#REF!)))</f>
        <v>0</v>
      </c>
      <c r="AF64" s="230">
        <f>IF(ISERROR(LOOKUP(AF$16,$L64:$X64,#REF!)),0,(LOOKUP(AF$16,$L64:$X64,#REF!)))</f>
        <v>0</v>
      </c>
      <c r="AG64" s="230">
        <f>IF(ISERROR(LOOKUP(AG$16,$L64:$X64,#REF!)),0,(LOOKUP(AG$16,$L64:$X64,#REF!)))</f>
        <v>0</v>
      </c>
      <c r="AH64" s="230">
        <f>IF(ISERROR(LOOKUP(AH$16,$L64:$X64,#REF!)),0,(LOOKUP(AH$16,$L64:$X64,#REF!)))</f>
        <v>0</v>
      </c>
      <c r="AI64" s="230">
        <f>IF(ISERROR(LOOKUP(AI$16,$L64:$X64,#REF!)),0,(LOOKUP(AI$16,$L64:$X64,#REF!)))</f>
        <v>0</v>
      </c>
      <c r="AJ64" s="230">
        <f>IF(ISERROR(LOOKUP(AJ$16,$L64:$X64,#REF!)),0,(LOOKUP(AJ$16,$L64:$X64,#REF!)))</f>
        <v>0</v>
      </c>
      <c r="AK64" s="230">
        <f>IF(ISERROR(LOOKUP(AK$16,$L64:$X64,#REF!)),0,(LOOKUP(AK$16,$L64:$X64,#REF!)))</f>
        <v>0</v>
      </c>
      <c r="AL64" s="230">
        <f>IF(ISERROR(LOOKUP(AL$16,$L64:$X64,#REF!)),0,(LOOKUP(AL$16,$L64:$X64,#REF!)))</f>
        <v>0</v>
      </c>
      <c r="AM64" s="230">
        <f ca="1">IF(ISERROR(LOOKUP(AM$16,$L64:$X64,#REF!)),0,(LOOKUP(AM$16,$L64:$X64,#REF!)))</f>
        <v>0</v>
      </c>
      <c r="AO64" s="166">
        <f t="shared" si="0"/>
        <v>0</v>
      </c>
      <c r="AP64" s="212"/>
      <c r="AQ64" s="212"/>
      <c r="AR64" s="212"/>
      <c r="AS64" s="440"/>
      <c r="AW64" s="223" t="e">
        <v>#REF!</v>
      </c>
    </row>
    <row r="65" spans="1:49" s="166" customFormat="1" ht="20.25" customHeight="1">
      <c r="A65" s="482">
        <f>A62+1</f>
        <v>17</v>
      </c>
      <c r="B65" s="479"/>
      <c r="C65" s="458" t="s">
        <v>4759</v>
      </c>
      <c r="D65" s="458" t="s">
        <v>4760</v>
      </c>
      <c r="E65" s="213"/>
      <c r="F65" s="460" t="s">
        <v>121</v>
      </c>
      <c r="G65" s="458" t="s">
        <v>75</v>
      </c>
      <c r="H65" s="449"/>
      <c r="I65" s="212" t="s">
        <v>7</v>
      </c>
      <c r="J65" s="214" t="s">
        <v>4732</v>
      </c>
      <c r="K65" s="215">
        <f>WORKDAY(L65,-INDEX(L$12:L$15,MATCH($I65,$I$12:$I$15,0)))</f>
        <v>46190</v>
      </c>
      <c r="L65" s="215">
        <f>WORKDAY(M65,-INDEX(M$12:M$15,MATCH($I65,$I$12:$I$15,0)))</f>
        <v>46191</v>
      </c>
      <c r="M65" s="215">
        <f>WORKDAY(N65,-INDEX(N$12:N$15,MATCH($I65,$I$12:$I$15,0)))</f>
        <v>46198</v>
      </c>
      <c r="N65" s="215">
        <f>WORKDAY(O65,-INDEX(O$12:O$15,MATCH($I65,$I$12:$I$15,0)))</f>
        <v>46199</v>
      </c>
      <c r="O65" s="215">
        <f>WORKDAY(R65,-INDEX(R$12:R$15,MATCH($I65,$I$12:$I$15,0)))</f>
        <v>46206</v>
      </c>
      <c r="P65" s="216">
        <f>U65-L65</f>
        <v>76</v>
      </c>
      <c r="Q65" s="217"/>
      <c r="R65" s="215">
        <f>WORKDAY(S65,-INDEX(S$12:S$15,MATCH($I65,$I$12:$I$15,0)))</f>
        <v>46220</v>
      </c>
      <c r="S65" s="215">
        <f>WORKDAY(T65,-INDEX(T$12:T$15,MATCH($I65,$I$12:$I$15,0)))</f>
        <v>46248</v>
      </c>
      <c r="T65" s="215">
        <f>WORKDAY(U65,-INDEX(U$12:U$15,MATCH($I65,$I$12:$I$15,0)))</f>
        <v>46253</v>
      </c>
      <c r="U65" s="215">
        <f>X65-Y65</f>
        <v>46267</v>
      </c>
      <c r="V65" s="215">
        <f>WORKDAY(U65,INDEX(V$12:V$15,MATCH($I65,$I$12:$I$15,0)))</f>
        <v>46269</v>
      </c>
      <c r="W65" s="218">
        <f>Y65/7</f>
        <v>34</v>
      </c>
      <c r="X65" s="215">
        <f>Z65</f>
        <v>46505</v>
      </c>
      <c r="Y65" s="448">
        <f>34*7</f>
        <v>238</v>
      </c>
      <c r="Z65" s="443">
        <v>46505</v>
      </c>
      <c r="AA65" s="443">
        <v>46505</v>
      </c>
      <c r="AB65" s="442">
        <f>Z65-X66</f>
        <v>0</v>
      </c>
      <c r="AC65" s="220">
        <f>IF(ISERROR(LOOKUP(AC$16,$L65:$X65,#REF!)),0,(LOOKUP(AC$16,$L65:$X65,#REF!)))</f>
        <v>0</v>
      </c>
      <c r="AD65" s="221">
        <f>IF(ISERROR(LOOKUP(AD$16,$L65:$X65,#REF!)),0,(LOOKUP(AD$16,$L65:$X65,#REF!)))</f>
        <v>0</v>
      </c>
      <c r="AE65" s="221">
        <f>IF(ISERROR(LOOKUP(AE$16,$L65:$X65,#REF!)),0,(LOOKUP(AE$16,$L65:$X65,#REF!)))</f>
        <v>0</v>
      </c>
      <c r="AF65" s="221">
        <f>IF(ISERROR(LOOKUP(AF$16,$L65:$X65,#REF!)),0,(LOOKUP(AF$16,$L65:$X65,#REF!)))</f>
        <v>0</v>
      </c>
      <c r="AG65" s="221">
        <f>IF(ISERROR(LOOKUP(AG$16,$L65:$X65,#REF!)),0,(LOOKUP(AG$16,$L65:$X65,#REF!)))</f>
        <v>0</v>
      </c>
      <c r="AH65" s="221">
        <f>IF(ISERROR(LOOKUP(AH$16,$L65:$X65,#REF!)),0,(LOOKUP(AH$16,$L65:$X65,#REF!)))</f>
        <v>0</v>
      </c>
      <c r="AI65" s="221">
        <f>IF(ISERROR(LOOKUP(AI$16,$L65:$X65,#REF!)),0,(LOOKUP(AI$16,$L65:$X65,#REF!)))</f>
        <v>0</v>
      </c>
      <c r="AJ65" s="221">
        <f>IF(ISERROR(LOOKUP(AJ$16,$L65:$X65,#REF!)),0,(LOOKUP(AJ$16,$L65:$X65,#REF!)))</f>
        <v>0</v>
      </c>
      <c r="AK65" s="221">
        <f>IF(ISERROR(LOOKUP(AK$16,$L65:$X65,#REF!)),0,(LOOKUP(AK$16,$L65:$X65,#REF!)))</f>
        <v>0</v>
      </c>
      <c r="AL65" s="221">
        <f>IF(ISERROR(LOOKUP(AL$16,$L65:$X65,#REF!)),0,(LOOKUP(AL$16,$L65:$X65,#REF!)))</f>
        <v>0</v>
      </c>
      <c r="AM65" s="221">
        <f ca="1">IF(ISERROR(LOOKUP(AM$16,$L65:$X65,#REF!)),0,(LOOKUP(AM$16,$L65:$X65,#REF!)))</f>
        <v>0</v>
      </c>
      <c r="AO65" s="166">
        <f t="shared" si="0"/>
        <v>14</v>
      </c>
      <c r="AP65" s="215" t="e">
        <f>WORKDAY(AQ65,-INDEX(AQ$12:AQ$15,MATCH($I65,$I$12:$I$15,0)),$AW$17:$AW$148)</f>
        <v>#REF!</v>
      </c>
      <c r="AQ65" s="215" t="e">
        <f>WORKDAY(U65,-INDEX(U$12:U$15,MATCH($I65,$I$12:$I$15,0)),$AW$17:$AW$148)</f>
        <v>#REF!</v>
      </c>
      <c r="AR65" s="215" t="e">
        <f>WORKDAY(U65,-INDEX(U$12:U$15,MATCH($I65,$I$12:$I$15,0)),$AW$17:$AW$148)</f>
        <v>#REF!</v>
      </c>
      <c r="AS65" s="440">
        <v>14</v>
      </c>
      <c r="AW65" s="223" t="e">
        <v>#REF!</v>
      </c>
    </row>
    <row r="66" spans="1:49" s="166" customFormat="1" ht="20.25" customHeight="1">
      <c r="A66" s="482"/>
      <c r="B66" s="480"/>
      <c r="C66" s="458" t="str">
        <f>C65</f>
        <v>RFQ-017</v>
      </c>
      <c r="D66" s="458" t="str">
        <f>D65</f>
        <v>DC Distribution Board</v>
      </c>
      <c r="E66" s="224"/>
      <c r="F66" s="461"/>
      <c r="G66" s="458" t="str">
        <f>G65</f>
        <v>N</v>
      </c>
      <c r="H66" s="450"/>
      <c r="I66" s="212" t="str">
        <f>I65</f>
        <v>LB</v>
      </c>
      <c r="J66" s="214" t="s">
        <v>68</v>
      </c>
      <c r="K66" s="215">
        <f>K65</f>
        <v>46190</v>
      </c>
      <c r="L66" s="215">
        <f>WORKDAY(IF(K67="",K66,K67),INDEX(L$12:L$15,MATCH($I65,$I$12:$I$15,0)))</f>
        <v>46191</v>
      </c>
      <c r="M66" s="215">
        <f>WORKDAY(IF(L67="",L66,L67),INDEX(M$12:M$15,MATCH($I65,$I$12:$I$15,0)))</f>
        <v>46198</v>
      </c>
      <c r="N66" s="215">
        <f>WORKDAY(IF(M67="",M66,M67),INDEX(N$12:N$15,MATCH($I65,$I$12:$I$15,0)))</f>
        <v>46199</v>
      </c>
      <c r="O66" s="215">
        <f>WORKDAY(IF(N67="",N66,N67),INDEX(O$12:O$15,MATCH($I65,$I$12:$I$15,0)))</f>
        <v>46206</v>
      </c>
      <c r="P66" s="216"/>
      <c r="Q66" s="217"/>
      <c r="R66" s="215">
        <f>WORKDAY(IF(O67="",O66,O67),INDEX(R$12:R$15,MATCH($I65,$I$12:$I$15,0)))</f>
        <v>46220</v>
      </c>
      <c r="S66" s="215">
        <f>WORKDAY(IF(R67="",R66,R67),INDEX(S$12:S$15,MATCH($I65,$I$12:$I$15,0)))</f>
        <v>46248</v>
      </c>
      <c r="T66" s="215">
        <f>WORKDAY(IF(S67="",S66,S67),INDEX(T$12:T$15,MATCH($I65,$I$12:$I$15,0)))</f>
        <v>46253</v>
      </c>
      <c r="U66" s="215">
        <f>WORKDAY(IF(T67="",T66,T67),INDEX(U$12:U$15,MATCH($I65,$I$12:$I$15,0)))</f>
        <v>46267</v>
      </c>
      <c r="V66" s="215">
        <f>WORKDAY(IF(U67="",U66,U67),INDEX(V$12:V$15,MATCH($I65,$I$12:$I$15,0)))</f>
        <v>46269</v>
      </c>
      <c r="W66" s="218"/>
      <c r="X66" s="215">
        <f>U66+Y65</f>
        <v>46505</v>
      </c>
      <c r="Y66" s="448"/>
      <c r="Z66" s="443"/>
      <c r="AA66" s="443"/>
      <c r="AB66" s="442"/>
      <c r="AC66" s="220">
        <f>IF(ISERROR(LOOKUP(AC$16,$L66:$X66,#REF!)),0,(LOOKUP(AC$16,$L66:$X66,#REF!)))</f>
        <v>0</v>
      </c>
      <c r="AD66" s="221">
        <f>IF(ISERROR(LOOKUP(AD$16,$L66:$X66,#REF!)),0,(LOOKUP(AD$16,$L66:$X66,#REF!)))</f>
        <v>0</v>
      </c>
      <c r="AE66" s="221">
        <f>IF(ISERROR(LOOKUP(AE$16,$L66:$X66,#REF!)),0,(LOOKUP(AE$16,$L66:$X66,#REF!)))</f>
        <v>0</v>
      </c>
      <c r="AF66" s="221">
        <f>IF(ISERROR(LOOKUP(AF$16,$L66:$X66,#REF!)),0,(LOOKUP(AF$16,$L66:$X66,#REF!)))</f>
        <v>0</v>
      </c>
      <c r="AG66" s="221">
        <f>IF(ISERROR(LOOKUP(AG$16,$L66:$X66,#REF!)),0,(LOOKUP(AG$16,$L66:$X66,#REF!)))</f>
        <v>0</v>
      </c>
      <c r="AH66" s="221">
        <f>IF(ISERROR(LOOKUP(AH$16,$L66:$X66,#REF!)),0,(LOOKUP(AH$16,$L66:$X66,#REF!)))</f>
        <v>0</v>
      </c>
      <c r="AI66" s="221">
        <f>IF(ISERROR(LOOKUP(AI$16,$L66:$X66,#REF!)),0,(LOOKUP(AI$16,$L66:$X66,#REF!)))</f>
        <v>0</v>
      </c>
      <c r="AJ66" s="221">
        <f>IF(ISERROR(LOOKUP(AJ$16,$L66:$X66,#REF!)),0,(LOOKUP(AJ$16,$L66:$X66,#REF!)))</f>
        <v>0</v>
      </c>
      <c r="AK66" s="221">
        <f>IF(ISERROR(LOOKUP(AK$16,$L66:$X66,#REF!)),0,(LOOKUP(AK$16,$L66:$X66,#REF!)))</f>
        <v>0</v>
      </c>
      <c r="AL66" s="221">
        <f>IF(ISERROR(LOOKUP(AL$16,$L66:$X66,#REF!)),0,(LOOKUP(AL$16,$L66:$X66,#REF!)))</f>
        <v>0</v>
      </c>
      <c r="AM66" s="221">
        <f ca="1">IF(ISERROR(LOOKUP(AM$16,$L66:$X66,#REF!)),0,(LOOKUP(AM$16,$L66:$X66,#REF!)))</f>
        <v>0</v>
      </c>
      <c r="AO66" s="166">
        <f t="shared" si="0"/>
        <v>14</v>
      </c>
      <c r="AP66" s="215" t="e">
        <f>WORKDAY(IF(T67="",T66,T67),INDEX(AP$12:AP$15,MATCH($I65,$I$12:$I$15,0)),$AW$17:$AW$148)</f>
        <v>#REF!</v>
      </c>
      <c r="AQ66" s="215" t="e">
        <f>WORKDAY(IF(AP67="",AP66,AP67),INDEX(AQ$12:AQ$15,MATCH($I65,$I$12:$I$15,0)),$AW$17:$AW$148)</f>
        <v>#REF!</v>
      </c>
      <c r="AR66" s="215" t="e">
        <f>WORKDAY(IF(AQ67="",AQ66,AQ67),INDEX(AR$12:AR$15,MATCH($I65,$I$12:$I$15,0)),$AW$17:$AW$148)</f>
        <v>#REF!</v>
      </c>
      <c r="AS66" s="440"/>
      <c r="AW66" s="223" t="e">
        <v>#REF!</v>
      </c>
    </row>
    <row r="67" spans="1:49" s="166" customFormat="1" ht="20.25" customHeight="1">
      <c r="A67" s="482"/>
      <c r="B67" s="481"/>
      <c r="C67" s="458" t="str">
        <f>C65</f>
        <v>RFQ-017</v>
      </c>
      <c r="D67" s="458" t="str">
        <f>D65</f>
        <v>DC Distribution Board</v>
      </c>
      <c r="E67" s="225"/>
      <c r="F67" s="462"/>
      <c r="G67" s="458" t="str">
        <f>G65</f>
        <v>N</v>
      </c>
      <c r="H67" s="451"/>
      <c r="I67" s="212" t="str">
        <f>I65</f>
        <v>LB</v>
      </c>
      <c r="J67" s="214" t="s">
        <v>70</v>
      </c>
      <c r="K67" s="212"/>
      <c r="L67" s="212"/>
      <c r="M67" s="212"/>
      <c r="N67" s="212"/>
      <c r="O67" s="212"/>
      <c r="P67" s="226"/>
      <c r="Q67" s="227"/>
      <c r="R67" s="212"/>
      <c r="S67" s="212"/>
      <c r="T67" s="212"/>
      <c r="U67" s="212"/>
      <c r="V67" s="212"/>
      <c r="W67" s="228"/>
      <c r="X67" s="212"/>
      <c r="Y67" s="448"/>
      <c r="Z67" s="443"/>
      <c r="AA67" s="443"/>
      <c r="AB67" s="442"/>
      <c r="AC67" s="229">
        <f>IF(ISERROR(LOOKUP(AC$16,$L67:$X67,#REF!)),0,(LOOKUP(AC$16,$L67:$X67,#REF!)))</f>
        <v>0</v>
      </c>
      <c r="AD67" s="230">
        <f>IF(ISERROR(LOOKUP(AD$16,$L67:$X67,#REF!)),0,(LOOKUP(AD$16,$L67:$X67,#REF!)))</f>
        <v>0</v>
      </c>
      <c r="AE67" s="230">
        <f>IF(ISERROR(LOOKUP(AE$16,$L67:$X67,#REF!)),0,(LOOKUP(AE$16,$L67:$X67,#REF!)))</f>
        <v>0</v>
      </c>
      <c r="AF67" s="230">
        <f>IF(ISERROR(LOOKUP(AF$16,$L67:$X67,#REF!)),0,(LOOKUP(AF$16,$L67:$X67,#REF!)))</f>
        <v>0</v>
      </c>
      <c r="AG67" s="230">
        <f>IF(ISERROR(LOOKUP(AG$16,$L67:$X67,#REF!)),0,(LOOKUP(AG$16,$L67:$X67,#REF!)))</f>
        <v>0</v>
      </c>
      <c r="AH67" s="230">
        <f>IF(ISERROR(LOOKUP(AH$16,$L67:$X67,#REF!)),0,(LOOKUP(AH$16,$L67:$X67,#REF!)))</f>
        <v>0</v>
      </c>
      <c r="AI67" s="230">
        <f>IF(ISERROR(LOOKUP(AI$16,$L67:$X67,#REF!)),0,(LOOKUP(AI$16,$L67:$X67,#REF!)))</f>
        <v>0</v>
      </c>
      <c r="AJ67" s="230">
        <f>IF(ISERROR(LOOKUP(AJ$16,$L67:$X67,#REF!)),0,(LOOKUP(AJ$16,$L67:$X67,#REF!)))</f>
        <v>0</v>
      </c>
      <c r="AK67" s="230">
        <f>IF(ISERROR(LOOKUP(AK$16,$L67:$X67,#REF!)),0,(LOOKUP(AK$16,$L67:$X67,#REF!)))</f>
        <v>0</v>
      </c>
      <c r="AL67" s="230">
        <f>IF(ISERROR(LOOKUP(AL$16,$L67:$X67,#REF!)),0,(LOOKUP(AL$16,$L67:$X67,#REF!)))</f>
        <v>0</v>
      </c>
      <c r="AM67" s="230">
        <f ca="1">IF(ISERROR(LOOKUP(AM$16,$L67:$X67,#REF!)),0,(LOOKUP(AM$16,$L67:$X67,#REF!)))</f>
        <v>0</v>
      </c>
      <c r="AO67" s="166">
        <f t="shared" si="0"/>
        <v>0</v>
      </c>
      <c r="AP67" s="212"/>
      <c r="AQ67" s="212"/>
      <c r="AR67" s="212"/>
      <c r="AS67" s="440"/>
      <c r="AW67" s="223" t="e">
        <v>#REF!</v>
      </c>
    </row>
    <row r="68" spans="1:49" s="166" customFormat="1" ht="22.5" customHeight="1">
      <c r="A68" s="482">
        <f>A65+1</f>
        <v>18</v>
      </c>
      <c r="B68" s="479"/>
      <c r="C68" s="458" t="s">
        <v>4761</v>
      </c>
      <c r="D68" s="458" t="s">
        <v>125</v>
      </c>
      <c r="E68" s="213"/>
      <c r="F68" s="460" t="s">
        <v>121</v>
      </c>
      <c r="G68" s="458" t="str">
        <f>IF(_xlfn.XLOOKUP(C68,'[35]Before Award'!D:D,'[35]Before Award'!AV:AV,"N/A")="N/A","N","Y")</f>
        <v>N</v>
      </c>
      <c r="H68" s="449"/>
      <c r="I68" s="212" t="s">
        <v>6</v>
      </c>
      <c r="J68" s="214" t="s">
        <v>4732</v>
      </c>
      <c r="K68" s="215">
        <f>WORKDAY(L68,-INDEX(L$12:L$15,MATCH($I68,$I$12:$I$15,0)))</f>
        <v>46148</v>
      </c>
      <c r="L68" s="215">
        <f>WORKDAY(M68,-INDEX(M$12:M$15,MATCH($I68,$I$12:$I$15,0)))</f>
        <v>46149</v>
      </c>
      <c r="M68" s="215">
        <f>WORKDAY(N68,-INDEX(N$12:N$15,MATCH($I68,$I$12:$I$15,0)))</f>
        <v>46156</v>
      </c>
      <c r="N68" s="215">
        <f>WORKDAY(O68,-INDEX(O$12:O$15,MATCH($I68,$I$12:$I$15,0)))</f>
        <v>46157</v>
      </c>
      <c r="O68" s="215">
        <f>WORKDAY(R68,-INDEX(R$12:R$15,MATCH($I68,$I$12:$I$15,0)))</f>
        <v>46164</v>
      </c>
      <c r="P68" s="216">
        <f>U68-L68</f>
        <v>76</v>
      </c>
      <c r="Q68" s="217"/>
      <c r="R68" s="215">
        <f>WORKDAY(S68,-INDEX(S$12:S$15,MATCH($I68,$I$12:$I$15,0)))</f>
        <v>46178</v>
      </c>
      <c r="S68" s="215">
        <f>WORKDAY(T68,-INDEX(T$12:T$15,MATCH($I68,$I$12:$I$15,0)))</f>
        <v>46206</v>
      </c>
      <c r="T68" s="215">
        <f>WORKDAY(U68,-INDEX(U$12:U$15,MATCH($I68,$I$12:$I$15,0)))</f>
        <v>46211</v>
      </c>
      <c r="U68" s="215">
        <f>X68-Y68</f>
        <v>46225</v>
      </c>
      <c r="V68" s="215">
        <f>WORKDAY(U68,INDEX(V$12:V$15,MATCH($I68,$I$12:$I$15,0)))</f>
        <v>46227</v>
      </c>
      <c r="W68" s="218">
        <f>Y68/7</f>
        <v>36</v>
      </c>
      <c r="X68" s="215">
        <f>Z68</f>
        <v>46477</v>
      </c>
      <c r="Y68" s="448">
        <f>36*7</f>
        <v>252</v>
      </c>
      <c r="Z68" s="443">
        <v>46477</v>
      </c>
      <c r="AA68" s="443">
        <v>46477</v>
      </c>
      <c r="AB68" s="442">
        <f>Z68-X69</f>
        <v>0</v>
      </c>
      <c r="AC68" s="220">
        <f>IF(ISERROR(LOOKUP(AC$16,$L68:$X68,#REF!)),0,(LOOKUP(AC$16,$L68:$X68,#REF!)))</f>
        <v>0</v>
      </c>
      <c r="AD68" s="221">
        <f>IF(ISERROR(LOOKUP(AD$16,$L68:$X68,#REF!)),0,(LOOKUP(AD$16,$L68:$X68,#REF!)))</f>
        <v>0</v>
      </c>
      <c r="AE68" s="221">
        <f>IF(ISERROR(LOOKUP(AE$16,$L68:$X68,#REF!)),0,(LOOKUP(AE$16,$L68:$X68,#REF!)))</f>
        <v>0</v>
      </c>
      <c r="AF68" s="221">
        <f>IF(ISERROR(LOOKUP(AF$16,$L68:$X68,#REF!)),0,(LOOKUP(AF$16,$L68:$X68,#REF!)))</f>
        <v>0</v>
      </c>
      <c r="AG68" s="221">
        <f>IF(ISERROR(LOOKUP(AG$16,$L68:$X68,#REF!)),0,(LOOKUP(AG$16,$L68:$X68,#REF!)))</f>
        <v>0</v>
      </c>
      <c r="AH68" s="221">
        <f>IF(ISERROR(LOOKUP(AH$16,$L68:$X68,#REF!)),0,(LOOKUP(AH$16,$L68:$X68,#REF!)))</f>
        <v>0</v>
      </c>
      <c r="AI68" s="221">
        <f>IF(ISERROR(LOOKUP(AI$16,$L68:$X68,#REF!)),0,(LOOKUP(AI$16,$L68:$X68,#REF!)))</f>
        <v>0</v>
      </c>
      <c r="AJ68" s="221">
        <f>IF(ISERROR(LOOKUP(AJ$16,$L68:$X68,#REF!)),0,(LOOKUP(AJ$16,$L68:$X68,#REF!)))</f>
        <v>0</v>
      </c>
      <c r="AK68" s="221">
        <f>IF(ISERROR(LOOKUP(AK$16,$L68:$X68,#REF!)),0,(LOOKUP(AK$16,$L68:$X68,#REF!)))</f>
        <v>0</v>
      </c>
      <c r="AL68" s="221">
        <f>IF(ISERROR(LOOKUP(AL$16,$L68:$X68,#REF!)),0,(LOOKUP(AL$16,$L68:$X68,#REF!)))</f>
        <v>0</v>
      </c>
      <c r="AM68" s="221">
        <f ca="1">IF(ISERROR(LOOKUP(AM$16,$L68:$X68,#REF!)),0,(LOOKUP(AM$16,$L68:$X68,#REF!)))</f>
        <v>0</v>
      </c>
      <c r="AO68" s="166">
        <f t="shared" si="0"/>
        <v>14</v>
      </c>
      <c r="AP68" s="215" t="e">
        <f>WORKDAY(AQ68,-INDEX(AQ$12:AQ$15,MATCH($I68,$I$12:$I$15,0)),$AW$17:$AW$148)</f>
        <v>#REF!</v>
      </c>
      <c r="AQ68" s="215" t="e">
        <f>WORKDAY(U68,-INDEX(U$12:U$15,MATCH($I68,$I$12:$I$15,0)),$AW$17:$AW$148)</f>
        <v>#REF!</v>
      </c>
      <c r="AR68" s="215" t="e">
        <f>WORKDAY(U68,-INDEX(U$12:U$15,MATCH($I68,$I$12:$I$15,0)),$AW$17:$AW$148)</f>
        <v>#REF!</v>
      </c>
      <c r="AS68" s="440">
        <v>14</v>
      </c>
      <c r="AW68" s="223" t="e">
        <v>#REF!</v>
      </c>
    </row>
    <row r="69" spans="1:49" s="166" customFormat="1" ht="22.5" customHeight="1">
      <c r="A69" s="482"/>
      <c r="B69" s="480"/>
      <c r="C69" s="458" t="str">
        <f>C68</f>
        <v>RFQ-018</v>
      </c>
      <c r="D69" s="458" t="str">
        <f>D68</f>
        <v>Solar Power System</v>
      </c>
      <c r="E69" s="224"/>
      <c r="F69" s="461"/>
      <c r="G69" s="458" t="str">
        <f>G68</f>
        <v>N</v>
      </c>
      <c r="H69" s="450"/>
      <c r="I69" s="212" t="str">
        <f>I68</f>
        <v>LA</v>
      </c>
      <c r="J69" s="214" t="s">
        <v>68</v>
      </c>
      <c r="K69" s="215">
        <f>K68</f>
        <v>46148</v>
      </c>
      <c r="L69" s="215">
        <f>WORKDAY(IF(K70="",K69,K70),INDEX(L$12:L$15,MATCH($I68,$I$12:$I$15,0)))</f>
        <v>46149</v>
      </c>
      <c r="M69" s="215">
        <f>WORKDAY(IF(L70="",L69,L70),INDEX(M$12:M$15,MATCH($I68,$I$12:$I$15,0)))</f>
        <v>46156</v>
      </c>
      <c r="N69" s="215">
        <f>WORKDAY(IF(M70="",M69,M70),INDEX(N$12:N$15,MATCH($I68,$I$12:$I$15,0)))</f>
        <v>46157</v>
      </c>
      <c r="O69" s="215">
        <f>WORKDAY(IF(N70="",N69,N70),INDEX(O$12:O$15,MATCH($I68,$I$12:$I$15,0)))</f>
        <v>46164</v>
      </c>
      <c r="P69" s="216"/>
      <c r="Q69" s="217"/>
      <c r="R69" s="215">
        <f>WORKDAY(IF(O70="",O69,O70),INDEX(R$12:R$15,MATCH($I68,$I$12:$I$15,0)))</f>
        <v>46178</v>
      </c>
      <c r="S69" s="215">
        <f>WORKDAY(IF(R70="",R69,R70),INDEX(S$12:S$15,MATCH($I68,$I$12:$I$15,0)))</f>
        <v>46206</v>
      </c>
      <c r="T69" s="215">
        <f>WORKDAY(IF(S70="",S69,S70),INDEX(T$12:T$15,MATCH($I68,$I$12:$I$15,0)))</f>
        <v>46211</v>
      </c>
      <c r="U69" s="215">
        <f>WORKDAY(IF(T70="",T69,T70),INDEX(U$12:U$15,MATCH($I68,$I$12:$I$15,0)))</f>
        <v>46225</v>
      </c>
      <c r="V69" s="215">
        <f>WORKDAY(IF(U70="",U69,U70),INDEX(V$12:V$15,MATCH($I68,$I$12:$I$15,0)))</f>
        <v>46227</v>
      </c>
      <c r="W69" s="218"/>
      <c r="X69" s="215">
        <f>U69+Y68</f>
        <v>46477</v>
      </c>
      <c r="Y69" s="448"/>
      <c r="Z69" s="443"/>
      <c r="AA69" s="443"/>
      <c r="AB69" s="442"/>
      <c r="AC69" s="220">
        <f>IF(ISERROR(LOOKUP(AC$16,$L69:$X69,#REF!)),0,(LOOKUP(AC$16,$L69:$X69,#REF!)))</f>
        <v>0</v>
      </c>
      <c r="AD69" s="221">
        <f>IF(ISERROR(LOOKUP(AD$16,$L69:$X69,#REF!)),0,(LOOKUP(AD$16,$L69:$X69,#REF!)))</f>
        <v>0</v>
      </c>
      <c r="AE69" s="221">
        <f>IF(ISERROR(LOOKUP(AE$16,$L69:$X69,#REF!)),0,(LOOKUP(AE$16,$L69:$X69,#REF!)))</f>
        <v>0</v>
      </c>
      <c r="AF69" s="221">
        <f>IF(ISERROR(LOOKUP(AF$16,$L69:$X69,#REF!)),0,(LOOKUP(AF$16,$L69:$X69,#REF!)))</f>
        <v>0</v>
      </c>
      <c r="AG69" s="221">
        <f>IF(ISERROR(LOOKUP(AG$16,$L69:$X69,#REF!)),0,(LOOKUP(AG$16,$L69:$X69,#REF!)))</f>
        <v>0</v>
      </c>
      <c r="AH69" s="221">
        <f>IF(ISERROR(LOOKUP(AH$16,$L69:$X69,#REF!)),0,(LOOKUP(AH$16,$L69:$X69,#REF!)))</f>
        <v>0</v>
      </c>
      <c r="AI69" s="221">
        <f>IF(ISERROR(LOOKUP(AI$16,$L69:$X69,#REF!)),0,(LOOKUP(AI$16,$L69:$X69,#REF!)))</f>
        <v>0</v>
      </c>
      <c r="AJ69" s="221">
        <f>IF(ISERROR(LOOKUP(AJ$16,$L69:$X69,#REF!)),0,(LOOKUP(AJ$16,$L69:$X69,#REF!)))</f>
        <v>0</v>
      </c>
      <c r="AK69" s="221">
        <f>IF(ISERROR(LOOKUP(AK$16,$L69:$X69,#REF!)),0,(LOOKUP(AK$16,$L69:$X69,#REF!)))</f>
        <v>0</v>
      </c>
      <c r="AL69" s="221">
        <f>IF(ISERROR(LOOKUP(AL$16,$L69:$X69,#REF!)),0,(LOOKUP(AL$16,$L69:$X69,#REF!)))</f>
        <v>0</v>
      </c>
      <c r="AM69" s="221">
        <f ca="1">IF(ISERROR(LOOKUP(AM$16,$L69:$X69,#REF!)),0,(LOOKUP(AM$16,$L69:$X69,#REF!)))</f>
        <v>0</v>
      </c>
      <c r="AO69" s="166">
        <f t="shared" si="0"/>
        <v>14</v>
      </c>
      <c r="AP69" s="215" t="e">
        <f>WORKDAY(IF(T70="",T69,T70),INDEX(AP$12:AP$15,MATCH($I68,$I$12:$I$15,0)),$AW$17:$AW$148)</f>
        <v>#REF!</v>
      </c>
      <c r="AQ69" s="215" t="e">
        <f>WORKDAY(IF(AP70="",AP69,AP70),INDEX(AQ$12:AQ$15,MATCH($I68,$I$12:$I$15,0)),$AW$17:$AW$148)</f>
        <v>#REF!</v>
      </c>
      <c r="AR69" s="215" t="e">
        <f>WORKDAY(IF(AQ70="",AQ69,AQ70),INDEX(AR$12:AR$15,MATCH($I68,$I$12:$I$15,0)),$AW$17:$AW$148)</f>
        <v>#REF!</v>
      </c>
      <c r="AS69" s="440"/>
      <c r="AW69" s="223" t="e">
        <v>#REF!</v>
      </c>
    </row>
    <row r="70" spans="1:49" s="166" customFormat="1" ht="15" customHeight="1">
      <c r="A70" s="482"/>
      <c r="B70" s="481"/>
      <c r="C70" s="458" t="str">
        <f>C68</f>
        <v>RFQ-018</v>
      </c>
      <c r="D70" s="458" t="str">
        <f>D68</f>
        <v>Solar Power System</v>
      </c>
      <c r="E70" s="225"/>
      <c r="F70" s="462"/>
      <c r="G70" s="458" t="str">
        <f>G68</f>
        <v>N</v>
      </c>
      <c r="H70" s="451"/>
      <c r="I70" s="212" t="str">
        <f>I68</f>
        <v>LA</v>
      </c>
      <c r="J70" s="214" t="s">
        <v>70</v>
      </c>
      <c r="K70" s="212"/>
      <c r="L70" s="212"/>
      <c r="M70" s="212"/>
      <c r="N70" s="212"/>
      <c r="O70" s="212"/>
      <c r="P70" s="226"/>
      <c r="Q70" s="227"/>
      <c r="R70" s="212"/>
      <c r="S70" s="212"/>
      <c r="T70" s="212"/>
      <c r="U70" s="212"/>
      <c r="V70" s="212"/>
      <c r="W70" s="228"/>
      <c r="X70" s="212"/>
      <c r="Y70" s="448"/>
      <c r="Z70" s="443"/>
      <c r="AA70" s="443"/>
      <c r="AB70" s="442"/>
      <c r="AC70" s="229">
        <f>IF(ISERROR(LOOKUP(AC$16,$L70:$X70,#REF!)),0,(LOOKUP(AC$16,$L70:$X70,#REF!)))</f>
        <v>0</v>
      </c>
      <c r="AD70" s="230">
        <f>IF(ISERROR(LOOKUP(AD$16,$L70:$X70,#REF!)),0,(LOOKUP(AD$16,$L70:$X70,#REF!)))</f>
        <v>0</v>
      </c>
      <c r="AE70" s="230">
        <f>IF(ISERROR(LOOKUP(AE$16,$L70:$X70,#REF!)),0,(LOOKUP(AE$16,$L70:$X70,#REF!)))</f>
        <v>0</v>
      </c>
      <c r="AF70" s="230">
        <f>IF(ISERROR(LOOKUP(AF$16,$L70:$X70,#REF!)),0,(LOOKUP(AF$16,$L70:$X70,#REF!)))</f>
        <v>0</v>
      </c>
      <c r="AG70" s="230">
        <f>IF(ISERROR(LOOKUP(AG$16,$L70:$X70,#REF!)),0,(LOOKUP(AG$16,$L70:$X70,#REF!)))</f>
        <v>0</v>
      </c>
      <c r="AH70" s="230">
        <f>IF(ISERROR(LOOKUP(AH$16,$L70:$X70,#REF!)),0,(LOOKUP(AH$16,$L70:$X70,#REF!)))</f>
        <v>0</v>
      </c>
      <c r="AI70" s="230">
        <f>IF(ISERROR(LOOKUP(AI$16,$L70:$X70,#REF!)),0,(LOOKUP(AI$16,$L70:$X70,#REF!)))</f>
        <v>0</v>
      </c>
      <c r="AJ70" s="230">
        <f>IF(ISERROR(LOOKUP(AJ$16,$L70:$X70,#REF!)),0,(LOOKUP(AJ$16,$L70:$X70,#REF!)))</f>
        <v>0</v>
      </c>
      <c r="AK70" s="230">
        <f>IF(ISERROR(LOOKUP(AK$16,$L70:$X70,#REF!)),0,(LOOKUP(AK$16,$L70:$X70,#REF!)))</f>
        <v>0</v>
      </c>
      <c r="AL70" s="230">
        <f>IF(ISERROR(LOOKUP(AL$16,$L70:$X70,#REF!)),0,(LOOKUP(AL$16,$L70:$X70,#REF!)))</f>
        <v>0</v>
      </c>
      <c r="AM70" s="230">
        <f ca="1">IF(ISERROR(LOOKUP(AM$16,$L70:$X70,#REF!)),0,(LOOKUP(AM$16,$L70:$X70,#REF!)))</f>
        <v>0</v>
      </c>
      <c r="AO70" s="166">
        <f t="shared" si="0"/>
        <v>0</v>
      </c>
      <c r="AP70" s="212"/>
      <c r="AQ70" s="212"/>
      <c r="AR70" s="212"/>
      <c r="AS70" s="440"/>
      <c r="AW70" s="223" t="e">
        <v>#REF!</v>
      </c>
    </row>
    <row r="71" spans="1:49" s="166" customFormat="1" ht="18" customHeight="1">
      <c r="A71" s="482">
        <f>A68+1</f>
        <v>19</v>
      </c>
      <c r="B71" s="479"/>
      <c r="C71" s="458" t="s">
        <v>4762</v>
      </c>
      <c r="D71" s="458" t="s">
        <v>128</v>
      </c>
      <c r="E71" s="213"/>
      <c r="F71" s="460" t="s">
        <v>121</v>
      </c>
      <c r="G71" s="459" t="s">
        <v>67</v>
      </c>
      <c r="H71" s="449"/>
      <c r="I71" s="212" t="s">
        <v>7</v>
      </c>
      <c r="J71" s="214" t="s">
        <v>4732</v>
      </c>
      <c r="K71" s="215">
        <f>WORKDAY(L71,-INDEX(L$12:L$15,MATCH($I71,$I$12:$I$15,0)))</f>
        <v>46197</v>
      </c>
      <c r="L71" s="215">
        <f>WORKDAY(M71,-INDEX(M$12:M$15,MATCH($I71,$I$12:$I$15,0)))</f>
        <v>46198</v>
      </c>
      <c r="M71" s="215">
        <f>WORKDAY(N71,-INDEX(N$12:N$15,MATCH($I71,$I$12:$I$15,0)))</f>
        <v>46205</v>
      </c>
      <c r="N71" s="215">
        <f>WORKDAY(O71,-INDEX(O$12:O$15,MATCH($I71,$I$12:$I$15,0)))</f>
        <v>46206</v>
      </c>
      <c r="O71" s="215">
        <f>WORKDAY(R71,-INDEX(R$12:R$15,MATCH($I71,$I$12:$I$15,0)))</f>
        <v>46213</v>
      </c>
      <c r="P71" s="216">
        <f>U71-L71</f>
        <v>76</v>
      </c>
      <c r="Q71" s="217"/>
      <c r="R71" s="215">
        <f>WORKDAY(S71,-INDEX(S$12:S$15,MATCH($I71,$I$12:$I$15,0)))</f>
        <v>46227</v>
      </c>
      <c r="S71" s="215">
        <f>WORKDAY(T71,-INDEX(T$12:T$15,MATCH($I71,$I$12:$I$15,0)))</f>
        <v>46255</v>
      </c>
      <c r="T71" s="215">
        <f>WORKDAY(U71,-INDEX(U$12:U$15,MATCH($I71,$I$12:$I$15,0)))</f>
        <v>46260</v>
      </c>
      <c r="U71" s="215">
        <f>X71-Y71</f>
        <v>46274</v>
      </c>
      <c r="V71" s="215">
        <f>WORKDAY(U71,INDEX(V$12:V$15,MATCH($I71,$I$12:$I$15,0)))</f>
        <v>46276</v>
      </c>
      <c r="W71" s="218">
        <f>Y71/7</f>
        <v>42</v>
      </c>
      <c r="X71" s="215">
        <f>Z71</f>
        <v>46568</v>
      </c>
      <c r="Y71" s="448">
        <v>294</v>
      </c>
      <c r="Z71" s="447">
        <v>46568</v>
      </c>
      <c r="AA71" s="443">
        <v>46598</v>
      </c>
      <c r="AB71" s="442">
        <f>Z71-X72</f>
        <v>0</v>
      </c>
      <c r="AC71" s="220">
        <f>IF(ISERROR(LOOKUP(AC$16,$L71:$X71,#REF!)),0,(LOOKUP(AC$16,$L71:$X71,#REF!)))</f>
        <v>0</v>
      </c>
      <c r="AD71" s="221">
        <f>IF(ISERROR(LOOKUP(AD$16,$L71:$X71,#REF!)),0,(LOOKUP(AD$16,$L71:$X71,#REF!)))</f>
        <v>0</v>
      </c>
      <c r="AE71" s="221">
        <f>IF(ISERROR(LOOKUP(AE$16,$L71:$X71,#REF!)),0,(LOOKUP(AE$16,$L71:$X71,#REF!)))</f>
        <v>0</v>
      </c>
      <c r="AF71" s="221">
        <f>IF(ISERROR(LOOKUP(AF$16,$L71:$X71,#REF!)),0,(LOOKUP(AF$16,$L71:$X71,#REF!)))</f>
        <v>0</v>
      </c>
      <c r="AG71" s="221">
        <f>IF(ISERROR(LOOKUP(AG$16,$L71:$X71,#REF!)),0,(LOOKUP(AG$16,$L71:$X71,#REF!)))</f>
        <v>0</v>
      </c>
      <c r="AH71" s="221">
        <f>IF(ISERROR(LOOKUP(AH$16,$L71:$X71,#REF!)),0,(LOOKUP(AH$16,$L71:$X71,#REF!)))</f>
        <v>0</v>
      </c>
      <c r="AI71" s="221">
        <f>IF(ISERROR(LOOKUP(AI$16,$L71:$X71,#REF!)),0,(LOOKUP(AI$16,$L71:$X71,#REF!)))</f>
        <v>0</v>
      </c>
      <c r="AJ71" s="221">
        <f>IF(ISERROR(LOOKUP(AJ$16,$L71:$X71,#REF!)),0,(LOOKUP(AJ$16,$L71:$X71,#REF!)))</f>
        <v>0</v>
      </c>
      <c r="AK71" s="221">
        <f>IF(ISERROR(LOOKUP(AK$16,$L71:$X71,#REF!)),0,(LOOKUP(AK$16,$L71:$X71,#REF!)))</f>
        <v>0</v>
      </c>
      <c r="AL71" s="221">
        <f>IF(ISERROR(LOOKUP(AL$16,$L71:$X71,#REF!)),0,(LOOKUP(AL$16,$L71:$X71,#REF!)))</f>
        <v>0</v>
      </c>
      <c r="AM71" s="221">
        <f ca="1">IF(ISERROR(LOOKUP(AM$16,$L71:$X71,#REF!)),0,(LOOKUP(AM$16,$L71:$X71,#REF!)))</f>
        <v>0</v>
      </c>
      <c r="AO71" s="166">
        <f t="shared" si="0"/>
        <v>14</v>
      </c>
      <c r="AP71" s="215" t="e">
        <f>WORKDAY(AQ71,-INDEX(AQ$12:AQ$15,MATCH($I71,$I$12:$I$15,0)),$AW$17:$AW$148)</f>
        <v>#REF!</v>
      </c>
      <c r="AQ71" s="215" t="e">
        <f>WORKDAY(U71,-INDEX(U$12:U$15,MATCH($I71,$I$12:$I$15,0)),$AW$17:$AW$148)</f>
        <v>#REF!</v>
      </c>
      <c r="AR71" s="215" t="e">
        <f>WORKDAY(U71,-INDEX(U$12:U$15,MATCH($I71,$I$12:$I$15,0)),$AW$17:$AW$148)</f>
        <v>#REF!</v>
      </c>
      <c r="AS71" s="440">
        <v>14</v>
      </c>
      <c r="AW71" s="223" t="e">
        <v>#REF!</v>
      </c>
    </row>
    <row r="72" spans="1:49" s="166" customFormat="1" ht="18" customHeight="1">
      <c r="A72" s="482"/>
      <c r="B72" s="480"/>
      <c r="C72" s="458" t="str">
        <f>C71</f>
        <v>RFQ-019</v>
      </c>
      <c r="D72" s="458" t="str">
        <f>D71</f>
        <v>Navigation Aid System</v>
      </c>
      <c r="E72" s="224"/>
      <c r="F72" s="461"/>
      <c r="G72" s="459" t="str">
        <f>G71</f>
        <v>Y</v>
      </c>
      <c r="H72" s="450"/>
      <c r="I72" s="212" t="str">
        <f>I71</f>
        <v>LB</v>
      </c>
      <c r="J72" s="214" t="s">
        <v>68</v>
      </c>
      <c r="K72" s="215">
        <f>K71</f>
        <v>46197</v>
      </c>
      <c r="L72" s="215">
        <f>WORKDAY(IF(K73="",K72,K73),INDEX(L$12:L$15,MATCH($I71,$I$12:$I$15,0)))</f>
        <v>46198</v>
      </c>
      <c r="M72" s="215">
        <f>WORKDAY(IF(L73="",L72,L73),INDEX(M$12:M$15,MATCH($I71,$I$12:$I$15,0)))</f>
        <v>46205</v>
      </c>
      <c r="N72" s="215">
        <f>WORKDAY(IF(M73="",M72,M73),INDEX(N$12:N$15,MATCH($I71,$I$12:$I$15,0)))</f>
        <v>46206</v>
      </c>
      <c r="O72" s="215">
        <f>WORKDAY(IF(N73="",N72,N73),INDEX(O$12:O$15,MATCH($I71,$I$12:$I$15,0)))</f>
        <v>46213</v>
      </c>
      <c r="P72" s="216"/>
      <c r="Q72" s="217"/>
      <c r="R72" s="215">
        <f>WORKDAY(IF(O73="",O72,O73),INDEX(R$12:R$15,MATCH($I71,$I$12:$I$15,0)))</f>
        <v>46227</v>
      </c>
      <c r="S72" s="215">
        <f>WORKDAY(IF(R73="",R72,R73),INDEX(S$12:S$15,MATCH($I71,$I$12:$I$15,0)))</f>
        <v>46255</v>
      </c>
      <c r="T72" s="215">
        <f>WORKDAY(IF(S73="",S72,S73),INDEX(T$12:T$15,MATCH($I71,$I$12:$I$15,0)))</f>
        <v>46260</v>
      </c>
      <c r="U72" s="215">
        <f>WORKDAY(IF(T73="",T72,T73),INDEX(U$12:U$15,MATCH($I71,$I$12:$I$15,0)))</f>
        <v>46274</v>
      </c>
      <c r="V72" s="215">
        <f>WORKDAY(IF(U73="",U72,U73),INDEX(V$12:V$15,MATCH($I71,$I$12:$I$15,0)))</f>
        <v>46276</v>
      </c>
      <c r="W72" s="218"/>
      <c r="X72" s="215">
        <f>U72+Y71</f>
        <v>46568</v>
      </c>
      <c r="Y72" s="448"/>
      <c r="Z72" s="447"/>
      <c r="AA72" s="443"/>
      <c r="AB72" s="442"/>
      <c r="AC72" s="220">
        <f>IF(ISERROR(LOOKUP(AC$16,$L72:$X72,#REF!)),0,(LOOKUP(AC$16,$L72:$X72,#REF!)))</f>
        <v>0</v>
      </c>
      <c r="AD72" s="221">
        <f>IF(ISERROR(LOOKUP(AD$16,$L72:$X72,#REF!)),0,(LOOKUP(AD$16,$L72:$X72,#REF!)))</f>
        <v>0</v>
      </c>
      <c r="AE72" s="221">
        <f>IF(ISERROR(LOOKUP(AE$16,$L72:$X72,#REF!)),0,(LOOKUP(AE$16,$L72:$X72,#REF!)))</f>
        <v>0</v>
      </c>
      <c r="AF72" s="221">
        <f>IF(ISERROR(LOOKUP(AF$16,$L72:$X72,#REF!)),0,(LOOKUP(AF$16,$L72:$X72,#REF!)))</f>
        <v>0</v>
      </c>
      <c r="AG72" s="221">
        <f>IF(ISERROR(LOOKUP(AG$16,$L72:$X72,#REF!)),0,(LOOKUP(AG$16,$L72:$X72,#REF!)))</f>
        <v>0</v>
      </c>
      <c r="AH72" s="221">
        <f>IF(ISERROR(LOOKUP(AH$16,$L72:$X72,#REF!)),0,(LOOKUP(AH$16,$L72:$X72,#REF!)))</f>
        <v>0</v>
      </c>
      <c r="AI72" s="221">
        <f>IF(ISERROR(LOOKUP(AI$16,$L72:$X72,#REF!)),0,(LOOKUP(AI$16,$L72:$X72,#REF!)))</f>
        <v>0</v>
      </c>
      <c r="AJ72" s="221">
        <f>IF(ISERROR(LOOKUP(AJ$16,$L72:$X72,#REF!)),0,(LOOKUP(AJ$16,$L72:$X72,#REF!)))</f>
        <v>0</v>
      </c>
      <c r="AK72" s="221">
        <f>IF(ISERROR(LOOKUP(AK$16,$L72:$X72,#REF!)),0,(LOOKUP(AK$16,$L72:$X72,#REF!)))</f>
        <v>0</v>
      </c>
      <c r="AL72" s="221">
        <f>IF(ISERROR(LOOKUP(AL$16,$L72:$X72,#REF!)),0,(LOOKUP(AL$16,$L72:$X72,#REF!)))</f>
        <v>0</v>
      </c>
      <c r="AM72" s="221">
        <f ca="1">IF(ISERROR(LOOKUP(AM$16,$L72:$X72,#REF!)),0,(LOOKUP(AM$16,$L72:$X72,#REF!)))</f>
        <v>0</v>
      </c>
      <c r="AP72" s="215" t="e">
        <f>WORKDAY(IF(T73="",T72,T73),INDEX(AP$12:AP$15,MATCH($I71,$I$12:$I$15,0)),$AW$17:$AW$148)</f>
        <v>#REF!</v>
      </c>
      <c r="AQ72" s="215" t="e">
        <f>WORKDAY(IF(AP73="",AP72,AP73),INDEX(AQ$12:AQ$15,MATCH($I71,$I$12:$I$15,0)),$AW$17:$AW$148)</f>
        <v>#REF!</v>
      </c>
      <c r="AR72" s="215" t="e">
        <f>WORKDAY(IF(AQ73="",AQ72,AQ73),INDEX(AR$12:AR$15,MATCH($I71,$I$12:$I$15,0)),$AW$17:$AW$148)</f>
        <v>#REF!</v>
      </c>
      <c r="AS72" s="440"/>
      <c r="AW72" s="223" t="e">
        <v>#REF!</v>
      </c>
    </row>
    <row r="73" spans="1:49" s="166" customFormat="1" ht="18" customHeight="1">
      <c r="A73" s="482"/>
      <c r="B73" s="481"/>
      <c r="C73" s="458" t="str">
        <f>C71</f>
        <v>RFQ-019</v>
      </c>
      <c r="D73" s="458" t="str">
        <f>D71</f>
        <v>Navigation Aid System</v>
      </c>
      <c r="E73" s="225"/>
      <c r="F73" s="462"/>
      <c r="G73" s="459" t="str">
        <f>G71</f>
        <v>Y</v>
      </c>
      <c r="H73" s="451"/>
      <c r="I73" s="212" t="str">
        <f>I71</f>
        <v>LB</v>
      </c>
      <c r="J73" s="214" t="s">
        <v>70</v>
      </c>
      <c r="K73" s="212"/>
      <c r="L73" s="212"/>
      <c r="M73" s="212"/>
      <c r="N73" s="212"/>
      <c r="O73" s="212"/>
      <c r="P73" s="226"/>
      <c r="Q73" s="227"/>
      <c r="R73" s="212"/>
      <c r="S73" s="212"/>
      <c r="T73" s="212"/>
      <c r="U73" s="212"/>
      <c r="V73" s="212"/>
      <c r="W73" s="228"/>
      <c r="X73" s="212"/>
      <c r="Y73" s="448"/>
      <c r="Z73" s="447"/>
      <c r="AA73" s="443"/>
      <c r="AB73" s="442"/>
      <c r="AC73" s="229">
        <f>IF(ISERROR(LOOKUP(AC$16,$L73:$X73,#REF!)),0,(LOOKUP(AC$16,$L73:$X73,#REF!)))</f>
        <v>0</v>
      </c>
      <c r="AD73" s="230">
        <f>IF(ISERROR(LOOKUP(AD$16,$L73:$X73,#REF!)),0,(LOOKUP(AD$16,$L73:$X73,#REF!)))</f>
        <v>0</v>
      </c>
      <c r="AE73" s="230">
        <f>IF(ISERROR(LOOKUP(AE$16,$L73:$X73,#REF!)),0,(LOOKUP(AE$16,$L73:$X73,#REF!)))</f>
        <v>0</v>
      </c>
      <c r="AF73" s="230">
        <f>IF(ISERROR(LOOKUP(AF$16,$L73:$X73,#REF!)),0,(LOOKUP(AF$16,$L73:$X73,#REF!)))</f>
        <v>0</v>
      </c>
      <c r="AG73" s="230">
        <f>IF(ISERROR(LOOKUP(AG$16,$L73:$X73,#REF!)),0,(LOOKUP(AG$16,$L73:$X73,#REF!)))</f>
        <v>0</v>
      </c>
      <c r="AH73" s="230">
        <f>IF(ISERROR(LOOKUP(AH$16,$L73:$X73,#REF!)),0,(LOOKUP(AH$16,$L73:$X73,#REF!)))</f>
        <v>0</v>
      </c>
      <c r="AI73" s="230">
        <f>IF(ISERROR(LOOKUP(AI$16,$L73:$X73,#REF!)),0,(LOOKUP(AI$16,$L73:$X73,#REF!)))</f>
        <v>0</v>
      </c>
      <c r="AJ73" s="230">
        <f>IF(ISERROR(LOOKUP(AJ$16,$L73:$X73,#REF!)),0,(LOOKUP(AJ$16,$L73:$X73,#REF!)))</f>
        <v>0</v>
      </c>
      <c r="AK73" s="230">
        <f>IF(ISERROR(LOOKUP(AK$16,$L73:$X73,#REF!)),0,(LOOKUP(AK$16,$L73:$X73,#REF!)))</f>
        <v>0</v>
      </c>
      <c r="AL73" s="230">
        <f>IF(ISERROR(LOOKUP(AL$16,$L73:$X73,#REF!)),0,(LOOKUP(AL$16,$L73:$X73,#REF!)))</f>
        <v>0</v>
      </c>
      <c r="AM73" s="230">
        <f ca="1">IF(ISERROR(LOOKUP(AM$16,$L73:$X73,#REF!)),0,(LOOKUP(AM$16,$L73:$X73,#REF!)))</f>
        <v>0</v>
      </c>
      <c r="AP73" s="212"/>
      <c r="AQ73" s="212"/>
      <c r="AR73" s="212"/>
      <c r="AS73" s="440"/>
      <c r="AW73" s="223" t="e">
        <v>#REF!</v>
      </c>
    </row>
    <row r="74" spans="1:49" s="166" customFormat="1" ht="18" customHeight="1">
      <c r="A74" s="483">
        <f>A71+1</f>
        <v>20</v>
      </c>
      <c r="B74" s="479"/>
      <c r="C74" s="459" t="s">
        <v>4763</v>
      </c>
      <c r="D74" s="459" t="s">
        <v>131</v>
      </c>
      <c r="E74" s="232"/>
      <c r="F74" s="469" t="s">
        <v>121</v>
      </c>
      <c r="G74" s="459" t="s">
        <v>67</v>
      </c>
      <c r="H74" s="455"/>
      <c r="I74" s="212" t="s">
        <v>8</v>
      </c>
      <c r="J74" s="214" t="s">
        <v>4732</v>
      </c>
      <c r="K74" s="215">
        <f>WORKDAY(L74,-INDEX(L$12:L$15,MATCH($I74,$I$12:$I$15,0)))</f>
        <v>46174</v>
      </c>
      <c r="L74" s="215">
        <f>WORKDAY(M74,-INDEX(M$12:M$15,MATCH($I74,$I$12:$I$15,0)))</f>
        <v>46177</v>
      </c>
      <c r="M74" s="215">
        <f>WORKDAY(N74,-INDEX(N$12:N$15,MATCH($I74,$I$12:$I$15,0)))</f>
        <v>46191</v>
      </c>
      <c r="N74" s="215">
        <f>WORKDAY(O74,-INDEX(O$12:O$15,MATCH($I74,$I$12:$I$15,0)))</f>
        <v>46192</v>
      </c>
      <c r="O74" s="215">
        <f>WORKDAY(R74,-INDEX(R$12:R$15,MATCH($I74,$I$12:$I$15,0)))</f>
        <v>46206</v>
      </c>
      <c r="P74" s="216">
        <f>U74-L74</f>
        <v>92</v>
      </c>
      <c r="Q74" s="217"/>
      <c r="R74" s="215">
        <f>WORKDAY(S74,-INDEX(S$12:S$15,MATCH($I74,$I$12:$I$15,0)))</f>
        <v>46220</v>
      </c>
      <c r="S74" s="215">
        <f>WORKDAY(T74,-INDEX(T$12:T$15,MATCH($I74,$I$12:$I$15,0)))</f>
        <v>46241</v>
      </c>
      <c r="T74" s="215">
        <f>WORKDAY(U74,-INDEX(U$12:U$15,MATCH($I74,$I$12:$I$15,0)))</f>
        <v>46255</v>
      </c>
      <c r="U74" s="215">
        <f>X74-Y74</f>
        <v>46269</v>
      </c>
      <c r="V74" s="215">
        <f>WORKDAY(U74,INDEX(V$12:V$15,MATCH($I74,$I$12:$I$15,0)))</f>
        <v>46273</v>
      </c>
      <c r="W74" s="218">
        <f>Y74/7</f>
        <v>36</v>
      </c>
      <c r="X74" s="215">
        <f>Z74</f>
        <v>46521</v>
      </c>
      <c r="Y74" s="448">
        <f>36*7</f>
        <v>252</v>
      </c>
      <c r="Z74" s="443">
        <v>46521</v>
      </c>
      <c r="AA74" s="443">
        <v>46521</v>
      </c>
      <c r="AB74" s="442">
        <f>Z74-X75</f>
        <v>0</v>
      </c>
      <c r="AC74" s="220">
        <f>IF(ISERROR(LOOKUP(AC$16,$L74:$X74,#REF!)),0,(LOOKUP(AC$16,$L74:$X74,#REF!)))</f>
        <v>0</v>
      </c>
      <c r="AD74" s="221">
        <f>IF(ISERROR(LOOKUP(AD$16,$L74:$X74,#REF!)),0,(LOOKUP(AD$16,$L74:$X74,#REF!)))</f>
        <v>0</v>
      </c>
      <c r="AE74" s="221">
        <f>IF(ISERROR(LOOKUP(AE$16,$L74:$X74,#REF!)),0,(LOOKUP(AE$16,$L74:$X74,#REF!)))</f>
        <v>0</v>
      </c>
      <c r="AF74" s="221">
        <f>IF(ISERROR(LOOKUP(AF$16,$L74:$X74,#REF!)),0,(LOOKUP(AF$16,$L74:$X74,#REF!)))</f>
        <v>0</v>
      </c>
      <c r="AG74" s="221">
        <f>IF(ISERROR(LOOKUP(AG$16,$L74:$X74,#REF!)),0,(LOOKUP(AG$16,$L74:$X74,#REF!)))</f>
        <v>0</v>
      </c>
      <c r="AH74" s="221">
        <f>IF(ISERROR(LOOKUP(AH$16,$L74:$X74,#REF!)),0,(LOOKUP(AH$16,$L74:$X74,#REF!)))</f>
        <v>0</v>
      </c>
      <c r="AI74" s="221">
        <f>IF(ISERROR(LOOKUP(AI$16,$L74:$X74,#REF!)),0,(LOOKUP(AI$16,$L74:$X74,#REF!)))</f>
        <v>0</v>
      </c>
      <c r="AJ74" s="221">
        <f>IF(ISERROR(LOOKUP(AJ$16,$L74:$X74,#REF!)),0,(LOOKUP(AJ$16,$L74:$X74,#REF!)))</f>
        <v>0</v>
      </c>
      <c r="AK74" s="221">
        <f>IF(ISERROR(LOOKUP(AK$16,$L74:$X74,#REF!)),0,(LOOKUP(AK$16,$L74:$X74,#REF!)))</f>
        <v>0</v>
      </c>
      <c r="AL74" s="221">
        <f>IF(ISERROR(LOOKUP(AL$16,$L74:$X74,#REF!)),0,(LOOKUP(AL$16,$L74:$X74,#REF!)))</f>
        <v>0</v>
      </c>
      <c r="AM74" s="221">
        <f ca="1">IF(ISERROR(LOOKUP(AM$16,$L74:$X74,#REF!)),0,(LOOKUP(AM$16,$L74:$X74,#REF!)))</f>
        <v>0</v>
      </c>
      <c r="AP74" s="215" t="e">
        <f>WORKDAY(AQ74,-INDEX(AQ$12:AQ$15,MATCH($I74,$I$12:$I$15,0)),$AW$17:$AW$148)</f>
        <v>#REF!</v>
      </c>
      <c r="AQ74" s="215" t="e">
        <f>WORKDAY(U74,-INDEX(U$12:U$15,MATCH($I74,$I$12:$I$15,0)),$AW$17:$AW$148)</f>
        <v>#REF!</v>
      </c>
      <c r="AR74" s="215" t="e">
        <f>WORKDAY(U74,-INDEX(U$12:U$15,MATCH($I74,$I$12:$I$15,0)),$AW$17:$AW$148)</f>
        <v>#REF!</v>
      </c>
      <c r="AS74" s="440">
        <v>14</v>
      </c>
      <c r="AW74" s="223" t="e">
        <v>#REF!</v>
      </c>
    </row>
    <row r="75" spans="1:49" s="166" customFormat="1" ht="18" customHeight="1">
      <c r="A75" s="483"/>
      <c r="B75" s="480"/>
      <c r="C75" s="459" t="str">
        <f>C74</f>
        <v>RFQ-020</v>
      </c>
      <c r="D75" s="459" t="str">
        <f>D74</f>
        <v>External Battery Charger</v>
      </c>
      <c r="E75" s="237"/>
      <c r="F75" s="470"/>
      <c r="G75" s="459" t="str">
        <f>G74</f>
        <v>Y</v>
      </c>
      <c r="H75" s="456"/>
      <c r="I75" s="212" t="str">
        <f>I74</f>
        <v>LC</v>
      </c>
      <c r="J75" s="214" t="s">
        <v>68</v>
      </c>
      <c r="K75" s="215">
        <f>K74</f>
        <v>46174</v>
      </c>
      <c r="L75" s="215">
        <f>WORKDAY(IF(K76="",K75,K76),INDEX(L$12:L$15,MATCH($I74,$I$12:$I$15,0)))</f>
        <v>46177</v>
      </c>
      <c r="M75" s="215">
        <f>WORKDAY(IF(L76="",L75,L76),INDEX(M$12:M$15,MATCH($I74,$I$12:$I$15,0)))</f>
        <v>46191</v>
      </c>
      <c r="N75" s="215">
        <f>WORKDAY(IF(M76="",M75,M76),INDEX(N$12:N$15,MATCH($I74,$I$12:$I$15,0)))</f>
        <v>46192</v>
      </c>
      <c r="O75" s="215">
        <f>WORKDAY(IF(N76="",N75,N76),INDEX(O$12:O$15,MATCH($I74,$I$12:$I$15,0)))</f>
        <v>46206</v>
      </c>
      <c r="P75" s="216"/>
      <c r="Q75" s="217"/>
      <c r="R75" s="215">
        <f>WORKDAY(IF(O76="",O75,O76),INDEX(R$12:R$15,MATCH($I74,$I$12:$I$15,0)))</f>
        <v>46220</v>
      </c>
      <c r="S75" s="215">
        <f>WORKDAY(IF(R76="",R75,R76),INDEX(S$12:S$15,MATCH($I74,$I$12:$I$15,0)))</f>
        <v>46241</v>
      </c>
      <c r="T75" s="215">
        <f>WORKDAY(IF(S76="",S75,S76),INDEX(T$12:T$15,MATCH($I74,$I$12:$I$15,0)))</f>
        <v>46255</v>
      </c>
      <c r="U75" s="215">
        <f>WORKDAY(IF(T76="",T75,T76),INDEX(U$12:U$15,MATCH($I74,$I$12:$I$15,0)))</f>
        <v>46269</v>
      </c>
      <c r="V75" s="215">
        <f>WORKDAY(IF(U76="",U75,U76),INDEX(V$12:V$15,MATCH($I74,$I$12:$I$15,0)))</f>
        <v>46273</v>
      </c>
      <c r="W75" s="218"/>
      <c r="X75" s="215">
        <f>U75+Y74</f>
        <v>46521</v>
      </c>
      <c r="Y75" s="448"/>
      <c r="Z75" s="443"/>
      <c r="AA75" s="443"/>
      <c r="AB75" s="442"/>
      <c r="AC75" s="220">
        <f>IF(ISERROR(LOOKUP(AC$16,$L75:$X75,#REF!)),0,(LOOKUP(AC$16,$L75:$X75,#REF!)))</f>
        <v>0</v>
      </c>
      <c r="AD75" s="221">
        <f>IF(ISERROR(LOOKUP(AD$16,$L75:$X75,#REF!)),0,(LOOKUP(AD$16,$L75:$X75,#REF!)))</f>
        <v>0</v>
      </c>
      <c r="AE75" s="221">
        <f>IF(ISERROR(LOOKUP(AE$16,$L75:$X75,#REF!)),0,(LOOKUP(AE$16,$L75:$X75,#REF!)))</f>
        <v>0</v>
      </c>
      <c r="AF75" s="221">
        <f>IF(ISERROR(LOOKUP(AF$16,$L75:$X75,#REF!)),0,(LOOKUP(AF$16,$L75:$X75,#REF!)))</f>
        <v>0</v>
      </c>
      <c r="AG75" s="221">
        <f>IF(ISERROR(LOOKUP(AG$16,$L75:$X75,#REF!)),0,(LOOKUP(AG$16,$L75:$X75,#REF!)))</f>
        <v>0</v>
      </c>
      <c r="AH75" s="221">
        <f>IF(ISERROR(LOOKUP(AH$16,$L75:$X75,#REF!)),0,(LOOKUP(AH$16,$L75:$X75,#REF!)))</f>
        <v>0</v>
      </c>
      <c r="AI75" s="221">
        <f>IF(ISERROR(LOOKUP(AI$16,$L75:$X75,#REF!)),0,(LOOKUP(AI$16,$L75:$X75,#REF!)))</f>
        <v>0</v>
      </c>
      <c r="AJ75" s="221">
        <f>IF(ISERROR(LOOKUP(AJ$16,$L75:$X75,#REF!)),0,(LOOKUP(AJ$16,$L75:$X75,#REF!)))</f>
        <v>0</v>
      </c>
      <c r="AK75" s="221">
        <f>IF(ISERROR(LOOKUP(AK$16,$L75:$X75,#REF!)),0,(LOOKUP(AK$16,$L75:$X75,#REF!)))</f>
        <v>0</v>
      </c>
      <c r="AL75" s="221">
        <f>IF(ISERROR(LOOKUP(AL$16,$L75:$X75,#REF!)),0,(LOOKUP(AL$16,$L75:$X75,#REF!)))</f>
        <v>0</v>
      </c>
      <c r="AM75" s="221">
        <f ca="1">IF(ISERROR(LOOKUP(AM$16,$L75:$X75,#REF!)),0,(LOOKUP(AM$16,$L75:$X75,#REF!)))</f>
        <v>0</v>
      </c>
      <c r="AP75" s="215" t="e">
        <f>WORKDAY(IF(T76="",T75,T76),INDEX(AP$12:AP$15,MATCH($I74,$I$12:$I$15,0)),$AW$17:$AW$148)</f>
        <v>#REF!</v>
      </c>
      <c r="AQ75" s="215" t="e">
        <f>WORKDAY(IF(AP76="",AP75,AP76),INDEX(AQ$12:AQ$15,MATCH($I74,$I$12:$I$15,0)),$AW$17:$AW$148)</f>
        <v>#REF!</v>
      </c>
      <c r="AR75" s="215" t="e">
        <f>WORKDAY(IF(AQ76="",AQ75,AQ76),INDEX(AR$12:AR$15,MATCH($I74,$I$12:$I$15,0)),$AW$17:$AW$148)</f>
        <v>#REF!</v>
      </c>
      <c r="AS75" s="440"/>
      <c r="AW75" s="223" t="e">
        <v>#REF!</v>
      </c>
    </row>
    <row r="76" spans="1:49" s="167" customFormat="1" ht="18" customHeight="1">
      <c r="A76" s="483"/>
      <c r="B76" s="481"/>
      <c r="C76" s="459" t="str">
        <f>C74</f>
        <v>RFQ-020</v>
      </c>
      <c r="D76" s="459" t="str">
        <f>D74</f>
        <v>External Battery Charger</v>
      </c>
      <c r="E76" s="238"/>
      <c r="F76" s="471"/>
      <c r="G76" s="459" t="str">
        <f>G74</f>
        <v>Y</v>
      </c>
      <c r="H76" s="457"/>
      <c r="I76" s="231" t="str">
        <f>I74</f>
        <v>LC</v>
      </c>
      <c r="J76" s="233" t="s">
        <v>70</v>
      </c>
      <c r="K76" s="212"/>
      <c r="L76" s="212"/>
      <c r="M76" s="212"/>
      <c r="N76" s="212"/>
      <c r="O76" s="212"/>
      <c r="P76" s="226"/>
      <c r="Q76" s="227"/>
      <c r="R76" s="212"/>
      <c r="S76" s="212"/>
      <c r="T76" s="212"/>
      <c r="U76" s="212"/>
      <c r="V76" s="212"/>
      <c r="W76" s="228"/>
      <c r="X76" s="212"/>
      <c r="Y76" s="448"/>
      <c r="Z76" s="443"/>
      <c r="AA76" s="443"/>
      <c r="AB76" s="442"/>
      <c r="AC76" s="239">
        <f>IF(ISERROR(LOOKUP(AC$16,$L76:$X76,#REF!)),0,(LOOKUP(AC$16,$L76:$X76,#REF!)))</f>
        <v>0</v>
      </c>
      <c r="AD76" s="240">
        <f>IF(ISERROR(LOOKUP(AD$16,$L76:$X76,#REF!)),0,(LOOKUP(AD$16,$L76:$X76,#REF!)))</f>
        <v>0</v>
      </c>
      <c r="AE76" s="240">
        <f>IF(ISERROR(LOOKUP(AE$16,$L76:$X76,#REF!)),0,(LOOKUP(AE$16,$L76:$X76,#REF!)))</f>
        <v>0</v>
      </c>
      <c r="AF76" s="240">
        <f>IF(ISERROR(LOOKUP(AF$16,$L76:$X76,#REF!)),0,(LOOKUP(AF$16,$L76:$X76,#REF!)))</f>
        <v>0</v>
      </c>
      <c r="AG76" s="240">
        <f>IF(ISERROR(LOOKUP(AG$16,$L76:$X76,#REF!)),0,(LOOKUP(AG$16,$L76:$X76,#REF!)))</f>
        <v>0</v>
      </c>
      <c r="AH76" s="240">
        <f>IF(ISERROR(LOOKUP(AH$16,$L76:$X76,#REF!)),0,(LOOKUP(AH$16,$L76:$X76,#REF!)))</f>
        <v>0</v>
      </c>
      <c r="AI76" s="240">
        <f>IF(ISERROR(LOOKUP(AI$16,$L76:$X76,#REF!)),0,(LOOKUP(AI$16,$L76:$X76,#REF!)))</f>
        <v>0</v>
      </c>
      <c r="AJ76" s="240">
        <f>IF(ISERROR(LOOKUP(AJ$16,$L76:$X76,#REF!)),0,(LOOKUP(AJ$16,$L76:$X76,#REF!)))</f>
        <v>0</v>
      </c>
      <c r="AK76" s="240">
        <f>IF(ISERROR(LOOKUP(AK$16,$L76:$X76,#REF!)),0,(LOOKUP(AK$16,$L76:$X76,#REF!)))</f>
        <v>0</v>
      </c>
      <c r="AL76" s="240">
        <f>IF(ISERROR(LOOKUP(AL$16,$L76:$X76,#REF!)),0,(LOOKUP(AL$16,$L76:$X76,#REF!)))</f>
        <v>0</v>
      </c>
      <c r="AM76" s="240">
        <f ca="1">IF(ISERROR(LOOKUP(AM$16,$L76:$X76,#REF!)),0,(LOOKUP(AM$16,$L76:$X76,#REF!)))</f>
        <v>0</v>
      </c>
      <c r="AP76" s="212"/>
      <c r="AQ76" s="212"/>
      <c r="AR76" s="212"/>
      <c r="AS76" s="440"/>
      <c r="AW76" s="236" t="e">
        <v>#REF!</v>
      </c>
    </row>
    <row r="77" spans="1:49" s="167" customFormat="1" ht="18" customHeight="1">
      <c r="A77" s="483">
        <f>A74+1</f>
        <v>21</v>
      </c>
      <c r="B77" s="479"/>
      <c r="C77" s="459" t="s">
        <v>4764</v>
      </c>
      <c r="D77" s="459" t="s">
        <v>133</v>
      </c>
      <c r="E77" s="232"/>
      <c r="F77" s="469" t="s">
        <v>134</v>
      </c>
      <c r="G77" s="459" t="s">
        <v>75</v>
      </c>
      <c r="H77" s="455"/>
      <c r="I77" s="231" t="s">
        <v>7</v>
      </c>
      <c r="J77" s="233" t="s">
        <v>4732</v>
      </c>
      <c r="K77" s="215">
        <f>WORKDAY(L77,-INDEX(L$12:L$15,MATCH($I77,$I$12:$I$15,0)))</f>
        <v>46258</v>
      </c>
      <c r="L77" s="215">
        <f>WORKDAY(M77,-INDEX(M$12:M$15,MATCH($I77,$I$12:$I$15,0)))</f>
        <v>46259</v>
      </c>
      <c r="M77" s="215">
        <f>WORKDAY(N77,-INDEX(N$12:N$15,MATCH($I77,$I$12:$I$15,0)))</f>
        <v>46266</v>
      </c>
      <c r="N77" s="215">
        <f>WORKDAY(O77,-INDEX(O$12:O$15,MATCH($I77,$I$12:$I$15,0)))</f>
        <v>46267</v>
      </c>
      <c r="O77" s="215">
        <f>WORKDAY(R77,-INDEX(R$12:R$15,MATCH($I77,$I$12:$I$15,0)))</f>
        <v>46274</v>
      </c>
      <c r="P77" s="216">
        <f>U77-L77</f>
        <v>76</v>
      </c>
      <c r="Q77" s="217"/>
      <c r="R77" s="215">
        <f>WORKDAY(S77,-INDEX(S$12:S$15,MATCH($I77,$I$12:$I$15,0)))</f>
        <v>46288</v>
      </c>
      <c r="S77" s="215">
        <f>WORKDAY(T77,-INDEX(T$12:T$15,MATCH($I77,$I$12:$I$15,0)))</f>
        <v>46316</v>
      </c>
      <c r="T77" s="215">
        <f>WORKDAY(U77,-INDEX(U$12:U$15,MATCH($I77,$I$12:$I$15,0)))</f>
        <v>46321</v>
      </c>
      <c r="U77" s="215">
        <f>X77-Y77</f>
        <v>46335</v>
      </c>
      <c r="V77" s="215">
        <f>WORKDAY(U77,INDEX(V$12:V$15,MATCH($I77,$I$12:$I$15,0)))</f>
        <v>46337</v>
      </c>
      <c r="W77" s="218">
        <f>Y77/7</f>
        <v>28.571428571428601</v>
      </c>
      <c r="X77" s="215">
        <f>Z77</f>
        <v>46535</v>
      </c>
      <c r="Y77" s="448">
        <v>200</v>
      </c>
      <c r="Z77" s="443">
        <v>46535</v>
      </c>
      <c r="AA77" s="443">
        <v>46535</v>
      </c>
      <c r="AB77" s="442">
        <f>Z77-X78</f>
        <v>0</v>
      </c>
      <c r="AC77" s="234">
        <f>IF(ISERROR(LOOKUP(AC$16,$L77:$X77,#REF!)),0,(LOOKUP(AC$16,$L77:$X77,#REF!)))</f>
        <v>0</v>
      </c>
      <c r="AD77" s="235">
        <f>IF(ISERROR(LOOKUP(AD$16,$L77:$X77,#REF!)),0,(LOOKUP(AD$16,$L77:$X77,#REF!)))</f>
        <v>0</v>
      </c>
      <c r="AE77" s="235">
        <f>IF(ISERROR(LOOKUP(AE$16,$L77:$X77,#REF!)),0,(LOOKUP(AE$16,$L77:$X77,#REF!)))</f>
        <v>0</v>
      </c>
      <c r="AF77" s="235">
        <f>IF(ISERROR(LOOKUP(AF$16,$L77:$X77,#REF!)),0,(LOOKUP(AF$16,$L77:$X77,#REF!)))</f>
        <v>0</v>
      </c>
      <c r="AG77" s="235">
        <f>IF(ISERROR(LOOKUP(AG$16,$L77:$X77,#REF!)),0,(LOOKUP(AG$16,$L77:$X77,#REF!)))</f>
        <v>0</v>
      </c>
      <c r="AH77" s="235">
        <f>IF(ISERROR(LOOKUP(AH$16,$L77:$X77,#REF!)),0,(LOOKUP(AH$16,$L77:$X77,#REF!)))</f>
        <v>0</v>
      </c>
      <c r="AI77" s="235">
        <f>IF(ISERROR(LOOKUP(AI$16,$L77:$X77,#REF!)),0,(LOOKUP(AI$16,$L77:$X77,#REF!)))</f>
        <v>0</v>
      </c>
      <c r="AJ77" s="235">
        <f>IF(ISERROR(LOOKUP(AJ$16,$L77:$X77,#REF!)),0,(LOOKUP(AJ$16,$L77:$X77,#REF!)))</f>
        <v>0</v>
      </c>
      <c r="AK77" s="235">
        <f>IF(ISERROR(LOOKUP(AK$16,$L77:$X77,#REF!)),0,(LOOKUP(AK$16,$L77:$X77,#REF!)))</f>
        <v>0</v>
      </c>
      <c r="AL77" s="235">
        <f>IF(ISERROR(LOOKUP(AL$16,$L77:$X77,#REF!)),0,(LOOKUP(AL$16,$L77:$X77,#REF!)))</f>
        <v>0</v>
      </c>
      <c r="AM77" s="235">
        <f ca="1">IF(ISERROR(LOOKUP(AM$16,$L77:$X77,#REF!)),0,(LOOKUP(AM$16,$L77:$X77,#REF!)))</f>
        <v>0</v>
      </c>
      <c r="AP77" s="215" t="e">
        <f>WORKDAY(AQ77,-INDEX(AQ$12:AQ$15,MATCH($I77,$I$12:$I$15,0)),$AW$17:$AW$148)</f>
        <v>#REF!</v>
      </c>
      <c r="AQ77" s="215" t="e">
        <f>WORKDAY(U77,-INDEX(U$12:U$15,MATCH($I77,$I$12:$I$15,0)),$AW$17:$AW$148)</f>
        <v>#REF!</v>
      </c>
      <c r="AR77" s="215" t="e">
        <f>WORKDAY(U77,-INDEX(U$12:U$15,MATCH($I77,$I$12:$I$15,0)),$AW$17:$AW$148)</f>
        <v>#REF!</v>
      </c>
      <c r="AS77" s="440">
        <v>7</v>
      </c>
      <c r="AW77" s="236" t="e">
        <v>#REF!</v>
      </c>
    </row>
    <row r="78" spans="1:49" s="167" customFormat="1" ht="18" customHeight="1">
      <c r="A78" s="483"/>
      <c r="B78" s="480"/>
      <c r="C78" s="459" t="str">
        <f>C77</f>
        <v>RFQ-021</v>
      </c>
      <c r="D78" s="459" t="str">
        <f>D77</f>
        <v>Control Valve</v>
      </c>
      <c r="E78" s="237"/>
      <c r="F78" s="470" t="str">
        <f>F77</f>
        <v>Instrument</v>
      </c>
      <c r="G78" s="459" t="str">
        <f>G77</f>
        <v>N</v>
      </c>
      <c r="H78" s="456"/>
      <c r="I78" s="231" t="str">
        <f>I77</f>
        <v>LB</v>
      </c>
      <c r="J78" s="233" t="s">
        <v>68</v>
      </c>
      <c r="K78" s="215">
        <f>K77</f>
        <v>46258</v>
      </c>
      <c r="L78" s="215">
        <f>WORKDAY(IF(K79="",K78,K79),INDEX(L$12:L$15,MATCH($I77,$I$12:$I$15,0)))</f>
        <v>46259</v>
      </c>
      <c r="M78" s="215">
        <f>WORKDAY(IF(L79="",L78,L79),INDEX(M$12:M$15,MATCH($I77,$I$12:$I$15,0)))</f>
        <v>46266</v>
      </c>
      <c r="N78" s="215">
        <f>WORKDAY(IF(M79="",M78,M79),INDEX(N$12:N$15,MATCH($I77,$I$12:$I$15,0)))</f>
        <v>46267</v>
      </c>
      <c r="O78" s="215">
        <f>WORKDAY(IF(N79="",N78,N79),INDEX(O$12:O$15,MATCH($I77,$I$12:$I$15,0)))</f>
        <v>46274</v>
      </c>
      <c r="P78" s="216"/>
      <c r="Q78" s="217"/>
      <c r="R78" s="215">
        <f>WORKDAY(IF(O79="",O78,O79),INDEX(R$12:R$15,MATCH($I77,$I$12:$I$15,0)))</f>
        <v>46288</v>
      </c>
      <c r="S78" s="215">
        <f>WORKDAY(IF(R79="",R78,R79),INDEX(S$12:S$15,MATCH($I77,$I$12:$I$15,0)))</f>
        <v>46316</v>
      </c>
      <c r="T78" s="215">
        <f>WORKDAY(IF(S79="",S78,S79),INDEX(T$12:T$15,MATCH($I77,$I$12:$I$15,0)))</f>
        <v>46321</v>
      </c>
      <c r="U78" s="215">
        <f>WORKDAY(IF(T79="",T78,T79),INDEX(U$12:U$15,MATCH($I77,$I$12:$I$15,0)))</f>
        <v>46335</v>
      </c>
      <c r="V78" s="215">
        <f>WORKDAY(IF(U79="",U78,U79),INDEX(V$12:V$15,MATCH($I77,$I$12:$I$15,0)))</f>
        <v>46337</v>
      </c>
      <c r="W78" s="218"/>
      <c r="X78" s="215">
        <f>U78+Y77</f>
        <v>46535</v>
      </c>
      <c r="Y78" s="448"/>
      <c r="Z78" s="443"/>
      <c r="AA78" s="443"/>
      <c r="AB78" s="442"/>
      <c r="AC78" s="234">
        <f>IF(ISERROR(LOOKUP(AC$16,$L78:$X78,#REF!)),0,(LOOKUP(AC$16,$L78:$X78,#REF!)))</f>
        <v>0</v>
      </c>
      <c r="AD78" s="235">
        <f>IF(ISERROR(LOOKUP(AD$16,$L78:$X78,#REF!)),0,(LOOKUP(AD$16,$L78:$X78,#REF!)))</f>
        <v>0</v>
      </c>
      <c r="AE78" s="235">
        <f>IF(ISERROR(LOOKUP(AE$16,$L78:$X78,#REF!)),0,(LOOKUP(AE$16,$L78:$X78,#REF!)))</f>
        <v>0</v>
      </c>
      <c r="AF78" s="235">
        <f>IF(ISERROR(LOOKUP(AF$16,$L78:$X78,#REF!)),0,(LOOKUP(AF$16,$L78:$X78,#REF!)))</f>
        <v>0</v>
      </c>
      <c r="AG78" s="235">
        <f>IF(ISERROR(LOOKUP(AG$16,$L78:$X78,#REF!)),0,(LOOKUP(AG$16,$L78:$X78,#REF!)))</f>
        <v>0</v>
      </c>
      <c r="AH78" s="235">
        <f>IF(ISERROR(LOOKUP(AH$16,$L78:$X78,#REF!)),0,(LOOKUP(AH$16,$L78:$X78,#REF!)))</f>
        <v>0</v>
      </c>
      <c r="AI78" s="235">
        <f>IF(ISERROR(LOOKUP(AI$16,$L78:$X78,#REF!)),0,(LOOKUP(AI$16,$L78:$X78,#REF!)))</f>
        <v>0</v>
      </c>
      <c r="AJ78" s="235">
        <f>IF(ISERROR(LOOKUP(AJ$16,$L78:$X78,#REF!)),0,(LOOKUP(AJ$16,$L78:$X78,#REF!)))</f>
        <v>0</v>
      </c>
      <c r="AK78" s="235">
        <f>IF(ISERROR(LOOKUP(AK$16,$L78:$X78,#REF!)),0,(LOOKUP(AK$16,$L78:$X78,#REF!)))</f>
        <v>0</v>
      </c>
      <c r="AL78" s="235">
        <f>IF(ISERROR(LOOKUP(AL$16,$L78:$X78,#REF!)),0,(LOOKUP(AL$16,$L78:$X78,#REF!)))</f>
        <v>0</v>
      </c>
      <c r="AM78" s="235">
        <f ca="1">IF(ISERROR(LOOKUP(AM$16,$L78:$X78,#REF!)),0,(LOOKUP(AM$16,$L78:$X78,#REF!)))</f>
        <v>0</v>
      </c>
      <c r="AP78" s="215" t="e">
        <f>WORKDAY(IF(T79="",T78,T79),INDEX(AP$12:AP$15,MATCH($I77,$I$12:$I$15,0)),$AW$17:$AW$148)</f>
        <v>#REF!</v>
      </c>
      <c r="AQ78" s="215" t="e">
        <f>WORKDAY(IF(AP79="",AP78,AP79),INDEX(AQ$12:AQ$15,MATCH($I77,$I$12:$I$15,0)),$AW$17:$AW$148)</f>
        <v>#REF!</v>
      </c>
      <c r="AR78" s="215" t="e">
        <f>WORKDAY(IF(AQ79="",AQ78,AQ79),INDEX(AR$12:AR$15,MATCH($I77,$I$12:$I$15,0)),$AW$17:$AW$148)</f>
        <v>#REF!</v>
      </c>
      <c r="AS78" s="440"/>
      <c r="AW78" s="236" t="e">
        <v>#REF!</v>
      </c>
    </row>
    <row r="79" spans="1:49" s="167" customFormat="1" ht="18" customHeight="1">
      <c r="A79" s="483"/>
      <c r="B79" s="481"/>
      <c r="C79" s="459" t="str">
        <f>C77</f>
        <v>RFQ-021</v>
      </c>
      <c r="D79" s="459" t="str">
        <f>D77</f>
        <v>Control Valve</v>
      </c>
      <c r="E79" s="238"/>
      <c r="F79" s="471" t="str">
        <f>F77</f>
        <v>Instrument</v>
      </c>
      <c r="G79" s="459" t="str">
        <f>G77</f>
        <v>N</v>
      </c>
      <c r="H79" s="457"/>
      <c r="I79" s="231" t="str">
        <f>I77</f>
        <v>LB</v>
      </c>
      <c r="J79" s="233" t="s">
        <v>70</v>
      </c>
      <c r="K79" s="212"/>
      <c r="L79" s="212"/>
      <c r="M79" s="212"/>
      <c r="N79" s="212"/>
      <c r="O79" s="212"/>
      <c r="P79" s="226"/>
      <c r="Q79" s="227"/>
      <c r="R79" s="212"/>
      <c r="S79" s="212"/>
      <c r="T79" s="212"/>
      <c r="U79" s="212"/>
      <c r="V79" s="212"/>
      <c r="W79" s="228"/>
      <c r="X79" s="212"/>
      <c r="Y79" s="448"/>
      <c r="Z79" s="443"/>
      <c r="AA79" s="443"/>
      <c r="AB79" s="442"/>
      <c r="AC79" s="239">
        <f>IF(ISERROR(LOOKUP(AC$16,$L79:$X79,#REF!)),0,(LOOKUP(AC$16,$L79:$X79,#REF!)))</f>
        <v>0</v>
      </c>
      <c r="AD79" s="240">
        <f>IF(ISERROR(LOOKUP(AD$16,$L79:$X79,#REF!)),0,(LOOKUP(AD$16,$L79:$X79,#REF!)))</f>
        <v>0</v>
      </c>
      <c r="AE79" s="240">
        <f>IF(ISERROR(LOOKUP(AE$16,$L79:$X79,#REF!)),0,(LOOKUP(AE$16,$L79:$X79,#REF!)))</f>
        <v>0</v>
      </c>
      <c r="AF79" s="240">
        <f>IF(ISERROR(LOOKUP(AF$16,$L79:$X79,#REF!)),0,(LOOKUP(AF$16,$L79:$X79,#REF!)))</f>
        <v>0</v>
      </c>
      <c r="AG79" s="240">
        <f>IF(ISERROR(LOOKUP(AG$16,$L79:$X79,#REF!)),0,(LOOKUP(AG$16,$L79:$X79,#REF!)))</f>
        <v>0</v>
      </c>
      <c r="AH79" s="240">
        <f>IF(ISERROR(LOOKUP(AH$16,$L79:$X79,#REF!)),0,(LOOKUP(AH$16,$L79:$X79,#REF!)))</f>
        <v>0</v>
      </c>
      <c r="AI79" s="240">
        <f>IF(ISERROR(LOOKUP(AI$16,$L79:$X79,#REF!)),0,(LOOKUP(AI$16,$L79:$X79,#REF!)))</f>
        <v>0</v>
      </c>
      <c r="AJ79" s="240">
        <f>IF(ISERROR(LOOKUP(AJ$16,$L79:$X79,#REF!)),0,(LOOKUP(AJ$16,$L79:$X79,#REF!)))</f>
        <v>0</v>
      </c>
      <c r="AK79" s="240">
        <f>IF(ISERROR(LOOKUP(AK$16,$L79:$X79,#REF!)),0,(LOOKUP(AK$16,$L79:$X79,#REF!)))</f>
        <v>0</v>
      </c>
      <c r="AL79" s="240">
        <f>IF(ISERROR(LOOKUP(AL$16,$L79:$X79,#REF!)),0,(LOOKUP(AL$16,$L79:$X79,#REF!)))</f>
        <v>0</v>
      </c>
      <c r="AM79" s="240">
        <f ca="1">IF(ISERROR(LOOKUP(AM$16,$L79:$X79,#REF!)),0,(LOOKUP(AM$16,$L79:$X79,#REF!)))</f>
        <v>0</v>
      </c>
      <c r="AP79" s="212"/>
      <c r="AQ79" s="212"/>
      <c r="AR79" s="212"/>
      <c r="AS79" s="440"/>
      <c r="AW79" s="236" t="e">
        <v>#REF!</v>
      </c>
    </row>
    <row r="80" spans="1:49" s="166" customFormat="1" ht="18" customHeight="1">
      <c r="A80" s="482">
        <f>A77+1</f>
        <v>22</v>
      </c>
      <c r="B80" s="479"/>
      <c r="C80" s="458" t="s">
        <v>4765</v>
      </c>
      <c r="D80" s="458" t="s">
        <v>138</v>
      </c>
      <c r="E80" s="213"/>
      <c r="F80" s="466" t="s">
        <v>134</v>
      </c>
      <c r="G80" s="458" t="s">
        <v>75</v>
      </c>
      <c r="H80" s="449"/>
      <c r="I80" s="212" t="s">
        <v>7</v>
      </c>
      <c r="J80" s="249" t="s">
        <v>4732</v>
      </c>
      <c r="K80" s="215">
        <f>WORKDAY(L80,-INDEX(L$12:L$15,MATCH($I80,$I$12:$I$15,0)))</f>
        <v>46261</v>
      </c>
      <c r="L80" s="215">
        <f>WORKDAY(M80,-INDEX(M$12:M$15,MATCH($I80,$I$12:$I$15,0)))</f>
        <v>46262</v>
      </c>
      <c r="M80" s="215">
        <f>WORKDAY(N80,-INDEX(N$12:N$15,MATCH($I80,$I$12:$I$15,0)))</f>
        <v>46269</v>
      </c>
      <c r="N80" s="215">
        <f>WORKDAY(O80,-INDEX(O$12:O$15,MATCH($I80,$I$12:$I$15,0)))</f>
        <v>46272</v>
      </c>
      <c r="O80" s="215">
        <f>WORKDAY(R80,-INDEX(R$12:R$15,MATCH($I80,$I$12:$I$15,0)))</f>
        <v>46279</v>
      </c>
      <c r="P80" s="216">
        <f>U80-L80</f>
        <v>76</v>
      </c>
      <c r="Q80" s="217"/>
      <c r="R80" s="215">
        <f>WORKDAY(S80,-INDEX(S$12:S$15,MATCH($I80,$I$12:$I$15,0)))</f>
        <v>46293</v>
      </c>
      <c r="S80" s="215">
        <f>WORKDAY(T80,-INDEX(T$12:T$15,MATCH($I80,$I$12:$I$15,0)))</f>
        <v>46321</v>
      </c>
      <c r="T80" s="215">
        <f>WORKDAY(U80,-INDEX(U$12:U$15,MATCH($I80,$I$12:$I$15,0)))</f>
        <v>46324</v>
      </c>
      <c r="U80" s="215">
        <f>X80-Y80</f>
        <v>46338</v>
      </c>
      <c r="V80" s="215">
        <f>WORKDAY(U80,INDEX(V$12:V$15,MATCH($I80,$I$12:$I$15,0)))</f>
        <v>46342</v>
      </c>
      <c r="W80" s="218">
        <f>Y80/7</f>
        <v>28.571428571428601</v>
      </c>
      <c r="X80" s="215">
        <f>Z80</f>
        <v>46538</v>
      </c>
      <c r="Y80" s="448">
        <v>200</v>
      </c>
      <c r="Z80" s="443">
        <v>46538</v>
      </c>
      <c r="AA80" s="443">
        <v>46538</v>
      </c>
      <c r="AB80" s="442">
        <f>Z80-X81</f>
        <v>0</v>
      </c>
      <c r="AC80" s="220">
        <f>IF(ISERROR(LOOKUP(AC$16,$L80:$X80,#REF!)),0,(LOOKUP(AC$16,$L80:$X80,#REF!)))</f>
        <v>0</v>
      </c>
      <c r="AD80" s="221">
        <f>IF(ISERROR(LOOKUP(AD$16,$L80:$X80,#REF!)),0,(LOOKUP(AD$16,$L80:$X80,#REF!)))</f>
        <v>0</v>
      </c>
      <c r="AE80" s="221">
        <f>IF(ISERROR(LOOKUP(AE$16,$L80:$X80,#REF!)),0,(LOOKUP(AE$16,$L80:$X80,#REF!)))</f>
        <v>0</v>
      </c>
      <c r="AF80" s="221">
        <f>IF(ISERROR(LOOKUP(AF$16,$L80:$X80,#REF!)),0,(LOOKUP(AF$16,$L80:$X80,#REF!)))</f>
        <v>0</v>
      </c>
      <c r="AG80" s="221">
        <f>IF(ISERROR(LOOKUP(AG$16,$L80:$X80,#REF!)),0,(LOOKUP(AG$16,$L80:$X80,#REF!)))</f>
        <v>0</v>
      </c>
      <c r="AH80" s="221">
        <f>IF(ISERROR(LOOKUP(AH$16,$L80:$X80,#REF!)),0,(LOOKUP(AH$16,$L80:$X80,#REF!)))</f>
        <v>0</v>
      </c>
      <c r="AI80" s="221">
        <f>IF(ISERROR(LOOKUP(AI$16,$L80:$X80,#REF!)),0,(LOOKUP(AI$16,$L80:$X80,#REF!)))</f>
        <v>0</v>
      </c>
      <c r="AJ80" s="221">
        <f>IF(ISERROR(LOOKUP(AJ$16,$L80:$X80,#REF!)),0,(LOOKUP(AJ$16,$L80:$X80,#REF!)))</f>
        <v>0</v>
      </c>
      <c r="AK80" s="221">
        <f>IF(ISERROR(LOOKUP(AK$16,$L80:$X80,#REF!)),0,(LOOKUP(AK$16,$L80:$X80,#REF!)))</f>
        <v>0</v>
      </c>
      <c r="AL80" s="221">
        <f>IF(ISERROR(LOOKUP(AL$16,$L80:$X80,#REF!)),0,(LOOKUP(AL$16,$L80:$X80,#REF!)))</f>
        <v>0</v>
      </c>
      <c r="AM80" s="221">
        <f ca="1">IF(ISERROR(LOOKUP(AM$16,$L80:$X80,#REF!)),0,(LOOKUP(AM$16,$L80:$X80,#REF!)))</f>
        <v>0</v>
      </c>
      <c r="AP80" s="215" t="e">
        <f>WORKDAY(AQ80,-INDEX(AQ$12:AQ$15,MATCH($I80,$I$12:$I$15,0)),$AW$17:$AW$148)</f>
        <v>#REF!</v>
      </c>
      <c r="AQ80" s="215" t="e">
        <f>WORKDAY(U80,-INDEX(U$12:U$15,MATCH($I80,$I$12:$I$15,0)),$AW$17:$AW$148)</f>
        <v>#REF!</v>
      </c>
      <c r="AR80" s="215" t="e">
        <f>WORKDAY(U80,-INDEX(U$12:U$15,MATCH($I80,$I$12:$I$15,0)),$AW$17:$AW$148)</f>
        <v>#REF!</v>
      </c>
      <c r="AS80" s="440">
        <v>7</v>
      </c>
      <c r="AW80" s="223" t="e">
        <v>#REF!</v>
      </c>
    </row>
    <row r="81" spans="1:49" s="166" customFormat="1" ht="18" customHeight="1">
      <c r="A81" s="482"/>
      <c r="B81" s="480"/>
      <c r="C81" s="458" t="str">
        <f>C80</f>
        <v>RFQ-022</v>
      </c>
      <c r="D81" s="458" t="str">
        <f>D80</f>
        <v>Self Regulator Valve</v>
      </c>
      <c r="E81" s="224"/>
      <c r="F81" s="467" t="str">
        <f>F80</f>
        <v>Instrument</v>
      </c>
      <c r="G81" s="458" t="str">
        <f>G80</f>
        <v>N</v>
      </c>
      <c r="H81" s="450"/>
      <c r="I81" s="212" t="str">
        <f>I80</f>
        <v>LB</v>
      </c>
      <c r="J81" s="249" t="s">
        <v>68</v>
      </c>
      <c r="K81" s="215">
        <f>K80</f>
        <v>46261</v>
      </c>
      <c r="L81" s="215">
        <f>WORKDAY(IF(K82="",K81,K82),INDEX(L$12:L$15,MATCH($I80,$I$12:$I$15,0)))</f>
        <v>46262</v>
      </c>
      <c r="M81" s="215">
        <f>WORKDAY(IF(L82="",L81,L82),INDEX(M$12:M$15,MATCH($I80,$I$12:$I$15,0)))</f>
        <v>46269</v>
      </c>
      <c r="N81" s="215">
        <f>WORKDAY(IF(M82="",M81,M82),INDEX(N$12:N$15,MATCH($I80,$I$12:$I$15,0)))</f>
        <v>46272</v>
      </c>
      <c r="O81" s="215">
        <f>WORKDAY(IF(N82="",N81,N82),INDEX(O$12:O$15,MATCH($I80,$I$12:$I$15,0)))</f>
        <v>46279</v>
      </c>
      <c r="P81" s="216"/>
      <c r="Q81" s="217"/>
      <c r="R81" s="215">
        <f>WORKDAY(IF(O82="",O81,O82),INDEX(R$12:R$15,MATCH($I80,$I$12:$I$15,0)))</f>
        <v>46293</v>
      </c>
      <c r="S81" s="215">
        <f>WORKDAY(IF(R82="",R81,R82),INDEX(S$12:S$15,MATCH($I80,$I$12:$I$15,0)))</f>
        <v>46321</v>
      </c>
      <c r="T81" s="215">
        <f>WORKDAY(IF(S82="",S81,S82),INDEX(T$12:T$15,MATCH($I80,$I$12:$I$15,0)))</f>
        <v>46324</v>
      </c>
      <c r="U81" s="215">
        <f>WORKDAY(IF(T82="",T81,T82),INDEX(U$12:U$15,MATCH($I80,$I$12:$I$15,0)))</f>
        <v>46338</v>
      </c>
      <c r="V81" s="215">
        <f>WORKDAY(IF(U82="",U81,U82),INDEX(V$12:V$15,MATCH($I80,$I$12:$I$15,0)))</f>
        <v>46342</v>
      </c>
      <c r="W81" s="218"/>
      <c r="X81" s="215">
        <f>U81+Y80</f>
        <v>46538</v>
      </c>
      <c r="Y81" s="448"/>
      <c r="Z81" s="443"/>
      <c r="AA81" s="443"/>
      <c r="AB81" s="442"/>
      <c r="AC81" s="220">
        <f>IF(ISERROR(LOOKUP(AC$16,$L81:$X81,#REF!)),0,(LOOKUP(AC$16,$L81:$X81,#REF!)))</f>
        <v>0</v>
      </c>
      <c r="AD81" s="221">
        <f>IF(ISERROR(LOOKUP(AD$16,$L81:$X81,#REF!)),0,(LOOKUP(AD$16,$L81:$X81,#REF!)))</f>
        <v>0</v>
      </c>
      <c r="AE81" s="221">
        <f>IF(ISERROR(LOOKUP(AE$16,$L81:$X81,#REF!)),0,(LOOKUP(AE$16,$L81:$X81,#REF!)))</f>
        <v>0</v>
      </c>
      <c r="AF81" s="221">
        <f>IF(ISERROR(LOOKUP(AF$16,$L81:$X81,#REF!)),0,(LOOKUP(AF$16,$L81:$X81,#REF!)))</f>
        <v>0</v>
      </c>
      <c r="AG81" s="221">
        <f>IF(ISERROR(LOOKUP(AG$16,$L81:$X81,#REF!)),0,(LOOKUP(AG$16,$L81:$X81,#REF!)))</f>
        <v>0</v>
      </c>
      <c r="AH81" s="221">
        <f>IF(ISERROR(LOOKUP(AH$16,$L81:$X81,#REF!)),0,(LOOKUP(AH$16,$L81:$X81,#REF!)))</f>
        <v>0</v>
      </c>
      <c r="AI81" s="221">
        <f>IF(ISERROR(LOOKUP(AI$16,$L81:$X81,#REF!)),0,(LOOKUP(AI$16,$L81:$X81,#REF!)))</f>
        <v>0</v>
      </c>
      <c r="AJ81" s="221">
        <f>IF(ISERROR(LOOKUP(AJ$16,$L81:$X81,#REF!)),0,(LOOKUP(AJ$16,$L81:$X81,#REF!)))</f>
        <v>0</v>
      </c>
      <c r="AK81" s="221">
        <f>IF(ISERROR(LOOKUP(AK$16,$L81:$X81,#REF!)),0,(LOOKUP(AK$16,$L81:$X81,#REF!)))</f>
        <v>0</v>
      </c>
      <c r="AL81" s="221">
        <f>IF(ISERROR(LOOKUP(AL$16,$L81:$X81,#REF!)),0,(LOOKUP(AL$16,$L81:$X81,#REF!)))</f>
        <v>0</v>
      </c>
      <c r="AM81" s="221">
        <f ca="1">IF(ISERROR(LOOKUP(AM$16,$L81:$X81,#REF!)),0,(LOOKUP(AM$16,$L81:$X81,#REF!)))</f>
        <v>0</v>
      </c>
      <c r="AP81" s="215" t="e">
        <f>WORKDAY(IF(T82="",T81,T82),INDEX(AP$12:AP$15,MATCH($I80,$I$12:$I$15,0)),$AW$17:$AW$148)</f>
        <v>#REF!</v>
      </c>
      <c r="AQ81" s="215" t="e">
        <f>WORKDAY(IF(AP82="",AP81,AP82),INDEX(AQ$12:AQ$15,MATCH($I80,$I$12:$I$15,0)),$AW$17:$AW$148)</f>
        <v>#REF!</v>
      </c>
      <c r="AR81" s="215" t="e">
        <f>WORKDAY(IF(AQ82="",AQ81,AQ82),INDEX(AR$12:AR$15,MATCH($I80,$I$12:$I$15,0)),$AW$17:$AW$148)</f>
        <v>#REF!</v>
      </c>
      <c r="AS81" s="440"/>
      <c r="AW81" s="223" t="e">
        <v>#REF!</v>
      </c>
    </row>
    <row r="82" spans="1:49" s="166" customFormat="1" ht="22.35" customHeight="1">
      <c r="A82" s="482"/>
      <c r="B82" s="481"/>
      <c r="C82" s="458" t="str">
        <f>C80</f>
        <v>RFQ-022</v>
      </c>
      <c r="D82" s="458" t="str">
        <f>D80</f>
        <v>Self Regulator Valve</v>
      </c>
      <c r="E82" s="225"/>
      <c r="F82" s="468" t="str">
        <f>F80</f>
        <v>Instrument</v>
      </c>
      <c r="G82" s="458" t="str">
        <f>G80</f>
        <v>N</v>
      </c>
      <c r="H82" s="451"/>
      <c r="I82" s="212" t="str">
        <f>I80</f>
        <v>LB</v>
      </c>
      <c r="J82" s="249" t="s">
        <v>70</v>
      </c>
      <c r="K82" s="212"/>
      <c r="L82" s="212"/>
      <c r="M82" s="212"/>
      <c r="N82" s="212"/>
      <c r="O82" s="212"/>
      <c r="P82" s="226"/>
      <c r="Q82" s="227"/>
      <c r="R82" s="212"/>
      <c r="S82" s="212"/>
      <c r="T82" s="212"/>
      <c r="U82" s="212"/>
      <c r="V82" s="212"/>
      <c r="W82" s="228"/>
      <c r="X82" s="212"/>
      <c r="Y82" s="448"/>
      <c r="Z82" s="443"/>
      <c r="AA82" s="443"/>
      <c r="AB82" s="442"/>
      <c r="AC82" s="229">
        <f>IF(ISERROR(LOOKUP(AC$16,$L82:$X82,#REF!)),0,(LOOKUP(AC$16,$L82:$X82,#REF!)))</f>
        <v>0</v>
      </c>
      <c r="AD82" s="230">
        <f>IF(ISERROR(LOOKUP(AD$16,$L82:$X82,#REF!)),0,(LOOKUP(AD$16,$L82:$X82,#REF!)))</f>
        <v>0</v>
      </c>
      <c r="AE82" s="230">
        <f>IF(ISERROR(LOOKUP(AE$16,$L82:$X82,#REF!)),0,(LOOKUP(AE$16,$L82:$X82,#REF!)))</f>
        <v>0</v>
      </c>
      <c r="AF82" s="230">
        <f>IF(ISERROR(LOOKUP(AF$16,$L82:$X82,#REF!)),0,(LOOKUP(AF$16,$L82:$X82,#REF!)))</f>
        <v>0</v>
      </c>
      <c r="AG82" s="230">
        <f>IF(ISERROR(LOOKUP(AG$16,$L82:$X82,#REF!)),0,(LOOKUP(AG$16,$L82:$X82,#REF!)))</f>
        <v>0</v>
      </c>
      <c r="AH82" s="230">
        <f>IF(ISERROR(LOOKUP(AH$16,$L82:$X82,#REF!)),0,(LOOKUP(AH$16,$L82:$X82,#REF!)))</f>
        <v>0</v>
      </c>
      <c r="AI82" s="230">
        <f>IF(ISERROR(LOOKUP(AI$16,$L82:$X82,#REF!)),0,(LOOKUP(AI$16,$L82:$X82,#REF!)))</f>
        <v>0</v>
      </c>
      <c r="AJ82" s="230">
        <f>IF(ISERROR(LOOKUP(AJ$16,$L82:$X82,#REF!)),0,(LOOKUP(AJ$16,$L82:$X82,#REF!)))</f>
        <v>0</v>
      </c>
      <c r="AK82" s="230">
        <f>IF(ISERROR(LOOKUP(AK$16,$L82:$X82,#REF!)),0,(LOOKUP(AK$16,$L82:$X82,#REF!)))</f>
        <v>0</v>
      </c>
      <c r="AL82" s="230">
        <f>IF(ISERROR(LOOKUP(AL$16,$L82:$X82,#REF!)),0,(LOOKUP(AL$16,$L82:$X82,#REF!)))</f>
        <v>0</v>
      </c>
      <c r="AM82" s="230">
        <f ca="1">IF(ISERROR(LOOKUP(AM$16,$L82:$X82,#REF!)),0,(LOOKUP(AM$16,$L82:$X82,#REF!)))</f>
        <v>0</v>
      </c>
      <c r="AP82" s="212"/>
      <c r="AQ82" s="212"/>
      <c r="AR82" s="212"/>
      <c r="AS82" s="440"/>
      <c r="AW82" s="223" t="e">
        <v>#REF!</v>
      </c>
    </row>
    <row r="83" spans="1:49" s="169" customFormat="1" ht="22.5" customHeight="1">
      <c r="A83" s="482">
        <f>A80+1</f>
        <v>23</v>
      </c>
      <c r="B83" s="479"/>
      <c r="C83" s="458" t="s">
        <v>4766</v>
      </c>
      <c r="D83" s="458" t="s">
        <v>141</v>
      </c>
      <c r="E83" s="213"/>
      <c r="F83" s="460" t="s">
        <v>134</v>
      </c>
      <c r="G83" s="458" t="s">
        <v>75</v>
      </c>
      <c r="H83" s="449"/>
      <c r="I83" s="190" t="s">
        <v>6</v>
      </c>
      <c r="J83" s="249" t="s">
        <v>4732</v>
      </c>
      <c r="K83" s="215">
        <f>WORKDAY(L83,-INDEX(L$12:L$15,MATCH($I83,$I$12:$I$15,0)))</f>
        <v>46153</v>
      </c>
      <c r="L83" s="215">
        <f>WORKDAY(M83,-INDEX(M$12:M$15,MATCH($I83,$I$12:$I$15,0)))</f>
        <v>46154</v>
      </c>
      <c r="M83" s="215">
        <f>WORKDAY(N83,-INDEX(N$12:N$15,MATCH($I83,$I$12:$I$15,0)))</f>
        <v>46161</v>
      </c>
      <c r="N83" s="215">
        <f>WORKDAY(O83,-INDEX(O$12:O$15,MATCH($I83,$I$12:$I$15,0)))</f>
        <v>46162</v>
      </c>
      <c r="O83" s="215">
        <f>WORKDAY(R83,-INDEX(R$12:R$15,MATCH($I83,$I$12:$I$15,0)))</f>
        <v>46169</v>
      </c>
      <c r="P83" s="216">
        <f>U83-L83</f>
        <v>76</v>
      </c>
      <c r="Q83" s="217"/>
      <c r="R83" s="215">
        <f>WORKDAY(S83,-INDEX(S$12:S$15,MATCH($I83,$I$12:$I$15,0)))</f>
        <v>46183</v>
      </c>
      <c r="S83" s="215">
        <f>WORKDAY(T83,-INDEX(T$12:T$15,MATCH($I83,$I$12:$I$15,0)))</f>
        <v>46211</v>
      </c>
      <c r="T83" s="215">
        <f>WORKDAY(U83,-INDEX(U$12:U$15,MATCH($I83,$I$12:$I$15,0)))</f>
        <v>46216</v>
      </c>
      <c r="U83" s="215">
        <f>X83-Y83</f>
        <v>46230</v>
      </c>
      <c r="V83" s="215">
        <f>WORKDAY(U83,INDEX(V$12:V$15,MATCH($I83,$I$12:$I$15,0)))</f>
        <v>46232</v>
      </c>
      <c r="W83" s="218">
        <f>Y83/7</f>
        <v>44</v>
      </c>
      <c r="X83" s="215">
        <f>Z83</f>
        <v>46538</v>
      </c>
      <c r="Y83" s="448">
        <f>44*7</f>
        <v>308</v>
      </c>
      <c r="Z83" s="443">
        <v>46538</v>
      </c>
      <c r="AA83" s="443">
        <v>46538</v>
      </c>
      <c r="AB83" s="442">
        <f>Z83-X84</f>
        <v>0</v>
      </c>
      <c r="AC83" s="250">
        <f>IF(ISERROR(LOOKUP(AC$16,$L83:$X83,#REF!)),0,(LOOKUP(AC$16,$L83:$X83,#REF!)))</f>
        <v>0</v>
      </c>
      <c r="AD83" s="251">
        <f>IF(ISERROR(LOOKUP(AD$16,$L83:$X83,#REF!)),0,(LOOKUP(AD$16,$L83:$X83,#REF!)))</f>
        <v>0</v>
      </c>
      <c r="AE83" s="251">
        <f>IF(ISERROR(LOOKUP(AE$16,$L83:$X83,#REF!)),0,(LOOKUP(AE$16,$L83:$X83,#REF!)))</f>
        <v>0</v>
      </c>
      <c r="AF83" s="251">
        <f>IF(ISERROR(LOOKUP(AF$16,$L83:$X83,#REF!)),0,(LOOKUP(AF$16,$L83:$X83,#REF!)))</f>
        <v>0</v>
      </c>
      <c r="AG83" s="251">
        <f>IF(ISERROR(LOOKUP(AG$16,$L83:$X83,#REF!)),0,(LOOKUP(AG$16,$L83:$X83,#REF!)))</f>
        <v>0</v>
      </c>
      <c r="AH83" s="251">
        <f>IF(ISERROR(LOOKUP(AH$16,$L83:$X83,#REF!)),0,(LOOKUP(AH$16,$L83:$X83,#REF!)))</f>
        <v>0</v>
      </c>
      <c r="AI83" s="251">
        <f>IF(ISERROR(LOOKUP(AI$16,$L83:$X83,#REF!)),0,(LOOKUP(AI$16,$L83:$X83,#REF!)))</f>
        <v>0</v>
      </c>
      <c r="AJ83" s="251">
        <f>IF(ISERROR(LOOKUP(AJ$16,$L83:$X83,#REF!)),0,(LOOKUP(AJ$16,$L83:$X83,#REF!)))</f>
        <v>0</v>
      </c>
      <c r="AK83" s="251">
        <f>IF(ISERROR(LOOKUP(AK$16,$L83:$X83,#REF!)),0,(LOOKUP(AK$16,$L83:$X83,#REF!)))</f>
        <v>0</v>
      </c>
      <c r="AL83" s="251">
        <f>IF(ISERROR(LOOKUP(AL$16,$L83:$X83,#REF!)),0,(LOOKUP(AL$16,$L83:$X83,#REF!)))</f>
        <v>0</v>
      </c>
      <c r="AM83" s="251">
        <f ca="1">IF(ISERROR(LOOKUP(AM$16,$L83:$X83,#REF!)),0,(LOOKUP(AM$16,$L83:$X83,#REF!)))</f>
        <v>0</v>
      </c>
      <c r="AP83" s="215" t="e">
        <f>WORKDAY(AQ83,-INDEX(AQ$12:AQ$15,MATCH($I83,$I$12:$I$15,0)),$AW$17:$AW$148)</f>
        <v>#REF!</v>
      </c>
      <c r="AQ83" s="215" t="e">
        <f>WORKDAY(U83,-INDEX(U$12:U$15,MATCH($I83,$I$12:$I$15,0)),$AW$17:$AW$148)</f>
        <v>#REF!</v>
      </c>
      <c r="AR83" s="215" t="e">
        <f>WORKDAY(U83,-INDEX(U$12:U$15,MATCH($I83,$I$12:$I$15,0)),$AW$17:$AW$148)</f>
        <v>#REF!</v>
      </c>
      <c r="AS83" s="440">
        <v>7</v>
      </c>
      <c r="AW83" s="252" t="e">
        <v>#REF!</v>
      </c>
    </row>
    <row r="84" spans="1:49" s="169" customFormat="1" ht="22.5" customHeight="1">
      <c r="A84" s="482"/>
      <c r="B84" s="480"/>
      <c r="C84" s="458" t="str">
        <f>C83</f>
        <v>RFQ-023</v>
      </c>
      <c r="D84" s="458" t="str">
        <f>D83</f>
        <v>Actuated Choke Valve</v>
      </c>
      <c r="E84" s="224"/>
      <c r="F84" s="461" t="str">
        <f>F83</f>
        <v>Instrument</v>
      </c>
      <c r="G84" s="458" t="str">
        <f>G83</f>
        <v>N</v>
      </c>
      <c r="H84" s="450"/>
      <c r="I84" s="212" t="str">
        <f>I83</f>
        <v>LA</v>
      </c>
      <c r="J84" s="253" t="s">
        <v>68</v>
      </c>
      <c r="K84" s="215">
        <f>K83</f>
        <v>46153</v>
      </c>
      <c r="L84" s="215">
        <f>WORKDAY(IF(K85="",K84,K85),INDEX(L$12:L$15,MATCH($I83,$I$12:$I$15,0)))</f>
        <v>46154</v>
      </c>
      <c r="M84" s="215">
        <f>WORKDAY(IF(L85="",L84,L85),INDEX(M$12:M$15,MATCH($I83,$I$12:$I$15,0)))</f>
        <v>46161</v>
      </c>
      <c r="N84" s="215">
        <f>WORKDAY(IF(M85="",M84,M85),INDEX(N$12:N$15,MATCH($I83,$I$12:$I$15,0)))</f>
        <v>46162</v>
      </c>
      <c r="O84" s="215">
        <f>WORKDAY(IF(N85="",N84,N85),INDEX(O$12:O$15,MATCH($I83,$I$12:$I$15,0)))</f>
        <v>46169</v>
      </c>
      <c r="P84" s="216"/>
      <c r="Q84" s="217"/>
      <c r="R84" s="215">
        <f>WORKDAY(IF(O85="",O84,O85),INDEX(R$12:R$15,MATCH($I83,$I$12:$I$15,0)))</f>
        <v>46183</v>
      </c>
      <c r="S84" s="215">
        <f>WORKDAY(IF(R85="",R84,R85),INDEX(S$12:S$15,MATCH($I83,$I$12:$I$15,0)))</f>
        <v>46211</v>
      </c>
      <c r="T84" s="215">
        <f>WORKDAY(IF(S85="",S84,S85),INDEX(T$12:T$15,MATCH($I83,$I$12:$I$15,0)))</f>
        <v>46216</v>
      </c>
      <c r="U84" s="215">
        <f>WORKDAY(IF(T85="",T84,T85),INDEX(U$12:U$15,MATCH($I83,$I$12:$I$15,0)))</f>
        <v>46230</v>
      </c>
      <c r="V84" s="215">
        <f>WORKDAY(IF(U85="",U84,U85),INDEX(V$12:V$15,MATCH($I83,$I$12:$I$15,0)))</f>
        <v>46232</v>
      </c>
      <c r="W84" s="218"/>
      <c r="X84" s="215">
        <f>U84+Y83</f>
        <v>46538</v>
      </c>
      <c r="Y84" s="448"/>
      <c r="Z84" s="443"/>
      <c r="AA84" s="443"/>
      <c r="AB84" s="442"/>
      <c r="AC84" s="250">
        <f>IF(ISERROR(LOOKUP(AC$16,$L84:$X84,#REF!)),0,(LOOKUP(AC$16,$L84:$X84,#REF!)))</f>
        <v>0</v>
      </c>
      <c r="AD84" s="251">
        <f>IF(ISERROR(LOOKUP(AD$16,$L84:$X84,#REF!)),0,(LOOKUP(AD$16,$L84:$X84,#REF!)))</f>
        <v>0</v>
      </c>
      <c r="AE84" s="251">
        <f>IF(ISERROR(LOOKUP(AE$16,$L84:$X84,#REF!)),0,(LOOKUP(AE$16,$L84:$X84,#REF!)))</f>
        <v>0</v>
      </c>
      <c r="AF84" s="251">
        <f>IF(ISERROR(LOOKUP(AF$16,$L84:$X84,#REF!)),0,(LOOKUP(AF$16,$L84:$X84,#REF!)))</f>
        <v>0</v>
      </c>
      <c r="AG84" s="251">
        <f>IF(ISERROR(LOOKUP(AG$16,$L84:$X84,#REF!)),0,(LOOKUP(AG$16,$L84:$X84,#REF!)))</f>
        <v>0</v>
      </c>
      <c r="AH84" s="251">
        <f>IF(ISERROR(LOOKUP(AH$16,$L84:$X84,#REF!)),0,(LOOKUP(AH$16,$L84:$X84,#REF!)))</f>
        <v>0</v>
      </c>
      <c r="AI84" s="251">
        <f>IF(ISERROR(LOOKUP(AI$16,$L84:$X84,#REF!)),0,(LOOKUP(AI$16,$L84:$X84,#REF!)))</f>
        <v>0</v>
      </c>
      <c r="AJ84" s="251">
        <f>IF(ISERROR(LOOKUP(AJ$16,$L84:$X84,#REF!)),0,(LOOKUP(AJ$16,$L84:$X84,#REF!)))</f>
        <v>0</v>
      </c>
      <c r="AK84" s="251">
        <f>IF(ISERROR(LOOKUP(AK$16,$L84:$X84,#REF!)),0,(LOOKUP(AK$16,$L84:$X84,#REF!)))</f>
        <v>0</v>
      </c>
      <c r="AL84" s="251">
        <f>IF(ISERROR(LOOKUP(AL$16,$L84:$X84,#REF!)),0,(LOOKUP(AL$16,$L84:$X84,#REF!)))</f>
        <v>0</v>
      </c>
      <c r="AM84" s="251">
        <f ca="1">IF(ISERROR(LOOKUP(AM$16,$L84:$X84,#REF!)),0,(LOOKUP(AM$16,$L84:$X84,#REF!)))</f>
        <v>0</v>
      </c>
      <c r="AP84" s="215" t="e">
        <f>WORKDAY(IF(T85="",T84,T85),INDEX(AP$12:AP$15,MATCH($I83,$I$12:$I$15,0)),$AW$17:$AW$148)</f>
        <v>#REF!</v>
      </c>
      <c r="AQ84" s="215" t="e">
        <f>WORKDAY(IF(AP85="",AP84,AP85),INDEX(AQ$12:AQ$15,MATCH($I83,$I$12:$I$15,0)),$AW$17:$AW$148)</f>
        <v>#REF!</v>
      </c>
      <c r="AR84" s="215" t="e">
        <f>WORKDAY(IF(AQ85="",AQ84,AQ85),INDEX(AR$12:AR$15,MATCH($I83,$I$12:$I$15,0)),$AW$17:$AW$148)</f>
        <v>#REF!</v>
      </c>
      <c r="AS84" s="440"/>
      <c r="AW84" s="252" t="e">
        <v>#REF!</v>
      </c>
    </row>
    <row r="85" spans="1:49" s="169" customFormat="1" ht="15" customHeight="1">
      <c r="A85" s="482"/>
      <c r="B85" s="481"/>
      <c r="C85" s="458" t="str">
        <f>C83</f>
        <v>RFQ-023</v>
      </c>
      <c r="D85" s="458" t="str">
        <f>D83</f>
        <v>Actuated Choke Valve</v>
      </c>
      <c r="E85" s="225"/>
      <c r="F85" s="462" t="str">
        <f>F83</f>
        <v>Instrument</v>
      </c>
      <c r="G85" s="458" t="str">
        <f>G83</f>
        <v>N</v>
      </c>
      <c r="H85" s="451"/>
      <c r="I85" s="212" t="str">
        <f>I83</f>
        <v>LA</v>
      </c>
      <c r="J85" s="249" t="s">
        <v>70</v>
      </c>
      <c r="K85" s="212"/>
      <c r="L85" s="212"/>
      <c r="M85" s="212"/>
      <c r="N85" s="212"/>
      <c r="O85" s="212"/>
      <c r="P85" s="226"/>
      <c r="Q85" s="227"/>
      <c r="R85" s="212"/>
      <c r="S85" s="212"/>
      <c r="T85" s="212"/>
      <c r="U85" s="212"/>
      <c r="V85" s="212"/>
      <c r="W85" s="228"/>
      <c r="X85" s="212"/>
      <c r="Y85" s="448"/>
      <c r="Z85" s="443"/>
      <c r="AA85" s="443"/>
      <c r="AB85" s="442"/>
      <c r="AC85" s="254">
        <f>IF(ISERROR(LOOKUP(AC$16,$L85:$X85,#REF!)),0,(LOOKUP(AC$16,$L85:$X85,#REF!)))</f>
        <v>0</v>
      </c>
      <c r="AD85" s="255">
        <f>IF(ISERROR(LOOKUP(AD$16,$L85:$X85,#REF!)),0,(LOOKUP(AD$16,$L85:$X85,#REF!)))</f>
        <v>0</v>
      </c>
      <c r="AE85" s="255">
        <f>IF(ISERROR(LOOKUP(AE$16,$L85:$X85,#REF!)),0,(LOOKUP(AE$16,$L85:$X85,#REF!)))</f>
        <v>0</v>
      </c>
      <c r="AF85" s="255">
        <f>IF(ISERROR(LOOKUP(AF$16,$L85:$X85,#REF!)),0,(LOOKUP(AF$16,$L85:$X85,#REF!)))</f>
        <v>0</v>
      </c>
      <c r="AG85" s="255">
        <f>IF(ISERROR(LOOKUP(AG$16,$L85:$X85,#REF!)),0,(LOOKUP(AG$16,$L85:$X85,#REF!)))</f>
        <v>0</v>
      </c>
      <c r="AH85" s="255">
        <f>IF(ISERROR(LOOKUP(AH$16,$L85:$X85,#REF!)),0,(LOOKUP(AH$16,$L85:$X85,#REF!)))</f>
        <v>0</v>
      </c>
      <c r="AI85" s="255">
        <f>IF(ISERROR(LOOKUP(AI$16,$L85:$X85,#REF!)),0,(LOOKUP(AI$16,$L85:$X85,#REF!)))</f>
        <v>0</v>
      </c>
      <c r="AJ85" s="255">
        <f>IF(ISERROR(LOOKUP(AJ$16,$L85:$X85,#REF!)),0,(LOOKUP(AJ$16,$L85:$X85,#REF!)))</f>
        <v>0</v>
      </c>
      <c r="AK85" s="255">
        <f>IF(ISERROR(LOOKUP(AK$16,$L85:$X85,#REF!)),0,(LOOKUP(AK$16,$L85:$X85,#REF!)))</f>
        <v>0</v>
      </c>
      <c r="AL85" s="255">
        <f>IF(ISERROR(LOOKUP(AL$16,$L85:$X85,#REF!)),0,(LOOKUP(AL$16,$L85:$X85,#REF!)))</f>
        <v>0</v>
      </c>
      <c r="AM85" s="255">
        <f ca="1">IF(ISERROR(LOOKUP(AM$16,$L85:$X85,#REF!)),0,(LOOKUP(AM$16,$L85:$X85,#REF!)))</f>
        <v>0</v>
      </c>
      <c r="AP85" s="212"/>
      <c r="AQ85" s="212"/>
      <c r="AR85" s="212"/>
      <c r="AS85" s="440"/>
      <c r="AW85" s="252" t="e">
        <v>#REF!</v>
      </c>
    </row>
    <row r="86" spans="1:49" s="166" customFormat="1" ht="18" customHeight="1">
      <c r="A86" s="482">
        <f>A83+1</f>
        <v>24</v>
      </c>
      <c r="B86" s="479"/>
      <c r="C86" s="458" t="s">
        <v>4767</v>
      </c>
      <c r="D86" s="458" t="s">
        <v>144</v>
      </c>
      <c r="E86" s="213"/>
      <c r="F86" s="466" t="s">
        <v>134</v>
      </c>
      <c r="G86" s="458" t="s">
        <v>75</v>
      </c>
      <c r="H86" s="449"/>
      <c r="I86" s="212" t="s">
        <v>7</v>
      </c>
      <c r="J86" s="249" t="s">
        <v>4732</v>
      </c>
      <c r="K86" s="215">
        <f>WORKDAY(L86,-INDEX(L$12:L$15,MATCH($I86,$I$12:$I$15,0)))</f>
        <v>46209</v>
      </c>
      <c r="L86" s="215">
        <f>WORKDAY(M86,-INDEX(M$12:M$15,MATCH($I86,$I$12:$I$15,0)))</f>
        <v>46210</v>
      </c>
      <c r="M86" s="215">
        <f>WORKDAY(N86,-INDEX(N$12:N$15,MATCH($I86,$I$12:$I$15,0)))</f>
        <v>46217</v>
      </c>
      <c r="N86" s="215">
        <f>WORKDAY(O86,-INDEX(O$12:O$15,MATCH($I86,$I$12:$I$15,0)))</f>
        <v>46218</v>
      </c>
      <c r="O86" s="215">
        <f>WORKDAY(R86,-INDEX(R$12:R$15,MATCH($I86,$I$12:$I$15,0)))</f>
        <v>46225</v>
      </c>
      <c r="P86" s="216">
        <f>U86-L86</f>
        <v>76</v>
      </c>
      <c r="Q86" s="217"/>
      <c r="R86" s="215">
        <f>WORKDAY(S86,-INDEX(S$12:S$15,MATCH($I86,$I$12:$I$15,0)))</f>
        <v>46239</v>
      </c>
      <c r="S86" s="215">
        <f>WORKDAY(T86,-INDEX(T$12:T$15,MATCH($I86,$I$12:$I$15,0)))</f>
        <v>46267</v>
      </c>
      <c r="T86" s="215">
        <f>WORKDAY(U86,-INDEX(U$12:U$15,MATCH($I86,$I$12:$I$15,0)))</f>
        <v>46272</v>
      </c>
      <c r="U86" s="215">
        <f>X86-Y86</f>
        <v>46286</v>
      </c>
      <c r="V86" s="215">
        <f>WORKDAY(U86,INDEX(V$12:V$15,MATCH($I86,$I$12:$I$15,0)))</f>
        <v>46288</v>
      </c>
      <c r="W86" s="218">
        <f>Y86/7</f>
        <v>36</v>
      </c>
      <c r="X86" s="215">
        <f>Z86</f>
        <v>46538</v>
      </c>
      <c r="Y86" s="448">
        <f>36*7</f>
        <v>252</v>
      </c>
      <c r="Z86" s="443">
        <v>46538</v>
      </c>
      <c r="AA86" s="443">
        <v>46538</v>
      </c>
      <c r="AB86" s="442">
        <f>Z86-X87</f>
        <v>0</v>
      </c>
      <c r="AC86" s="220">
        <f>IF(ISERROR(LOOKUP(AC$16,$L86:$X86,#REF!)),0,(LOOKUP(AC$16,$L86:$X86,#REF!)))</f>
        <v>0</v>
      </c>
      <c r="AD86" s="221">
        <f>IF(ISERROR(LOOKUP(AD$16,$L86:$X86,#REF!)),0,(LOOKUP(AD$16,$L86:$X86,#REF!)))</f>
        <v>0</v>
      </c>
      <c r="AE86" s="221">
        <f>IF(ISERROR(LOOKUP(AE$16,$L86:$X86,#REF!)),0,(LOOKUP(AE$16,$L86:$X86,#REF!)))</f>
        <v>0</v>
      </c>
      <c r="AF86" s="221">
        <f>IF(ISERROR(LOOKUP(AF$16,$L86:$X86,#REF!)),0,(LOOKUP(AF$16,$L86:$X86,#REF!)))</f>
        <v>0</v>
      </c>
      <c r="AG86" s="221">
        <f>IF(ISERROR(LOOKUP(AG$16,$L86:$X86,#REF!)),0,(LOOKUP(AG$16,$L86:$X86,#REF!)))</f>
        <v>0</v>
      </c>
      <c r="AH86" s="221">
        <f>IF(ISERROR(LOOKUP(AH$16,$L86:$X86,#REF!)),0,(LOOKUP(AH$16,$L86:$X86,#REF!)))</f>
        <v>0</v>
      </c>
      <c r="AI86" s="221">
        <f>IF(ISERROR(LOOKUP(AI$16,$L86:$X86,#REF!)),0,(LOOKUP(AI$16,$L86:$X86,#REF!)))</f>
        <v>0</v>
      </c>
      <c r="AJ86" s="221">
        <f>IF(ISERROR(LOOKUP(AJ$16,$L86:$X86,#REF!)),0,(LOOKUP(AJ$16,$L86:$X86,#REF!)))</f>
        <v>0</v>
      </c>
      <c r="AK86" s="221">
        <f>IF(ISERROR(LOOKUP(AK$16,$L86:$X86,#REF!)),0,(LOOKUP(AK$16,$L86:$X86,#REF!)))</f>
        <v>0</v>
      </c>
      <c r="AL86" s="221">
        <f>IF(ISERROR(LOOKUP(AL$16,$L86:$X86,#REF!)),0,(LOOKUP(AL$16,$L86:$X86,#REF!)))</f>
        <v>0</v>
      </c>
      <c r="AM86" s="221">
        <f ca="1">IF(ISERROR(LOOKUP(AM$16,$L86:$X86,#REF!)),0,(LOOKUP(AM$16,$L86:$X86,#REF!)))</f>
        <v>0</v>
      </c>
      <c r="AP86" s="215" t="e">
        <f>WORKDAY(AQ86,-INDEX(AQ$12:AQ$15,MATCH($I86,$I$12:$I$15,0)),$AW$17:$AW$148)</f>
        <v>#REF!</v>
      </c>
      <c r="AQ86" s="215" t="e">
        <f>WORKDAY(U86,-INDEX(U$12:U$15,MATCH($I86,$I$12:$I$15,0)),$AW$17:$AW$148)</f>
        <v>#REF!</v>
      </c>
      <c r="AR86" s="215" t="e">
        <f>WORKDAY(U86,-INDEX(U$12:U$15,MATCH($I86,$I$12:$I$15,0)),$AW$17:$AW$148)</f>
        <v>#REF!</v>
      </c>
      <c r="AS86" s="440">
        <v>7</v>
      </c>
      <c r="AW86" s="223" t="e">
        <v>#REF!</v>
      </c>
    </row>
    <row r="87" spans="1:49" s="166" customFormat="1" ht="18" customHeight="1">
      <c r="A87" s="482"/>
      <c r="B87" s="480"/>
      <c r="C87" s="458" t="str">
        <f>C86</f>
        <v>RFQ-024</v>
      </c>
      <c r="D87" s="458" t="str">
        <f>D86</f>
        <v>Actuated Ball Valve</v>
      </c>
      <c r="E87" s="224"/>
      <c r="F87" s="467" t="str">
        <f>F86</f>
        <v>Instrument</v>
      </c>
      <c r="G87" s="458" t="str">
        <f>G86</f>
        <v>N</v>
      </c>
      <c r="H87" s="450"/>
      <c r="I87" s="212" t="str">
        <f>I86</f>
        <v>LB</v>
      </c>
      <c r="J87" s="249" t="s">
        <v>68</v>
      </c>
      <c r="K87" s="215">
        <f>K86</f>
        <v>46209</v>
      </c>
      <c r="L87" s="215">
        <f>WORKDAY(IF(K88="",K87,K88),INDEX(L$12:L$15,MATCH($I86,$I$12:$I$15,0)))</f>
        <v>46210</v>
      </c>
      <c r="M87" s="215">
        <f>WORKDAY(IF(L88="",L87,L88),INDEX(M$12:M$15,MATCH($I86,$I$12:$I$15,0)))</f>
        <v>46217</v>
      </c>
      <c r="N87" s="215">
        <f>WORKDAY(IF(M88="",M87,M88),INDEX(N$12:N$15,MATCH($I86,$I$12:$I$15,0)))</f>
        <v>46218</v>
      </c>
      <c r="O87" s="215">
        <f>WORKDAY(IF(N88="",N87,N88),INDEX(O$12:O$15,MATCH($I86,$I$12:$I$15,0)))</f>
        <v>46225</v>
      </c>
      <c r="P87" s="216"/>
      <c r="Q87" s="217"/>
      <c r="R87" s="215">
        <f>WORKDAY(IF(O88="",O87,O88),INDEX(R$12:R$15,MATCH($I86,$I$12:$I$15,0)))</f>
        <v>46239</v>
      </c>
      <c r="S87" s="215">
        <f>WORKDAY(IF(R88="",R87,R88),INDEX(S$12:S$15,MATCH($I86,$I$12:$I$15,0)))</f>
        <v>46267</v>
      </c>
      <c r="T87" s="215">
        <f>WORKDAY(IF(S88="",S87,S88),INDEX(T$12:T$15,MATCH($I86,$I$12:$I$15,0)))</f>
        <v>46272</v>
      </c>
      <c r="U87" s="215">
        <f>WORKDAY(IF(T88="",T87,T88),INDEX(U$12:U$15,MATCH($I86,$I$12:$I$15,0)))</f>
        <v>46286</v>
      </c>
      <c r="V87" s="215">
        <f>WORKDAY(IF(U88="",U87,U88),INDEX(V$12:V$15,MATCH($I86,$I$12:$I$15,0)))</f>
        <v>46288</v>
      </c>
      <c r="W87" s="218"/>
      <c r="X87" s="215">
        <f>U87+Y86</f>
        <v>46538</v>
      </c>
      <c r="Y87" s="448"/>
      <c r="Z87" s="443"/>
      <c r="AA87" s="443"/>
      <c r="AB87" s="442"/>
      <c r="AC87" s="220">
        <f>IF(ISERROR(LOOKUP(AC$16,$L87:$X87,#REF!)),0,(LOOKUP(AC$16,$L87:$X87,#REF!)))</f>
        <v>0</v>
      </c>
      <c r="AD87" s="221">
        <f>IF(ISERROR(LOOKUP(AD$16,$L87:$X87,#REF!)),0,(LOOKUP(AD$16,$L87:$X87,#REF!)))</f>
        <v>0</v>
      </c>
      <c r="AE87" s="221">
        <f>IF(ISERROR(LOOKUP(AE$16,$L87:$X87,#REF!)),0,(LOOKUP(AE$16,$L87:$X87,#REF!)))</f>
        <v>0</v>
      </c>
      <c r="AF87" s="221">
        <f>IF(ISERROR(LOOKUP(AF$16,$L87:$X87,#REF!)),0,(LOOKUP(AF$16,$L87:$X87,#REF!)))</f>
        <v>0</v>
      </c>
      <c r="AG87" s="221">
        <f>IF(ISERROR(LOOKUP(AG$16,$L87:$X87,#REF!)),0,(LOOKUP(AG$16,$L87:$X87,#REF!)))</f>
        <v>0</v>
      </c>
      <c r="AH87" s="221">
        <f>IF(ISERROR(LOOKUP(AH$16,$L87:$X87,#REF!)),0,(LOOKUP(AH$16,$L87:$X87,#REF!)))</f>
        <v>0</v>
      </c>
      <c r="AI87" s="221">
        <f>IF(ISERROR(LOOKUP(AI$16,$L87:$X87,#REF!)),0,(LOOKUP(AI$16,$L87:$X87,#REF!)))</f>
        <v>0</v>
      </c>
      <c r="AJ87" s="221">
        <f>IF(ISERROR(LOOKUP(AJ$16,$L87:$X87,#REF!)),0,(LOOKUP(AJ$16,$L87:$X87,#REF!)))</f>
        <v>0</v>
      </c>
      <c r="AK87" s="221">
        <f>IF(ISERROR(LOOKUP(AK$16,$L87:$X87,#REF!)),0,(LOOKUP(AK$16,$L87:$X87,#REF!)))</f>
        <v>0</v>
      </c>
      <c r="AL87" s="221">
        <f>IF(ISERROR(LOOKUP(AL$16,$L87:$X87,#REF!)),0,(LOOKUP(AL$16,$L87:$X87,#REF!)))</f>
        <v>0</v>
      </c>
      <c r="AM87" s="221">
        <f ca="1">IF(ISERROR(LOOKUP(AM$16,$L87:$X87,#REF!)),0,(LOOKUP(AM$16,$L87:$X87,#REF!)))</f>
        <v>0</v>
      </c>
      <c r="AP87" s="215" t="e">
        <f>WORKDAY(IF(T88="",T87,T88),INDEX(AP$12:AP$15,MATCH($I86,$I$12:$I$15,0)),$AW$17:$AW$148)</f>
        <v>#REF!</v>
      </c>
      <c r="AQ87" s="215" t="e">
        <f>WORKDAY(IF(AP88="",AP87,AP88),INDEX(AQ$12:AQ$15,MATCH($I86,$I$12:$I$15,0)),$AW$17:$AW$148)</f>
        <v>#REF!</v>
      </c>
      <c r="AR87" s="215" t="e">
        <f>WORKDAY(IF(AQ88="",AQ87,AQ88),INDEX(AR$12:AR$15,MATCH($I86,$I$12:$I$15,0)),$AW$17:$AW$148)</f>
        <v>#REF!</v>
      </c>
      <c r="AS87" s="440"/>
      <c r="AW87" s="223" t="e">
        <v>#REF!</v>
      </c>
    </row>
    <row r="88" spans="1:49" s="166" customFormat="1" ht="18" customHeight="1">
      <c r="A88" s="482"/>
      <c r="B88" s="481"/>
      <c r="C88" s="458" t="str">
        <f>C86</f>
        <v>RFQ-024</v>
      </c>
      <c r="D88" s="458" t="str">
        <f>D86</f>
        <v>Actuated Ball Valve</v>
      </c>
      <c r="E88" s="225"/>
      <c r="F88" s="468" t="str">
        <f>F86</f>
        <v>Instrument</v>
      </c>
      <c r="G88" s="458" t="str">
        <f>G86</f>
        <v>N</v>
      </c>
      <c r="H88" s="451"/>
      <c r="I88" s="212" t="str">
        <f>I86</f>
        <v>LB</v>
      </c>
      <c r="J88" s="249" t="s">
        <v>70</v>
      </c>
      <c r="K88" s="212"/>
      <c r="L88" s="212"/>
      <c r="M88" s="212"/>
      <c r="N88" s="212"/>
      <c r="O88" s="212"/>
      <c r="P88" s="226"/>
      <c r="Q88" s="227"/>
      <c r="R88" s="212"/>
      <c r="S88" s="212"/>
      <c r="T88" s="212"/>
      <c r="U88" s="212"/>
      <c r="V88" s="212"/>
      <c r="W88" s="228"/>
      <c r="X88" s="212"/>
      <c r="Y88" s="448"/>
      <c r="Z88" s="443"/>
      <c r="AA88" s="443"/>
      <c r="AB88" s="442"/>
      <c r="AC88" s="229">
        <f>IF(ISERROR(LOOKUP(AC$16,$L88:$X88,#REF!)),0,(LOOKUP(AC$16,$L88:$X88,#REF!)))</f>
        <v>0</v>
      </c>
      <c r="AD88" s="230">
        <f>IF(ISERROR(LOOKUP(AD$16,$L88:$X88,#REF!)),0,(LOOKUP(AD$16,$L88:$X88,#REF!)))</f>
        <v>0</v>
      </c>
      <c r="AE88" s="230">
        <f>IF(ISERROR(LOOKUP(AE$16,$L88:$X88,#REF!)),0,(LOOKUP(AE$16,$L88:$X88,#REF!)))</f>
        <v>0</v>
      </c>
      <c r="AF88" s="230">
        <f>IF(ISERROR(LOOKUP(AF$16,$L88:$X88,#REF!)),0,(LOOKUP(AF$16,$L88:$X88,#REF!)))</f>
        <v>0</v>
      </c>
      <c r="AG88" s="230">
        <f>IF(ISERROR(LOOKUP(AG$16,$L88:$X88,#REF!)),0,(LOOKUP(AG$16,$L88:$X88,#REF!)))</f>
        <v>0</v>
      </c>
      <c r="AH88" s="230">
        <f>IF(ISERROR(LOOKUP(AH$16,$L88:$X88,#REF!)),0,(LOOKUP(AH$16,$L88:$X88,#REF!)))</f>
        <v>0</v>
      </c>
      <c r="AI88" s="230">
        <f>IF(ISERROR(LOOKUP(AI$16,$L88:$X88,#REF!)),0,(LOOKUP(AI$16,$L88:$X88,#REF!)))</f>
        <v>0</v>
      </c>
      <c r="AJ88" s="230">
        <f>IF(ISERROR(LOOKUP(AJ$16,$L88:$X88,#REF!)),0,(LOOKUP(AJ$16,$L88:$X88,#REF!)))</f>
        <v>0</v>
      </c>
      <c r="AK88" s="230">
        <f>IF(ISERROR(LOOKUP(AK$16,$L88:$X88,#REF!)),0,(LOOKUP(AK$16,$L88:$X88,#REF!)))</f>
        <v>0</v>
      </c>
      <c r="AL88" s="230">
        <f>IF(ISERROR(LOOKUP(AL$16,$L88:$X88,#REF!)),0,(LOOKUP(AL$16,$L88:$X88,#REF!)))</f>
        <v>0</v>
      </c>
      <c r="AM88" s="230">
        <f ca="1">IF(ISERROR(LOOKUP(AM$16,$L88:$X88,#REF!)),0,(LOOKUP(AM$16,$L88:$X88,#REF!)))</f>
        <v>0</v>
      </c>
      <c r="AP88" s="212"/>
      <c r="AQ88" s="212"/>
      <c r="AR88" s="212"/>
      <c r="AS88" s="440"/>
      <c r="AW88" s="223" t="e">
        <v>#REF!</v>
      </c>
    </row>
    <row r="89" spans="1:49" s="166" customFormat="1" ht="18" customHeight="1">
      <c r="A89" s="482">
        <f>A86+1</f>
        <v>25</v>
      </c>
      <c r="B89" s="479"/>
      <c r="C89" s="458" t="s">
        <v>4768</v>
      </c>
      <c r="D89" s="458" t="s">
        <v>147</v>
      </c>
      <c r="E89" s="213"/>
      <c r="F89" s="466" t="s">
        <v>134</v>
      </c>
      <c r="G89" s="458" t="str">
        <f>IF(_xlfn.XLOOKUP(C89,'[35]Before Award'!D:D,'[35]Before Award'!AV:AV,"N/A")="N/A","N","Y")</f>
        <v>N</v>
      </c>
      <c r="H89" s="449"/>
      <c r="I89" s="212" t="s">
        <v>7</v>
      </c>
      <c r="J89" s="249" t="s">
        <v>4732</v>
      </c>
      <c r="K89" s="215">
        <f>WORKDAY(L89,-INDEX(L$12:L$15,MATCH($I89,$I$12:$I$15,0)))</f>
        <v>46181</v>
      </c>
      <c r="L89" s="215">
        <f>WORKDAY(M89,-INDEX(M$12:M$15,MATCH($I89,$I$12:$I$15,0)))</f>
        <v>46182</v>
      </c>
      <c r="M89" s="215">
        <f>WORKDAY(N89,-INDEX(N$12:N$15,MATCH($I89,$I$12:$I$15,0)))</f>
        <v>46189</v>
      </c>
      <c r="N89" s="215">
        <f>WORKDAY(O89,-INDEX(O$12:O$15,MATCH($I89,$I$12:$I$15,0)))</f>
        <v>46190</v>
      </c>
      <c r="O89" s="215">
        <f>WORKDAY(R89,-INDEX(R$12:R$15,MATCH($I89,$I$12:$I$15,0)))</f>
        <v>46197</v>
      </c>
      <c r="P89" s="216">
        <f>U89-L89</f>
        <v>76</v>
      </c>
      <c r="Q89" s="217"/>
      <c r="R89" s="215">
        <f>WORKDAY(S89,-INDEX(S$12:S$15,MATCH($I89,$I$12:$I$15,0)))</f>
        <v>46211</v>
      </c>
      <c r="S89" s="215">
        <f>WORKDAY(T89,-INDEX(T$12:T$15,MATCH($I89,$I$12:$I$15,0)))</f>
        <v>46239</v>
      </c>
      <c r="T89" s="215">
        <f>WORKDAY(U89,-INDEX(U$12:U$15,MATCH($I89,$I$12:$I$15,0)))</f>
        <v>46244</v>
      </c>
      <c r="U89" s="215">
        <f>X89-Y89</f>
        <v>46258</v>
      </c>
      <c r="V89" s="215">
        <f>WORKDAY(U89,INDEX(V$12:V$15,MATCH($I89,$I$12:$I$15,0)))</f>
        <v>46260</v>
      </c>
      <c r="W89" s="218">
        <f>Y89/7</f>
        <v>40</v>
      </c>
      <c r="X89" s="215">
        <f>Z89</f>
        <v>46538</v>
      </c>
      <c r="Y89" s="448">
        <v>280</v>
      </c>
      <c r="Z89" s="443">
        <v>46538</v>
      </c>
      <c r="AA89" s="443">
        <v>46538</v>
      </c>
      <c r="AB89" s="442">
        <f>Z89-X90</f>
        <v>0</v>
      </c>
      <c r="AC89" s="220">
        <f>IF(ISERROR(LOOKUP(AC$16,$L89:$X89,#REF!)),0,(LOOKUP(AC$16,$L89:$X89,#REF!)))</f>
        <v>0</v>
      </c>
      <c r="AD89" s="221">
        <f>IF(ISERROR(LOOKUP(AD$16,$L89:$X89,#REF!)),0,(LOOKUP(AD$16,$L89:$X89,#REF!)))</f>
        <v>0</v>
      </c>
      <c r="AE89" s="221">
        <f>IF(ISERROR(LOOKUP(AE$16,$L89:$X89,#REF!)),0,(LOOKUP(AE$16,$L89:$X89,#REF!)))</f>
        <v>0</v>
      </c>
      <c r="AF89" s="221">
        <f>IF(ISERROR(LOOKUP(AF$16,$L89:$X89,#REF!)),0,(LOOKUP(AF$16,$L89:$X89,#REF!)))</f>
        <v>0</v>
      </c>
      <c r="AG89" s="221">
        <f>IF(ISERROR(LOOKUP(AG$16,$L89:$X89,#REF!)),0,(LOOKUP(AG$16,$L89:$X89,#REF!)))</f>
        <v>0</v>
      </c>
      <c r="AH89" s="221">
        <f>IF(ISERROR(LOOKUP(AH$16,$L89:$X89,#REF!)),0,(LOOKUP(AH$16,$L89:$X89,#REF!)))</f>
        <v>0</v>
      </c>
      <c r="AI89" s="221">
        <f>IF(ISERROR(LOOKUP(AI$16,$L89:$X89,#REF!)),0,(LOOKUP(AI$16,$L89:$X89,#REF!)))</f>
        <v>0</v>
      </c>
      <c r="AJ89" s="221">
        <f>IF(ISERROR(LOOKUP(AJ$16,$L89:$X89,#REF!)),0,(LOOKUP(AJ$16,$L89:$X89,#REF!)))</f>
        <v>0</v>
      </c>
      <c r="AK89" s="221">
        <f>IF(ISERROR(LOOKUP(AK$16,$L89:$X89,#REF!)),0,(LOOKUP(AK$16,$L89:$X89,#REF!)))</f>
        <v>0</v>
      </c>
      <c r="AL89" s="221">
        <f>IF(ISERROR(LOOKUP(AL$16,$L89:$X89,#REF!)),0,(LOOKUP(AL$16,$L89:$X89,#REF!)))</f>
        <v>0</v>
      </c>
      <c r="AM89" s="221">
        <f ca="1">IF(ISERROR(LOOKUP(AM$16,$L89:$X89,#REF!)),0,(LOOKUP(AM$16,$L89:$X89,#REF!)))</f>
        <v>0</v>
      </c>
      <c r="AP89" s="215" t="e">
        <f>WORKDAY(AQ89,-INDEX(AQ$12:AQ$15,MATCH($I89,$I$12:$I$15,0)),$AW$17:$AW$148)</f>
        <v>#REF!</v>
      </c>
      <c r="AQ89" s="215" t="e">
        <f>WORKDAY(U89,-INDEX(U$12:U$15,MATCH($I89,$I$12:$I$15,0)),$AW$17:$AW$148)</f>
        <v>#REF!</v>
      </c>
      <c r="AR89" s="215" t="e">
        <f>WORKDAY(U89,-INDEX(U$12:U$15,MATCH($I89,$I$12:$I$15,0)),$AW$17:$AW$148)</f>
        <v>#REF!</v>
      </c>
      <c r="AS89" s="440">
        <v>7</v>
      </c>
      <c r="AW89" s="223" t="e">
        <v>#REF!</v>
      </c>
    </row>
    <row r="90" spans="1:49" s="166" customFormat="1" ht="18" customHeight="1">
      <c r="A90" s="482"/>
      <c r="B90" s="480"/>
      <c r="C90" s="458" t="str">
        <f>C89</f>
        <v>RFQ-025</v>
      </c>
      <c r="D90" s="458" t="str">
        <f>D89</f>
        <v>Actuated Compact Ball Valve</v>
      </c>
      <c r="E90" s="224"/>
      <c r="F90" s="467" t="str">
        <f>F89</f>
        <v>Instrument</v>
      </c>
      <c r="G90" s="458" t="str">
        <f>G89</f>
        <v>N</v>
      </c>
      <c r="H90" s="450"/>
      <c r="I90" s="212" t="str">
        <f>I89</f>
        <v>LB</v>
      </c>
      <c r="J90" s="249" t="s">
        <v>68</v>
      </c>
      <c r="K90" s="215">
        <f>K89</f>
        <v>46181</v>
      </c>
      <c r="L90" s="215">
        <f>WORKDAY(IF(K91="",K90,K91),INDEX(L$12:L$15,MATCH($I89,$I$12:$I$15,0)))</f>
        <v>46182</v>
      </c>
      <c r="M90" s="215">
        <f>WORKDAY(IF(L91="",L90,L91),INDEX(M$12:M$15,MATCH($I89,$I$12:$I$15,0)))</f>
        <v>46189</v>
      </c>
      <c r="N90" s="215">
        <f>WORKDAY(IF(M91="",M90,M91),INDEX(N$12:N$15,MATCH($I89,$I$12:$I$15,0)))</f>
        <v>46190</v>
      </c>
      <c r="O90" s="215">
        <f>WORKDAY(IF(N91="",N90,N91),INDEX(O$12:O$15,MATCH($I89,$I$12:$I$15,0)))</f>
        <v>46197</v>
      </c>
      <c r="P90" s="216"/>
      <c r="Q90" s="217"/>
      <c r="R90" s="215">
        <f>WORKDAY(IF(O91="",O90,O91),INDEX(R$12:R$15,MATCH($I89,$I$12:$I$15,0)))</f>
        <v>46211</v>
      </c>
      <c r="S90" s="215">
        <f>WORKDAY(IF(R91="",R90,R91),INDEX(S$12:S$15,MATCH($I89,$I$12:$I$15,0)))</f>
        <v>46239</v>
      </c>
      <c r="T90" s="215">
        <f>WORKDAY(IF(S91="",S90,S91),INDEX(T$12:T$15,MATCH($I89,$I$12:$I$15,0)))</f>
        <v>46244</v>
      </c>
      <c r="U90" s="215">
        <f>WORKDAY(IF(T91="",T90,T91),INDEX(U$12:U$15,MATCH($I89,$I$12:$I$15,0)))</f>
        <v>46258</v>
      </c>
      <c r="V90" s="215">
        <f>WORKDAY(IF(U91="",U90,U91),INDEX(V$12:V$15,MATCH($I89,$I$12:$I$15,0)))</f>
        <v>46260</v>
      </c>
      <c r="W90" s="218"/>
      <c r="X90" s="215">
        <f>U90+Y89</f>
        <v>46538</v>
      </c>
      <c r="Y90" s="448"/>
      <c r="Z90" s="443"/>
      <c r="AA90" s="443"/>
      <c r="AB90" s="442"/>
      <c r="AC90" s="220">
        <f>IF(ISERROR(LOOKUP(AC$16,$L90:$X90,#REF!)),0,(LOOKUP(AC$16,$L90:$X90,#REF!)))</f>
        <v>0</v>
      </c>
      <c r="AD90" s="221">
        <f>IF(ISERROR(LOOKUP(AD$16,$L90:$X90,#REF!)),0,(LOOKUP(AD$16,$L90:$X90,#REF!)))</f>
        <v>0</v>
      </c>
      <c r="AE90" s="221">
        <f>IF(ISERROR(LOOKUP(AE$16,$L90:$X90,#REF!)),0,(LOOKUP(AE$16,$L90:$X90,#REF!)))</f>
        <v>0</v>
      </c>
      <c r="AF90" s="221">
        <f>IF(ISERROR(LOOKUP(AF$16,$L90:$X90,#REF!)),0,(LOOKUP(AF$16,$L90:$X90,#REF!)))</f>
        <v>0</v>
      </c>
      <c r="AG90" s="221">
        <f>IF(ISERROR(LOOKUP(AG$16,$L90:$X90,#REF!)),0,(LOOKUP(AG$16,$L90:$X90,#REF!)))</f>
        <v>0</v>
      </c>
      <c r="AH90" s="221">
        <f>IF(ISERROR(LOOKUP(AH$16,$L90:$X90,#REF!)),0,(LOOKUP(AH$16,$L90:$X90,#REF!)))</f>
        <v>0</v>
      </c>
      <c r="AI90" s="221">
        <f>IF(ISERROR(LOOKUP(AI$16,$L90:$X90,#REF!)),0,(LOOKUP(AI$16,$L90:$X90,#REF!)))</f>
        <v>0</v>
      </c>
      <c r="AJ90" s="221">
        <f>IF(ISERROR(LOOKUP(AJ$16,$L90:$X90,#REF!)),0,(LOOKUP(AJ$16,$L90:$X90,#REF!)))</f>
        <v>0</v>
      </c>
      <c r="AK90" s="221">
        <f>IF(ISERROR(LOOKUP(AK$16,$L90:$X90,#REF!)),0,(LOOKUP(AK$16,$L90:$X90,#REF!)))</f>
        <v>0</v>
      </c>
      <c r="AL90" s="221">
        <f>IF(ISERROR(LOOKUP(AL$16,$L90:$X90,#REF!)),0,(LOOKUP(AL$16,$L90:$X90,#REF!)))</f>
        <v>0</v>
      </c>
      <c r="AM90" s="221">
        <f ca="1">IF(ISERROR(LOOKUP(AM$16,$L90:$X90,#REF!)),0,(LOOKUP(AM$16,$L90:$X90,#REF!)))</f>
        <v>0</v>
      </c>
      <c r="AP90" s="215" t="e">
        <f>WORKDAY(IF(T91="",T90,T91),INDEX(AP$12:AP$15,MATCH($I89,$I$12:$I$15,0)),$AW$17:$AW$148)</f>
        <v>#REF!</v>
      </c>
      <c r="AQ90" s="215" t="e">
        <f>WORKDAY(IF(AP91="",AP90,AP91),INDEX(AQ$12:AQ$15,MATCH($I89,$I$12:$I$15,0)),$AW$17:$AW$148)</f>
        <v>#REF!</v>
      </c>
      <c r="AR90" s="215" t="e">
        <f>WORKDAY(IF(AQ91="",AQ90,AQ91),INDEX(AR$12:AR$15,MATCH($I89,$I$12:$I$15,0)),$AW$17:$AW$148)</f>
        <v>#REF!</v>
      </c>
      <c r="AS90" s="440"/>
      <c r="AW90" s="223" t="e">
        <v>#REF!</v>
      </c>
    </row>
    <row r="91" spans="1:49" s="166" customFormat="1" ht="18" customHeight="1">
      <c r="A91" s="482"/>
      <c r="B91" s="481"/>
      <c r="C91" s="458" t="str">
        <f>C89</f>
        <v>RFQ-025</v>
      </c>
      <c r="D91" s="458" t="str">
        <f>D89</f>
        <v>Actuated Compact Ball Valve</v>
      </c>
      <c r="E91" s="225"/>
      <c r="F91" s="468" t="str">
        <f>F89</f>
        <v>Instrument</v>
      </c>
      <c r="G91" s="458" t="str">
        <f>G89</f>
        <v>N</v>
      </c>
      <c r="H91" s="451"/>
      <c r="I91" s="212" t="str">
        <f>I89</f>
        <v>LB</v>
      </c>
      <c r="J91" s="249" t="s">
        <v>70</v>
      </c>
      <c r="K91" s="212"/>
      <c r="L91" s="212"/>
      <c r="M91" s="212"/>
      <c r="N91" s="212"/>
      <c r="O91" s="212"/>
      <c r="P91" s="226"/>
      <c r="Q91" s="227"/>
      <c r="R91" s="212"/>
      <c r="S91" s="212"/>
      <c r="T91" s="212"/>
      <c r="U91" s="212"/>
      <c r="V91" s="212"/>
      <c r="W91" s="228"/>
      <c r="X91" s="212"/>
      <c r="Y91" s="448"/>
      <c r="Z91" s="443"/>
      <c r="AA91" s="443"/>
      <c r="AB91" s="442"/>
      <c r="AC91" s="229">
        <f>IF(ISERROR(LOOKUP(AC$16,$L91:$X91,#REF!)),0,(LOOKUP(AC$16,$L91:$X91,#REF!)))</f>
        <v>0</v>
      </c>
      <c r="AD91" s="230">
        <f>IF(ISERROR(LOOKUP(AD$16,$L91:$X91,#REF!)),0,(LOOKUP(AD$16,$L91:$X91,#REF!)))</f>
        <v>0</v>
      </c>
      <c r="AE91" s="230">
        <f>IF(ISERROR(LOOKUP(AE$16,$L91:$X91,#REF!)),0,(LOOKUP(AE$16,$L91:$X91,#REF!)))</f>
        <v>0</v>
      </c>
      <c r="AF91" s="230">
        <f>IF(ISERROR(LOOKUP(AF$16,$L91:$X91,#REF!)),0,(LOOKUP(AF$16,$L91:$X91,#REF!)))</f>
        <v>0</v>
      </c>
      <c r="AG91" s="230">
        <f>IF(ISERROR(LOOKUP(AG$16,$L91:$X91,#REF!)),0,(LOOKUP(AG$16,$L91:$X91,#REF!)))</f>
        <v>0</v>
      </c>
      <c r="AH91" s="230">
        <f>IF(ISERROR(LOOKUP(AH$16,$L91:$X91,#REF!)),0,(LOOKUP(AH$16,$L91:$X91,#REF!)))</f>
        <v>0</v>
      </c>
      <c r="AI91" s="230">
        <f>IF(ISERROR(LOOKUP(AI$16,$L91:$X91,#REF!)),0,(LOOKUP(AI$16,$L91:$X91,#REF!)))</f>
        <v>0</v>
      </c>
      <c r="AJ91" s="230">
        <f>IF(ISERROR(LOOKUP(AJ$16,$L91:$X91,#REF!)),0,(LOOKUP(AJ$16,$L91:$X91,#REF!)))</f>
        <v>0</v>
      </c>
      <c r="AK91" s="230">
        <f>IF(ISERROR(LOOKUP(AK$16,$L91:$X91,#REF!)),0,(LOOKUP(AK$16,$L91:$X91,#REF!)))</f>
        <v>0</v>
      </c>
      <c r="AL91" s="230">
        <f>IF(ISERROR(LOOKUP(AL$16,$L91:$X91,#REF!)),0,(LOOKUP(AL$16,$L91:$X91,#REF!)))</f>
        <v>0</v>
      </c>
      <c r="AM91" s="230">
        <f ca="1">IF(ISERROR(LOOKUP(AM$16,$L91:$X91,#REF!)),0,(LOOKUP(AM$16,$L91:$X91,#REF!)))</f>
        <v>0</v>
      </c>
      <c r="AP91" s="212"/>
      <c r="AQ91" s="212"/>
      <c r="AR91" s="212"/>
      <c r="AS91" s="440"/>
      <c r="AW91" s="223" t="e">
        <v>#REF!</v>
      </c>
    </row>
    <row r="92" spans="1:49" s="166" customFormat="1" ht="18" customHeight="1">
      <c r="A92" s="482">
        <f>A89+1</f>
        <v>26</v>
      </c>
      <c r="B92" s="479"/>
      <c r="C92" s="458" t="s">
        <v>4769</v>
      </c>
      <c r="D92" s="458" t="s">
        <v>149</v>
      </c>
      <c r="E92" s="213"/>
      <c r="F92" s="466" t="s">
        <v>134</v>
      </c>
      <c r="G92" s="458" t="s">
        <v>75</v>
      </c>
      <c r="H92" s="449"/>
      <c r="I92" s="212" t="s">
        <v>7</v>
      </c>
      <c r="J92" s="249" t="s">
        <v>4732</v>
      </c>
      <c r="K92" s="215">
        <f>WORKDAY(L92,-INDEX(L$12:L$15,MATCH($I92,$I$12:$I$15,0)))</f>
        <v>46279</v>
      </c>
      <c r="L92" s="215">
        <f>WORKDAY(M92,-INDEX(M$12:M$15,MATCH($I92,$I$12:$I$15,0)))</f>
        <v>46280</v>
      </c>
      <c r="M92" s="215">
        <f>WORKDAY(N92,-INDEX(N$12:N$15,MATCH($I92,$I$12:$I$15,0)))</f>
        <v>46287</v>
      </c>
      <c r="N92" s="215">
        <f>WORKDAY(O92,-INDEX(O$12:O$15,MATCH($I92,$I$12:$I$15,0)))</f>
        <v>46288</v>
      </c>
      <c r="O92" s="215">
        <f>WORKDAY(R92,-INDEX(R$12:R$15,MATCH($I92,$I$12:$I$15,0)))</f>
        <v>46295</v>
      </c>
      <c r="P92" s="216">
        <f>U92-L92</f>
        <v>76</v>
      </c>
      <c r="Q92" s="217"/>
      <c r="R92" s="215">
        <f>WORKDAY(S92,-INDEX(S$12:S$15,MATCH($I92,$I$12:$I$15,0)))</f>
        <v>46309</v>
      </c>
      <c r="S92" s="215">
        <f>WORKDAY(T92,-INDEX(T$12:T$15,MATCH($I92,$I$12:$I$15,0)))</f>
        <v>46337</v>
      </c>
      <c r="T92" s="215">
        <f>WORKDAY(U92,-INDEX(U$12:U$15,MATCH($I92,$I$12:$I$15,0)))</f>
        <v>46342</v>
      </c>
      <c r="U92" s="215">
        <f>X92-Y92+2</f>
        <v>46356</v>
      </c>
      <c r="V92" s="215">
        <f>WORKDAY(U92,INDEX(V$12:V$15,MATCH($I92,$I$12:$I$15,0)))</f>
        <v>46358</v>
      </c>
      <c r="W92" s="218">
        <f>Y92/7</f>
        <v>26.285714285714299</v>
      </c>
      <c r="X92" s="215">
        <f>Z92</f>
        <v>46538</v>
      </c>
      <c r="Y92" s="448">
        <v>184</v>
      </c>
      <c r="Z92" s="443">
        <v>46538</v>
      </c>
      <c r="AA92" s="443">
        <v>46538</v>
      </c>
      <c r="AB92" s="442">
        <f>Z92-X93</f>
        <v>0</v>
      </c>
      <c r="AC92" s="220">
        <f>IF(ISERROR(LOOKUP(AC$16,$L92:$X92,#REF!)),0,(LOOKUP(AC$16,$L92:$X92,#REF!)))</f>
        <v>0</v>
      </c>
      <c r="AD92" s="221">
        <f>IF(ISERROR(LOOKUP(AD$16,$L92:$X92,#REF!)),0,(LOOKUP(AD$16,$L92:$X92,#REF!)))</f>
        <v>0</v>
      </c>
      <c r="AE92" s="221">
        <f>IF(ISERROR(LOOKUP(AE$16,$L92:$X92,#REF!)),0,(LOOKUP(AE$16,$L92:$X92,#REF!)))</f>
        <v>0</v>
      </c>
      <c r="AF92" s="221">
        <f>IF(ISERROR(LOOKUP(AF$16,$L92:$X92,#REF!)),0,(LOOKUP(AF$16,$L92:$X92,#REF!)))</f>
        <v>0</v>
      </c>
      <c r="AG92" s="221">
        <f>IF(ISERROR(LOOKUP(AG$16,$L92:$X92,#REF!)),0,(LOOKUP(AG$16,$L92:$X92,#REF!)))</f>
        <v>0</v>
      </c>
      <c r="AH92" s="221">
        <f>IF(ISERROR(LOOKUP(AH$16,$L92:$X92,#REF!)),0,(LOOKUP(AH$16,$L92:$X92,#REF!)))</f>
        <v>0</v>
      </c>
      <c r="AI92" s="221">
        <f>IF(ISERROR(LOOKUP(AI$16,$L92:$X92,#REF!)),0,(LOOKUP(AI$16,$L92:$X92,#REF!)))</f>
        <v>0</v>
      </c>
      <c r="AJ92" s="221">
        <f>IF(ISERROR(LOOKUP(AJ$16,$L92:$X92,#REF!)),0,(LOOKUP(AJ$16,$L92:$X92,#REF!)))</f>
        <v>0</v>
      </c>
      <c r="AK92" s="221">
        <f>IF(ISERROR(LOOKUP(AK$16,$L92:$X92,#REF!)),0,(LOOKUP(AK$16,$L92:$X92,#REF!)))</f>
        <v>0</v>
      </c>
      <c r="AL92" s="221">
        <f>IF(ISERROR(LOOKUP(AL$16,$L92:$X92,#REF!)),0,(LOOKUP(AL$16,$L92:$X92,#REF!)))</f>
        <v>0</v>
      </c>
      <c r="AM92" s="221">
        <f ca="1">IF(ISERROR(LOOKUP(AM$16,$L92:$X92,#REF!)),0,(LOOKUP(AM$16,$L92:$X92,#REF!)))</f>
        <v>0</v>
      </c>
      <c r="AP92" s="215" t="e">
        <f>WORKDAY(AQ92,-INDEX(AQ$12:AQ$15,MATCH($I92,$I$12:$I$15,0)),$AW$17:$AW$148)</f>
        <v>#REF!</v>
      </c>
      <c r="AQ92" s="215" t="e">
        <f>WORKDAY(U92,-INDEX(U$12:U$15,MATCH($I92,$I$12:$I$15,0)),$AW$17:$AW$148)</f>
        <v>#REF!</v>
      </c>
      <c r="AR92" s="215" t="e">
        <f>WORKDAY(U92,-INDEX(U$12:U$15,MATCH($I92,$I$12:$I$15,0)),$AW$17:$AW$148)</f>
        <v>#REF!</v>
      </c>
      <c r="AS92" s="440">
        <v>7</v>
      </c>
      <c r="AW92" s="223" t="e">
        <v>#REF!</v>
      </c>
    </row>
    <row r="93" spans="1:49" s="166" customFormat="1" ht="18" customHeight="1">
      <c r="A93" s="482"/>
      <c r="B93" s="480"/>
      <c r="C93" s="458" t="str">
        <f>C92</f>
        <v>RFQ-026</v>
      </c>
      <c r="D93" s="458" t="str">
        <f>D92</f>
        <v>Safety Relief Valves</v>
      </c>
      <c r="E93" s="224"/>
      <c r="F93" s="467" t="str">
        <f>F92</f>
        <v>Instrument</v>
      </c>
      <c r="G93" s="458" t="str">
        <f>G92</f>
        <v>N</v>
      </c>
      <c r="H93" s="450"/>
      <c r="I93" s="212" t="str">
        <f>I92</f>
        <v>LB</v>
      </c>
      <c r="J93" s="249" t="s">
        <v>68</v>
      </c>
      <c r="K93" s="215">
        <f>K92</f>
        <v>46279</v>
      </c>
      <c r="L93" s="215">
        <f>WORKDAY(IF(K94="",K93,K94),INDEX(L$12:L$15,MATCH($I92,$I$12:$I$15,0)))</f>
        <v>46280</v>
      </c>
      <c r="M93" s="215">
        <f>WORKDAY(IF(L94="",L93,L94),INDEX(M$12:M$15,MATCH($I92,$I$12:$I$15,0)))</f>
        <v>46287</v>
      </c>
      <c r="N93" s="215">
        <f>WORKDAY(IF(M94="",M93,M94),INDEX(N$12:N$15,MATCH($I92,$I$12:$I$15,0)))</f>
        <v>46288</v>
      </c>
      <c r="O93" s="215">
        <f>WORKDAY(IF(N94="",N93,N94),INDEX(O$12:O$15,MATCH($I92,$I$12:$I$15,0)))</f>
        <v>46295</v>
      </c>
      <c r="P93" s="216"/>
      <c r="Q93" s="217"/>
      <c r="R93" s="215">
        <f>WORKDAY(IF(O94="",O93,O94),INDEX(R$12:R$15,MATCH($I92,$I$12:$I$15,0)))</f>
        <v>46309</v>
      </c>
      <c r="S93" s="215">
        <f>WORKDAY(IF(R94="",R93,R94),INDEX(S$12:S$15,MATCH($I92,$I$12:$I$15,0)))</f>
        <v>46337</v>
      </c>
      <c r="T93" s="215">
        <f>WORKDAY(IF(S94="",S93,S94),INDEX(T$12:T$15,MATCH($I92,$I$12:$I$15,0)))</f>
        <v>46342</v>
      </c>
      <c r="U93" s="215">
        <f>WORKDAY(IF(T94="",T93,T94),INDEX(U$12:U$15,MATCH($I92,$I$12:$I$15,0)))</f>
        <v>46356</v>
      </c>
      <c r="V93" s="215">
        <f>WORKDAY(IF(U94="",U93,U94),INDEX(V$12:V$15,MATCH($I92,$I$12:$I$15,0)))</f>
        <v>46358</v>
      </c>
      <c r="W93" s="218"/>
      <c r="X93" s="215">
        <f>U93+Y92-2</f>
        <v>46538</v>
      </c>
      <c r="Y93" s="448"/>
      <c r="Z93" s="443"/>
      <c r="AA93" s="443"/>
      <c r="AB93" s="442"/>
      <c r="AC93" s="220">
        <f>IF(ISERROR(LOOKUP(AC$16,$L93:$X93,#REF!)),0,(LOOKUP(AC$16,$L93:$X93,#REF!)))</f>
        <v>0</v>
      </c>
      <c r="AD93" s="221">
        <f>IF(ISERROR(LOOKUP(AD$16,$L93:$X93,#REF!)),0,(LOOKUP(AD$16,$L93:$X93,#REF!)))</f>
        <v>0</v>
      </c>
      <c r="AE93" s="221">
        <f>IF(ISERROR(LOOKUP(AE$16,$L93:$X93,#REF!)),0,(LOOKUP(AE$16,$L93:$X93,#REF!)))</f>
        <v>0</v>
      </c>
      <c r="AF93" s="221">
        <f>IF(ISERROR(LOOKUP(AF$16,$L93:$X93,#REF!)),0,(LOOKUP(AF$16,$L93:$X93,#REF!)))</f>
        <v>0</v>
      </c>
      <c r="AG93" s="221">
        <f>IF(ISERROR(LOOKUP(AG$16,$L93:$X93,#REF!)),0,(LOOKUP(AG$16,$L93:$X93,#REF!)))</f>
        <v>0</v>
      </c>
      <c r="AH93" s="221">
        <f>IF(ISERROR(LOOKUP(AH$16,$L93:$X93,#REF!)),0,(LOOKUP(AH$16,$L93:$X93,#REF!)))</f>
        <v>0</v>
      </c>
      <c r="AI93" s="221">
        <f>IF(ISERROR(LOOKUP(AI$16,$L93:$X93,#REF!)),0,(LOOKUP(AI$16,$L93:$X93,#REF!)))</f>
        <v>0</v>
      </c>
      <c r="AJ93" s="221">
        <f>IF(ISERROR(LOOKUP(AJ$16,$L93:$X93,#REF!)),0,(LOOKUP(AJ$16,$L93:$X93,#REF!)))</f>
        <v>0</v>
      </c>
      <c r="AK93" s="221">
        <f>IF(ISERROR(LOOKUP(AK$16,$L93:$X93,#REF!)),0,(LOOKUP(AK$16,$L93:$X93,#REF!)))</f>
        <v>0</v>
      </c>
      <c r="AL93" s="221">
        <f>IF(ISERROR(LOOKUP(AL$16,$L93:$X93,#REF!)),0,(LOOKUP(AL$16,$L93:$X93,#REF!)))</f>
        <v>0</v>
      </c>
      <c r="AM93" s="221">
        <f ca="1">IF(ISERROR(LOOKUP(AM$16,$L93:$X93,#REF!)),0,(LOOKUP(AM$16,$L93:$X93,#REF!)))</f>
        <v>0</v>
      </c>
      <c r="AP93" s="215" t="e">
        <f>WORKDAY(IF(T94="",T93,T94),INDEX(AP$12:AP$15,MATCH($I92,$I$12:$I$15,0)),$AW$17:$AW$148)</f>
        <v>#REF!</v>
      </c>
      <c r="AQ93" s="215" t="e">
        <f>WORKDAY(IF(AP94="",AP93,AP94),INDEX(AQ$12:AQ$15,MATCH($I92,$I$12:$I$15,0)),$AW$17:$AW$148)</f>
        <v>#REF!</v>
      </c>
      <c r="AR93" s="215" t="e">
        <f>WORKDAY(IF(AQ94="",AQ93,AQ94),INDEX(AR$12:AR$15,MATCH($I92,$I$12:$I$15,0)),$AW$17:$AW$148)</f>
        <v>#REF!</v>
      </c>
      <c r="AS93" s="440"/>
      <c r="AW93" s="223" t="e">
        <v>#REF!</v>
      </c>
    </row>
    <row r="94" spans="1:49" s="166" customFormat="1" ht="18" customHeight="1">
      <c r="A94" s="482"/>
      <c r="B94" s="481"/>
      <c r="C94" s="458" t="str">
        <f>C92</f>
        <v>RFQ-026</v>
      </c>
      <c r="D94" s="458" t="str">
        <f>D92</f>
        <v>Safety Relief Valves</v>
      </c>
      <c r="E94" s="225"/>
      <c r="F94" s="468" t="str">
        <f>F92</f>
        <v>Instrument</v>
      </c>
      <c r="G94" s="458" t="str">
        <f>G92</f>
        <v>N</v>
      </c>
      <c r="H94" s="451"/>
      <c r="I94" s="212" t="str">
        <f>I92</f>
        <v>LB</v>
      </c>
      <c r="J94" s="249" t="s">
        <v>70</v>
      </c>
      <c r="K94" s="212"/>
      <c r="L94" s="212"/>
      <c r="M94" s="212"/>
      <c r="N94" s="212"/>
      <c r="O94" s="212"/>
      <c r="P94" s="226"/>
      <c r="Q94" s="227"/>
      <c r="R94" s="212"/>
      <c r="S94" s="212"/>
      <c r="T94" s="212"/>
      <c r="U94" s="212"/>
      <c r="V94" s="212"/>
      <c r="W94" s="228"/>
      <c r="X94" s="212"/>
      <c r="Y94" s="448"/>
      <c r="Z94" s="443"/>
      <c r="AA94" s="443"/>
      <c r="AB94" s="442"/>
      <c r="AC94" s="229">
        <f>IF(ISERROR(LOOKUP(AC$16,$L94:$X94,#REF!)),0,(LOOKUP(AC$16,$L94:$X94,#REF!)))</f>
        <v>0</v>
      </c>
      <c r="AD94" s="230">
        <f>IF(ISERROR(LOOKUP(AD$16,$L94:$X94,#REF!)),0,(LOOKUP(AD$16,$L94:$X94,#REF!)))</f>
        <v>0</v>
      </c>
      <c r="AE94" s="230">
        <f>IF(ISERROR(LOOKUP(AE$16,$L94:$X94,#REF!)),0,(LOOKUP(AE$16,$L94:$X94,#REF!)))</f>
        <v>0</v>
      </c>
      <c r="AF94" s="230">
        <f>IF(ISERROR(LOOKUP(AF$16,$L94:$X94,#REF!)),0,(LOOKUP(AF$16,$L94:$X94,#REF!)))</f>
        <v>0</v>
      </c>
      <c r="AG94" s="230">
        <f>IF(ISERROR(LOOKUP(AG$16,$L94:$X94,#REF!)),0,(LOOKUP(AG$16,$L94:$X94,#REF!)))</f>
        <v>0</v>
      </c>
      <c r="AH94" s="230">
        <f>IF(ISERROR(LOOKUP(AH$16,$L94:$X94,#REF!)),0,(LOOKUP(AH$16,$L94:$X94,#REF!)))</f>
        <v>0</v>
      </c>
      <c r="AI94" s="230">
        <f>IF(ISERROR(LOOKUP(AI$16,$L94:$X94,#REF!)),0,(LOOKUP(AI$16,$L94:$X94,#REF!)))</f>
        <v>0</v>
      </c>
      <c r="AJ94" s="230">
        <f>IF(ISERROR(LOOKUP(AJ$16,$L94:$X94,#REF!)),0,(LOOKUP(AJ$16,$L94:$X94,#REF!)))</f>
        <v>0</v>
      </c>
      <c r="AK94" s="230">
        <f>IF(ISERROR(LOOKUP(AK$16,$L94:$X94,#REF!)),0,(LOOKUP(AK$16,$L94:$X94,#REF!)))</f>
        <v>0</v>
      </c>
      <c r="AL94" s="230">
        <f>IF(ISERROR(LOOKUP(AL$16,$L94:$X94,#REF!)),0,(LOOKUP(AL$16,$L94:$X94,#REF!)))</f>
        <v>0</v>
      </c>
      <c r="AM94" s="230">
        <f ca="1">IF(ISERROR(LOOKUP(AM$16,$L94:$X94,#REF!)),0,(LOOKUP(AM$16,$L94:$X94,#REF!)))</f>
        <v>0</v>
      </c>
      <c r="AP94" s="212"/>
      <c r="AQ94" s="212"/>
      <c r="AR94" s="212"/>
      <c r="AS94" s="440"/>
      <c r="AW94" s="223" t="e">
        <v>#REF!</v>
      </c>
    </row>
    <row r="95" spans="1:49" s="166" customFormat="1" ht="18" customHeight="1">
      <c r="A95" s="482">
        <f>A92+1</f>
        <v>27</v>
      </c>
      <c r="B95" s="479"/>
      <c r="C95" s="458" t="s">
        <v>4770</v>
      </c>
      <c r="D95" s="458" t="s">
        <v>152</v>
      </c>
      <c r="E95" s="213"/>
      <c r="F95" s="466" t="s">
        <v>134</v>
      </c>
      <c r="G95" s="458" t="s">
        <v>75</v>
      </c>
      <c r="H95" s="449"/>
      <c r="I95" s="212" t="s">
        <v>8</v>
      </c>
      <c r="J95" s="249" t="s">
        <v>4732</v>
      </c>
      <c r="K95" s="215">
        <f>WORKDAY(L95,-INDEX(L$12:L$15,MATCH($I95,$I$12:$I$15,0)))</f>
        <v>46296</v>
      </c>
      <c r="L95" s="215">
        <f>WORKDAY(M95,-INDEX(M$12:M$15,MATCH($I95,$I$12:$I$15,0)))</f>
        <v>46301</v>
      </c>
      <c r="M95" s="215">
        <f>WORKDAY(N95,-INDEX(N$12:N$15,MATCH($I95,$I$12:$I$15,0)))</f>
        <v>46315</v>
      </c>
      <c r="N95" s="215">
        <f>WORKDAY(O95,-INDEX(O$12:O$15,MATCH($I95,$I$12:$I$15,0)))</f>
        <v>46316</v>
      </c>
      <c r="O95" s="215">
        <f>WORKDAY(R95,-INDEX(R$12:R$15,MATCH($I95,$I$12:$I$15,0)))</f>
        <v>46330</v>
      </c>
      <c r="P95" s="216">
        <f>U95-L95</f>
        <v>92</v>
      </c>
      <c r="Q95" s="217"/>
      <c r="R95" s="215">
        <f>WORKDAY(S95,-INDEX(S$12:S$15,MATCH($I95,$I$12:$I$15,0)))</f>
        <v>46344</v>
      </c>
      <c r="S95" s="215">
        <f>WORKDAY(T95,-INDEX(T$12:T$15,MATCH($I95,$I$12:$I$15,0)))</f>
        <v>46365</v>
      </c>
      <c r="T95" s="215">
        <f>WORKDAY(U95,-INDEX(U$12:U$15,MATCH($I95,$I$12:$I$15,0)))</f>
        <v>46379</v>
      </c>
      <c r="U95" s="215">
        <f>X95-Y95</f>
        <v>46393</v>
      </c>
      <c r="V95" s="215">
        <f>WORKDAY(U95,INDEX(V$12:V$15,MATCH($I95,$I$12:$I$15,0)))</f>
        <v>46395</v>
      </c>
      <c r="W95" s="218">
        <f>Y95/7</f>
        <v>20.714285714285701</v>
      </c>
      <c r="X95" s="215">
        <f>Z95</f>
        <v>46538</v>
      </c>
      <c r="Y95" s="448">
        <v>145</v>
      </c>
      <c r="Z95" s="443">
        <v>46538</v>
      </c>
      <c r="AA95" s="443">
        <v>46538</v>
      </c>
      <c r="AB95" s="442">
        <f>Z95-X96</f>
        <v>0</v>
      </c>
      <c r="AC95" s="220">
        <f>IF(ISERROR(LOOKUP(AC$16,$L95:$X95,#REF!)),0,(LOOKUP(AC$16,$L95:$X95,#REF!)))</f>
        <v>0</v>
      </c>
      <c r="AD95" s="221">
        <f>IF(ISERROR(LOOKUP(AD$16,$L95:$X95,#REF!)),0,(LOOKUP(AD$16,$L95:$X95,#REF!)))</f>
        <v>0</v>
      </c>
      <c r="AE95" s="221">
        <f>IF(ISERROR(LOOKUP(AE$16,$L95:$X95,#REF!)),0,(LOOKUP(AE$16,$L95:$X95,#REF!)))</f>
        <v>0</v>
      </c>
      <c r="AF95" s="221">
        <f>IF(ISERROR(LOOKUP(AF$16,$L95:$X95,#REF!)),0,(LOOKUP(AF$16,$L95:$X95,#REF!)))</f>
        <v>0</v>
      </c>
      <c r="AG95" s="221">
        <f>IF(ISERROR(LOOKUP(AG$16,$L95:$X95,#REF!)),0,(LOOKUP(AG$16,$L95:$X95,#REF!)))</f>
        <v>0</v>
      </c>
      <c r="AH95" s="221">
        <f>IF(ISERROR(LOOKUP(AH$16,$L95:$X95,#REF!)),0,(LOOKUP(AH$16,$L95:$X95,#REF!)))</f>
        <v>0</v>
      </c>
      <c r="AI95" s="221">
        <f>IF(ISERROR(LOOKUP(AI$16,$L95:$X95,#REF!)),0,(LOOKUP(AI$16,$L95:$X95,#REF!)))</f>
        <v>0</v>
      </c>
      <c r="AJ95" s="221">
        <f>IF(ISERROR(LOOKUP(AJ$16,$L95:$X95,#REF!)),0,(LOOKUP(AJ$16,$L95:$X95,#REF!)))</f>
        <v>0</v>
      </c>
      <c r="AK95" s="221">
        <f>IF(ISERROR(LOOKUP(AK$16,$L95:$X95,#REF!)),0,(LOOKUP(AK$16,$L95:$X95,#REF!)))</f>
        <v>0</v>
      </c>
      <c r="AL95" s="221">
        <f>IF(ISERROR(LOOKUP(AL$16,$L95:$X95,#REF!)),0,(LOOKUP(AL$16,$L95:$X95,#REF!)))</f>
        <v>0</v>
      </c>
      <c r="AM95" s="221">
        <f ca="1">IF(ISERROR(LOOKUP(AM$16,$L95:$X95,#REF!)),0,(LOOKUP(AM$16,$L95:$X95,#REF!)))</f>
        <v>0</v>
      </c>
      <c r="AP95" s="215" t="e">
        <f>WORKDAY(AQ95,-INDEX(AQ$12:AQ$15,MATCH($I95,$I$12:$I$15,0)),$AW$17:$AW$148)</f>
        <v>#REF!</v>
      </c>
      <c r="AQ95" s="215" t="e">
        <f>WORKDAY(U95,-INDEX(U$12:U$15,MATCH($I95,$I$12:$I$15,0)),$AW$17:$AW$148)</f>
        <v>#REF!</v>
      </c>
      <c r="AR95" s="215" t="e">
        <f>WORKDAY(U95,-INDEX(U$12:U$15,MATCH($I95,$I$12:$I$15,0)),$AW$17:$AW$148)</f>
        <v>#REF!</v>
      </c>
      <c r="AS95" s="440">
        <v>7</v>
      </c>
      <c r="AW95" s="223" t="e">
        <v>#REF!</v>
      </c>
    </row>
    <row r="96" spans="1:49" s="166" customFormat="1" ht="18" customHeight="1">
      <c r="A96" s="482"/>
      <c r="B96" s="480"/>
      <c r="C96" s="458" t="str">
        <f>C95</f>
        <v>RFQ-027</v>
      </c>
      <c r="D96" s="458" t="str">
        <f>D95</f>
        <v>Coriolis Flow Meters</v>
      </c>
      <c r="E96" s="224"/>
      <c r="F96" s="467" t="str">
        <f>F95</f>
        <v>Instrument</v>
      </c>
      <c r="G96" s="458" t="str">
        <f>G95</f>
        <v>N</v>
      </c>
      <c r="H96" s="450"/>
      <c r="I96" s="212" t="str">
        <f>I95</f>
        <v>LC</v>
      </c>
      <c r="J96" s="249" t="s">
        <v>68</v>
      </c>
      <c r="K96" s="215">
        <f>K95</f>
        <v>46296</v>
      </c>
      <c r="L96" s="215">
        <f>WORKDAY(IF(K97="",K96,K97),INDEX(L$12:L$15,MATCH($I95,$I$12:$I$15,0)))</f>
        <v>46301</v>
      </c>
      <c r="M96" s="215">
        <f>WORKDAY(IF(L97="",L96,L97),INDEX(M$12:M$15,MATCH($I95,$I$12:$I$15,0)))</f>
        <v>46315</v>
      </c>
      <c r="N96" s="215">
        <f>WORKDAY(IF(M97="",M96,M97),INDEX(N$12:N$15,MATCH($I95,$I$12:$I$15,0)))</f>
        <v>46316</v>
      </c>
      <c r="O96" s="215">
        <f>WORKDAY(IF(N97="",N96,N97),INDEX(O$12:O$15,MATCH($I95,$I$12:$I$15,0)))</f>
        <v>46330</v>
      </c>
      <c r="P96" s="216"/>
      <c r="Q96" s="217"/>
      <c r="R96" s="215">
        <f>WORKDAY(IF(O97="",O96,O97),INDEX(R$12:R$15,MATCH($I95,$I$12:$I$15,0)))</f>
        <v>46344</v>
      </c>
      <c r="S96" s="215">
        <f>WORKDAY(IF(R97="",R96,R97),INDEX(S$12:S$15,MATCH($I95,$I$12:$I$15,0)))</f>
        <v>46365</v>
      </c>
      <c r="T96" s="215">
        <f>WORKDAY(IF(S97="",S96,S97),INDEX(T$12:T$15,MATCH($I95,$I$12:$I$15,0)))</f>
        <v>46379</v>
      </c>
      <c r="U96" s="215">
        <f>WORKDAY(IF(T97="",T96,T97),INDEX(U$12:U$15,MATCH($I95,$I$12:$I$15,0)))</f>
        <v>46393</v>
      </c>
      <c r="V96" s="215">
        <f>WORKDAY(IF(U97="",U96,U97),INDEX(V$12:V$15,MATCH($I95,$I$12:$I$15,0)))</f>
        <v>46395</v>
      </c>
      <c r="W96" s="218"/>
      <c r="X96" s="215">
        <f>U96+Y95</f>
        <v>46538</v>
      </c>
      <c r="Y96" s="448"/>
      <c r="Z96" s="443"/>
      <c r="AA96" s="443"/>
      <c r="AB96" s="442"/>
      <c r="AC96" s="220">
        <f>IF(ISERROR(LOOKUP(AC$16,$L96:$X96,#REF!)),0,(LOOKUP(AC$16,$L96:$X96,#REF!)))</f>
        <v>0</v>
      </c>
      <c r="AD96" s="221">
        <f>IF(ISERROR(LOOKUP(AD$16,$L96:$X96,#REF!)),0,(LOOKUP(AD$16,$L96:$X96,#REF!)))</f>
        <v>0</v>
      </c>
      <c r="AE96" s="221">
        <f>IF(ISERROR(LOOKUP(AE$16,$L96:$X96,#REF!)),0,(LOOKUP(AE$16,$L96:$X96,#REF!)))</f>
        <v>0</v>
      </c>
      <c r="AF96" s="221">
        <f>IF(ISERROR(LOOKUP(AF$16,$L96:$X96,#REF!)),0,(LOOKUP(AF$16,$L96:$X96,#REF!)))</f>
        <v>0</v>
      </c>
      <c r="AG96" s="221">
        <f>IF(ISERROR(LOOKUP(AG$16,$L96:$X96,#REF!)),0,(LOOKUP(AG$16,$L96:$X96,#REF!)))</f>
        <v>0</v>
      </c>
      <c r="AH96" s="221">
        <f>IF(ISERROR(LOOKUP(AH$16,$L96:$X96,#REF!)),0,(LOOKUP(AH$16,$L96:$X96,#REF!)))</f>
        <v>0</v>
      </c>
      <c r="AI96" s="221">
        <f>IF(ISERROR(LOOKUP(AI$16,$L96:$X96,#REF!)),0,(LOOKUP(AI$16,$L96:$X96,#REF!)))</f>
        <v>0</v>
      </c>
      <c r="AJ96" s="221">
        <f>IF(ISERROR(LOOKUP(AJ$16,$L96:$X96,#REF!)),0,(LOOKUP(AJ$16,$L96:$X96,#REF!)))</f>
        <v>0</v>
      </c>
      <c r="AK96" s="221">
        <f>IF(ISERROR(LOOKUP(AK$16,$L96:$X96,#REF!)),0,(LOOKUP(AK$16,$L96:$X96,#REF!)))</f>
        <v>0</v>
      </c>
      <c r="AL96" s="221">
        <f>IF(ISERROR(LOOKUP(AL$16,$L96:$X96,#REF!)),0,(LOOKUP(AL$16,$L96:$X96,#REF!)))</f>
        <v>0</v>
      </c>
      <c r="AM96" s="221">
        <f ca="1">IF(ISERROR(LOOKUP(AM$16,$L96:$X96,#REF!)),0,(LOOKUP(AM$16,$L96:$X96,#REF!)))</f>
        <v>0</v>
      </c>
      <c r="AP96" s="215" t="e">
        <f>WORKDAY(IF(T97="",T96,T97),INDEX(AP$12:AP$15,MATCH($I95,$I$12:$I$15,0)),$AW$17:$AW$148)</f>
        <v>#REF!</v>
      </c>
      <c r="AQ96" s="215" t="e">
        <f>WORKDAY(IF(AP97="",AP96,AP97),INDEX(AQ$12:AQ$15,MATCH($I95,$I$12:$I$15,0)),$AW$17:$AW$148)</f>
        <v>#REF!</v>
      </c>
      <c r="AR96" s="215" t="e">
        <f>WORKDAY(IF(AQ97="",AQ96,AQ97),INDEX(AR$12:AR$15,MATCH($I95,$I$12:$I$15,0)),$AW$17:$AW$148)</f>
        <v>#REF!</v>
      </c>
      <c r="AS96" s="440"/>
      <c r="AW96" s="223" t="e" cm="1">
        <f t="array" ref="AW96:AW174">'[35]Procurement progress '!$A$2:$A$80</f>
        <v>#REF!</v>
      </c>
    </row>
    <row r="97" spans="1:49" s="166" customFormat="1" ht="18" customHeight="1">
      <c r="A97" s="482"/>
      <c r="B97" s="481"/>
      <c r="C97" s="458" t="str">
        <f>C95</f>
        <v>RFQ-027</v>
      </c>
      <c r="D97" s="458" t="str">
        <f>D95</f>
        <v>Coriolis Flow Meters</v>
      </c>
      <c r="E97" s="225"/>
      <c r="F97" s="468" t="str">
        <f>F95</f>
        <v>Instrument</v>
      </c>
      <c r="G97" s="458" t="str">
        <f>G95</f>
        <v>N</v>
      </c>
      <c r="H97" s="451"/>
      <c r="I97" s="212" t="str">
        <f>I95</f>
        <v>LC</v>
      </c>
      <c r="J97" s="249" t="s">
        <v>70</v>
      </c>
      <c r="K97" s="212"/>
      <c r="L97" s="212"/>
      <c r="M97" s="212"/>
      <c r="N97" s="212"/>
      <c r="O97" s="212"/>
      <c r="P97" s="226"/>
      <c r="Q97" s="227"/>
      <c r="R97" s="212"/>
      <c r="S97" s="212"/>
      <c r="T97" s="212"/>
      <c r="U97" s="212"/>
      <c r="V97" s="212"/>
      <c r="W97" s="228"/>
      <c r="X97" s="212"/>
      <c r="Y97" s="448"/>
      <c r="Z97" s="443"/>
      <c r="AA97" s="443"/>
      <c r="AB97" s="442"/>
      <c r="AC97" s="229">
        <f>IF(ISERROR(LOOKUP(AC$16,$L97:$X97,#REF!)),0,(LOOKUP(AC$16,$L97:$X97,#REF!)))</f>
        <v>0</v>
      </c>
      <c r="AD97" s="230">
        <f>IF(ISERROR(LOOKUP(AD$16,$L97:$X97,#REF!)),0,(LOOKUP(AD$16,$L97:$X97,#REF!)))</f>
        <v>0</v>
      </c>
      <c r="AE97" s="230">
        <f>IF(ISERROR(LOOKUP(AE$16,$L97:$X97,#REF!)),0,(LOOKUP(AE$16,$L97:$X97,#REF!)))</f>
        <v>0</v>
      </c>
      <c r="AF97" s="230">
        <f>IF(ISERROR(LOOKUP(AF$16,$L97:$X97,#REF!)),0,(LOOKUP(AF$16,$L97:$X97,#REF!)))</f>
        <v>0</v>
      </c>
      <c r="AG97" s="230">
        <f>IF(ISERROR(LOOKUP(AG$16,$L97:$X97,#REF!)),0,(LOOKUP(AG$16,$L97:$X97,#REF!)))</f>
        <v>0</v>
      </c>
      <c r="AH97" s="230">
        <f>IF(ISERROR(LOOKUP(AH$16,$L97:$X97,#REF!)),0,(LOOKUP(AH$16,$L97:$X97,#REF!)))</f>
        <v>0</v>
      </c>
      <c r="AI97" s="230">
        <f>IF(ISERROR(LOOKUP(AI$16,$L97:$X97,#REF!)),0,(LOOKUP(AI$16,$L97:$X97,#REF!)))</f>
        <v>0</v>
      </c>
      <c r="AJ97" s="230">
        <f>IF(ISERROR(LOOKUP(AJ$16,$L97:$X97,#REF!)),0,(LOOKUP(AJ$16,$L97:$X97,#REF!)))</f>
        <v>0</v>
      </c>
      <c r="AK97" s="230">
        <f>IF(ISERROR(LOOKUP(AK$16,$L97:$X97,#REF!)),0,(LOOKUP(AK$16,$L97:$X97,#REF!)))</f>
        <v>0</v>
      </c>
      <c r="AL97" s="230">
        <f>IF(ISERROR(LOOKUP(AL$16,$L97:$X97,#REF!)),0,(LOOKUP(AL$16,$L97:$X97,#REF!)))</f>
        <v>0</v>
      </c>
      <c r="AM97" s="230">
        <f ca="1">IF(ISERROR(LOOKUP(AM$16,$L97:$X97,#REF!)),0,(LOOKUP(AM$16,$L97:$X97,#REF!)))</f>
        <v>0</v>
      </c>
      <c r="AP97" s="248"/>
      <c r="AQ97" s="248"/>
      <c r="AR97" s="248"/>
      <c r="AS97" s="440"/>
      <c r="AW97" s="223" t="e">
        <v>#REF!</v>
      </c>
    </row>
    <row r="98" spans="1:49" s="169" customFormat="1" ht="22.5" customHeight="1">
      <c r="A98" s="482">
        <f>A95+1</f>
        <v>28</v>
      </c>
      <c r="B98" s="479"/>
      <c r="C98" s="458" t="s">
        <v>4771</v>
      </c>
      <c r="D98" s="458" t="s">
        <v>4772</v>
      </c>
      <c r="E98" s="213"/>
      <c r="F98" s="460" t="s">
        <v>134</v>
      </c>
      <c r="G98" s="458" t="s">
        <v>67</v>
      </c>
      <c r="H98" s="449"/>
      <c r="I98" s="212" t="s">
        <v>6</v>
      </c>
      <c r="J98" s="214" t="s">
        <v>4732</v>
      </c>
      <c r="K98" s="215">
        <f>WORKDAY(L98,-INDEX(L$12:L$15,MATCH($I98,$I$12:$I$15,0)))</f>
        <v>46147</v>
      </c>
      <c r="L98" s="215">
        <f>WORKDAY(M98,-INDEX(M$12:M$15,MATCH($I98,$I$12:$I$15,0)))</f>
        <v>46148</v>
      </c>
      <c r="M98" s="215">
        <f>WORKDAY(N98,-INDEX(N$12:N$15,MATCH($I98,$I$12:$I$15,0)))</f>
        <v>46155</v>
      </c>
      <c r="N98" s="215">
        <f>WORKDAY(O98,-INDEX(O$12:O$15,MATCH($I98,$I$12:$I$15,0)))</f>
        <v>46156</v>
      </c>
      <c r="O98" s="215">
        <f>WORKDAY(R98,-INDEX(R$12:R$15,MATCH($I98,$I$12:$I$15,0)))</f>
        <v>46163</v>
      </c>
      <c r="P98" s="216">
        <f>U98-L98</f>
        <v>76</v>
      </c>
      <c r="Q98" s="217"/>
      <c r="R98" s="215">
        <f>WORKDAY(S98,-INDEX(S$12:S$15,MATCH($I98,$I$12:$I$15,0)))</f>
        <v>46177</v>
      </c>
      <c r="S98" s="215">
        <f>WORKDAY(T98,-INDEX(T$12:T$15,MATCH($I98,$I$12:$I$15,0)))</f>
        <v>46205</v>
      </c>
      <c r="T98" s="215">
        <f>WORKDAY(U98,-INDEX(U$12:U$15,MATCH($I98,$I$12:$I$15,0)))</f>
        <v>46210</v>
      </c>
      <c r="U98" s="215">
        <f>X98-Y98</f>
        <v>46224</v>
      </c>
      <c r="V98" s="215">
        <f>WORKDAY(U98,INDEX(V$12:V$15,MATCH($I98,$I$12:$I$15,0)))</f>
        <v>46226</v>
      </c>
      <c r="W98" s="218">
        <f>Y98/7</f>
        <v>36</v>
      </c>
      <c r="X98" s="215">
        <f>Z98</f>
        <v>46476</v>
      </c>
      <c r="Y98" s="448">
        <v>252</v>
      </c>
      <c r="Z98" s="443">
        <v>46476</v>
      </c>
      <c r="AA98" s="443">
        <v>46416</v>
      </c>
      <c r="AB98" s="442">
        <f>Z98-X99</f>
        <v>0</v>
      </c>
      <c r="AC98" s="250">
        <f>IF(ISERROR(LOOKUP(AC$16,$L98:$X98,#REF!)),0,(LOOKUP(AC$16,$L98:$X98,#REF!)))</f>
        <v>0</v>
      </c>
      <c r="AD98" s="251">
        <f>IF(ISERROR(LOOKUP(AD$16,$L98:$X98,#REF!)),0,(LOOKUP(AD$16,$L98:$X98,#REF!)))</f>
        <v>0</v>
      </c>
      <c r="AE98" s="251">
        <f>IF(ISERROR(LOOKUP(AE$16,$L98:$X98,#REF!)),0,(LOOKUP(AE$16,$L98:$X98,#REF!)))</f>
        <v>0</v>
      </c>
      <c r="AF98" s="251">
        <f>IF(ISERROR(LOOKUP(AF$16,$L98:$X98,#REF!)),0,(LOOKUP(AF$16,$L98:$X98,#REF!)))</f>
        <v>0</v>
      </c>
      <c r="AG98" s="251">
        <f>IF(ISERROR(LOOKUP(AG$16,$L98:$X98,#REF!)),0,(LOOKUP(AG$16,$L98:$X98,#REF!)))</f>
        <v>0</v>
      </c>
      <c r="AH98" s="251">
        <f>IF(ISERROR(LOOKUP(AH$16,$L98:$X98,#REF!)),0,(LOOKUP(AH$16,$L98:$X98,#REF!)))</f>
        <v>0</v>
      </c>
      <c r="AI98" s="251">
        <f>IF(ISERROR(LOOKUP(AI$16,$L98:$X98,#REF!)),0,(LOOKUP(AI$16,$L98:$X98,#REF!)))</f>
        <v>0</v>
      </c>
      <c r="AJ98" s="251">
        <f>IF(ISERROR(LOOKUP(AJ$16,$L98:$X98,#REF!)),0,(LOOKUP(AJ$16,$L98:$X98,#REF!)))</f>
        <v>0</v>
      </c>
      <c r="AK98" s="251">
        <f>IF(ISERROR(LOOKUP(AK$16,$L98:$X98,#REF!)),0,(LOOKUP(AK$16,$L98:$X98,#REF!)))</f>
        <v>0</v>
      </c>
      <c r="AL98" s="251">
        <f>IF(ISERROR(LOOKUP(AL$16,$L98:$X98,#REF!)),0,(LOOKUP(AL$16,$L98:$X98,#REF!)))</f>
        <v>0</v>
      </c>
      <c r="AM98" s="251">
        <f ca="1">IF(ISERROR(LOOKUP(AM$16,$L98:$X98,#REF!)),0,(LOOKUP(AM$16,$L98:$X98,#REF!)))</f>
        <v>0</v>
      </c>
      <c r="AP98" s="215" t="e">
        <f>WORKDAY(AQ98,-INDEX(AQ$12:AQ$15,MATCH($I98,$I$12:$I$15,0)),$AW$17:$AW$148)</f>
        <v>#REF!</v>
      </c>
      <c r="AQ98" s="215" t="e">
        <f>WORKDAY(U98,-INDEX(U$12:U$15,MATCH($I98,$I$12:$I$15,0)),$AW$17:$AW$148)</f>
        <v>#REF!</v>
      </c>
      <c r="AR98" s="215" t="e">
        <f>WORKDAY(U98,-INDEX(U$12:U$15,MATCH($I98,$I$12:$I$15,0)),$AW$17:$AW$148)</f>
        <v>#REF!</v>
      </c>
      <c r="AS98" s="440">
        <v>7</v>
      </c>
      <c r="AW98" s="252" t="e">
        <v>#REF!</v>
      </c>
    </row>
    <row r="99" spans="1:49" s="169" customFormat="1" ht="22.5" customHeight="1">
      <c r="A99" s="482"/>
      <c r="B99" s="480"/>
      <c r="C99" s="458" t="str">
        <f>C98</f>
        <v>RFQ-028</v>
      </c>
      <c r="D99" s="458" t="str">
        <f>D98</f>
        <v>Wellhead Control Panel (WHCP)</v>
      </c>
      <c r="E99" s="224"/>
      <c r="F99" s="461" t="str">
        <f>F98</f>
        <v>Instrument</v>
      </c>
      <c r="G99" s="458" t="str">
        <f>G98</f>
        <v>Y</v>
      </c>
      <c r="H99" s="450"/>
      <c r="I99" s="212" t="str">
        <f>I98</f>
        <v>LA</v>
      </c>
      <c r="J99" s="214" t="s">
        <v>68</v>
      </c>
      <c r="K99" s="215">
        <f>K98</f>
        <v>46147</v>
      </c>
      <c r="L99" s="215">
        <f>WORKDAY(IF(K100="",K99,K100),INDEX(L$12:L$15,MATCH($I98,$I$12:$I$15,0)))</f>
        <v>46148</v>
      </c>
      <c r="M99" s="215">
        <f>WORKDAY(IF(L100="",L99,L100),INDEX(M$12:M$15,MATCH($I98,$I$12:$I$15,0)))</f>
        <v>46155</v>
      </c>
      <c r="N99" s="215">
        <f>WORKDAY(IF(M100="",M99,M100),INDEX(N$12:N$15,MATCH($I98,$I$12:$I$15,0)))</f>
        <v>46156</v>
      </c>
      <c r="O99" s="215">
        <f>WORKDAY(IF(N100="",N99,N100),INDEX(O$12:O$15,MATCH($I98,$I$12:$I$15,0)))</f>
        <v>46163</v>
      </c>
      <c r="P99" s="216"/>
      <c r="Q99" s="217"/>
      <c r="R99" s="215">
        <f>WORKDAY(IF(O100="",O99,O100),INDEX(R$12:R$15,MATCH($I98,$I$12:$I$15,0)))</f>
        <v>46177</v>
      </c>
      <c r="S99" s="215">
        <f>WORKDAY(IF(R100="",R99,R100),INDEX(S$12:S$15,MATCH($I98,$I$12:$I$15,0)))</f>
        <v>46205</v>
      </c>
      <c r="T99" s="215">
        <f>WORKDAY(IF(S100="",S99,S100),INDEX(T$12:T$15,MATCH($I98,$I$12:$I$15,0)))</f>
        <v>46210</v>
      </c>
      <c r="U99" s="215">
        <f>WORKDAY(IF(T100="",T99,T100),INDEX(U$12:U$15,MATCH($I98,$I$12:$I$15,0)))</f>
        <v>46224</v>
      </c>
      <c r="V99" s="215">
        <f>WORKDAY(IF(U100="",U99,U100),INDEX(V$12:V$15,MATCH($I98,$I$12:$I$15,0)))</f>
        <v>46226</v>
      </c>
      <c r="W99" s="218"/>
      <c r="X99" s="215">
        <f>U99+Y98</f>
        <v>46476</v>
      </c>
      <c r="Y99" s="448"/>
      <c r="Z99" s="443"/>
      <c r="AA99" s="443"/>
      <c r="AB99" s="442"/>
      <c r="AC99" s="250">
        <f>IF(ISERROR(LOOKUP(AC$16,$L99:$X99,#REF!)),0,(LOOKUP(AC$16,$L99:$X99,#REF!)))</f>
        <v>0</v>
      </c>
      <c r="AD99" s="251">
        <f>IF(ISERROR(LOOKUP(AD$16,$L99:$X99,#REF!)),0,(LOOKUP(AD$16,$L99:$X99,#REF!)))</f>
        <v>0</v>
      </c>
      <c r="AE99" s="251">
        <f>IF(ISERROR(LOOKUP(AE$16,$L99:$X99,#REF!)),0,(LOOKUP(AE$16,$L99:$X99,#REF!)))</f>
        <v>0</v>
      </c>
      <c r="AF99" s="251">
        <f>IF(ISERROR(LOOKUP(AF$16,$L99:$X99,#REF!)),0,(LOOKUP(AF$16,$L99:$X99,#REF!)))</f>
        <v>0</v>
      </c>
      <c r="AG99" s="251">
        <f>IF(ISERROR(LOOKUP(AG$16,$L99:$X99,#REF!)),0,(LOOKUP(AG$16,$L99:$X99,#REF!)))</f>
        <v>0</v>
      </c>
      <c r="AH99" s="251">
        <f>IF(ISERROR(LOOKUP(AH$16,$L99:$X99,#REF!)),0,(LOOKUP(AH$16,$L99:$X99,#REF!)))</f>
        <v>0</v>
      </c>
      <c r="AI99" s="251">
        <f>IF(ISERROR(LOOKUP(AI$16,$L99:$X99,#REF!)),0,(LOOKUP(AI$16,$L99:$X99,#REF!)))</f>
        <v>0</v>
      </c>
      <c r="AJ99" s="251">
        <f>IF(ISERROR(LOOKUP(AJ$16,$L99:$X99,#REF!)),0,(LOOKUP(AJ$16,$L99:$X99,#REF!)))</f>
        <v>0</v>
      </c>
      <c r="AK99" s="251">
        <f>IF(ISERROR(LOOKUP(AK$16,$L99:$X99,#REF!)),0,(LOOKUP(AK$16,$L99:$X99,#REF!)))</f>
        <v>0</v>
      </c>
      <c r="AL99" s="251">
        <f>IF(ISERROR(LOOKUP(AL$16,$L99:$X99,#REF!)),0,(LOOKUP(AL$16,$L99:$X99,#REF!)))</f>
        <v>0</v>
      </c>
      <c r="AM99" s="251">
        <f ca="1">IF(ISERROR(LOOKUP(AM$16,$L99:$X99,#REF!)),0,(LOOKUP(AM$16,$L99:$X99,#REF!)))</f>
        <v>0</v>
      </c>
      <c r="AP99" s="215" t="e">
        <f>WORKDAY(IF(T100="",T99,T100),INDEX(AP$12:AP$15,MATCH($I98,$I$12:$I$15,0)),$AW$17:$AW$148)</f>
        <v>#REF!</v>
      </c>
      <c r="AQ99" s="215" t="e">
        <f>WORKDAY(IF(AP100="",AP99,AP100),INDEX(AQ$12:AQ$15,MATCH($I98,$I$12:$I$15,0)),$AW$17:$AW$148)</f>
        <v>#REF!</v>
      </c>
      <c r="AR99" s="215" t="e">
        <f>WORKDAY(IF(AQ100="",AQ99,AQ100),INDEX(AR$12:AR$15,MATCH($I98,$I$12:$I$15,0)),$AW$17:$AW$148)</f>
        <v>#REF!</v>
      </c>
      <c r="AS99" s="440"/>
      <c r="AW99" s="252" t="e">
        <v>#REF!</v>
      </c>
    </row>
    <row r="100" spans="1:49" s="169" customFormat="1" ht="15" customHeight="1">
      <c r="A100" s="482"/>
      <c r="B100" s="481"/>
      <c r="C100" s="458" t="str">
        <f>C98</f>
        <v>RFQ-028</v>
      </c>
      <c r="D100" s="458" t="str">
        <f>D98</f>
        <v>Wellhead Control Panel (WHCP)</v>
      </c>
      <c r="E100" s="225"/>
      <c r="F100" s="462" t="str">
        <f>F98</f>
        <v>Instrument</v>
      </c>
      <c r="G100" s="458" t="str">
        <f>G98</f>
        <v>Y</v>
      </c>
      <c r="H100" s="451"/>
      <c r="I100" s="212" t="str">
        <f>I98</f>
        <v>LA</v>
      </c>
      <c r="J100" s="214" t="s">
        <v>70</v>
      </c>
      <c r="K100" s="212"/>
      <c r="L100" s="212"/>
      <c r="M100" s="212"/>
      <c r="N100" s="212"/>
      <c r="O100" s="212"/>
      <c r="P100" s="226"/>
      <c r="Q100" s="227"/>
      <c r="R100" s="212"/>
      <c r="S100" s="212"/>
      <c r="T100" s="212"/>
      <c r="U100" s="212"/>
      <c r="V100" s="212"/>
      <c r="W100" s="228"/>
      <c r="X100" s="212"/>
      <c r="Y100" s="448"/>
      <c r="Z100" s="443"/>
      <c r="AA100" s="443"/>
      <c r="AB100" s="442"/>
      <c r="AC100" s="254">
        <f>IF(ISERROR(LOOKUP(AC$16,$L100:$X100,#REF!)),0,(LOOKUP(AC$16,$L100:$X100,#REF!)))</f>
        <v>0</v>
      </c>
      <c r="AD100" s="255">
        <f>IF(ISERROR(LOOKUP(AD$16,$L100:$X100,#REF!)),0,(LOOKUP(AD$16,$L100:$X100,#REF!)))</f>
        <v>0</v>
      </c>
      <c r="AE100" s="255">
        <f>IF(ISERROR(LOOKUP(AE$16,$L100:$X100,#REF!)),0,(LOOKUP(AE$16,$L100:$X100,#REF!)))</f>
        <v>0</v>
      </c>
      <c r="AF100" s="255">
        <f>IF(ISERROR(LOOKUP(AF$16,$L100:$X100,#REF!)),0,(LOOKUP(AF$16,$L100:$X100,#REF!)))</f>
        <v>0</v>
      </c>
      <c r="AG100" s="255">
        <f>IF(ISERROR(LOOKUP(AG$16,$L100:$X100,#REF!)),0,(LOOKUP(AG$16,$L100:$X100,#REF!)))</f>
        <v>0</v>
      </c>
      <c r="AH100" s="255">
        <f>IF(ISERROR(LOOKUP(AH$16,$L100:$X100,#REF!)),0,(LOOKUP(AH$16,$L100:$X100,#REF!)))</f>
        <v>0</v>
      </c>
      <c r="AI100" s="255">
        <f>IF(ISERROR(LOOKUP(AI$16,$L100:$X100,#REF!)),0,(LOOKUP(AI$16,$L100:$X100,#REF!)))</f>
        <v>0</v>
      </c>
      <c r="AJ100" s="255">
        <f>IF(ISERROR(LOOKUP(AJ$16,$L100:$X100,#REF!)),0,(LOOKUP(AJ$16,$L100:$X100,#REF!)))</f>
        <v>0</v>
      </c>
      <c r="AK100" s="255">
        <f>IF(ISERROR(LOOKUP(AK$16,$L100:$X100,#REF!)),0,(LOOKUP(AK$16,$L100:$X100,#REF!)))</f>
        <v>0</v>
      </c>
      <c r="AL100" s="255">
        <f>IF(ISERROR(LOOKUP(AL$16,$L100:$X100,#REF!)),0,(LOOKUP(AL$16,$L100:$X100,#REF!)))</f>
        <v>0</v>
      </c>
      <c r="AM100" s="255">
        <f ca="1">IF(ISERROR(LOOKUP(AM$16,$L100:$X100,#REF!)),0,(LOOKUP(AM$16,$L100:$X100,#REF!)))</f>
        <v>0</v>
      </c>
      <c r="AP100" s="212"/>
      <c r="AQ100" s="212"/>
      <c r="AR100" s="212"/>
      <c r="AS100" s="440"/>
      <c r="AW100" s="252" t="e">
        <v>#REF!</v>
      </c>
    </row>
    <row r="101" spans="1:49" s="166" customFormat="1" ht="18" customHeight="1">
      <c r="A101" s="482">
        <f>A98+1</f>
        <v>29</v>
      </c>
      <c r="B101" s="479"/>
      <c r="C101" s="458" t="s">
        <v>4773</v>
      </c>
      <c r="D101" s="458" t="s">
        <v>158</v>
      </c>
      <c r="E101" s="213"/>
      <c r="F101" s="466" t="s">
        <v>134</v>
      </c>
      <c r="G101" s="458" t="s">
        <v>75</v>
      </c>
      <c r="H101" s="449"/>
      <c r="I101" s="212" t="s">
        <v>8</v>
      </c>
      <c r="J101" s="249" t="s">
        <v>4732</v>
      </c>
      <c r="K101" s="215">
        <f>WORKDAY(L101,-INDEX(L$12:L$15,MATCH($I101,$I$12:$I$15,0)))</f>
        <v>46315</v>
      </c>
      <c r="L101" s="215">
        <f>WORKDAY(M101,-INDEX(M$12:M$15,MATCH($I101,$I$12:$I$15,0)))</f>
        <v>46318</v>
      </c>
      <c r="M101" s="215">
        <f>WORKDAY(N101,-INDEX(N$12:N$15,MATCH($I101,$I$12:$I$15,0)))</f>
        <v>46332</v>
      </c>
      <c r="N101" s="215">
        <f>WORKDAY(O101,-INDEX(O$12:O$15,MATCH($I101,$I$12:$I$15,0)))</f>
        <v>46335</v>
      </c>
      <c r="O101" s="215">
        <f>WORKDAY(R101,-INDEX(R$12:R$15,MATCH($I101,$I$12:$I$15,0)))</f>
        <v>46349</v>
      </c>
      <c r="P101" s="216">
        <f>U101-L101</f>
        <v>94</v>
      </c>
      <c r="Q101" s="217"/>
      <c r="R101" s="215">
        <f>WORKDAY(S101,-INDEX(S$12:S$15,MATCH($I101,$I$12:$I$15,0)))</f>
        <v>46363</v>
      </c>
      <c r="S101" s="215">
        <f>WORKDAY(T101,-INDEX(T$12:T$15,MATCH($I101,$I$12:$I$15,0)))</f>
        <v>46384</v>
      </c>
      <c r="T101" s="215">
        <f>WORKDAY(U101,-INDEX(U$12:U$15,MATCH($I101,$I$12:$I$15,0)))</f>
        <v>46398</v>
      </c>
      <c r="U101" s="215">
        <f>X101-Y101</f>
        <v>46412</v>
      </c>
      <c r="V101" s="215">
        <f>WORKDAY(U101,INDEX(V$12:V$15,MATCH($I101,$I$12:$I$15,0)))</f>
        <v>46414</v>
      </c>
      <c r="W101" s="218">
        <f>Y101/7</f>
        <v>18</v>
      </c>
      <c r="X101" s="215">
        <f>Z101</f>
        <v>46538</v>
      </c>
      <c r="Y101" s="448">
        <f>18*7</f>
        <v>126</v>
      </c>
      <c r="Z101" s="443">
        <v>46538</v>
      </c>
      <c r="AA101" s="443">
        <v>46538</v>
      </c>
      <c r="AB101" s="442">
        <f>Z101-X102</f>
        <v>0</v>
      </c>
      <c r="AC101" s="220">
        <f>IF(ISERROR(LOOKUP(AC$16,$L101:$X101,#REF!)),0,(LOOKUP(AC$16,$L101:$X101,#REF!)))</f>
        <v>0</v>
      </c>
      <c r="AD101" s="221">
        <f>IF(ISERROR(LOOKUP(AD$16,$L101:$X101,#REF!)),0,(LOOKUP(AD$16,$L101:$X101,#REF!)))</f>
        <v>0</v>
      </c>
      <c r="AE101" s="221">
        <f>IF(ISERROR(LOOKUP(AE$16,$L101:$X101,#REF!)),0,(LOOKUP(AE$16,$L101:$X101,#REF!)))</f>
        <v>0</v>
      </c>
      <c r="AF101" s="221">
        <f>IF(ISERROR(LOOKUP(AF$16,$L101:$X101,#REF!)),0,(LOOKUP(AF$16,$L101:$X101,#REF!)))</f>
        <v>0</v>
      </c>
      <c r="AG101" s="221">
        <f>IF(ISERROR(LOOKUP(AG$16,$L101:$X101,#REF!)),0,(LOOKUP(AG$16,$L101:$X101,#REF!)))</f>
        <v>0</v>
      </c>
      <c r="AH101" s="221">
        <f>IF(ISERROR(LOOKUP(AH$16,$L101:$X101,#REF!)),0,(LOOKUP(AH$16,$L101:$X101,#REF!)))</f>
        <v>0</v>
      </c>
      <c r="AI101" s="221">
        <f>IF(ISERROR(LOOKUP(AI$16,$L101:$X101,#REF!)),0,(LOOKUP(AI$16,$L101:$X101,#REF!)))</f>
        <v>0</v>
      </c>
      <c r="AJ101" s="221">
        <f>IF(ISERROR(LOOKUP(AJ$16,$L101:$X101,#REF!)),0,(LOOKUP(AJ$16,$L101:$X101,#REF!)))</f>
        <v>0</v>
      </c>
      <c r="AK101" s="221">
        <f>IF(ISERROR(LOOKUP(AK$16,$L101:$X101,#REF!)),0,(LOOKUP(AK$16,$L101:$X101,#REF!)))</f>
        <v>0</v>
      </c>
      <c r="AL101" s="221">
        <f>IF(ISERROR(LOOKUP(AL$16,$L101:$X101,#REF!)),0,(LOOKUP(AL$16,$L101:$X101,#REF!)))</f>
        <v>0</v>
      </c>
      <c r="AM101" s="221">
        <f ca="1">IF(ISERROR(LOOKUP(AM$16,$L101:$X101,#REF!)),0,(LOOKUP(AM$16,$L101:$X101,#REF!)))</f>
        <v>0</v>
      </c>
      <c r="AP101" s="215" t="e">
        <f>WORKDAY(AQ101,-INDEX(AQ$12:AQ$15,MATCH($I101,$I$12:$I$15,0)),$AW$17:$AW$148)</f>
        <v>#REF!</v>
      </c>
      <c r="AQ101" s="215" t="e">
        <f>WORKDAY(U101,-INDEX(U$12:U$15,MATCH($I101,$I$12:$I$15,0)),$AW$17:$AW$148)</f>
        <v>#REF!</v>
      </c>
      <c r="AR101" s="215" t="e">
        <f>WORKDAY(U101,-INDEX(U$12:U$15,MATCH($I101,$I$12:$I$15,0)),$AW$17:$AW$148)</f>
        <v>#REF!</v>
      </c>
      <c r="AS101" s="440">
        <v>7</v>
      </c>
      <c r="AW101" s="223" t="e">
        <v>#REF!</v>
      </c>
    </row>
    <row r="102" spans="1:49" s="166" customFormat="1" ht="18" customHeight="1">
      <c r="A102" s="482"/>
      <c r="B102" s="480"/>
      <c r="C102" s="458" t="str">
        <f>C101</f>
        <v>RFQ-029</v>
      </c>
      <c r="D102" s="458" t="str">
        <f>D101</f>
        <v>Pressure Gauge</v>
      </c>
      <c r="E102" s="224"/>
      <c r="F102" s="467" t="str">
        <f>F101</f>
        <v>Instrument</v>
      </c>
      <c r="G102" s="458" t="str">
        <f>G101</f>
        <v>N</v>
      </c>
      <c r="H102" s="450"/>
      <c r="I102" s="212" t="str">
        <f>I101</f>
        <v>LC</v>
      </c>
      <c r="J102" s="249" t="s">
        <v>68</v>
      </c>
      <c r="K102" s="215">
        <f>K101</f>
        <v>46315</v>
      </c>
      <c r="L102" s="215">
        <f>WORKDAY(IF(K103="",K102,K103),INDEX(L$12:L$15,MATCH($I101,$I$12:$I$15,0)))</f>
        <v>46318</v>
      </c>
      <c r="M102" s="215">
        <f>WORKDAY(IF(L103="",L102,L103),INDEX(M$12:M$15,MATCH($I101,$I$12:$I$15,0)))</f>
        <v>46332</v>
      </c>
      <c r="N102" s="215">
        <f>WORKDAY(IF(M103="",M102,M103),INDEX(N$12:N$15,MATCH($I101,$I$12:$I$15,0)))</f>
        <v>46335</v>
      </c>
      <c r="O102" s="215">
        <f>WORKDAY(IF(N103="",N102,N103),INDEX(O$12:O$15,MATCH($I101,$I$12:$I$15,0)))</f>
        <v>46349</v>
      </c>
      <c r="P102" s="216"/>
      <c r="Q102" s="217"/>
      <c r="R102" s="215">
        <f>WORKDAY(IF(O103="",O102,O103),INDEX(R$12:R$15,MATCH($I101,$I$12:$I$15,0)))</f>
        <v>46363</v>
      </c>
      <c r="S102" s="215">
        <f>WORKDAY(IF(R103="",R102,R103),INDEX(S$12:S$15,MATCH($I101,$I$12:$I$15,0)))</f>
        <v>46384</v>
      </c>
      <c r="T102" s="215">
        <f>WORKDAY(IF(S103="",S102,S103),INDEX(T$12:T$15,MATCH($I101,$I$12:$I$15,0)))</f>
        <v>46398</v>
      </c>
      <c r="U102" s="215">
        <f>WORKDAY(IF(T103="",T102,T103),INDEX(U$12:U$15,MATCH($I101,$I$12:$I$15,0)))</f>
        <v>46412</v>
      </c>
      <c r="V102" s="215">
        <f>WORKDAY(IF(U103="",U102,U103),INDEX(V$12:V$15,MATCH($I101,$I$12:$I$15,0)))</f>
        <v>46414</v>
      </c>
      <c r="W102" s="218"/>
      <c r="X102" s="215">
        <f>U102+Y101</f>
        <v>46538</v>
      </c>
      <c r="Y102" s="448"/>
      <c r="Z102" s="443"/>
      <c r="AA102" s="443"/>
      <c r="AB102" s="442"/>
      <c r="AC102" s="220">
        <f>IF(ISERROR(LOOKUP(AC$16,$L102:$X102,#REF!)),0,(LOOKUP(AC$16,$L102:$X102,#REF!)))</f>
        <v>0</v>
      </c>
      <c r="AD102" s="221">
        <f>IF(ISERROR(LOOKUP(AD$16,$L102:$X102,#REF!)),0,(LOOKUP(AD$16,$L102:$X102,#REF!)))</f>
        <v>0</v>
      </c>
      <c r="AE102" s="221">
        <f>IF(ISERROR(LOOKUP(AE$16,$L102:$X102,#REF!)),0,(LOOKUP(AE$16,$L102:$X102,#REF!)))</f>
        <v>0</v>
      </c>
      <c r="AF102" s="221">
        <f>IF(ISERROR(LOOKUP(AF$16,$L102:$X102,#REF!)),0,(LOOKUP(AF$16,$L102:$X102,#REF!)))</f>
        <v>0</v>
      </c>
      <c r="AG102" s="221">
        <f>IF(ISERROR(LOOKUP(AG$16,$L102:$X102,#REF!)),0,(LOOKUP(AG$16,$L102:$X102,#REF!)))</f>
        <v>0</v>
      </c>
      <c r="AH102" s="221">
        <f>IF(ISERROR(LOOKUP(AH$16,$L102:$X102,#REF!)),0,(LOOKUP(AH$16,$L102:$X102,#REF!)))</f>
        <v>0</v>
      </c>
      <c r="AI102" s="221">
        <f>IF(ISERROR(LOOKUP(AI$16,$L102:$X102,#REF!)),0,(LOOKUP(AI$16,$L102:$X102,#REF!)))</f>
        <v>0</v>
      </c>
      <c r="AJ102" s="221">
        <f>IF(ISERROR(LOOKUP(AJ$16,$L102:$X102,#REF!)),0,(LOOKUP(AJ$16,$L102:$X102,#REF!)))</f>
        <v>0</v>
      </c>
      <c r="AK102" s="221">
        <f>IF(ISERROR(LOOKUP(AK$16,$L102:$X102,#REF!)),0,(LOOKUP(AK$16,$L102:$X102,#REF!)))</f>
        <v>0</v>
      </c>
      <c r="AL102" s="221">
        <f>IF(ISERROR(LOOKUP(AL$16,$L102:$X102,#REF!)),0,(LOOKUP(AL$16,$L102:$X102,#REF!)))</f>
        <v>0</v>
      </c>
      <c r="AM102" s="221">
        <f ca="1">IF(ISERROR(LOOKUP(AM$16,$L102:$X102,#REF!)),0,(LOOKUP(AM$16,$L102:$X102,#REF!)))</f>
        <v>0</v>
      </c>
      <c r="AP102" s="215" t="e">
        <f>WORKDAY(IF(T103="",T102,T103),INDEX(AP$12:AP$15,MATCH($I101,$I$12:$I$15,0)),$AW$17:$AW$148)</f>
        <v>#REF!</v>
      </c>
      <c r="AQ102" s="215" t="e">
        <f>WORKDAY(IF(AP103="",AP102,AP103),INDEX(AQ$12:AQ$15,MATCH($I101,$I$12:$I$15,0)),$AW$17:$AW$148)</f>
        <v>#REF!</v>
      </c>
      <c r="AR102" s="215" t="e">
        <f>WORKDAY(IF(AQ103="",AQ102,AQ103),INDEX(AR$12:AR$15,MATCH($I101,$I$12:$I$15,0)),$AW$17:$AW$148)</f>
        <v>#REF!</v>
      </c>
      <c r="AS102" s="440"/>
      <c r="AW102" s="223" t="e">
        <v>#REF!</v>
      </c>
    </row>
    <row r="103" spans="1:49" s="166" customFormat="1" ht="18" customHeight="1">
      <c r="A103" s="482"/>
      <c r="B103" s="481"/>
      <c r="C103" s="458" t="str">
        <f>C101</f>
        <v>RFQ-029</v>
      </c>
      <c r="D103" s="458" t="str">
        <f>D101</f>
        <v>Pressure Gauge</v>
      </c>
      <c r="E103" s="225"/>
      <c r="F103" s="468" t="str">
        <f>F101</f>
        <v>Instrument</v>
      </c>
      <c r="G103" s="458" t="str">
        <f>G101</f>
        <v>N</v>
      </c>
      <c r="H103" s="451"/>
      <c r="I103" s="212" t="str">
        <f>I101</f>
        <v>LC</v>
      </c>
      <c r="J103" s="249" t="s">
        <v>70</v>
      </c>
      <c r="K103" s="212"/>
      <c r="L103" s="212"/>
      <c r="M103" s="212"/>
      <c r="N103" s="212"/>
      <c r="O103" s="212"/>
      <c r="P103" s="226"/>
      <c r="Q103" s="227"/>
      <c r="R103" s="212"/>
      <c r="S103" s="212"/>
      <c r="T103" s="212"/>
      <c r="U103" s="212"/>
      <c r="V103" s="212"/>
      <c r="W103" s="228"/>
      <c r="X103" s="212"/>
      <c r="Y103" s="448"/>
      <c r="Z103" s="443"/>
      <c r="AA103" s="443"/>
      <c r="AB103" s="442"/>
      <c r="AC103" s="229">
        <f>IF(ISERROR(LOOKUP(AC$16,$L103:$X103,#REF!)),0,(LOOKUP(AC$16,$L103:$X103,#REF!)))</f>
        <v>0</v>
      </c>
      <c r="AD103" s="230">
        <f>IF(ISERROR(LOOKUP(AD$16,$L103:$X103,#REF!)),0,(LOOKUP(AD$16,$L103:$X103,#REF!)))</f>
        <v>0</v>
      </c>
      <c r="AE103" s="230">
        <f>IF(ISERROR(LOOKUP(AE$16,$L103:$X103,#REF!)),0,(LOOKUP(AE$16,$L103:$X103,#REF!)))</f>
        <v>0</v>
      </c>
      <c r="AF103" s="230">
        <f>IF(ISERROR(LOOKUP(AF$16,$L103:$X103,#REF!)),0,(LOOKUP(AF$16,$L103:$X103,#REF!)))</f>
        <v>0</v>
      </c>
      <c r="AG103" s="230">
        <f>IF(ISERROR(LOOKUP(AG$16,$L103:$X103,#REF!)),0,(LOOKUP(AG$16,$L103:$X103,#REF!)))</f>
        <v>0</v>
      </c>
      <c r="AH103" s="230">
        <f>IF(ISERROR(LOOKUP(AH$16,$L103:$X103,#REF!)),0,(LOOKUP(AH$16,$L103:$X103,#REF!)))</f>
        <v>0</v>
      </c>
      <c r="AI103" s="230">
        <f>IF(ISERROR(LOOKUP(AI$16,$L103:$X103,#REF!)),0,(LOOKUP(AI$16,$L103:$X103,#REF!)))</f>
        <v>0</v>
      </c>
      <c r="AJ103" s="230">
        <f>IF(ISERROR(LOOKUP(AJ$16,$L103:$X103,#REF!)),0,(LOOKUP(AJ$16,$L103:$X103,#REF!)))</f>
        <v>0</v>
      </c>
      <c r="AK103" s="230">
        <f>IF(ISERROR(LOOKUP(AK$16,$L103:$X103,#REF!)),0,(LOOKUP(AK$16,$L103:$X103,#REF!)))</f>
        <v>0</v>
      </c>
      <c r="AL103" s="230">
        <f>IF(ISERROR(LOOKUP(AL$16,$L103:$X103,#REF!)),0,(LOOKUP(AL$16,$L103:$X103,#REF!)))</f>
        <v>0</v>
      </c>
      <c r="AM103" s="230">
        <f ca="1">IF(ISERROR(LOOKUP(AM$16,$L103:$X103,#REF!)),0,(LOOKUP(AM$16,$L103:$X103,#REF!)))</f>
        <v>0</v>
      </c>
      <c r="AP103" s="212"/>
      <c r="AQ103" s="212"/>
      <c r="AR103" s="212"/>
      <c r="AS103" s="440"/>
      <c r="AW103" s="223" t="e">
        <v>#REF!</v>
      </c>
    </row>
    <row r="104" spans="1:49" s="166" customFormat="1" ht="18" customHeight="1">
      <c r="A104" s="482">
        <f>A101+1</f>
        <v>30</v>
      </c>
      <c r="B104" s="479"/>
      <c r="C104" s="458" t="s">
        <v>4774</v>
      </c>
      <c r="D104" s="458" t="s">
        <v>161</v>
      </c>
      <c r="E104" s="213"/>
      <c r="F104" s="466" t="s">
        <v>134</v>
      </c>
      <c r="G104" s="458" t="s">
        <v>75</v>
      </c>
      <c r="H104" s="449"/>
      <c r="I104" s="212" t="s">
        <v>8</v>
      </c>
      <c r="J104" s="249" t="s">
        <v>4732</v>
      </c>
      <c r="K104" s="215">
        <f>WORKDAY(L104,-INDEX(L$12:L$15,MATCH($I104,$I$12:$I$15,0)))</f>
        <v>46315</v>
      </c>
      <c r="L104" s="215">
        <f>WORKDAY(M104,-INDEX(M$12:M$15,MATCH($I104,$I$12:$I$15,0)))</f>
        <v>46318</v>
      </c>
      <c r="M104" s="215">
        <f>WORKDAY(N104,-INDEX(N$12:N$15,MATCH($I104,$I$12:$I$15,0)))</f>
        <v>46332</v>
      </c>
      <c r="N104" s="215">
        <f>WORKDAY(O104,-INDEX(O$12:O$15,MATCH($I104,$I$12:$I$15,0)))</f>
        <v>46335</v>
      </c>
      <c r="O104" s="215">
        <f>WORKDAY(R104,-INDEX(R$12:R$15,MATCH($I104,$I$12:$I$15,0)))</f>
        <v>46349</v>
      </c>
      <c r="P104" s="216">
        <f>U104-L104</f>
        <v>94</v>
      </c>
      <c r="Q104" s="217"/>
      <c r="R104" s="215">
        <f>WORKDAY(S104,-INDEX(S$12:S$15,MATCH($I104,$I$12:$I$15,0)))</f>
        <v>46363</v>
      </c>
      <c r="S104" s="215">
        <f>WORKDAY(T104,-INDEX(T$12:T$15,MATCH($I104,$I$12:$I$15,0)))</f>
        <v>46384</v>
      </c>
      <c r="T104" s="215">
        <f>WORKDAY(U104,-INDEX(U$12:U$15,MATCH($I104,$I$12:$I$15,0)))</f>
        <v>46398</v>
      </c>
      <c r="U104" s="215">
        <f>X104-Y104</f>
        <v>46412</v>
      </c>
      <c r="V104" s="215">
        <f>WORKDAY(U104,INDEX(V$12:V$15,MATCH($I104,$I$12:$I$15,0)))</f>
        <v>46414</v>
      </c>
      <c r="W104" s="218">
        <f>Y104/7</f>
        <v>18</v>
      </c>
      <c r="X104" s="215">
        <f>Z104</f>
        <v>46538</v>
      </c>
      <c r="Y104" s="448">
        <f>18*7</f>
        <v>126</v>
      </c>
      <c r="Z104" s="443">
        <v>46538</v>
      </c>
      <c r="AA104" s="443">
        <v>46538</v>
      </c>
      <c r="AB104" s="442">
        <f>Z104-X105</f>
        <v>0</v>
      </c>
      <c r="AC104" s="220">
        <f>IF(ISERROR(LOOKUP(AC$16,$L104:$X104,#REF!)),0,(LOOKUP(AC$16,$L104:$X104,#REF!)))</f>
        <v>0</v>
      </c>
      <c r="AD104" s="221">
        <f>IF(ISERROR(LOOKUP(AD$16,$L104:$X104,#REF!)),0,(LOOKUP(AD$16,$L104:$X104,#REF!)))</f>
        <v>0</v>
      </c>
      <c r="AE104" s="221">
        <f>IF(ISERROR(LOOKUP(AE$16,$L104:$X104,#REF!)),0,(LOOKUP(AE$16,$L104:$X104,#REF!)))</f>
        <v>0</v>
      </c>
      <c r="AF104" s="221">
        <f>IF(ISERROR(LOOKUP(AF$16,$L104:$X104,#REF!)),0,(LOOKUP(AF$16,$L104:$X104,#REF!)))</f>
        <v>0</v>
      </c>
      <c r="AG104" s="221">
        <f>IF(ISERROR(LOOKUP(AG$16,$L104:$X104,#REF!)),0,(LOOKUP(AG$16,$L104:$X104,#REF!)))</f>
        <v>0</v>
      </c>
      <c r="AH104" s="221">
        <f>IF(ISERROR(LOOKUP(AH$16,$L104:$X104,#REF!)),0,(LOOKUP(AH$16,$L104:$X104,#REF!)))</f>
        <v>0</v>
      </c>
      <c r="AI104" s="221">
        <f>IF(ISERROR(LOOKUP(AI$16,$L104:$X104,#REF!)),0,(LOOKUP(AI$16,$L104:$X104,#REF!)))</f>
        <v>0</v>
      </c>
      <c r="AJ104" s="221">
        <f>IF(ISERROR(LOOKUP(AJ$16,$L104:$X104,#REF!)),0,(LOOKUP(AJ$16,$L104:$X104,#REF!)))</f>
        <v>0</v>
      </c>
      <c r="AK104" s="221">
        <f>IF(ISERROR(LOOKUP(AK$16,$L104:$X104,#REF!)),0,(LOOKUP(AK$16,$L104:$X104,#REF!)))</f>
        <v>0</v>
      </c>
      <c r="AL104" s="221">
        <f>IF(ISERROR(LOOKUP(AL$16,$L104:$X104,#REF!)),0,(LOOKUP(AL$16,$L104:$X104,#REF!)))</f>
        <v>0</v>
      </c>
      <c r="AM104" s="221">
        <f ca="1">IF(ISERROR(LOOKUP(AM$16,$L104:$X104,#REF!)),0,(LOOKUP(AM$16,$L104:$X104,#REF!)))</f>
        <v>0</v>
      </c>
      <c r="AP104" s="215" t="e">
        <f>WORKDAY(AQ104,-INDEX(AQ$12:AQ$15,MATCH($I104,$I$12:$I$15,0)),$AW$17:$AW$148)</f>
        <v>#REF!</v>
      </c>
      <c r="AQ104" s="215" t="e">
        <f>WORKDAY(U104,-INDEX(U$12:U$15,MATCH($I104,$I$12:$I$15,0)),$AW$17:$AW$148)</f>
        <v>#REF!</v>
      </c>
      <c r="AR104" s="215" t="e">
        <f>WORKDAY(U104,-INDEX(U$12:U$15,MATCH($I104,$I$12:$I$15,0)),$AW$17:$AW$148)</f>
        <v>#REF!</v>
      </c>
      <c r="AS104" s="440">
        <v>7</v>
      </c>
      <c r="AW104" s="223" t="e">
        <v>#REF!</v>
      </c>
    </row>
    <row r="105" spans="1:49" s="166" customFormat="1" ht="18" customHeight="1">
      <c r="A105" s="482"/>
      <c r="B105" s="480"/>
      <c r="C105" s="458" t="str">
        <f>C104</f>
        <v>RFQ-030</v>
      </c>
      <c r="D105" s="458" t="str">
        <f>D104</f>
        <v>Pressure Transmitter</v>
      </c>
      <c r="E105" s="224"/>
      <c r="F105" s="467" t="str">
        <f>F104</f>
        <v>Instrument</v>
      </c>
      <c r="G105" s="458" t="str">
        <f>G104</f>
        <v>N</v>
      </c>
      <c r="H105" s="450"/>
      <c r="I105" s="212" t="str">
        <f>I104</f>
        <v>LC</v>
      </c>
      <c r="J105" s="249" t="s">
        <v>68</v>
      </c>
      <c r="K105" s="215">
        <f>K104</f>
        <v>46315</v>
      </c>
      <c r="L105" s="215">
        <f>WORKDAY(IF(K106="",K105,K106),INDEX(L$12:L$15,MATCH($I104,$I$12:$I$15,0)))</f>
        <v>46318</v>
      </c>
      <c r="M105" s="215">
        <f>WORKDAY(IF(L106="",L105,L106),INDEX(M$12:M$15,MATCH($I104,$I$12:$I$15,0)))</f>
        <v>46332</v>
      </c>
      <c r="N105" s="215">
        <f>WORKDAY(IF(M106="",M105,M106),INDEX(N$12:N$15,MATCH($I104,$I$12:$I$15,0)))</f>
        <v>46335</v>
      </c>
      <c r="O105" s="215">
        <f>WORKDAY(IF(N106="",N105,N106),INDEX(O$12:O$15,MATCH($I104,$I$12:$I$15,0)))</f>
        <v>46349</v>
      </c>
      <c r="P105" s="216"/>
      <c r="Q105" s="217"/>
      <c r="R105" s="215">
        <f>WORKDAY(IF(O106="",O105,O106),INDEX(R$12:R$15,MATCH($I104,$I$12:$I$15,0)))</f>
        <v>46363</v>
      </c>
      <c r="S105" s="215">
        <f>WORKDAY(IF(R106="",R105,R106),INDEX(S$12:S$15,MATCH($I104,$I$12:$I$15,0)))</f>
        <v>46384</v>
      </c>
      <c r="T105" s="215">
        <f>WORKDAY(IF(S106="",S105,S106),INDEX(T$12:T$15,MATCH($I104,$I$12:$I$15,0)))</f>
        <v>46398</v>
      </c>
      <c r="U105" s="215">
        <f>WORKDAY(IF(T106="",T105,T106),INDEX(U$12:U$15,MATCH($I104,$I$12:$I$15,0)))</f>
        <v>46412</v>
      </c>
      <c r="V105" s="215">
        <f>WORKDAY(IF(U106="",U105,U106),INDEX(V$12:V$15,MATCH($I104,$I$12:$I$15,0)))</f>
        <v>46414</v>
      </c>
      <c r="W105" s="218"/>
      <c r="X105" s="215">
        <f>U105+Y104</f>
        <v>46538</v>
      </c>
      <c r="Y105" s="448"/>
      <c r="Z105" s="443"/>
      <c r="AA105" s="443"/>
      <c r="AB105" s="442"/>
      <c r="AC105" s="220">
        <f>IF(ISERROR(LOOKUP(AC$16,$L105:$X105,#REF!)),0,(LOOKUP(AC$16,$L105:$X105,#REF!)))</f>
        <v>0</v>
      </c>
      <c r="AD105" s="221">
        <f>IF(ISERROR(LOOKUP(AD$16,$L105:$X105,#REF!)),0,(LOOKUP(AD$16,$L105:$X105,#REF!)))</f>
        <v>0</v>
      </c>
      <c r="AE105" s="221">
        <f>IF(ISERROR(LOOKUP(AE$16,$L105:$X105,#REF!)),0,(LOOKUP(AE$16,$L105:$X105,#REF!)))</f>
        <v>0</v>
      </c>
      <c r="AF105" s="221">
        <f>IF(ISERROR(LOOKUP(AF$16,$L105:$X105,#REF!)),0,(LOOKUP(AF$16,$L105:$X105,#REF!)))</f>
        <v>0</v>
      </c>
      <c r="AG105" s="221">
        <f>IF(ISERROR(LOOKUP(AG$16,$L105:$X105,#REF!)),0,(LOOKUP(AG$16,$L105:$X105,#REF!)))</f>
        <v>0</v>
      </c>
      <c r="AH105" s="221">
        <f>IF(ISERROR(LOOKUP(AH$16,$L105:$X105,#REF!)),0,(LOOKUP(AH$16,$L105:$X105,#REF!)))</f>
        <v>0</v>
      </c>
      <c r="AI105" s="221">
        <f>IF(ISERROR(LOOKUP(AI$16,$L105:$X105,#REF!)),0,(LOOKUP(AI$16,$L105:$X105,#REF!)))</f>
        <v>0</v>
      </c>
      <c r="AJ105" s="221">
        <f>IF(ISERROR(LOOKUP(AJ$16,$L105:$X105,#REF!)),0,(LOOKUP(AJ$16,$L105:$X105,#REF!)))</f>
        <v>0</v>
      </c>
      <c r="AK105" s="221">
        <f>IF(ISERROR(LOOKUP(AK$16,$L105:$X105,#REF!)),0,(LOOKUP(AK$16,$L105:$X105,#REF!)))</f>
        <v>0</v>
      </c>
      <c r="AL105" s="221">
        <f>IF(ISERROR(LOOKUP(AL$16,$L105:$X105,#REF!)),0,(LOOKUP(AL$16,$L105:$X105,#REF!)))</f>
        <v>0</v>
      </c>
      <c r="AM105" s="221">
        <f ca="1">IF(ISERROR(LOOKUP(AM$16,$L105:$X105,#REF!)),0,(LOOKUP(AM$16,$L105:$X105,#REF!)))</f>
        <v>0</v>
      </c>
      <c r="AP105" s="215" t="e">
        <f>WORKDAY(IF(T106="",T105,T106),INDEX(AP$12:AP$15,MATCH($I104,$I$12:$I$15,0)),$AW$17:$AW$148)</f>
        <v>#REF!</v>
      </c>
      <c r="AQ105" s="215" t="e">
        <f>WORKDAY(IF(AP106="",AP105,AP106),INDEX(AQ$12:AQ$15,MATCH($I104,$I$12:$I$15,0)),$AW$17:$AW$148)</f>
        <v>#REF!</v>
      </c>
      <c r="AR105" s="215" t="e">
        <f>WORKDAY(IF(AQ106="",AQ105,AQ106),INDEX(AR$12:AR$15,MATCH($I104,$I$12:$I$15,0)),$AW$17:$AW$148)</f>
        <v>#REF!</v>
      </c>
      <c r="AS105" s="440"/>
      <c r="AW105" s="223" t="e">
        <v>#REF!</v>
      </c>
    </row>
    <row r="106" spans="1:49" s="166" customFormat="1" ht="18" customHeight="1">
      <c r="A106" s="482"/>
      <c r="B106" s="481"/>
      <c r="C106" s="458" t="str">
        <f>C104</f>
        <v>RFQ-030</v>
      </c>
      <c r="D106" s="458" t="str">
        <f>D104</f>
        <v>Pressure Transmitter</v>
      </c>
      <c r="E106" s="225"/>
      <c r="F106" s="468" t="str">
        <f>F104</f>
        <v>Instrument</v>
      </c>
      <c r="G106" s="458" t="str">
        <f>G104</f>
        <v>N</v>
      </c>
      <c r="H106" s="451"/>
      <c r="I106" s="212" t="str">
        <f>I104</f>
        <v>LC</v>
      </c>
      <c r="J106" s="249" t="s">
        <v>70</v>
      </c>
      <c r="K106" s="212"/>
      <c r="L106" s="212"/>
      <c r="M106" s="212"/>
      <c r="N106" s="212"/>
      <c r="O106" s="212"/>
      <c r="P106" s="226"/>
      <c r="Q106" s="227"/>
      <c r="R106" s="212"/>
      <c r="S106" s="212"/>
      <c r="T106" s="212"/>
      <c r="U106" s="212"/>
      <c r="V106" s="212"/>
      <c r="W106" s="228"/>
      <c r="X106" s="212"/>
      <c r="Y106" s="448"/>
      <c r="Z106" s="443"/>
      <c r="AA106" s="443"/>
      <c r="AB106" s="442"/>
      <c r="AC106" s="229">
        <f>IF(ISERROR(LOOKUP(AC$16,$L106:$X106,#REF!)),0,(LOOKUP(AC$16,$L106:$X106,#REF!)))</f>
        <v>0</v>
      </c>
      <c r="AD106" s="230">
        <f>IF(ISERROR(LOOKUP(AD$16,$L106:$X106,#REF!)),0,(LOOKUP(AD$16,$L106:$X106,#REF!)))</f>
        <v>0</v>
      </c>
      <c r="AE106" s="230">
        <f>IF(ISERROR(LOOKUP(AE$16,$L106:$X106,#REF!)),0,(LOOKUP(AE$16,$L106:$X106,#REF!)))</f>
        <v>0</v>
      </c>
      <c r="AF106" s="230">
        <f>IF(ISERROR(LOOKUP(AF$16,$L106:$X106,#REF!)),0,(LOOKUP(AF$16,$L106:$X106,#REF!)))</f>
        <v>0</v>
      </c>
      <c r="AG106" s="230">
        <f>IF(ISERROR(LOOKUP(AG$16,$L106:$X106,#REF!)),0,(LOOKUP(AG$16,$L106:$X106,#REF!)))</f>
        <v>0</v>
      </c>
      <c r="AH106" s="230">
        <f>IF(ISERROR(LOOKUP(AH$16,$L106:$X106,#REF!)),0,(LOOKUP(AH$16,$L106:$X106,#REF!)))</f>
        <v>0</v>
      </c>
      <c r="AI106" s="230">
        <f>IF(ISERROR(LOOKUP(AI$16,$L106:$X106,#REF!)),0,(LOOKUP(AI$16,$L106:$X106,#REF!)))</f>
        <v>0</v>
      </c>
      <c r="AJ106" s="230">
        <f>IF(ISERROR(LOOKUP(AJ$16,$L106:$X106,#REF!)),0,(LOOKUP(AJ$16,$L106:$X106,#REF!)))</f>
        <v>0</v>
      </c>
      <c r="AK106" s="230">
        <f>IF(ISERROR(LOOKUP(AK$16,$L106:$X106,#REF!)),0,(LOOKUP(AK$16,$L106:$X106,#REF!)))</f>
        <v>0</v>
      </c>
      <c r="AL106" s="230">
        <f>IF(ISERROR(LOOKUP(AL$16,$L106:$X106,#REF!)),0,(LOOKUP(AL$16,$L106:$X106,#REF!)))</f>
        <v>0</v>
      </c>
      <c r="AM106" s="230">
        <f ca="1">IF(ISERROR(LOOKUP(AM$16,$L106:$X106,#REF!)),0,(LOOKUP(AM$16,$L106:$X106,#REF!)))</f>
        <v>0</v>
      </c>
      <c r="AP106" s="212"/>
      <c r="AQ106" s="212"/>
      <c r="AR106" s="212"/>
      <c r="AS106" s="440"/>
      <c r="AW106" s="223" t="e">
        <v>#REF!</v>
      </c>
    </row>
    <row r="107" spans="1:49" s="166" customFormat="1" ht="18" customHeight="1">
      <c r="A107" s="482">
        <f>A104+1</f>
        <v>31</v>
      </c>
      <c r="B107" s="479"/>
      <c r="C107" s="458" t="s">
        <v>4775</v>
      </c>
      <c r="D107" s="458" t="s">
        <v>163</v>
      </c>
      <c r="E107" s="213"/>
      <c r="F107" s="466" t="s">
        <v>134</v>
      </c>
      <c r="G107" s="458" t="s">
        <v>75</v>
      </c>
      <c r="H107" s="449"/>
      <c r="I107" s="212" t="s">
        <v>8</v>
      </c>
      <c r="J107" s="249" t="s">
        <v>4732</v>
      </c>
      <c r="K107" s="215">
        <f>WORKDAY(L107,-INDEX(L$12:L$15,MATCH($I107,$I$12:$I$15,0)))</f>
        <v>46315</v>
      </c>
      <c r="L107" s="215">
        <f>WORKDAY(M107,-INDEX(M$12:M$15,MATCH($I107,$I$12:$I$15,0)))</f>
        <v>46318</v>
      </c>
      <c r="M107" s="215">
        <f>WORKDAY(N107,-INDEX(N$12:N$15,MATCH($I107,$I$12:$I$15,0)))</f>
        <v>46332</v>
      </c>
      <c r="N107" s="215">
        <f>WORKDAY(O107,-INDEX(O$12:O$15,MATCH($I107,$I$12:$I$15,0)))</f>
        <v>46335</v>
      </c>
      <c r="O107" s="215">
        <f>WORKDAY(R107,-INDEX(R$12:R$15,MATCH($I107,$I$12:$I$15,0)))</f>
        <v>46349</v>
      </c>
      <c r="P107" s="216">
        <f>U107-L107</f>
        <v>94</v>
      </c>
      <c r="Q107" s="217"/>
      <c r="R107" s="215">
        <f>WORKDAY(S107,-INDEX(S$12:S$15,MATCH($I107,$I$12:$I$15,0)))</f>
        <v>46363</v>
      </c>
      <c r="S107" s="215">
        <f>WORKDAY(T107,-INDEX(T$12:T$15,MATCH($I107,$I$12:$I$15,0)))</f>
        <v>46384</v>
      </c>
      <c r="T107" s="215">
        <f>WORKDAY(U107,-INDEX(U$12:U$15,MATCH($I107,$I$12:$I$15,0)))</f>
        <v>46398</v>
      </c>
      <c r="U107" s="215">
        <f>X107-Y107</f>
        <v>46412</v>
      </c>
      <c r="V107" s="215">
        <f>WORKDAY(U107,INDEX(V$12:V$15,MATCH($I107,$I$12:$I$15,0)))</f>
        <v>46414</v>
      </c>
      <c r="W107" s="218">
        <f>Y107/7</f>
        <v>18</v>
      </c>
      <c r="X107" s="215">
        <f>Z107</f>
        <v>46538</v>
      </c>
      <c r="Y107" s="448">
        <f>18*7</f>
        <v>126</v>
      </c>
      <c r="Z107" s="443">
        <v>46538</v>
      </c>
      <c r="AA107" s="443">
        <v>46538</v>
      </c>
      <c r="AB107" s="442">
        <f>Z107-X108</f>
        <v>0</v>
      </c>
      <c r="AC107" s="220">
        <f>IF(ISERROR(LOOKUP(AC$16,$L107:$X107,#REF!)),0,(LOOKUP(AC$16,$L107:$X107,#REF!)))</f>
        <v>0</v>
      </c>
      <c r="AD107" s="221">
        <f>IF(ISERROR(LOOKUP(AD$16,$L107:$X107,#REF!)),0,(LOOKUP(AD$16,$L107:$X107,#REF!)))</f>
        <v>0</v>
      </c>
      <c r="AE107" s="221">
        <f>IF(ISERROR(LOOKUP(AE$16,$L107:$X107,#REF!)),0,(LOOKUP(AE$16,$L107:$X107,#REF!)))</f>
        <v>0</v>
      </c>
      <c r="AF107" s="221">
        <f>IF(ISERROR(LOOKUP(AF$16,$L107:$X107,#REF!)),0,(LOOKUP(AF$16,$L107:$X107,#REF!)))</f>
        <v>0</v>
      </c>
      <c r="AG107" s="221">
        <f>IF(ISERROR(LOOKUP(AG$16,$L107:$X107,#REF!)),0,(LOOKUP(AG$16,$L107:$X107,#REF!)))</f>
        <v>0</v>
      </c>
      <c r="AH107" s="221">
        <f>IF(ISERROR(LOOKUP(AH$16,$L107:$X107,#REF!)),0,(LOOKUP(AH$16,$L107:$X107,#REF!)))</f>
        <v>0</v>
      </c>
      <c r="AI107" s="221">
        <f>IF(ISERROR(LOOKUP(AI$16,$L107:$X107,#REF!)),0,(LOOKUP(AI$16,$L107:$X107,#REF!)))</f>
        <v>0</v>
      </c>
      <c r="AJ107" s="221">
        <f>IF(ISERROR(LOOKUP(AJ$16,$L107:$X107,#REF!)),0,(LOOKUP(AJ$16,$L107:$X107,#REF!)))</f>
        <v>0</v>
      </c>
      <c r="AK107" s="221">
        <f>IF(ISERROR(LOOKUP(AK$16,$L107:$X107,#REF!)),0,(LOOKUP(AK$16,$L107:$X107,#REF!)))</f>
        <v>0</v>
      </c>
      <c r="AL107" s="221">
        <f>IF(ISERROR(LOOKUP(AL$16,$L107:$X107,#REF!)),0,(LOOKUP(AL$16,$L107:$X107,#REF!)))</f>
        <v>0</v>
      </c>
      <c r="AM107" s="221">
        <f ca="1">IF(ISERROR(LOOKUP(AM$16,$L107:$X107,#REF!)),0,(LOOKUP(AM$16,$L107:$X107,#REF!)))</f>
        <v>0</v>
      </c>
      <c r="AP107" s="215" t="e">
        <f>WORKDAY(AQ107,-INDEX(AQ$12:AQ$15,MATCH($I107,$I$12:$I$15,0)),$AW$17:$AW$148)</f>
        <v>#REF!</v>
      </c>
      <c r="AQ107" s="215" t="e">
        <f>WORKDAY(U107,-INDEX(U$12:U$15,MATCH($I107,$I$12:$I$15,0)),$AW$17:$AW$148)</f>
        <v>#REF!</v>
      </c>
      <c r="AR107" s="215" t="e">
        <f>WORKDAY(U107,-INDEX(U$12:U$15,MATCH($I107,$I$12:$I$15,0)),$AW$17:$AW$148)</f>
        <v>#REF!</v>
      </c>
      <c r="AS107" s="440">
        <v>7</v>
      </c>
      <c r="AW107" s="223" t="e">
        <v>#REF!</v>
      </c>
    </row>
    <row r="108" spans="1:49" s="166" customFormat="1" ht="18" customHeight="1">
      <c r="A108" s="482"/>
      <c r="B108" s="480"/>
      <c r="C108" s="458" t="str">
        <f>C107</f>
        <v>RFQ-031</v>
      </c>
      <c r="D108" s="458" t="str">
        <f>D107</f>
        <v>Temperature Gauge</v>
      </c>
      <c r="E108" s="224"/>
      <c r="F108" s="467" t="str">
        <f>F107</f>
        <v>Instrument</v>
      </c>
      <c r="G108" s="458" t="str">
        <f>G107</f>
        <v>N</v>
      </c>
      <c r="H108" s="450"/>
      <c r="I108" s="212" t="str">
        <f>I107</f>
        <v>LC</v>
      </c>
      <c r="J108" s="249" t="s">
        <v>68</v>
      </c>
      <c r="K108" s="215">
        <f>K107</f>
        <v>46315</v>
      </c>
      <c r="L108" s="215">
        <f>WORKDAY(IF(K109="",K108,K109),INDEX(L$12:L$15,MATCH($I107,$I$12:$I$15,0)))</f>
        <v>46318</v>
      </c>
      <c r="M108" s="215">
        <f>WORKDAY(IF(L109="",L108,L109),INDEX(M$12:M$15,MATCH($I107,$I$12:$I$15,0)))</f>
        <v>46332</v>
      </c>
      <c r="N108" s="215">
        <f>WORKDAY(IF(M109="",M108,M109),INDEX(N$12:N$15,MATCH($I107,$I$12:$I$15,0)))</f>
        <v>46335</v>
      </c>
      <c r="O108" s="215">
        <f>WORKDAY(IF(N109="",N108,N109),INDEX(O$12:O$15,MATCH($I107,$I$12:$I$15,0)))</f>
        <v>46349</v>
      </c>
      <c r="P108" s="216"/>
      <c r="Q108" s="217"/>
      <c r="R108" s="215">
        <f>WORKDAY(IF(O109="",O108,O109),INDEX(R$12:R$15,MATCH($I107,$I$12:$I$15,0)))</f>
        <v>46363</v>
      </c>
      <c r="S108" s="215">
        <f>WORKDAY(IF(R109="",R108,R109),INDEX(S$12:S$15,MATCH($I107,$I$12:$I$15,0)))</f>
        <v>46384</v>
      </c>
      <c r="T108" s="215">
        <f>WORKDAY(IF(S109="",S108,S109),INDEX(T$12:T$15,MATCH($I107,$I$12:$I$15,0)))</f>
        <v>46398</v>
      </c>
      <c r="U108" s="215">
        <f>WORKDAY(IF(T109="",T108,T109),INDEX(U$12:U$15,MATCH($I107,$I$12:$I$15,0)))</f>
        <v>46412</v>
      </c>
      <c r="V108" s="215">
        <f>WORKDAY(IF(U109="",U108,U109),INDEX(V$12:V$15,MATCH($I107,$I$12:$I$15,0)))</f>
        <v>46414</v>
      </c>
      <c r="W108" s="218"/>
      <c r="X108" s="215">
        <f>U108+Y107</f>
        <v>46538</v>
      </c>
      <c r="Y108" s="448"/>
      <c r="Z108" s="443"/>
      <c r="AA108" s="443"/>
      <c r="AB108" s="442"/>
      <c r="AC108" s="220">
        <f>IF(ISERROR(LOOKUP(AC$16,$L108:$X108,#REF!)),0,(LOOKUP(AC$16,$L108:$X108,#REF!)))</f>
        <v>0</v>
      </c>
      <c r="AD108" s="221">
        <f>IF(ISERROR(LOOKUP(AD$16,$L108:$X108,#REF!)),0,(LOOKUP(AD$16,$L108:$X108,#REF!)))</f>
        <v>0</v>
      </c>
      <c r="AE108" s="221">
        <f>IF(ISERROR(LOOKUP(AE$16,$L108:$X108,#REF!)),0,(LOOKUP(AE$16,$L108:$X108,#REF!)))</f>
        <v>0</v>
      </c>
      <c r="AF108" s="221">
        <f>IF(ISERROR(LOOKUP(AF$16,$L108:$X108,#REF!)),0,(LOOKUP(AF$16,$L108:$X108,#REF!)))</f>
        <v>0</v>
      </c>
      <c r="AG108" s="221">
        <f>IF(ISERROR(LOOKUP(AG$16,$L108:$X108,#REF!)),0,(LOOKUP(AG$16,$L108:$X108,#REF!)))</f>
        <v>0</v>
      </c>
      <c r="AH108" s="221">
        <f>IF(ISERROR(LOOKUP(AH$16,$L108:$X108,#REF!)),0,(LOOKUP(AH$16,$L108:$X108,#REF!)))</f>
        <v>0</v>
      </c>
      <c r="AI108" s="221">
        <f>IF(ISERROR(LOOKUP(AI$16,$L108:$X108,#REF!)),0,(LOOKUP(AI$16,$L108:$X108,#REF!)))</f>
        <v>0</v>
      </c>
      <c r="AJ108" s="221">
        <f>IF(ISERROR(LOOKUP(AJ$16,$L108:$X108,#REF!)),0,(LOOKUP(AJ$16,$L108:$X108,#REF!)))</f>
        <v>0</v>
      </c>
      <c r="AK108" s="221">
        <f>IF(ISERROR(LOOKUP(AK$16,$L108:$X108,#REF!)),0,(LOOKUP(AK$16,$L108:$X108,#REF!)))</f>
        <v>0</v>
      </c>
      <c r="AL108" s="221">
        <f>IF(ISERROR(LOOKUP(AL$16,$L108:$X108,#REF!)),0,(LOOKUP(AL$16,$L108:$X108,#REF!)))</f>
        <v>0</v>
      </c>
      <c r="AM108" s="221">
        <f ca="1">IF(ISERROR(LOOKUP(AM$16,$L108:$X108,#REF!)),0,(LOOKUP(AM$16,$L108:$X108,#REF!)))</f>
        <v>0</v>
      </c>
      <c r="AP108" s="215" t="e">
        <f>WORKDAY(IF(T109="",T108,T109),INDEX(AP$12:AP$15,MATCH($I107,$I$12:$I$15,0)),$AW$17:$AW$148)</f>
        <v>#REF!</v>
      </c>
      <c r="AQ108" s="215" t="e">
        <f>WORKDAY(IF(AP109="",AP108,AP109),INDEX(AQ$12:AQ$15,MATCH($I107,$I$12:$I$15,0)),$AW$17:$AW$148)</f>
        <v>#REF!</v>
      </c>
      <c r="AR108" s="215" t="e">
        <f>WORKDAY(IF(AQ109="",AQ108,AQ109),INDEX(AR$12:AR$15,MATCH($I107,$I$12:$I$15,0)),$AW$17:$AW$148)</f>
        <v>#REF!</v>
      </c>
      <c r="AS108" s="440"/>
      <c r="AW108" s="223" t="e">
        <v>#REF!</v>
      </c>
    </row>
    <row r="109" spans="1:49" s="166" customFormat="1" ht="18" customHeight="1">
      <c r="A109" s="482"/>
      <c r="B109" s="481"/>
      <c r="C109" s="458" t="str">
        <f>C107</f>
        <v>RFQ-031</v>
      </c>
      <c r="D109" s="458" t="str">
        <f>D107</f>
        <v>Temperature Gauge</v>
      </c>
      <c r="E109" s="225"/>
      <c r="F109" s="468" t="str">
        <f>F107</f>
        <v>Instrument</v>
      </c>
      <c r="G109" s="458" t="str">
        <f>G107</f>
        <v>N</v>
      </c>
      <c r="H109" s="451"/>
      <c r="I109" s="212" t="str">
        <f>I107</f>
        <v>LC</v>
      </c>
      <c r="J109" s="249" t="s">
        <v>70</v>
      </c>
      <c r="K109" s="212"/>
      <c r="L109" s="212"/>
      <c r="M109" s="212"/>
      <c r="N109" s="212"/>
      <c r="O109" s="212"/>
      <c r="P109" s="226"/>
      <c r="Q109" s="227"/>
      <c r="R109" s="212"/>
      <c r="S109" s="212"/>
      <c r="T109" s="212"/>
      <c r="U109" s="212"/>
      <c r="V109" s="212"/>
      <c r="W109" s="228"/>
      <c r="X109" s="212"/>
      <c r="Y109" s="448"/>
      <c r="Z109" s="443"/>
      <c r="AA109" s="443"/>
      <c r="AB109" s="442"/>
      <c r="AC109" s="229">
        <f>IF(ISERROR(LOOKUP(AC$16,$L109:$X109,#REF!)),0,(LOOKUP(AC$16,$L109:$X109,#REF!)))</f>
        <v>0</v>
      </c>
      <c r="AD109" s="230">
        <f>IF(ISERROR(LOOKUP(AD$16,$L109:$X109,#REF!)),0,(LOOKUP(AD$16,$L109:$X109,#REF!)))</f>
        <v>0</v>
      </c>
      <c r="AE109" s="230">
        <f>IF(ISERROR(LOOKUP(AE$16,$L109:$X109,#REF!)),0,(LOOKUP(AE$16,$L109:$X109,#REF!)))</f>
        <v>0</v>
      </c>
      <c r="AF109" s="230">
        <f>IF(ISERROR(LOOKUP(AF$16,$L109:$X109,#REF!)),0,(LOOKUP(AF$16,$L109:$X109,#REF!)))</f>
        <v>0</v>
      </c>
      <c r="AG109" s="230">
        <f>IF(ISERROR(LOOKUP(AG$16,$L109:$X109,#REF!)),0,(LOOKUP(AG$16,$L109:$X109,#REF!)))</f>
        <v>0</v>
      </c>
      <c r="AH109" s="230">
        <f>IF(ISERROR(LOOKUP(AH$16,$L109:$X109,#REF!)),0,(LOOKUP(AH$16,$L109:$X109,#REF!)))</f>
        <v>0</v>
      </c>
      <c r="AI109" s="230">
        <f>IF(ISERROR(LOOKUP(AI$16,$L109:$X109,#REF!)),0,(LOOKUP(AI$16,$L109:$X109,#REF!)))</f>
        <v>0</v>
      </c>
      <c r="AJ109" s="230">
        <f>IF(ISERROR(LOOKUP(AJ$16,$L109:$X109,#REF!)),0,(LOOKUP(AJ$16,$L109:$X109,#REF!)))</f>
        <v>0</v>
      </c>
      <c r="AK109" s="230">
        <f>IF(ISERROR(LOOKUP(AK$16,$L109:$X109,#REF!)),0,(LOOKUP(AK$16,$L109:$X109,#REF!)))</f>
        <v>0</v>
      </c>
      <c r="AL109" s="230">
        <f>IF(ISERROR(LOOKUP(AL$16,$L109:$X109,#REF!)),0,(LOOKUP(AL$16,$L109:$X109,#REF!)))</f>
        <v>0</v>
      </c>
      <c r="AM109" s="230">
        <f ca="1">IF(ISERROR(LOOKUP(AM$16,$L109:$X109,#REF!)),0,(LOOKUP(AM$16,$L109:$X109,#REF!)))</f>
        <v>0</v>
      </c>
      <c r="AP109" s="212"/>
      <c r="AQ109" s="212"/>
      <c r="AR109" s="212"/>
      <c r="AS109" s="440"/>
      <c r="AW109" s="223" t="e">
        <v>#REF!</v>
      </c>
    </row>
    <row r="110" spans="1:49" s="166" customFormat="1" ht="18" customHeight="1">
      <c r="A110" s="482">
        <f>A107+1</f>
        <v>32</v>
      </c>
      <c r="B110" s="479"/>
      <c r="C110" s="458" t="s">
        <v>4776</v>
      </c>
      <c r="D110" s="458" t="s">
        <v>165</v>
      </c>
      <c r="E110" s="213"/>
      <c r="F110" s="466" t="s">
        <v>134</v>
      </c>
      <c r="G110" s="458" t="s">
        <v>75</v>
      </c>
      <c r="H110" s="449"/>
      <c r="I110" s="212" t="s">
        <v>8</v>
      </c>
      <c r="J110" s="249" t="s">
        <v>4732</v>
      </c>
      <c r="K110" s="215">
        <f>WORKDAY(L110,-INDEX(L$12:L$15,MATCH($I110,$I$12:$I$15,0)))</f>
        <v>46315</v>
      </c>
      <c r="L110" s="215">
        <f>WORKDAY(M110,-INDEX(M$12:M$15,MATCH($I110,$I$12:$I$15,0)))</f>
        <v>46318</v>
      </c>
      <c r="M110" s="215">
        <f>WORKDAY(N110,-INDEX(N$12:N$15,MATCH($I110,$I$12:$I$15,0)))</f>
        <v>46332</v>
      </c>
      <c r="N110" s="215">
        <f>WORKDAY(O110,-INDEX(O$12:O$15,MATCH($I110,$I$12:$I$15,0)))</f>
        <v>46335</v>
      </c>
      <c r="O110" s="215">
        <f>WORKDAY(R110,-INDEX(R$12:R$15,MATCH($I110,$I$12:$I$15,0)))</f>
        <v>46349</v>
      </c>
      <c r="P110" s="216">
        <f>U110-L110</f>
        <v>94</v>
      </c>
      <c r="Q110" s="217"/>
      <c r="R110" s="215">
        <f>WORKDAY(S110,-INDEX(S$12:S$15,MATCH($I110,$I$12:$I$15,0)))</f>
        <v>46363</v>
      </c>
      <c r="S110" s="215">
        <f>WORKDAY(T110,-INDEX(T$12:T$15,MATCH($I110,$I$12:$I$15,0)))</f>
        <v>46384</v>
      </c>
      <c r="T110" s="215">
        <f>WORKDAY(U110,-INDEX(U$12:U$15,MATCH($I110,$I$12:$I$15,0)))</f>
        <v>46398</v>
      </c>
      <c r="U110" s="215">
        <f>X110-Y110</f>
        <v>46412</v>
      </c>
      <c r="V110" s="215">
        <f>WORKDAY(U110,INDEX(V$12:V$15,MATCH($I110,$I$12:$I$15,0)))</f>
        <v>46414</v>
      </c>
      <c r="W110" s="218">
        <f>Y110/7</f>
        <v>18</v>
      </c>
      <c r="X110" s="215">
        <f>Z110</f>
        <v>46538</v>
      </c>
      <c r="Y110" s="448">
        <f>18*7</f>
        <v>126</v>
      </c>
      <c r="Z110" s="443">
        <v>46538</v>
      </c>
      <c r="AA110" s="443">
        <v>46538</v>
      </c>
      <c r="AB110" s="442">
        <f>Z110-X111</f>
        <v>0</v>
      </c>
      <c r="AC110" s="220">
        <f>IF(ISERROR(LOOKUP(AC$16,$L110:$X110,#REF!)),0,(LOOKUP(AC$16,$L110:$X110,#REF!)))</f>
        <v>0</v>
      </c>
      <c r="AD110" s="221">
        <f>IF(ISERROR(LOOKUP(AD$16,$L110:$X110,#REF!)),0,(LOOKUP(AD$16,$L110:$X110,#REF!)))</f>
        <v>0</v>
      </c>
      <c r="AE110" s="221">
        <f>IF(ISERROR(LOOKUP(AE$16,$L110:$X110,#REF!)),0,(LOOKUP(AE$16,$L110:$X110,#REF!)))</f>
        <v>0</v>
      </c>
      <c r="AF110" s="221">
        <f>IF(ISERROR(LOOKUP(AF$16,$L110:$X110,#REF!)),0,(LOOKUP(AF$16,$L110:$X110,#REF!)))</f>
        <v>0</v>
      </c>
      <c r="AG110" s="221">
        <f>IF(ISERROR(LOOKUP(AG$16,$L110:$X110,#REF!)),0,(LOOKUP(AG$16,$L110:$X110,#REF!)))</f>
        <v>0</v>
      </c>
      <c r="AH110" s="221">
        <f>IF(ISERROR(LOOKUP(AH$16,$L110:$X110,#REF!)),0,(LOOKUP(AH$16,$L110:$X110,#REF!)))</f>
        <v>0</v>
      </c>
      <c r="AI110" s="221">
        <f>IF(ISERROR(LOOKUP(AI$16,$L110:$X110,#REF!)),0,(LOOKUP(AI$16,$L110:$X110,#REF!)))</f>
        <v>0</v>
      </c>
      <c r="AJ110" s="221">
        <f>IF(ISERROR(LOOKUP(AJ$16,$L110:$X110,#REF!)),0,(LOOKUP(AJ$16,$L110:$X110,#REF!)))</f>
        <v>0</v>
      </c>
      <c r="AK110" s="221">
        <f>IF(ISERROR(LOOKUP(AK$16,$L110:$X110,#REF!)),0,(LOOKUP(AK$16,$L110:$X110,#REF!)))</f>
        <v>0</v>
      </c>
      <c r="AL110" s="221">
        <f>IF(ISERROR(LOOKUP(AL$16,$L110:$X110,#REF!)),0,(LOOKUP(AL$16,$L110:$X110,#REF!)))</f>
        <v>0</v>
      </c>
      <c r="AM110" s="221">
        <f ca="1">IF(ISERROR(LOOKUP(AM$16,$L110:$X110,#REF!)),0,(LOOKUP(AM$16,$L110:$X110,#REF!)))</f>
        <v>0</v>
      </c>
      <c r="AP110" s="215" t="e">
        <f>WORKDAY(AQ110,-INDEX(AQ$12:AQ$15,MATCH($I110,$I$12:$I$15,0)),$AW$17:$AW$148)</f>
        <v>#REF!</v>
      </c>
      <c r="AQ110" s="215" t="e">
        <f>WORKDAY(U110,-INDEX(U$12:U$15,MATCH($I110,$I$12:$I$15,0)),$AW$17:$AW$148)</f>
        <v>#REF!</v>
      </c>
      <c r="AR110" s="215" t="e">
        <f>WORKDAY(U110,-INDEX(U$12:U$15,MATCH($I110,$I$12:$I$15,0)),$AW$17:$AW$148)</f>
        <v>#REF!</v>
      </c>
      <c r="AS110" s="440">
        <v>7</v>
      </c>
      <c r="AW110" s="223" t="e">
        <v>#REF!</v>
      </c>
    </row>
    <row r="111" spans="1:49" s="166" customFormat="1" ht="18" customHeight="1">
      <c r="A111" s="482"/>
      <c r="B111" s="480"/>
      <c r="C111" s="458" t="str">
        <f>C110</f>
        <v>RFQ-032</v>
      </c>
      <c r="D111" s="458" t="str">
        <f>D110</f>
        <v>Temperature Transmitter</v>
      </c>
      <c r="E111" s="224"/>
      <c r="F111" s="467" t="str">
        <f>F110</f>
        <v>Instrument</v>
      </c>
      <c r="G111" s="458" t="str">
        <f>G110</f>
        <v>N</v>
      </c>
      <c r="H111" s="450"/>
      <c r="I111" s="212" t="str">
        <f>I110</f>
        <v>LC</v>
      </c>
      <c r="J111" s="249" t="s">
        <v>68</v>
      </c>
      <c r="K111" s="215">
        <f>K110</f>
        <v>46315</v>
      </c>
      <c r="L111" s="215">
        <f>WORKDAY(IF(K112="",K111,K112),INDEX(L$12:L$15,MATCH($I110,$I$12:$I$15,0)))</f>
        <v>46318</v>
      </c>
      <c r="M111" s="215">
        <f>WORKDAY(IF(L112="",L111,L112),INDEX(M$12:M$15,MATCH($I110,$I$12:$I$15,0)))</f>
        <v>46332</v>
      </c>
      <c r="N111" s="215">
        <f>WORKDAY(IF(M112="",M111,M112),INDEX(N$12:N$15,MATCH($I110,$I$12:$I$15,0)))</f>
        <v>46335</v>
      </c>
      <c r="O111" s="215">
        <f>WORKDAY(IF(N112="",N111,N112),INDEX(O$12:O$15,MATCH($I110,$I$12:$I$15,0)))</f>
        <v>46349</v>
      </c>
      <c r="P111" s="216"/>
      <c r="Q111" s="217"/>
      <c r="R111" s="215">
        <f>WORKDAY(IF(O112="",O111,O112),INDEX(R$12:R$15,MATCH($I110,$I$12:$I$15,0)))</f>
        <v>46363</v>
      </c>
      <c r="S111" s="215">
        <f>WORKDAY(IF(R112="",R111,R112),INDEX(S$12:S$15,MATCH($I110,$I$12:$I$15,0)))</f>
        <v>46384</v>
      </c>
      <c r="T111" s="215">
        <f>WORKDAY(IF(S112="",S111,S112),INDEX(T$12:T$15,MATCH($I110,$I$12:$I$15,0)))</f>
        <v>46398</v>
      </c>
      <c r="U111" s="215">
        <f>WORKDAY(IF(T112="",T111,T112),INDEX(U$12:U$15,MATCH($I110,$I$12:$I$15,0)))</f>
        <v>46412</v>
      </c>
      <c r="V111" s="215">
        <f>WORKDAY(IF(U112="",U111,U112),INDEX(V$12:V$15,MATCH($I110,$I$12:$I$15,0)))</f>
        <v>46414</v>
      </c>
      <c r="W111" s="218"/>
      <c r="X111" s="215">
        <f>U111+Y110</f>
        <v>46538</v>
      </c>
      <c r="Y111" s="448"/>
      <c r="Z111" s="443"/>
      <c r="AA111" s="443"/>
      <c r="AB111" s="442"/>
      <c r="AC111" s="220">
        <f>IF(ISERROR(LOOKUP(AC$16,$L111:$X111,#REF!)),0,(LOOKUP(AC$16,$L111:$X111,#REF!)))</f>
        <v>0</v>
      </c>
      <c r="AD111" s="221">
        <f>IF(ISERROR(LOOKUP(AD$16,$L111:$X111,#REF!)),0,(LOOKUP(AD$16,$L111:$X111,#REF!)))</f>
        <v>0</v>
      </c>
      <c r="AE111" s="221">
        <f>IF(ISERROR(LOOKUP(AE$16,$L111:$X111,#REF!)),0,(LOOKUP(AE$16,$L111:$X111,#REF!)))</f>
        <v>0</v>
      </c>
      <c r="AF111" s="221">
        <f>IF(ISERROR(LOOKUP(AF$16,$L111:$X111,#REF!)),0,(LOOKUP(AF$16,$L111:$X111,#REF!)))</f>
        <v>0</v>
      </c>
      <c r="AG111" s="221">
        <f>IF(ISERROR(LOOKUP(AG$16,$L111:$X111,#REF!)),0,(LOOKUP(AG$16,$L111:$X111,#REF!)))</f>
        <v>0</v>
      </c>
      <c r="AH111" s="221">
        <f>IF(ISERROR(LOOKUP(AH$16,$L111:$X111,#REF!)),0,(LOOKUP(AH$16,$L111:$X111,#REF!)))</f>
        <v>0</v>
      </c>
      <c r="AI111" s="221">
        <f>IF(ISERROR(LOOKUP(AI$16,$L111:$X111,#REF!)),0,(LOOKUP(AI$16,$L111:$X111,#REF!)))</f>
        <v>0</v>
      </c>
      <c r="AJ111" s="221">
        <f>IF(ISERROR(LOOKUP(AJ$16,$L111:$X111,#REF!)),0,(LOOKUP(AJ$16,$L111:$X111,#REF!)))</f>
        <v>0</v>
      </c>
      <c r="AK111" s="221">
        <f>IF(ISERROR(LOOKUP(AK$16,$L111:$X111,#REF!)),0,(LOOKUP(AK$16,$L111:$X111,#REF!)))</f>
        <v>0</v>
      </c>
      <c r="AL111" s="221">
        <f>IF(ISERROR(LOOKUP(AL$16,$L111:$X111,#REF!)),0,(LOOKUP(AL$16,$L111:$X111,#REF!)))</f>
        <v>0</v>
      </c>
      <c r="AM111" s="221">
        <f ca="1">IF(ISERROR(LOOKUP(AM$16,$L111:$X111,#REF!)),0,(LOOKUP(AM$16,$L111:$X111,#REF!)))</f>
        <v>0</v>
      </c>
      <c r="AP111" s="215" t="e">
        <f>WORKDAY(IF(T112="",T111,T112),INDEX(AP$12:AP$15,MATCH($I110,$I$12:$I$15,0)),$AW$17:$AW$148)</f>
        <v>#REF!</v>
      </c>
      <c r="AQ111" s="215" t="e">
        <f>WORKDAY(IF(AP112="",AP111,AP112),INDEX(AQ$12:AQ$15,MATCH($I110,$I$12:$I$15,0)),$AW$17:$AW$148)</f>
        <v>#REF!</v>
      </c>
      <c r="AR111" s="215" t="e">
        <f>WORKDAY(IF(AQ112="",AQ111,AQ112),INDEX(AR$12:AR$15,MATCH($I110,$I$12:$I$15,0)),$AW$17:$AW$148)</f>
        <v>#REF!</v>
      </c>
      <c r="AS111" s="440"/>
      <c r="AW111" s="223" t="e">
        <v>#REF!</v>
      </c>
    </row>
    <row r="112" spans="1:49" s="166" customFormat="1" ht="18" customHeight="1">
      <c r="A112" s="482"/>
      <c r="B112" s="481"/>
      <c r="C112" s="458" t="str">
        <f>C110</f>
        <v>RFQ-032</v>
      </c>
      <c r="D112" s="458" t="str">
        <f>D110</f>
        <v>Temperature Transmitter</v>
      </c>
      <c r="E112" s="225"/>
      <c r="F112" s="468" t="str">
        <f>F110</f>
        <v>Instrument</v>
      </c>
      <c r="G112" s="458" t="str">
        <f>G110</f>
        <v>N</v>
      </c>
      <c r="H112" s="451"/>
      <c r="I112" s="212" t="str">
        <f>I110</f>
        <v>LC</v>
      </c>
      <c r="J112" s="249" t="s">
        <v>70</v>
      </c>
      <c r="K112" s="212"/>
      <c r="L112" s="212"/>
      <c r="M112" s="212"/>
      <c r="N112" s="212"/>
      <c r="O112" s="212"/>
      <c r="P112" s="226"/>
      <c r="Q112" s="227"/>
      <c r="R112" s="212"/>
      <c r="S112" s="212"/>
      <c r="T112" s="212"/>
      <c r="U112" s="212"/>
      <c r="V112" s="212"/>
      <c r="W112" s="228"/>
      <c r="X112" s="212"/>
      <c r="Y112" s="448"/>
      <c r="Z112" s="443"/>
      <c r="AA112" s="443"/>
      <c r="AB112" s="442"/>
      <c r="AC112" s="229">
        <f>IF(ISERROR(LOOKUP(AC$16,$L112:$X112,#REF!)),0,(LOOKUP(AC$16,$L112:$X112,#REF!)))</f>
        <v>0</v>
      </c>
      <c r="AD112" s="230">
        <f>IF(ISERROR(LOOKUP(AD$16,$L112:$X112,#REF!)),0,(LOOKUP(AD$16,$L112:$X112,#REF!)))</f>
        <v>0</v>
      </c>
      <c r="AE112" s="230">
        <f>IF(ISERROR(LOOKUP(AE$16,$L112:$X112,#REF!)),0,(LOOKUP(AE$16,$L112:$X112,#REF!)))</f>
        <v>0</v>
      </c>
      <c r="AF112" s="230">
        <f>IF(ISERROR(LOOKUP(AF$16,$L112:$X112,#REF!)),0,(LOOKUP(AF$16,$L112:$X112,#REF!)))</f>
        <v>0</v>
      </c>
      <c r="AG112" s="230">
        <f>IF(ISERROR(LOOKUP(AG$16,$L112:$X112,#REF!)),0,(LOOKUP(AG$16,$L112:$X112,#REF!)))</f>
        <v>0</v>
      </c>
      <c r="AH112" s="230">
        <f>IF(ISERROR(LOOKUP(AH$16,$L112:$X112,#REF!)),0,(LOOKUP(AH$16,$L112:$X112,#REF!)))</f>
        <v>0</v>
      </c>
      <c r="AI112" s="230">
        <f>IF(ISERROR(LOOKUP(AI$16,$L112:$X112,#REF!)),0,(LOOKUP(AI$16,$L112:$X112,#REF!)))</f>
        <v>0</v>
      </c>
      <c r="AJ112" s="230">
        <f>IF(ISERROR(LOOKUP(AJ$16,$L112:$X112,#REF!)),0,(LOOKUP(AJ$16,$L112:$X112,#REF!)))</f>
        <v>0</v>
      </c>
      <c r="AK112" s="230">
        <f>IF(ISERROR(LOOKUP(AK$16,$L112:$X112,#REF!)),0,(LOOKUP(AK$16,$L112:$X112,#REF!)))</f>
        <v>0</v>
      </c>
      <c r="AL112" s="230">
        <f>IF(ISERROR(LOOKUP(AL$16,$L112:$X112,#REF!)),0,(LOOKUP(AL$16,$L112:$X112,#REF!)))</f>
        <v>0</v>
      </c>
      <c r="AM112" s="230">
        <f ca="1">IF(ISERROR(LOOKUP(AM$16,$L112:$X112,#REF!)),0,(LOOKUP(AM$16,$L112:$X112,#REF!)))</f>
        <v>0</v>
      </c>
      <c r="AP112" s="212"/>
      <c r="AQ112" s="212"/>
      <c r="AR112" s="212"/>
      <c r="AS112" s="440"/>
      <c r="AW112" s="223" t="e">
        <v>#REF!</v>
      </c>
    </row>
    <row r="113" spans="1:49" s="166" customFormat="1" ht="18" customHeight="1">
      <c r="A113" s="482">
        <f>A110+1</f>
        <v>33</v>
      </c>
      <c r="B113" s="479"/>
      <c r="C113" s="458" t="s">
        <v>4777</v>
      </c>
      <c r="D113" s="458" t="s">
        <v>167</v>
      </c>
      <c r="E113" s="213"/>
      <c r="F113" s="466" t="s">
        <v>134</v>
      </c>
      <c r="G113" s="458" t="s">
        <v>75</v>
      </c>
      <c r="H113" s="449"/>
      <c r="I113" s="212" t="s">
        <v>8</v>
      </c>
      <c r="J113" s="249" t="s">
        <v>4732</v>
      </c>
      <c r="K113" s="215">
        <f>WORKDAY(L113,-INDEX(L$12:L$15,MATCH($I113,$I$12:$I$15,0)))</f>
        <v>46315</v>
      </c>
      <c r="L113" s="215">
        <f>WORKDAY(M113,-INDEX(M$12:M$15,MATCH($I113,$I$12:$I$15,0)))</f>
        <v>46318</v>
      </c>
      <c r="M113" s="215">
        <f>WORKDAY(N113,-INDEX(N$12:N$15,MATCH($I113,$I$12:$I$15,0)))</f>
        <v>46332</v>
      </c>
      <c r="N113" s="215">
        <f>WORKDAY(O113,-INDEX(O$12:O$15,MATCH($I113,$I$12:$I$15,0)))</f>
        <v>46335</v>
      </c>
      <c r="O113" s="215">
        <f>WORKDAY(R113,-INDEX(R$12:R$15,MATCH($I113,$I$12:$I$15,0)))</f>
        <v>46349</v>
      </c>
      <c r="P113" s="216">
        <f>U113-L113</f>
        <v>94</v>
      </c>
      <c r="Q113" s="217"/>
      <c r="R113" s="215">
        <f>WORKDAY(S113,-INDEX(S$12:S$15,MATCH($I113,$I$12:$I$15,0)))</f>
        <v>46363</v>
      </c>
      <c r="S113" s="215">
        <f>WORKDAY(T113,-INDEX(T$12:T$15,MATCH($I113,$I$12:$I$15,0)))</f>
        <v>46384</v>
      </c>
      <c r="T113" s="215">
        <f>WORKDAY(U113,-INDEX(U$12:U$15,MATCH($I113,$I$12:$I$15,0)))</f>
        <v>46398</v>
      </c>
      <c r="U113" s="215">
        <f>X113-Y113</f>
        <v>46412</v>
      </c>
      <c r="V113" s="215">
        <f>WORKDAY(U113,INDEX(V$12:V$15,MATCH($I113,$I$12:$I$15,0)))</f>
        <v>46414</v>
      </c>
      <c r="W113" s="218">
        <f>Y113/7</f>
        <v>18</v>
      </c>
      <c r="X113" s="215">
        <f>Z113</f>
        <v>46538</v>
      </c>
      <c r="Y113" s="448">
        <f t="shared" ref="Y113" si="1">18*7</f>
        <v>126</v>
      </c>
      <c r="Z113" s="443">
        <v>46538</v>
      </c>
      <c r="AA113" s="443">
        <v>46538</v>
      </c>
      <c r="AB113" s="442">
        <f>Z113-X114</f>
        <v>0</v>
      </c>
      <c r="AC113" s="220">
        <f>IF(ISERROR(LOOKUP(AC$16,$L113:$X113,#REF!)),0,(LOOKUP(AC$16,$L113:$X113,#REF!)))</f>
        <v>0</v>
      </c>
      <c r="AD113" s="221">
        <f>IF(ISERROR(LOOKUP(AD$16,$L113:$X113,#REF!)),0,(LOOKUP(AD$16,$L113:$X113,#REF!)))</f>
        <v>0</v>
      </c>
      <c r="AE113" s="221">
        <f>IF(ISERROR(LOOKUP(AE$16,$L113:$X113,#REF!)),0,(LOOKUP(AE$16,$L113:$X113,#REF!)))</f>
        <v>0</v>
      </c>
      <c r="AF113" s="221">
        <f>IF(ISERROR(LOOKUP(AF$16,$L113:$X113,#REF!)),0,(LOOKUP(AF$16,$L113:$X113,#REF!)))</f>
        <v>0</v>
      </c>
      <c r="AG113" s="221">
        <f>IF(ISERROR(LOOKUP(AG$16,$L113:$X113,#REF!)),0,(LOOKUP(AG$16,$L113:$X113,#REF!)))</f>
        <v>0</v>
      </c>
      <c r="AH113" s="221">
        <f>IF(ISERROR(LOOKUP(AH$16,$L113:$X113,#REF!)),0,(LOOKUP(AH$16,$L113:$X113,#REF!)))</f>
        <v>0</v>
      </c>
      <c r="AI113" s="221">
        <f>IF(ISERROR(LOOKUP(AI$16,$L113:$X113,#REF!)),0,(LOOKUP(AI$16,$L113:$X113,#REF!)))</f>
        <v>0</v>
      </c>
      <c r="AJ113" s="221">
        <f>IF(ISERROR(LOOKUP(AJ$16,$L113:$X113,#REF!)),0,(LOOKUP(AJ$16,$L113:$X113,#REF!)))</f>
        <v>0</v>
      </c>
      <c r="AK113" s="221">
        <f>IF(ISERROR(LOOKUP(AK$16,$L113:$X113,#REF!)),0,(LOOKUP(AK$16,$L113:$X113,#REF!)))</f>
        <v>0</v>
      </c>
      <c r="AL113" s="221">
        <f>IF(ISERROR(LOOKUP(AL$16,$L113:$X113,#REF!)),0,(LOOKUP(AL$16,$L113:$X113,#REF!)))</f>
        <v>0</v>
      </c>
      <c r="AM113" s="221">
        <f ca="1">IF(ISERROR(LOOKUP(AM$16,$L113:$X113,#REF!)),0,(LOOKUP(AM$16,$L113:$X113,#REF!)))</f>
        <v>0</v>
      </c>
      <c r="AP113" s="215" t="e">
        <f>WORKDAY(AQ113,-INDEX(AQ$12:AQ$15,MATCH($I113,$I$12:$I$15,0)),$AW$17:$AW$148)</f>
        <v>#REF!</v>
      </c>
      <c r="AQ113" s="215" t="e">
        <f>WORKDAY(U113,-INDEX(U$12:U$15,MATCH($I113,$I$12:$I$15,0)),$AW$17:$AW$148)</f>
        <v>#REF!</v>
      </c>
      <c r="AR113" s="215" t="e">
        <f>WORKDAY(U113,-INDEX(U$12:U$15,MATCH($I113,$I$12:$I$15,0)),$AW$17:$AW$148)</f>
        <v>#REF!</v>
      </c>
      <c r="AS113" s="440">
        <v>7</v>
      </c>
      <c r="AW113" s="223" t="e">
        <v>#REF!</v>
      </c>
    </row>
    <row r="114" spans="1:49" s="166" customFormat="1" ht="18" customHeight="1">
      <c r="A114" s="482"/>
      <c r="B114" s="480"/>
      <c r="C114" s="458" t="str">
        <f>C113</f>
        <v>RFQ-033</v>
      </c>
      <c r="D114" s="458" t="str">
        <f>D113</f>
        <v>Vortex Flow Meter</v>
      </c>
      <c r="E114" s="224"/>
      <c r="F114" s="467" t="str">
        <f>F113</f>
        <v>Instrument</v>
      </c>
      <c r="G114" s="458" t="str">
        <f>G113</f>
        <v>N</v>
      </c>
      <c r="H114" s="450"/>
      <c r="I114" s="212" t="str">
        <f>I113</f>
        <v>LC</v>
      </c>
      <c r="J114" s="249" t="s">
        <v>68</v>
      </c>
      <c r="K114" s="215">
        <f>K113</f>
        <v>46315</v>
      </c>
      <c r="L114" s="215">
        <f>WORKDAY(IF(K115="",K114,K115),INDEX(L$12:L$15,MATCH($I113,$I$12:$I$15,0)))</f>
        <v>46318</v>
      </c>
      <c r="M114" s="215">
        <f>WORKDAY(IF(L115="",L114,L115),INDEX(M$12:M$15,MATCH($I113,$I$12:$I$15,0)))</f>
        <v>46332</v>
      </c>
      <c r="N114" s="215">
        <f>WORKDAY(IF(M115="",M114,M115),INDEX(N$12:N$15,MATCH($I113,$I$12:$I$15,0)))</f>
        <v>46335</v>
      </c>
      <c r="O114" s="215">
        <f>WORKDAY(IF(N115="",N114,N115),INDEX(O$12:O$15,MATCH($I113,$I$12:$I$15,0)))</f>
        <v>46349</v>
      </c>
      <c r="P114" s="216"/>
      <c r="Q114" s="217"/>
      <c r="R114" s="215">
        <f>WORKDAY(IF(O115="",O114,O115),INDEX(R$12:R$15,MATCH($I113,$I$12:$I$15,0)))</f>
        <v>46363</v>
      </c>
      <c r="S114" s="215">
        <f>WORKDAY(IF(R115="",R114,R115),INDEX(S$12:S$15,MATCH($I113,$I$12:$I$15,0)))</f>
        <v>46384</v>
      </c>
      <c r="T114" s="215">
        <f>WORKDAY(IF(S115="",S114,S115),INDEX(T$12:T$15,MATCH($I113,$I$12:$I$15,0)))</f>
        <v>46398</v>
      </c>
      <c r="U114" s="215">
        <f>WORKDAY(IF(T115="",T114,T115),INDEX(U$12:U$15,MATCH($I113,$I$12:$I$15,0)))</f>
        <v>46412</v>
      </c>
      <c r="V114" s="215">
        <f>WORKDAY(IF(U115="",U114,U115),INDEX(V$12:V$15,MATCH($I113,$I$12:$I$15,0)))</f>
        <v>46414</v>
      </c>
      <c r="W114" s="218"/>
      <c r="X114" s="215">
        <f>U114+Y113</f>
        <v>46538</v>
      </c>
      <c r="Y114" s="448"/>
      <c r="Z114" s="443"/>
      <c r="AA114" s="443"/>
      <c r="AB114" s="442"/>
      <c r="AC114" s="220">
        <f>IF(ISERROR(LOOKUP(AC$16,$L114:$X114,#REF!)),0,(LOOKUP(AC$16,$L114:$X114,#REF!)))</f>
        <v>0</v>
      </c>
      <c r="AD114" s="221">
        <f>IF(ISERROR(LOOKUP(AD$16,$L114:$X114,#REF!)),0,(LOOKUP(AD$16,$L114:$X114,#REF!)))</f>
        <v>0</v>
      </c>
      <c r="AE114" s="221">
        <f>IF(ISERROR(LOOKUP(AE$16,$L114:$X114,#REF!)),0,(LOOKUP(AE$16,$L114:$X114,#REF!)))</f>
        <v>0</v>
      </c>
      <c r="AF114" s="221">
        <f>IF(ISERROR(LOOKUP(AF$16,$L114:$X114,#REF!)),0,(LOOKUP(AF$16,$L114:$X114,#REF!)))</f>
        <v>0</v>
      </c>
      <c r="AG114" s="221">
        <f>IF(ISERROR(LOOKUP(AG$16,$L114:$X114,#REF!)),0,(LOOKUP(AG$16,$L114:$X114,#REF!)))</f>
        <v>0</v>
      </c>
      <c r="AH114" s="221">
        <f>IF(ISERROR(LOOKUP(AH$16,$L114:$X114,#REF!)),0,(LOOKUP(AH$16,$L114:$X114,#REF!)))</f>
        <v>0</v>
      </c>
      <c r="AI114" s="221">
        <f>IF(ISERROR(LOOKUP(AI$16,$L114:$X114,#REF!)),0,(LOOKUP(AI$16,$L114:$X114,#REF!)))</f>
        <v>0</v>
      </c>
      <c r="AJ114" s="221">
        <f>IF(ISERROR(LOOKUP(AJ$16,$L114:$X114,#REF!)),0,(LOOKUP(AJ$16,$L114:$X114,#REF!)))</f>
        <v>0</v>
      </c>
      <c r="AK114" s="221">
        <f>IF(ISERROR(LOOKUP(AK$16,$L114:$X114,#REF!)),0,(LOOKUP(AK$16,$L114:$X114,#REF!)))</f>
        <v>0</v>
      </c>
      <c r="AL114" s="221">
        <f>IF(ISERROR(LOOKUP(AL$16,$L114:$X114,#REF!)),0,(LOOKUP(AL$16,$L114:$X114,#REF!)))</f>
        <v>0</v>
      </c>
      <c r="AM114" s="221">
        <f ca="1">IF(ISERROR(LOOKUP(AM$16,$L114:$X114,#REF!)),0,(LOOKUP(AM$16,$L114:$X114,#REF!)))</f>
        <v>0</v>
      </c>
      <c r="AP114" s="215" t="e">
        <f>WORKDAY(IF(T115="",T114,T115),INDEX(AP$12:AP$15,MATCH($I113,$I$12:$I$15,0)),$AW$17:$AW$148)</f>
        <v>#REF!</v>
      </c>
      <c r="AQ114" s="215" t="e">
        <f>WORKDAY(IF(AP115="",AP114,AP115),INDEX(AQ$12:AQ$15,MATCH($I113,$I$12:$I$15,0)),$AW$17:$AW$148)</f>
        <v>#REF!</v>
      </c>
      <c r="AR114" s="215" t="e">
        <f>WORKDAY(IF(AQ115="",AQ114,AQ115),INDEX(AR$12:AR$15,MATCH($I113,$I$12:$I$15,0)),$AW$17:$AW$148)</f>
        <v>#REF!</v>
      </c>
      <c r="AS114" s="440"/>
      <c r="AW114" s="223" t="e">
        <v>#REF!</v>
      </c>
    </row>
    <row r="115" spans="1:49" s="166" customFormat="1" ht="18" customHeight="1">
      <c r="A115" s="482"/>
      <c r="B115" s="481"/>
      <c r="C115" s="458" t="str">
        <f>C113</f>
        <v>RFQ-033</v>
      </c>
      <c r="D115" s="458" t="str">
        <f>D113</f>
        <v>Vortex Flow Meter</v>
      </c>
      <c r="E115" s="225"/>
      <c r="F115" s="468" t="str">
        <f>F113</f>
        <v>Instrument</v>
      </c>
      <c r="G115" s="458" t="str">
        <f>G113</f>
        <v>N</v>
      </c>
      <c r="H115" s="451"/>
      <c r="I115" s="212" t="str">
        <f>I113</f>
        <v>LC</v>
      </c>
      <c r="J115" s="249" t="s">
        <v>70</v>
      </c>
      <c r="K115" s="212"/>
      <c r="L115" s="212"/>
      <c r="M115" s="212"/>
      <c r="N115" s="212"/>
      <c r="O115" s="212"/>
      <c r="P115" s="226"/>
      <c r="Q115" s="227"/>
      <c r="R115" s="212"/>
      <c r="S115" s="212"/>
      <c r="T115" s="212"/>
      <c r="U115" s="212"/>
      <c r="V115" s="212"/>
      <c r="W115" s="228"/>
      <c r="X115" s="212"/>
      <c r="Y115" s="448"/>
      <c r="Z115" s="443"/>
      <c r="AA115" s="443"/>
      <c r="AB115" s="442"/>
      <c r="AC115" s="229">
        <f>IF(ISERROR(LOOKUP(AC$16,$L115:$X115,#REF!)),0,(LOOKUP(AC$16,$L115:$X115,#REF!)))</f>
        <v>0</v>
      </c>
      <c r="AD115" s="230">
        <f>IF(ISERROR(LOOKUP(AD$16,$L115:$X115,#REF!)),0,(LOOKUP(AD$16,$L115:$X115,#REF!)))</f>
        <v>0</v>
      </c>
      <c r="AE115" s="230">
        <f>IF(ISERROR(LOOKUP(AE$16,$L115:$X115,#REF!)),0,(LOOKUP(AE$16,$L115:$X115,#REF!)))</f>
        <v>0</v>
      </c>
      <c r="AF115" s="230">
        <f>IF(ISERROR(LOOKUP(AF$16,$L115:$X115,#REF!)),0,(LOOKUP(AF$16,$L115:$X115,#REF!)))</f>
        <v>0</v>
      </c>
      <c r="AG115" s="230">
        <f>IF(ISERROR(LOOKUP(AG$16,$L115:$X115,#REF!)),0,(LOOKUP(AG$16,$L115:$X115,#REF!)))</f>
        <v>0</v>
      </c>
      <c r="AH115" s="230">
        <f>IF(ISERROR(LOOKUP(AH$16,$L115:$X115,#REF!)),0,(LOOKUP(AH$16,$L115:$X115,#REF!)))</f>
        <v>0</v>
      </c>
      <c r="AI115" s="230">
        <f>IF(ISERROR(LOOKUP(AI$16,$L115:$X115,#REF!)),0,(LOOKUP(AI$16,$L115:$X115,#REF!)))</f>
        <v>0</v>
      </c>
      <c r="AJ115" s="230">
        <f>IF(ISERROR(LOOKUP(AJ$16,$L115:$X115,#REF!)),0,(LOOKUP(AJ$16,$L115:$X115,#REF!)))</f>
        <v>0</v>
      </c>
      <c r="AK115" s="230">
        <f>IF(ISERROR(LOOKUP(AK$16,$L115:$X115,#REF!)),0,(LOOKUP(AK$16,$L115:$X115,#REF!)))</f>
        <v>0</v>
      </c>
      <c r="AL115" s="230">
        <f>IF(ISERROR(LOOKUP(AL$16,$L115:$X115,#REF!)),0,(LOOKUP(AL$16,$L115:$X115,#REF!)))</f>
        <v>0</v>
      </c>
      <c r="AM115" s="230">
        <f ca="1">IF(ISERROR(LOOKUP(AM$16,$L115:$X115,#REF!)),0,(LOOKUP(AM$16,$L115:$X115,#REF!)))</f>
        <v>0</v>
      </c>
      <c r="AP115" s="212"/>
      <c r="AQ115" s="212"/>
      <c r="AR115" s="212"/>
      <c r="AS115" s="440"/>
      <c r="AW115" s="223" t="e">
        <v>#REF!</v>
      </c>
    </row>
    <row r="116" spans="1:49" s="166" customFormat="1" ht="18" customHeight="1">
      <c r="A116" s="482">
        <f>A113+1</f>
        <v>34</v>
      </c>
      <c r="B116" s="479"/>
      <c r="C116" s="458" t="s">
        <v>4778</v>
      </c>
      <c r="D116" s="458" t="s">
        <v>4779</v>
      </c>
      <c r="E116" s="213"/>
      <c r="F116" s="466" t="s">
        <v>134</v>
      </c>
      <c r="G116" s="458" t="s">
        <v>75</v>
      </c>
      <c r="H116" s="449"/>
      <c r="I116" s="212" t="s">
        <v>8</v>
      </c>
      <c r="J116" s="249" t="s">
        <v>4732</v>
      </c>
      <c r="K116" s="215">
        <f>WORKDAY(L116,-INDEX(L$12:L$15,MATCH($I116,$I$12:$I$15,0)))</f>
        <v>46315</v>
      </c>
      <c r="L116" s="215">
        <f>WORKDAY(M116,-INDEX(M$12:M$15,MATCH($I116,$I$12:$I$15,0)))</f>
        <v>46318</v>
      </c>
      <c r="M116" s="215">
        <f>WORKDAY(N116,-INDEX(N$12:N$15,MATCH($I116,$I$12:$I$15,0)))</f>
        <v>46332</v>
      </c>
      <c r="N116" s="215">
        <f>WORKDAY(O116,-INDEX(O$12:O$15,MATCH($I116,$I$12:$I$15,0)))</f>
        <v>46335</v>
      </c>
      <c r="O116" s="215">
        <f>WORKDAY(R116,-INDEX(R$12:R$15,MATCH($I116,$I$12:$I$15,0)))</f>
        <v>46349</v>
      </c>
      <c r="P116" s="216">
        <f>U116-L116</f>
        <v>94</v>
      </c>
      <c r="Q116" s="217"/>
      <c r="R116" s="215">
        <f>WORKDAY(S116,-INDEX(S$12:S$15,MATCH($I116,$I$12:$I$15,0)))</f>
        <v>46363</v>
      </c>
      <c r="S116" s="215">
        <f>WORKDAY(T116,-INDEX(T$12:T$15,MATCH($I116,$I$12:$I$15,0)))</f>
        <v>46384</v>
      </c>
      <c r="T116" s="215">
        <f>WORKDAY(U116,-INDEX(U$12:U$15,MATCH($I116,$I$12:$I$15,0)))</f>
        <v>46398</v>
      </c>
      <c r="U116" s="215">
        <f>X116-Y116</f>
        <v>46412</v>
      </c>
      <c r="V116" s="215">
        <f>WORKDAY(U116,INDEX(V$12:V$15,MATCH($I116,$I$12:$I$15,0)))</f>
        <v>46414</v>
      </c>
      <c r="W116" s="218">
        <f>Y116/7</f>
        <v>18</v>
      </c>
      <c r="X116" s="215">
        <f>Z116</f>
        <v>46538</v>
      </c>
      <c r="Y116" s="448">
        <f t="shared" ref="Y116" si="2">18*7</f>
        <v>126</v>
      </c>
      <c r="Z116" s="443">
        <v>46538</v>
      </c>
      <c r="AA116" s="443">
        <v>46538</v>
      </c>
      <c r="AB116" s="442">
        <f>Z116-X117</f>
        <v>0</v>
      </c>
      <c r="AC116" s="220">
        <f>IF(ISERROR(LOOKUP(AC$16,$L116:$X116,#REF!)),0,(LOOKUP(AC$16,$L116:$X116,#REF!)))</f>
        <v>0</v>
      </c>
      <c r="AD116" s="221">
        <f>IF(ISERROR(LOOKUP(AD$16,$L116:$X116,#REF!)),0,(LOOKUP(AD$16,$L116:$X116,#REF!)))</f>
        <v>0</v>
      </c>
      <c r="AE116" s="221">
        <f>IF(ISERROR(LOOKUP(AE$16,$L116:$X116,#REF!)),0,(LOOKUP(AE$16,$L116:$X116,#REF!)))</f>
        <v>0</v>
      </c>
      <c r="AF116" s="221">
        <f>IF(ISERROR(LOOKUP(AF$16,$L116:$X116,#REF!)),0,(LOOKUP(AF$16,$L116:$X116,#REF!)))</f>
        <v>0</v>
      </c>
      <c r="AG116" s="221">
        <f>IF(ISERROR(LOOKUP(AG$16,$L116:$X116,#REF!)),0,(LOOKUP(AG$16,$L116:$X116,#REF!)))</f>
        <v>0</v>
      </c>
      <c r="AH116" s="221">
        <f>IF(ISERROR(LOOKUP(AH$16,$L116:$X116,#REF!)),0,(LOOKUP(AH$16,$L116:$X116,#REF!)))</f>
        <v>0</v>
      </c>
      <c r="AI116" s="221">
        <f>IF(ISERROR(LOOKUP(AI$16,$L116:$X116,#REF!)),0,(LOOKUP(AI$16,$L116:$X116,#REF!)))</f>
        <v>0</v>
      </c>
      <c r="AJ116" s="221">
        <f>IF(ISERROR(LOOKUP(AJ$16,$L116:$X116,#REF!)),0,(LOOKUP(AJ$16,$L116:$X116,#REF!)))</f>
        <v>0</v>
      </c>
      <c r="AK116" s="221">
        <f>IF(ISERROR(LOOKUP(AK$16,$L116:$X116,#REF!)),0,(LOOKUP(AK$16,$L116:$X116,#REF!)))</f>
        <v>0</v>
      </c>
      <c r="AL116" s="221">
        <f>IF(ISERROR(LOOKUP(AL$16,$L116:$X116,#REF!)),0,(LOOKUP(AL$16,$L116:$X116,#REF!)))</f>
        <v>0</v>
      </c>
      <c r="AM116" s="221">
        <f ca="1">IF(ISERROR(LOOKUP(AM$16,$L116:$X116,#REF!)),0,(LOOKUP(AM$16,$L116:$X116,#REF!)))</f>
        <v>0</v>
      </c>
      <c r="AP116" s="215" t="e">
        <f>WORKDAY(AQ116,-INDEX(AQ$12:AQ$15,MATCH($I116,$I$12:$I$15,0)),$AW$17:$AW$148)</f>
        <v>#REF!</v>
      </c>
      <c r="AQ116" s="215" t="e">
        <f>WORKDAY(U116,-INDEX(U$12:U$15,MATCH($I116,$I$12:$I$15,0)),$AW$17:$AW$148)</f>
        <v>#REF!</v>
      </c>
      <c r="AR116" s="215" t="e">
        <f>WORKDAY(U116,-INDEX(U$12:U$15,MATCH($I116,$I$12:$I$15,0)),$AW$17:$AW$148)</f>
        <v>#REF!</v>
      </c>
      <c r="AS116" s="440">
        <v>7</v>
      </c>
      <c r="AW116" s="223" t="e">
        <v>#REF!</v>
      </c>
    </row>
    <row r="117" spans="1:49" s="166" customFormat="1" ht="18" customHeight="1">
      <c r="A117" s="482"/>
      <c r="B117" s="480"/>
      <c r="C117" s="458" t="str">
        <f>C116</f>
        <v>RFQ-034</v>
      </c>
      <c r="D117" s="458" t="str">
        <f>D116</f>
        <v>Level Transmitter and Gauge</v>
      </c>
      <c r="E117" s="224"/>
      <c r="F117" s="467" t="str">
        <f>F116</f>
        <v>Instrument</v>
      </c>
      <c r="G117" s="458" t="str">
        <f>G116</f>
        <v>N</v>
      </c>
      <c r="H117" s="450"/>
      <c r="I117" s="212" t="str">
        <f>I116</f>
        <v>LC</v>
      </c>
      <c r="J117" s="249" t="s">
        <v>68</v>
      </c>
      <c r="K117" s="215">
        <f>K116</f>
        <v>46315</v>
      </c>
      <c r="L117" s="215">
        <f>WORKDAY(IF(K118="",K117,K118),INDEX(L$12:L$15,MATCH($I116,$I$12:$I$15,0)))</f>
        <v>46318</v>
      </c>
      <c r="M117" s="215">
        <f>WORKDAY(IF(L118="",L117,L118),INDEX(M$12:M$15,MATCH($I116,$I$12:$I$15,0)))</f>
        <v>46332</v>
      </c>
      <c r="N117" s="215">
        <f>WORKDAY(IF(M118="",M117,M118),INDEX(N$12:N$15,MATCH($I116,$I$12:$I$15,0)))</f>
        <v>46335</v>
      </c>
      <c r="O117" s="215">
        <f>WORKDAY(IF(N118="",N117,N118),INDEX(O$12:O$15,MATCH($I116,$I$12:$I$15,0)))</f>
        <v>46349</v>
      </c>
      <c r="P117" s="216"/>
      <c r="Q117" s="217"/>
      <c r="R117" s="215">
        <f>WORKDAY(IF(O118="",O117,O118),INDEX(R$12:R$15,MATCH($I116,$I$12:$I$15,0)))</f>
        <v>46363</v>
      </c>
      <c r="S117" s="215">
        <f>WORKDAY(IF(R118="",R117,R118),INDEX(S$12:S$15,MATCH($I116,$I$12:$I$15,0)))</f>
        <v>46384</v>
      </c>
      <c r="T117" s="215">
        <f>WORKDAY(IF(S118="",S117,S118),INDEX(T$12:T$15,MATCH($I116,$I$12:$I$15,0)))</f>
        <v>46398</v>
      </c>
      <c r="U117" s="215">
        <f>WORKDAY(IF(T118="",T117,T118),INDEX(U$12:U$15,MATCH($I116,$I$12:$I$15,0)))</f>
        <v>46412</v>
      </c>
      <c r="V117" s="215">
        <f>WORKDAY(IF(U118="",U117,U118),INDEX(V$12:V$15,MATCH($I116,$I$12:$I$15,0)))</f>
        <v>46414</v>
      </c>
      <c r="W117" s="218"/>
      <c r="X117" s="215">
        <f>U117+Y116</f>
        <v>46538</v>
      </c>
      <c r="Y117" s="448"/>
      <c r="Z117" s="443"/>
      <c r="AA117" s="443"/>
      <c r="AB117" s="442"/>
      <c r="AC117" s="220">
        <f>IF(ISERROR(LOOKUP(AC$16,$L117:$X117,#REF!)),0,(LOOKUP(AC$16,$L117:$X117,#REF!)))</f>
        <v>0</v>
      </c>
      <c r="AD117" s="221">
        <f>IF(ISERROR(LOOKUP(AD$16,$L117:$X117,#REF!)),0,(LOOKUP(AD$16,$L117:$X117,#REF!)))</f>
        <v>0</v>
      </c>
      <c r="AE117" s="221">
        <f>IF(ISERROR(LOOKUP(AE$16,$L117:$X117,#REF!)),0,(LOOKUP(AE$16,$L117:$X117,#REF!)))</f>
        <v>0</v>
      </c>
      <c r="AF117" s="221">
        <f>IF(ISERROR(LOOKUP(AF$16,$L117:$X117,#REF!)),0,(LOOKUP(AF$16,$L117:$X117,#REF!)))</f>
        <v>0</v>
      </c>
      <c r="AG117" s="221">
        <f>IF(ISERROR(LOOKUP(AG$16,$L117:$X117,#REF!)),0,(LOOKUP(AG$16,$L117:$X117,#REF!)))</f>
        <v>0</v>
      </c>
      <c r="AH117" s="221">
        <f>IF(ISERROR(LOOKUP(AH$16,$L117:$X117,#REF!)),0,(LOOKUP(AH$16,$L117:$X117,#REF!)))</f>
        <v>0</v>
      </c>
      <c r="AI117" s="221">
        <f>IF(ISERROR(LOOKUP(AI$16,$L117:$X117,#REF!)),0,(LOOKUP(AI$16,$L117:$X117,#REF!)))</f>
        <v>0</v>
      </c>
      <c r="AJ117" s="221">
        <f>IF(ISERROR(LOOKUP(AJ$16,$L117:$X117,#REF!)),0,(LOOKUP(AJ$16,$L117:$X117,#REF!)))</f>
        <v>0</v>
      </c>
      <c r="AK117" s="221">
        <f>IF(ISERROR(LOOKUP(AK$16,$L117:$X117,#REF!)),0,(LOOKUP(AK$16,$L117:$X117,#REF!)))</f>
        <v>0</v>
      </c>
      <c r="AL117" s="221">
        <f>IF(ISERROR(LOOKUP(AL$16,$L117:$X117,#REF!)),0,(LOOKUP(AL$16,$L117:$X117,#REF!)))</f>
        <v>0</v>
      </c>
      <c r="AM117" s="221">
        <f ca="1">IF(ISERROR(LOOKUP(AM$16,$L117:$X117,#REF!)),0,(LOOKUP(AM$16,$L117:$X117,#REF!)))</f>
        <v>0</v>
      </c>
      <c r="AP117" s="215" t="e">
        <f>WORKDAY(IF(T118="",T117,T118),INDEX(AP$12:AP$15,MATCH($I116,$I$12:$I$15,0)),$AW$17:$AW$148)</f>
        <v>#REF!</v>
      </c>
      <c r="AQ117" s="215" t="e">
        <f>WORKDAY(IF(AP118="",AP117,AP118),INDEX(AQ$12:AQ$15,MATCH($I116,$I$12:$I$15,0)),$AW$17:$AW$148)</f>
        <v>#REF!</v>
      </c>
      <c r="AR117" s="215" t="e">
        <f>WORKDAY(IF(AQ118="",AQ117,AQ118),INDEX(AR$12:AR$15,MATCH($I116,$I$12:$I$15,0)),$AW$17:$AW$148)</f>
        <v>#REF!</v>
      </c>
      <c r="AS117" s="440"/>
      <c r="AW117" s="223" t="e">
        <v>#REF!</v>
      </c>
    </row>
    <row r="118" spans="1:49" s="166" customFormat="1" ht="18" customHeight="1">
      <c r="A118" s="482"/>
      <c r="B118" s="481"/>
      <c r="C118" s="458" t="str">
        <f>C116</f>
        <v>RFQ-034</v>
      </c>
      <c r="D118" s="458" t="str">
        <f>D116</f>
        <v>Level Transmitter and Gauge</v>
      </c>
      <c r="E118" s="225"/>
      <c r="F118" s="468" t="str">
        <f>F116</f>
        <v>Instrument</v>
      </c>
      <c r="G118" s="458" t="str">
        <f>G116</f>
        <v>N</v>
      </c>
      <c r="H118" s="451"/>
      <c r="I118" s="212" t="str">
        <f>I116</f>
        <v>LC</v>
      </c>
      <c r="J118" s="249" t="s">
        <v>70</v>
      </c>
      <c r="K118" s="212"/>
      <c r="L118" s="212"/>
      <c r="M118" s="212"/>
      <c r="N118" s="212"/>
      <c r="O118" s="212"/>
      <c r="P118" s="226"/>
      <c r="Q118" s="227"/>
      <c r="R118" s="212"/>
      <c r="S118" s="212"/>
      <c r="T118" s="212"/>
      <c r="U118" s="212"/>
      <c r="V118" s="212"/>
      <c r="W118" s="228"/>
      <c r="X118" s="212"/>
      <c r="Y118" s="448"/>
      <c r="Z118" s="443"/>
      <c r="AA118" s="443"/>
      <c r="AB118" s="442"/>
      <c r="AC118" s="229">
        <f>IF(ISERROR(LOOKUP(AC$16,$L118:$X118,#REF!)),0,(LOOKUP(AC$16,$L118:$X118,#REF!)))</f>
        <v>0</v>
      </c>
      <c r="AD118" s="230">
        <f>IF(ISERROR(LOOKUP(AD$16,$L118:$X118,#REF!)),0,(LOOKUP(AD$16,$L118:$X118,#REF!)))</f>
        <v>0</v>
      </c>
      <c r="AE118" s="230">
        <f>IF(ISERROR(LOOKUP(AE$16,$L118:$X118,#REF!)),0,(LOOKUP(AE$16,$L118:$X118,#REF!)))</f>
        <v>0</v>
      </c>
      <c r="AF118" s="230">
        <f>IF(ISERROR(LOOKUP(AF$16,$L118:$X118,#REF!)),0,(LOOKUP(AF$16,$L118:$X118,#REF!)))</f>
        <v>0</v>
      </c>
      <c r="AG118" s="230">
        <f>IF(ISERROR(LOOKUP(AG$16,$L118:$X118,#REF!)),0,(LOOKUP(AG$16,$L118:$X118,#REF!)))</f>
        <v>0</v>
      </c>
      <c r="AH118" s="230">
        <f>IF(ISERROR(LOOKUP(AH$16,$L118:$X118,#REF!)),0,(LOOKUP(AH$16,$L118:$X118,#REF!)))</f>
        <v>0</v>
      </c>
      <c r="AI118" s="230">
        <f>IF(ISERROR(LOOKUP(AI$16,$L118:$X118,#REF!)),0,(LOOKUP(AI$16,$L118:$X118,#REF!)))</f>
        <v>0</v>
      </c>
      <c r="AJ118" s="230">
        <f>IF(ISERROR(LOOKUP(AJ$16,$L118:$X118,#REF!)),0,(LOOKUP(AJ$16,$L118:$X118,#REF!)))</f>
        <v>0</v>
      </c>
      <c r="AK118" s="230">
        <f>IF(ISERROR(LOOKUP(AK$16,$L118:$X118,#REF!)),0,(LOOKUP(AK$16,$L118:$X118,#REF!)))</f>
        <v>0</v>
      </c>
      <c r="AL118" s="230">
        <f>IF(ISERROR(LOOKUP(AL$16,$L118:$X118,#REF!)),0,(LOOKUP(AL$16,$L118:$X118,#REF!)))</f>
        <v>0</v>
      </c>
      <c r="AM118" s="230">
        <f ca="1">IF(ISERROR(LOOKUP(AM$16,$L118:$X118,#REF!)),0,(LOOKUP(AM$16,$L118:$X118,#REF!)))</f>
        <v>0</v>
      </c>
      <c r="AP118" s="212"/>
      <c r="AQ118" s="212"/>
      <c r="AR118" s="212"/>
      <c r="AS118" s="440"/>
      <c r="AW118" s="223" t="e">
        <v>#REF!</v>
      </c>
    </row>
    <row r="119" spans="1:49" s="166" customFormat="1" ht="18" customHeight="1">
      <c r="A119" s="482">
        <f>A116+1</f>
        <v>35</v>
      </c>
      <c r="B119" s="479"/>
      <c r="C119" s="458" t="s">
        <v>4780</v>
      </c>
      <c r="D119" s="458" t="s">
        <v>172</v>
      </c>
      <c r="E119" s="213"/>
      <c r="F119" s="466" t="s">
        <v>134</v>
      </c>
      <c r="G119" s="458" t="s">
        <v>75</v>
      </c>
      <c r="H119" s="449"/>
      <c r="I119" s="212" t="s">
        <v>8</v>
      </c>
      <c r="J119" s="249" t="s">
        <v>4732</v>
      </c>
      <c r="K119" s="215">
        <f>WORKDAY(L119,-INDEX(L$12:L$15,MATCH($I119,$I$12:$I$15,0)))</f>
        <v>46315</v>
      </c>
      <c r="L119" s="215">
        <f>WORKDAY(M119,-INDEX(M$12:M$15,MATCH($I119,$I$12:$I$15,0)))</f>
        <v>46318</v>
      </c>
      <c r="M119" s="215">
        <f>WORKDAY(N119,-INDEX(N$12:N$15,MATCH($I119,$I$12:$I$15,0)))</f>
        <v>46332</v>
      </c>
      <c r="N119" s="215">
        <f>WORKDAY(O119,-INDEX(O$12:O$15,MATCH($I119,$I$12:$I$15,0)))</f>
        <v>46335</v>
      </c>
      <c r="O119" s="215">
        <f>WORKDAY(R119,-INDEX(R$12:R$15,MATCH($I119,$I$12:$I$15,0)))</f>
        <v>46349</v>
      </c>
      <c r="P119" s="216">
        <f>U119-L119</f>
        <v>94</v>
      </c>
      <c r="Q119" s="217"/>
      <c r="R119" s="215">
        <f>WORKDAY(S119,-INDEX(S$12:S$15,MATCH($I119,$I$12:$I$15,0)))</f>
        <v>46363</v>
      </c>
      <c r="S119" s="215">
        <f>WORKDAY(T119,-INDEX(T$12:T$15,MATCH($I119,$I$12:$I$15,0)))</f>
        <v>46384</v>
      </c>
      <c r="T119" s="215">
        <f>WORKDAY(U119,-INDEX(U$12:U$15,MATCH($I119,$I$12:$I$15,0)))</f>
        <v>46398</v>
      </c>
      <c r="U119" s="215">
        <f>X119-Y119</f>
        <v>46412</v>
      </c>
      <c r="V119" s="215">
        <f>WORKDAY(U119,INDEX(V$12:V$15,MATCH($I119,$I$12:$I$15,0)))</f>
        <v>46414</v>
      </c>
      <c r="W119" s="218">
        <f>Y119/7</f>
        <v>18</v>
      </c>
      <c r="X119" s="215">
        <f>Z119</f>
        <v>46538</v>
      </c>
      <c r="Y119" s="448">
        <f>18*7</f>
        <v>126</v>
      </c>
      <c r="Z119" s="443">
        <v>46538</v>
      </c>
      <c r="AA119" s="443">
        <v>46538</v>
      </c>
      <c r="AB119" s="442">
        <f>Z119-X120</f>
        <v>0</v>
      </c>
      <c r="AC119" s="220">
        <f>IF(ISERROR(LOOKUP(AC$16,$L119:$X119,#REF!)),0,(LOOKUP(AC$16,$L119:$X119,#REF!)))</f>
        <v>0</v>
      </c>
      <c r="AD119" s="221">
        <f>IF(ISERROR(LOOKUP(AD$16,$L119:$X119,#REF!)),0,(LOOKUP(AD$16,$L119:$X119,#REF!)))</f>
        <v>0</v>
      </c>
      <c r="AE119" s="221">
        <f>IF(ISERROR(LOOKUP(AE$16,$L119:$X119,#REF!)),0,(LOOKUP(AE$16,$L119:$X119,#REF!)))</f>
        <v>0</v>
      </c>
      <c r="AF119" s="221">
        <f>IF(ISERROR(LOOKUP(AF$16,$L119:$X119,#REF!)),0,(LOOKUP(AF$16,$L119:$X119,#REF!)))</f>
        <v>0</v>
      </c>
      <c r="AG119" s="221">
        <f>IF(ISERROR(LOOKUP(AG$16,$L119:$X119,#REF!)),0,(LOOKUP(AG$16,$L119:$X119,#REF!)))</f>
        <v>0</v>
      </c>
      <c r="AH119" s="221">
        <f>IF(ISERROR(LOOKUP(AH$16,$L119:$X119,#REF!)),0,(LOOKUP(AH$16,$L119:$X119,#REF!)))</f>
        <v>0</v>
      </c>
      <c r="AI119" s="221">
        <f>IF(ISERROR(LOOKUP(AI$16,$L119:$X119,#REF!)),0,(LOOKUP(AI$16,$L119:$X119,#REF!)))</f>
        <v>0</v>
      </c>
      <c r="AJ119" s="221">
        <f>IF(ISERROR(LOOKUP(AJ$16,$L119:$X119,#REF!)),0,(LOOKUP(AJ$16,$L119:$X119,#REF!)))</f>
        <v>0</v>
      </c>
      <c r="AK119" s="221">
        <f>IF(ISERROR(LOOKUP(AK$16,$L119:$X119,#REF!)),0,(LOOKUP(AK$16,$L119:$X119,#REF!)))</f>
        <v>0</v>
      </c>
      <c r="AL119" s="221">
        <f>IF(ISERROR(LOOKUP(AL$16,$L119:$X119,#REF!)),0,(LOOKUP(AL$16,$L119:$X119,#REF!)))</f>
        <v>0</v>
      </c>
      <c r="AM119" s="221">
        <f ca="1">IF(ISERROR(LOOKUP(AM$16,$L119:$X119,#REF!)),0,(LOOKUP(AM$16,$L119:$X119,#REF!)))</f>
        <v>0</v>
      </c>
      <c r="AP119" s="215" t="e">
        <f>WORKDAY(AQ119,-INDEX(AQ$12:AQ$15,MATCH($I119,$I$12:$I$15,0)),$AW$17:$AW$148)</f>
        <v>#REF!</v>
      </c>
      <c r="AQ119" s="215" t="e">
        <f>WORKDAY(U119,-INDEX(U$12:U$15,MATCH($I119,$I$12:$I$15,0)),$AW$17:$AW$148)</f>
        <v>#REF!</v>
      </c>
      <c r="AR119" s="215" t="e">
        <f>WORKDAY(U119,-INDEX(U$12:U$15,MATCH($I119,$I$12:$I$15,0)),$AW$17:$AW$148)</f>
        <v>#REF!</v>
      </c>
      <c r="AS119" s="440">
        <v>7</v>
      </c>
      <c r="AW119" s="223" t="e">
        <v>#REF!</v>
      </c>
    </row>
    <row r="120" spans="1:49" s="166" customFormat="1" ht="18" customHeight="1">
      <c r="A120" s="482"/>
      <c r="B120" s="480"/>
      <c r="C120" s="458" t="str">
        <f>C119</f>
        <v>RFQ-035</v>
      </c>
      <c r="D120" s="458" t="str">
        <f>D119</f>
        <v>Pig Signaller</v>
      </c>
      <c r="E120" s="224"/>
      <c r="F120" s="467" t="str">
        <f>F119</f>
        <v>Instrument</v>
      </c>
      <c r="G120" s="458" t="str">
        <f>G119</f>
        <v>N</v>
      </c>
      <c r="H120" s="450"/>
      <c r="I120" s="212" t="str">
        <f>I119</f>
        <v>LC</v>
      </c>
      <c r="J120" s="249" t="s">
        <v>68</v>
      </c>
      <c r="K120" s="215">
        <f>K119</f>
        <v>46315</v>
      </c>
      <c r="L120" s="215">
        <f>WORKDAY(IF(K121="",K120,K121),INDEX(L$12:L$15,MATCH($I119,$I$12:$I$15,0)))</f>
        <v>46318</v>
      </c>
      <c r="M120" s="215">
        <f>WORKDAY(IF(L121="",L120,L121),INDEX(M$12:M$15,MATCH($I119,$I$12:$I$15,0)))</f>
        <v>46332</v>
      </c>
      <c r="N120" s="215">
        <f>WORKDAY(IF(M121="",M120,M121),INDEX(N$12:N$15,MATCH($I119,$I$12:$I$15,0)))</f>
        <v>46335</v>
      </c>
      <c r="O120" s="215">
        <f>WORKDAY(IF(N121="",N120,N121),INDEX(O$12:O$15,MATCH($I119,$I$12:$I$15,0)))</f>
        <v>46349</v>
      </c>
      <c r="P120" s="216"/>
      <c r="Q120" s="217"/>
      <c r="R120" s="215">
        <f>WORKDAY(IF(O121="",O120,O121),INDEX(R$12:R$15,MATCH($I119,$I$12:$I$15,0)))</f>
        <v>46363</v>
      </c>
      <c r="S120" s="215">
        <f>WORKDAY(IF(R121="",R120,R121),INDEX(S$12:S$15,MATCH($I119,$I$12:$I$15,0)))</f>
        <v>46384</v>
      </c>
      <c r="T120" s="215">
        <f>WORKDAY(IF(S121="",S120,S121),INDEX(T$12:T$15,MATCH($I119,$I$12:$I$15,0)))</f>
        <v>46398</v>
      </c>
      <c r="U120" s="215">
        <f>WORKDAY(IF(T121="",T120,T121),INDEX(U$12:U$15,MATCH($I119,$I$12:$I$15,0)))</f>
        <v>46412</v>
      </c>
      <c r="V120" s="215">
        <f>WORKDAY(IF(U121="",U120,U121),INDEX(V$12:V$15,MATCH($I119,$I$12:$I$15,0)))</f>
        <v>46414</v>
      </c>
      <c r="W120" s="218"/>
      <c r="X120" s="215">
        <f>U120+Y119</f>
        <v>46538</v>
      </c>
      <c r="Y120" s="448"/>
      <c r="Z120" s="443"/>
      <c r="AA120" s="443"/>
      <c r="AB120" s="442"/>
      <c r="AC120" s="220">
        <f>IF(ISERROR(LOOKUP(AC$16,$L120:$X120,#REF!)),0,(LOOKUP(AC$16,$L120:$X120,#REF!)))</f>
        <v>0</v>
      </c>
      <c r="AD120" s="221">
        <f>IF(ISERROR(LOOKUP(AD$16,$L120:$X120,#REF!)),0,(LOOKUP(AD$16,$L120:$X120,#REF!)))</f>
        <v>0</v>
      </c>
      <c r="AE120" s="221">
        <f>IF(ISERROR(LOOKUP(AE$16,$L120:$X120,#REF!)),0,(LOOKUP(AE$16,$L120:$X120,#REF!)))</f>
        <v>0</v>
      </c>
      <c r="AF120" s="221">
        <f>IF(ISERROR(LOOKUP(AF$16,$L120:$X120,#REF!)),0,(LOOKUP(AF$16,$L120:$X120,#REF!)))</f>
        <v>0</v>
      </c>
      <c r="AG120" s="221">
        <f>IF(ISERROR(LOOKUP(AG$16,$L120:$X120,#REF!)),0,(LOOKUP(AG$16,$L120:$X120,#REF!)))</f>
        <v>0</v>
      </c>
      <c r="AH120" s="221">
        <f>IF(ISERROR(LOOKUP(AH$16,$L120:$X120,#REF!)),0,(LOOKUP(AH$16,$L120:$X120,#REF!)))</f>
        <v>0</v>
      </c>
      <c r="AI120" s="221">
        <f>IF(ISERROR(LOOKUP(AI$16,$L120:$X120,#REF!)),0,(LOOKUP(AI$16,$L120:$X120,#REF!)))</f>
        <v>0</v>
      </c>
      <c r="AJ120" s="221">
        <f>IF(ISERROR(LOOKUP(AJ$16,$L120:$X120,#REF!)),0,(LOOKUP(AJ$16,$L120:$X120,#REF!)))</f>
        <v>0</v>
      </c>
      <c r="AK120" s="221">
        <f>IF(ISERROR(LOOKUP(AK$16,$L120:$X120,#REF!)),0,(LOOKUP(AK$16,$L120:$X120,#REF!)))</f>
        <v>0</v>
      </c>
      <c r="AL120" s="221">
        <f>IF(ISERROR(LOOKUP(AL$16,$L120:$X120,#REF!)),0,(LOOKUP(AL$16,$L120:$X120,#REF!)))</f>
        <v>0</v>
      </c>
      <c r="AM120" s="221">
        <f ca="1">IF(ISERROR(LOOKUP(AM$16,$L120:$X120,#REF!)),0,(LOOKUP(AM$16,$L120:$X120,#REF!)))</f>
        <v>0</v>
      </c>
      <c r="AP120" s="215" t="e">
        <f>WORKDAY(IF(T121="",T120,T121),INDEX(AP$12:AP$15,MATCH($I119,$I$12:$I$15,0)),$AW$17:$AW$148)</f>
        <v>#REF!</v>
      </c>
      <c r="AQ120" s="215" t="e">
        <f>WORKDAY(IF(AP121="",AP120,AP121),INDEX(AQ$12:AQ$15,MATCH($I119,$I$12:$I$15,0)),$AW$17:$AW$148)</f>
        <v>#REF!</v>
      </c>
      <c r="AR120" s="215" t="e">
        <f>WORKDAY(IF(AQ121="",AQ120,AQ121),INDEX(AR$12:AR$15,MATCH($I119,$I$12:$I$15,0)),$AW$17:$AW$148)</f>
        <v>#REF!</v>
      </c>
      <c r="AS120" s="440"/>
      <c r="AW120" s="223" t="e">
        <v>#REF!</v>
      </c>
    </row>
    <row r="121" spans="1:49" s="166" customFormat="1" ht="18" customHeight="1">
      <c r="A121" s="482"/>
      <c r="B121" s="481"/>
      <c r="C121" s="458" t="str">
        <f>C119</f>
        <v>RFQ-035</v>
      </c>
      <c r="D121" s="458" t="str">
        <f>D119</f>
        <v>Pig Signaller</v>
      </c>
      <c r="E121" s="225"/>
      <c r="F121" s="468" t="str">
        <f>F119</f>
        <v>Instrument</v>
      </c>
      <c r="G121" s="458" t="str">
        <f>G119</f>
        <v>N</v>
      </c>
      <c r="H121" s="451"/>
      <c r="I121" s="212" t="str">
        <f>I119</f>
        <v>LC</v>
      </c>
      <c r="J121" s="249" t="s">
        <v>70</v>
      </c>
      <c r="K121" s="212"/>
      <c r="L121" s="212"/>
      <c r="M121" s="212"/>
      <c r="N121" s="212"/>
      <c r="O121" s="212"/>
      <c r="P121" s="226"/>
      <c r="Q121" s="227"/>
      <c r="R121" s="212"/>
      <c r="S121" s="212"/>
      <c r="T121" s="212"/>
      <c r="U121" s="212"/>
      <c r="V121" s="212"/>
      <c r="W121" s="228"/>
      <c r="X121" s="212"/>
      <c r="Y121" s="448"/>
      <c r="Z121" s="443"/>
      <c r="AA121" s="443"/>
      <c r="AB121" s="442"/>
      <c r="AC121" s="229">
        <f>IF(ISERROR(LOOKUP(AC$16,$L121:$X121,#REF!)),0,(LOOKUP(AC$16,$L121:$X121,#REF!)))</f>
        <v>0</v>
      </c>
      <c r="AD121" s="230">
        <f>IF(ISERROR(LOOKUP(AD$16,$L121:$X121,#REF!)),0,(LOOKUP(AD$16,$L121:$X121,#REF!)))</f>
        <v>0</v>
      </c>
      <c r="AE121" s="230">
        <f>IF(ISERROR(LOOKUP(AE$16,$L121:$X121,#REF!)),0,(LOOKUP(AE$16,$L121:$X121,#REF!)))</f>
        <v>0</v>
      </c>
      <c r="AF121" s="230">
        <f>IF(ISERROR(LOOKUP(AF$16,$L121:$X121,#REF!)),0,(LOOKUP(AF$16,$L121:$X121,#REF!)))</f>
        <v>0</v>
      </c>
      <c r="AG121" s="230">
        <f>IF(ISERROR(LOOKUP(AG$16,$L121:$X121,#REF!)),0,(LOOKUP(AG$16,$L121:$X121,#REF!)))</f>
        <v>0</v>
      </c>
      <c r="AH121" s="230">
        <f>IF(ISERROR(LOOKUP(AH$16,$L121:$X121,#REF!)),0,(LOOKUP(AH$16,$L121:$X121,#REF!)))</f>
        <v>0</v>
      </c>
      <c r="AI121" s="230">
        <f>IF(ISERROR(LOOKUP(AI$16,$L121:$X121,#REF!)),0,(LOOKUP(AI$16,$L121:$X121,#REF!)))</f>
        <v>0</v>
      </c>
      <c r="AJ121" s="230">
        <f>IF(ISERROR(LOOKUP(AJ$16,$L121:$X121,#REF!)),0,(LOOKUP(AJ$16,$L121:$X121,#REF!)))</f>
        <v>0</v>
      </c>
      <c r="AK121" s="230">
        <f>IF(ISERROR(LOOKUP(AK$16,$L121:$X121,#REF!)),0,(LOOKUP(AK$16,$L121:$X121,#REF!)))</f>
        <v>0</v>
      </c>
      <c r="AL121" s="230">
        <f>IF(ISERROR(LOOKUP(AL$16,$L121:$X121,#REF!)),0,(LOOKUP(AL$16,$L121:$X121,#REF!)))</f>
        <v>0</v>
      </c>
      <c r="AM121" s="230">
        <f ca="1">IF(ISERROR(LOOKUP(AM$16,$L121:$X121,#REF!)),0,(LOOKUP(AM$16,$L121:$X121,#REF!)))</f>
        <v>0</v>
      </c>
      <c r="AP121" s="212"/>
      <c r="AQ121" s="212"/>
      <c r="AR121" s="212"/>
      <c r="AS121" s="440"/>
      <c r="AW121" s="223" t="e">
        <v>#REF!</v>
      </c>
    </row>
    <row r="122" spans="1:49" s="166" customFormat="1" ht="18" customHeight="1">
      <c r="A122" s="482">
        <f>A119+1</f>
        <v>36</v>
      </c>
      <c r="B122" s="479"/>
      <c r="C122" s="458" t="s">
        <v>4781</v>
      </c>
      <c r="D122" s="458" t="s">
        <v>175</v>
      </c>
      <c r="E122" s="213"/>
      <c r="F122" s="466" t="s">
        <v>134</v>
      </c>
      <c r="G122" s="458" t="s">
        <v>75</v>
      </c>
      <c r="H122" s="449"/>
      <c r="I122" s="212" t="s">
        <v>8</v>
      </c>
      <c r="J122" s="249" t="s">
        <v>4732</v>
      </c>
      <c r="K122" s="215">
        <f>WORKDAY(L122,-INDEX(L$12:L$15,MATCH($I122,$I$12:$I$15,0)))</f>
        <v>46287</v>
      </c>
      <c r="L122" s="215">
        <f>WORKDAY(M122,-INDEX(M$12:M$15,MATCH($I122,$I$12:$I$15,0)))</f>
        <v>46290</v>
      </c>
      <c r="M122" s="215">
        <f>WORKDAY(N122,-INDEX(N$12:N$15,MATCH($I122,$I$12:$I$15,0)))</f>
        <v>46304</v>
      </c>
      <c r="N122" s="215">
        <f>WORKDAY(O122,-INDEX(O$12:O$15,MATCH($I122,$I$12:$I$15,0)))</f>
        <v>46307</v>
      </c>
      <c r="O122" s="215">
        <f>WORKDAY(R122,-INDEX(R$12:R$15,MATCH($I122,$I$12:$I$15,0)))</f>
        <v>46321</v>
      </c>
      <c r="P122" s="216">
        <f>U122-L122</f>
        <v>94</v>
      </c>
      <c r="Q122" s="217"/>
      <c r="R122" s="215">
        <f>WORKDAY(S122,-INDEX(S$12:S$15,MATCH($I122,$I$12:$I$15,0)))</f>
        <v>46335</v>
      </c>
      <c r="S122" s="215">
        <f>WORKDAY(T122,-INDEX(T$12:T$15,MATCH($I122,$I$12:$I$15,0)))</f>
        <v>46356</v>
      </c>
      <c r="T122" s="215">
        <f>WORKDAY(U122,-INDEX(U$12:U$15,MATCH($I122,$I$12:$I$15,0)))</f>
        <v>46370</v>
      </c>
      <c r="U122" s="215">
        <f>X122-Y122</f>
        <v>46384</v>
      </c>
      <c r="V122" s="215">
        <f>WORKDAY(U122,INDEX(V$12:V$15,MATCH($I122,$I$12:$I$15,0)))</f>
        <v>46386</v>
      </c>
      <c r="W122" s="218">
        <f>Y122/7</f>
        <v>22</v>
      </c>
      <c r="X122" s="215">
        <f>Z122</f>
        <v>46538</v>
      </c>
      <c r="Y122" s="448">
        <v>154</v>
      </c>
      <c r="Z122" s="443">
        <v>46538</v>
      </c>
      <c r="AA122" s="443">
        <v>46538</v>
      </c>
      <c r="AB122" s="442">
        <f>Z122-X123</f>
        <v>0</v>
      </c>
      <c r="AC122" s="220">
        <f>IF(ISERROR(LOOKUP(AC$16,$L122:$X122,#REF!)),0,(LOOKUP(AC$16,$L122:$X122,#REF!)))</f>
        <v>0</v>
      </c>
      <c r="AD122" s="221">
        <f>IF(ISERROR(LOOKUP(AD$16,$L122:$X122,#REF!)),0,(LOOKUP(AD$16,$L122:$X122,#REF!)))</f>
        <v>0</v>
      </c>
      <c r="AE122" s="221">
        <f>IF(ISERROR(LOOKUP(AE$16,$L122:$X122,#REF!)),0,(LOOKUP(AE$16,$L122:$X122,#REF!)))</f>
        <v>0</v>
      </c>
      <c r="AF122" s="221">
        <f>IF(ISERROR(LOOKUP(AF$16,$L122:$X122,#REF!)),0,(LOOKUP(AF$16,$L122:$X122,#REF!)))</f>
        <v>0</v>
      </c>
      <c r="AG122" s="221">
        <f>IF(ISERROR(LOOKUP(AG$16,$L122:$X122,#REF!)),0,(LOOKUP(AG$16,$L122:$X122,#REF!)))</f>
        <v>0</v>
      </c>
      <c r="AH122" s="221">
        <f>IF(ISERROR(LOOKUP(AH$16,$L122:$X122,#REF!)),0,(LOOKUP(AH$16,$L122:$X122,#REF!)))</f>
        <v>0</v>
      </c>
      <c r="AI122" s="221">
        <f>IF(ISERROR(LOOKUP(AI$16,$L122:$X122,#REF!)),0,(LOOKUP(AI$16,$L122:$X122,#REF!)))</f>
        <v>0</v>
      </c>
      <c r="AJ122" s="221">
        <f>IF(ISERROR(LOOKUP(AJ$16,$L122:$X122,#REF!)),0,(LOOKUP(AJ$16,$L122:$X122,#REF!)))</f>
        <v>0</v>
      </c>
      <c r="AK122" s="221">
        <f>IF(ISERROR(LOOKUP(AK$16,$L122:$X122,#REF!)),0,(LOOKUP(AK$16,$L122:$X122,#REF!)))</f>
        <v>0</v>
      </c>
      <c r="AL122" s="221">
        <f>IF(ISERROR(LOOKUP(AL$16,$L122:$X122,#REF!)),0,(LOOKUP(AL$16,$L122:$X122,#REF!)))</f>
        <v>0</v>
      </c>
      <c r="AM122" s="221">
        <f ca="1">IF(ISERROR(LOOKUP(AM$16,$L122:$X122,#REF!)),0,(LOOKUP(AM$16,$L122:$X122,#REF!)))</f>
        <v>0</v>
      </c>
      <c r="AP122" s="215" t="e">
        <f>WORKDAY(AQ122,-INDEX(AQ$12:AQ$15,MATCH($I122,$I$12:$I$15,0)),$AW$17:$AW$148)</f>
        <v>#REF!</v>
      </c>
      <c r="AQ122" s="215" t="e">
        <f>WORKDAY(U122,-INDEX(U$12:U$15,MATCH($I122,$I$12:$I$15,0)),$AW$17:$AW$148)</f>
        <v>#REF!</v>
      </c>
      <c r="AR122" s="215" t="e">
        <f>WORKDAY(U122,-INDEX(U$12:U$15,MATCH($I122,$I$12:$I$15,0)),$AW$17:$AW$148)</f>
        <v>#REF!</v>
      </c>
      <c r="AS122" s="440">
        <v>7</v>
      </c>
      <c r="AW122" s="223" t="e">
        <v>#REF!</v>
      </c>
    </row>
    <row r="123" spans="1:49" s="166" customFormat="1" ht="18" customHeight="1">
      <c r="A123" s="482"/>
      <c r="B123" s="480"/>
      <c r="C123" s="458" t="str">
        <f>C122</f>
        <v>RFQ-036</v>
      </c>
      <c r="D123" s="458" t="str">
        <f>D122</f>
        <v>Rrestriction Orifice</v>
      </c>
      <c r="E123" s="224"/>
      <c r="F123" s="467" t="str">
        <f>F122</f>
        <v>Instrument</v>
      </c>
      <c r="G123" s="458" t="str">
        <f>G122</f>
        <v>N</v>
      </c>
      <c r="H123" s="450"/>
      <c r="I123" s="212" t="str">
        <f>I122</f>
        <v>LC</v>
      </c>
      <c r="J123" s="249" t="s">
        <v>68</v>
      </c>
      <c r="K123" s="215">
        <f>K122</f>
        <v>46287</v>
      </c>
      <c r="L123" s="215">
        <f>WORKDAY(IF(K124="",K123,K124),INDEX(L$12:L$15,MATCH($I122,$I$12:$I$15,0)))</f>
        <v>46290</v>
      </c>
      <c r="M123" s="215">
        <f>WORKDAY(IF(L124="",L123,L124),INDEX(M$12:M$15,MATCH($I122,$I$12:$I$15,0)))</f>
        <v>46304</v>
      </c>
      <c r="N123" s="215">
        <f>WORKDAY(IF(M124="",M123,M124),INDEX(N$12:N$15,MATCH($I122,$I$12:$I$15,0)))</f>
        <v>46307</v>
      </c>
      <c r="O123" s="215">
        <f>WORKDAY(IF(N124="",N123,N124),INDEX(O$12:O$15,MATCH($I122,$I$12:$I$15,0)))</f>
        <v>46321</v>
      </c>
      <c r="P123" s="216"/>
      <c r="Q123" s="217"/>
      <c r="R123" s="215">
        <f>WORKDAY(IF(O124="",O123,O124),INDEX(R$12:R$15,MATCH($I122,$I$12:$I$15,0)))</f>
        <v>46335</v>
      </c>
      <c r="S123" s="215">
        <f>WORKDAY(IF(R124="",R123,R124),INDEX(S$12:S$15,MATCH($I122,$I$12:$I$15,0)))</f>
        <v>46356</v>
      </c>
      <c r="T123" s="215">
        <f>WORKDAY(IF(S124="",S123,S124),INDEX(T$12:T$15,MATCH($I122,$I$12:$I$15,0)))</f>
        <v>46370</v>
      </c>
      <c r="U123" s="215">
        <f>WORKDAY(IF(T124="",T123,T124),INDEX(U$12:U$15,MATCH($I122,$I$12:$I$15,0)))</f>
        <v>46384</v>
      </c>
      <c r="V123" s="215">
        <f>WORKDAY(IF(U124="",U123,U124),INDEX(V$12:V$15,MATCH($I122,$I$12:$I$15,0)))</f>
        <v>46386</v>
      </c>
      <c r="W123" s="218"/>
      <c r="X123" s="215">
        <f>U123+Y122</f>
        <v>46538</v>
      </c>
      <c r="Y123" s="448"/>
      <c r="Z123" s="443"/>
      <c r="AA123" s="443"/>
      <c r="AB123" s="442"/>
      <c r="AC123" s="220">
        <f>IF(ISERROR(LOOKUP(AC$16,$L123:$X123,#REF!)),0,(LOOKUP(AC$16,$L123:$X123,#REF!)))</f>
        <v>0</v>
      </c>
      <c r="AD123" s="221">
        <f>IF(ISERROR(LOOKUP(AD$16,$L123:$X123,#REF!)),0,(LOOKUP(AD$16,$L123:$X123,#REF!)))</f>
        <v>0</v>
      </c>
      <c r="AE123" s="221">
        <f>IF(ISERROR(LOOKUP(AE$16,$L123:$X123,#REF!)),0,(LOOKUP(AE$16,$L123:$X123,#REF!)))</f>
        <v>0</v>
      </c>
      <c r="AF123" s="221">
        <f>IF(ISERROR(LOOKUP(AF$16,$L123:$X123,#REF!)),0,(LOOKUP(AF$16,$L123:$X123,#REF!)))</f>
        <v>0</v>
      </c>
      <c r="AG123" s="221">
        <f>IF(ISERROR(LOOKUP(AG$16,$L123:$X123,#REF!)),0,(LOOKUP(AG$16,$L123:$X123,#REF!)))</f>
        <v>0</v>
      </c>
      <c r="AH123" s="221">
        <f>IF(ISERROR(LOOKUP(AH$16,$L123:$X123,#REF!)),0,(LOOKUP(AH$16,$L123:$X123,#REF!)))</f>
        <v>0</v>
      </c>
      <c r="AI123" s="221">
        <f>IF(ISERROR(LOOKUP(AI$16,$L123:$X123,#REF!)),0,(LOOKUP(AI$16,$L123:$X123,#REF!)))</f>
        <v>0</v>
      </c>
      <c r="AJ123" s="221">
        <f>IF(ISERROR(LOOKUP(AJ$16,$L123:$X123,#REF!)),0,(LOOKUP(AJ$16,$L123:$X123,#REF!)))</f>
        <v>0</v>
      </c>
      <c r="AK123" s="221">
        <f>IF(ISERROR(LOOKUP(AK$16,$L123:$X123,#REF!)),0,(LOOKUP(AK$16,$L123:$X123,#REF!)))</f>
        <v>0</v>
      </c>
      <c r="AL123" s="221">
        <f>IF(ISERROR(LOOKUP(AL$16,$L123:$X123,#REF!)),0,(LOOKUP(AL$16,$L123:$X123,#REF!)))</f>
        <v>0</v>
      </c>
      <c r="AM123" s="221">
        <f ca="1">IF(ISERROR(LOOKUP(AM$16,$L123:$X123,#REF!)),0,(LOOKUP(AM$16,$L123:$X123,#REF!)))</f>
        <v>0</v>
      </c>
      <c r="AP123" s="215" t="e">
        <f>WORKDAY(IF(T124="",T123,T124),INDEX(AP$12:AP$15,MATCH($I122,$I$12:$I$15,0)),$AW$17:$AW$148)</f>
        <v>#REF!</v>
      </c>
      <c r="AQ123" s="215" t="e">
        <f>WORKDAY(IF(AP124="",AP123,AP124),INDEX(AQ$12:AQ$15,MATCH($I122,$I$12:$I$15,0)),$AW$17:$AW$148)</f>
        <v>#REF!</v>
      </c>
      <c r="AR123" s="215" t="e">
        <f>WORKDAY(IF(AQ124="",AQ123,AQ124),INDEX(AR$12:AR$15,MATCH($I122,$I$12:$I$15,0)),$AW$17:$AW$148)</f>
        <v>#REF!</v>
      </c>
      <c r="AS123" s="440"/>
      <c r="AW123" s="223" t="e">
        <v>#REF!</v>
      </c>
    </row>
    <row r="124" spans="1:49" s="166" customFormat="1" ht="18" customHeight="1">
      <c r="A124" s="482"/>
      <c r="B124" s="481"/>
      <c r="C124" s="458" t="str">
        <f>C122</f>
        <v>RFQ-036</v>
      </c>
      <c r="D124" s="458" t="str">
        <f>D122</f>
        <v>Rrestriction Orifice</v>
      </c>
      <c r="E124" s="225"/>
      <c r="F124" s="468" t="str">
        <f>F122</f>
        <v>Instrument</v>
      </c>
      <c r="G124" s="458" t="str">
        <f>G122</f>
        <v>N</v>
      </c>
      <c r="H124" s="451"/>
      <c r="I124" s="212" t="str">
        <f>I122</f>
        <v>LC</v>
      </c>
      <c r="J124" s="249" t="s">
        <v>70</v>
      </c>
      <c r="K124" s="212"/>
      <c r="L124" s="212"/>
      <c r="M124" s="212"/>
      <c r="N124" s="212"/>
      <c r="O124" s="212"/>
      <c r="P124" s="226"/>
      <c r="Q124" s="227"/>
      <c r="R124" s="212"/>
      <c r="S124" s="212"/>
      <c r="T124" s="212"/>
      <c r="U124" s="212"/>
      <c r="V124" s="212"/>
      <c r="W124" s="228"/>
      <c r="X124" s="212"/>
      <c r="Y124" s="448"/>
      <c r="Z124" s="443"/>
      <c r="AA124" s="443"/>
      <c r="AB124" s="442"/>
      <c r="AC124" s="229">
        <f>IF(ISERROR(LOOKUP(AC$16,$L124:$X124,#REF!)),0,(LOOKUP(AC$16,$L124:$X124,#REF!)))</f>
        <v>0</v>
      </c>
      <c r="AD124" s="230">
        <f>IF(ISERROR(LOOKUP(AD$16,$L124:$X124,#REF!)),0,(LOOKUP(AD$16,$L124:$X124,#REF!)))</f>
        <v>0</v>
      </c>
      <c r="AE124" s="230">
        <f>IF(ISERROR(LOOKUP(AE$16,$L124:$X124,#REF!)),0,(LOOKUP(AE$16,$L124:$X124,#REF!)))</f>
        <v>0</v>
      </c>
      <c r="AF124" s="230">
        <f>IF(ISERROR(LOOKUP(AF$16,$L124:$X124,#REF!)),0,(LOOKUP(AF$16,$L124:$X124,#REF!)))</f>
        <v>0</v>
      </c>
      <c r="AG124" s="230">
        <f>IF(ISERROR(LOOKUP(AG$16,$L124:$X124,#REF!)),0,(LOOKUP(AG$16,$L124:$X124,#REF!)))</f>
        <v>0</v>
      </c>
      <c r="AH124" s="230">
        <f>IF(ISERROR(LOOKUP(AH$16,$L124:$X124,#REF!)),0,(LOOKUP(AH$16,$L124:$X124,#REF!)))</f>
        <v>0</v>
      </c>
      <c r="AI124" s="230">
        <f>IF(ISERROR(LOOKUP(AI$16,$L124:$X124,#REF!)),0,(LOOKUP(AI$16,$L124:$X124,#REF!)))</f>
        <v>0</v>
      </c>
      <c r="AJ124" s="230">
        <f>IF(ISERROR(LOOKUP(AJ$16,$L124:$X124,#REF!)),0,(LOOKUP(AJ$16,$L124:$X124,#REF!)))</f>
        <v>0</v>
      </c>
      <c r="AK124" s="230">
        <f>IF(ISERROR(LOOKUP(AK$16,$L124:$X124,#REF!)),0,(LOOKUP(AK$16,$L124:$X124,#REF!)))</f>
        <v>0</v>
      </c>
      <c r="AL124" s="230">
        <f>IF(ISERROR(LOOKUP(AL$16,$L124:$X124,#REF!)),0,(LOOKUP(AL$16,$L124:$X124,#REF!)))</f>
        <v>0</v>
      </c>
      <c r="AM124" s="230">
        <f ca="1">IF(ISERROR(LOOKUP(AM$16,$L124:$X124,#REF!)),0,(LOOKUP(AM$16,$L124:$X124,#REF!)))</f>
        <v>0</v>
      </c>
      <c r="AP124" s="212"/>
      <c r="AQ124" s="212"/>
      <c r="AR124" s="212"/>
      <c r="AS124" s="440"/>
      <c r="AW124" s="223" t="e">
        <v>#REF!</v>
      </c>
    </row>
    <row r="125" spans="1:49" s="166" customFormat="1" ht="18" customHeight="1">
      <c r="A125" s="482">
        <f>A122+1</f>
        <v>37</v>
      </c>
      <c r="B125" s="479"/>
      <c r="C125" s="458" t="s">
        <v>4782</v>
      </c>
      <c r="D125" s="458" t="s">
        <v>177</v>
      </c>
      <c r="E125" s="213"/>
      <c r="F125" s="466" t="s">
        <v>134</v>
      </c>
      <c r="G125" s="458" t="s">
        <v>75</v>
      </c>
      <c r="H125" s="449"/>
      <c r="I125" s="212" t="s">
        <v>7</v>
      </c>
      <c r="J125" s="249" t="s">
        <v>4732</v>
      </c>
      <c r="K125" s="215">
        <f>WORKDAY(L125,-INDEX(L$12:L$15,MATCH($I125,$I$12:$I$15,0)))</f>
        <v>46209</v>
      </c>
      <c r="L125" s="215">
        <f>WORKDAY(M125,-INDEX(M$12:M$15,MATCH($I125,$I$12:$I$15,0)))</f>
        <v>46210</v>
      </c>
      <c r="M125" s="215">
        <f>WORKDAY(N125,-INDEX(N$12:N$15,MATCH($I125,$I$12:$I$15,0)))</f>
        <v>46217</v>
      </c>
      <c r="N125" s="215">
        <f>WORKDAY(O125,-INDEX(O$12:O$15,MATCH($I125,$I$12:$I$15,0)))</f>
        <v>46218</v>
      </c>
      <c r="O125" s="215">
        <f>WORKDAY(R125,-INDEX(R$12:R$15,MATCH($I125,$I$12:$I$15,0)))</f>
        <v>46225</v>
      </c>
      <c r="P125" s="216">
        <f>U125-L125</f>
        <v>76</v>
      </c>
      <c r="Q125" s="217"/>
      <c r="R125" s="215">
        <f>WORKDAY(S125,-INDEX(S$12:S$15,MATCH($I125,$I$12:$I$15,0)))</f>
        <v>46239</v>
      </c>
      <c r="S125" s="215">
        <f>WORKDAY(T125,-INDEX(T$12:T$15,MATCH($I125,$I$12:$I$15,0)))</f>
        <v>46267</v>
      </c>
      <c r="T125" s="215">
        <f>WORKDAY(U125,-INDEX(U$12:U$15,MATCH($I125,$I$12:$I$15,0)))</f>
        <v>46272</v>
      </c>
      <c r="U125" s="215">
        <f>X125-Y125</f>
        <v>46286</v>
      </c>
      <c r="V125" s="215">
        <f>WORKDAY(U125,INDEX(V$12:V$15,MATCH($I125,$I$12:$I$15,0)))</f>
        <v>46288</v>
      </c>
      <c r="W125" s="218">
        <f>Y125/7</f>
        <v>36</v>
      </c>
      <c r="X125" s="215">
        <f>Z125</f>
        <v>46538</v>
      </c>
      <c r="Y125" s="448">
        <f>36*7</f>
        <v>252</v>
      </c>
      <c r="Z125" s="443">
        <v>46538</v>
      </c>
      <c r="AA125" s="443">
        <v>46538</v>
      </c>
      <c r="AB125" s="442">
        <f>Z125-X126</f>
        <v>0</v>
      </c>
      <c r="AC125" s="220">
        <f>IF(ISERROR(LOOKUP(AC$16,$L125:$X125,#REF!)),0,(LOOKUP(AC$16,$L125:$X125,#REF!)))</f>
        <v>0</v>
      </c>
      <c r="AD125" s="221">
        <f>IF(ISERROR(LOOKUP(AD$16,$L125:$X125,#REF!)),0,(LOOKUP(AD$16,$L125:$X125,#REF!)))</f>
        <v>0</v>
      </c>
      <c r="AE125" s="221">
        <f>IF(ISERROR(LOOKUP(AE$16,$L125:$X125,#REF!)),0,(LOOKUP(AE$16,$L125:$X125,#REF!)))</f>
        <v>0</v>
      </c>
      <c r="AF125" s="221">
        <f>IF(ISERROR(LOOKUP(AF$16,$L125:$X125,#REF!)),0,(LOOKUP(AF$16,$L125:$X125,#REF!)))</f>
        <v>0</v>
      </c>
      <c r="AG125" s="221">
        <f>IF(ISERROR(LOOKUP(AG$16,$L125:$X125,#REF!)),0,(LOOKUP(AG$16,$L125:$X125,#REF!)))</f>
        <v>0</v>
      </c>
      <c r="AH125" s="221">
        <f>IF(ISERROR(LOOKUP(AH$16,$L125:$X125,#REF!)),0,(LOOKUP(AH$16,$L125:$X125,#REF!)))</f>
        <v>0</v>
      </c>
      <c r="AI125" s="221">
        <f>IF(ISERROR(LOOKUP(AI$16,$L125:$X125,#REF!)),0,(LOOKUP(AI$16,$L125:$X125,#REF!)))</f>
        <v>0</v>
      </c>
      <c r="AJ125" s="221">
        <f>IF(ISERROR(LOOKUP(AJ$16,$L125:$X125,#REF!)),0,(LOOKUP(AJ$16,$L125:$X125,#REF!)))</f>
        <v>0</v>
      </c>
      <c r="AK125" s="221">
        <f>IF(ISERROR(LOOKUP(AK$16,$L125:$X125,#REF!)),0,(LOOKUP(AK$16,$L125:$X125,#REF!)))</f>
        <v>0</v>
      </c>
      <c r="AL125" s="221">
        <f>IF(ISERROR(LOOKUP(AL$16,$L125:$X125,#REF!)),0,(LOOKUP(AL$16,$L125:$X125,#REF!)))</f>
        <v>0</v>
      </c>
      <c r="AM125" s="221">
        <f ca="1">IF(ISERROR(LOOKUP(AM$16,$L125:$X125,#REF!)),0,(LOOKUP(AM$16,$L125:$X125,#REF!)))</f>
        <v>0</v>
      </c>
      <c r="AP125" s="215" t="e">
        <f>WORKDAY(AQ125,-INDEX(AQ$12:AQ$15,MATCH($I125,$I$12:$I$15,0)),$AW$17:$AW$148)</f>
        <v>#REF!</v>
      </c>
      <c r="AQ125" s="215" t="e">
        <f>WORKDAY(U125,-INDEX(U$12:U$15,MATCH($I125,$I$12:$I$15,0)),$AW$17:$AW$148)</f>
        <v>#REF!</v>
      </c>
      <c r="AR125" s="215" t="e">
        <f>WORKDAY(U125,-INDEX(U$12:U$15,MATCH($I125,$I$12:$I$15,0)),$AW$17:$AW$148)</f>
        <v>#REF!</v>
      </c>
      <c r="AS125" s="440">
        <v>7</v>
      </c>
      <c r="AW125" s="223" t="e">
        <v>#REF!</v>
      </c>
    </row>
    <row r="126" spans="1:49" s="166" customFormat="1" ht="18" customHeight="1">
      <c r="A126" s="482"/>
      <c r="B126" s="480"/>
      <c r="C126" s="458" t="str">
        <f>C125</f>
        <v>RFQ-037</v>
      </c>
      <c r="D126" s="458" t="str">
        <f>D125</f>
        <v>PLC System</v>
      </c>
      <c r="E126" s="224"/>
      <c r="F126" s="467" t="str">
        <f>F125</f>
        <v>Instrument</v>
      </c>
      <c r="G126" s="458" t="str">
        <f>G125</f>
        <v>N</v>
      </c>
      <c r="H126" s="450"/>
      <c r="I126" s="212" t="str">
        <f>I125</f>
        <v>LB</v>
      </c>
      <c r="J126" s="249" t="s">
        <v>68</v>
      </c>
      <c r="K126" s="215">
        <f>K125</f>
        <v>46209</v>
      </c>
      <c r="L126" s="215">
        <f>WORKDAY(IF(K127="",K126,K127),INDEX(L$12:L$15,MATCH($I125,$I$12:$I$15,0)))</f>
        <v>46210</v>
      </c>
      <c r="M126" s="215">
        <f>WORKDAY(IF(L127="",L126,L127),INDEX(M$12:M$15,MATCH($I125,$I$12:$I$15,0)))</f>
        <v>46217</v>
      </c>
      <c r="N126" s="215">
        <f>WORKDAY(IF(M127="",M126,M127),INDEX(N$12:N$15,MATCH($I125,$I$12:$I$15,0)))</f>
        <v>46218</v>
      </c>
      <c r="O126" s="215">
        <f>WORKDAY(IF(N127="",N126,N127),INDEX(O$12:O$15,MATCH($I125,$I$12:$I$15,0)))</f>
        <v>46225</v>
      </c>
      <c r="P126" s="216"/>
      <c r="Q126" s="217"/>
      <c r="R126" s="215">
        <f>WORKDAY(IF(O127="",O126,O127),INDEX(R$12:R$15,MATCH($I125,$I$12:$I$15,0)))</f>
        <v>46239</v>
      </c>
      <c r="S126" s="215">
        <f>WORKDAY(IF(R127="",R126,R127),INDEX(S$12:S$15,MATCH($I125,$I$12:$I$15,0)))</f>
        <v>46267</v>
      </c>
      <c r="T126" s="215">
        <f>WORKDAY(IF(S127="",S126,S127),INDEX(T$12:T$15,MATCH($I125,$I$12:$I$15,0)))</f>
        <v>46272</v>
      </c>
      <c r="U126" s="215">
        <f>WORKDAY(IF(T127="",T126,T127),INDEX(U$12:U$15,MATCH($I125,$I$12:$I$15,0)))</f>
        <v>46286</v>
      </c>
      <c r="V126" s="215">
        <f>WORKDAY(IF(U127="",U126,U127),INDEX(V$12:V$15,MATCH($I125,$I$12:$I$15,0)))</f>
        <v>46288</v>
      </c>
      <c r="W126" s="218"/>
      <c r="X126" s="215">
        <f>U126+Y125</f>
        <v>46538</v>
      </c>
      <c r="Y126" s="448"/>
      <c r="Z126" s="443"/>
      <c r="AA126" s="443"/>
      <c r="AB126" s="442"/>
      <c r="AC126" s="220">
        <f>IF(ISERROR(LOOKUP(AC$16,$L126:$X126,#REF!)),0,(LOOKUP(AC$16,$L126:$X126,#REF!)))</f>
        <v>0</v>
      </c>
      <c r="AD126" s="221">
        <f>IF(ISERROR(LOOKUP(AD$16,$L126:$X126,#REF!)),0,(LOOKUP(AD$16,$L126:$X126,#REF!)))</f>
        <v>0</v>
      </c>
      <c r="AE126" s="221">
        <f>IF(ISERROR(LOOKUP(AE$16,$L126:$X126,#REF!)),0,(LOOKUP(AE$16,$L126:$X126,#REF!)))</f>
        <v>0</v>
      </c>
      <c r="AF126" s="221">
        <f>IF(ISERROR(LOOKUP(AF$16,$L126:$X126,#REF!)),0,(LOOKUP(AF$16,$L126:$X126,#REF!)))</f>
        <v>0</v>
      </c>
      <c r="AG126" s="221">
        <f>IF(ISERROR(LOOKUP(AG$16,$L126:$X126,#REF!)),0,(LOOKUP(AG$16,$L126:$X126,#REF!)))</f>
        <v>0</v>
      </c>
      <c r="AH126" s="221">
        <f>IF(ISERROR(LOOKUP(AH$16,$L126:$X126,#REF!)),0,(LOOKUP(AH$16,$L126:$X126,#REF!)))</f>
        <v>0</v>
      </c>
      <c r="AI126" s="221">
        <f>IF(ISERROR(LOOKUP(AI$16,$L126:$X126,#REF!)),0,(LOOKUP(AI$16,$L126:$X126,#REF!)))</f>
        <v>0</v>
      </c>
      <c r="AJ126" s="221">
        <f>IF(ISERROR(LOOKUP(AJ$16,$L126:$X126,#REF!)),0,(LOOKUP(AJ$16,$L126:$X126,#REF!)))</f>
        <v>0</v>
      </c>
      <c r="AK126" s="221">
        <f>IF(ISERROR(LOOKUP(AK$16,$L126:$X126,#REF!)),0,(LOOKUP(AK$16,$L126:$X126,#REF!)))</f>
        <v>0</v>
      </c>
      <c r="AL126" s="221">
        <f>IF(ISERROR(LOOKUP(AL$16,$L126:$X126,#REF!)),0,(LOOKUP(AL$16,$L126:$X126,#REF!)))</f>
        <v>0</v>
      </c>
      <c r="AM126" s="221">
        <f ca="1">IF(ISERROR(LOOKUP(AM$16,$L126:$X126,#REF!)),0,(LOOKUP(AM$16,$L126:$X126,#REF!)))</f>
        <v>0</v>
      </c>
      <c r="AP126" s="215" t="e">
        <f>WORKDAY(IF(T127="",T126,T127),INDEX(AP$12:AP$15,MATCH($I125,$I$12:$I$15,0)),$AW$17:$AW$148)</f>
        <v>#REF!</v>
      </c>
      <c r="AQ126" s="215" t="e">
        <f>WORKDAY(IF(AP127="",AP126,AP127),INDEX(AQ$12:AQ$15,MATCH($I125,$I$12:$I$15,0)),$AW$17:$AW$148)</f>
        <v>#REF!</v>
      </c>
      <c r="AR126" s="215" t="e">
        <f>WORKDAY(IF(AQ127="",AQ126,AQ127),INDEX(AR$12:AR$15,MATCH($I125,$I$12:$I$15,0)),$AW$17:$AW$148)</f>
        <v>#REF!</v>
      </c>
      <c r="AS126" s="440"/>
      <c r="AW126" s="223" t="e">
        <v>#REF!</v>
      </c>
    </row>
    <row r="127" spans="1:49" s="166" customFormat="1" ht="18" customHeight="1">
      <c r="A127" s="482"/>
      <c r="B127" s="481"/>
      <c r="C127" s="458" t="str">
        <f>C125</f>
        <v>RFQ-037</v>
      </c>
      <c r="D127" s="458" t="str">
        <f>D125</f>
        <v>PLC System</v>
      </c>
      <c r="E127" s="225"/>
      <c r="F127" s="468" t="str">
        <f>F125</f>
        <v>Instrument</v>
      </c>
      <c r="G127" s="458" t="str">
        <f>G125</f>
        <v>N</v>
      </c>
      <c r="H127" s="451"/>
      <c r="I127" s="212" t="str">
        <f>I125</f>
        <v>LB</v>
      </c>
      <c r="J127" s="249" t="s">
        <v>70</v>
      </c>
      <c r="K127" s="212"/>
      <c r="L127" s="212"/>
      <c r="M127" s="212"/>
      <c r="N127" s="212"/>
      <c r="O127" s="212"/>
      <c r="P127" s="226"/>
      <c r="Q127" s="227"/>
      <c r="R127" s="212"/>
      <c r="S127" s="212"/>
      <c r="T127" s="212"/>
      <c r="U127" s="212"/>
      <c r="V127" s="212"/>
      <c r="W127" s="228"/>
      <c r="X127" s="212"/>
      <c r="Y127" s="448"/>
      <c r="Z127" s="443"/>
      <c r="AA127" s="443"/>
      <c r="AB127" s="442"/>
      <c r="AC127" s="229">
        <f>IF(ISERROR(LOOKUP(AC$16,$L127:$X127,#REF!)),0,(LOOKUP(AC$16,$L127:$X127,#REF!)))</f>
        <v>0</v>
      </c>
      <c r="AD127" s="230">
        <f>IF(ISERROR(LOOKUP(AD$16,$L127:$X127,#REF!)),0,(LOOKUP(AD$16,$L127:$X127,#REF!)))</f>
        <v>0</v>
      </c>
      <c r="AE127" s="230">
        <f>IF(ISERROR(LOOKUP(AE$16,$L127:$X127,#REF!)),0,(LOOKUP(AE$16,$L127:$X127,#REF!)))</f>
        <v>0</v>
      </c>
      <c r="AF127" s="230">
        <f>IF(ISERROR(LOOKUP(AF$16,$L127:$X127,#REF!)),0,(LOOKUP(AF$16,$L127:$X127,#REF!)))</f>
        <v>0</v>
      </c>
      <c r="AG127" s="230">
        <f>IF(ISERROR(LOOKUP(AG$16,$L127:$X127,#REF!)),0,(LOOKUP(AG$16,$L127:$X127,#REF!)))</f>
        <v>0</v>
      </c>
      <c r="AH127" s="230">
        <f>IF(ISERROR(LOOKUP(AH$16,$L127:$X127,#REF!)),0,(LOOKUP(AH$16,$L127:$X127,#REF!)))</f>
        <v>0</v>
      </c>
      <c r="AI127" s="230">
        <f>IF(ISERROR(LOOKUP(AI$16,$L127:$X127,#REF!)),0,(LOOKUP(AI$16,$L127:$X127,#REF!)))</f>
        <v>0</v>
      </c>
      <c r="AJ127" s="230">
        <f>IF(ISERROR(LOOKUP(AJ$16,$L127:$X127,#REF!)),0,(LOOKUP(AJ$16,$L127:$X127,#REF!)))</f>
        <v>0</v>
      </c>
      <c r="AK127" s="230">
        <f>IF(ISERROR(LOOKUP(AK$16,$L127:$X127,#REF!)),0,(LOOKUP(AK$16,$L127:$X127,#REF!)))</f>
        <v>0</v>
      </c>
      <c r="AL127" s="230">
        <f>IF(ISERROR(LOOKUP(AL$16,$L127:$X127,#REF!)),0,(LOOKUP(AL$16,$L127:$X127,#REF!)))</f>
        <v>0</v>
      </c>
      <c r="AM127" s="230">
        <f ca="1">IF(ISERROR(LOOKUP(AM$16,$L127:$X127,#REF!)),0,(LOOKUP(AM$16,$L127:$X127,#REF!)))</f>
        <v>0</v>
      </c>
      <c r="AP127" s="212"/>
      <c r="AQ127" s="212"/>
      <c r="AR127" s="212"/>
      <c r="AS127" s="440"/>
      <c r="AW127" s="223" t="e">
        <v>#REF!</v>
      </c>
    </row>
    <row r="128" spans="1:49" s="166" customFormat="1" ht="18" customHeight="1">
      <c r="A128" s="482">
        <f>A125+1</f>
        <v>38</v>
      </c>
      <c r="B128" s="479"/>
      <c r="C128" s="458" t="s">
        <v>4783</v>
      </c>
      <c r="D128" s="458" t="s">
        <v>180</v>
      </c>
      <c r="E128" s="213"/>
      <c r="F128" s="466" t="s">
        <v>134</v>
      </c>
      <c r="G128" s="458" t="s">
        <v>75</v>
      </c>
      <c r="H128" s="449"/>
      <c r="I128" s="212" t="s">
        <v>8</v>
      </c>
      <c r="J128" s="249" t="s">
        <v>4732</v>
      </c>
      <c r="K128" s="215">
        <f>WORKDAY(L128,-INDEX(L$12:L$15,MATCH($I128,$I$12:$I$15,0)))</f>
        <v>46310</v>
      </c>
      <c r="L128" s="215">
        <f>WORKDAY(M128,-INDEX(M$12:M$15,MATCH($I128,$I$12:$I$15,0)))</f>
        <v>46315</v>
      </c>
      <c r="M128" s="215">
        <f>WORKDAY(N128,-INDEX(N$12:N$15,MATCH($I128,$I$12:$I$15,0)))</f>
        <v>46329</v>
      </c>
      <c r="N128" s="215">
        <f>WORKDAY(O128,-INDEX(O$12:O$15,MATCH($I128,$I$12:$I$15,0)))</f>
        <v>46330</v>
      </c>
      <c r="O128" s="215">
        <f>WORKDAY(R128,-INDEX(R$12:R$15,MATCH($I128,$I$12:$I$15,0)))</f>
        <v>46344</v>
      </c>
      <c r="P128" s="216">
        <f>U128-L128</f>
        <v>92</v>
      </c>
      <c r="Q128" s="217"/>
      <c r="R128" s="215">
        <f>WORKDAY(S128,-INDEX(S$12:S$15,MATCH($I128,$I$12:$I$15,0)))</f>
        <v>46358</v>
      </c>
      <c r="S128" s="215">
        <f>WORKDAY(T128,-INDEX(T$12:T$15,MATCH($I128,$I$12:$I$15,0)))</f>
        <v>46379</v>
      </c>
      <c r="T128" s="215">
        <f>WORKDAY(U128,-INDEX(U$12:U$15,MATCH($I128,$I$12:$I$15,0)))</f>
        <v>46393</v>
      </c>
      <c r="U128" s="215">
        <f>X128-Y128</f>
        <v>46407</v>
      </c>
      <c r="V128" s="215">
        <f>WORKDAY(U128,INDEX(V$12:V$15,MATCH($I128,$I$12:$I$15,0)))</f>
        <v>46409</v>
      </c>
      <c r="W128" s="218">
        <f>Y128/7</f>
        <v>18.714285714285701</v>
      </c>
      <c r="X128" s="215">
        <f>Z128</f>
        <v>46538</v>
      </c>
      <c r="Y128" s="448">
        <v>131</v>
      </c>
      <c r="Z128" s="443">
        <v>46538</v>
      </c>
      <c r="AA128" s="443">
        <v>46538</v>
      </c>
      <c r="AB128" s="442">
        <f>Z128-X129</f>
        <v>0</v>
      </c>
      <c r="AC128" s="220">
        <f>IF(ISERROR(LOOKUP(AC$16,$L128:$X128,#REF!)),0,(LOOKUP(AC$16,$L128:$X128,#REF!)))</f>
        <v>0</v>
      </c>
      <c r="AD128" s="221">
        <f>IF(ISERROR(LOOKUP(AD$16,$L128:$X128,#REF!)),0,(LOOKUP(AD$16,$L128:$X128,#REF!)))</f>
        <v>0</v>
      </c>
      <c r="AE128" s="221">
        <f>IF(ISERROR(LOOKUP(AE$16,$L128:$X128,#REF!)),0,(LOOKUP(AE$16,$L128:$X128,#REF!)))</f>
        <v>0</v>
      </c>
      <c r="AF128" s="221">
        <f>IF(ISERROR(LOOKUP(AF$16,$L128:$X128,#REF!)),0,(LOOKUP(AF$16,$L128:$X128,#REF!)))</f>
        <v>0</v>
      </c>
      <c r="AG128" s="221">
        <f>IF(ISERROR(LOOKUP(AG$16,$L128:$X128,#REF!)),0,(LOOKUP(AG$16,$L128:$X128,#REF!)))</f>
        <v>0</v>
      </c>
      <c r="AH128" s="221">
        <f>IF(ISERROR(LOOKUP(AH$16,$L128:$X128,#REF!)),0,(LOOKUP(AH$16,$L128:$X128,#REF!)))</f>
        <v>0</v>
      </c>
      <c r="AI128" s="221">
        <f>IF(ISERROR(LOOKUP(AI$16,$L128:$X128,#REF!)),0,(LOOKUP(AI$16,$L128:$X128,#REF!)))</f>
        <v>0</v>
      </c>
      <c r="AJ128" s="221">
        <f>IF(ISERROR(LOOKUP(AJ$16,$L128:$X128,#REF!)),0,(LOOKUP(AJ$16,$L128:$X128,#REF!)))</f>
        <v>0</v>
      </c>
      <c r="AK128" s="221">
        <f>IF(ISERROR(LOOKUP(AK$16,$L128:$X128,#REF!)),0,(LOOKUP(AK$16,$L128:$X128,#REF!)))</f>
        <v>0</v>
      </c>
      <c r="AL128" s="221">
        <f>IF(ISERROR(LOOKUP(AL$16,$L128:$X128,#REF!)),0,(LOOKUP(AL$16,$L128:$X128,#REF!)))</f>
        <v>0</v>
      </c>
      <c r="AM128" s="221">
        <f ca="1">IF(ISERROR(LOOKUP(AM$16,$L128:$X128,#REF!)),0,(LOOKUP(AM$16,$L128:$X128,#REF!)))</f>
        <v>0</v>
      </c>
      <c r="AP128" s="215" t="e">
        <f>WORKDAY(AQ128,-INDEX(AQ$12:AQ$15,MATCH($I128,$I$12:$I$15,0)),$AW$17:$AW$148)</f>
        <v>#REF!</v>
      </c>
      <c r="AQ128" s="215" t="e">
        <f>WORKDAY(U128,-INDEX(U$12:U$15,MATCH($I128,$I$12:$I$15,0)),$AW$17:$AW$148)</f>
        <v>#REF!</v>
      </c>
      <c r="AR128" s="215" t="e">
        <f>WORKDAY(U128,-INDEX(U$12:U$15,MATCH($I128,$I$12:$I$15,0)),$AW$17:$AW$148)</f>
        <v>#REF!</v>
      </c>
      <c r="AS128" s="440">
        <v>7</v>
      </c>
      <c r="AW128" s="223" t="e">
        <v>#REF!</v>
      </c>
    </row>
    <row r="129" spans="1:49" s="166" customFormat="1" ht="18" customHeight="1">
      <c r="A129" s="482"/>
      <c r="B129" s="480"/>
      <c r="C129" s="458" t="str">
        <f>C128</f>
        <v>RFQ-038</v>
      </c>
      <c r="D129" s="458" t="str">
        <f>D128</f>
        <v>Fire and Gas Detector</v>
      </c>
      <c r="E129" s="224"/>
      <c r="F129" s="467" t="str">
        <f>F128</f>
        <v>Instrument</v>
      </c>
      <c r="G129" s="458" t="str">
        <f>G128</f>
        <v>N</v>
      </c>
      <c r="H129" s="450"/>
      <c r="I129" s="212" t="str">
        <f>I128</f>
        <v>LC</v>
      </c>
      <c r="J129" s="249" t="s">
        <v>68</v>
      </c>
      <c r="K129" s="215">
        <f>K128</f>
        <v>46310</v>
      </c>
      <c r="L129" s="215">
        <f>WORKDAY(IF(K130="",K129,K130),INDEX(L$12:L$15,MATCH($I128,$I$12:$I$15,0)))</f>
        <v>46315</v>
      </c>
      <c r="M129" s="215">
        <f>WORKDAY(IF(L130="",L129,L130),INDEX(M$12:M$15,MATCH($I128,$I$12:$I$15,0)))</f>
        <v>46329</v>
      </c>
      <c r="N129" s="215">
        <f>WORKDAY(IF(M130="",M129,M130),INDEX(N$12:N$15,MATCH($I128,$I$12:$I$15,0)))</f>
        <v>46330</v>
      </c>
      <c r="O129" s="215">
        <f>WORKDAY(IF(N130="",N129,N130),INDEX(O$12:O$15,MATCH($I128,$I$12:$I$15,0)))</f>
        <v>46344</v>
      </c>
      <c r="P129" s="216"/>
      <c r="Q129" s="217"/>
      <c r="R129" s="215">
        <f>WORKDAY(IF(O130="",O129,O130),INDEX(R$12:R$15,MATCH($I128,$I$12:$I$15,0)))</f>
        <v>46358</v>
      </c>
      <c r="S129" s="215">
        <f>WORKDAY(IF(R130="",R129,R130),INDEX(S$12:S$15,MATCH($I128,$I$12:$I$15,0)))</f>
        <v>46379</v>
      </c>
      <c r="T129" s="215">
        <f>WORKDAY(IF(S130="",S129,S130),INDEX(T$12:T$15,MATCH($I128,$I$12:$I$15,0)))</f>
        <v>46393</v>
      </c>
      <c r="U129" s="215">
        <f>WORKDAY(IF(T130="",T129,T130),INDEX(U$12:U$15,MATCH($I128,$I$12:$I$15,0)))</f>
        <v>46407</v>
      </c>
      <c r="V129" s="215">
        <f>WORKDAY(IF(U130="",U129,U130),INDEX(V$12:V$15,MATCH($I128,$I$12:$I$15,0)))</f>
        <v>46409</v>
      </c>
      <c r="W129" s="218"/>
      <c r="X129" s="215">
        <f>U129+Y128</f>
        <v>46538</v>
      </c>
      <c r="Y129" s="448"/>
      <c r="Z129" s="443"/>
      <c r="AA129" s="443"/>
      <c r="AB129" s="442"/>
      <c r="AC129" s="220">
        <f>IF(ISERROR(LOOKUP(AC$16,$L129:$X129,#REF!)),0,(LOOKUP(AC$16,$L129:$X129,#REF!)))</f>
        <v>0</v>
      </c>
      <c r="AD129" s="221">
        <f>IF(ISERROR(LOOKUP(AD$16,$L129:$X129,#REF!)),0,(LOOKUP(AD$16,$L129:$X129,#REF!)))</f>
        <v>0</v>
      </c>
      <c r="AE129" s="221">
        <f>IF(ISERROR(LOOKUP(AE$16,$L129:$X129,#REF!)),0,(LOOKUP(AE$16,$L129:$X129,#REF!)))</f>
        <v>0</v>
      </c>
      <c r="AF129" s="221">
        <f>IF(ISERROR(LOOKUP(AF$16,$L129:$X129,#REF!)),0,(LOOKUP(AF$16,$L129:$X129,#REF!)))</f>
        <v>0</v>
      </c>
      <c r="AG129" s="221">
        <f>IF(ISERROR(LOOKUP(AG$16,$L129:$X129,#REF!)),0,(LOOKUP(AG$16,$L129:$X129,#REF!)))</f>
        <v>0</v>
      </c>
      <c r="AH129" s="221">
        <f>IF(ISERROR(LOOKUP(AH$16,$L129:$X129,#REF!)),0,(LOOKUP(AH$16,$L129:$X129,#REF!)))</f>
        <v>0</v>
      </c>
      <c r="AI129" s="221">
        <f>IF(ISERROR(LOOKUP(AI$16,$L129:$X129,#REF!)),0,(LOOKUP(AI$16,$L129:$X129,#REF!)))</f>
        <v>0</v>
      </c>
      <c r="AJ129" s="221">
        <f>IF(ISERROR(LOOKUP(AJ$16,$L129:$X129,#REF!)),0,(LOOKUP(AJ$16,$L129:$X129,#REF!)))</f>
        <v>0</v>
      </c>
      <c r="AK129" s="221">
        <f>IF(ISERROR(LOOKUP(AK$16,$L129:$X129,#REF!)),0,(LOOKUP(AK$16,$L129:$X129,#REF!)))</f>
        <v>0</v>
      </c>
      <c r="AL129" s="221">
        <f>IF(ISERROR(LOOKUP(AL$16,$L129:$X129,#REF!)),0,(LOOKUP(AL$16,$L129:$X129,#REF!)))</f>
        <v>0</v>
      </c>
      <c r="AM129" s="221">
        <f ca="1">IF(ISERROR(LOOKUP(AM$16,$L129:$X129,#REF!)),0,(LOOKUP(AM$16,$L129:$X129,#REF!)))</f>
        <v>0</v>
      </c>
      <c r="AP129" s="215" t="e">
        <f>WORKDAY(IF(T130="",T129,T130),INDEX(AP$12:AP$15,MATCH($I128,$I$12:$I$15,0)),$AW$17:$AW$148)</f>
        <v>#REF!</v>
      </c>
      <c r="AQ129" s="215" t="e">
        <f>WORKDAY(IF(AP130="",AP129,AP130),INDEX(AQ$12:AQ$15,MATCH($I128,$I$12:$I$15,0)),$AW$17:$AW$148)</f>
        <v>#REF!</v>
      </c>
      <c r="AR129" s="215" t="e">
        <f>WORKDAY(IF(AQ130="",AQ129,AQ130),INDEX(AR$12:AR$15,MATCH($I128,$I$12:$I$15,0)),$AW$17:$AW$148)</f>
        <v>#REF!</v>
      </c>
      <c r="AS129" s="440"/>
      <c r="AW129" s="223" t="e">
        <v>#REF!</v>
      </c>
    </row>
    <row r="130" spans="1:49" s="166" customFormat="1" ht="18" customHeight="1">
      <c r="A130" s="482"/>
      <c r="B130" s="481"/>
      <c r="C130" s="458" t="str">
        <f>C128</f>
        <v>RFQ-038</v>
      </c>
      <c r="D130" s="458" t="str">
        <f>D128</f>
        <v>Fire and Gas Detector</v>
      </c>
      <c r="E130" s="225"/>
      <c r="F130" s="468" t="str">
        <f>F128</f>
        <v>Instrument</v>
      </c>
      <c r="G130" s="458" t="str">
        <f>G128</f>
        <v>N</v>
      </c>
      <c r="H130" s="451"/>
      <c r="I130" s="212" t="str">
        <f>I128</f>
        <v>LC</v>
      </c>
      <c r="J130" s="249" t="s">
        <v>70</v>
      </c>
      <c r="K130" s="212"/>
      <c r="L130" s="212"/>
      <c r="M130" s="212"/>
      <c r="N130" s="212"/>
      <c r="O130" s="212"/>
      <c r="P130" s="226"/>
      <c r="Q130" s="227"/>
      <c r="R130" s="212"/>
      <c r="S130" s="212"/>
      <c r="T130" s="212"/>
      <c r="U130" s="212"/>
      <c r="V130" s="212"/>
      <c r="W130" s="228"/>
      <c r="X130" s="212"/>
      <c r="Y130" s="448"/>
      <c r="Z130" s="443"/>
      <c r="AA130" s="443"/>
      <c r="AB130" s="442"/>
      <c r="AC130" s="229">
        <f>IF(ISERROR(LOOKUP(AC$16,$L130:$X130,#REF!)),0,(LOOKUP(AC$16,$L130:$X130,#REF!)))</f>
        <v>0</v>
      </c>
      <c r="AD130" s="230">
        <f>IF(ISERROR(LOOKUP(AD$16,$L130:$X130,#REF!)),0,(LOOKUP(AD$16,$L130:$X130,#REF!)))</f>
        <v>0</v>
      </c>
      <c r="AE130" s="230">
        <f>IF(ISERROR(LOOKUP(AE$16,$L130:$X130,#REF!)),0,(LOOKUP(AE$16,$L130:$X130,#REF!)))</f>
        <v>0</v>
      </c>
      <c r="AF130" s="230">
        <f>IF(ISERROR(LOOKUP(AF$16,$L130:$X130,#REF!)),0,(LOOKUP(AF$16,$L130:$X130,#REF!)))</f>
        <v>0</v>
      </c>
      <c r="AG130" s="230">
        <f>IF(ISERROR(LOOKUP(AG$16,$L130:$X130,#REF!)),0,(LOOKUP(AG$16,$L130:$X130,#REF!)))</f>
        <v>0</v>
      </c>
      <c r="AH130" s="230">
        <f>IF(ISERROR(LOOKUP(AH$16,$L130:$X130,#REF!)),0,(LOOKUP(AH$16,$L130:$X130,#REF!)))</f>
        <v>0</v>
      </c>
      <c r="AI130" s="230">
        <f>IF(ISERROR(LOOKUP(AI$16,$L130:$X130,#REF!)),0,(LOOKUP(AI$16,$L130:$X130,#REF!)))</f>
        <v>0</v>
      </c>
      <c r="AJ130" s="230">
        <f>IF(ISERROR(LOOKUP(AJ$16,$L130:$X130,#REF!)),0,(LOOKUP(AJ$16,$L130:$X130,#REF!)))</f>
        <v>0</v>
      </c>
      <c r="AK130" s="230">
        <f>IF(ISERROR(LOOKUP(AK$16,$L130:$X130,#REF!)),0,(LOOKUP(AK$16,$L130:$X130,#REF!)))</f>
        <v>0</v>
      </c>
      <c r="AL130" s="230">
        <f>IF(ISERROR(LOOKUP(AL$16,$L130:$X130,#REF!)),0,(LOOKUP(AL$16,$L130:$X130,#REF!)))</f>
        <v>0</v>
      </c>
      <c r="AM130" s="230">
        <f ca="1">IF(ISERROR(LOOKUP(AM$16,$L130:$X130,#REF!)),0,(LOOKUP(AM$16,$L130:$X130,#REF!)))</f>
        <v>0</v>
      </c>
      <c r="AP130" s="212"/>
      <c r="AQ130" s="212"/>
      <c r="AR130" s="212"/>
      <c r="AS130" s="440"/>
      <c r="AW130" s="223" t="e">
        <v>#REF!</v>
      </c>
    </row>
    <row r="131" spans="1:49" s="166" customFormat="1" ht="18" customHeight="1">
      <c r="A131" s="482">
        <f>A128+1</f>
        <v>39</v>
      </c>
      <c r="B131" s="479"/>
      <c r="C131" s="458" t="s">
        <v>4784</v>
      </c>
      <c r="D131" s="458" t="s">
        <v>182</v>
      </c>
      <c r="E131" s="213"/>
      <c r="F131" s="466" t="s">
        <v>134</v>
      </c>
      <c r="G131" s="458" t="s">
        <v>75</v>
      </c>
      <c r="H131" s="449"/>
      <c r="I131" s="212" t="s">
        <v>8</v>
      </c>
      <c r="J131" s="249" t="s">
        <v>4732</v>
      </c>
      <c r="K131" s="215">
        <f>WORKDAY(L131,-INDEX(L$12:L$15,MATCH($I131,$I$12:$I$15,0)))</f>
        <v>46315</v>
      </c>
      <c r="L131" s="215">
        <f>WORKDAY(M131,-INDEX(M$12:M$15,MATCH($I131,$I$12:$I$15,0)))</f>
        <v>46318</v>
      </c>
      <c r="M131" s="215">
        <f>WORKDAY(N131,-INDEX(N$12:N$15,MATCH($I131,$I$12:$I$15,0)))</f>
        <v>46332</v>
      </c>
      <c r="N131" s="215">
        <f>WORKDAY(O131,-INDEX(O$12:O$15,MATCH($I131,$I$12:$I$15,0)))</f>
        <v>46335</v>
      </c>
      <c r="O131" s="215">
        <f>WORKDAY(R131,-INDEX(R$12:R$15,MATCH($I131,$I$12:$I$15,0)))</f>
        <v>46349</v>
      </c>
      <c r="P131" s="216">
        <f>U131-L131</f>
        <v>94</v>
      </c>
      <c r="Q131" s="217"/>
      <c r="R131" s="215">
        <f>WORKDAY(S131,-INDEX(S$12:S$15,MATCH($I131,$I$12:$I$15,0)))</f>
        <v>46363</v>
      </c>
      <c r="S131" s="215">
        <f>WORKDAY(T131,-INDEX(T$12:T$15,MATCH($I131,$I$12:$I$15,0)))</f>
        <v>46384</v>
      </c>
      <c r="T131" s="215">
        <f>WORKDAY(U131,-INDEX(U$12:U$15,MATCH($I131,$I$12:$I$15,0)))</f>
        <v>46398</v>
      </c>
      <c r="U131" s="215">
        <f>X131-Y131</f>
        <v>46412</v>
      </c>
      <c r="V131" s="215">
        <f>WORKDAY(U131,INDEX(V$12:V$15,MATCH($I131,$I$12:$I$15,0)))</f>
        <v>46414</v>
      </c>
      <c r="W131" s="218">
        <f>Y131/7</f>
        <v>18</v>
      </c>
      <c r="X131" s="215">
        <f>Z131</f>
        <v>46538</v>
      </c>
      <c r="Y131" s="448">
        <f>18*7</f>
        <v>126</v>
      </c>
      <c r="Z131" s="443">
        <v>46538</v>
      </c>
      <c r="AA131" s="443">
        <v>46538</v>
      </c>
      <c r="AB131" s="442">
        <f>Z131-X132</f>
        <v>0</v>
      </c>
      <c r="AC131" s="220">
        <f>IF(ISERROR(LOOKUP(AC$16,$L131:$X131,#REF!)),0,(LOOKUP(AC$16,$L131:$X131,#REF!)))</f>
        <v>0</v>
      </c>
      <c r="AD131" s="221">
        <f>IF(ISERROR(LOOKUP(AD$16,$L131:$X131,#REF!)),0,(LOOKUP(AD$16,$L131:$X131,#REF!)))</f>
        <v>0</v>
      </c>
      <c r="AE131" s="221">
        <f>IF(ISERROR(LOOKUP(AE$16,$L131:$X131,#REF!)),0,(LOOKUP(AE$16,$L131:$X131,#REF!)))</f>
        <v>0</v>
      </c>
      <c r="AF131" s="221">
        <f>IF(ISERROR(LOOKUP(AF$16,$L131:$X131,#REF!)),0,(LOOKUP(AF$16,$L131:$X131,#REF!)))</f>
        <v>0</v>
      </c>
      <c r="AG131" s="221">
        <f>IF(ISERROR(LOOKUP(AG$16,$L131:$X131,#REF!)),0,(LOOKUP(AG$16,$L131:$X131,#REF!)))</f>
        <v>0</v>
      </c>
      <c r="AH131" s="221">
        <f>IF(ISERROR(LOOKUP(AH$16,$L131:$X131,#REF!)),0,(LOOKUP(AH$16,$L131:$X131,#REF!)))</f>
        <v>0</v>
      </c>
      <c r="AI131" s="221">
        <f>IF(ISERROR(LOOKUP(AI$16,$L131:$X131,#REF!)),0,(LOOKUP(AI$16,$L131:$X131,#REF!)))</f>
        <v>0</v>
      </c>
      <c r="AJ131" s="221">
        <f>IF(ISERROR(LOOKUP(AJ$16,$L131:$X131,#REF!)),0,(LOOKUP(AJ$16,$L131:$X131,#REF!)))</f>
        <v>0</v>
      </c>
      <c r="AK131" s="221">
        <f>IF(ISERROR(LOOKUP(AK$16,$L131:$X131,#REF!)),0,(LOOKUP(AK$16,$L131:$X131,#REF!)))</f>
        <v>0</v>
      </c>
      <c r="AL131" s="221">
        <f>IF(ISERROR(LOOKUP(AL$16,$L131:$X131,#REF!)),0,(LOOKUP(AL$16,$L131:$X131,#REF!)))</f>
        <v>0</v>
      </c>
      <c r="AM131" s="221">
        <f ca="1">IF(ISERROR(LOOKUP(AM$16,$L131:$X131,#REF!)),0,(LOOKUP(AM$16,$L131:$X131,#REF!)))</f>
        <v>0</v>
      </c>
      <c r="AP131" s="215" t="e">
        <f>WORKDAY(AQ131,-INDEX(AQ$12:AQ$15,MATCH($I131,$I$12:$I$15,0)),$AW$17:$AW$148)</f>
        <v>#REF!</v>
      </c>
      <c r="AQ131" s="215" t="e">
        <f>WORKDAY(U131,-INDEX(U$12:U$15,MATCH($I131,$I$12:$I$15,0)),$AW$17:$AW$148)</f>
        <v>#REF!</v>
      </c>
      <c r="AR131" s="215" t="e">
        <f>WORKDAY(U131,-INDEX(U$12:U$15,MATCH($I131,$I$12:$I$15,0)),$AW$17:$AW$148)</f>
        <v>#REF!</v>
      </c>
      <c r="AS131" s="440">
        <v>7</v>
      </c>
      <c r="AW131" s="223" t="e">
        <v>#REF!</v>
      </c>
    </row>
    <row r="132" spans="1:49" s="166" customFormat="1" ht="18" customHeight="1">
      <c r="A132" s="482"/>
      <c r="B132" s="480"/>
      <c r="C132" s="458" t="str">
        <f>C131</f>
        <v>RFQ-039</v>
      </c>
      <c r="D132" s="458" t="str">
        <f>D131</f>
        <v>Dip Tape Level Indicator</v>
      </c>
      <c r="E132" s="224"/>
      <c r="F132" s="467" t="str">
        <f>F131</f>
        <v>Instrument</v>
      </c>
      <c r="G132" s="458" t="str">
        <f>G131</f>
        <v>N</v>
      </c>
      <c r="H132" s="450"/>
      <c r="I132" s="212" t="str">
        <f>I131</f>
        <v>LC</v>
      </c>
      <c r="J132" s="249" t="s">
        <v>68</v>
      </c>
      <c r="K132" s="215">
        <f>K131</f>
        <v>46315</v>
      </c>
      <c r="L132" s="215">
        <f>WORKDAY(IF(K133="",K132,K133),INDEX(L$12:L$15,MATCH($I131,$I$12:$I$15,0)))</f>
        <v>46318</v>
      </c>
      <c r="M132" s="215">
        <f>WORKDAY(IF(L133="",L132,L133),INDEX(M$12:M$15,MATCH($I131,$I$12:$I$15,0)))</f>
        <v>46332</v>
      </c>
      <c r="N132" s="215">
        <f>WORKDAY(IF(M133="",M132,M133),INDEX(N$12:N$15,MATCH($I131,$I$12:$I$15,0)))</f>
        <v>46335</v>
      </c>
      <c r="O132" s="215">
        <f>WORKDAY(IF(N133="",N132,N133),INDEX(O$12:O$15,MATCH($I131,$I$12:$I$15,0)))</f>
        <v>46349</v>
      </c>
      <c r="P132" s="216"/>
      <c r="Q132" s="217"/>
      <c r="R132" s="215">
        <f>WORKDAY(IF(O133="",O132,O133),INDEX(R$12:R$15,MATCH($I131,$I$12:$I$15,0)))</f>
        <v>46363</v>
      </c>
      <c r="S132" s="215">
        <f>WORKDAY(IF(R133="",R132,R133),INDEX(S$12:S$15,MATCH($I131,$I$12:$I$15,0)))</f>
        <v>46384</v>
      </c>
      <c r="T132" s="215">
        <f>WORKDAY(IF(S133="",S132,S133),INDEX(T$12:T$15,MATCH($I131,$I$12:$I$15,0)))</f>
        <v>46398</v>
      </c>
      <c r="U132" s="215">
        <f>WORKDAY(IF(T133="",T132,T133),INDEX(U$12:U$15,MATCH($I131,$I$12:$I$15,0)))</f>
        <v>46412</v>
      </c>
      <c r="V132" s="215">
        <f>WORKDAY(IF(U133="",U132,U133),INDEX(V$12:V$15,MATCH($I131,$I$12:$I$15,0)))</f>
        <v>46414</v>
      </c>
      <c r="W132" s="218"/>
      <c r="X132" s="215">
        <f>U132+Y131</f>
        <v>46538</v>
      </c>
      <c r="Y132" s="448"/>
      <c r="Z132" s="443"/>
      <c r="AA132" s="443"/>
      <c r="AB132" s="442"/>
      <c r="AC132" s="220">
        <f>IF(ISERROR(LOOKUP(AC$16,$L132:$X132,#REF!)),0,(LOOKUP(AC$16,$L132:$X132,#REF!)))</f>
        <v>0</v>
      </c>
      <c r="AD132" s="221">
        <f>IF(ISERROR(LOOKUP(AD$16,$L132:$X132,#REF!)),0,(LOOKUP(AD$16,$L132:$X132,#REF!)))</f>
        <v>0</v>
      </c>
      <c r="AE132" s="221">
        <f>IF(ISERROR(LOOKUP(AE$16,$L132:$X132,#REF!)),0,(LOOKUP(AE$16,$L132:$X132,#REF!)))</f>
        <v>0</v>
      </c>
      <c r="AF132" s="221">
        <f>IF(ISERROR(LOOKUP(AF$16,$L132:$X132,#REF!)),0,(LOOKUP(AF$16,$L132:$X132,#REF!)))</f>
        <v>0</v>
      </c>
      <c r="AG132" s="221">
        <f>IF(ISERROR(LOOKUP(AG$16,$L132:$X132,#REF!)),0,(LOOKUP(AG$16,$L132:$X132,#REF!)))</f>
        <v>0</v>
      </c>
      <c r="AH132" s="221">
        <f>IF(ISERROR(LOOKUP(AH$16,$L132:$X132,#REF!)),0,(LOOKUP(AH$16,$L132:$X132,#REF!)))</f>
        <v>0</v>
      </c>
      <c r="AI132" s="221">
        <f>IF(ISERROR(LOOKUP(AI$16,$L132:$X132,#REF!)),0,(LOOKUP(AI$16,$L132:$X132,#REF!)))</f>
        <v>0</v>
      </c>
      <c r="AJ132" s="221">
        <f>IF(ISERROR(LOOKUP(AJ$16,$L132:$X132,#REF!)),0,(LOOKUP(AJ$16,$L132:$X132,#REF!)))</f>
        <v>0</v>
      </c>
      <c r="AK132" s="221">
        <f>IF(ISERROR(LOOKUP(AK$16,$L132:$X132,#REF!)),0,(LOOKUP(AK$16,$L132:$X132,#REF!)))</f>
        <v>0</v>
      </c>
      <c r="AL132" s="221">
        <f>IF(ISERROR(LOOKUP(AL$16,$L132:$X132,#REF!)),0,(LOOKUP(AL$16,$L132:$X132,#REF!)))</f>
        <v>0</v>
      </c>
      <c r="AM132" s="221">
        <f ca="1">IF(ISERROR(LOOKUP(AM$16,$L132:$X132,#REF!)),0,(LOOKUP(AM$16,$L132:$X132,#REF!)))</f>
        <v>0</v>
      </c>
      <c r="AP132" s="215" t="e">
        <f>WORKDAY(IF(T133="",T132,T133),INDEX(AP$12:AP$15,MATCH($I131,$I$12:$I$15,0)),$AW$17:$AW$148)</f>
        <v>#REF!</v>
      </c>
      <c r="AQ132" s="215" t="e">
        <f>WORKDAY(IF(AP133="",AP132,AP133),INDEX(AQ$12:AQ$15,MATCH($I131,$I$12:$I$15,0)),$AW$17:$AW$148)</f>
        <v>#REF!</v>
      </c>
      <c r="AR132" s="215" t="e">
        <f>WORKDAY(IF(AQ133="",AQ132,AQ133),INDEX(AR$12:AR$15,MATCH($I131,$I$12:$I$15,0)),$AW$17:$AW$148)</f>
        <v>#REF!</v>
      </c>
      <c r="AS132" s="440"/>
      <c r="AW132" s="223" t="e">
        <v>#REF!</v>
      </c>
    </row>
    <row r="133" spans="1:49" s="166" customFormat="1" ht="18" customHeight="1">
      <c r="A133" s="482"/>
      <c r="B133" s="481"/>
      <c r="C133" s="458" t="str">
        <f>C131</f>
        <v>RFQ-039</v>
      </c>
      <c r="D133" s="458" t="str">
        <f>D131</f>
        <v>Dip Tape Level Indicator</v>
      </c>
      <c r="E133" s="225"/>
      <c r="F133" s="468" t="str">
        <f>F131</f>
        <v>Instrument</v>
      </c>
      <c r="G133" s="458" t="str">
        <f>G131</f>
        <v>N</v>
      </c>
      <c r="H133" s="451"/>
      <c r="I133" s="212" t="str">
        <f>I131</f>
        <v>LC</v>
      </c>
      <c r="J133" s="249" t="s">
        <v>70</v>
      </c>
      <c r="K133" s="212"/>
      <c r="L133" s="212"/>
      <c r="M133" s="212"/>
      <c r="N133" s="212"/>
      <c r="O133" s="212"/>
      <c r="P133" s="226"/>
      <c r="Q133" s="227"/>
      <c r="R133" s="212"/>
      <c r="S133" s="212"/>
      <c r="T133" s="212"/>
      <c r="U133" s="212"/>
      <c r="V133" s="212"/>
      <c r="W133" s="228"/>
      <c r="X133" s="212"/>
      <c r="Y133" s="448"/>
      <c r="Z133" s="443"/>
      <c r="AA133" s="443"/>
      <c r="AB133" s="442"/>
      <c r="AC133" s="229">
        <f>IF(ISERROR(LOOKUP(AC$16,$L133:$X133,#REF!)),0,(LOOKUP(AC$16,$L133:$X133,#REF!)))</f>
        <v>0</v>
      </c>
      <c r="AD133" s="230">
        <f>IF(ISERROR(LOOKUP(AD$16,$L133:$X133,#REF!)),0,(LOOKUP(AD$16,$L133:$X133,#REF!)))</f>
        <v>0</v>
      </c>
      <c r="AE133" s="230">
        <f>IF(ISERROR(LOOKUP(AE$16,$L133:$X133,#REF!)),0,(LOOKUP(AE$16,$L133:$X133,#REF!)))</f>
        <v>0</v>
      </c>
      <c r="AF133" s="230">
        <f>IF(ISERROR(LOOKUP(AF$16,$L133:$X133,#REF!)),0,(LOOKUP(AF$16,$L133:$X133,#REF!)))</f>
        <v>0</v>
      </c>
      <c r="AG133" s="230">
        <f>IF(ISERROR(LOOKUP(AG$16,$L133:$X133,#REF!)),0,(LOOKUP(AG$16,$L133:$X133,#REF!)))</f>
        <v>0</v>
      </c>
      <c r="AH133" s="230">
        <f>IF(ISERROR(LOOKUP(AH$16,$L133:$X133,#REF!)),0,(LOOKUP(AH$16,$L133:$X133,#REF!)))</f>
        <v>0</v>
      </c>
      <c r="AI133" s="230">
        <f>IF(ISERROR(LOOKUP(AI$16,$L133:$X133,#REF!)),0,(LOOKUP(AI$16,$L133:$X133,#REF!)))</f>
        <v>0</v>
      </c>
      <c r="AJ133" s="230">
        <f>IF(ISERROR(LOOKUP(AJ$16,$L133:$X133,#REF!)),0,(LOOKUP(AJ$16,$L133:$X133,#REF!)))</f>
        <v>0</v>
      </c>
      <c r="AK133" s="230">
        <f>IF(ISERROR(LOOKUP(AK$16,$L133:$X133,#REF!)),0,(LOOKUP(AK$16,$L133:$X133,#REF!)))</f>
        <v>0</v>
      </c>
      <c r="AL133" s="230">
        <f>IF(ISERROR(LOOKUP(AL$16,$L133:$X133,#REF!)),0,(LOOKUP(AL$16,$L133:$X133,#REF!)))</f>
        <v>0</v>
      </c>
      <c r="AM133" s="230">
        <f ca="1">IF(ISERROR(LOOKUP(AM$16,$L133:$X133,#REF!)),0,(LOOKUP(AM$16,$L133:$X133,#REF!)))</f>
        <v>0</v>
      </c>
      <c r="AP133" s="212"/>
      <c r="AQ133" s="212"/>
      <c r="AR133" s="212"/>
      <c r="AS133" s="440"/>
      <c r="AW133" s="223" t="e">
        <v>#REF!</v>
      </c>
    </row>
    <row r="134" spans="1:49" s="166" customFormat="1" ht="18" customHeight="1">
      <c r="A134" s="482">
        <f>A131+1</f>
        <v>40</v>
      </c>
      <c r="B134" s="479"/>
      <c r="C134" s="458" t="s">
        <v>4785</v>
      </c>
      <c r="D134" s="458" t="s">
        <v>185</v>
      </c>
      <c r="E134" s="213"/>
      <c r="F134" s="466" t="s">
        <v>134</v>
      </c>
      <c r="G134" s="458" t="s">
        <v>75</v>
      </c>
      <c r="H134" s="449"/>
      <c r="I134" s="212" t="s">
        <v>8</v>
      </c>
      <c r="J134" s="249" t="s">
        <v>4732</v>
      </c>
      <c r="K134" s="215">
        <f>WORKDAY(L134,-INDEX(L$12:L$15,MATCH($I134,$I$12:$I$15,0)))</f>
        <v>46315</v>
      </c>
      <c r="L134" s="215">
        <f>WORKDAY(M134,-INDEX(M$12:M$15,MATCH($I134,$I$12:$I$15,0)))</f>
        <v>46318</v>
      </c>
      <c r="M134" s="215">
        <f>WORKDAY(N134,-INDEX(N$12:N$15,MATCH($I134,$I$12:$I$15,0)))</f>
        <v>46332</v>
      </c>
      <c r="N134" s="215">
        <f>WORKDAY(O134,-INDEX(O$12:O$15,MATCH($I134,$I$12:$I$15,0)))</f>
        <v>46335</v>
      </c>
      <c r="O134" s="215">
        <f>WORKDAY(R134,-INDEX(R$12:R$15,MATCH($I134,$I$12:$I$15,0)))</f>
        <v>46349</v>
      </c>
      <c r="P134" s="216">
        <f>U134-L134</f>
        <v>94</v>
      </c>
      <c r="Q134" s="217"/>
      <c r="R134" s="215">
        <f>WORKDAY(S134,-INDEX(S$12:S$15,MATCH($I134,$I$12:$I$15,0)))</f>
        <v>46363</v>
      </c>
      <c r="S134" s="215">
        <f>WORKDAY(T134,-INDEX(T$12:T$15,MATCH($I134,$I$12:$I$15,0)))</f>
        <v>46384</v>
      </c>
      <c r="T134" s="215">
        <f>WORKDAY(U134,-INDEX(U$12:U$15,MATCH($I134,$I$12:$I$15,0)))</f>
        <v>46398</v>
      </c>
      <c r="U134" s="215">
        <f>X134-Y134</f>
        <v>46412</v>
      </c>
      <c r="V134" s="215">
        <f>WORKDAY(U134,INDEX(V$12:V$15,MATCH($I134,$I$12:$I$15,0)))</f>
        <v>46414</v>
      </c>
      <c r="W134" s="218">
        <f>Y134/7</f>
        <v>18</v>
      </c>
      <c r="X134" s="215">
        <f>Z134</f>
        <v>46538</v>
      </c>
      <c r="Y134" s="448">
        <f>18*7</f>
        <v>126</v>
      </c>
      <c r="Z134" s="443">
        <v>46538</v>
      </c>
      <c r="AA134" s="443">
        <v>46538</v>
      </c>
      <c r="AB134" s="442">
        <f>Z134-X135</f>
        <v>0</v>
      </c>
      <c r="AC134" s="220">
        <f>IF(ISERROR(LOOKUP(AC$16,$L134:$X134,#REF!)),0,(LOOKUP(AC$16,$L134:$X134,#REF!)))</f>
        <v>0</v>
      </c>
      <c r="AD134" s="221">
        <f>IF(ISERROR(LOOKUP(AD$16,$L134:$X134,#REF!)),0,(LOOKUP(AD$16,$L134:$X134,#REF!)))</f>
        <v>0</v>
      </c>
      <c r="AE134" s="221">
        <f>IF(ISERROR(LOOKUP(AE$16,$L134:$X134,#REF!)),0,(LOOKUP(AE$16,$L134:$X134,#REF!)))</f>
        <v>0</v>
      </c>
      <c r="AF134" s="221">
        <f>IF(ISERROR(LOOKUP(AF$16,$L134:$X134,#REF!)),0,(LOOKUP(AF$16,$L134:$X134,#REF!)))</f>
        <v>0</v>
      </c>
      <c r="AG134" s="221">
        <f>IF(ISERROR(LOOKUP(AG$16,$L134:$X134,#REF!)),0,(LOOKUP(AG$16,$L134:$X134,#REF!)))</f>
        <v>0</v>
      </c>
      <c r="AH134" s="221">
        <f>IF(ISERROR(LOOKUP(AH$16,$L134:$X134,#REF!)),0,(LOOKUP(AH$16,$L134:$X134,#REF!)))</f>
        <v>0</v>
      </c>
      <c r="AI134" s="221">
        <f>IF(ISERROR(LOOKUP(AI$16,$L134:$X134,#REF!)),0,(LOOKUP(AI$16,$L134:$X134,#REF!)))</f>
        <v>0</v>
      </c>
      <c r="AJ134" s="221">
        <f>IF(ISERROR(LOOKUP(AJ$16,$L134:$X134,#REF!)),0,(LOOKUP(AJ$16,$L134:$X134,#REF!)))</f>
        <v>0</v>
      </c>
      <c r="AK134" s="221">
        <f>IF(ISERROR(LOOKUP(AK$16,$L134:$X134,#REF!)),0,(LOOKUP(AK$16,$L134:$X134,#REF!)))</f>
        <v>0</v>
      </c>
      <c r="AL134" s="221">
        <f>IF(ISERROR(LOOKUP(AL$16,$L134:$X134,#REF!)),0,(LOOKUP(AL$16,$L134:$X134,#REF!)))</f>
        <v>0</v>
      </c>
      <c r="AM134" s="221">
        <f ca="1">IF(ISERROR(LOOKUP(AM$16,$L134:$X134,#REF!)),0,(LOOKUP(AM$16,$L134:$X134,#REF!)))</f>
        <v>0</v>
      </c>
      <c r="AP134" s="215" t="e">
        <f>WORKDAY(AQ134,-INDEX(AQ$12:AQ$15,MATCH($I134,$I$12:$I$15,0)),$AW$17:$AW$148)</f>
        <v>#REF!</v>
      </c>
      <c r="AQ134" s="215" t="e">
        <f>WORKDAY(U134,-INDEX(U$12:U$15,MATCH($I134,$I$12:$I$15,0)),$AW$17:$AW$148)</f>
        <v>#REF!</v>
      </c>
      <c r="AR134" s="215" t="e">
        <f>WORKDAY(U134,-INDEX(U$12:U$15,MATCH($I134,$I$12:$I$15,0)),$AW$17:$AW$148)</f>
        <v>#REF!</v>
      </c>
      <c r="AS134" s="440">
        <v>7</v>
      </c>
      <c r="AW134" s="223" t="e">
        <v>#REF!</v>
      </c>
    </row>
    <row r="135" spans="1:49" s="166" customFormat="1" ht="18" customHeight="1">
      <c r="A135" s="482"/>
      <c r="B135" s="480"/>
      <c r="C135" s="458" t="str">
        <f>C134</f>
        <v>RFQ-040</v>
      </c>
      <c r="D135" s="458" t="str">
        <f>D134</f>
        <v>Position Limit Switches</v>
      </c>
      <c r="E135" s="224"/>
      <c r="F135" s="467" t="str">
        <f>F134</f>
        <v>Instrument</v>
      </c>
      <c r="G135" s="458" t="str">
        <f>G134</f>
        <v>N</v>
      </c>
      <c r="H135" s="450"/>
      <c r="I135" s="212" t="str">
        <f>I134</f>
        <v>LC</v>
      </c>
      <c r="J135" s="249" t="s">
        <v>68</v>
      </c>
      <c r="K135" s="215">
        <f>K134</f>
        <v>46315</v>
      </c>
      <c r="L135" s="215">
        <f>WORKDAY(IF(K136="",K135,K136),INDEX(L$12:L$15,MATCH($I134,$I$12:$I$15,0)))</f>
        <v>46318</v>
      </c>
      <c r="M135" s="215">
        <f>WORKDAY(IF(L136="",L135,L136),INDEX(M$12:M$15,MATCH($I134,$I$12:$I$15,0)))</f>
        <v>46332</v>
      </c>
      <c r="N135" s="215">
        <f>WORKDAY(IF(M136="",M135,M136),INDEX(N$12:N$15,MATCH($I134,$I$12:$I$15,0)))</f>
        <v>46335</v>
      </c>
      <c r="O135" s="215">
        <f>WORKDAY(IF(N136="",N135,N136),INDEX(O$12:O$15,MATCH($I134,$I$12:$I$15,0)))</f>
        <v>46349</v>
      </c>
      <c r="P135" s="216"/>
      <c r="Q135" s="217"/>
      <c r="R135" s="215">
        <f>WORKDAY(IF(O136="",O135,O136),INDEX(R$12:R$15,MATCH($I134,$I$12:$I$15,0)))</f>
        <v>46363</v>
      </c>
      <c r="S135" s="215">
        <f>WORKDAY(IF(R136="",R135,R136),INDEX(S$12:S$15,MATCH($I134,$I$12:$I$15,0)))</f>
        <v>46384</v>
      </c>
      <c r="T135" s="215">
        <f>WORKDAY(IF(S136="",S135,S136),INDEX(T$12:T$15,MATCH($I134,$I$12:$I$15,0)))</f>
        <v>46398</v>
      </c>
      <c r="U135" s="215">
        <f>WORKDAY(IF(T136="",T135,T136),INDEX(U$12:U$15,MATCH($I134,$I$12:$I$15,0)))</f>
        <v>46412</v>
      </c>
      <c r="V135" s="215">
        <f>WORKDAY(IF(U136="",U135,U136),INDEX(V$12:V$15,MATCH($I134,$I$12:$I$15,0)))</f>
        <v>46414</v>
      </c>
      <c r="W135" s="218"/>
      <c r="X135" s="215">
        <f>U135+Y134</f>
        <v>46538</v>
      </c>
      <c r="Y135" s="448"/>
      <c r="Z135" s="443"/>
      <c r="AA135" s="443"/>
      <c r="AB135" s="442"/>
      <c r="AC135" s="220">
        <f>IF(ISERROR(LOOKUP(AC$16,$L135:$X135,#REF!)),0,(LOOKUP(AC$16,$L135:$X135,#REF!)))</f>
        <v>0</v>
      </c>
      <c r="AD135" s="221">
        <f>IF(ISERROR(LOOKUP(AD$16,$L135:$X135,#REF!)),0,(LOOKUP(AD$16,$L135:$X135,#REF!)))</f>
        <v>0</v>
      </c>
      <c r="AE135" s="221">
        <f>IF(ISERROR(LOOKUP(AE$16,$L135:$X135,#REF!)),0,(LOOKUP(AE$16,$L135:$X135,#REF!)))</f>
        <v>0</v>
      </c>
      <c r="AF135" s="221">
        <f>IF(ISERROR(LOOKUP(AF$16,$L135:$X135,#REF!)),0,(LOOKUP(AF$16,$L135:$X135,#REF!)))</f>
        <v>0</v>
      </c>
      <c r="AG135" s="221">
        <f>IF(ISERROR(LOOKUP(AG$16,$L135:$X135,#REF!)),0,(LOOKUP(AG$16,$L135:$X135,#REF!)))</f>
        <v>0</v>
      </c>
      <c r="AH135" s="221">
        <f>IF(ISERROR(LOOKUP(AH$16,$L135:$X135,#REF!)),0,(LOOKUP(AH$16,$L135:$X135,#REF!)))</f>
        <v>0</v>
      </c>
      <c r="AI135" s="221">
        <f>IF(ISERROR(LOOKUP(AI$16,$L135:$X135,#REF!)),0,(LOOKUP(AI$16,$L135:$X135,#REF!)))</f>
        <v>0</v>
      </c>
      <c r="AJ135" s="221">
        <f>IF(ISERROR(LOOKUP(AJ$16,$L135:$X135,#REF!)),0,(LOOKUP(AJ$16,$L135:$X135,#REF!)))</f>
        <v>0</v>
      </c>
      <c r="AK135" s="221">
        <f>IF(ISERROR(LOOKUP(AK$16,$L135:$X135,#REF!)),0,(LOOKUP(AK$16,$L135:$X135,#REF!)))</f>
        <v>0</v>
      </c>
      <c r="AL135" s="221">
        <f>IF(ISERROR(LOOKUP(AL$16,$L135:$X135,#REF!)),0,(LOOKUP(AL$16,$L135:$X135,#REF!)))</f>
        <v>0</v>
      </c>
      <c r="AM135" s="221">
        <f ca="1">IF(ISERROR(LOOKUP(AM$16,$L135:$X135,#REF!)),0,(LOOKUP(AM$16,$L135:$X135,#REF!)))</f>
        <v>0</v>
      </c>
      <c r="AP135" s="215" t="e">
        <f>WORKDAY(IF(T136="",T135,T136),INDEX(AP$12:AP$15,MATCH($I134,$I$12:$I$15,0)),$AW$17:$AW$148)</f>
        <v>#REF!</v>
      </c>
      <c r="AQ135" s="215" t="e">
        <f>WORKDAY(IF(AP136="",AP135,AP136),INDEX(AQ$12:AQ$15,MATCH($I134,$I$12:$I$15,0)),$AW$17:$AW$148)</f>
        <v>#REF!</v>
      </c>
      <c r="AR135" s="215" t="e">
        <f>WORKDAY(IF(AQ136="",AQ135,AQ136),INDEX(AR$12:AR$15,MATCH($I134,$I$12:$I$15,0)),$AW$17:$AW$148)</f>
        <v>#REF!</v>
      </c>
      <c r="AS135" s="440"/>
      <c r="AW135" s="223" t="e">
        <v>#REF!</v>
      </c>
    </row>
    <row r="136" spans="1:49" s="166" customFormat="1" ht="18" customHeight="1">
      <c r="A136" s="482"/>
      <c r="B136" s="481"/>
      <c r="C136" s="458" t="str">
        <f>C134</f>
        <v>RFQ-040</v>
      </c>
      <c r="D136" s="458" t="str">
        <f>D134</f>
        <v>Position Limit Switches</v>
      </c>
      <c r="E136" s="225"/>
      <c r="F136" s="468" t="str">
        <f>F134</f>
        <v>Instrument</v>
      </c>
      <c r="G136" s="458" t="str">
        <f>G134</f>
        <v>N</v>
      </c>
      <c r="H136" s="451"/>
      <c r="I136" s="212" t="str">
        <f>I134</f>
        <v>LC</v>
      </c>
      <c r="J136" s="249" t="s">
        <v>70</v>
      </c>
      <c r="K136" s="212"/>
      <c r="L136" s="212"/>
      <c r="M136" s="212"/>
      <c r="N136" s="212"/>
      <c r="O136" s="212"/>
      <c r="P136" s="226"/>
      <c r="Q136" s="227"/>
      <c r="R136" s="212"/>
      <c r="S136" s="212"/>
      <c r="T136" s="212"/>
      <c r="U136" s="212"/>
      <c r="V136" s="212"/>
      <c r="W136" s="228"/>
      <c r="X136" s="212"/>
      <c r="Y136" s="448"/>
      <c r="Z136" s="443"/>
      <c r="AA136" s="443"/>
      <c r="AB136" s="442"/>
      <c r="AC136" s="229">
        <f>IF(ISERROR(LOOKUP(AC$16,$L136:$X136,#REF!)),0,(LOOKUP(AC$16,$L136:$X136,#REF!)))</f>
        <v>0</v>
      </c>
      <c r="AD136" s="230">
        <f>IF(ISERROR(LOOKUP(AD$16,$L136:$X136,#REF!)),0,(LOOKUP(AD$16,$L136:$X136,#REF!)))</f>
        <v>0</v>
      </c>
      <c r="AE136" s="230">
        <f>IF(ISERROR(LOOKUP(AE$16,$L136:$X136,#REF!)),0,(LOOKUP(AE$16,$L136:$X136,#REF!)))</f>
        <v>0</v>
      </c>
      <c r="AF136" s="230">
        <f>IF(ISERROR(LOOKUP(AF$16,$L136:$X136,#REF!)),0,(LOOKUP(AF$16,$L136:$X136,#REF!)))</f>
        <v>0</v>
      </c>
      <c r="AG136" s="230">
        <f>IF(ISERROR(LOOKUP(AG$16,$L136:$X136,#REF!)),0,(LOOKUP(AG$16,$L136:$X136,#REF!)))</f>
        <v>0</v>
      </c>
      <c r="AH136" s="230">
        <f>IF(ISERROR(LOOKUP(AH$16,$L136:$X136,#REF!)),0,(LOOKUP(AH$16,$L136:$X136,#REF!)))</f>
        <v>0</v>
      </c>
      <c r="AI136" s="230">
        <f>IF(ISERROR(LOOKUP(AI$16,$L136:$X136,#REF!)),0,(LOOKUP(AI$16,$L136:$X136,#REF!)))</f>
        <v>0</v>
      </c>
      <c r="AJ136" s="230">
        <f>IF(ISERROR(LOOKUP(AJ$16,$L136:$X136,#REF!)),0,(LOOKUP(AJ$16,$L136:$X136,#REF!)))</f>
        <v>0</v>
      </c>
      <c r="AK136" s="230">
        <f>IF(ISERROR(LOOKUP(AK$16,$L136:$X136,#REF!)),0,(LOOKUP(AK$16,$L136:$X136,#REF!)))</f>
        <v>0</v>
      </c>
      <c r="AL136" s="230">
        <f>IF(ISERROR(LOOKUP(AL$16,$L136:$X136,#REF!)),0,(LOOKUP(AL$16,$L136:$X136,#REF!)))</f>
        <v>0</v>
      </c>
      <c r="AM136" s="230">
        <f ca="1">IF(ISERROR(LOOKUP(AM$16,$L136:$X136,#REF!)),0,(LOOKUP(AM$16,$L136:$X136,#REF!)))</f>
        <v>0</v>
      </c>
      <c r="AP136" s="212"/>
      <c r="AQ136" s="212"/>
      <c r="AR136" s="212"/>
      <c r="AS136" s="440"/>
      <c r="AW136" s="223" t="e">
        <v>#REF!</v>
      </c>
    </row>
    <row r="137" spans="1:49" s="166" customFormat="1" ht="18" customHeight="1">
      <c r="A137" s="482">
        <f>A134+1</f>
        <v>41</v>
      </c>
      <c r="B137" s="479"/>
      <c r="C137" s="458" t="s">
        <v>4786</v>
      </c>
      <c r="D137" s="458" t="s">
        <v>188</v>
      </c>
      <c r="E137" s="213"/>
      <c r="F137" s="466" t="s">
        <v>134</v>
      </c>
      <c r="G137" s="458" t="s">
        <v>75</v>
      </c>
      <c r="H137" s="449"/>
      <c r="I137" s="212" t="s">
        <v>8</v>
      </c>
      <c r="J137" s="249" t="s">
        <v>4732</v>
      </c>
      <c r="K137" s="215">
        <f>WORKDAY(L137,-INDEX(L$12:L$15,MATCH($I137,$I$12:$I$15,0)))</f>
        <v>46231</v>
      </c>
      <c r="L137" s="215">
        <f>WORKDAY(M137,-INDEX(M$12:M$15,MATCH($I137,$I$12:$I$15,0)))</f>
        <v>46234</v>
      </c>
      <c r="M137" s="215">
        <f>WORKDAY(N137,-INDEX(N$12:N$15,MATCH($I137,$I$12:$I$15,0)))</f>
        <v>46248</v>
      </c>
      <c r="N137" s="215">
        <f>WORKDAY(O137,-INDEX(O$12:O$15,MATCH($I137,$I$12:$I$15,0)))</f>
        <v>46251</v>
      </c>
      <c r="O137" s="215">
        <f>WORKDAY(R137,-INDEX(R$12:R$15,MATCH($I137,$I$12:$I$15,0)))</f>
        <v>46265</v>
      </c>
      <c r="P137" s="216">
        <f>U137-L137</f>
        <v>94</v>
      </c>
      <c r="Q137" s="217"/>
      <c r="R137" s="215">
        <f>WORKDAY(S137,-INDEX(S$12:S$15,MATCH($I137,$I$12:$I$15,0)))</f>
        <v>46279</v>
      </c>
      <c r="S137" s="215">
        <f>WORKDAY(T137,-INDEX(T$12:T$15,MATCH($I137,$I$12:$I$15,0)))</f>
        <v>46300</v>
      </c>
      <c r="T137" s="215">
        <f>WORKDAY(U137,-INDEX(U$12:U$15,MATCH($I137,$I$12:$I$15,0)))</f>
        <v>46314</v>
      </c>
      <c r="U137" s="215">
        <f>X137-Y137</f>
        <v>46328</v>
      </c>
      <c r="V137" s="215">
        <f>WORKDAY(U137,INDEX(V$12:V$15,MATCH($I137,$I$12:$I$15,0)))</f>
        <v>46330</v>
      </c>
      <c r="W137" s="218">
        <f>Y137/7</f>
        <v>30</v>
      </c>
      <c r="X137" s="215">
        <f>Z137</f>
        <v>46538</v>
      </c>
      <c r="Y137" s="448">
        <f>30*7</f>
        <v>210</v>
      </c>
      <c r="Z137" s="443">
        <v>46538</v>
      </c>
      <c r="AA137" s="443">
        <v>46538</v>
      </c>
      <c r="AB137" s="442">
        <f>Z137-X138</f>
        <v>0</v>
      </c>
      <c r="AC137" s="220">
        <f>IF(ISERROR(LOOKUP(AC$16,$L137:$X137,#REF!)),0,(LOOKUP(AC$16,$L137:$X137,#REF!)))</f>
        <v>0</v>
      </c>
      <c r="AD137" s="221">
        <f>IF(ISERROR(LOOKUP(AD$16,$L137:$X137,#REF!)),0,(LOOKUP(AD$16,$L137:$X137,#REF!)))</f>
        <v>0</v>
      </c>
      <c r="AE137" s="221">
        <f>IF(ISERROR(LOOKUP(AE$16,$L137:$X137,#REF!)),0,(LOOKUP(AE$16,$L137:$X137,#REF!)))</f>
        <v>0</v>
      </c>
      <c r="AF137" s="221">
        <f>IF(ISERROR(LOOKUP(AF$16,$L137:$X137,#REF!)),0,(LOOKUP(AF$16,$L137:$X137,#REF!)))</f>
        <v>0</v>
      </c>
      <c r="AG137" s="221">
        <f>IF(ISERROR(LOOKUP(AG$16,$L137:$X137,#REF!)),0,(LOOKUP(AG$16,$L137:$X137,#REF!)))</f>
        <v>0</v>
      </c>
      <c r="AH137" s="221">
        <f>IF(ISERROR(LOOKUP(AH$16,$L137:$X137,#REF!)),0,(LOOKUP(AH$16,$L137:$X137,#REF!)))</f>
        <v>0</v>
      </c>
      <c r="AI137" s="221">
        <f>IF(ISERROR(LOOKUP(AI$16,$L137:$X137,#REF!)),0,(LOOKUP(AI$16,$L137:$X137,#REF!)))</f>
        <v>0</v>
      </c>
      <c r="AJ137" s="221">
        <f>IF(ISERROR(LOOKUP(AJ$16,$L137:$X137,#REF!)),0,(LOOKUP(AJ$16,$L137:$X137,#REF!)))</f>
        <v>0</v>
      </c>
      <c r="AK137" s="221">
        <f>IF(ISERROR(LOOKUP(AK$16,$L137:$X137,#REF!)),0,(LOOKUP(AK$16,$L137:$X137,#REF!)))</f>
        <v>0</v>
      </c>
      <c r="AL137" s="221">
        <f>IF(ISERROR(LOOKUP(AL$16,$L137:$X137,#REF!)),0,(LOOKUP(AL$16,$L137:$X137,#REF!)))</f>
        <v>0</v>
      </c>
      <c r="AM137" s="221">
        <f ca="1">IF(ISERROR(LOOKUP(AM$16,$L137:$X137,#REF!)),0,(LOOKUP(AM$16,$L137:$X137,#REF!)))</f>
        <v>0</v>
      </c>
      <c r="AP137" s="215" t="e">
        <f>WORKDAY(AQ137,-INDEX(AQ$12:AQ$15,MATCH($I137,$I$12:$I$15,0)),$AW$17:$AW$148)</f>
        <v>#REF!</v>
      </c>
      <c r="AQ137" s="215" t="e">
        <f>WORKDAY(U137,-INDEX(U$12:U$15,MATCH($I137,$I$12:$I$15,0)),$AW$17:$AW$148)</f>
        <v>#REF!</v>
      </c>
      <c r="AR137" s="215" t="e">
        <f>WORKDAY(U137,-INDEX(U$12:U$15,MATCH($I137,$I$12:$I$15,0)),$AW$17:$AW$148)</f>
        <v>#REF!</v>
      </c>
      <c r="AS137" s="440">
        <v>7</v>
      </c>
      <c r="AW137" s="223" t="e">
        <v>#REF!</v>
      </c>
    </row>
    <row r="138" spans="1:49" s="166" customFormat="1" ht="18" customHeight="1">
      <c r="A138" s="482"/>
      <c r="B138" s="480"/>
      <c r="C138" s="458" t="str">
        <f>C137</f>
        <v>RFQ-041</v>
      </c>
      <c r="D138" s="458" t="str">
        <f>D137</f>
        <v>Guided Wave Radar Level Transmitter</v>
      </c>
      <c r="E138" s="224"/>
      <c r="F138" s="467" t="str">
        <f>F137</f>
        <v>Instrument</v>
      </c>
      <c r="G138" s="458" t="str">
        <f>G137</f>
        <v>N</v>
      </c>
      <c r="H138" s="450"/>
      <c r="I138" s="212" t="str">
        <f>I137</f>
        <v>LC</v>
      </c>
      <c r="J138" s="249" t="s">
        <v>68</v>
      </c>
      <c r="K138" s="215">
        <f>K137</f>
        <v>46231</v>
      </c>
      <c r="L138" s="215">
        <f>WORKDAY(IF(K139="",K138,K139),INDEX(L$12:L$15,MATCH($I137,$I$12:$I$15,0)))</f>
        <v>46234</v>
      </c>
      <c r="M138" s="215">
        <f>WORKDAY(IF(L139="",L138,L139),INDEX(M$12:M$15,MATCH($I137,$I$12:$I$15,0)))</f>
        <v>46248</v>
      </c>
      <c r="N138" s="215">
        <f>WORKDAY(IF(M139="",M138,M139),INDEX(N$12:N$15,MATCH($I137,$I$12:$I$15,0)))</f>
        <v>46251</v>
      </c>
      <c r="O138" s="215">
        <f>WORKDAY(IF(N139="",N138,N139),INDEX(O$12:O$15,MATCH($I137,$I$12:$I$15,0)))</f>
        <v>46265</v>
      </c>
      <c r="P138" s="216"/>
      <c r="Q138" s="217"/>
      <c r="R138" s="215">
        <f>WORKDAY(IF(O139="",O138,O139),INDEX(R$12:R$15,MATCH($I137,$I$12:$I$15,0)))</f>
        <v>46279</v>
      </c>
      <c r="S138" s="215">
        <f>WORKDAY(IF(R139="",R138,R139),INDEX(S$12:S$15,MATCH($I137,$I$12:$I$15,0)))</f>
        <v>46300</v>
      </c>
      <c r="T138" s="215">
        <f>WORKDAY(IF(S139="",S138,S139),INDEX(T$12:T$15,MATCH($I137,$I$12:$I$15,0)))</f>
        <v>46314</v>
      </c>
      <c r="U138" s="215">
        <f>WORKDAY(IF(T139="",T138,T139),INDEX(U$12:U$15,MATCH($I137,$I$12:$I$15,0)))</f>
        <v>46328</v>
      </c>
      <c r="V138" s="215">
        <f>WORKDAY(IF(U139="",U138,U139),INDEX(V$12:V$15,MATCH($I137,$I$12:$I$15,0)))</f>
        <v>46330</v>
      </c>
      <c r="W138" s="218"/>
      <c r="X138" s="215">
        <f>U138+Y137</f>
        <v>46538</v>
      </c>
      <c r="Y138" s="448"/>
      <c r="Z138" s="443"/>
      <c r="AA138" s="443"/>
      <c r="AB138" s="442"/>
      <c r="AC138" s="220">
        <f>IF(ISERROR(LOOKUP(AC$16,$L138:$X138,#REF!)),0,(LOOKUP(AC$16,$L138:$X138,#REF!)))</f>
        <v>0</v>
      </c>
      <c r="AD138" s="221">
        <f>IF(ISERROR(LOOKUP(AD$16,$L138:$X138,#REF!)),0,(LOOKUP(AD$16,$L138:$X138,#REF!)))</f>
        <v>0</v>
      </c>
      <c r="AE138" s="221">
        <f>IF(ISERROR(LOOKUP(AE$16,$L138:$X138,#REF!)),0,(LOOKUP(AE$16,$L138:$X138,#REF!)))</f>
        <v>0</v>
      </c>
      <c r="AF138" s="221">
        <f>IF(ISERROR(LOOKUP(AF$16,$L138:$X138,#REF!)),0,(LOOKUP(AF$16,$L138:$X138,#REF!)))</f>
        <v>0</v>
      </c>
      <c r="AG138" s="221">
        <f>IF(ISERROR(LOOKUP(AG$16,$L138:$X138,#REF!)),0,(LOOKUP(AG$16,$L138:$X138,#REF!)))</f>
        <v>0</v>
      </c>
      <c r="AH138" s="221">
        <f>IF(ISERROR(LOOKUP(AH$16,$L138:$X138,#REF!)),0,(LOOKUP(AH$16,$L138:$X138,#REF!)))</f>
        <v>0</v>
      </c>
      <c r="AI138" s="221">
        <f>IF(ISERROR(LOOKUP(AI$16,$L138:$X138,#REF!)),0,(LOOKUP(AI$16,$L138:$X138,#REF!)))</f>
        <v>0</v>
      </c>
      <c r="AJ138" s="221">
        <f>IF(ISERROR(LOOKUP(AJ$16,$L138:$X138,#REF!)),0,(LOOKUP(AJ$16,$L138:$X138,#REF!)))</f>
        <v>0</v>
      </c>
      <c r="AK138" s="221">
        <f>IF(ISERROR(LOOKUP(AK$16,$L138:$X138,#REF!)),0,(LOOKUP(AK$16,$L138:$X138,#REF!)))</f>
        <v>0</v>
      </c>
      <c r="AL138" s="221">
        <f>IF(ISERROR(LOOKUP(AL$16,$L138:$X138,#REF!)),0,(LOOKUP(AL$16,$L138:$X138,#REF!)))</f>
        <v>0</v>
      </c>
      <c r="AM138" s="221">
        <f ca="1">IF(ISERROR(LOOKUP(AM$16,$L138:$X138,#REF!)),0,(LOOKUP(AM$16,$L138:$X138,#REF!)))</f>
        <v>0</v>
      </c>
      <c r="AP138" s="215" t="e">
        <f>WORKDAY(IF(T139="",T138,T139),INDEX(AP$12:AP$15,MATCH($I137,$I$12:$I$15,0)),$AW$17:$AW$148)</f>
        <v>#REF!</v>
      </c>
      <c r="AQ138" s="215" t="e">
        <f>WORKDAY(IF(AP139="",AP138,AP139),INDEX(AQ$12:AQ$15,MATCH($I137,$I$12:$I$15,0)),$AW$17:$AW$148)</f>
        <v>#REF!</v>
      </c>
      <c r="AR138" s="215" t="e">
        <f>WORKDAY(IF(AQ139="",AQ138,AQ139),INDEX(AR$12:AR$15,MATCH($I137,$I$12:$I$15,0)),$AW$17:$AW$148)</f>
        <v>#REF!</v>
      </c>
      <c r="AS138" s="440"/>
      <c r="AW138" s="223" t="e">
        <v>#REF!</v>
      </c>
    </row>
    <row r="139" spans="1:49" s="166" customFormat="1" ht="18" customHeight="1">
      <c r="A139" s="482"/>
      <c r="B139" s="481"/>
      <c r="C139" s="458" t="str">
        <f>C137</f>
        <v>RFQ-041</v>
      </c>
      <c r="D139" s="458" t="str">
        <f>D137</f>
        <v>Guided Wave Radar Level Transmitter</v>
      </c>
      <c r="E139" s="225"/>
      <c r="F139" s="468" t="str">
        <f>F137</f>
        <v>Instrument</v>
      </c>
      <c r="G139" s="458" t="str">
        <f>G137</f>
        <v>N</v>
      </c>
      <c r="H139" s="451"/>
      <c r="I139" s="212" t="str">
        <f>I137</f>
        <v>LC</v>
      </c>
      <c r="J139" s="249" t="s">
        <v>70</v>
      </c>
      <c r="K139" s="212"/>
      <c r="L139" s="212"/>
      <c r="M139" s="212"/>
      <c r="N139" s="212"/>
      <c r="O139" s="212"/>
      <c r="P139" s="226"/>
      <c r="Q139" s="227"/>
      <c r="R139" s="212"/>
      <c r="S139" s="212"/>
      <c r="T139" s="212"/>
      <c r="U139" s="212"/>
      <c r="V139" s="212"/>
      <c r="W139" s="228"/>
      <c r="X139" s="212"/>
      <c r="Y139" s="448"/>
      <c r="Z139" s="443"/>
      <c r="AA139" s="443"/>
      <c r="AB139" s="442"/>
      <c r="AC139" s="229">
        <f>IF(ISERROR(LOOKUP(AC$16,$L139:$X139,#REF!)),0,(LOOKUP(AC$16,$L139:$X139,#REF!)))</f>
        <v>0</v>
      </c>
      <c r="AD139" s="230">
        <f>IF(ISERROR(LOOKUP(AD$16,$L139:$X139,#REF!)),0,(LOOKUP(AD$16,$L139:$X139,#REF!)))</f>
        <v>0</v>
      </c>
      <c r="AE139" s="230">
        <f>IF(ISERROR(LOOKUP(AE$16,$L139:$X139,#REF!)),0,(LOOKUP(AE$16,$L139:$X139,#REF!)))</f>
        <v>0</v>
      </c>
      <c r="AF139" s="230">
        <f>IF(ISERROR(LOOKUP(AF$16,$L139:$X139,#REF!)),0,(LOOKUP(AF$16,$L139:$X139,#REF!)))</f>
        <v>0</v>
      </c>
      <c r="AG139" s="230">
        <f>IF(ISERROR(LOOKUP(AG$16,$L139:$X139,#REF!)),0,(LOOKUP(AG$16,$L139:$X139,#REF!)))</f>
        <v>0</v>
      </c>
      <c r="AH139" s="230">
        <f>IF(ISERROR(LOOKUP(AH$16,$L139:$X139,#REF!)),0,(LOOKUP(AH$16,$L139:$X139,#REF!)))</f>
        <v>0</v>
      </c>
      <c r="AI139" s="230">
        <f>IF(ISERROR(LOOKUP(AI$16,$L139:$X139,#REF!)),0,(LOOKUP(AI$16,$L139:$X139,#REF!)))</f>
        <v>0</v>
      </c>
      <c r="AJ139" s="230">
        <f>IF(ISERROR(LOOKUP(AJ$16,$L139:$X139,#REF!)),0,(LOOKUP(AJ$16,$L139:$X139,#REF!)))</f>
        <v>0</v>
      </c>
      <c r="AK139" s="230">
        <f>IF(ISERROR(LOOKUP(AK$16,$L139:$X139,#REF!)),0,(LOOKUP(AK$16,$L139:$X139,#REF!)))</f>
        <v>0</v>
      </c>
      <c r="AL139" s="230">
        <f>IF(ISERROR(LOOKUP(AL$16,$L139:$X139,#REF!)),0,(LOOKUP(AL$16,$L139:$X139,#REF!)))</f>
        <v>0</v>
      </c>
      <c r="AM139" s="230">
        <f ca="1">IF(ISERROR(LOOKUP(AM$16,$L139:$X139,#REF!)),0,(LOOKUP(AM$16,$L139:$X139,#REF!)))</f>
        <v>0</v>
      </c>
      <c r="AP139" s="212"/>
      <c r="AQ139" s="212"/>
      <c r="AR139" s="212"/>
      <c r="AS139" s="440"/>
      <c r="AW139" s="223" t="e">
        <v>#REF!</v>
      </c>
    </row>
    <row r="140" spans="1:49" s="166" customFormat="1" ht="18" customHeight="1">
      <c r="A140" s="482">
        <f>A137+1</f>
        <v>42</v>
      </c>
      <c r="B140" s="479"/>
      <c r="C140" s="458" t="s">
        <v>4787</v>
      </c>
      <c r="D140" s="458" t="s">
        <v>4788</v>
      </c>
      <c r="E140" s="213"/>
      <c r="F140" s="466" t="s">
        <v>134</v>
      </c>
      <c r="G140" s="458" t="s">
        <v>75</v>
      </c>
      <c r="H140" s="449"/>
      <c r="I140" s="212" t="s">
        <v>8</v>
      </c>
      <c r="J140" s="249" t="s">
        <v>4732</v>
      </c>
      <c r="K140" s="215">
        <f>WORKDAY(L140,-INDEX(L$12:L$15,MATCH($I140,$I$12:$I$15,0)))</f>
        <v>46273</v>
      </c>
      <c r="L140" s="215">
        <f>WORKDAY(M140,-INDEX(M$12:M$15,MATCH($I140,$I$12:$I$15,0)))</f>
        <v>46276</v>
      </c>
      <c r="M140" s="215">
        <f>WORKDAY(N140,-INDEX(N$12:N$15,MATCH($I140,$I$12:$I$15,0)))</f>
        <v>46290</v>
      </c>
      <c r="N140" s="215">
        <f>WORKDAY(O140,-INDEX(O$12:O$15,MATCH($I140,$I$12:$I$15,0)))</f>
        <v>46293</v>
      </c>
      <c r="O140" s="215">
        <f>WORKDAY(R140,-INDEX(R$12:R$15,MATCH($I140,$I$12:$I$15,0)))</f>
        <v>46307</v>
      </c>
      <c r="P140" s="216">
        <f>U140-L140</f>
        <v>94</v>
      </c>
      <c r="Q140" s="217"/>
      <c r="R140" s="215">
        <f>WORKDAY(S140,-INDEX(S$12:S$15,MATCH($I140,$I$12:$I$15,0)))</f>
        <v>46321</v>
      </c>
      <c r="S140" s="215">
        <f>WORKDAY(T140,-INDEX(T$12:T$15,MATCH($I140,$I$12:$I$15,0)))</f>
        <v>46342</v>
      </c>
      <c r="T140" s="215">
        <f>WORKDAY(U140,-INDEX(U$12:U$15,MATCH($I140,$I$12:$I$15,0)))</f>
        <v>46356</v>
      </c>
      <c r="U140" s="215">
        <f>X140-Y140</f>
        <v>46370</v>
      </c>
      <c r="V140" s="215">
        <f>WORKDAY(U140,INDEX(V$12:V$15,MATCH($I140,$I$12:$I$15,0)))</f>
        <v>46372</v>
      </c>
      <c r="W140" s="218">
        <f>Y140/7</f>
        <v>24</v>
      </c>
      <c r="X140" s="215">
        <f>Z140</f>
        <v>46538</v>
      </c>
      <c r="Y140" s="448">
        <f>24*7</f>
        <v>168</v>
      </c>
      <c r="Z140" s="443">
        <v>46538</v>
      </c>
      <c r="AA140" s="443">
        <v>46538</v>
      </c>
      <c r="AB140" s="442">
        <f>Z140-X141</f>
        <v>0</v>
      </c>
      <c r="AC140" s="220">
        <f>IF(ISERROR(LOOKUP(AC$16,$L140:$X140,#REF!)),0,(LOOKUP(AC$16,$L140:$X140,#REF!)))</f>
        <v>0</v>
      </c>
      <c r="AD140" s="221">
        <f>IF(ISERROR(LOOKUP(AD$16,$L140:$X140,#REF!)),0,(LOOKUP(AD$16,$L140:$X140,#REF!)))</f>
        <v>0</v>
      </c>
      <c r="AE140" s="221">
        <f>IF(ISERROR(LOOKUP(AE$16,$L140:$X140,#REF!)),0,(LOOKUP(AE$16,$L140:$X140,#REF!)))</f>
        <v>0</v>
      </c>
      <c r="AF140" s="221">
        <f>IF(ISERROR(LOOKUP(AF$16,$L140:$X140,#REF!)),0,(LOOKUP(AF$16,$L140:$X140,#REF!)))</f>
        <v>0</v>
      </c>
      <c r="AG140" s="221">
        <f>IF(ISERROR(LOOKUP(AG$16,$L140:$X140,#REF!)),0,(LOOKUP(AG$16,$L140:$X140,#REF!)))</f>
        <v>0</v>
      </c>
      <c r="AH140" s="221">
        <f>IF(ISERROR(LOOKUP(AH$16,$L140:$X140,#REF!)),0,(LOOKUP(AH$16,$L140:$X140,#REF!)))</f>
        <v>0</v>
      </c>
      <c r="AI140" s="221">
        <f>IF(ISERROR(LOOKUP(AI$16,$L140:$X140,#REF!)),0,(LOOKUP(AI$16,$L140:$X140,#REF!)))</f>
        <v>0</v>
      </c>
      <c r="AJ140" s="221">
        <f>IF(ISERROR(LOOKUP(AJ$16,$L140:$X140,#REF!)),0,(LOOKUP(AJ$16,$L140:$X140,#REF!)))</f>
        <v>0</v>
      </c>
      <c r="AK140" s="221">
        <f>IF(ISERROR(LOOKUP(AK$16,$L140:$X140,#REF!)),0,(LOOKUP(AK$16,$L140:$X140,#REF!)))</f>
        <v>0</v>
      </c>
      <c r="AL140" s="221">
        <f>IF(ISERROR(LOOKUP(AL$16,$L140:$X140,#REF!)),0,(LOOKUP(AL$16,$L140:$X140,#REF!)))</f>
        <v>0</v>
      </c>
      <c r="AM140" s="221">
        <f ca="1">IF(ISERROR(LOOKUP(AM$16,$L140:$X140,#REF!)),0,(LOOKUP(AM$16,$L140:$X140,#REF!)))</f>
        <v>0</v>
      </c>
      <c r="AP140" s="215" t="e">
        <f>WORKDAY(AQ140,-INDEX(AQ$12:AQ$15,MATCH($I140,$I$12:$I$15,0)),$AW$17:$AW$148)</f>
        <v>#REF!</v>
      </c>
      <c r="AQ140" s="215" t="e">
        <f>WORKDAY(U140,-INDEX(U$12:U$15,MATCH($I140,$I$12:$I$15,0)),$AW$17:$AW$148)</f>
        <v>#REF!</v>
      </c>
      <c r="AR140" s="215" t="e">
        <f>WORKDAY(U140,-INDEX(U$12:U$15,MATCH($I140,$I$12:$I$15,0)),$AW$17:$AW$148)</f>
        <v>#REF!</v>
      </c>
      <c r="AS140" s="440">
        <v>7</v>
      </c>
      <c r="AW140" s="223" t="e">
        <v>#REF!</v>
      </c>
    </row>
    <row r="141" spans="1:49" s="166" customFormat="1" ht="18" customHeight="1">
      <c r="A141" s="482"/>
      <c r="B141" s="480"/>
      <c r="C141" s="458" t="str">
        <f>C140</f>
        <v>RFQ-042</v>
      </c>
      <c r="D141" s="458" t="str">
        <f>D140</f>
        <v>Oil in Water Analyzer</v>
      </c>
      <c r="E141" s="224"/>
      <c r="F141" s="467" t="str">
        <f>F140</f>
        <v>Instrument</v>
      </c>
      <c r="G141" s="458" t="str">
        <f>G140</f>
        <v>N</v>
      </c>
      <c r="H141" s="450"/>
      <c r="I141" s="212" t="str">
        <f>I140</f>
        <v>LC</v>
      </c>
      <c r="J141" s="249" t="s">
        <v>68</v>
      </c>
      <c r="K141" s="215">
        <f>K140</f>
        <v>46273</v>
      </c>
      <c r="L141" s="215">
        <f>WORKDAY(IF(K142="",K141,K142),INDEX(L$12:L$15,MATCH($I140,$I$12:$I$15,0)))</f>
        <v>46276</v>
      </c>
      <c r="M141" s="215">
        <f>WORKDAY(IF(L142="",L141,L142),INDEX(M$12:M$15,MATCH($I140,$I$12:$I$15,0)))</f>
        <v>46290</v>
      </c>
      <c r="N141" s="215">
        <f>WORKDAY(IF(M142="",M141,M142),INDEX(N$12:N$15,MATCH($I140,$I$12:$I$15,0)))</f>
        <v>46293</v>
      </c>
      <c r="O141" s="215">
        <f>WORKDAY(IF(N142="",N141,N142),INDEX(O$12:O$15,MATCH($I140,$I$12:$I$15,0)))</f>
        <v>46307</v>
      </c>
      <c r="P141" s="216"/>
      <c r="Q141" s="217"/>
      <c r="R141" s="215">
        <f>WORKDAY(IF(O142="",O141,O142),INDEX(R$12:R$15,MATCH($I140,$I$12:$I$15,0)))</f>
        <v>46321</v>
      </c>
      <c r="S141" s="215">
        <f>WORKDAY(IF(R142="",R141,R142),INDEX(S$12:S$15,MATCH($I140,$I$12:$I$15,0)))</f>
        <v>46342</v>
      </c>
      <c r="T141" s="215">
        <f>WORKDAY(IF(S142="",S141,S142),INDEX(T$12:T$15,MATCH($I140,$I$12:$I$15,0)))</f>
        <v>46356</v>
      </c>
      <c r="U141" s="215">
        <f>WORKDAY(IF(T142="",T141,T142),INDEX(U$12:U$15,MATCH($I140,$I$12:$I$15,0)))</f>
        <v>46370</v>
      </c>
      <c r="V141" s="215">
        <f>WORKDAY(IF(U142="",U141,U142),INDEX(V$12:V$15,MATCH($I140,$I$12:$I$15,0)))</f>
        <v>46372</v>
      </c>
      <c r="W141" s="218"/>
      <c r="X141" s="215">
        <f>U141+Y140</f>
        <v>46538</v>
      </c>
      <c r="Y141" s="448"/>
      <c r="Z141" s="443"/>
      <c r="AA141" s="443"/>
      <c r="AB141" s="442"/>
      <c r="AC141" s="220">
        <f>IF(ISERROR(LOOKUP(AC$16,$L141:$X141,#REF!)),0,(LOOKUP(AC$16,$L141:$X141,#REF!)))</f>
        <v>0</v>
      </c>
      <c r="AD141" s="221">
        <f>IF(ISERROR(LOOKUP(AD$16,$L141:$X141,#REF!)),0,(LOOKUP(AD$16,$L141:$X141,#REF!)))</f>
        <v>0</v>
      </c>
      <c r="AE141" s="221">
        <f>IF(ISERROR(LOOKUP(AE$16,$L141:$X141,#REF!)),0,(LOOKUP(AE$16,$L141:$X141,#REF!)))</f>
        <v>0</v>
      </c>
      <c r="AF141" s="221">
        <f>IF(ISERROR(LOOKUP(AF$16,$L141:$X141,#REF!)),0,(LOOKUP(AF$16,$L141:$X141,#REF!)))</f>
        <v>0</v>
      </c>
      <c r="AG141" s="221">
        <f>IF(ISERROR(LOOKUP(AG$16,$L141:$X141,#REF!)),0,(LOOKUP(AG$16,$L141:$X141,#REF!)))</f>
        <v>0</v>
      </c>
      <c r="AH141" s="221">
        <f>IF(ISERROR(LOOKUP(AH$16,$L141:$X141,#REF!)),0,(LOOKUP(AH$16,$L141:$X141,#REF!)))</f>
        <v>0</v>
      </c>
      <c r="AI141" s="221">
        <f>IF(ISERROR(LOOKUP(AI$16,$L141:$X141,#REF!)),0,(LOOKUP(AI$16,$L141:$X141,#REF!)))</f>
        <v>0</v>
      </c>
      <c r="AJ141" s="221">
        <f>IF(ISERROR(LOOKUP(AJ$16,$L141:$X141,#REF!)),0,(LOOKUP(AJ$16,$L141:$X141,#REF!)))</f>
        <v>0</v>
      </c>
      <c r="AK141" s="221">
        <f>IF(ISERROR(LOOKUP(AK$16,$L141:$X141,#REF!)),0,(LOOKUP(AK$16,$L141:$X141,#REF!)))</f>
        <v>0</v>
      </c>
      <c r="AL141" s="221">
        <f>IF(ISERROR(LOOKUP(AL$16,$L141:$X141,#REF!)),0,(LOOKUP(AL$16,$L141:$X141,#REF!)))</f>
        <v>0</v>
      </c>
      <c r="AM141" s="221">
        <f ca="1">IF(ISERROR(LOOKUP(AM$16,$L141:$X141,#REF!)),0,(LOOKUP(AM$16,$L141:$X141,#REF!)))</f>
        <v>0</v>
      </c>
      <c r="AP141" s="215" t="e">
        <f>WORKDAY(IF(T142="",T141,T142),INDEX(AP$12:AP$15,MATCH($I140,$I$12:$I$15,0)),$AW$17:$AW$148)</f>
        <v>#REF!</v>
      </c>
      <c r="AQ141" s="215" t="e">
        <f>WORKDAY(IF(AP142="",AP141,AP142),INDEX(AQ$12:AQ$15,MATCH($I140,$I$12:$I$15,0)),$AW$17:$AW$148)</f>
        <v>#REF!</v>
      </c>
      <c r="AR141" s="215" t="e">
        <f>WORKDAY(IF(AQ142="",AQ141,AQ142),INDEX(AR$12:AR$15,MATCH($I140,$I$12:$I$15,0)),$AW$17:$AW$148)</f>
        <v>#REF!</v>
      </c>
      <c r="AS141" s="440"/>
      <c r="AW141" s="223" t="e">
        <v>#REF!</v>
      </c>
    </row>
    <row r="142" spans="1:49" s="166" customFormat="1" ht="18" customHeight="1">
      <c r="A142" s="482"/>
      <c r="B142" s="481"/>
      <c r="C142" s="458" t="str">
        <f>C140</f>
        <v>RFQ-042</v>
      </c>
      <c r="D142" s="458" t="str">
        <f>D140</f>
        <v>Oil in Water Analyzer</v>
      </c>
      <c r="E142" s="225"/>
      <c r="F142" s="468" t="str">
        <f>F140</f>
        <v>Instrument</v>
      </c>
      <c r="G142" s="458" t="str">
        <f>G140</f>
        <v>N</v>
      </c>
      <c r="H142" s="451"/>
      <c r="I142" s="212" t="str">
        <f>I140</f>
        <v>LC</v>
      </c>
      <c r="J142" s="249" t="s">
        <v>70</v>
      </c>
      <c r="K142" s="212"/>
      <c r="L142" s="212"/>
      <c r="M142" s="212"/>
      <c r="N142" s="212"/>
      <c r="O142" s="212"/>
      <c r="P142" s="226"/>
      <c r="Q142" s="227"/>
      <c r="R142" s="212"/>
      <c r="S142" s="212"/>
      <c r="T142" s="212"/>
      <c r="U142" s="212"/>
      <c r="V142" s="212"/>
      <c r="W142" s="228"/>
      <c r="X142" s="212"/>
      <c r="Y142" s="448"/>
      <c r="Z142" s="443"/>
      <c r="AA142" s="443"/>
      <c r="AB142" s="442"/>
      <c r="AC142" s="229">
        <f>IF(ISERROR(LOOKUP(AC$16,$L142:$X142,#REF!)),0,(LOOKUP(AC$16,$L142:$X142,#REF!)))</f>
        <v>0</v>
      </c>
      <c r="AD142" s="230">
        <f>IF(ISERROR(LOOKUP(AD$16,$L142:$X142,#REF!)),0,(LOOKUP(AD$16,$L142:$X142,#REF!)))</f>
        <v>0</v>
      </c>
      <c r="AE142" s="230">
        <f>IF(ISERROR(LOOKUP(AE$16,$L142:$X142,#REF!)),0,(LOOKUP(AE$16,$L142:$X142,#REF!)))</f>
        <v>0</v>
      </c>
      <c r="AF142" s="230">
        <f>IF(ISERROR(LOOKUP(AF$16,$L142:$X142,#REF!)),0,(LOOKUP(AF$16,$L142:$X142,#REF!)))</f>
        <v>0</v>
      </c>
      <c r="AG142" s="230">
        <f>IF(ISERROR(LOOKUP(AG$16,$L142:$X142,#REF!)),0,(LOOKUP(AG$16,$L142:$X142,#REF!)))</f>
        <v>0</v>
      </c>
      <c r="AH142" s="230">
        <f>IF(ISERROR(LOOKUP(AH$16,$L142:$X142,#REF!)),0,(LOOKUP(AH$16,$L142:$X142,#REF!)))</f>
        <v>0</v>
      </c>
      <c r="AI142" s="230">
        <f>IF(ISERROR(LOOKUP(AI$16,$L142:$X142,#REF!)),0,(LOOKUP(AI$16,$L142:$X142,#REF!)))</f>
        <v>0</v>
      </c>
      <c r="AJ142" s="230">
        <f>IF(ISERROR(LOOKUP(AJ$16,$L142:$X142,#REF!)),0,(LOOKUP(AJ$16,$L142:$X142,#REF!)))</f>
        <v>0</v>
      </c>
      <c r="AK142" s="230">
        <f>IF(ISERROR(LOOKUP(AK$16,$L142:$X142,#REF!)),0,(LOOKUP(AK$16,$L142:$X142,#REF!)))</f>
        <v>0</v>
      </c>
      <c r="AL142" s="230">
        <f>IF(ISERROR(LOOKUP(AL$16,$L142:$X142,#REF!)),0,(LOOKUP(AL$16,$L142:$X142,#REF!)))</f>
        <v>0</v>
      </c>
      <c r="AM142" s="230">
        <f ca="1">IF(ISERROR(LOOKUP(AM$16,$L142:$X142,#REF!)),0,(LOOKUP(AM$16,$L142:$X142,#REF!)))</f>
        <v>0</v>
      </c>
      <c r="AP142" s="212"/>
      <c r="AQ142" s="212"/>
      <c r="AR142" s="212"/>
      <c r="AS142" s="440"/>
      <c r="AW142" s="223" t="e">
        <v>#REF!</v>
      </c>
    </row>
    <row r="143" spans="1:49" s="166" customFormat="1" ht="18" customHeight="1">
      <c r="A143" s="482">
        <f>A140+1</f>
        <v>43</v>
      </c>
      <c r="B143" s="479"/>
      <c r="C143" s="458" t="s">
        <v>4789</v>
      </c>
      <c r="D143" s="458" t="s">
        <v>193</v>
      </c>
      <c r="E143" s="213"/>
      <c r="F143" s="466" t="s">
        <v>134</v>
      </c>
      <c r="G143" s="458" t="s">
        <v>75</v>
      </c>
      <c r="H143" s="449"/>
      <c r="I143" s="212" t="s">
        <v>8</v>
      </c>
      <c r="J143" s="249" t="s">
        <v>4732</v>
      </c>
      <c r="K143" s="215">
        <f>WORKDAY(L143,-INDEX(L$12:L$15,MATCH($I143,$I$12:$I$15,0)))</f>
        <v>46381</v>
      </c>
      <c r="L143" s="215">
        <f>WORKDAY(M143,-INDEX(M$12:M$15,MATCH($I143,$I$12:$I$15,0)))</f>
        <v>46386</v>
      </c>
      <c r="M143" s="215">
        <f>WORKDAY(N143,-INDEX(N$12:N$15,MATCH($I143,$I$12:$I$15,0)))</f>
        <v>46400</v>
      </c>
      <c r="N143" s="215">
        <f>WORKDAY(O143,-INDEX(O$12:O$15,MATCH($I143,$I$12:$I$15,0)))</f>
        <v>46401</v>
      </c>
      <c r="O143" s="215">
        <f>WORKDAY(R143,-INDEX(R$12:R$15,MATCH($I143,$I$12:$I$15,0)))</f>
        <v>46415</v>
      </c>
      <c r="P143" s="216">
        <f>U143-L143</f>
        <v>92</v>
      </c>
      <c r="Q143" s="217"/>
      <c r="R143" s="215">
        <f>WORKDAY(S143,-INDEX(S$12:S$15,MATCH($I143,$I$12:$I$15,0)))</f>
        <v>46429</v>
      </c>
      <c r="S143" s="215">
        <f>WORKDAY(T143,-INDEX(T$12:T$15,MATCH($I143,$I$12:$I$15,0)))</f>
        <v>46450</v>
      </c>
      <c r="T143" s="215">
        <f>WORKDAY(U143,-INDEX(U$12:U$15,MATCH($I143,$I$12:$I$15,0)))</f>
        <v>46464</v>
      </c>
      <c r="U143" s="215">
        <f>X143-Y143</f>
        <v>46478</v>
      </c>
      <c r="V143" s="215">
        <f>WORKDAY(U143,INDEX(V$12:V$15,MATCH($I143,$I$12:$I$15,0)))</f>
        <v>46482</v>
      </c>
      <c r="W143" s="218">
        <f>Y143/7</f>
        <v>8.5714285714285694</v>
      </c>
      <c r="X143" s="215">
        <f>Z143</f>
        <v>46538</v>
      </c>
      <c r="Y143" s="448">
        <v>60</v>
      </c>
      <c r="Z143" s="443">
        <v>46538</v>
      </c>
      <c r="AA143" s="443">
        <v>46538</v>
      </c>
      <c r="AB143" s="442">
        <f>Z143-X144</f>
        <v>0</v>
      </c>
      <c r="AC143" s="220">
        <f>IF(ISERROR(LOOKUP(AC$16,$L143:$X143,#REF!)),0,(LOOKUP(AC$16,$L143:$X143,#REF!)))</f>
        <v>0</v>
      </c>
      <c r="AD143" s="221">
        <f>IF(ISERROR(LOOKUP(AD$16,$L143:$X143,#REF!)),0,(LOOKUP(AD$16,$L143:$X143,#REF!)))</f>
        <v>0</v>
      </c>
      <c r="AE143" s="221">
        <f>IF(ISERROR(LOOKUP(AE$16,$L143:$X143,#REF!)),0,(LOOKUP(AE$16,$L143:$X143,#REF!)))</f>
        <v>0</v>
      </c>
      <c r="AF143" s="221">
        <f>IF(ISERROR(LOOKUP(AF$16,$L143:$X143,#REF!)),0,(LOOKUP(AF$16,$L143:$X143,#REF!)))</f>
        <v>0</v>
      </c>
      <c r="AG143" s="221">
        <f>IF(ISERROR(LOOKUP(AG$16,$L143:$X143,#REF!)),0,(LOOKUP(AG$16,$L143:$X143,#REF!)))</f>
        <v>0</v>
      </c>
      <c r="AH143" s="221">
        <f>IF(ISERROR(LOOKUP(AH$16,$L143:$X143,#REF!)),0,(LOOKUP(AH$16,$L143:$X143,#REF!)))</f>
        <v>0</v>
      </c>
      <c r="AI143" s="221">
        <f>IF(ISERROR(LOOKUP(AI$16,$L143:$X143,#REF!)),0,(LOOKUP(AI$16,$L143:$X143,#REF!)))</f>
        <v>0</v>
      </c>
      <c r="AJ143" s="221">
        <f>IF(ISERROR(LOOKUP(AJ$16,$L143:$X143,#REF!)),0,(LOOKUP(AJ$16,$L143:$X143,#REF!)))</f>
        <v>0</v>
      </c>
      <c r="AK143" s="221">
        <f>IF(ISERROR(LOOKUP(AK$16,$L143:$X143,#REF!)),0,(LOOKUP(AK$16,$L143:$X143,#REF!)))</f>
        <v>0</v>
      </c>
      <c r="AL143" s="221">
        <f>IF(ISERROR(LOOKUP(AL$16,$L143:$X143,#REF!)),0,(LOOKUP(AL$16,$L143:$X143,#REF!)))</f>
        <v>0</v>
      </c>
      <c r="AM143" s="221">
        <f ca="1">IF(ISERROR(LOOKUP(AM$16,$L143:$X143,#REF!)),0,(LOOKUP(AM$16,$L143:$X143,#REF!)))</f>
        <v>0</v>
      </c>
      <c r="AP143" s="215" t="e">
        <f>WORKDAY(AQ143,-INDEX(AQ$12:AQ$15,MATCH($I143,$I$12:$I$15,0)),$AW$17:$AW$148)</f>
        <v>#REF!</v>
      </c>
      <c r="AQ143" s="215" t="e">
        <f>WORKDAY(U143,-INDEX(U$12:U$15,MATCH($I143,$I$12:$I$15,0)),$AW$17:$AW$148)</f>
        <v>#REF!</v>
      </c>
      <c r="AR143" s="215" t="e">
        <f>WORKDAY(U143,-INDEX(U$12:U$15,MATCH($I143,$I$12:$I$15,0)),$AW$17:$AW$148)</f>
        <v>#REF!</v>
      </c>
      <c r="AS143" s="440">
        <v>7</v>
      </c>
      <c r="AW143" s="223" t="e">
        <v>#REF!</v>
      </c>
    </row>
    <row r="144" spans="1:49" s="166" customFormat="1" ht="18" customHeight="1">
      <c r="A144" s="482"/>
      <c r="B144" s="480"/>
      <c r="C144" s="458" t="str">
        <f>C143</f>
        <v>RFQ-043</v>
      </c>
      <c r="D144" s="458" t="str">
        <f>D143</f>
        <v>Level Switch</v>
      </c>
      <c r="E144" s="224"/>
      <c r="F144" s="467" t="str">
        <f>F143</f>
        <v>Instrument</v>
      </c>
      <c r="G144" s="458" t="str">
        <f>G143</f>
        <v>N</v>
      </c>
      <c r="H144" s="450"/>
      <c r="I144" s="212" t="str">
        <f>I143</f>
        <v>LC</v>
      </c>
      <c r="J144" s="249" t="s">
        <v>68</v>
      </c>
      <c r="K144" s="215">
        <f>K143</f>
        <v>46381</v>
      </c>
      <c r="L144" s="215">
        <f>WORKDAY(IF(K145="",K144,K145),INDEX(L$12:L$15,MATCH($I143,$I$12:$I$15,0)))</f>
        <v>46386</v>
      </c>
      <c r="M144" s="215">
        <f>WORKDAY(IF(L145="",L144,L145),INDEX(M$12:M$15,MATCH($I143,$I$12:$I$15,0)))</f>
        <v>46400</v>
      </c>
      <c r="N144" s="215">
        <f>WORKDAY(IF(M145="",M144,M145),INDEX(N$12:N$15,MATCH($I143,$I$12:$I$15,0)))</f>
        <v>46401</v>
      </c>
      <c r="O144" s="215">
        <f>WORKDAY(IF(N145="",N144,N145),INDEX(O$12:O$15,MATCH($I143,$I$12:$I$15,0)))</f>
        <v>46415</v>
      </c>
      <c r="P144" s="216"/>
      <c r="Q144" s="217"/>
      <c r="R144" s="215">
        <f>WORKDAY(IF(O145="",O144,O145),INDEX(R$12:R$15,MATCH($I143,$I$12:$I$15,0)))</f>
        <v>46429</v>
      </c>
      <c r="S144" s="215">
        <f>WORKDAY(IF(R145="",R144,R145),INDEX(S$12:S$15,MATCH($I143,$I$12:$I$15,0)))</f>
        <v>46450</v>
      </c>
      <c r="T144" s="215">
        <f>WORKDAY(IF(S145="",S144,S145),INDEX(T$12:T$15,MATCH($I143,$I$12:$I$15,0)))</f>
        <v>46464</v>
      </c>
      <c r="U144" s="215">
        <f>WORKDAY(IF(T145="",T144,T145),INDEX(U$12:U$15,MATCH($I143,$I$12:$I$15,0)))</f>
        <v>46478</v>
      </c>
      <c r="V144" s="215">
        <f>WORKDAY(IF(U145="",U144,U145),INDEX(V$12:V$15,MATCH($I143,$I$12:$I$15,0)))</f>
        <v>46482</v>
      </c>
      <c r="W144" s="218"/>
      <c r="X144" s="215">
        <f>U144+Y143</f>
        <v>46538</v>
      </c>
      <c r="Y144" s="448"/>
      <c r="Z144" s="443"/>
      <c r="AA144" s="443"/>
      <c r="AB144" s="442"/>
      <c r="AC144" s="220">
        <f>IF(ISERROR(LOOKUP(AC$16,$L144:$X144,#REF!)),0,(LOOKUP(AC$16,$L144:$X144,#REF!)))</f>
        <v>0</v>
      </c>
      <c r="AD144" s="221">
        <f>IF(ISERROR(LOOKUP(AD$16,$L144:$X144,#REF!)),0,(LOOKUP(AD$16,$L144:$X144,#REF!)))</f>
        <v>0</v>
      </c>
      <c r="AE144" s="221">
        <f>IF(ISERROR(LOOKUP(AE$16,$L144:$X144,#REF!)),0,(LOOKUP(AE$16,$L144:$X144,#REF!)))</f>
        <v>0</v>
      </c>
      <c r="AF144" s="221">
        <f>IF(ISERROR(LOOKUP(AF$16,$L144:$X144,#REF!)),0,(LOOKUP(AF$16,$L144:$X144,#REF!)))</f>
        <v>0</v>
      </c>
      <c r="AG144" s="221">
        <f>IF(ISERROR(LOOKUP(AG$16,$L144:$X144,#REF!)),0,(LOOKUP(AG$16,$L144:$X144,#REF!)))</f>
        <v>0</v>
      </c>
      <c r="AH144" s="221">
        <f>IF(ISERROR(LOOKUP(AH$16,$L144:$X144,#REF!)),0,(LOOKUP(AH$16,$L144:$X144,#REF!)))</f>
        <v>0</v>
      </c>
      <c r="AI144" s="221">
        <f>IF(ISERROR(LOOKUP(AI$16,$L144:$X144,#REF!)),0,(LOOKUP(AI$16,$L144:$X144,#REF!)))</f>
        <v>0</v>
      </c>
      <c r="AJ144" s="221">
        <f>IF(ISERROR(LOOKUP(AJ$16,$L144:$X144,#REF!)),0,(LOOKUP(AJ$16,$L144:$X144,#REF!)))</f>
        <v>0</v>
      </c>
      <c r="AK144" s="221">
        <f>IF(ISERROR(LOOKUP(AK$16,$L144:$X144,#REF!)),0,(LOOKUP(AK$16,$L144:$X144,#REF!)))</f>
        <v>0</v>
      </c>
      <c r="AL144" s="221">
        <f>IF(ISERROR(LOOKUP(AL$16,$L144:$X144,#REF!)),0,(LOOKUP(AL$16,$L144:$X144,#REF!)))</f>
        <v>0</v>
      </c>
      <c r="AM144" s="221">
        <f ca="1">IF(ISERROR(LOOKUP(AM$16,$L144:$X144,#REF!)),0,(LOOKUP(AM$16,$L144:$X144,#REF!)))</f>
        <v>0</v>
      </c>
      <c r="AP144" s="215" t="e">
        <f>WORKDAY(IF(T145="",T144,T145),INDEX(AP$12:AP$15,MATCH($I143,$I$12:$I$15,0)),$AW$17:$AW$148)</f>
        <v>#REF!</v>
      </c>
      <c r="AQ144" s="215" t="e">
        <f>WORKDAY(IF(AP145="",AP144,AP145),INDEX(AQ$12:AQ$15,MATCH($I143,$I$12:$I$15,0)),$AW$17:$AW$148)</f>
        <v>#REF!</v>
      </c>
      <c r="AR144" s="215" t="e">
        <f>WORKDAY(IF(AQ145="",AQ144,AQ145),INDEX(AR$12:AR$15,MATCH($I143,$I$12:$I$15,0)),$AW$17:$AW$148)</f>
        <v>#REF!</v>
      </c>
      <c r="AS144" s="440"/>
      <c r="AW144" s="223" t="e">
        <v>#REF!</v>
      </c>
    </row>
    <row r="145" spans="1:49" s="166" customFormat="1" ht="18" customHeight="1">
      <c r="A145" s="482"/>
      <c r="B145" s="481"/>
      <c r="C145" s="458" t="str">
        <f>C143</f>
        <v>RFQ-043</v>
      </c>
      <c r="D145" s="458" t="str">
        <f>D143</f>
        <v>Level Switch</v>
      </c>
      <c r="E145" s="225"/>
      <c r="F145" s="468" t="str">
        <f>F143</f>
        <v>Instrument</v>
      </c>
      <c r="G145" s="458" t="str">
        <f>G143</f>
        <v>N</v>
      </c>
      <c r="H145" s="451"/>
      <c r="I145" s="212" t="str">
        <f>I143</f>
        <v>LC</v>
      </c>
      <c r="J145" s="249" t="s">
        <v>70</v>
      </c>
      <c r="K145" s="212"/>
      <c r="L145" s="212"/>
      <c r="M145" s="212"/>
      <c r="N145" s="212"/>
      <c r="O145" s="212"/>
      <c r="P145" s="226"/>
      <c r="Q145" s="227"/>
      <c r="R145" s="212"/>
      <c r="S145" s="212"/>
      <c r="T145" s="212"/>
      <c r="U145" s="212"/>
      <c r="V145" s="212"/>
      <c r="W145" s="228"/>
      <c r="X145" s="212"/>
      <c r="Y145" s="448"/>
      <c r="Z145" s="443"/>
      <c r="AA145" s="443"/>
      <c r="AB145" s="442"/>
      <c r="AC145" s="229">
        <f>IF(ISERROR(LOOKUP(AC$16,$L145:$X145,#REF!)),0,(LOOKUP(AC$16,$L145:$X145,#REF!)))</f>
        <v>0</v>
      </c>
      <c r="AD145" s="230">
        <f>IF(ISERROR(LOOKUP(AD$16,$L145:$X145,#REF!)),0,(LOOKUP(AD$16,$L145:$X145,#REF!)))</f>
        <v>0</v>
      </c>
      <c r="AE145" s="230">
        <f>IF(ISERROR(LOOKUP(AE$16,$L145:$X145,#REF!)),0,(LOOKUP(AE$16,$L145:$X145,#REF!)))</f>
        <v>0</v>
      </c>
      <c r="AF145" s="230">
        <f>IF(ISERROR(LOOKUP(AF$16,$L145:$X145,#REF!)),0,(LOOKUP(AF$16,$L145:$X145,#REF!)))</f>
        <v>0</v>
      </c>
      <c r="AG145" s="230">
        <f>IF(ISERROR(LOOKUP(AG$16,$L145:$X145,#REF!)),0,(LOOKUP(AG$16,$L145:$X145,#REF!)))</f>
        <v>0</v>
      </c>
      <c r="AH145" s="230">
        <f>IF(ISERROR(LOOKUP(AH$16,$L145:$X145,#REF!)),0,(LOOKUP(AH$16,$L145:$X145,#REF!)))</f>
        <v>0</v>
      </c>
      <c r="AI145" s="230">
        <f>IF(ISERROR(LOOKUP(AI$16,$L145:$X145,#REF!)),0,(LOOKUP(AI$16,$L145:$X145,#REF!)))</f>
        <v>0</v>
      </c>
      <c r="AJ145" s="230">
        <f>IF(ISERROR(LOOKUP(AJ$16,$L145:$X145,#REF!)),0,(LOOKUP(AJ$16,$L145:$X145,#REF!)))</f>
        <v>0</v>
      </c>
      <c r="AK145" s="230">
        <f>IF(ISERROR(LOOKUP(AK$16,$L145:$X145,#REF!)),0,(LOOKUP(AK$16,$L145:$X145,#REF!)))</f>
        <v>0</v>
      </c>
      <c r="AL145" s="230">
        <f>IF(ISERROR(LOOKUP(AL$16,$L145:$X145,#REF!)),0,(LOOKUP(AL$16,$L145:$X145,#REF!)))</f>
        <v>0</v>
      </c>
      <c r="AM145" s="230">
        <f ca="1">IF(ISERROR(LOOKUP(AM$16,$L145:$X145,#REF!)),0,(LOOKUP(AM$16,$L145:$X145,#REF!)))</f>
        <v>0</v>
      </c>
      <c r="AP145" s="212"/>
      <c r="AQ145" s="212"/>
      <c r="AR145" s="212"/>
      <c r="AS145" s="440"/>
      <c r="AW145" s="223" t="e">
        <v>#REF!</v>
      </c>
    </row>
    <row r="146" spans="1:49" s="166" customFormat="1" ht="18" customHeight="1">
      <c r="A146" s="482">
        <f>A143+1</f>
        <v>44</v>
      </c>
      <c r="B146" s="479"/>
      <c r="C146" s="458" t="s">
        <v>4790</v>
      </c>
      <c r="D146" s="458" t="s">
        <v>196</v>
      </c>
      <c r="E146" s="213"/>
      <c r="F146" s="466" t="s">
        <v>134</v>
      </c>
      <c r="G146" s="458" t="s">
        <v>75</v>
      </c>
      <c r="H146" s="449"/>
      <c r="I146" s="212" t="s">
        <v>8</v>
      </c>
      <c r="J146" s="249" t="s">
        <v>4732</v>
      </c>
      <c r="K146" s="215">
        <f>WORKDAY(L146,-INDEX(L$12:L$15,MATCH($I146,$I$12:$I$15,0)))</f>
        <v>46381</v>
      </c>
      <c r="L146" s="215">
        <f>WORKDAY(M146,-INDEX(M$12:M$15,MATCH($I146,$I$12:$I$15,0)))</f>
        <v>46386</v>
      </c>
      <c r="M146" s="215">
        <f>WORKDAY(N146,-INDEX(N$12:N$15,MATCH($I146,$I$12:$I$15,0)))</f>
        <v>46400</v>
      </c>
      <c r="N146" s="215">
        <f>WORKDAY(O146,-INDEX(O$12:O$15,MATCH($I146,$I$12:$I$15,0)))</f>
        <v>46401</v>
      </c>
      <c r="O146" s="215">
        <f>WORKDAY(R146,-INDEX(R$12:R$15,MATCH($I146,$I$12:$I$15,0)))</f>
        <v>46415</v>
      </c>
      <c r="P146" s="216">
        <f>U146-L146</f>
        <v>92</v>
      </c>
      <c r="Q146" s="217"/>
      <c r="R146" s="215">
        <f>WORKDAY(S146,-INDEX(S$12:S$15,MATCH($I146,$I$12:$I$15,0)))</f>
        <v>46429</v>
      </c>
      <c r="S146" s="215">
        <f>WORKDAY(T146,-INDEX(T$12:T$15,MATCH($I146,$I$12:$I$15,0)))</f>
        <v>46450</v>
      </c>
      <c r="T146" s="215">
        <f>WORKDAY(U146,-INDEX(U$12:U$15,MATCH($I146,$I$12:$I$15,0)))</f>
        <v>46464</v>
      </c>
      <c r="U146" s="215">
        <f>X146-Y146</f>
        <v>46478</v>
      </c>
      <c r="V146" s="215">
        <f>WORKDAY(U146,INDEX(V$12:V$15,MATCH($I146,$I$12:$I$15,0)))</f>
        <v>46482</v>
      </c>
      <c r="W146" s="218">
        <f>Y146/7</f>
        <v>8.5714285714285694</v>
      </c>
      <c r="X146" s="215">
        <f>Z146</f>
        <v>46538</v>
      </c>
      <c r="Y146" s="448">
        <v>60</v>
      </c>
      <c r="Z146" s="443">
        <v>46538</v>
      </c>
      <c r="AA146" s="443">
        <v>46538</v>
      </c>
      <c r="AB146" s="442">
        <f>Z146-X147</f>
        <v>0</v>
      </c>
      <c r="AC146" s="220">
        <f>IF(ISERROR(LOOKUP(AC$16,$L146:$X146,#REF!)),0,(LOOKUP(AC$16,$L146:$X146,#REF!)))</f>
        <v>0</v>
      </c>
      <c r="AD146" s="221">
        <f>IF(ISERROR(LOOKUP(AD$16,$L146:$X146,#REF!)),0,(LOOKUP(AD$16,$L146:$X146,#REF!)))</f>
        <v>0</v>
      </c>
      <c r="AE146" s="221">
        <f>IF(ISERROR(LOOKUP(AE$16,$L146:$X146,#REF!)),0,(LOOKUP(AE$16,$L146:$X146,#REF!)))</f>
        <v>0</v>
      </c>
      <c r="AF146" s="221">
        <f>IF(ISERROR(LOOKUP(AF$16,$L146:$X146,#REF!)),0,(LOOKUP(AF$16,$L146:$X146,#REF!)))</f>
        <v>0</v>
      </c>
      <c r="AG146" s="221">
        <f>IF(ISERROR(LOOKUP(AG$16,$L146:$X146,#REF!)),0,(LOOKUP(AG$16,$L146:$X146,#REF!)))</f>
        <v>0</v>
      </c>
      <c r="AH146" s="221">
        <f>IF(ISERROR(LOOKUP(AH$16,$L146:$X146,#REF!)),0,(LOOKUP(AH$16,$L146:$X146,#REF!)))</f>
        <v>0</v>
      </c>
      <c r="AI146" s="221">
        <f>IF(ISERROR(LOOKUP(AI$16,$L146:$X146,#REF!)),0,(LOOKUP(AI$16,$L146:$X146,#REF!)))</f>
        <v>0</v>
      </c>
      <c r="AJ146" s="221">
        <f>IF(ISERROR(LOOKUP(AJ$16,$L146:$X146,#REF!)),0,(LOOKUP(AJ$16,$L146:$X146,#REF!)))</f>
        <v>0</v>
      </c>
      <c r="AK146" s="221">
        <f>IF(ISERROR(LOOKUP(AK$16,$L146:$X146,#REF!)),0,(LOOKUP(AK$16,$L146:$X146,#REF!)))</f>
        <v>0</v>
      </c>
      <c r="AL146" s="221">
        <f>IF(ISERROR(LOOKUP(AL$16,$L146:$X146,#REF!)),0,(LOOKUP(AL$16,$L146:$X146,#REF!)))</f>
        <v>0</v>
      </c>
      <c r="AM146" s="221">
        <f ca="1">IF(ISERROR(LOOKUP(AM$16,$L146:$X146,#REF!)),0,(LOOKUP(AM$16,$L146:$X146,#REF!)))</f>
        <v>0</v>
      </c>
      <c r="AP146" s="215" t="e">
        <f>WORKDAY(AQ146,-INDEX(AQ$12:AQ$15,MATCH($I146,$I$12:$I$15,0)),$AW$17:$AW$148)</f>
        <v>#REF!</v>
      </c>
      <c r="AQ146" s="215" t="e">
        <f>WORKDAY(U146,-INDEX(U$12:U$15,MATCH($I146,$I$12:$I$15,0)),$AW$17:$AW$148)</f>
        <v>#REF!</v>
      </c>
      <c r="AR146" s="215" t="e">
        <f>WORKDAY(U146,-INDEX(U$12:U$15,MATCH($I146,$I$12:$I$15,0)),$AW$17:$AW$148)</f>
        <v>#REF!</v>
      </c>
      <c r="AS146" s="440">
        <v>7</v>
      </c>
      <c r="AW146" s="223" t="e">
        <v>#REF!</v>
      </c>
    </row>
    <row r="147" spans="1:49" s="166" customFormat="1" ht="18" customHeight="1">
      <c r="A147" s="482"/>
      <c r="B147" s="480"/>
      <c r="C147" s="458" t="str">
        <f>C146</f>
        <v>RFQ-044</v>
      </c>
      <c r="D147" s="458" t="str">
        <f>D146</f>
        <v>Flow Switch</v>
      </c>
      <c r="E147" s="224"/>
      <c r="F147" s="467" t="str">
        <f>F146</f>
        <v>Instrument</v>
      </c>
      <c r="G147" s="458" t="str">
        <f>G146</f>
        <v>N</v>
      </c>
      <c r="H147" s="450"/>
      <c r="I147" s="212" t="str">
        <f>I146</f>
        <v>LC</v>
      </c>
      <c r="J147" s="249" t="s">
        <v>68</v>
      </c>
      <c r="K147" s="215">
        <f>K146</f>
        <v>46381</v>
      </c>
      <c r="L147" s="215">
        <f>WORKDAY(IF(K148="",K147,K148),INDEX(L$12:L$15,MATCH($I146,$I$12:$I$15,0)))</f>
        <v>46386</v>
      </c>
      <c r="M147" s="215">
        <f>WORKDAY(IF(L148="",L147,L148),INDEX(M$12:M$15,MATCH($I146,$I$12:$I$15,0)))</f>
        <v>46400</v>
      </c>
      <c r="N147" s="215">
        <f>WORKDAY(IF(M148="",M147,M148),INDEX(N$12:N$15,MATCH($I146,$I$12:$I$15,0)))</f>
        <v>46401</v>
      </c>
      <c r="O147" s="215">
        <f>WORKDAY(IF(N148="",N147,N148),INDEX(O$12:O$15,MATCH($I146,$I$12:$I$15,0)))</f>
        <v>46415</v>
      </c>
      <c r="P147" s="216"/>
      <c r="Q147" s="217"/>
      <c r="R147" s="215">
        <f>WORKDAY(IF(O148="",O147,O148),INDEX(R$12:R$15,MATCH($I146,$I$12:$I$15,0)))</f>
        <v>46429</v>
      </c>
      <c r="S147" s="215">
        <f>WORKDAY(IF(R148="",R147,R148),INDEX(S$12:S$15,MATCH($I146,$I$12:$I$15,0)))</f>
        <v>46450</v>
      </c>
      <c r="T147" s="215">
        <f>WORKDAY(IF(S148="",S147,S148),INDEX(T$12:T$15,MATCH($I146,$I$12:$I$15,0)))</f>
        <v>46464</v>
      </c>
      <c r="U147" s="215">
        <f>WORKDAY(IF(T148="",T147,T148),INDEX(U$12:U$15,MATCH($I146,$I$12:$I$15,0)))</f>
        <v>46478</v>
      </c>
      <c r="V147" s="215">
        <f>WORKDAY(IF(U148="",U147,U148),INDEX(V$12:V$15,MATCH($I146,$I$12:$I$15,0)))</f>
        <v>46482</v>
      </c>
      <c r="W147" s="218"/>
      <c r="X147" s="215">
        <f>U147+Y146</f>
        <v>46538</v>
      </c>
      <c r="Y147" s="448"/>
      <c r="Z147" s="443"/>
      <c r="AA147" s="443"/>
      <c r="AB147" s="442"/>
      <c r="AC147" s="220">
        <f>IF(ISERROR(LOOKUP(AC$16,$L147:$X147,#REF!)),0,(LOOKUP(AC$16,$L147:$X147,#REF!)))</f>
        <v>0</v>
      </c>
      <c r="AD147" s="221">
        <f>IF(ISERROR(LOOKUP(AD$16,$L147:$X147,#REF!)),0,(LOOKUP(AD$16,$L147:$X147,#REF!)))</f>
        <v>0</v>
      </c>
      <c r="AE147" s="221">
        <f>IF(ISERROR(LOOKUP(AE$16,$L147:$X147,#REF!)),0,(LOOKUP(AE$16,$L147:$X147,#REF!)))</f>
        <v>0</v>
      </c>
      <c r="AF147" s="221">
        <f>IF(ISERROR(LOOKUP(AF$16,$L147:$X147,#REF!)),0,(LOOKUP(AF$16,$L147:$X147,#REF!)))</f>
        <v>0</v>
      </c>
      <c r="AG147" s="221">
        <f>IF(ISERROR(LOOKUP(AG$16,$L147:$X147,#REF!)),0,(LOOKUP(AG$16,$L147:$X147,#REF!)))</f>
        <v>0</v>
      </c>
      <c r="AH147" s="221">
        <f>IF(ISERROR(LOOKUP(AH$16,$L147:$X147,#REF!)),0,(LOOKUP(AH$16,$L147:$X147,#REF!)))</f>
        <v>0</v>
      </c>
      <c r="AI147" s="221">
        <f>IF(ISERROR(LOOKUP(AI$16,$L147:$X147,#REF!)),0,(LOOKUP(AI$16,$L147:$X147,#REF!)))</f>
        <v>0</v>
      </c>
      <c r="AJ147" s="221">
        <f>IF(ISERROR(LOOKUP(AJ$16,$L147:$X147,#REF!)),0,(LOOKUP(AJ$16,$L147:$X147,#REF!)))</f>
        <v>0</v>
      </c>
      <c r="AK147" s="221">
        <f>IF(ISERROR(LOOKUP(AK$16,$L147:$X147,#REF!)),0,(LOOKUP(AK$16,$L147:$X147,#REF!)))</f>
        <v>0</v>
      </c>
      <c r="AL147" s="221">
        <f>IF(ISERROR(LOOKUP(AL$16,$L147:$X147,#REF!)),0,(LOOKUP(AL$16,$L147:$X147,#REF!)))</f>
        <v>0</v>
      </c>
      <c r="AM147" s="221">
        <f ca="1">IF(ISERROR(LOOKUP(AM$16,$L147:$X147,#REF!)),0,(LOOKUP(AM$16,$L147:$X147,#REF!)))</f>
        <v>0</v>
      </c>
      <c r="AP147" s="215" t="e">
        <f>WORKDAY(IF(T148="",T147,T148),INDEX(AP$12:AP$15,MATCH($I146,$I$12:$I$15,0)),$AW$17:$AW$148)</f>
        <v>#REF!</v>
      </c>
      <c r="AQ147" s="215" t="e">
        <f>WORKDAY(IF(AP148="",AP147,AP148),INDEX(AQ$12:AQ$15,MATCH($I146,$I$12:$I$15,0)),$AW$17:$AW$148)</f>
        <v>#REF!</v>
      </c>
      <c r="AR147" s="215" t="e">
        <f>WORKDAY(IF(AQ148="",AQ147,AQ148),INDEX(AR$12:AR$15,MATCH($I146,$I$12:$I$15,0)),$AW$17:$AW$148)</f>
        <v>#REF!</v>
      </c>
      <c r="AS147" s="440"/>
      <c r="AW147" s="223" t="e">
        <v>#REF!</v>
      </c>
    </row>
    <row r="148" spans="1:49" s="166" customFormat="1" ht="18" customHeight="1">
      <c r="A148" s="482"/>
      <c r="B148" s="481"/>
      <c r="C148" s="458" t="str">
        <f>C146</f>
        <v>RFQ-044</v>
      </c>
      <c r="D148" s="458" t="str">
        <f>D146</f>
        <v>Flow Switch</v>
      </c>
      <c r="E148" s="225"/>
      <c r="F148" s="468" t="str">
        <f>F146</f>
        <v>Instrument</v>
      </c>
      <c r="G148" s="458" t="str">
        <f>G146</f>
        <v>N</v>
      </c>
      <c r="H148" s="451"/>
      <c r="I148" s="212" t="str">
        <f>I146</f>
        <v>LC</v>
      </c>
      <c r="J148" s="249" t="s">
        <v>70</v>
      </c>
      <c r="K148" s="212"/>
      <c r="L148" s="212"/>
      <c r="M148" s="212"/>
      <c r="N148" s="212"/>
      <c r="O148" s="212"/>
      <c r="P148" s="226"/>
      <c r="Q148" s="227"/>
      <c r="R148" s="212"/>
      <c r="S148" s="212"/>
      <c r="T148" s="212"/>
      <c r="U148" s="212"/>
      <c r="V148" s="212"/>
      <c r="W148" s="228"/>
      <c r="X148" s="212"/>
      <c r="Y148" s="448"/>
      <c r="Z148" s="443"/>
      <c r="AA148" s="443"/>
      <c r="AB148" s="442"/>
      <c r="AC148" s="229">
        <f>IF(ISERROR(LOOKUP(AC$16,$L148:$X148,#REF!)),0,(LOOKUP(AC$16,$L148:$X148,#REF!)))</f>
        <v>0</v>
      </c>
      <c r="AD148" s="230">
        <f>IF(ISERROR(LOOKUP(AD$16,$L148:$X148,#REF!)),0,(LOOKUP(AD$16,$L148:$X148,#REF!)))</f>
        <v>0</v>
      </c>
      <c r="AE148" s="230">
        <f>IF(ISERROR(LOOKUP(AE$16,$L148:$X148,#REF!)),0,(LOOKUP(AE$16,$L148:$X148,#REF!)))</f>
        <v>0</v>
      </c>
      <c r="AF148" s="230">
        <f>IF(ISERROR(LOOKUP(AF$16,$L148:$X148,#REF!)),0,(LOOKUP(AF$16,$L148:$X148,#REF!)))</f>
        <v>0</v>
      </c>
      <c r="AG148" s="230">
        <f>IF(ISERROR(LOOKUP(AG$16,$L148:$X148,#REF!)),0,(LOOKUP(AG$16,$L148:$X148,#REF!)))</f>
        <v>0</v>
      </c>
      <c r="AH148" s="230">
        <f>IF(ISERROR(LOOKUP(AH$16,$L148:$X148,#REF!)),0,(LOOKUP(AH$16,$L148:$X148,#REF!)))</f>
        <v>0</v>
      </c>
      <c r="AI148" s="230">
        <f>IF(ISERROR(LOOKUP(AI$16,$L148:$X148,#REF!)),0,(LOOKUP(AI$16,$L148:$X148,#REF!)))</f>
        <v>0</v>
      </c>
      <c r="AJ148" s="230">
        <f>IF(ISERROR(LOOKUP(AJ$16,$L148:$X148,#REF!)),0,(LOOKUP(AJ$16,$L148:$X148,#REF!)))</f>
        <v>0</v>
      </c>
      <c r="AK148" s="230">
        <f>IF(ISERROR(LOOKUP(AK$16,$L148:$X148,#REF!)),0,(LOOKUP(AK$16,$L148:$X148,#REF!)))</f>
        <v>0</v>
      </c>
      <c r="AL148" s="230">
        <f>IF(ISERROR(LOOKUP(AL$16,$L148:$X148,#REF!)),0,(LOOKUP(AL$16,$L148:$X148,#REF!)))</f>
        <v>0</v>
      </c>
      <c r="AM148" s="230">
        <f ca="1">IF(ISERROR(LOOKUP(AM$16,$L148:$X148,#REF!)),0,(LOOKUP(AM$16,$L148:$X148,#REF!)))</f>
        <v>0</v>
      </c>
      <c r="AP148" s="212"/>
      <c r="AQ148" s="212"/>
      <c r="AR148" s="212"/>
      <c r="AS148" s="440"/>
      <c r="AW148" s="223" t="e">
        <v>#REF!</v>
      </c>
    </row>
    <row r="149" spans="1:49" s="166" customFormat="1" ht="18" customHeight="1">
      <c r="A149" s="482">
        <f>A146+1</f>
        <v>45</v>
      </c>
      <c r="B149" s="479"/>
      <c r="C149" s="458" t="s">
        <v>4791</v>
      </c>
      <c r="D149" s="458" t="s">
        <v>198</v>
      </c>
      <c r="E149" s="213"/>
      <c r="F149" s="466" t="s">
        <v>121</v>
      </c>
      <c r="G149" s="458" t="s">
        <v>75</v>
      </c>
      <c r="H149" s="449"/>
      <c r="I149" s="212" t="s">
        <v>7</v>
      </c>
      <c r="J149" s="249" t="s">
        <v>4732</v>
      </c>
      <c r="K149" s="215">
        <f>WORKDAY(L149,-INDEX(L$12:L$15,MATCH($I149,$I$12:$I$15,0)))</f>
        <v>46209</v>
      </c>
      <c r="L149" s="215">
        <f>WORKDAY(M149,-INDEX(M$12:M$15,MATCH($I149,$I$12:$I$15,0)))</f>
        <v>46210</v>
      </c>
      <c r="M149" s="215">
        <f>WORKDAY(N149,-INDEX(N$12:N$15,MATCH($I149,$I$12:$I$15,0)))</f>
        <v>46217</v>
      </c>
      <c r="N149" s="215">
        <f>WORKDAY(O149,-INDEX(O$12:O$15,MATCH($I149,$I$12:$I$15,0)))</f>
        <v>46218</v>
      </c>
      <c r="O149" s="215">
        <f>WORKDAY(R149,-INDEX(R$12:R$15,MATCH($I149,$I$12:$I$15,0)))</f>
        <v>46225</v>
      </c>
      <c r="P149" s="216">
        <f>U149-L149</f>
        <v>76</v>
      </c>
      <c r="Q149" s="217"/>
      <c r="R149" s="215">
        <f>WORKDAY(S149,-INDEX(S$12:S$15,MATCH($I149,$I$12:$I$15,0)))</f>
        <v>46239</v>
      </c>
      <c r="S149" s="215">
        <f>WORKDAY(T149,-INDEX(T$12:T$15,MATCH($I149,$I$12:$I$15,0)))</f>
        <v>46267</v>
      </c>
      <c r="T149" s="215">
        <f>WORKDAY(U149,-INDEX(U$12:U$15,MATCH($I149,$I$12:$I$15,0)))</f>
        <v>46272</v>
      </c>
      <c r="U149" s="215">
        <f>X149-Y149</f>
        <v>46286</v>
      </c>
      <c r="V149" s="215">
        <f>WORKDAY(U149,INDEX(V$12:V$15,MATCH($I149,$I$12:$I$15,0)))</f>
        <v>46288</v>
      </c>
      <c r="W149" s="218">
        <f>Y149/7</f>
        <v>36</v>
      </c>
      <c r="X149" s="215">
        <f>Z149</f>
        <v>46538</v>
      </c>
      <c r="Y149" s="448">
        <f>36*7</f>
        <v>252</v>
      </c>
      <c r="Z149" s="443">
        <v>46538</v>
      </c>
      <c r="AA149" s="443">
        <v>46538</v>
      </c>
      <c r="AB149" s="442">
        <f>Z149-X150</f>
        <v>0</v>
      </c>
      <c r="AC149" s="220">
        <f>IF(ISERROR(LOOKUP(AC$16,$L149:$X149,#REF!)),0,(LOOKUP(AC$16,$L149:$X149,#REF!)))</f>
        <v>0</v>
      </c>
      <c r="AD149" s="221">
        <f>IF(ISERROR(LOOKUP(AD$16,$L149:$X149,#REF!)),0,(LOOKUP(AD$16,$L149:$X149,#REF!)))</f>
        <v>0</v>
      </c>
      <c r="AE149" s="221">
        <f>IF(ISERROR(LOOKUP(AE$16,$L149:$X149,#REF!)),0,(LOOKUP(AE$16,$L149:$X149,#REF!)))</f>
        <v>0</v>
      </c>
      <c r="AF149" s="221">
        <f>IF(ISERROR(LOOKUP(AF$16,$L149:$X149,#REF!)),0,(LOOKUP(AF$16,$L149:$X149,#REF!)))</f>
        <v>0</v>
      </c>
      <c r="AG149" s="221">
        <f>IF(ISERROR(LOOKUP(AG$16,$L149:$X149,#REF!)),0,(LOOKUP(AG$16,$L149:$X149,#REF!)))</f>
        <v>0</v>
      </c>
      <c r="AH149" s="221">
        <f>IF(ISERROR(LOOKUP(AH$16,$L149:$X149,#REF!)),0,(LOOKUP(AH$16,$L149:$X149,#REF!)))</f>
        <v>0</v>
      </c>
      <c r="AI149" s="221">
        <f>IF(ISERROR(LOOKUP(AI$16,$L149:$X149,#REF!)),0,(LOOKUP(AI$16,$L149:$X149,#REF!)))</f>
        <v>0</v>
      </c>
      <c r="AJ149" s="221">
        <f>IF(ISERROR(LOOKUP(AJ$16,$L149:$X149,#REF!)),0,(LOOKUP(AJ$16,$L149:$X149,#REF!)))</f>
        <v>0</v>
      </c>
      <c r="AK149" s="221">
        <f>IF(ISERROR(LOOKUP(AK$16,$L149:$X149,#REF!)),0,(LOOKUP(AK$16,$L149:$X149,#REF!)))</f>
        <v>0</v>
      </c>
      <c r="AL149" s="221">
        <f>IF(ISERROR(LOOKUP(AL$16,$L149:$X149,#REF!)),0,(LOOKUP(AL$16,$L149:$X149,#REF!)))</f>
        <v>0</v>
      </c>
      <c r="AM149" s="221">
        <f ca="1">IF(ISERROR(LOOKUP(AM$16,$L149:$X149,#REF!)),0,(LOOKUP(AM$16,$L149:$X149,#REF!)))</f>
        <v>0</v>
      </c>
      <c r="AP149" s="215" t="e">
        <f>WORKDAY(AQ149,-INDEX(AQ$12:AQ$15,MATCH($I149,$I$12:$I$15,0)),$AW$17:$AW$148)</f>
        <v>#REF!</v>
      </c>
      <c r="AQ149" s="215" t="e">
        <f>WORKDAY(U149,-INDEX(U$12:U$15,MATCH($I149,$I$12:$I$15,0)),$AW$17:$AW$148)</f>
        <v>#REF!</v>
      </c>
      <c r="AR149" s="215" t="e">
        <f>WORKDAY(U149,-INDEX(U$12:U$15,MATCH($I149,$I$12:$I$15,0)),$AW$17:$AW$148)</f>
        <v>#REF!</v>
      </c>
      <c r="AS149" s="440">
        <v>7</v>
      </c>
      <c r="AW149" s="223" t="e">
        <v>#REF!</v>
      </c>
    </row>
    <row r="150" spans="1:49" s="166" customFormat="1" ht="18" customHeight="1">
      <c r="A150" s="482"/>
      <c r="B150" s="480"/>
      <c r="C150" s="458" t="str">
        <f>C149</f>
        <v>RFQ-045</v>
      </c>
      <c r="D150" s="458" t="str">
        <f>D149</f>
        <v>SCADA System</v>
      </c>
      <c r="E150" s="224"/>
      <c r="F150" s="467" t="str">
        <f>F149</f>
        <v>Electrical</v>
      </c>
      <c r="G150" s="458" t="str">
        <f>G149</f>
        <v>N</v>
      </c>
      <c r="H150" s="450"/>
      <c r="I150" s="212" t="str">
        <f>I149</f>
        <v>LB</v>
      </c>
      <c r="J150" s="249" t="s">
        <v>68</v>
      </c>
      <c r="K150" s="215">
        <f>K149</f>
        <v>46209</v>
      </c>
      <c r="L150" s="215">
        <f>WORKDAY(IF(K151="",K150,K151),INDEX(L$12:L$15,MATCH($I149,$I$12:$I$15,0)))</f>
        <v>46210</v>
      </c>
      <c r="M150" s="215">
        <f>WORKDAY(IF(L151="",L150,L151),INDEX(M$12:M$15,MATCH($I149,$I$12:$I$15,0)))</f>
        <v>46217</v>
      </c>
      <c r="N150" s="215">
        <f>WORKDAY(IF(M151="",M150,M151),INDEX(N$12:N$15,MATCH($I149,$I$12:$I$15,0)))</f>
        <v>46218</v>
      </c>
      <c r="O150" s="215">
        <f>WORKDAY(IF(N151="",N150,N151),INDEX(O$12:O$15,MATCH($I149,$I$12:$I$15,0)))</f>
        <v>46225</v>
      </c>
      <c r="P150" s="216"/>
      <c r="Q150" s="217"/>
      <c r="R150" s="215">
        <f>WORKDAY(IF(O151="",O150,O151),INDEX(R$12:R$15,MATCH($I149,$I$12:$I$15,0)))</f>
        <v>46239</v>
      </c>
      <c r="S150" s="215">
        <f>WORKDAY(IF(R151="",R150,R151),INDEX(S$12:S$15,MATCH($I149,$I$12:$I$15,0)))</f>
        <v>46267</v>
      </c>
      <c r="T150" s="215">
        <f>WORKDAY(IF(S151="",S150,S151),INDEX(T$12:T$15,MATCH($I149,$I$12:$I$15,0)))</f>
        <v>46272</v>
      </c>
      <c r="U150" s="215">
        <f>WORKDAY(IF(T151="",T150,T151),INDEX(U$12:U$15,MATCH($I149,$I$12:$I$15,0)))</f>
        <v>46286</v>
      </c>
      <c r="V150" s="215">
        <f>WORKDAY(IF(U151="",U150,U151),INDEX(V$12:V$15,MATCH($I149,$I$12:$I$15,0)))</f>
        <v>46288</v>
      </c>
      <c r="W150" s="218"/>
      <c r="X150" s="215">
        <f>U150+Y149</f>
        <v>46538</v>
      </c>
      <c r="Y150" s="448"/>
      <c r="Z150" s="443"/>
      <c r="AA150" s="443"/>
      <c r="AB150" s="442"/>
      <c r="AC150" s="220">
        <f>IF(ISERROR(LOOKUP(AC$16,$L150:$X150,#REF!)),0,(LOOKUP(AC$16,$L150:$X150,#REF!)))</f>
        <v>0</v>
      </c>
      <c r="AD150" s="221">
        <f>IF(ISERROR(LOOKUP(AD$16,$L150:$X150,#REF!)),0,(LOOKUP(AD$16,$L150:$X150,#REF!)))</f>
        <v>0</v>
      </c>
      <c r="AE150" s="221">
        <f>IF(ISERROR(LOOKUP(AE$16,$L150:$X150,#REF!)),0,(LOOKUP(AE$16,$L150:$X150,#REF!)))</f>
        <v>0</v>
      </c>
      <c r="AF150" s="221">
        <f>IF(ISERROR(LOOKUP(AF$16,$L150:$X150,#REF!)),0,(LOOKUP(AF$16,$L150:$X150,#REF!)))</f>
        <v>0</v>
      </c>
      <c r="AG150" s="221">
        <f>IF(ISERROR(LOOKUP(AG$16,$L150:$X150,#REF!)),0,(LOOKUP(AG$16,$L150:$X150,#REF!)))</f>
        <v>0</v>
      </c>
      <c r="AH150" s="221">
        <f>IF(ISERROR(LOOKUP(AH$16,$L150:$X150,#REF!)),0,(LOOKUP(AH$16,$L150:$X150,#REF!)))</f>
        <v>0</v>
      </c>
      <c r="AI150" s="221">
        <f>IF(ISERROR(LOOKUP(AI$16,$L150:$X150,#REF!)),0,(LOOKUP(AI$16,$L150:$X150,#REF!)))</f>
        <v>0</v>
      </c>
      <c r="AJ150" s="221">
        <f>IF(ISERROR(LOOKUP(AJ$16,$L150:$X150,#REF!)),0,(LOOKUP(AJ$16,$L150:$X150,#REF!)))</f>
        <v>0</v>
      </c>
      <c r="AK150" s="221">
        <f>IF(ISERROR(LOOKUP(AK$16,$L150:$X150,#REF!)),0,(LOOKUP(AK$16,$L150:$X150,#REF!)))</f>
        <v>0</v>
      </c>
      <c r="AL150" s="221">
        <f>IF(ISERROR(LOOKUP(AL$16,$L150:$X150,#REF!)),0,(LOOKUP(AL$16,$L150:$X150,#REF!)))</f>
        <v>0</v>
      </c>
      <c r="AM150" s="221">
        <f ca="1">IF(ISERROR(LOOKUP(AM$16,$L150:$X150,#REF!)),0,(LOOKUP(AM$16,$L150:$X150,#REF!)))</f>
        <v>0</v>
      </c>
      <c r="AP150" s="215" t="e">
        <f>WORKDAY(IF(T151="",T150,T151),INDEX(AP$12:AP$15,MATCH($I149,$I$12:$I$15,0)),$AW$17:$AW$148)</f>
        <v>#REF!</v>
      </c>
      <c r="AQ150" s="215" t="e">
        <f>WORKDAY(IF(AP151="",AP150,AP151),INDEX(AQ$12:AQ$15,MATCH($I149,$I$12:$I$15,0)),$AW$17:$AW$148)</f>
        <v>#REF!</v>
      </c>
      <c r="AR150" s="215" t="e">
        <f>WORKDAY(IF(AQ151="",AQ150,AQ151),INDEX(AR$12:AR$15,MATCH($I149,$I$12:$I$15,0)),$AW$17:$AW$148)</f>
        <v>#REF!</v>
      </c>
      <c r="AS150" s="440"/>
      <c r="AW150" s="223" t="e">
        <v>#REF!</v>
      </c>
    </row>
    <row r="151" spans="1:49" s="166" customFormat="1" ht="18" customHeight="1">
      <c r="A151" s="482"/>
      <c r="B151" s="481"/>
      <c r="C151" s="458" t="str">
        <f>C149</f>
        <v>RFQ-045</v>
      </c>
      <c r="D151" s="458" t="str">
        <f>D149</f>
        <v>SCADA System</v>
      </c>
      <c r="E151" s="225"/>
      <c r="F151" s="468" t="str">
        <f>F149</f>
        <v>Electrical</v>
      </c>
      <c r="G151" s="458" t="str">
        <f>G149</f>
        <v>N</v>
      </c>
      <c r="H151" s="451"/>
      <c r="I151" s="212" t="str">
        <f>I149</f>
        <v>LB</v>
      </c>
      <c r="J151" s="249" t="s">
        <v>70</v>
      </c>
      <c r="K151" s="212"/>
      <c r="L151" s="212"/>
      <c r="M151" s="212"/>
      <c r="N151" s="212"/>
      <c r="O151" s="212"/>
      <c r="P151" s="226"/>
      <c r="Q151" s="227"/>
      <c r="R151" s="212"/>
      <c r="S151" s="212"/>
      <c r="T151" s="212"/>
      <c r="U151" s="212"/>
      <c r="V151" s="212"/>
      <c r="W151" s="228"/>
      <c r="X151" s="212"/>
      <c r="Y151" s="448"/>
      <c r="Z151" s="443"/>
      <c r="AA151" s="443"/>
      <c r="AB151" s="442"/>
      <c r="AC151" s="229">
        <f>IF(ISERROR(LOOKUP(AC$16,$L151:$X151,#REF!)),0,(LOOKUP(AC$16,$L151:$X151,#REF!)))</f>
        <v>0</v>
      </c>
      <c r="AD151" s="230">
        <f>IF(ISERROR(LOOKUP(AD$16,$L151:$X151,#REF!)),0,(LOOKUP(AD$16,$L151:$X151,#REF!)))</f>
        <v>0</v>
      </c>
      <c r="AE151" s="230">
        <f>IF(ISERROR(LOOKUP(AE$16,$L151:$X151,#REF!)),0,(LOOKUP(AE$16,$L151:$X151,#REF!)))</f>
        <v>0</v>
      </c>
      <c r="AF151" s="230">
        <f>IF(ISERROR(LOOKUP(AF$16,$L151:$X151,#REF!)),0,(LOOKUP(AF$16,$L151:$X151,#REF!)))</f>
        <v>0</v>
      </c>
      <c r="AG151" s="230">
        <f>IF(ISERROR(LOOKUP(AG$16,$L151:$X151,#REF!)),0,(LOOKUP(AG$16,$L151:$X151,#REF!)))</f>
        <v>0</v>
      </c>
      <c r="AH151" s="230">
        <f>IF(ISERROR(LOOKUP(AH$16,$L151:$X151,#REF!)),0,(LOOKUP(AH$16,$L151:$X151,#REF!)))</f>
        <v>0</v>
      </c>
      <c r="AI151" s="230">
        <f>IF(ISERROR(LOOKUP(AI$16,$L151:$X151,#REF!)),0,(LOOKUP(AI$16,$L151:$X151,#REF!)))</f>
        <v>0</v>
      </c>
      <c r="AJ151" s="230">
        <f>IF(ISERROR(LOOKUP(AJ$16,$L151:$X151,#REF!)),0,(LOOKUP(AJ$16,$L151:$X151,#REF!)))</f>
        <v>0</v>
      </c>
      <c r="AK151" s="230">
        <f>IF(ISERROR(LOOKUP(AK$16,$L151:$X151,#REF!)),0,(LOOKUP(AK$16,$L151:$X151,#REF!)))</f>
        <v>0</v>
      </c>
      <c r="AL151" s="230">
        <f>IF(ISERROR(LOOKUP(AL$16,$L151:$X151,#REF!)),0,(LOOKUP(AL$16,$L151:$X151,#REF!)))</f>
        <v>0</v>
      </c>
      <c r="AM151" s="230">
        <f ca="1">IF(ISERROR(LOOKUP(AM$16,$L151:$X151,#REF!)),0,(LOOKUP(AM$16,$L151:$X151,#REF!)))</f>
        <v>0</v>
      </c>
      <c r="AP151" s="212"/>
      <c r="AQ151" s="212"/>
      <c r="AR151" s="212"/>
      <c r="AS151" s="440"/>
      <c r="AW151" s="223" t="e">
        <v>#REF!</v>
      </c>
    </row>
    <row r="152" spans="1:49" s="166" customFormat="1" ht="18" customHeight="1">
      <c r="A152" s="482">
        <f>A149+1</f>
        <v>46</v>
      </c>
      <c r="B152" s="479"/>
      <c r="C152" s="458" t="s">
        <v>4792</v>
      </c>
      <c r="D152" s="458" t="s">
        <v>4793</v>
      </c>
      <c r="E152" s="213"/>
      <c r="F152" s="466" t="s">
        <v>202</v>
      </c>
      <c r="G152" s="458" t="s">
        <v>67</v>
      </c>
      <c r="H152" s="449"/>
      <c r="I152" s="212" t="s">
        <v>8</v>
      </c>
      <c r="J152" s="249" t="s">
        <v>4732</v>
      </c>
      <c r="K152" s="215">
        <f>WORKDAY(L152,-INDEX(L$12:L$15,MATCH($I152,$I$12:$I$15,0)))</f>
        <v>46147</v>
      </c>
      <c r="L152" s="215">
        <f>WORKDAY(M152,-INDEX(M$12:M$15,MATCH($I152,$I$12:$I$15,0)))</f>
        <v>46150</v>
      </c>
      <c r="M152" s="215">
        <f>WORKDAY(N152,-INDEX(N$12:N$15,MATCH($I152,$I$12:$I$15,0)))</f>
        <v>46164</v>
      </c>
      <c r="N152" s="215">
        <f>WORKDAY(O152,-INDEX(O$12:O$15,MATCH($I152,$I$12:$I$15,0)))</f>
        <v>46167</v>
      </c>
      <c r="O152" s="215">
        <f>WORKDAY(R152,-INDEX(R$12:R$15,MATCH($I152,$I$12:$I$15,0)))</f>
        <v>46181</v>
      </c>
      <c r="P152" s="216">
        <f>U152-L152</f>
        <v>94</v>
      </c>
      <c r="Q152" s="217"/>
      <c r="R152" s="215">
        <f>WORKDAY(S152,-INDEX(S$12:S$15,MATCH($I152,$I$12:$I$15,0)))</f>
        <v>46195</v>
      </c>
      <c r="S152" s="215">
        <f>WORKDAY(T152,-INDEX(T$12:T$15,MATCH($I152,$I$12:$I$15,0)))</f>
        <v>46216</v>
      </c>
      <c r="T152" s="215">
        <f>WORKDAY(U152,-INDEX(U$12:U$15,MATCH($I152,$I$12:$I$15,0)))</f>
        <v>46230</v>
      </c>
      <c r="U152" s="215">
        <f>X152-Y152</f>
        <v>46244</v>
      </c>
      <c r="V152" s="215">
        <f>WORKDAY(U152,INDEX(V$12:V$15,MATCH($I152,$I$12:$I$15,0)))</f>
        <v>46246</v>
      </c>
      <c r="W152" s="218">
        <f>Y152/7</f>
        <v>42</v>
      </c>
      <c r="X152" s="215">
        <f>Z152</f>
        <v>46538</v>
      </c>
      <c r="Y152" s="448">
        <v>294</v>
      </c>
      <c r="Z152" s="443">
        <v>46538</v>
      </c>
      <c r="AA152" s="443">
        <v>46538</v>
      </c>
      <c r="AB152" s="442">
        <f>Z152-X153</f>
        <v>0</v>
      </c>
      <c r="AC152" s="220">
        <f>IF(ISERROR(LOOKUP(AC$16,$L152:$X152,#REF!)),0,(LOOKUP(AC$16,$L152:$X152,#REF!)))</f>
        <v>0</v>
      </c>
      <c r="AD152" s="221">
        <f>IF(ISERROR(LOOKUP(AD$16,$L152:$X152,#REF!)),0,(LOOKUP(AD$16,$L152:$X152,#REF!)))</f>
        <v>0</v>
      </c>
      <c r="AE152" s="221">
        <f>IF(ISERROR(LOOKUP(AE$16,$L152:$X152,#REF!)),0,(LOOKUP(AE$16,$L152:$X152,#REF!)))</f>
        <v>0</v>
      </c>
      <c r="AF152" s="221">
        <f>IF(ISERROR(LOOKUP(AF$16,$L152:$X152,#REF!)),0,(LOOKUP(AF$16,$L152:$X152,#REF!)))</f>
        <v>0</v>
      </c>
      <c r="AG152" s="221">
        <f>IF(ISERROR(LOOKUP(AG$16,$L152:$X152,#REF!)),0,(LOOKUP(AG$16,$L152:$X152,#REF!)))</f>
        <v>0</v>
      </c>
      <c r="AH152" s="221">
        <f>IF(ISERROR(LOOKUP(AH$16,$L152:$X152,#REF!)),0,(LOOKUP(AH$16,$L152:$X152,#REF!)))</f>
        <v>0</v>
      </c>
      <c r="AI152" s="221">
        <f>IF(ISERROR(LOOKUP(AI$16,$L152:$X152,#REF!)),0,(LOOKUP(AI$16,$L152:$X152,#REF!)))</f>
        <v>0</v>
      </c>
      <c r="AJ152" s="221">
        <f>IF(ISERROR(LOOKUP(AJ$16,$L152:$X152,#REF!)),0,(LOOKUP(AJ$16,$L152:$X152,#REF!)))</f>
        <v>0</v>
      </c>
      <c r="AK152" s="221">
        <f>IF(ISERROR(LOOKUP(AK$16,$L152:$X152,#REF!)),0,(LOOKUP(AK$16,$L152:$X152,#REF!)))</f>
        <v>0</v>
      </c>
      <c r="AL152" s="221">
        <f>IF(ISERROR(LOOKUP(AL$16,$L152:$X152,#REF!)),0,(LOOKUP(AL$16,$L152:$X152,#REF!)))</f>
        <v>0</v>
      </c>
      <c r="AM152" s="221">
        <f ca="1">IF(ISERROR(LOOKUP(AM$16,$L152:$X152,#REF!)),0,(LOOKUP(AM$16,$L152:$X152,#REF!)))</f>
        <v>0</v>
      </c>
      <c r="AP152" s="215" t="e">
        <f>WORKDAY(AQ152,-INDEX(AQ$12:AQ$15,MATCH($I152,$I$12:$I$15,0)),$AW$17:$AW$148)</f>
        <v>#REF!</v>
      </c>
      <c r="AQ152" s="215" t="e">
        <f>WORKDAY(U152,-INDEX(U$12:U$15,MATCH($I152,$I$12:$I$15,0)),$AW$17:$AW$148)</f>
        <v>#REF!</v>
      </c>
      <c r="AR152" s="215" t="e">
        <f>WORKDAY(U152,-INDEX(U$12:U$15,MATCH($I152,$I$12:$I$15,0)),$AW$17:$AW$148)</f>
        <v>#REF!</v>
      </c>
      <c r="AS152" s="440">
        <v>7</v>
      </c>
      <c r="AW152" s="223" t="e">
        <v>#REF!</v>
      </c>
    </row>
    <row r="153" spans="1:49" s="166" customFormat="1" ht="18" customHeight="1">
      <c r="A153" s="482"/>
      <c r="B153" s="480"/>
      <c r="C153" s="458" t="str">
        <f>C152</f>
        <v>RFQ-046</v>
      </c>
      <c r="D153" s="458" t="str">
        <f>D152</f>
        <v>Telecommunication System (WiMAX, Telephone, Marine Radio)</v>
      </c>
      <c r="E153" s="224"/>
      <c r="F153" s="467" t="str">
        <f>F152</f>
        <v>Telecommunication</v>
      </c>
      <c r="G153" s="458" t="str">
        <f>G152</f>
        <v>Y</v>
      </c>
      <c r="H153" s="450"/>
      <c r="I153" s="212" t="str">
        <f>I152</f>
        <v>LC</v>
      </c>
      <c r="J153" s="249" t="s">
        <v>68</v>
      </c>
      <c r="K153" s="215">
        <f>K152</f>
        <v>46147</v>
      </c>
      <c r="L153" s="215">
        <f>WORKDAY(IF(K154="",K153,K154),INDEX(L$12:L$15,MATCH($I152,$I$12:$I$15,0)))</f>
        <v>46150</v>
      </c>
      <c r="M153" s="215">
        <f>WORKDAY(IF(L154="",L153,L154),INDEX(M$12:M$15,MATCH($I152,$I$12:$I$15,0)))</f>
        <v>46164</v>
      </c>
      <c r="N153" s="215">
        <f>WORKDAY(IF(M154="",M153,M154),INDEX(N$12:N$15,MATCH($I152,$I$12:$I$15,0)))</f>
        <v>46167</v>
      </c>
      <c r="O153" s="215">
        <f>WORKDAY(IF(N154="",N153,N154),INDEX(O$12:O$15,MATCH($I152,$I$12:$I$15,0)))</f>
        <v>46181</v>
      </c>
      <c r="P153" s="216"/>
      <c r="Q153" s="217"/>
      <c r="R153" s="215">
        <f>WORKDAY(IF(O154="",O153,O154),INDEX(R$12:R$15,MATCH($I152,$I$12:$I$15,0)))</f>
        <v>46195</v>
      </c>
      <c r="S153" s="215">
        <f>WORKDAY(IF(R154="",R153,R154),INDEX(S$12:S$15,MATCH($I152,$I$12:$I$15,0)))</f>
        <v>46216</v>
      </c>
      <c r="T153" s="215">
        <f>WORKDAY(IF(S154="",S153,S154),INDEX(T$12:T$15,MATCH($I152,$I$12:$I$15,0)))</f>
        <v>46230</v>
      </c>
      <c r="U153" s="215">
        <f>WORKDAY(IF(T154="",T153,T154),INDEX(U$12:U$15,MATCH($I152,$I$12:$I$15,0)))</f>
        <v>46244</v>
      </c>
      <c r="V153" s="215">
        <f>WORKDAY(IF(U154="",U153,U154),INDEX(V$12:V$15,MATCH($I152,$I$12:$I$15,0)))</f>
        <v>46246</v>
      </c>
      <c r="W153" s="218"/>
      <c r="X153" s="215">
        <f>U153+Y152</f>
        <v>46538</v>
      </c>
      <c r="Y153" s="448"/>
      <c r="Z153" s="443"/>
      <c r="AA153" s="443"/>
      <c r="AB153" s="442"/>
      <c r="AC153" s="220">
        <f>IF(ISERROR(LOOKUP(AC$16,$L153:$X153,#REF!)),0,(LOOKUP(AC$16,$L153:$X153,#REF!)))</f>
        <v>0</v>
      </c>
      <c r="AD153" s="221">
        <f>IF(ISERROR(LOOKUP(AD$16,$L153:$X153,#REF!)),0,(LOOKUP(AD$16,$L153:$X153,#REF!)))</f>
        <v>0</v>
      </c>
      <c r="AE153" s="221">
        <f>IF(ISERROR(LOOKUP(AE$16,$L153:$X153,#REF!)),0,(LOOKUP(AE$16,$L153:$X153,#REF!)))</f>
        <v>0</v>
      </c>
      <c r="AF153" s="221">
        <f>IF(ISERROR(LOOKUP(AF$16,$L153:$X153,#REF!)),0,(LOOKUP(AF$16,$L153:$X153,#REF!)))</f>
        <v>0</v>
      </c>
      <c r="AG153" s="221">
        <f>IF(ISERROR(LOOKUP(AG$16,$L153:$X153,#REF!)),0,(LOOKUP(AG$16,$L153:$X153,#REF!)))</f>
        <v>0</v>
      </c>
      <c r="AH153" s="221">
        <f>IF(ISERROR(LOOKUP(AH$16,$L153:$X153,#REF!)),0,(LOOKUP(AH$16,$L153:$X153,#REF!)))</f>
        <v>0</v>
      </c>
      <c r="AI153" s="221">
        <f>IF(ISERROR(LOOKUP(AI$16,$L153:$X153,#REF!)),0,(LOOKUP(AI$16,$L153:$X153,#REF!)))</f>
        <v>0</v>
      </c>
      <c r="AJ153" s="221">
        <f>IF(ISERROR(LOOKUP(AJ$16,$L153:$X153,#REF!)),0,(LOOKUP(AJ$16,$L153:$X153,#REF!)))</f>
        <v>0</v>
      </c>
      <c r="AK153" s="221">
        <f>IF(ISERROR(LOOKUP(AK$16,$L153:$X153,#REF!)),0,(LOOKUP(AK$16,$L153:$X153,#REF!)))</f>
        <v>0</v>
      </c>
      <c r="AL153" s="221">
        <f>IF(ISERROR(LOOKUP(AL$16,$L153:$X153,#REF!)),0,(LOOKUP(AL$16,$L153:$X153,#REF!)))</f>
        <v>0</v>
      </c>
      <c r="AM153" s="221">
        <f ca="1">IF(ISERROR(LOOKUP(AM$16,$L153:$X153,#REF!)),0,(LOOKUP(AM$16,$L153:$X153,#REF!)))</f>
        <v>0</v>
      </c>
      <c r="AP153" s="215" t="e">
        <f>WORKDAY(IF(T154="",T153,T154),INDEX(AP$12:AP$15,MATCH($I152,$I$12:$I$15,0)),$AW$17:$AW$148)</f>
        <v>#REF!</v>
      </c>
      <c r="AQ153" s="215" t="e">
        <f>WORKDAY(IF(AP154="",AP153,AP154),INDEX(AQ$12:AQ$15,MATCH($I152,$I$12:$I$15,0)),$AW$17:$AW$148)</f>
        <v>#REF!</v>
      </c>
      <c r="AR153" s="215" t="e">
        <f>WORKDAY(IF(AQ154="",AQ153,AQ154),INDEX(AR$12:AR$15,MATCH($I152,$I$12:$I$15,0)),$AW$17:$AW$148)</f>
        <v>#REF!</v>
      </c>
      <c r="AS153" s="440"/>
      <c r="AW153" s="223" t="e">
        <v>#REF!</v>
      </c>
    </row>
    <row r="154" spans="1:49" s="166" customFormat="1" ht="18" customHeight="1">
      <c r="A154" s="482"/>
      <c r="B154" s="481"/>
      <c r="C154" s="458" t="str">
        <f>C152</f>
        <v>RFQ-046</v>
      </c>
      <c r="D154" s="458" t="str">
        <f>D152</f>
        <v>Telecommunication System (WiMAX, Telephone, Marine Radio)</v>
      </c>
      <c r="E154" s="225"/>
      <c r="F154" s="468" t="str">
        <f>F152</f>
        <v>Telecommunication</v>
      </c>
      <c r="G154" s="458" t="str">
        <f>G152</f>
        <v>Y</v>
      </c>
      <c r="H154" s="451"/>
      <c r="I154" s="212" t="str">
        <f>I152</f>
        <v>LC</v>
      </c>
      <c r="J154" s="249" t="s">
        <v>70</v>
      </c>
      <c r="K154" s="212"/>
      <c r="L154" s="212"/>
      <c r="M154" s="212"/>
      <c r="N154" s="212"/>
      <c r="O154" s="212"/>
      <c r="P154" s="226"/>
      <c r="Q154" s="227"/>
      <c r="R154" s="212"/>
      <c r="S154" s="212"/>
      <c r="T154" s="212"/>
      <c r="U154" s="212"/>
      <c r="V154" s="212"/>
      <c r="W154" s="228"/>
      <c r="X154" s="212"/>
      <c r="Y154" s="448"/>
      <c r="Z154" s="443"/>
      <c r="AA154" s="443"/>
      <c r="AB154" s="442"/>
      <c r="AC154" s="229">
        <f>IF(ISERROR(LOOKUP(AC$16,$L154:$X154,#REF!)),0,(LOOKUP(AC$16,$L154:$X154,#REF!)))</f>
        <v>0</v>
      </c>
      <c r="AD154" s="230">
        <f>IF(ISERROR(LOOKUP(AD$16,$L154:$X154,#REF!)),0,(LOOKUP(AD$16,$L154:$X154,#REF!)))</f>
        <v>0</v>
      </c>
      <c r="AE154" s="230">
        <f>IF(ISERROR(LOOKUP(AE$16,$L154:$X154,#REF!)),0,(LOOKUP(AE$16,$L154:$X154,#REF!)))</f>
        <v>0</v>
      </c>
      <c r="AF154" s="230">
        <f>IF(ISERROR(LOOKUP(AF$16,$L154:$X154,#REF!)),0,(LOOKUP(AF$16,$L154:$X154,#REF!)))</f>
        <v>0</v>
      </c>
      <c r="AG154" s="230">
        <f>IF(ISERROR(LOOKUP(AG$16,$L154:$X154,#REF!)),0,(LOOKUP(AG$16,$L154:$X154,#REF!)))</f>
        <v>0</v>
      </c>
      <c r="AH154" s="230">
        <f>IF(ISERROR(LOOKUP(AH$16,$L154:$X154,#REF!)),0,(LOOKUP(AH$16,$L154:$X154,#REF!)))</f>
        <v>0</v>
      </c>
      <c r="AI154" s="230">
        <f>IF(ISERROR(LOOKUP(AI$16,$L154:$X154,#REF!)),0,(LOOKUP(AI$16,$L154:$X154,#REF!)))</f>
        <v>0</v>
      </c>
      <c r="AJ154" s="230">
        <f>IF(ISERROR(LOOKUP(AJ$16,$L154:$X154,#REF!)),0,(LOOKUP(AJ$16,$L154:$X154,#REF!)))</f>
        <v>0</v>
      </c>
      <c r="AK154" s="230">
        <f>IF(ISERROR(LOOKUP(AK$16,$L154:$X154,#REF!)),0,(LOOKUP(AK$16,$L154:$X154,#REF!)))</f>
        <v>0</v>
      </c>
      <c r="AL154" s="230">
        <f>IF(ISERROR(LOOKUP(AL$16,$L154:$X154,#REF!)),0,(LOOKUP(AL$16,$L154:$X154,#REF!)))</f>
        <v>0</v>
      </c>
      <c r="AM154" s="230">
        <f ca="1">IF(ISERROR(LOOKUP(AM$16,$L154:$X154,#REF!)),0,(LOOKUP(AM$16,$L154:$X154,#REF!)))</f>
        <v>0</v>
      </c>
      <c r="AP154" s="212"/>
      <c r="AQ154" s="212"/>
      <c r="AR154" s="212"/>
      <c r="AS154" s="440"/>
      <c r="AW154" s="223" t="e">
        <v>#REF!</v>
      </c>
    </row>
    <row r="155" spans="1:49" s="166" customFormat="1" ht="18" customHeight="1">
      <c r="A155" s="482">
        <f>A152+1</f>
        <v>47</v>
      </c>
      <c r="B155" s="479"/>
      <c r="C155" s="458" t="s">
        <v>4794</v>
      </c>
      <c r="D155" s="458" t="s">
        <v>4795</v>
      </c>
      <c r="E155" s="213"/>
      <c r="F155" s="466" t="s">
        <v>202</v>
      </c>
      <c r="G155" s="458" t="s">
        <v>75</v>
      </c>
      <c r="H155" s="449"/>
      <c r="I155" s="212" t="s">
        <v>8</v>
      </c>
      <c r="J155" s="249" t="s">
        <v>4732</v>
      </c>
      <c r="K155" s="215">
        <f>WORKDAY(L155,-INDEX(L$12:L$15,MATCH($I155,$I$12:$I$15,0)))</f>
        <v>46268</v>
      </c>
      <c r="L155" s="215">
        <f>WORKDAY(M155,-INDEX(M$12:M$15,MATCH($I155,$I$12:$I$15,0)))</f>
        <v>46273</v>
      </c>
      <c r="M155" s="215">
        <f>WORKDAY(N155,-INDEX(N$12:N$15,MATCH($I155,$I$12:$I$15,0)))</f>
        <v>46287</v>
      </c>
      <c r="N155" s="215">
        <f>WORKDAY(O155,-INDEX(O$12:O$15,MATCH($I155,$I$12:$I$15,0)))</f>
        <v>46288</v>
      </c>
      <c r="O155" s="215">
        <f>WORKDAY(R155,-INDEX(R$12:R$15,MATCH($I155,$I$12:$I$15,0)))</f>
        <v>46302</v>
      </c>
      <c r="P155" s="216">
        <f>U155-L155</f>
        <v>92</v>
      </c>
      <c r="Q155" s="217"/>
      <c r="R155" s="215">
        <f>WORKDAY(S155,-INDEX(S$12:S$15,MATCH($I155,$I$12:$I$15,0)))</f>
        <v>46316</v>
      </c>
      <c r="S155" s="215">
        <f>WORKDAY(T155,-INDEX(T$12:T$15,MATCH($I155,$I$12:$I$15,0)))</f>
        <v>46337</v>
      </c>
      <c r="T155" s="215">
        <f>WORKDAY(U155,-INDEX(U$12:U$15,MATCH($I155,$I$12:$I$15,0)))</f>
        <v>46351</v>
      </c>
      <c r="U155" s="215">
        <f>X155-Y155</f>
        <v>46365</v>
      </c>
      <c r="V155" s="215">
        <f>WORKDAY(U155,INDEX(V$12:V$15,MATCH($I155,$I$12:$I$15,0)))</f>
        <v>46367</v>
      </c>
      <c r="W155" s="218">
        <f>Y155/7</f>
        <v>16</v>
      </c>
      <c r="X155" s="215">
        <f>Z155</f>
        <v>46477</v>
      </c>
      <c r="Y155" s="448">
        <f>16*7</f>
        <v>112</v>
      </c>
      <c r="Z155" s="443">
        <v>46477</v>
      </c>
      <c r="AA155" s="443">
        <v>46477</v>
      </c>
      <c r="AB155" s="442">
        <f>Z155-X156</f>
        <v>0</v>
      </c>
      <c r="AC155" s="220">
        <f>IF(ISERROR(LOOKUP(AC$16,$L155:$X155,#REF!)),0,(LOOKUP(AC$16,$L155:$X155,#REF!)))</f>
        <v>0</v>
      </c>
      <c r="AD155" s="221">
        <f>IF(ISERROR(LOOKUP(AD$16,$L155:$X155,#REF!)),0,(LOOKUP(AD$16,$L155:$X155,#REF!)))</f>
        <v>0</v>
      </c>
      <c r="AE155" s="221">
        <f>IF(ISERROR(LOOKUP(AE$16,$L155:$X155,#REF!)),0,(LOOKUP(AE$16,$L155:$X155,#REF!)))</f>
        <v>0</v>
      </c>
      <c r="AF155" s="221">
        <f>IF(ISERROR(LOOKUP(AF$16,$L155:$X155,#REF!)),0,(LOOKUP(AF$16,$L155:$X155,#REF!)))</f>
        <v>0</v>
      </c>
      <c r="AG155" s="221">
        <f>IF(ISERROR(LOOKUP(AG$16,$L155:$X155,#REF!)),0,(LOOKUP(AG$16,$L155:$X155,#REF!)))</f>
        <v>0</v>
      </c>
      <c r="AH155" s="221">
        <f>IF(ISERROR(LOOKUP(AH$16,$L155:$X155,#REF!)),0,(LOOKUP(AH$16,$L155:$X155,#REF!)))</f>
        <v>0</v>
      </c>
      <c r="AI155" s="221">
        <f>IF(ISERROR(LOOKUP(AI$16,$L155:$X155,#REF!)),0,(LOOKUP(AI$16,$L155:$X155,#REF!)))</f>
        <v>0</v>
      </c>
      <c r="AJ155" s="221">
        <f>IF(ISERROR(LOOKUP(AJ$16,$L155:$X155,#REF!)),0,(LOOKUP(AJ$16,$L155:$X155,#REF!)))</f>
        <v>0</v>
      </c>
      <c r="AK155" s="221">
        <f>IF(ISERROR(LOOKUP(AK$16,$L155:$X155,#REF!)),0,(LOOKUP(AK$16,$L155:$X155,#REF!)))</f>
        <v>0</v>
      </c>
      <c r="AL155" s="221">
        <f>IF(ISERROR(LOOKUP(AL$16,$L155:$X155,#REF!)),0,(LOOKUP(AL$16,$L155:$X155,#REF!)))</f>
        <v>0</v>
      </c>
      <c r="AM155" s="221">
        <f ca="1">IF(ISERROR(LOOKUP(AM$16,$L155:$X155,#REF!)),0,(LOOKUP(AM$16,$L155:$X155,#REF!)))</f>
        <v>0</v>
      </c>
      <c r="AP155" s="215" t="e">
        <f>WORKDAY(AQ155,-INDEX(AQ$12:AQ$15,MATCH($I155,$I$12:$I$15,0)),$AW$17:$AW$148)</f>
        <v>#REF!</v>
      </c>
      <c r="AQ155" s="215" t="e">
        <f>WORKDAY(U155,-INDEX(U$12:U$15,MATCH($I155,$I$12:$I$15,0)),$AW$17:$AW$148)</f>
        <v>#REF!</v>
      </c>
      <c r="AR155" s="215" t="e">
        <f>WORKDAY(U155,-INDEX(U$12:U$15,MATCH($I155,$I$12:$I$15,0)),$AW$17:$AW$148)</f>
        <v>#REF!</v>
      </c>
      <c r="AS155" s="440">
        <v>7</v>
      </c>
      <c r="AW155" s="223" t="e">
        <v>#REF!</v>
      </c>
    </row>
    <row r="156" spans="1:49" s="166" customFormat="1" ht="18" customHeight="1">
      <c r="A156" s="482"/>
      <c r="B156" s="480"/>
      <c r="C156" s="458" t="str">
        <f>C155</f>
        <v>RFQ-047</v>
      </c>
      <c r="D156" s="458" t="s">
        <v>4795</v>
      </c>
      <c r="E156" s="224"/>
      <c r="F156" s="467" t="str">
        <f>F155</f>
        <v>Telecommunication</v>
      </c>
      <c r="G156" s="458" t="str">
        <f>G155</f>
        <v>N</v>
      </c>
      <c r="H156" s="450"/>
      <c r="I156" s="212" t="str">
        <f>I155</f>
        <v>LC</v>
      </c>
      <c r="J156" s="249" t="s">
        <v>68</v>
      </c>
      <c r="K156" s="215">
        <f>K155</f>
        <v>46268</v>
      </c>
      <c r="L156" s="215">
        <f>WORKDAY(IF(K157="",K156,K157),INDEX(L$12:L$15,MATCH($I155,$I$12:$I$15,0)))</f>
        <v>46273</v>
      </c>
      <c r="M156" s="215">
        <f>WORKDAY(IF(L157="",L156,L157),INDEX(M$12:M$15,MATCH($I155,$I$12:$I$15,0)))</f>
        <v>46287</v>
      </c>
      <c r="N156" s="215">
        <f>WORKDAY(IF(M157="",M156,M157),INDEX(N$12:N$15,MATCH($I155,$I$12:$I$15,0)))</f>
        <v>46288</v>
      </c>
      <c r="O156" s="215">
        <f>WORKDAY(IF(N157="",N156,N157),INDEX(O$12:O$15,MATCH($I155,$I$12:$I$15,0)))</f>
        <v>46302</v>
      </c>
      <c r="P156" s="216"/>
      <c r="Q156" s="217"/>
      <c r="R156" s="215">
        <f>WORKDAY(IF(O157="",O156,O157),INDEX(R$12:R$15,MATCH($I155,$I$12:$I$15,0)))</f>
        <v>46316</v>
      </c>
      <c r="S156" s="215">
        <f>WORKDAY(IF(R157="",R156,R157),INDEX(S$12:S$15,MATCH($I155,$I$12:$I$15,0)))</f>
        <v>46337</v>
      </c>
      <c r="T156" s="215">
        <f>WORKDAY(IF(S157="",S156,S157),INDEX(T$12:T$15,MATCH($I155,$I$12:$I$15,0)))</f>
        <v>46351</v>
      </c>
      <c r="U156" s="215">
        <f>WORKDAY(IF(T157="",T156,T157),INDEX(U$12:U$15,MATCH($I155,$I$12:$I$15,0)))</f>
        <v>46365</v>
      </c>
      <c r="V156" s="215">
        <f>WORKDAY(IF(U157="",U156,U157),INDEX(V$12:V$15,MATCH($I155,$I$12:$I$15,0)))</f>
        <v>46367</v>
      </c>
      <c r="W156" s="218"/>
      <c r="X156" s="215">
        <f>U156+Y155</f>
        <v>46477</v>
      </c>
      <c r="Y156" s="448"/>
      <c r="Z156" s="443"/>
      <c r="AA156" s="443"/>
      <c r="AB156" s="442"/>
      <c r="AC156" s="220">
        <f>IF(ISERROR(LOOKUP(AC$16,$L156:$X156,#REF!)),0,(LOOKUP(AC$16,$L156:$X156,#REF!)))</f>
        <v>0</v>
      </c>
      <c r="AD156" s="221">
        <f>IF(ISERROR(LOOKUP(AD$16,$L156:$X156,#REF!)),0,(LOOKUP(AD$16,$L156:$X156,#REF!)))</f>
        <v>0</v>
      </c>
      <c r="AE156" s="221">
        <f>IF(ISERROR(LOOKUP(AE$16,$L156:$X156,#REF!)),0,(LOOKUP(AE$16,$L156:$X156,#REF!)))</f>
        <v>0</v>
      </c>
      <c r="AF156" s="221">
        <f>IF(ISERROR(LOOKUP(AF$16,$L156:$X156,#REF!)),0,(LOOKUP(AF$16,$L156:$X156,#REF!)))</f>
        <v>0</v>
      </c>
      <c r="AG156" s="221">
        <f>IF(ISERROR(LOOKUP(AG$16,$L156:$X156,#REF!)),0,(LOOKUP(AG$16,$L156:$X156,#REF!)))</f>
        <v>0</v>
      </c>
      <c r="AH156" s="221">
        <f>IF(ISERROR(LOOKUP(AH$16,$L156:$X156,#REF!)),0,(LOOKUP(AH$16,$L156:$X156,#REF!)))</f>
        <v>0</v>
      </c>
      <c r="AI156" s="221">
        <f>IF(ISERROR(LOOKUP(AI$16,$L156:$X156,#REF!)),0,(LOOKUP(AI$16,$L156:$X156,#REF!)))</f>
        <v>0</v>
      </c>
      <c r="AJ156" s="221">
        <f>IF(ISERROR(LOOKUP(AJ$16,$L156:$X156,#REF!)),0,(LOOKUP(AJ$16,$L156:$X156,#REF!)))</f>
        <v>0</v>
      </c>
      <c r="AK156" s="221">
        <f>IF(ISERROR(LOOKUP(AK$16,$L156:$X156,#REF!)),0,(LOOKUP(AK$16,$L156:$X156,#REF!)))</f>
        <v>0</v>
      </c>
      <c r="AL156" s="221">
        <f>IF(ISERROR(LOOKUP(AL$16,$L156:$X156,#REF!)),0,(LOOKUP(AL$16,$L156:$X156,#REF!)))</f>
        <v>0</v>
      </c>
      <c r="AM156" s="221">
        <f ca="1">IF(ISERROR(LOOKUP(AM$16,$L156:$X156,#REF!)),0,(LOOKUP(AM$16,$L156:$X156,#REF!)))</f>
        <v>0</v>
      </c>
      <c r="AP156" s="215" t="e">
        <f>WORKDAY(IF(T157="",T156,T157),INDEX(AP$12:AP$15,MATCH($I155,$I$12:$I$15,0)),$AW$17:$AW$148)</f>
        <v>#REF!</v>
      </c>
      <c r="AQ156" s="215" t="e">
        <f>WORKDAY(IF(AP157="",AP156,AP157),INDEX(AQ$12:AQ$15,MATCH($I155,$I$12:$I$15,0)),$AW$17:$AW$148)</f>
        <v>#REF!</v>
      </c>
      <c r="AR156" s="215" t="e">
        <f>WORKDAY(IF(AQ157="",AQ156,AQ157),INDEX(AR$12:AR$15,MATCH($I155,$I$12:$I$15,0)),$AW$17:$AW$148)</f>
        <v>#REF!</v>
      </c>
      <c r="AS156" s="440"/>
      <c r="AW156" s="223" t="e">
        <v>#REF!</v>
      </c>
    </row>
    <row r="157" spans="1:49" s="166" customFormat="1" ht="18" customHeight="1">
      <c r="A157" s="482"/>
      <c r="B157" s="481"/>
      <c r="C157" s="458" t="str">
        <f>C155</f>
        <v>RFQ-047</v>
      </c>
      <c r="D157" s="458" t="str">
        <f>D155</f>
        <v>Marine Racon</v>
      </c>
      <c r="E157" s="225"/>
      <c r="F157" s="468" t="str">
        <f>F155</f>
        <v>Telecommunication</v>
      </c>
      <c r="G157" s="458" t="str">
        <f>G155</f>
        <v>N</v>
      </c>
      <c r="H157" s="451"/>
      <c r="I157" s="212" t="str">
        <f>I155</f>
        <v>LC</v>
      </c>
      <c r="J157" s="249" t="s">
        <v>70</v>
      </c>
      <c r="K157" s="212"/>
      <c r="L157" s="212"/>
      <c r="M157" s="212"/>
      <c r="N157" s="212"/>
      <c r="O157" s="212"/>
      <c r="P157" s="226"/>
      <c r="Q157" s="227"/>
      <c r="R157" s="212"/>
      <c r="S157" s="212"/>
      <c r="T157" s="212"/>
      <c r="U157" s="212"/>
      <c r="V157" s="212"/>
      <c r="W157" s="228"/>
      <c r="X157" s="212"/>
      <c r="Y157" s="448"/>
      <c r="Z157" s="443"/>
      <c r="AA157" s="443"/>
      <c r="AB157" s="442"/>
      <c r="AC157" s="229">
        <f>IF(ISERROR(LOOKUP(AC$16,$L157:$X157,#REF!)),0,(LOOKUP(AC$16,$L157:$X157,#REF!)))</f>
        <v>0</v>
      </c>
      <c r="AD157" s="230">
        <f>IF(ISERROR(LOOKUP(AD$16,$L157:$X157,#REF!)),0,(LOOKUP(AD$16,$L157:$X157,#REF!)))</f>
        <v>0</v>
      </c>
      <c r="AE157" s="230">
        <f>IF(ISERROR(LOOKUP(AE$16,$L157:$X157,#REF!)),0,(LOOKUP(AE$16,$L157:$X157,#REF!)))</f>
        <v>0</v>
      </c>
      <c r="AF157" s="230">
        <f>IF(ISERROR(LOOKUP(AF$16,$L157:$X157,#REF!)),0,(LOOKUP(AF$16,$L157:$X157,#REF!)))</f>
        <v>0</v>
      </c>
      <c r="AG157" s="230">
        <f>IF(ISERROR(LOOKUP(AG$16,$L157:$X157,#REF!)),0,(LOOKUP(AG$16,$L157:$X157,#REF!)))</f>
        <v>0</v>
      </c>
      <c r="AH157" s="230">
        <f>IF(ISERROR(LOOKUP(AH$16,$L157:$X157,#REF!)),0,(LOOKUP(AH$16,$L157:$X157,#REF!)))</f>
        <v>0</v>
      </c>
      <c r="AI157" s="230">
        <f>IF(ISERROR(LOOKUP(AI$16,$L157:$X157,#REF!)),0,(LOOKUP(AI$16,$L157:$X157,#REF!)))</f>
        <v>0</v>
      </c>
      <c r="AJ157" s="230">
        <f>IF(ISERROR(LOOKUP(AJ$16,$L157:$X157,#REF!)),0,(LOOKUP(AJ$16,$L157:$X157,#REF!)))</f>
        <v>0</v>
      </c>
      <c r="AK157" s="230">
        <f>IF(ISERROR(LOOKUP(AK$16,$L157:$X157,#REF!)),0,(LOOKUP(AK$16,$L157:$X157,#REF!)))</f>
        <v>0</v>
      </c>
      <c r="AL157" s="230">
        <f>IF(ISERROR(LOOKUP(AL$16,$L157:$X157,#REF!)),0,(LOOKUP(AL$16,$L157:$X157,#REF!)))</f>
        <v>0</v>
      </c>
      <c r="AM157" s="230">
        <f ca="1">IF(ISERROR(LOOKUP(AM$16,$L157:$X157,#REF!)),0,(LOOKUP(AM$16,$L157:$X157,#REF!)))</f>
        <v>0</v>
      </c>
      <c r="AP157" s="212"/>
      <c r="AQ157" s="212"/>
      <c r="AR157" s="212"/>
      <c r="AS157" s="440"/>
      <c r="AW157" s="223" t="e">
        <v>#REF!</v>
      </c>
    </row>
    <row r="158" spans="1:49" s="166" customFormat="1" ht="18" customHeight="1">
      <c r="A158" s="482">
        <f>A155+1</f>
        <v>48</v>
      </c>
      <c r="B158" s="479"/>
      <c r="C158" s="458" t="s">
        <v>4796</v>
      </c>
      <c r="D158" s="458" t="s">
        <v>208</v>
      </c>
      <c r="E158" s="212"/>
      <c r="F158" s="458" t="s">
        <v>86</v>
      </c>
      <c r="G158" s="458" t="s">
        <v>75</v>
      </c>
      <c r="H158" s="449"/>
      <c r="I158" s="212" t="s">
        <v>8</v>
      </c>
      <c r="J158" s="249" t="s">
        <v>4732</v>
      </c>
      <c r="K158" s="215">
        <f>WORKDAY(L158,-INDEX(L$12:L$15,MATCH($I158,$I$12:$I$15,0)))</f>
        <v>46168</v>
      </c>
      <c r="L158" s="215">
        <f>WORKDAY(M158,-INDEX(M$12:M$15,MATCH($I158,$I$12:$I$15,0)))</f>
        <v>46171</v>
      </c>
      <c r="M158" s="215">
        <f>WORKDAY(N158,-INDEX(N$12:N$15,MATCH($I158,$I$12:$I$15,0)))</f>
        <v>46185</v>
      </c>
      <c r="N158" s="215">
        <f>WORKDAY(O158,-INDEX(O$12:O$15,MATCH($I158,$I$12:$I$15,0)))</f>
        <v>46188</v>
      </c>
      <c r="O158" s="215">
        <f>WORKDAY(R158,-INDEX(R$12:R$15,MATCH($I158,$I$12:$I$15,0)))</f>
        <v>46202</v>
      </c>
      <c r="P158" s="216">
        <f>U158-L158</f>
        <v>93</v>
      </c>
      <c r="Q158" s="217"/>
      <c r="R158" s="215">
        <f>WORKDAY(S158,-INDEX(S$12:S$15,MATCH($I158,$I$12:$I$15,0)))</f>
        <v>46216</v>
      </c>
      <c r="S158" s="215">
        <f>WORKDAY(T158,-INDEX(T$12:T$15,MATCH($I158,$I$12:$I$15,0)))</f>
        <v>46237</v>
      </c>
      <c r="T158" s="215">
        <f>WORKDAY(U158,-INDEX(U$12:U$15,MATCH($I158,$I$12:$I$15,0)))</f>
        <v>46251</v>
      </c>
      <c r="U158" s="215">
        <f>X158-Y158</f>
        <v>46264</v>
      </c>
      <c r="V158" s="215">
        <f>WORKDAY(U158,INDEX(V$12:V$15,MATCH($I158,$I$12:$I$15,0)))</f>
        <v>46266</v>
      </c>
      <c r="W158" s="218">
        <f>Y158/7</f>
        <v>26.1428571428571</v>
      </c>
      <c r="X158" s="215">
        <f>Z158</f>
        <v>46447</v>
      </c>
      <c r="Y158" s="448">
        <v>183</v>
      </c>
      <c r="Z158" s="443">
        <v>46447</v>
      </c>
      <c r="AA158" s="443">
        <v>46538</v>
      </c>
      <c r="AB158" s="442">
        <f>Z158-X159</f>
        <v>0</v>
      </c>
      <c r="AC158" s="220">
        <f>IF(ISERROR(LOOKUP(AC$16,$L158:$X158,#REF!)),0,(LOOKUP(AC$16,$L158:$X158,#REF!)))</f>
        <v>0</v>
      </c>
      <c r="AD158" s="221">
        <f>IF(ISERROR(LOOKUP(AD$16,$L158:$X158,#REF!)),0,(LOOKUP(AD$16,$L158:$X158,#REF!)))</f>
        <v>0</v>
      </c>
      <c r="AE158" s="221">
        <f>IF(ISERROR(LOOKUP(AE$16,$L158:$X158,#REF!)),0,(LOOKUP(AE$16,$L158:$X158,#REF!)))</f>
        <v>0</v>
      </c>
      <c r="AF158" s="221">
        <f>IF(ISERROR(LOOKUP(AF$16,$L158:$X158,#REF!)),0,(LOOKUP(AF$16,$L158:$X158,#REF!)))</f>
        <v>0</v>
      </c>
      <c r="AG158" s="221">
        <f>IF(ISERROR(LOOKUP(AG$16,$L158:$X158,#REF!)),0,(LOOKUP(AG$16,$L158:$X158,#REF!)))</f>
        <v>0</v>
      </c>
      <c r="AH158" s="221">
        <f>IF(ISERROR(LOOKUP(AH$16,$L158:$X158,#REF!)),0,(LOOKUP(AH$16,$L158:$X158,#REF!)))</f>
        <v>0</v>
      </c>
      <c r="AI158" s="221">
        <f>IF(ISERROR(LOOKUP(AI$16,$L158:$X158,#REF!)),0,(LOOKUP(AI$16,$L158:$X158,#REF!)))</f>
        <v>0</v>
      </c>
      <c r="AJ158" s="221">
        <f>IF(ISERROR(LOOKUP(AJ$16,$L158:$X158,#REF!)),0,(LOOKUP(AJ$16,$L158:$X158,#REF!)))</f>
        <v>0</v>
      </c>
      <c r="AK158" s="221">
        <f>IF(ISERROR(LOOKUP(AK$16,$L158:$X158,#REF!)),0,(LOOKUP(AK$16,$L158:$X158,#REF!)))</f>
        <v>0</v>
      </c>
      <c r="AL158" s="221">
        <f>IF(ISERROR(LOOKUP(AL$16,$L158:$X158,#REF!)),0,(LOOKUP(AL$16,$L158:$X158,#REF!)))</f>
        <v>0</v>
      </c>
      <c r="AM158" s="221">
        <f ca="1">IF(ISERROR(LOOKUP(AM$16,$L158:$X158,#REF!)),0,(LOOKUP(AM$16,$L158:$X158,#REF!)))</f>
        <v>0</v>
      </c>
      <c r="AP158" s="215" t="e">
        <f>WORKDAY(AQ158,-INDEX(AQ$12:AQ$15,MATCH($I158,$I$12:$I$15,0)),$AW$17:$AW$148)</f>
        <v>#REF!</v>
      </c>
      <c r="AQ158" s="215" t="e">
        <f>WORKDAY(U158,-INDEX(U$12:U$15,MATCH($I158,$I$12:$I$15,0)),$AW$17:$AW$148)</f>
        <v>#REF!</v>
      </c>
      <c r="AR158" s="215" t="e">
        <f>WORKDAY(U158,-INDEX(U$12:U$15,MATCH($I158,$I$12:$I$15,0)),$AW$17:$AW$148)</f>
        <v>#REF!</v>
      </c>
      <c r="AS158" s="440">
        <v>7</v>
      </c>
      <c r="AW158" s="223" t="e">
        <v>#REF!</v>
      </c>
    </row>
    <row r="159" spans="1:49" s="166" customFormat="1" ht="18" customHeight="1">
      <c r="A159" s="482"/>
      <c r="B159" s="480"/>
      <c r="C159" s="458" t="str">
        <f>C158</f>
        <v>RFQ-048</v>
      </c>
      <c r="D159" s="458" t="str">
        <f>D158</f>
        <v>BALL VALVE (FLANGE END)</v>
      </c>
      <c r="E159" s="212"/>
      <c r="F159" s="458" t="str">
        <f>F158</f>
        <v>Piping</v>
      </c>
      <c r="G159" s="458" t="str">
        <f>G158</f>
        <v>N</v>
      </c>
      <c r="H159" s="450"/>
      <c r="I159" s="212" t="str">
        <f>I158</f>
        <v>LC</v>
      </c>
      <c r="J159" s="249" t="s">
        <v>68</v>
      </c>
      <c r="K159" s="215">
        <f>K158</f>
        <v>46168</v>
      </c>
      <c r="L159" s="215">
        <f>WORKDAY(IF(K160="",K159,K160),INDEX(L$12:L$15,MATCH($I158,$I$12:$I$15,0)))</f>
        <v>46171</v>
      </c>
      <c r="M159" s="215">
        <f>WORKDAY(IF(L160="",L159,L160),INDEX(M$12:M$15,MATCH($I158,$I$12:$I$15,0)))</f>
        <v>46185</v>
      </c>
      <c r="N159" s="215">
        <f>WORKDAY(IF(M160="",M159,M160),INDEX(N$12:N$15,MATCH($I158,$I$12:$I$15,0)))</f>
        <v>46188</v>
      </c>
      <c r="O159" s="215">
        <f>WORKDAY(IF(N160="",N159,N160),INDEX(O$12:O$15,MATCH($I158,$I$12:$I$15,0)))</f>
        <v>46202</v>
      </c>
      <c r="P159" s="216"/>
      <c r="Q159" s="217"/>
      <c r="R159" s="215">
        <f>WORKDAY(IF(O160="",O159,O160),INDEX(R$12:R$15,MATCH($I158,$I$12:$I$15,0)))</f>
        <v>46216</v>
      </c>
      <c r="S159" s="215">
        <f>WORKDAY(IF(R160="",R159,R160),INDEX(S$12:S$15,MATCH($I158,$I$12:$I$15,0)))</f>
        <v>46237</v>
      </c>
      <c r="T159" s="215">
        <f>WORKDAY(IF(S160="",S159,S160),INDEX(T$12:T$15,MATCH($I158,$I$12:$I$15,0)))</f>
        <v>46251</v>
      </c>
      <c r="U159" s="215">
        <f>WORKDAY(IF(T160="",T159,T160),INDEX(U$12:U$15,MATCH($I158,$I$12:$I$15,0)))-1</f>
        <v>46264</v>
      </c>
      <c r="V159" s="215">
        <f>WORKDAY(IF(U160="",U159,U160),INDEX(V$12:V$15,MATCH($I158,$I$12:$I$15,0)))</f>
        <v>46266</v>
      </c>
      <c r="W159" s="218"/>
      <c r="X159" s="215">
        <f>U159+Y158</f>
        <v>46447</v>
      </c>
      <c r="Y159" s="448"/>
      <c r="Z159" s="443"/>
      <c r="AA159" s="443"/>
      <c r="AB159" s="442"/>
      <c r="AC159" s="220">
        <f>IF(ISERROR(LOOKUP(AC$16,$L159:$X159,#REF!)),0,(LOOKUP(AC$16,$L159:$X159,#REF!)))</f>
        <v>0</v>
      </c>
      <c r="AD159" s="221">
        <f>IF(ISERROR(LOOKUP(AD$16,$L159:$X159,#REF!)),0,(LOOKUP(AD$16,$L159:$X159,#REF!)))</f>
        <v>0</v>
      </c>
      <c r="AE159" s="221">
        <f>IF(ISERROR(LOOKUP(AE$16,$L159:$X159,#REF!)),0,(LOOKUP(AE$16,$L159:$X159,#REF!)))</f>
        <v>0</v>
      </c>
      <c r="AF159" s="221">
        <f>IF(ISERROR(LOOKUP(AF$16,$L159:$X159,#REF!)),0,(LOOKUP(AF$16,$L159:$X159,#REF!)))</f>
        <v>0</v>
      </c>
      <c r="AG159" s="221">
        <f>IF(ISERROR(LOOKUP(AG$16,$L159:$X159,#REF!)),0,(LOOKUP(AG$16,$L159:$X159,#REF!)))</f>
        <v>0</v>
      </c>
      <c r="AH159" s="221">
        <f>IF(ISERROR(LOOKUP(AH$16,$L159:$X159,#REF!)),0,(LOOKUP(AH$16,$L159:$X159,#REF!)))</f>
        <v>0</v>
      </c>
      <c r="AI159" s="221">
        <f>IF(ISERROR(LOOKUP(AI$16,$L159:$X159,#REF!)),0,(LOOKUP(AI$16,$L159:$X159,#REF!)))</f>
        <v>0</v>
      </c>
      <c r="AJ159" s="221">
        <f>IF(ISERROR(LOOKUP(AJ$16,$L159:$X159,#REF!)),0,(LOOKUP(AJ$16,$L159:$X159,#REF!)))</f>
        <v>0</v>
      </c>
      <c r="AK159" s="221">
        <f>IF(ISERROR(LOOKUP(AK$16,$L159:$X159,#REF!)),0,(LOOKUP(AK$16,$L159:$X159,#REF!)))</f>
        <v>0</v>
      </c>
      <c r="AL159" s="221">
        <f>IF(ISERROR(LOOKUP(AL$16,$L159:$X159,#REF!)),0,(LOOKUP(AL$16,$L159:$X159,#REF!)))</f>
        <v>0</v>
      </c>
      <c r="AM159" s="221">
        <f ca="1">IF(ISERROR(LOOKUP(AM$16,$L159:$X159,#REF!)),0,(LOOKUP(AM$16,$L159:$X159,#REF!)))</f>
        <v>0</v>
      </c>
      <c r="AP159" s="215" t="e">
        <f>WORKDAY(IF(T160="",T159,T160),INDEX(AP$12:AP$15,MATCH($I158,$I$12:$I$15,0)),$AW$17:$AW$148)</f>
        <v>#REF!</v>
      </c>
      <c r="AQ159" s="215" t="e">
        <f>WORKDAY(IF(AP160="",AP159,AP160),INDEX(AQ$12:AQ$15,MATCH($I158,$I$12:$I$15,0)),$AW$17:$AW$148)</f>
        <v>#REF!</v>
      </c>
      <c r="AR159" s="215" t="e">
        <f>WORKDAY(IF(AQ160="",AQ159,AQ160),INDEX(AR$12:AR$15,MATCH($I158,$I$12:$I$15,0)),$AW$17:$AW$148)</f>
        <v>#REF!</v>
      </c>
      <c r="AS159" s="440"/>
      <c r="AW159" s="223" t="e">
        <v>#REF!</v>
      </c>
    </row>
    <row r="160" spans="1:49" s="166" customFormat="1" ht="18" customHeight="1">
      <c r="A160" s="482"/>
      <c r="B160" s="481"/>
      <c r="C160" s="458" t="str">
        <f>C158</f>
        <v>RFQ-048</v>
      </c>
      <c r="D160" s="458" t="str">
        <f>D158</f>
        <v>BALL VALVE (FLANGE END)</v>
      </c>
      <c r="E160" s="212"/>
      <c r="F160" s="458" t="str">
        <f>F158</f>
        <v>Piping</v>
      </c>
      <c r="G160" s="458" t="str">
        <f>G158</f>
        <v>N</v>
      </c>
      <c r="H160" s="451"/>
      <c r="I160" s="212" t="str">
        <f>I158</f>
        <v>LC</v>
      </c>
      <c r="J160" s="249" t="s">
        <v>70</v>
      </c>
      <c r="K160" s="212"/>
      <c r="L160" s="212"/>
      <c r="M160" s="212"/>
      <c r="N160" s="212"/>
      <c r="O160" s="212"/>
      <c r="P160" s="226"/>
      <c r="Q160" s="227"/>
      <c r="R160" s="212"/>
      <c r="S160" s="212"/>
      <c r="T160" s="212"/>
      <c r="U160" s="212"/>
      <c r="V160" s="212"/>
      <c r="W160" s="228"/>
      <c r="X160" s="212"/>
      <c r="Y160" s="448"/>
      <c r="Z160" s="443"/>
      <c r="AA160" s="443"/>
      <c r="AB160" s="442"/>
      <c r="AC160" s="229">
        <f>IF(ISERROR(LOOKUP(AC$16,$L160:$X160,#REF!)),0,(LOOKUP(AC$16,$L160:$X160,#REF!)))</f>
        <v>0</v>
      </c>
      <c r="AD160" s="230">
        <f>IF(ISERROR(LOOKUP(AD$16,$L160:$X160,#REF!)),0,(LOOKUP(AD$16,$L160:$X160,#REF!)))</f>
        <v>0</v>
      </c>
      <c r="AE160" s="230">
        <f>IF(ISERROR(LOOKUP(AE$16,$L160:$X160,#REF!)),0,(LOOKUP(AE$16,$L160:$X160,#REF!)))</f>
        <v>0</v>
      </c>
      <c r="AF160" s="230">
        <f>IF(ISERROR(LOOKUP(AF$16,$L160:$X160,#REF!)),0,(LOOKUP(AF$16,$L160:$X160,#REF!)))</f>
        <v>0</v>
      </c>
      <c r="AG160" s="230">
        <f>IF(ISERROR(LOOKUP(AG$16,$L160:$X160,#REF!)),0,(LOOKUP(AG$16,$L160:$X160,#REF!)))</f>
        <v>0</v>
      </c>
      <c r="AH160" s="230">
        <f>IF(ISERROR(LOOKUP(AH$16,$L160:$X160,#REF!)),0,(LOOKUP(AH$16,$L160:$X160,#REF!)))</f>
        <v>0</v>
      </c>
      <c r="AI160" s="230">
        <f>IF(ISERROR(LOOKUP(AI$16,$L160:$X160,#REF!)),0,(LOOKUP(AI$16,$L160:$X160,#REF!)))</f>
        <v>0</v>
      </c>
      <c r="AJ160" s="230">
        <f>IF(ISERROR(LOOKUP(AJ$16,$L160:$X160,#REF!)),0,(LOOKUP(AJ$16,$L160:$X160,#REF!)))</f>
        <v>0</v>
      </c>
      <c r="AK160" s="230">
        <f>IF(ISERROR(LOOKUP(AK$16,$L160:$X160,#REF!)),0,(LOOKUP(AK$16,$L160:$X160,#REF!)))</f>
        <v>0</v>
      </c>
      <c r="AL160" s="230">
        <f>IF(ISERROR(LOOKUP(AL$16,$L160:$X160,#REF!)),0,(LOOKUP(AL$16,$L160:$X160,#REF!)))</f>
        <v>0</v>
      </c>
      <c r="AM160" s="230">
        <f ca="1">IF(ISERROR(LOOKUP(AM$16,$L160:$X160,#REF!)),0,(LOOKUP(AM$16,$L160:$X160,#REF!)))</f>
        <v>0</v>
      </c>
      <c r="AP160" s="212"/>
      <c r="AQ160" s="212"/>
      <c r="AR160" s="212"/>
      <c r="AS160" s="440"/>
      <c r="AW160" s="223" t="e">
        <v>#REF!</v>
      </c>
    </row>
    <row r="161" spans="1:49" s="166" customFormat="1" ht="18" customHeight="1">
      <c r="A161" s="482">
        <f>A158+1</f>
        <v>49</v>
      </c>
      <c r="B161" s="479"/>
      <c r="C161" s="458" t="s">
        <v>4797</v>
      </c>
      <c r="D161" s="458" t="s">
        <v>215</v>
      </c>
      <c r="E161" s="212"/>
      <c r="F161" s="458" t="s">
        <v>86</v>
      </c>
      <c r="G161" s="458" t="s">
        <v>75</v>
      </c>
      <c r="H161" s="449"/>
      <c r="I161" s="212" t="s">
        <v>7</v>
      </c>
      <c r="J161" s="249" t="s">
        <v>4732</v>
      </c>
      <c r="K161" s="215">
        <f>WORKDAY(L161,-INDEX(L$12:L$15,MATCH($I161,$I$12:$I$15,0)))</f>
        <v>46188</v>
      </c>
      <c r="L161" s="215">
        <f>WORKDAY(M161,-INDEX(M$12:M$15,MATCH($I161,$I$12:$I$15,0)))</f>
        <v>46189</v>
      </c>
      <c r="M161" s="215">
        <f>WORKDAY(N161,-INDEX(N$12:N$15,MATCH($I161,$I$12:$I$15,0)))</f>
        <v>46196</v>
      </c>
      <c r="N161" s="215">
        <f>WORKDAY(O161,-INDEX(O$12:O$15,MATCH($I161,$I$12:$I$15,0)))</f>
        <v>46197</v>
      </c>
      <c r="O161" s="215">
        <f>WORKDAY(R161,-INDEX(R$12:R$15,MATCH($I161,$I$12:$I$15,0)))</f>
        <v>46204</v>
      </c>
      <c r="P161" s="216">
        <f>U161-L161</f>
        <v>75</v>
      </c>
      <c r="Q161" s="217"/>
      <c r="R161" s="215">
        <f>WORKDAY(S161,-INDEX(S$12:S$15,MATCH($I161,$I$12:$I$15,0)))</f>
        <v>46218</v>
      </c>
      <c r="S161" s="215">
        <f>WORKDAY(T161,-INDEX(T$12:T$15,MATCH($I161,$I$12:$I$15,0)))</f>
        <v>46246</v>
      </c>
      <c r="T161" s="215">
        <f>WORKDAY(U161,-INDEX(U$12:U$15,MATCH($I161,$I$12:$I$15,0)))</f>
        <v>46251</v>
      </c>
      <c r="U161" s="215">
        <f>X161-Y161</f>
        <v>46264</v>
      </c>
      <c r="V161" s="215">
        <f>WORKDAY(U161,INDEX(V$12:V$15,MATCH($I161,$I$12:$I$15,0)))</f>
        <v>46266</v>
      </c>
      <c r="W161" s="218">
        <f>Y161/7</f>
        <v>26.1428571428571</v>
      </c>
      <c r="X161" s="215">
        <f>Z161</f>
        <v>46447</v>
      </c>
      <c r="Y161" s="448">
        <v>183</v>
      </c>
      <c r="Z161" s="443">
        <v>46447</v>
      </c>
      <c r="AA161" s="443">
        <v>46538</v>
      </c>
      <c r="AB161" s="442">
        <f>Z161-X162</f>
        <v>0</v>
      </c>
      <c r="AC161" s="220">
        <f>IF(ISERROR(LOOKUP(AC$16,$L161:$X161,#REF!)),0,(LOOKUP(AC$16,$L161:$X161,#REF!)))</f>
        <v>0</v>
      </c>
      <c r="AD161" s="221">
        <f>IF(ISERROR(LOOKUP(AD$16,$L161:$X161,#REF!)),0,(LOOKUP(AD$16,$L161:$X161,#REF!)))</f>
        <v>0</v>
      </c>
      <c r="AE161" s="221">
        <f>IF(ISERROR(LOOKUP(AE$16,$L161:$X161,#REF!)),0,(LOOKUP(AE$16,$L161:$X161,#REF!)))</f>
        <v>0</v>
      </c>
      <c r="AF161" s="221">
        <f>IF(ISERROR(LOOKUP(AF$16,$L161:$X161,#REF!)),0,(LOOKUP(AF$16,$L161:$X161,#REF!)))</f>
        <v>0</v>
      </c>
      <c r="AG161" s="221">
        <f>IF(ISERROR(LOOKUP(AG$16,$L161:$X161,#REF!)),0,(LOOKUP(AG$16,$L161:$X161,#REF!)))</f>
        <v>0</v>
      </c>
      <c r="AH161" s="221">
        <f>IF(ISERROR(LOOKUP(AH$16,$L161:$X161,#REF!)),0,(LOOKUP(AH$16,$L161:$X161,#REF!)))</f>
        <v>0</v>
      </c>
      <c r="AI161" s="221">
        <f>IF(ISERROR(LOOKUP(AI$16,$L161:$X161,#REF!)),0,(LOOKUP(AI$16,$L161:$X161,#REF!)))</f>
        <v>0</v>
      </c>
      <c r="AJ161" s="221">
        <f>IF(ISERROR(LOOKUP(AJ$16,$L161:$X161,#REF!)),0,(LOOKUP(AJ$16,$L161:$X161,#REF!)))</f>
        <v>0</v>
      </c>
      <c r="AK161" s="221">
        <f>IF(ISERROR(LOOKUP(AK$16,$L161:$X161,#REF!)),0,(LOOKUP(AK$16,$L161:$X161,#REF!)))</f>
        <v>0</v>
      </c>
      <c r="AL161" s="221">
        <f>IF(ISERROR(LOOKUP(AL$16,$L161:$X161,#REF!)),0,(LOOKUP(AL$16,$L161:$X161,#REF!)))</f>
        <v>0</v>
      </c>
      <c r="AM161" s="221">
        <f ca="1">IF(ISERROR(LOOKUP(AM$16,$L161:$X161,#REF!)),0,(LOOKUP(AM$16,$L161:$X161,#REF!)))</f>
        <v>0</v>
      </c>
      <c r="AP161" s="215" t="e">
        <f>WORKDAY(AQ161,-INDEX(AQ$12:AQ$15,MATCH($I161,$I$12:$I$15,0)),$AW$17:$AW$148)</f>
        <v>#REF!</v>
      </c>
      <c r="AQ161" s="215" t="e">
        <f>WORKDAY(U161,-INDEX(U$12:U$15,MATCH($I161,$I$12:$I$15,0)),$AW$17:$AW$148)</f>
        <v>#REF!</v>
      </c>
      <c r="AR161" s="215" t="e">
        <f>WORKDAY(U161,-INDEX(U$12:U$15,MATCH($I161,$I$12:$I$15,0)),$AW$17:$AW$148)</f>
        <v>#REF!</v>
      </c>
      <c r="AS161" s="440">
        <v>7</v>
      </c>
      <c r="AW161" s="223" t="e">
        <v>#REF!</v>
      </c>
    </row>
    <row r="162" spans="1:49" s="166" customFormat="1" ht="18" customHeight="1">
      <c r="A162" s="482"/>
      <c r="B162" s="480"/>
      <c r="C162" s="458" t="str">
        <f>C161</f>
        <v>RFQ-049</v>
      </c>
      <c r="D162" s="458" t="str">
        <f>D161</f>
        <v>GLOBE VALVE (FLANGE END)</v>
      </c>
      <c r="E162" s="212"/>
      <c r="F162" s="458" t="str">
        <f>F161</f>
        <v>Piping</v>
      </c>
      <c r="G162" s="458" t="str">
        <f>G161</f>
        <v>N</v>
      </c>
      <c r="H162" s="450"/>
      <c r="I162" s="212" t="str">
        <f>I161</f>
        <v>LB</v>
      </c>
      <c r="J162" s="249" t="s">
        <v>68</v>
      </c>
      <c r="K162" s="215">
        <f>K161</f>
        <v>46188</v>
      </c>
      <c r="L162" s="215">
        <f>WORKDAY(IF(K163="",K162,K163),INDEX(L$12:L$15,MATCH($I161,$I$12:$I$15,0)))</f>
        <v>46189</v>
      </c>
      <c r="M162" s="215">
        <f>WORKDAY(IF(L163="",L162,L163),INDEX(M$12:M$15,MATCH($I161,$I$12:$I$15,0)))</f>
        <v>46196</v>
      </c>
      <c r="N162" s="215">
        <f>WORKDAY(IF(M163="",M162,M163),INDEX(N$12:N$15,MATCH($I161,$I$12:$I$15,0)))</f>
        <v>46197</v>
      </c>
      <c r="O162" s="215">
        <f>WORKDAY(IF(N163="",N162,N163),INDEX(O$12:O$15,MATCH($I161,$I$12:$I$15,0)))</f>
        <v>46204</v>
      </c>
      <c r="P162" s="216"/>
      <c r="Q162" s="217"/>
      <c r="R162" s="215">
        <f>WORKDAY(IF(O163="",O162,O163),INDEX(R$12:R$15,MATCH($I161,$I$12:$I$15,0)))</f>
        <v>46218</v>
      </c>
      <c r="S162" s="215">
        <f>WORKDAY(IF(R163="",R162,R163),INDEX(S$12:S$15,MATCH($I161,$I$12:$I$15,0)))</f>
        <v>46246</v>
      </c>
      <c r="T162" s="215">
        <f>WORKDAY(IF(S163="",S162,S163),INDEX(T$12:T$15,MATCH($I161,$I$12:$I$15,0)))</f>
        <v>46251</v>
      </c>
      <c r="U162" s="215">
        <f>WORKDAY(IF(T163="",T162,T163),INDEX(U$12:U$15,MATCH($I161,$I$12:$I$15,0)))-1</f>
        <v>46264</v>
      </c>
      <c r="V162" s="215">
        <f>WORKDAY(IF(U163="",U162,U163),INDEX(V$12:V$15,MATCH($I161,$I$12:$I$15,0)))</f>
        <v>46266</v>
      </c>
      <c r="W162" s="218"/>
      <c r="X162" s="215">
        <f>U162+Y161</f>
        <v>46447</v>
      </c>
      <c r="Y162" s="448"/>
      <c r="Z162" s="443"/>
      <c r="AA162" s="443"/>
      <c r="AB162" s="442"/>
      <c r="AC162" s="220">
        <f>IF(ISERROR(LOOKUP(AC$16,$L162:$X162,#REF!)),0,(LOOKUP(AC$16,$L162:$X162,#REF!)))</f>
        <v>0</v>
      </c>
      <c r="AD162" s="221">
        <f>IF(ISERROR(LOOKUP(AD$16,$L162:$X162,#REF!)),0,(LOOKUP(AD$16,$L162:$X162,#REF!)))</f>
        <v>0</v>
      </c>
      <c r="AE162" s="221">
        <f>IF(ISERROR(LOOKUP(AE$16,$L162:$X162,#REF!)),0,(LOOKUP(AE$16,$L162:$X162,#REF!)))</f>
        <v>0</v>
      </c>
      <c r="AF162" s="221">
        <f>IF(ISERROR(LOOKUP(AF$16,$L162:$X162,#REF!)),0,(LOOKUP(AF$16,$L162:$X162,#REF!)))</f>
        <v>0</v>
      </c>
      <c r="AG162" s="221">
        <f>IF(ISERROR(LOOKUP(AG$16,$L162:$X162,#REF!)),0,(LOOKUP(AG$16,$L162:$X162,#REF!)))</f>
        <v>0</v>
      </c>
      <c r="AH162" s="221">
        <f>IF(ISERROR(LOOKUP(AH$16,$L162:$X162,#REF!)),0,(LOOKUP(AH$16,$L162:$X162,#REF!)))</f>
        <v>0</v>
      </c>
      <c r="AI162" s="221">
        <f>IF(ISERROR(LOOKUP(AI$16,$L162:$X162,#REF!)),0,(LOOKUP(AI$16,$L162:$X162,#REF!)))</f>
        <v>0</v>
      </c>
      <c r="AJ162" s="221">
        <f>IF(ISERROR(LOOKUP(AJ$16,$L162:$X162,#REF!)),0,(LOOKUP(AJ$16,$L162:$X162,#REF!)))</f>
        <v>0</v>
      </c>
      <c r="AK162" s="221">
        <f>IF(ISERROR(LOOKUP(AK$16,$L162:$X162,#REF!)),0,(LOOKUP(AK$16,$L162:$X162,#REF!)))</f>
        <v>0</v>
      </c>
      <c r="AL162" s="221">
        <f>IF(ISERROR(LOOKUP(AL$16,$L162:$X162,#REF!)),0,(LOOKUP(AL$16,$L162:$X162,#REF!)))</f>
        <v>0</v>
      </c>
      <c r="AM162" s="221">
        <f ca="1">IF(ISERROR(LOOKUP(AM$16,$L162:$X162,#REF!)),0,(LOOKUP(AM$16,$L162:$X162,#REF!)))</f>
        <v>0</v>
      </c>
      <c r="AP162" s="215" t="e">
        <f>WORKDAY(IF(T163="",T162,T163),INDEX(AP$12:AP$15,MATCH($I161,$I$12:$I$15,0)),$AW$17:$AW$148)</f>
        <v>#REF!</v>
      </c>
      <c r="AQ162" s="215" t="e">
        <f>WORKDAY(IF(AP163="",AP162,AP163),INDEX(AQ$12:AQ$15,MATCH($I161,$I$12:$I$15,0)),$AW$17:$AW$148)</f>
        <v>#REF!</v>
      </c>
      <c r="AR162" s="215" t="e">
        <f>WORKDAY(IF(AQ163="",AQ162,AQ163),INDEX(AR$12:AR$15,MATCH($I161,$I$12:$I$15,0)),$AW$17:$AW$148)</f>
        <v>#REF!</v>
      </c>
      <c r="AS162" s="440"/>
      <c r="AW162" s="223" t="e">
        <v>#REF!</v>
      </c>
    </row>
    <row r="163" spans="1:49" s="166" customFormat="1" ht="18" customHeight="1">
      <c r="A163" s="482"/>
      <c r="B163" s="481"/>
      <c r="C163" s="458" t="str">
        <f>C161</f>
        <v>RFQ-049</v>
      </c>
      <c r="D163" s="458" t="str">
        <f>D161</f>
        <v>GLOBE VALVE (FLANGE END)</v>
      </c>
      <c r="E163" s="212"/>
      <c r="F163" s="458" t="str">
        <f>F161</f>
        <v>Piping</v>
      </c>
      <c r="G163" s="458" t="str">
        <f>G161</f>
        <v>N</v>
      </c>
      <c r="H163" s="451"/>
      <c r="I163" s="212" t="str">
        <f>I161</f>
        <v>LB</v>
      </c>
      <c r="J163" s="249" t="s">
        <v>70</v>
      </c>
      <c r="K163" s="212"/>
      <c r="L163" s="212"/>
      <c r="M163" s="212"/>
      <c r="N163" s="212"/>
      <c r="O163" s="212"/>
      <c r="P163" s="226"/>
      <c r="Q163" s="227"/>
      <c r="R163" s="212"/>
      <c r="S163" s="212"/>
      <c r="T163" s="212"/>
      <c r="U163" s="212"/>
      <c r="V163" s="212"/>
      <c r="W163" s="228"/>
      <c r="X163" s="212"/>
      <c r="Y163" s="448"/>
      <c r="Z163" s="443"/>
      <c r="AA163" s="443"/>
      <c r="AB163" s="442"/>
      <c r="AC163" s="229">
        <f>IF(ISERROR(LOOKUP(AC$16,$L163:$X163,#REF!)),0,(LOOKUP(AC$16,$L163:$X163,#REF!)))</f>
        <v>0</v>
      </c>
      <c r="AD163" s="230">
        <f>IF(ISERROR(LOOKUP(AD$16,$L163:$X163,#REF!)),0,(LOOKUP(AD$16,$L163:$X163,#REF!)))</f>
        <v>0</v>
      </c>
      <c r="AE163" s="230">
        <f>IF(ISERROR(LOOKUP(AE$16,$L163:$X163,#REF!)),0,(LOOKUP(AE$16,$L163:$X163,#REF!)))</f>
        <v>0</v>
      </c>
      <c r="AF163" s="230">
        <f>IF(ISERROR(LOOKUP(AF$16,$L163:$X163,#REF!)),0,(LOOKUP(AF$16,$L163:$X163,#REF!)))</f>
        <v>0</v>
      </c>
      <c r="AG163" s="230">
        <f>IF(ISERROR(LOOKUP(AG$16,$L163:$X163,#REF!)),0,(LOOKUP(AG$16,$L163:$X163,#REF!)))</f>
        <v>0</v>
      </c>
      <c r="AH163" s="230">
        <f>IF(ISERROR(LOOKUP(AH$16,$L163:$X163,#REF!)),0,(LOOKUP(AH$16,$L163:$X163,#REF!)))</f>
        <v>0</v>
      </c>
      <c r="AI163" s="230">
        <f>IF(ISERROR(LOOKUP(AI$16,$L163:$X163,#REF!)),0,(LOOKUP(AI$16,$L163:$X163,#REF!)))</f>
        <v>0</v>
      </c>
      <c r="AJ163" s="230">
        <f>IF(ISERROR(LOOKUP(AJ$16,$L163:$X163,#REF!)),0,(LOOKUP(AJ$16,$L163:$X163,#REF!)))</f>
        <v>0</v>
      </c>
      <c r="AK163" s="230">
        <f>IF(ISERROR(LOOKUP(AK$16,$L163:$X163,#REF!)),0,(LOOKUP(AK$16,$L163:$X163,#REF!)))</f>
        <v>0</v>
      </c>
      <c r="AL163" s="230">
        <f>IF(ISERROR(LOOKUP(AL$16,$L163:$X163,#REF!)),0,(LOOKUP(AL$16,$L163:$X163,#REF!)))</f>
        <v>0</v>
      </c>
      <c r="AM163" s="230">
        <f ca="1">IF(ISERROR(LOOKUP(AM$16,$L163:$X163,#REF!)),0,(LOOKUP(AM$16,$L163:$X163,#REF!)))</f>
        <v>0</v>
      </c>
      <c r="AP163" s="212"/>
      <c r="AQ163" s="212"/>
      <c r="AR163" s="212"/>
      <c r="AS163" s="440"/>
      <c r="AW163" s="223" t="e">
        <v>#REF!</v>
      </c>
    </row>
    <row r="164" spans="1:49" s="166" customFormat="1" ht="18" customHeight="1">
      <c r="A164" s="482">
        <f>A161+1</f>
        <v>50</v>
      </c>
      <c r="B164" s="479"/>
      <c r="C164" s="458" t="s">
        <v>4798</v>
      </c>
      <c r="D164" s="458" t="s">
        <v>217</v>
      </c>
      <c r="E164" s="212"/>
      <c r="F164" s="458" t="s">
        <v>86</v>
      </c>
      <c r="G164" s="458" t="s">
        <v>75</v>
      </c>
      <c r="H164" s="449"/>
      <c r="I164" s="212" t="s">
        <v>7</v>
      </c>
      <c r="J164" s="249" t="s">
        <v>4732</v>
      </c>
      <c r="K164" s="215">
        <f>WORKDAY(L164,-INDEX(L$12:L$15,MATCH($I164,$I$12:$I$15,0)))</f>
        <v>46188</v>
      </c>
      <c r="L164" s="215">
        <f>WORKDAY(M164,-INDEX(M$12:M$15,MATCH($I164,$I$12:$I$15,0)))</f>
        <v>46189</v>
      </c>
      <c r="M164" s="215">
        <f>WORKDAY(N164,-INDEX(N$12:N$15,MATCH($I164,$I$12:$I$15,0)))</f>
        <v>46196</v>
      </c>
      <c r="N164" s="215">
        <f>WORKDAY(O164,-INDEX(O$12:O$15,MATCH($I164,$I$12:$I$15,0)))</f>
        <v>46197</v>
      </c>
      <c r="O164" s="215">
        <f>WORKDAY(R164,-INDEX(R$12:R$15,MATCH($I164,$I$12:$I$15,0)))</f>
        <v>46204</v>
      </c>
      <c r="P164" s="216">
        <f>U164-L164</f>
        <v>75</v>
      </c>
      <c r="Q164" s="217"/>
      <c r="R164" s="215">
        <f>WORKDAY(S164,-INDEX(S$12:S$15,MATCH($I164,$I$12:$I$15,0)))</f>
        <v>46218</v>
      </c>
      <c r="S164" s="215">
        <f>WORKDAY(T164,-INDEX(T$12:T$15,MATCH($I164,$I$12:$I$15,0)))</f>
        <v>46246</v>
      </c>
      <c r="T164" s="215">
        <f>WORKDAY(U164,-INDEX(U$12:U$15,MATCH($I164,$I$12:$I$15,0)))</f>
        <v>46251</v>
      </c>
      <c r="U164" s="215">
        <f>X164-Y164</f>
        <v>46264</v>
      </c>
      <c r="V164" s="215">
        <f>WORKDAY(U164,INDEX(V$12:V$15,MATCH($I164,$I$12:$I$15,0)))</f>
        <v>46266</v>
      </c>
      <c r="W164" s="218">
        <f>Y164/7</f>
        <v>26.1428571428571</v>
      </c>
      <c r="X164" s="215">
        <f>Z164</f>
        <v>46447</v>
      </c>
      <c r="Y164" s="448">
        <v>183</v>
      </c>
      <c r="Z164" s="443">
        <v>46447</v>
      </c>
      <c r="AA164" s="443">
        <v>46538</v>
      </c>
      <c r="AB164" s="442">
        <f>Z164-X165</f>
        <v>0</v>
      </c>
      <c r="AC164" s="220">
        <f>IF(ISERROR(LOOKUP(AC$16,$L164:$X164,#REF!)),0,(LOOKUP(AC$16,$L164:$X164,#REF!)))</f>
        <v>0</v>
      </c>
      <c r="AD164" s="221">
        <f>IF(ISERROR(LOOKUP(AD$16,$L164:$X164,#REF!)),0,(LOOKUP(AD$16,$L164:$X164,#REF!)))</f>
        <v>0</v>
      </c>
      <c r="AE164" s="221">
        <f>IF(ISERROR(LOOKUP(AE$16,$L164:$X164,#REF!)),0,(LOOKUP(AE$16,$L164:$X164,#REF!)))</f>
        <v>0</v>
      </c>
      <c r="AF164" s="221">
        <f>IF(ISERROR(LOOKUP(AF$16,$L164:$X164,#REF!)),0,(LOOKUP(AF$16,$L164:$X164,#REF!)))</f>
        <v>0</v>
      </c>
      <c r="AG164" s="221">
        <f>IF(ISERROR(LOOKUP(AG$16,$L164:$X164,#REF!)),0,(LOOKUP(AG$16,$L164:$X164,#REF!)))</f>
        <v>0</v>
      </c>
      <c r="AH164" s="221">
        <f>IF(ISERROR(LOOKUP(AH$16,$L164:$X164,#REF!)),0,(LOOKUP(AH$16,$L164:$X164,#REF!)))</f>
        <v>0</v>
      </c>
      <c r="AI164" s="221">
        <f>IF(ISERROR(LOOKUP(AI$16,$L164:$X164,#REF!)),0,(LOOKUP(AI$16,$L164:$X164,#REF!)))</f>
        <v>0</v>
      </c>
      <c r="AJ164" s="221">
        <f>IF(ISERROR(LOOKUP(AJ$16,$L164:$X164,#REF!)),0,(LOOKUP(AJ$16,$L164:$X164,#REF!)))</f>
        <v>0</v>
      </c>
      <c r="AK164" s="221">
        <f>IF(ISERROR(LOOKUP(AK$16,$L164:$X164,#REF!)),0,(LOOKUP(AK$16,$L164:$X164,#REF!)))</f>
        <v>0</v>
      </c>
      <c r="AL164" s="221">
        <f>IF(ISERROR(LOOKUP(AL$16,$L164:$X164,#REF!)),0,(LOOKUP(AL$16,$L164:$X164,#REF!)))</f>
        <v>0</v>
      </c>
      <c r="AM164" s="221">
        <f ca="1">IF(ISERROR(LOOKUP(AM$16,$L164:$X164,#REF!)),0,(LOOKUP(AM$16,$L164:$X164,#REF!)))</f>
        <v>0</v>
      </c>
      <c r="AP164" s="215" t="e">
        <f>WORKDAY(AQ164,-INDEX(AQ$12:AQ$15,MATCH($I164,$I$12:$I$15,0)),$AW$17:$AW$148)</f>
        <v>#REF!</v>
      </c>
      <c r="AQ164" s="215" t="e">
        <f>WORKDAY(U164,-INDEX(U$12:U$15,MATCH($I164,$I$12:$I$15,0)),$AW$17:$AW$148)</f>
        <v>#REF!</v>
      </c>
      <c r="AR164" s="215" t="e">
        <f>WORKDAY(U164,-INDEX(U$12:U$15,MATCH($I164,$I$12:$I$15,0)),$AW$17:$AW$148)</f>
        <v>#REF!</v>
      </c>
      <c r="AS164" s="440">
        <v>7</v>
      </c>
      <c r="AW164" s="223" t="e">
        <v>#REF!</v>
      </c>
    </row>
    <row r="165" spans="1:49" s="166" customFormat="1" ht="18" customHeight="1">
      <c r="A165" s="482"/>
      <c r="B165" s="480"/>
      <c r="C165" s="458" t="str">
        <f>C164</f>
        <v>RFQ-050</v>
      </c>
      <c r="D165" s="458" t="str">
        <f>D164</f>
        <v>GLOBE VALVE (WELDED END)</v>
      </c>
      <c r="E165" s="212"/>
      <c r="F165" s="458" t="str">
        <f>F164</f>
        <v>Piping</v>
      </c>
      <c r="G165" s="458" t="str">
        <f>G164</f>
        <v>N</v>
      </c>
      <c r="H165" s="450"/>
      <c r="I165" s="212" t="str">
        <f>I164</f>
        <v>LB</v>
      </c>
      <c r="J165" s="249" t="s">
        <v>68</v>
      </c>
      <c r="K165" s="215">
        <f>K164</f>
        <v>46188</v>
      </c>
      <c r="L165" s="215">
        <f>WORKDAY(IF(K166="",K165,K166),INDEX(L$12:L$15,MATCH($I164,$I$12:$I$15,0)))</f>
        <v>46189</v>
      </c>
      <c r="M165" s="215">
        <f>WORKDAY(IF(L166="",L165,L166),INDEX(M$12:M$15,MATCH($I164,$I$12:$I$15,0)))</f>
        <v>46196</v>
      </c>
      <c r="N165" s="215">
        <f>WORKDAY(IF(M166="",M165,M166),INDEX(N$12:N$15,MATCH($I164,$I$12:$I$15,0)))</f>
        <v>46197</v>
      </c>
      <c r="O165" s="215">
        <f>WORKDAY(IF(N166="",N165,N166),INDEX(O$12:O$15,MATCH($I164,$I$12:$I$15,0)))</f>
        <v>46204</v>
      </c>
      <c r="P165" s="216"/>
      <c r="Q165" s="217"/>
      <c r="R165" s="215">
        <f>WORKDAY(IF(O166="",O165,O166),INDEX(R$12:R$15,MATCH($I164,$I$12:$I$15,0)))</f>
        <v>46218</v>
      </c>
      <c r="S165" s="215">
        <f>WORKDAY(IF(R166="",R165,R166),INDEX(S$12:S$15,MATCH($I164,$I$12:$I$15,0)))</f>
        <v>46246</v>
      </c>
      <c r="T165" s="215">
        <f>WORKDAY(IF(S166="",S165,S166),INDEX(T$12:T$15,MATCH($I164,$I$12:$I$15,0)))</f>
        <v>46251</v>
      </c>
      <c r="U165" s="215">
        <f>WORKDAY(IF(T166="",T165,T166),INDEX(U$12:U$15,MATCH($I164,$I$12:$I$15,0)))-1</f>
        <v>46264</v>
      </c>
      <c r="V165" s="215">
        <f>WORKDAY(IF(U166="",U165,U166),INDEX(V$12:V$15,MATCH($I164,$I$12:$I$15,0)))</f>
        <v>46266</v>
      </c>
      <c r="W165" s="218"/>
      <c r="X165" s="215">
        <f>U165+Y164</f>
        <v>46447</v>
      </c>
      <c r="Y165" s="448"/>
      <c r="Z165" s="443"/>
      <c r="AA165" s="443"/>
      <c r="AB165" s="442"/>
      <c r="AC165" s="220">
        <f>IF(ISERROR(LOOKUP(AC$16,$L165:$X165,#REF!)),0,(LOOKUP(AC$16,$L165:$X165,#REF!)))</f>
        <v>0</v>
      </c>
      <c r="AD165" s="221">
        <f>IF(ISERROR(LOOKUP(AD$16,$L165:$X165,#REF!)),0,(LOOKUP(AD$16,$L165:$X165,#REF!)))</f>
        <v>0</v>
      </c>
      <c r="AE165" s="221">
        <f>IF(ISERROR(LOOKUP(AE$16,$L165:$X165,#REF!)),0,(LOOKUP(AE$16,$L165:$X165,#REF!)))</f>
        <v>0</v>
      </c>
      <c r="AF165" s="221">
        <f>IF(ISERROR(LOOKUP(AF$16,$L165:$X165,#REF!)),0,(LOOKUP(AF$16,$L165:$X165,#REF!)))</f>
        <v>0</v>
      </c>
      <c r="AG165" s="221">
        <f>IF(ISERROR(LOOKUP(AG$16,$L165:$X165,#REF!)),0,(LOOKUP(AG$16,$L165:$X165,#REF!)))</f>
        <v>0</v>
      </c>
      <c r="AH165" s="221">
        <f>IF(ISERROR(LOOKUP(AH$16,$L165:$X165,#REF!)),0,(LOOKUP(AH$16,$L165:$X165,#REF!)))</f>
        <v>0</v>
      </c>
      <c r="AI165" s="221">
        <f>IF(ISERROR(LOOKUP(AI$16,$L165:$X165,#REF!)),0,(LOOKUP(AI$16,$L165:$X165,#REF!)))</f>
        <v>0</v>
      </c>
      <c r="AJ165" s="221">
        <f>IF(ISERROR(LOOKUP(AJ$16,$L165:$X165,#REF!)),0,(LOOKUP(AJ$16,$L165:$X165,#REF!)))</f>
        <v>0</v>
      </c>
      <c r="AK165" s="221">
        <f>IF(ISERROR(LOOKUP(AK$16,$L165:$X165,#REF!)),0,(LOOKUP(AK$16,$L165:$X165,#REF!)))</f>
        <v>0</v>
      </c>
      <c r="AL165" s="221">
        <f>IF(ISERROR(LOOKUP(AL$16,$L165:$X165,#REF!)),0,(LOOKUP(AL$16,$L165:$X165,#REF!)))</f>
        <v>0</v>
      </c>
      <c r="AM165" s="221">
        <f ca="1">IF(ISERROR(LOOKUP(AM$16,$L165:$X165,#REF!)),0,(LOOKUP(AM$16,$L165:$X165,#REF!)))</f>
        <v>0</v>
      </c>
      <c r="AP165" s="215" t="e">
        <f>WORKDAY(IF(T166="",T165,T166),INDEX(AP$12:AP$15,MATCH($I164,$I$12:$I$15,0)),$AW$17:$AW$148)</f>
        <v>#REF!</v>
      </c>
      <c r="AQ165" s="215" t="e">
        <f>WORKDAY(IF(AP166="",AP165,AP166),INDEX(AQ$12:AQ$15,MATCH($I164,$I$12:$I$15,0)),$AW$17:$AW$148)</f>
        <v>#REF!</v>
      </c>
      <c r="AR165" s="215" t="e">
        <f>WORKDAY(IF(AQ166="",AQ165,AQ166),INDEX(AR$12:AR$15,MATCH($I164,$I$12:$I$15,0)),$AW$17:$AW$148)</f>
        <v>#REF!</v>
      </c>
      <c r="AS165" s="440"/>
      <c r="AW165" s="223" t="e">
        <v>#REF!</v>
      </c>
    </row>
    <row r="166" spans="1:49" s="166" customFormat="1" ht="18" customHeight="1">
      <c r="A166" s="482"/>
      <c r="B166" s="481"/>
      <c r="C166" s="458" t="str">
        <f>C164</f>
        <v>RFQ-050</v>
      </c>
      <c r="D166" s="458" t="str">
        <f>D164</f>
        <v>GLOBE VALVE (WELDED END)</v>
      </c>
      <c r="E166" s="212"/>
      <c r="F166" s="458" t="str">
        <f>F164</f>
        <v>Piping</v>
      </c>
      <c r="G166" s="458" t="str">
        <f>G164</f>
        <v>N</v>
      </c>
      <c r="H166" s="451"/>
      <c r="I166" s="212" t="str">
        <f>I164</f>
        <v>LB</v>
      </c>
      <c r="J166" s="249" t="s">
        <v>70</v>
      </c>
      <c r="K166" s="212"/>
      <c r="L166" s="212"/>
      <c r="M166" s="212"/>
      <c r="N166" s="212"/>
      <c r="O166" s="212"/>
      <c r="P166" s="226"/>
      <c r="Q166" s="227"/>
      <c r="R166" s="212"/>
      <c r="S166" s="212"/>
      <c r="T166" s="212"/>
      <c r="U166" s="212"/>
      <c r="V166" s="212"/>
      <c r="W166" s="228"/>
      <c r="X166" s="212"/>
      <c r="Y166" s="448"/>
      <c r="Z166" s="443"/>
      <c r="AA166" s="443"/>
      <c r="AB166" s="442"/>
      <c r="AC166" s="229">
        <f>IF(ISERROR(LOOKUP(AC$16,$L166:$X166,#REF!)),0,(LOOKUP(AC$16,$L166:$X166,#REF!)))</f>
        <v>0</v>
      </c>
      <c r="AD166" s="230">
        <f>IF(ISERROR(LOOKUP(AD$16,$L166:$X166,#REF!)),0,(LOOKUP(AD$16,$L166:$X166,#REF!)))</f>
        <v>0</v>
      </c>
      <c r="AE166" s="230">
        <f>IF(ISERROR(LOOKUP(AE$16,$L166:$X166,#REF!)),0,(LOOKUP(AE$16,$L166:$X166,#REF!)))</f>
        <v>0</v>
      </c>
      <c r="AF166" s="230">
        <f>IF(ISERROR(LOOKUP(AF$16,$L166:$X166,#REF!)),0,(LOOKUP(AF$16,$L166:$X166,#REF!)))</f>
        <v>0</v>
      </c>
      <c r="AG166" s="230">
        <f>IF(ISERROR(LOOKUP(AG$16,$L166:$X166,#REF!)),0,(LOOKUP(AG$16,$L166:$X166,#REF!)))</f>
        <v>0</v>
      </c>
      <c r="AH166" s="230">
        <f>IF(ISERROR(LOOKUP(AH$16,$L166:$X166,#REF!)),0,(LOOKUP(AH$16,$L166:$X166,#REF!)))</f>
        <v>0</v>
      </c>
      <c r="AI166" s="230">
        <f>IF(ISERROR(LOOKUP(AI$16,$L166:$X166,#REF!)),0,(LOOKUP(AI$16,$L166:$X166,#REF!)))</f>
        <v>0</v>
      </c>
      <c r="AJ166" s="230">
        <f>IF(ISERROR(LOOKUP(AJ$16,$L166:$X166,#REF!)),0,(LOOKUP(AJ$16,$L166:$X166,#REF!)))</f>
        <v>0</v>
      </c>
      <c r="AK166" s="230">
        <f>IF(ISERROR(LOOKUP(AK$16,$L166:$X166,#REF!)),0,(LOOKUP(AK$16,$L166:$X166,#REF!)))</f>
        <v>0</v>
      </c>
      <c r="AL166" s="230">
        <f>IF(ISERROR(LOOKUP(AL$16,$L166:$X166,#REF!)),0,(LOOKUP(AL$16,$L166:$X166,#REF!)))</f>
        <v>0</v>
      </c>
      <c r="AM166" s="230">
        <f ca="1">IF(ISERROR(LOOKUP(AM$16,$L166:$X166,#REF!)),0,(LOOKUP(AM$16,$L166:$X166,#REF!)))</f>
        <v>0</v>
      </c>
      <c r="AP166" s="212"/>
      <c r="AQ166" s="212"/>
      <c r="AR166" s="212"/>
      <c r="AS166" s="440"/>
      <c r="AW166" s="223" t="e">
        <v>#REF!</v>
      </c>
    </row>
    <row r="167" spans="1:49" s="166" customFormat="1" ht="18" customHeight="1">
      <c r="A167" s="482">
        <f>A164+1</f>
        <v>51</v>
      </c>
      <c r="B167" s="479"/>
      <c r="C167" s="458" t="s">
        <v>4799</v>
      </c>
      <c r="D167" s="458" t="s">
        <v>219</v>
      </c>
      <c r="E167" s="212"/>
      <c r="F167" s="458" t="s">
        <v>86</v>
      </c>
      <c r="G167" s="458" t="s">
        <v>75</v>
      </c>
      <c r="H167" s="449"/>
      <c r="I167" s="212" t="s">
        <v>7</v>
      </c>
      <c r="J167" s="249" t="s">
        <v>4732</v>
      </c>
      <c r="K167" s="215">
        <f>WORKDAY(L167,-INDEX(L$12:L$15,MATCH($I167,$I$12:$I$15,0)))</f>
        <v>46188</v>
      </c>
      <c r="L167" s="215">
        <f>WORKDAY(M167,-INDEX(M$12:M$15,MATCH($I167,$I$12:$I$15,0)))</f>
        <v>46189</v>
      </c>
      <c r="M167" s="215">
        <f>WORKDAY(N167,-INDEX(N$12:N$15,MATCH($I167,$I$12:$I$15,0)))</f>
        <v>46196</v>
      </c>
      <c r="N167" s="215">
        <f>WORKDAY(O167,-INDEX(O$12:O$15,MATCH($I167,$I$12:$I$15,0)))</f>
        <v>46197</v>
      </c>
      <c r="O167" s="215">
        <f>WORKDAY(R167,-INDEX(R$12:R$15,MATCH($I167,$I$12:$I$15,0)))</f>
        <v>46204</v>
      </c>
      <c r="P167" s="216">
        <f>U167-L167</f>
        <v>75</v>
      </c>
      <c r="Q167" s="217"/>
      <c r="R167" s="215">
        <f>WORKDAY(S167,-INDEX(S$12:S$15,MATCH($I167,$I$12:$I$15,0)))</f>
        <v>46218</v>
      </c>
      <c r="S167" s="215">
        <f>WORKDAY(T167,-INDEX(T$12:T$15,MATCH($I167,$I$12:$I$15,0)))</f>
        <v>46246</v>
      </c>
      <c r="T167" s="215">
        <f>WORKDAY(U167,-INDEX(U$12:U$15,MATCH($I167,$I$12:$I$15,0)))</f>
        <v>46251</v>
      </c>
      <c r="U167" s="215">
        <f>X167-Y167</f>
        <v>46264</v>
      </c>
      <c r="V167" s="215">
        <f>WORKDAY(U167,INDEX(V$12:V$15,MATCH($I167,$I$12:$I$15,0)))</f>
        <v>46266</v>
      </c>
      <c r="W167" s="218">
        <f>Y167/7</f>
        <v>26.1428571428571</v>
      </c>
      <c r="X167" s="215">
        <f>Z167</f>
        <v>46447</v>
      </c>
      <c r="Y167" s="448">
        <v>183</v>
      </c>
      <c r="Z167" s="443">
        <v>46447</v>
      </c>
      <c r="AA167" s="443">
        <v>46538</v>
      </c>
      <c r="AB167" s="442">
        <f>Z167-X168</f>
        <v>0</v>
      </c>
      <c r="AC167" s="220">
        <f>IF(ISERROR(LOOKUP(AC$16,$L167:$X167,#REF!)),0,(LOOKUP(AC$16,$L167:$X167,#REF!)))</f>
        <v>0</v>
      </c>
      <c r="AD167" s="221">
        <f>IF(ISERROR(LOOKUP(AD$16,$L167:$X167,#REF!)),0,(LOOKUP(AD$16,$L167:$X167,#REF!)))</f>
        <v>0</v>
      </c>
      <c r="AE167" s="221">
        <f>IF(ISERROR(LOOKUP(AE$16,$L167:$X167,#REF!)),0,(LOOKUP(AE$16,$L167:$X167,#REF!)))</f>
        <v>0</v>
      </c>
      <c r="AF167" s="221">
        <f>IF(ISERROR(LOOKUP(AF$16,$L167:$X167,#REF!)),0,(LOOKUP(AF$16,$L167:$X167,#REF!)))</f>
        <v>0</v>
      </c>
      <c r="AG167" s="221">
        <f>IF(ISERROR(LOOKUP(AG$16,$L167:$X167,#REF!)),0,(LOOKUP(AG$16,$L167:$X167,#REF!)))</f>
        <v>0</v>
      </c>
      <c r="AH167" s="221">
        <f>IF(ISERROR(LOOKUP(AH$16,$L167:$X167,#REF!)),0,(LOOKUP(AH$16,$L167:$X167,#REF!)))</f>
        <v>0</v>
      </c>
      <c r="AI167" s="221">
        <f>IF(ISERROR(LOOKUP(AI$16,$L167:$X167,#REF!)),0,(LOOKUP(AI$16,$L167:$X167,#REF!)))</f>
        <v>0</v>
      </c>
      <c r="AJ167" s="221">
        <f>IF(ISERROR(LOOKUP(AJ$16,$L167:$X167,#REF!)),0,(LOOKUP(AJ$16,$L167:$X167,#REF!)))</f>
        <v>0</v>
      </c>
      <c r="AK167" s="221">
        <f>IF(ISERROR(LOOKUP(AK$16,$L167:$X167,#REF!)),0,(LOOKUP(AK$16,$L167:$X167,#REF!)))</f>
        <v>0</v>
      </c>
      <c r="AL167" s="221">
        <f>IF(ISERROR(LOOKUP(AL$16,$L167:$X167,#REF!)),0,(LOOKUP(AL$16,$L167:$X167,#REF!)))</f>
        <v>0</v>
      </c>
      <c r="AM167" s="221">
        <f ca="1">IF(ISERROR(LOOKUP(AM$16,$L167:$X167,#REF!)),0,(LOOKUP(AM$16,$L167:$X167,#REF!)))</f>
        <v>0</v>
      </c>
      <c r="AP167" s="215" t="e">
        <f>WORKDAY(AQ167,-INDEX(AQ$12:AQ$15,MATCH($I167,$I$12:$I$15,0)),$AW$17:$AW$148)</f>
        <v>#REF!</v>
      </c>
      <c r="AQ167" s="215" t="e">
        <f>WORKDAY(U167,-INDEX(U$12:U$15,MATCH($I167,$I$12:$I$15,0)),$AW$17:$AW$148)</f>
        <v>#REF!</v>
      </c>
      <c r="AR167" s="215" t="e">
        <f>WORKDAY(U167,-INDEX(U$12:U$15,MATCH($I167,$I$12:$I$15,0)),$AW$17:$AW$148)</f>
        <v>#REF!</v>
      </c>
      <c r="AS167" s="440">
        <v>7</v>
      </c>
      <c r="AW167" s="223" t="e">
        <v>#REF!</v>
      </c>
    </row>
    <row r="168" spans="1:49" s="166" customFormat="1" ht="18" customHeight="1">
      <c r="A168" s="482"/>
      <c r="B168" s="480"/>
      <c r="C168" s="458" t="str">
        <f>C167</f>
        <v>RFQ-051</v>
      </c>
      <c r="D168" s="458" t="str">
        <f>D167</f>
        <v>CHECK VALVE (FLANGE END)</v>
      </c>
      <c r="E168" s="212"/>
      <c r="F168" s="458" t="str">
        <f>F167</f>
        <v>Piping</v>
      </c>
      <c r="G168" s="458" t="str">
        <f>G167</f>
        <v>N</v>
      </c>
      <c r="H168" s="450"/>
      <c r="I168" s="212" t="str">
        <f>I167</f>
        <v>LB</v>
      </c>
      <c r="J168" s="249" t="s">
        <v>68</v>
      </c>
      <c r="K168" s="215">
        <f>K167</f>
        <v>46188</v>
      </c>
      <c r="L168" s="215">
        <f>WORKDAY(IF(K169="",K168,K169),INDEX(L$12:L$15,MATCH($I167,$I$12:$I$15,0)))</f>
        <v>46189</v>
      </c>
      <c r="M168" s="215">
        <f>WORKDAY(IF(L169="",L168,L169),INDEX(M$12:M$15,MATCH($I167,$I$12:$I$15,0)))</f>
        <v>46196</v>
      </c>
      <c r="N168" s="215">
        <f>WORKDAY(IF(M169="",M168,M169),INDEX(N$12:N$15,MATCH($I167,$I$12:$I$15,0)))</f>
        <v>46197</v>
      </c>
      <c r="O168" s="215">
        <f>WORKDAY(IF(N169="",N168,N169),INDEX(O$12:O$15,MATCH($I167,$I$12:$I$15,0)))</f>
        <v>46204</v>
      </c>
      <c r="P168" s="216"/>
      <c r="Q168" s="217"/>
      <c r="R168" s="215">
        <f>WORKDAY(IF(O169="",O168,O169),INDEX(R$12:R$15,MATCH($I167,$I$12:$I$15,0)))</f>
        <v>46218</v>
      </c>
      <c r="S168" s="215">
        <f>WORKDAY(IF(R169="",R168,R169),INDEX(S$12:S$15,MATCH($I167,$I$12:$I$15,0)))</f>
        <v>46246</v>
      </c>
      <c r="T168" s="215">
        <f>WORKDAY(IF(S169="",S168,S169),INDEX(T$12:T$15,MATCH($I167,$I$12:$I$15,0)))</f>
        <v>46251</v>
      </c>
      <c r="U168" s="215">
        <f>WORKDAY(IF(T169="",T168,T169),INDEX(U$12:U$15,MATCH($I167,$I$12:$I$15,0)))-1</f>
        <v>46264</v>
      </c>
      <c r="V168" s="215">
        <f>WORKDAY(IF(U169="",U168,U169),INDEX(V$12:V$15,MATCH($I167,$I$12:$I$15,0)))</f>
        <v>46266</v>
      </c>
      <c r="W168" s="218"/>
      <c r="X168" s="215">
        <f>U168+Y167</f>
        <v>46447</v>
      </c>
      <c r="Y168" s="448"/>
      <c r="Z168" s="443"/>
      <c r="AA168" s="443"/>
      <c r="AB168" s="442"/>
      <c r="AC168" s="220">
        <f>IF(ISERROR(LOOKUP(AC$16,$L168:$X168,#REF!)),0,(LOOKUP(AC$16,$L168:$X168,#REF!)))</f>
        <v>0</v>
      </c>
      <c r="AD168" s="221">
        <f>IF(ISERROR(LOOKUP(AD$16,$L168:$X168,#REF!)),0,(LOOKUP(AD$16,$L168:$X168,#REF!)))</f>
        <v>0</v>
      </c>
      <c r="AE168" s="221">
        <f>IF(ISERROR(LOOKUP(AE$16,$L168:$X168,#REF!)),0,(LOOKUP(AE$16,$L168:$X168,#REF!)))</f>
        <v>0</v>
      </c>
      <c r="AF168" s="221">
        <f>IF(ISERROR(LOOKUP(AF$16,$L168:$X168,#REF!)),0,(LOOKUP(AF$16,$L168:$X168,#REF!)))</f>
        <v>0</v>
      </c>
      <c r="AG168" s="221">
        <f>IF(ISERROR(LOOKUP(AG$16,$L168:$X168,#REF!)),0,(LOOKUP(AG$16,$L168:$X168,#REF!)))</f>
        <v>0</v>
      </c>
      <c r="AH168" s="221">
        <f>IF(ISERROR(LOOKUP(AH$16,$L168:$X168,#REF!)),0,(LOOKUP(AH$16,$L168:$X168,#REF!)))</f>
        <v>0</v>
      </c>
      <c r="AI168" s="221">
        <f>IF(ISERROR(LOOKUP(AI$16,$L168:$X168,#REF!)),0,(LOOKUP(AI$16,$L168:$X168,#REF!)))</f>
        <v>0</v>
      </c>
      <c r="AJ168" s="221">
        <f>IF(ISERROR(LOOKUP(AJ$16,$L168:$X168,#REF!)),0,(LOOKUP(AJ$16,$L168:$X168,#REF!)))</f>
        <v>0</v>
      </c>
      <c r="AK168" s="221">
        <f>IF(ISERROR(LOOKUP(AK$16,$L168:$X168,#REF!)),0,(LOOKUP(AK$16,$L168:$X168,#REF!)))</f>
        <v>0</v>
      </c>
      <c r="AL168" s="221">
        <f>IF(ISERROR(LOOKUP(AL$16,$L168:$X168,#REF!)),0,(LOOKUP(AL$16,$L168:$X168,#REF!)))</f>
        <v>0</v>
      </c>
      <c r="AM168" s="221">
        <f ca="1">IF(ISERROR(LOOKUP(AM$16,$L168:$X168,#REF!)),0,(LOOKUP(AM$16,$L168:$X168,#REF!)))</f>
        <v>0</v>
      </c>
      <c r="AP168" s="215" t="e">
        <f>WORKDAY(IF(T169="",T168,T169),INDEX(AP$12:AP$15,MATCH($I167,$I$12:$I$15,0)),$AW$17:$AW$148)</f>
        <v>#REF!</v>
      </c>
      <c r="AQ168" s="215" t="e">
        <f>WORKDAY(IF(AP169="",AP168,AP169),INDEX(AQ$12:AQ$15,MATCH($I167,$I$12:$I$15,0)),$AW$17:$AW$148)</f>
        <v>#REF!</v>
      </c>
      <c r="AR168" s="215" t="e">
        <f>WORKDAY(IF(AQ169="",AQ168,AQ169),INDEX(AR$12:AR$15,MATCH($I167,$I$12:$I$15,0)),$AW$17:$AW$148)</f>
        <v>#REF!</v>
      </c>
      <c r="AS168" s="440"/>
      <c r="AW168" s="223" t="e">
        <v>#REF!</v>
      </c>
    </row>
    <row r="169" spans="1:49" s="166" customFormat="1" ht="18" customHeight="1">
      <c r="A169" s="482"/>
      <c r="B169" s="481"/>
      <c r="C169" s="458" t="str">
        <f>C167</f>
        <v>RFQ-051</v>
      </c>
      <c r="D169" s="458" t="str">
        <f>D167</f>
        <v>CHECK VALVE (FLANGE END)</v>
      </c>
      <c r="E169" s="212"/>
      <c r="F169" s="458" t="str">
        <f>F167</f>
        <v>Piping</v>
      </c>
      <c r="G169" s="458" t="str">
        <f>G167</f>
        <v>N</v>
      </c>
      <c r="H169" s="451"/>
      <c r="I169" s="212" t="str">
        <f>I167</f>
        <v>LB</v>
      </c>
      <c r="J169" s="249" t="s">
        <v>70</v>
      </c>
      <c r="K169" s="212"/>
      <c r="L169" s="212"/>
      <c r="M169" s="212"/>
      <c r="N169" s="212"/>
      <c r="O169" s="212"/>
      <c r="P169" s="226"/>
      <c r="Q169" s="227"/>
      <c r="R169" s="212"/>
      <c r="S169" s="212"/>
      <c r="T169" s="212"/>
      <c r="U169" s="212"/>
      <c r="V169" s="212"/>
      <c r="W169" s="228"/>
      <c r="X169" s="212"/>
      <c r="Y169" s="448"/>
      <c r="Z169" s="443"/>
      <c r="AA169" s="443"/>
      <c r="AB169" s="442"/>
      <c r="AC169" s="229">
        <f>IF(ISERROR(LOOKUP(AC$16,$L169:$X169,#REF!)),0,(LOOKUP(AC$16,$L169:$X169,#REF!)))</f>
        <v>0</v>
      </c>
      <c r="AD169" s="230">
        <f>IF(ISERROR(LOOKUP(AD$16,$L169:$X169,#REF!)),0,(LOOKUP(AD$16,$L169:$X169,#REF!)))</f>
        <v>0</v>
      </c>
      <c r="AE169" s="230">
        <f>IF(ISERROR(LOOKUP(AE$16,$L169:$X169,#REF!)),0,(LOOKUP(AE$16,$L169:$X169,#REF!)))</f>
        <v>0</v>
      </c>
      <c r="AF169" s="230">
        <f>IF(ISERROR(LOOKUP(AF$16,$L169:$X169,#REF!)),0,(LOOKUP(AF$16,$L169:$X169,#REF!)))</f>
        <v>0</v>
      </c>
      <c r="AG169" s="230">
        <f>IF(ISERROR(LOOKUP(AG$16,$L169:$X169,#REF!)),0,(LOOKUP(AG$16,$L169:$X169,#REF!)))</f>
        <v>0</v>
      </c>
      <c r="AH169" s="230">
        <f>IF(ISERROR(LOOKUP(AH$16,$L169:$X169,#REF!)),0,(LOOKUP(AH$16,$L169:$X169,#REF!)))</f>
        <v>0</v>
      </c>
      <c r="AI169" s="230">
        <f>IF(ISERROR(LOOKUP(AI$16,$L169:$X169,#REF!)),0,(LOOKUP(AI$16,$L169:$X169,#REF!)))</f>
        <v>0</v>
      </c>
      <c r="AJ169" s="230">
        <f>IF(ISERROR(LOOKUP(AJ$16,$L169:$X169,#REF!)),0,(LOOKUP(AJ$16,$L169:$X169,#REF!)))</f>
        <v>0</v>
      </c>
      <c r="AK169" s="230">
        <f>IF(ISERROR(LOOKUP(AK$16,$L169:$X169,#REF!)),0,(LOOKUP(AK$16,$L169:$X169,#REF!)))</f>
        <v>0</v>
      </c>
      <c r="AL169" s="230">
        <f>IF(ISERROR(LOOKUP(AL$16,$L169:$X169,#REF!)),0,(LOOKUP(AL$16,$L169:$X169,#REF!)))</f>
        <v>0</v>
      </c>
      <c r="AM169" s="230">
        <f ca="1">IF(ISERROR(LOOKUP(AM$16,$L169:$X169,#REF!)),0,(LOOKUP(AM$16,$L169:$X169,#REF!)))</f>
        <v>0</v>
      </c>
      <c r="AP169" s="212"/>
      <c r="AQ169" s="212"/>
      <c r="AR169" s="212"/>
      <c r="AS169" s="440"/>
      <c r="AW169" s="223" t="e">
        <v>#REF!</v>
      </c>
    </row>
    <row r="170" spans="1:49" s="166" customFormat="1" ht="18" customHeight="1">
      <c r="A170" s="482">
        <f>A167+1</f>
        <v>52</v>
      </c>
      <c r="B170" s="479"/>
      <c r="C170" s="458" t="s">
        <v>4800</v>
      </c>
      <c r="D170" s="458" t="s">
        <v>221</v>
      </c>
      <c r="E170" s="212"/>
      <c r="F170" s="458" t="s">
        <v>86</v>
      </c>
      <c r="G170" s="458" t="s">
        <v>75</v>
      </c>
      <c r="H170" s="449"/>
      <c r="I170" s="212" t="s">
        <v>7</v>
      </c>
      <c r="J170" s="249" t="s">
        <v>4732</v>
      </c>
      <c r="K170" s="215">
        <f>WORKDAY(L170,-INDEX(L$12:L$15,MATCH($I170,$I$12:$I$15,0)))</f>
        <v>46188</v>
      </c>
      <c r="L170" s="215">
        <f>WORKDAY(M170,-INDEX(M$12:M$15,MATCH($I170,$I$12:$I$15,0)))</f>
        <v>46189</v>
      </c>
      <c r="M170" s="215">
        <f>WORKDAY(N170,-INDEX(N$12:N$15,MATCH($I170,$I$12:$I$15,0)))</f>
        <v>46196</v>
      </c>
      <c r="N170" s="215">
        <f>WORKDAY(O170,-INDEX(O$12:O$15,MATCH($I170,$I$12:$I$15,0)))</f>
        <v>46197</v>
      </c>
      <c r="O170" s="215">
        <f>WORKDAY(R170,-INDEX(R$12:R$15,MATCH($I170,$I$12:$I$15,0)))</f>
        <v>46204</v>
      </c>
      <c r="P170" s="216">
        <f>U170-L170</f>
        <v>75</v>
      </c>
      <c r="Q170" s="217"/>
      <c r="R170" s="215">
        <f>WORKDAY(S170,-INDEX(S$12:S$15,MATCH($I170,$I$12:$I$15,0)))</f>
        <v>46218</v>
      </c>
      <c r="S170" s="215">
        <f>WORKDAY(T170,-INDEX(T$12:T$15,MATCH($I170,$I$12:$I$15,0)))</f>
        <v>46246</v>
      </c>
      <c r="T170" s="215">
        <f>WORKDAY(U170,-INDEX(U$12:U$15,MATCH($I170,$I$12:$I$15,0)))</f>
        <v>46251</v>
      </c>
      <c r="U170" s="215">
        <f>X170-Y170</f>
        <v>46264</v>
      </c>
      <c r="V170" s="215">
        <f>WORKDAY(U170,INDEX(V$12:V$15,MATCH($I170,$I$12:$I$15,0)))</f>
        <v>46266</v>
      </c>
      <c r="W170" s="218">
        <f>Y170/7</f>
        <v>26.1428571428571</v>
      </c>
      <c r="X170" s="215">
        <f>Z170</f>
        <v>46447</v>
      </c>
      <c r="Y170" s="448">
        <v>183</v>
      </c>
      <c r="Z170" s="443">
        <v>46447</v>
      </c>
      <c r="AA170" s="443">
        <v>46538</v>
      </c>
      <c r="AB170" s="442">
        <f>Z170-X171</f>
        <v>0</v>
      </c>
      <c r="AC170" s="220">
        <f>IF(ISERROR(LOOKUP(AC$16,$L170:$X170,#REF!)),0,(LOOKUP(AC$16,$L170:$X170,#REF!)))</f>
        <v>0</v>
      </c>
      <c r="AD170" s="221">
        <f>IF(ISERROR(LOOKUP(AD$16,$L170:$X170,#REF!)),0,(LOOKUP(AD$16,$L170:$X170,#REF!)))</f>
        <v>0</v>
      </c>
      <c r="AE170" s="221">
        <f>IF(ISERROR(LOOKUP(AE$16,$L170:$X170,#REF!)),0,(LOOKUP(AE$16,$L170:$X170,#REF!)))</f>
        <v>0</v>
      </c>
      <c r="AF170" s="221">
        <f>IF(ISERROR(LOOKUP(AF$16,$L170:$X170,#REF!)),0,(LOOKUP(AF$16,$L170:$X170,#REF!)))</f>
        <v>0</v>
      </c>
      <c r="AG170" s="221">
        <f>IF(ISERROR(LOOKUP(AG$16,$L170:$X170,#REF!)),0,(LOOKUP(AG$16,$L170:$X170,#REF!)))</f>
        <v>0</v>
      </c>
      <c r="AH170" s="221">
        <f>IF(ISERROR(LOOKUP(AH$16,$L170:$X170,#REF!)),0,(LOOKUP(AH$16,$L170:$X170,#REF!)))</f>
        <v>0</v>
      </c>
      <c r="AI170" s="221">
        <f>IF(ISERROR(LOOKUP(AI$16,$L170:$X170,#REF!)),0,(LOOKUP(AI$16,$L170:$X170,#REF!)))</f>
        <v>0</v>
      </c>
      <c r="AJ170" s="221">
        <f>IF(ISERROR(LOOKUP(AJ$16,$L170:$X170,#REF!)),0,(LOOKUP(AJ$16,$L170:$X170,#REF!)))</f>
        <v>0</v>
      </c>
      <c r="AK170" s="221">
        <f>IF(ISERROR(LOOKUP(AK$16,$L170:$X170,#REF!)),0,(LOOKUP(AK$16,$L170:$X170,#REF!)))</f>
        <v>0</v>
      </c>
      <c r="AL170" s="221">
        <f>IF(ISERROR(LOOKUP(AL$16,$L170:$X170,#REF!)),0,(LOOKUP(AL$16,$L170:$X170,#REF!)))</f>
        <v>0</v>
      </c>
      <c r="AM170" s="221">
        <f ca="1">IF(ISERROR(LOOKUP(AM$16,$L170:$X170,#REF!)),0,(LOOKUP(AM$16,$L170:$X170,#REF!)))</f>
        <v>0</v>
      </c>
      <c r="AP170" s="215" t="e">
        <f>WORKDAY(AQ170,-INDEX(AQ$12:AQ$15,MATCH($I170,$I$12:$I$15,0)),$AW$17:$AW$148)</f>
        <v>#REF!</v>
      </c>
      <c r="AQ170" s="215" t="e">
        <f>WORKDAY(U170,-INDEX(U$12:U$15,MATCH($I170,$I$12:$I$15,0)),$AW$17:$AW$148)</f>
        <v>#REF!</v>
      </c>
      <c r="AR170" s="215" t="e">
        <f>WORKDAY(U170,-INDEX(U$12:U$15,MATCH($I170,$I$12:$I$15,0)),$AW$17:$AW$148)</f>
        <v>#REF!</v>
      </c>
      <c r="AS170" s="440">
        <v>7</v>
      </c>
      <c r="AW170" s="223" t="e">
        <v>#REF!</v>
      </c>
    </row>
    <row r="171" spans="1:49" s="166" customFormat="1" ht="18" customHeight="1">
      <c r="A171" s="482"/>
      <c r="B171" s="480"/>
      <c r="C171" s="458" t="str">
        <f>C170</f>
        <v>RFQ-052</v>
      </c>
      <c r="D171" s="458" t="str">
        <f>D170</f>
        <v>CHECK VALVE (WELDED END)</v>
      </c>
      <c r="E171" s="212"/>
      <c r="F171" s="458" t="str">
        <f>F170</f>
        <v>Piping</v>
      </c>
      <c r="G171" s="458" t="str">
        <f>G170</f>
        <v>N</v>
      </c>
      <c r="H171" s="450"/>
      <c r="I171" s="212" t="str">
        <f>I170</f>
        <v>LB</v>
      </c>
      <c r="J171" s="249" t="s">
        <v>68</v>
      </c>
      <c r="K171" s="215">
        <f>K170</f>
        <v>46188</v>
      </c>
      <c r="L171" s="215">
        <f>WORKDAY(IF(K172="",K171,K172),INDEX(L$12:L$15,MATCH($I170,$I$12:$I$15,0)))</f>
        <v>46189</v>
      </c>
      <c r="M171" s="215">
        <f>WORKDAY(IF(L172="",L171,L172),INDEX(M$12:M$15,MATCH($I170,$I$12:$I$15,0)))</f>
        <v>46196</v>
      </c>
      <c r="N171" s="215">
        <f>WORKDAY(IF(M172="",M171,M172),INDEX(N$12:N$15,MATCH($I170,$I$12:$I$15,0)))</f>
        <v>46197</v>
      </c>
      <c r="O171" s="215">
        <f>WORKDAY(IF(N172="",N171,N172),INDEX(O$12:O$15,MATCH($I170,$I$12:$I$15,0)))</f>
        <v>46204</v>
      </c>
      <c r="P171" s="216"/>
      <c r="Q171" s="217"/>
      <c r="R171" s="215">
        <f>WORKDAY(IF(O172="",O171,O172),INDEX(R$12:R$15,MATCH($I170,$I$12:$I$15,0)))</f>
        <v>46218</v>
      </c>
      <c r="S171" s="215">
        <f>WORKDAY(IF(R172="",R171,R172),INDEX(S$12:S$15,MATCH($I170,$I$12:$I$15,0)))</f>
        <v>46246</v>
      </c>
      <c r="T171" s="215">
        <f>WORKDAY(IF(S172="",S171,S172),INDEX(T$12:T$15,MATCH($I170,$I$12:$I$15,0)))</f>
        <v>46251</v>
      </c>
      <c r="U171" s="215">
        <f>WORKDAY(IF(T172="",T171,T172),INDEX(U$12:U$15,MATCH($I170,$I$12:$I$15,0)))-1</f>
        <v>46264</v>
      </c>
      <c r="V171" s="215">
        <f>WORKDAY(IF(U172="",U171,U172),INDEX(V$12:V$15,MATCH($I170,$I$12:$I$15,0)))</f>
        <v>46266</v>
      </c>
      <c r="W171" s="218"/>
      <c r="X171" s="215">
        <f>U171+Y170</f>
        <v>46447</v>
      </c>
      <c r="Y171" s="448"/>
      <c r="Z171" s="443"/>
      <c r="AA171" s="443"/>
      <c r="AB171" s="442"/>
      <c r="AC171" s="220">
        <f>IF(ISERROR(LOOKUP(AC$16,$L171:$X171,#REF!)),0,(LOOKUP(AC$16,$L171:$X171,#REF!)))</f>
        <v>0</v>
      </c>
      <c r="AD171" s="221">
        <f>IF(ISERROR(LOOKUP(AD$16,$L171:$X171,#REF!)),0,(LOOKUP(AD$16,$L171:$X171,#REF!)))</f>
        <v>0</v>
      </c>
      <c r="AE171" s="221">
        <f>IF(ISERROR(LOOKUP(AE$16,$L171:$X171,#REF!)),0,(LOOKUP(AE$16,$L171:$X171,#REF!)))</f>
        <v>0</v>
      </c>
      <c r="AF171" s="221">
        <f>IF(ISERROR(LOOKUP(AF$16,$L171:$X171,#REF!)),0,(LOOKUP(AF$16,$L171:$X171,#REF!)))</f>
        <v>0</v>
      </c>
      <c r="AG171" s="221">
        <f>IF(ISERROR(LOOKUP(AG$16,$L171:$X171,#REF!)),0,(LOOKUP(AG$16,$L171:$X171,#REF!)))</f>
        <v>0</v>
      </c>
      <c r="AH171" s="221">
        <f>IF(ISERROR(LOOKUP(AH$16,$L171:$X171,#REF!)),0,(LOOKUP(AH$16,$L171:$X171,#REF!)))</f>
        <v>0</v>
      </c>
      <c r="AI171" s="221">
        <f>IF(ISERROR(LOOKUP(AI$16,$L171:$X171,#REF!)),0,(LOOKUP(AI$16,$L171:$X171,#REF!)))</f>
        <v>0</v>
      </c>
      <c r="AJ171" s="221">
        <f>IF(ISERROR(LOOKUP(AJ$16,$L171:$X171,#REF!)),0,(LOOKUP(AJ$16,$L171:$X171,#REF!)))</f>
        <v>0</v>
      </c>
      <c r="AK171" s="221">
        <f>IF(ISERROR(LOOKUP(AK$16,$L171:$X171,#REF!)),0,(LOOKUP(AK$16,$L171:$X171,#REF!)))</f>
        <v>0</v>
      </c>
      <c r="AL171" s="221">
        <f>IF(ISERROR(LOOKUP(AL$16,$L171:$X171,#REF!)),0,(LOOKUP(AL$16,$L171:$X171,#REF!)))</f>
        <v>0</v>
      </c>
      <c r="AM171" s="221">
        <f ca="1">IF(ISERROR(LOOKUP(AM$16,$L171:$X171,#REF!)),0,(LOOKUP(AM$16,$L171:$X171,#REF!)))</f>
        <v>0</v>
      </c>
      <c r="AP171" s="215" t="e">
        <f>WORKDAY(IF(T172="",T171,T172),INDEX(AP$12:AP$15,MATCH($I170,$I$12:$I$15,0)),$AW$17:$AW$148)</f>
        <v>#REF!</v>
      </c>
      <c r="AQ171" s="215" t="e">
        <f>WORKDAY(IF(AP172="",AP171,AP172),INDEX(AQ$12:AQ$15,MATCH($I170,$I$12:$I$15,0)),$AW$17:$AW$148)</f>
        <v>#REF!</v>
      </c>
      <c r="AR171" s="215" t="e">
        <f>WORKDAY(IF(AQ172="",AQ171,AQ172),INDEX(AR$12:AR$15,MATCH($I170,$I$12:$I$15,0)),$AW$17:$AW$148)</f>
        <v>#REF!</v>
      </c>
      <c r="AS171" s="440"/>
      <c r="AW171" s="223" t="e">
        <v>#REF!</v>
      </c>
    </row>
    <row r="172" spans="1:49" s="166" customFormat="1" ht="18" customHeight="1">
      <c r="A172" s="482"/>
      <c r="B172" s="481"/>
      <c r="C172" s="458" t="str">
        <f>C170</f>
        <v>RFQ-052</v>
      </c>
      <c r="D172" s="458" t="str">
        <f>D170</f>
        <v>CHECK VALVE (WELDED END)</v>
      </c>
      <c r="E172" s="212"/>
      <c r="F172" s="458" t="str">
        <f>F170</f>
        <v>Piping</v>
      </c>
      <c r="G172" s="458" t="str">
        <f>G170</f>
        <v>N</v>
      </c>
      <c r="H172" s="451"/>
      <c r="I172" s="212" t="str">
        <f>I170</f>
        <v>LB</v>
      </c>
      <c r="J172" s="249" t="s">
        <v>70</v>
      </c>
      <c r="K172" s="212"/>
      <c r="L172" s="212"/>
      <c r="M172" s="212"/>
      <c r="N172" s="212"/>
      <c r="O172" s="212"/>
      <c r="P172" s="226"/>
      <c r="Q172" s="227"/>
      <c r="R172" s="212"/>
      <c r="S172" s="212"/>
      <c r="T172" s="212"/>
      <c r="U172" s="212"/>
      <c r="V172" s="212"/>
      <c r="W172" s="228"/>
      <c r="X172" s="212"/>
      <c r="Y172" s="448"/>
      <c r="Z172" s="443"/>
      <c r="AA172" s="443"/>
      <c r="AB172" s="442"/>
      <c r="AC172" s="229">
        <f>IF(ISERROR(LOOKUP(AC$16,$L172:$X172,#REF!)),0,(LOOKUP(AC$16,$L172:$X172,#REF!)))</f>
        <v>0</v>
      </c>
      <c r="AD172" s="230">
        <f>IF(ISERROR(LOOKUP(AD$16,$L172:$X172,#REF!)),0,(LOOKUP(AD$16,$L172:$X172,#REF!)))</f>
        <v>0</v>
      </c>
      <c r="AE172" s="230">
        <f>IF(ISERROR(LOOKUP(AE$16,$L172:$X172,#REF!)),0,(LOOKUP(AE$16,$L172:$X172,#REF!)))</f>
        <v>0</v>
      </c>
      <c r="AF172" s="230">
        <f>IF(ISERROR(LOOKUP(AF$16,$L172:$X172,#REF!)),0,(LOOKUP(AF$16,$L172:$X172,#REF!)))</f>
        <v>0</v>
      </c>
      <c r="AG172" s="230">
        <f>IF(ISERROR(LOOKUP(AG$16,$L172:$X172,#REF!)),0,(LOOKUP(AG$16,$L172:$X172,#REF!)))</f>
        <v>0</v>
      </c>
      <c r="AH172" s="230">
        <f>IF(ISERROR(LOOKUP(AH$16,$L172:$X172,#REF!)),0,(LOOKUP(AH$16,$L172:$X172,#REF!)))</f>
        <v>0</v>
      </c>
      <c r="AI172" s="230">
        <f>IF(ISERROR(LOOKUP(AI$16,$L172:$X172,#REF!)),0,(LOOKUP(AI$16,$L172:$X172,#REF!)))</f>
        <v>0</v>
      </c>
      <c r="AJ172" s="230">
        <f>IF(ISERROR(LOOKUP(AJ$16,$L172:$X172,#REF!)),0,(LOOKUP(AJ$16,$L172:$X172,#REF!)))</f>
        <v>0</v>
      </c>
      <c r="AK172" s="230">
        <f>IF(ISERROR(LOOKUP(AK$16,$L172:$X172,#REF!)),0,(LOOKUP(AK$16,$L172:$X172,#REF!)))</f>
        <v>0</v>
      </c>
      <c r="AL172" s="230">
        <f>IF(ISERROR(LOOKUP(AL$16,$L172:$X172,#REF!)),0,(LOOKUP(AL$16,$L172:$X172,#REF!)))</f>
        <v>0</v>
      </c>
      <c r="AM172" s="230">
        <f ca="1">IF(ISERROR(LOOKUP(AM$16,$L172:$X172,#REF!)),0,(LOOKUP(AM$16,$L172:$X172,#REF!)))</f>
        <v>0</v>
      </c>
      <c r="AP172" s="212"/>
      <c r="AQ172" s="212"/>
      <c r="AR172" s="212"/>
      <c r="AS172" s="440"/>
      <c r="AW172" s="223" t="e">
        <v>#REF!</v>
      </c>
    </row>
    <row r="173" spans="1:49" s="166" customFormat="1" ht="18" customHeight="1">
      <c r="A173" s="482">
        <f>A170+1</f>
        <v>53</v>
      </c>
      <c r="B173" s="479"/>
      <c r="C173" s="458" t="s">
        <v>4801</v>
      </c>
      <c r="D173" s="458" t="s">
        <v>223</v>
      </c>
      <c r="E173" s="212"/>
      <c r="F173" s="458" t="s">
        <v>86</v>
      </c>
      <c r="G173" s="458" t="s">
        <v>75</v>
      </c>
      <c r="H173" s="449"/>
      <c r="I173" s="212" t="s">
        <v>7</v>
      </c>
      <c r="J173" s="249" t="s">
        <v>4732</v>
      </c>
      <c r="K173" s="215">
        <f>WORKDAY(L173,-INDEX(L$12:L$15,MATCH($I173,$I$12:$I$15,0)))</f>
        <v>46160</v>
      </c>
      <c r="L173" s="215">
        <f>WORKDAY(M173,-INDEX(M$12:M$15,MATCH($I173,$I$12:$I$15,0)))</f>
        <v>46161</v>
      </c>
      <c r="M173" s="215">
        <f>WORKDAY(N173,-INDEX(N$12:N$15,MATCH($I173,$I$12:$I$15,0)))</f>
        <v>46168</v>
      </c>
      <c r="N173" s="215">
        <f>WORKDAY(O173,-INDEX(O$12:O$15,MATCH($I173,$I$12:$I$15,0)))</f>
        <v>46169</v>
      </c>
      <c r="O173" s="215">
        <f>WORKDAY(R173,-INDEX(R$12:R$15,MATCH($I173,$I$12:$I$15,0)))</f>
        <v>46176</v>
      </c>
      <c r="P173" s="216">
        <f>U173-L173</f>
        <v>76</v>
      </c>
      <c r="Q173" s="217"/>
      <c r="R173" s="215">
        <f>WORKDAY(S173,-INDEX(S$12:S$15,MATCH($I173,$I$12:$I$15,0)))</f>
        <v>46190</v>
      </c>
      <c r="S173" s="215">
        <f>WORKDAY(T173,-INDEX(T$12:T$15,MATCH($I173,$I$12:$I$15,0)))</f>
        <v>46218</v>
      </c>
      <c r="T173" s="215">
        <f>WORKDAY(U173,-INDEX(U$12:U$15,MATCH($I173,$I$12:$I$15,0)))</f>
        <v>46223</v>
      </c>
      <c r="U173" s="215">
        <f>X173-Y173</f>
        <v>46237</v>
      </c>
      <c r="V173" s="215">
        <f>WORKDAY(U173,INDEX(V$12:V$15,MATCH($I173,$I$12:$I$15,0)))</f>
        <v>46239</v>
      </c>
      <c r="W173" s="218">
        <f>Y173/7</f>
        <v>30</v>
      </c>
      <c r="X173" s="215">
        <f>Z173</f>
        <v>46447</v>
      </c>
      <c r="Y173" s="448">
        <v>210</v>
      </c>
      <c r="Z173" s="443">
        <v>46447</v>
      </c>
      <c r="AA173" s="443">
        <v>46538</v>
      </c>
      <c r="AB173" s="442">
        <f>Z173-X174</f>
        <v>0</v>
      </c>
      <c r="AC173" s="220">
        <f>IF(ISERROR(LOOKUP(AC$16,$L173:$X173,#REF!)),0,(LOOKUP(AC$16,$L173:$X173,#REF!)))</f>
        <v>0</v>
      </c>
      <c r="AD173" s="221">
        <f>IF(ISERROR(LOOKUP(AD$16,$L173:$X173,#REF!)),0,(LOOKUP(AD$16,$L173:$X173,#REF!)))</f>
        <v>0</v>
      </c>
      <c r="AE173" s="221">
        <f>IF(ISERROR(LOOKUP(AE$16,$L173:$X173,#REF!)),0,(LOOKUP(AE$16,$L173:$X173,#REF!)))</f>
        <v>0</v>
      </c>
      <c r="AF173" s="221">
        <f>IF(ISERROR(LOOKUP(AF$16,$L173:$X173,#REF!)),0,(LOOKUP(AF$16,$L173:$X173,#REF!)))</f>
        <v>0</v>
      </c>
      <c r="AG173" s="221">
        <f>IF(ISERROR(LOOKUP(AG$16,$L173:$X173,#REF!)),0,(LOOKUP(AG$16,$L173:$X173,#REF!)))</f>
        <v>0</v>
      </c>
      <c r="AH173" s="221">
        <f>IF(ISERROR(LOOKUP(AH$16,$L173:$X173,#REF!)),0,(LOOKUP(AH$16,$L173:$X173,#REF!)))</f>
        <v>0</v>
      </c>
      <c r="AI173" s="221">
        <f>IF(ISERROR(LOOKUP(AI$16,$L173:$X173,#REF!)),0,(LOOKUP(AI$16,$L173:$X173,#REF!)))</f>
        <v>0</v>
      </c>
      <c r="AJ173" s="221">
        <f>IF(ISERROR(LOOKUP(AJ$16,$L173:$X173,#REF!)),0,(LOOKUP(AJ$16,$L173:$X173,#REF!)))</f>
        <v>0</v>
      </c>
      <c r="AK173" s="221">
        <f>IF(ISERROR(LOOKUP(AK$16,$L173:$X173,#REF!)),0,(LOOKUP(AK$16,$L173:$X173,#REF!)))</f>
        <v>0</v>
      </c>
      <c r="AL173" s="221">
        <f>IF(ISERROR(LOOKUP(AL$16,$L173:$X173,#REF!)),0,(LOOKUP(AL$16,$L173:$X173,#REF!)))</f>
        <v>0</v>
      </c>
      <c r="AM173" s="221">
        <f ca="1">IF(ISERROR(LOOKUP(AM$16,$L173:$X173,#REF!)),0,(LOOKUP(AM$16,$L173:$X173,#REF!)))</f>
        <v>0</v>
      </c>
      <c r="AP173" s="215" t="e">
        <f>WORKDAY(AQ173,-INDEX(AQ$12:AQ$15,MATCH($I173,$I$12:$I$15,0)),$AW$17:$AW$148)</f>
        <v>#REF!</v>
      </c>
      <c r="AQ173" s="215" t="e">
        <f>WORKDAY(U173,-INDEX(U$12:U$15,MATCH($I173,$I$12:$I$15,0)),$AW$17:$AW$148)</f>
        <v>#REF!</v>
      </c>
      <c r="AR173" s="215" t="e">
        <f>WORKDAY(U173,-INDEX(U$12:U$15,MATCH($I173,$I$12:$I$15,0)),$AW$17:$AW$148)</f>
        <v>#REF!</v>
      </c>
      <c r="AS173" s="440">
        <v>7</v>
      </c>
      <c r="AW173" s="223" t="e">
        <v>#REF!</v>
      </c>
    </row>
    <row r="174" spans="1:49" s="166" customFormat="1" ht="18" customHeight="1">
      <c r="A174" s="482"/>
      <c r="B174" s="480"/>
      <c r="C174" s="458" t="str">
        <f>C173</f>
        <v>RFQ-053</v>
      </c>
      <c r="D174" s="458" t="str">
        <f>D173</f>
        <v>COMPACT CHECK VALVE (WELDED END)</v>
      </c>
      <c r="E174" s="212"/>
      <c r="F174" s="458" t="str">
        <f>F173</f>
        <v>Piping</v>
      </c>
      <c r="G174" s="458" t="str">
        <f>G173</f>
        <v>N</v>
      </c>
      <c r="H174" s="450"/>
      <c r="I174" s="212" t="str">
        <f>I173</f>
        <v>LB</v>
      </c>
      <c r="J174" s="249" t="s">
        <v>68</v>
      </c>
      <c r="K174" s="215">
        <f>K173</f>
        <v>46160</v>
      </c>
      <c r="L174" s="215">
        <f>WORKDAY(IF(K175="",K174,K175),INDEX(L$12:L$15,MATCH($I173,$I$12:$I$15,0)))</f>
        <v>46161</v>
      </c>
      <c r="M174" s="215">
        <f>WORKDAY(IF(L175="",L174,L175),INDEX(M$12:M$15,MATCH($I173,$I$12:$I$15,0)))</f>
        <v>46168</v>
      </c>
      <c r="N174" s="215">
        <f>WORKDAY(IF(M175="",M174,M175),INDEX(N$12:N$15,MATCH($I173,$I$12:$I$15,0)))</f>
        <v>46169</v>
      </c>
      <c r="O174" s="215">
        <f>WORKDAY(IF(N175="",N174,N175),INDEX(O$12:O$15,MATCH($I173,$I$12:$I$15,0)))</f>
        <v>46176</v>
      </c>
      <c r="P174" s="216"/>
      <c r="Q174" s="217"/>
      <c r="R174" s="215">
        <f>WORKDAY(IF(O175="",O174,O175),INDEX(R$12:R$15,MATCH($I173,$I$12:$I$15,0)))</f>
        <v>46190</v>
      </c>
      <c r="S174" s="215">
        <f>WORKDAY(IF(R175="",R174,R175),INDEX(S$12:S$15,MATCH($I173,$I$12:$I$15,0)))</f>
        <v>46218</v>
      </c>
      <c r="T174" s="215">
        <f>WORKDAY(IF(S175="",S174,S175),INDEX(T$12:T$15,MATCH($I173,$I$12:$I$15,0)))</f>
        <v>46223</v>
      </c>
      <c r="U174" s="215">
        <f>WORKDAY(IF(T175="",T174,T175),INDEX(U$12:U$15,MATCH($I173,$I$12:$I$15,0)))</f>
        <v>46237</v>
      </c>
      <c r="V174" s="215">
        <f>WORKDAY(IF(U175="",U174,U175),INDEX(V$12:V$15,MATCH($I173,$I$12:$I$15,0)))</f>
        <v>46239</v>
      </c>
      <c r="W174" s="218"/>
      <c r="X174" s="215">
        <f>U174+Y173</f>
        <v>46447</v>
      </c>
      <c r="Y174" s="448"/>
      <c r="Z174" s="443"/>
      <c r="AA174" s="443"/>
      <c r="AB174" s="442"/>
      <c r="AC174" s="220">
        <f>IF(ISERROR(LOOKUP(AC$16,$L174:$X174,#REF!)),0,(LOOKUP(AC$16,$L174:$X174,#REF!)))</f>
        <v>0</v>
      </c>
      <c r="AD174" s="221">
        <f>IF(ISERROR(LOOKUP(AD$16,$L174:$X174,#REF!)),0,(LOOKUP(AD$16,$L174:$X174,#REF!)))</f>
        <v>0</v>
      </c>
      <c r="AE174" s="221">
        <f>IF(ISERROR(LOOKUP(AE$16,$L174:$X174,#REF!)),0,(LOOKUP(AE$16,$L174:$X174,#REF!)))</f>
        <v>0</v>
      </c>
      <c r="AF174" s="221">
        <f>IF(ISERROR(LOOKUP(AF$16,$L174:$X174,#REF!)),0,(LOOKUP(AF$16,$L174:$X174,#REF!)))</f>
        <v>0</v>
      </c>
      <c r="AG174" s="221">
        <f>IF(ISERROR(LOOKUP(AG$16,$L174:$X174,#REF!)),0,(LOOKUP(AG$16,$L174:$X174,#REF!)))</f>
        <v>0</v>
      </c>
      <c r="AH174" s="221">
        <f>IF(ISERROR(LOOKUP(AH$16,$L174:$X174,#REF!)),0,(LOOKUP(AH$16,$L174:$X174,#REF!)))</f>
        <v>0</v>
      </c>
      <c r="AI174" s="221">
        <f>IF(ISERROR(LOOKUP(AI$16,$L174:$X174,#REF!)),0,(LOOKUP(AI$16,$L174:$X174,#REF!)))</f>
        <v>0</v>
      </c>
      <c r="AJ174" s="221">
        <f>IF(ISERROR(LOOKUP(AJ$16,$L174:$X174,#REF!)),0,(LOOKUP(AJ$16,$L174:$X174,#REF!)))</f>
        <v>0</v>
      </c>
      <c r="AK174" s="221">
        <f>IF(ISERROR(LOOKUP(AK$16,$L174:$X174,#REF!)),0,(LOOKUP(AK$16,$L174:$X174,#REF!)))</f>
        <v>0</v>
      </c>
      <c r="AL174" s="221">
        <f>IF(ISERROR(LOOKUP(AL$16,$L174:$X174,#REF!)),0,(LOOKUP(AL$16,$L174:$X174,#REF!)))</f>
        <v>0</v>
      </c>
      <c r="AM174" s="221">
        <f ca="1">IF(ISERROR(LOOKUP(AM$16,$L174:$X174,#REF!)),0,(LOOKUP(AM$16,$L174:$X174,#REF!)))</f>
        <v>0</v>
      </c>
      <c r="AP174" s="215" t="e">
        <f>WORKDAY(IF(T175="",T174,T175),INDEX(AP$12:AP$15,MATCH($I173,$I$12:$I$15,0)),$AW$17:$AW$148)</f>
        <v>#REF!</v>
      </c>
      <c r="AQ174" s="215" t="e">
        <f>WORKDAY(IF(AP175="",AP174,AP175),INDEX(AQ$12:AQ$15,MATCH($I173,$I$12:$I$15,0)),$AW$17:$AW$148)</f>
        <v>#REF!</v>
      </c>
      <c r="AR174" s="215" t="e">
        <f>WORKDAY(IF(AQ175="",AQ174,AQ175),INDEX(AR$12:AR$15,MATCH($I173,$I$12:$I$15,0)),$AW$17:$AW$148)</f>
        <v>#REF!</v>
      </c>
      <c r="AS174" s="440"/>
      <c r="AW174" s="223" t="e">
        <v>#REF!</v>
      </c>
    </row>
    <row r="175" spans="1:49" s="166" customFormat="1" ht="18" customHeight="1">
      <c r="A175" s="482"/>
      <c r="B175" s="481"/>
      <c r="C175" s="458" t="str">
        <f>C173</f>
        <v>RFQ-053</v>
      </c>
      <c r="D175" s="458" t="str">
        <f>D173</f>
        <v>COMPACT CHECK VALVE (WELDED END)</v>
      </c>
      <c r="E175" s="212"/>
      <c r="F175" s="458" t="str">
        <f>F173</f>
        <v>Piping</v>
      </c>
      <c r="G175" s="458" t="str">
        <f>G173</f>
        <v>N</v>
      </c>
      <c r="H175" s="451"/>
      <c r="I175" s="212" t="str">
        <f>I173</f>
        <v>LB</v>
      </c>
      <c r="J175" s="249" t="s">
        <v>70</v>
      </c>
      <c r="K175" s="212"/>
      <c r="L175" s="212"/>
      <c r="M175" s="212"/>
      <c r="N175" s="212"/>
      <c r="O175" s="212"/>
      <c r="P175" s="226"/>
      <c r="Q175" s="227"/>
      <c r="R175" s="212"/>
      <c r="S175" s="212"/>
      <c r="T175" s="212"/>
      <c r="U175" s="212"/>
      <c r="V175" s="212"/>
      <c r="W175" s="228"/>
      <c r="X175" s="212"/>
      <c r="Y175" s="448"/>
      <c r="Z175" s="443"/>
      <c r="AA175" s="443"/>
      <c r="AB175" s="442"/>
      <c r="AC175" s="229">
        <f>IF(ISERROR(LOOKUP(AC$16,$L175:$X175,#REF!)),0,(LOOKUP(AC$16,$L175:$X175,#REF!)))</f>
        <v>0</v>
      </c>
      <c r="AD175" s="230">
        <f>IF(ISERROR(LOOKUP(AD$16,$L175:$X175,#REF!)),0,(LOOKUP(AD$16,$L175:$X175,#REF!)))</f>
        <v>0</v>
      </c>
      <c r="AE175" s="230">
        <f>IF(ISERROR(LOOKUP(AE$16,$L175:$X175,#REF!)),0,(LOOKUP(AE$16,$L175:$X175,#REF!)))</f>
        <v>0</v>
      </c>
      <c r="AF175" s="230">
        <f>IF(ISERROR(LOOKUP(AF$16,$L175:$X175,#REF!)),0,(LOOKUP(AF$16,$L175:$X175,#REF!)))</f>
        <v>0</v>
      </c>
      <c r="AG175" s="230">
        <f>IF(ISERROR(LOOKUP(AG$16,$L175:$X175,#REF!)),0,(LOOKUP(AG$16,$L175:$X175,#REF!)))</f>
        <v>0</v>
      </c>
      <c r="AH175" s="230">
        <f>IF(ISERROR(LOOKUP(AH$16,$L175:$X175,#REF!)),0,(LOOKUP(AH$16,$L175:$X175,#REF!)))</f>
        <v>0</v>
      </c>
      <c r="AI175" s="230">
        <f>IF(ISERROR(LOOKUP(AI$16,$L175:$X175,#REF!)),0,(LOOKUP(AI$16,$L175:$X175,#REF!)))</f>
        <v>0</v>
      </c>
      <c r="AJ175" s="230">
        <f>IF(ISERROR(LOOKUP(AJ$16,$L175:$X175,#REF!)),0,(LOOKUP(AJ$16,$L175:$X175,#REF!)))</f>
        <v>0</v>
      </c>
      <c r="AK175" s="230">
        <f>IF(ISERROR(LOOKUP(AK$16,$L175:$X175,#REF!)),0,(LOOKUP(AK$16,$L175:$X175,#REF!)))</f>
        <v>0</v>
      </c>
      <c r="AL175" s="230">
        <f>IF(ISERROR(LOOKUP(AL$16,$L175:$X175,#REF!)),0,(LOOKUP(AL$16,$L175:$X175,#REF!)))</f>
        <v>0</v>
      </c>
      <c r="AM175" s="230">
        <f ca="1">IF(ISERROR(LOOKUP(AM$16,$L175:$X175,#REF!)),0,(LOOKUP(AM$16,$L175:$X175,#REF!)))</f>
        <v>0</v>
      </c>
      <c r="AP175" s="248"/>
      <c r="AQ175" s="248"/>
      <c r="AR175" s="248"/>
      <c r="AS175" s="440"/>
      <c r="AW175" s="223"/>
    </row>
    <row r="176" spans="1:49" s="168" customFormat="1" ht="18.600000000000001" customHeight="1">
      <c r="A176" s="482"/>
      <c r="B176" s="479"/>
      <c r="C176" s="458"/>
      <c r="D176" s="477" t="s">
        <v>225</v>
      </c>
      <c r="E176" s="256"/>
      <c r="F176" s="463" t="s">
        <v>226</v>
      </c>
      <c r="G176" s="458" t="str">
        <f>IF(_xlfn.XLOOKUP(C176,'[35]Before Award'!D:D,'[35]Before Award'!AV:AV,"N/A")="N/A","N","Y")</f>
        <v>Y</v>
      </c>
      <c r="H176" s="449"/>
      <c r="I176" s="212" t="s">
        <v>6</v>
      </c>
      <c r="J176" s="249" t="s">
        <v>4732</v>
      </c>
      <c r="K176" s="215">
        <f>WORKDAY(L176,-INDEX(L$12:L$15,MATCH($I176,$I$12:$I$15,0)))</f>
        <v>46099</v>
      </c>
      <c r="L176" s="215">
        <f>WORKDAY(M176,-1)</f>
        <v>46100</v>
      </c>
      <c r="M176" s="215">
        <f>WORKDAY(N176,-INDEX(N$12:N$15,MATCH($I176,$I$12:$I$15,0)))</f>
        <v>46101</v>
      </c>
      <c r="N176" s="215">
        <f>WORKDAY(O176,-1)</f>
        <v>46104</v>
      </c>
      <c r="O176" s="215">
        <f>WORKDAY(R176,-5)</f>
        <v>46105</v>
      </c>
      <c r="P176" s="216">
        <f>U176-L176</f>
        <v>24</v>
      </c>
      <c r="Q176" s="217"/>
      <c r="R176" s="215">
        <f>WORKDAY(S176,-1)</f>
        <v>46112</v>
      </c>
      <c r="S176" s="215">
        <f>WORKDAY(T176,-1)</f>
        <v>46113</v>
      </c>
      <c r="T176" s="215">
        <f>WORKDAY(U176,-7)</f>
        <v>46114</v>
      </c>
      <c r="U176" s="215">
        <f>X176-Y176</f>
        <v>46124</v>
      </c>
      <c r="V176" s="215">
        <f>WORKDAY(U176,INDEX(V$12:V$15,MATCH($I176,$I$12:$I$15,0)))</f>
        <v>46126</v>
      </c>
      <c r="W176" s="218">
        <f>Y176/7</f>
        <v>17.1428571428571</v>
      </c>
      <c r="X176" s="215">
        <f>Z176</f>
        <v>46244</v>
      </c>
      <c r="Y176" s="448">
        <v>120</v>
      </c>
      <c r="Z176" s="443">
        <v>46244</v>
      </c>
      <c r="AA176" s="443">
        <v>46244</v>
      </c>
      <c r="AB176" s="442">
        <f>Z176-X177</f>
        <v>0</v>
      </c>
      <c r="AC176" s="242">
        <f>IF(ISERROR(LOOKUP(AC$16,$L176:$X176,#REF!)),0,(LOOKUP(AC$16,$L176:$X176,#REF!)))</f>
        <v>0</v>
      </c>
      <c r="AD176" s="243">
        <f>IF(ISERROR(LOOKUP(AD$16,$L176:$X176,#REF!)),0,(LOOKUP(AD$16,$L176:$X176,#REF!)))</f>
        <v>0</v>
      </c>
      <c r="AE176" s="243">
        <f>IF(ISERROR(LOOKUP(AE$16,$L176:$X176,#REF!)),0,(LOOKUP(AE$16,$L176:$X176,#REF!)))</f>
        <v>0</v>
      </c>
      <c r="AF176" s="243">
        <f>IF(ISERROR(LOOKUP(AF$16,$L176:$X176,#REF!)),0,(LOOKUP(AF$16,$L176:$X176,#REF!)))</f>
        <v>0</v>
      </c>
      <c r="AG176" s="243">
        <f>IF(ISERROR(LOOKUP(AG$16,$L176:$X176,#REF!)),0,(LOOKUP(AG$16,$L176:$X176,#REF!)))</f>
        <v>0</v>
      </c>
      <c r="AH176" s="243">
        <f>IF(ISERROR(LOOKUP(AH$16,$L176:$X176,#REF!)),0,(LOOKUP(AH$16,$L176:$X176,#REF!)))</f>
        <v>0</v>
      </c>
      <c r="AI176" s="243">
        <f>IF(ISERROR(LOOKUP(AI$16,$L176:$X176,#REF!)),0,(LOOKUP(AI$16,$L176:$X176,#REF!)))</f>
        <v>0</v>
      </c>
      <c r="AJ176" s="243">
        <f>IF(ISERROR(LOOKUP(AJ$16,$L176:$X176,#REF!)),0,(LOOKUP(AJ$16,$L176:$X176,#REF!)))</f>
        <v>0</v>
      </c>
      <c r="AK176" s="243">
        <f>IF(ISERROR(LOOKUP(AK$16,$L176:$X176,#REF!)),0,(LOOKUP(AK$16,$L176:$X176,#REF!)))</f>
        <v>0</v>
      </c>
      <c r="AL176" s="243">
        <f>IF(ISERROR(LOOKUP(AL$16,$L176:$X176,#REF!)),0,(LOOKUP(AL$16,$L176:$X176,#REF!)))</f>
        <v>0</v>
      </c>
      <c r="AM176" s="243">
        <f ca="1">IF(ISERROR(LOOKUP(AM$16,$L176:$X176,#REF!)),0,(LOOKUP(AM$16,$L176:$X176,#REF!)))</f>
        <v>0</v>
      </c>
      <c r="AP176" s="215" t="e">
        <f>WORKDAY(AQ176,-INDEX(AQ$12:AQ$15,MATCH($I176,$I$12:$I$15,0)),$AW$17:$AW$148)</f>
        <v>#REF!</v>
      </c>
      <c r="AQ176" s="215" t="e">
        <f>WORKDAY(U176,-INDEX(U$12:U$15,MATCH($I176,$I$12:$I$15,0)),$AW$17:$AW$148)</f>
        <v>#REF!</v>
      </c>
      <c r="AR176" s="215" t="e">
        <f>WORKDAY(U176,-INDEX(U$12:U$15,MATCH($I176,$I$12:$I$15,0)),$AW$17:$AW$148)</f>
        <v>#REF!</v>
      </c>
      <c r="AS176" s="440">
        <v>7</v>
      </c>
      <c r="AW176" s="244"/>
    </row>
    <row r="177" spans="1:49" s="168" customFormat="1" ht="18.600000000000001" customHeight="1">
      <c r="A177" s="482"/>
      <c r="B177" s="480"/>
      <c r="C177" s="458"/>
      <c r="D177" s="477" t="s">
        <v>4802</v>
      </c>
      <c r="E177" s="257"/>
      <c r="F177" s="464"/>
      <c r="G177" s="458" t="str">
        <f>G176</f>
        <v>Y</v>
      </c>
      <c r="H177" s="450"/>
      <c r="I177" s="212" t="str">
        <f>I176</f>
        <v>LA</v>
      </c>
      <c r="J177" s="249" t="s">
        <v>68</v>
      </c>
      <c r="K177" s="215">
        <f>K176</f>
        <v>46099</v>
      </c>
      <c r="L177" s="215">
        <f>WORKDAY(IF(K178="",K177,K178),INDEX(L$12:L$15,MATCH($I176,$I$12:$I$15,0)))</f>
        <v>46100</v>
      </c>
      <c r="M177" s="215">
        <f>WORKDAY(IF(L178="",L177,L178),1)</f>
        <v>46101</v>
      </c>
      <c r="N177" s="215">
        <f>WORKDAY(IF(M178="",M177,M178),INDEX(N$12:N$15,MATCH($I176,$I$12:$I$15,0)))</f>
        <v>46104</v>
      </c>
      <c r="O177" s="215">
        <f>WORKDAY(IF(N178="",N177,N178),1)</f>
        <v>46105</v>
      </c>
      <c r="P177" s="216"/>
      <c r="Q177" s="217"/>
      <c r="R177" s="215">
        <f>WORKDAY(IF(O178="",O177,O178),5)</f>
        <v>46112</v>
      </c>
      <c r="S177" s="215">
        <f>WORKDAY(IF(R178="",R177,R178),1)</f>
        <v>46113</v>
      </c>
      <c r="T177" s="215">
        <f>WORKDAY(IF(S178="",S177,S178),1)</f>
        <v>46114</v>
      </c>
      <c r="U177" s="215">
        <f>WORKDAY(IF(T178="",T177,T178),7)-1</f>
        <v>46124</v>
      </c>
      <c r="V177" s="215">
        <f>WORKDAY(IF(U178="",U177,U178),1)</f>
        <v>46125</v>
      </c>
      <c r="W177" s="218"/>
      <c r="X177" s="215">
        <f>U177+Y176</f>
        <v>46244</v>
      </c>
      <c r="Y177" s="448"/>
      <c r="Z177" s="443"/>
      <c r="AA177" s="443"/>
      <c r="AB177" s="442"/>
      <c r="AC177" s="242">
        <f>IF(ISERROR(LOOKUP(AC$16,$L177:$X177,#REF!)),0,(LOOKUP(AC$16,$L177:$X177,#REF!)))</f>
        <v>0</v>
      </c>
      <c r="AD177" s="243">
        <f>IF(ISERROR(LOOKUP(AD$16,$L177:$X177,#REF!)),0,(LOOKUP(AD$16,$L177:$X177,#REF!)))</f>
        <v>0</v>
      </c>
      <c r="AE177" s="243">
        <f>IF(ISERROR(LOOKUP(AE$16,$L177:$X177,#REF!)),0,(LOOKUP(AE$16,$L177:$X177,#REF!)))</f>
        <v>0</v>
      </c>
      <c r="AF177" s="243">
        <f>IF(ISERROR(LOOKUP(AF$16,$L177:$X177,#REF!)),0,(LOOKUP(AF$16,$L177:$X177,#REF!)))</f>
        <v>0</v>
      </c>
      <c r="AG177" s="243">
        <f>IF(ISERROR(LOOKUP(AG$16,$L177:$X177,#REF!)),0,(LOOKUP(AG$16,$L177:$X177,#REF!)))</f>
        <v>0</v>
      </c>
      <c r="AH177" s="243">
        <f>IF(ISERROR(LOOKUP(AH$16,$L177:$X177,#REF!)),0,(LOOKUP(AH$16,$L177:$X177,#REF!)))</f>
        <v>0</v>
      </c>
      <c r="AI177" s="243">
        <f>IF(ISERROR(LOOKUP(AI$16,$L177:$X177,#REF!)),0,(LOOKUP(AI$16,$L177:$X177,#REF!)))</f>
        <v>0</v>
      </c>
      <c r="AJ177" s="243">
        <f>IF(ISERROR(LOOKUP(AJ$16,$L177:$X177,#REF!)),0,(LOOKUP(AJ$16,$L177:$X177,#REF!)))</f>
        <v>0</v>
      </c>
      <c r="AK177" s="243">
        <f>IF(ISERROR(LOOKUP(AK$16,$L177:$X177,#REF!)),0,(LOOKUP(AK$16,$L177:$X177,#REF!)))</f>
        <v>0</v>
      </c>
      <c r="AL177" s="243">
        <f>IF(ISERROR(LOOKUP(AL$16,$L177:$X177,#REF!)),0,(LOOKUP(AL$16,$L177:$X177,#REF!)))</f>
        <v>0</v>
      </c>
      <c r="AM177" s="243">
        <f ca="1">IF(ISERROR(LOOKUP(AM$16,$L177:$X177,#REF!)),0,(LOOKUP(AM$16,$L177:$X177,#REF!)))</f>
        <v>0</v>
      </c>
      <c r="AP177" s="215" t="e">
        <f>WORKDAY(IF(T178="",T177,T178),INDEX(AP$12:AP$15,MATCH($I176,$I$12:$I$15,0)),$AW$17:$AW$148)</f>
        <v>#REF!</v>
      </c>
      <c r="AQ177" s="215" t="e">
        <f>WORKDAY(IF(AP178="",AP177,AP178),INDEX(AQ$12:AQ$15,MATCH($I176,$I$12:$I$15,0)),$AW$17:$AW$148)</f>
        <v>#REF!</v>
      </c>
      <c r="AR177" s="215" t="e">
        <f>WORKDAY(IF(AQ178="",AQ177,AQ178),INDEX(AR$12:AR$15,MATCH($I176,$I$12:$I$15,0)),$AW$17:$AW$148)</f>
        <v>#REF!</v>
      </c>
      <c r="AS177" s="440"/>
      <c r="AW177" s="244"/>
    </row>
    <row r="178" spans="1:49" s="168" customFormat="1" ht="18.600000000000001" customHeight="1">
      <c r="A178" s="482"/>
      <c r="B178" s="481"/>
      <c r="C178" s="458"/>
      <c r="D178" s="477" t="s">
        <v>4802</v>
      </c>
      <c r="E178" s="258"/>
      <c r="F178" s="465"/>
      <c r="G178" s="458" t="str">
        <f>G176</f>
        <v>Y</v>
      </c>
      <c r="H178" s="451"/>
      <c r="I178" s="212" t="str">
        <f>I176</f>
        <v>LA</v>
      </c>
      <c r="J178" s="249" t="s">
        <v>70</v>
      </c>
      <c r="K178" s="212"/>
      <c r="L178" s="212"/>
      <c r="M178" s="212"/>
      <c r="N178" s="212"/>
      <c r="O178" s="212"/>
      <c r="P178" s="226"/>
      <c r="Q178" s="227"/>
      <c r="R178" s="212"/>
      <c r="S178" s="212"/>
      <c r="T178" s="212"/>
      <c r="U178" s="212"/>
      <c r="V178" s="212"/>
      <c r="W178" s="228"/>
      <c r="X178" s="212"/>
      <c r="Y178" s="448"/>
      <c r="Z178" s="443"/>
      <c r="AA178" s="443"/>
      <c r="AB178" s="442"/>
      <c r="AC178" s="246">
        <f>IF(ISERROR(LOOKUP(AC$16,$L178:$X178,#REF!)),0,(LOOKUP(AC$16,$L178:$X178,#REF!)))</f>
        <v>0</v>
      </c>
      <c r="AD178" s="247">
        <f>IF(ISERROR(LOOKUP(AD$16,$L178:$X178,#REF!)),0,(LOOKUP(AD$16,$L178:$X178,#REF!)))</f>
        <v>0</v>
      </c>
      <c r="AE178" s="247">
        <f>IF(ISERROR(LOOKUP(AE$16,$L178:$X178,#REF!)),0,(LOOKUP(AE$16,$L178:$X178,#REF!)))</f>
        <v>0</v>
      </c>
      <c r="AF178" s="247">
        <f>IF(ISERROR(LOOKUP(AF$16,$L178:$X178,#REF!)),0,(LOOKUP(AF$16,$L178:$X178,#REF!)))</f>
        <v>0</v>
      </c>
      <c r="AG178" s="247">
        <f>IF(ISERROR(LOOKUP(AG$16,$L178:$X178,#REF!)),0,(LOOKUP(AG$16,$L178:$X178,#REF!)))</f>
        <v>0</v>
      </c>
      <c r="AH178" s="247">
        <f>IF(ISERROR(LOOKUP(AH$16,$L178:$X178,#REF!)),0,(LOOKUP(AH$16,$L178:$X178,#REF!)))</f>
        <v>0</v>
      </c>
      <c r="AI178" s="247">
        <f>IF(ISERROR(LOOKUP(AI$16,$L178:$X178,#REF!)),0,(LOOKUP(AI$16,$L178:$X178,#REF!)))</f>
        <v>0</v>
      </c>
      <c r="AJ178" s="247">
        <f>IF(ISERROR(LOOKUP(AJ$16,$L178:$X178,#REF!)),0,(LOOKUP(AJ$16,$L178:$X178,#REF!)))</f>
        <v>0</v>
      </c>
      <c r="AK178" s="247">
        <f>IF(ISERROR(LOOKUP(AK$16,$L178:$X178,#REF!)),0,(LOOKUP(AK$16,$L178:$X178,#REF!)))</f>
        <v>0</v>
      </c>
      <c r="AL178" s="247">
        <f>IF(ISERROR(LOOKUP(AL$16,$L178:$X178,#REF!)),0,(LOOKUP(AL$16,$L178:$X178,#REF!)))</f>
        <v>0</v>
      </c>
      <c r="AM178" s="247">
        <f ca="1">IF(ISERROR(LOOKUP(AM$16,$L178:$X178,#REF!)),0,(LOOKUP(AM$16,$L178:$X178,#REF!)))</f>
        <v>0</v>
      </c>
      <c r="AP178" s="212"/>
      <c r="AQ178" s="212"/>
      <c r="AR178" s="212"/>
      <c r="AS178" s="440"/>
      <c r="AW178" s="244"/>
    </row>
    <row r="179" spans="1:49" s="168" customFormat="1" ht="18.600000000000001" customHeight="1">
      <c r="A179" s="482"/>
      <c r="B179" s="479"/>
      <c r="C179" s="458"/>
      <c r="D179" s="477" t="s">
        <v>4803</v>
      </c>
      <c r="E179" s="256"/>
      <c r="F179" s="463" t="s">
        <v>226</v>
      </c>
      <c r="G179" s="458" t="str">
        <f>IF(_xlfn.XLOOKUP(C179,'[35]Before Award'!D:D,'[35]Before Award'!AV:AV,"N/A")="N/A","N","Y")</f>
        <v>Y</v>
      </c>
      <c r="H179" s="449"/>
      <c r="I179" s="212" t="s">
        <v>6</v>
      </c>
      <c r="J179" s="249" t="s">
        <v>4732</v>
      </c>
      <c r="K179" s="215">
        <f>WORKDAY(L179,-INDEX(L$12:L$15,MATCH($I179,$I$12:$I$15,0)))</f>
        <v>46099</v>
      </c>
      <c r="L179" s="215">
        <f>WORKDAY(M179,-1)</f>
        <v>46100</v>
      </c>
      <c r="M179" s="215">
        <f>WORKDAY(N179,-INDEX(N$12:N$15,MATCH($I179,$I$12:$I$15,0)))</f>
        <v>46101</v>
      </c>
      <c r="N179" s="215">
        <f>WORKDAY(O179,-1)</f>
        <v>46104</v>
      </c>
      <c r="O179" s="215">
        <f>WORKDAY(R179,-5)</f>
        <v>46105</v>
      </c>
      <c r="P179" s="216">
        <f>U179-L179</f>
        <v>24</v>
      </c>
      <c r="Q179" s="217"/>
      <c r="R179" s="215">
        <f>WORKDAY(S179,-1)</f>
        <v>46112</v>
      </c>
      <c r="S179" s="215">
        <f>WORKDAY(T179,-1)</f>
        <v>46113</v>
      </c>
      <c r="T179" s="215">
        <f>WORKDAY(U179,-7)</f>
        <v>46114</v>
      </c>
      <c r="U179" s="215">
        <f>X179-Y179</f>
        <v>46124</v>
      </c>
      <c r="V179" s="215">
        <f>WORKDAY(U179,INDEX(V$12:V$15,MATCH($I179,$I$12:$I$15,0)))</f>
        <v>46126</v>
      </c>
      <c r="W179" s="218">
        <f>Y179/7</f>
        <v>17.1428571428571</v>
      </c>
      <c r="X179" s="215">
        <f>Z179</f>
        <v>46244</v>
      </c>
      <c r="Y179" s="448">
        <v>120</v>
      </c>
      <c r="Z179" s="444">
        <v>46244</v>
      </c>
      <c r="AA179" s="443">
        <v>46244</v>
      </c>
      <c r="AB179" s="442">
        <f>Z179-X180</f>
        <v>0</v>
      </c>
      <c r="AC179" s="242">
        <f>IF(ISERROR(LOOKUP(AC$16,$L179:$X179,#REF!)),0,(LOOKUP(AC$16,$L179:$X179,#REF!)))</f>
        <v>0</v>
      </c>
      <c r="AD179" s="243">
        <f>IF(ISERROR(LOOKUP(AD$16,$L179:$X179,#REF!)),0,(LOOKUP(AD$16,$L179:$X179,#REF!)))</f>
        <v>0</v>
      </c>
      <c r="AE179" s="243">
        <f>IF(ISERROR(LOOKUP(AE$16,$L179:$X179,#REF!)),0,(LOOKUP(AE$16,$L179:$X179,#REF!)))</f>
        <v>0</v>
      </c>
      <c r="AF179" s="243">
        <f>IF(ISERROR(LOOKUP(AF$16,$L179:$X179,#REF!)),0,(LOOKUP(AF$16,$L179:$X179,#REF!)))</f>
        <v>0</v>
      </c>
      <c r="AG179" s="243">
        <f>IF(ISERROR(LOOKUP(AG$16,$L179:$X179,#REF!)),0,(LOOKUP(AG$16,$L179:$X179,#REF!)))</f>
        <v>0</v>
      </c>
      <c r="AH179" s="243">
        <f>IF(ISERROR(LOOKUP(AH$16,$L179:$X179,#REF!)),0,(LOOKUP(AH$16,$L179:$X179,#REF!)))</f>
        <v>0</v>
      </c>
      <c r="AI179" s="243">
        <f>IF(ISERROR(LOOKUP(AI$16,$L179:$X179,#REF!)),0,(LOOKUP(AI$16,$L179:$X179,#REF!)))</f>
        <v>0</v>
      </c>
      <c r="AJ179" s="243">
        <f>IF(ISERROR(LOOKUP(AJ$16,$L179:$X179,#REF!)),0,(LOOKUP(AJ$16,$L179:$X179,#REF!)))</f>
        <v>0</v>
      </c>
      <c r="AK179" s="243">
        <f>IF(ISERROR(LOOKUP(AK$16,$L179:$X179,#REF!)),0,(LOOKUP(AK$16,$L179:$X179,#REF!)))</f>
        <v>0</v>
      </c>
      <c r="AL179" s="243">
        <f>IF(ISERROR(LOOKUP(AL$16,$L179:$X179,#REF!)),0,(LOOKUP(AL$16,$L179:$X179,#REF!)))</f>
        <v>0</v>
      </c>
      <c r="AM179" s="243">
        <f ca="1">IF(ISERROR(LOOKUP(AM$16,$L179:$X179,#REF!)),0,(LOOKUP(AM$16,$L179:$X179,#REF!)))</f>
        <v>0</v>
      </c>
      <c r="AP179" s="215" t="e">
        <f>WORKDAY(AQ179,-INDEX(AQ$12:AQ$15,MATCH($I179,$I$12:$I$15,0)),$AW$17:$AW$148)</f>
        <v>#REF!</v>
      </c>
      <c r="AQ179" s="215" t="e">
        <f>WORKDAY(U179,-INDEX(U$12:U$15,MATCH($I179,$I$12:$I$15,0)),$AW$17:$AW$148)</f>
        <v>#REF!</v>
      </c>
      <c r="AR179" s="215" t="e">
        <f>WORKDAY(U179,-INDEX(U$12:U$15,MATCH($I179,$I$12:$I$15,0)),$AW$17:$AW$148)</f>
        <v>#REF!</v>
      </c>
      <c r="AS179" s="440">
        <v>7</v>
      </c>
      <c r="AW179" s="244"/>
    </row>
    <row r="180" spans="1:49" s="168" customFormat="1" ht="18.600000000000001" customHeight="1">
      <c r="A180" s="482"/>
      <c r="B180" s="480"/>
      <c r="C180" s="458"/>
      <c r="D180" s="477"/>
      <c r="E180" s="257"/>
      <c r="F180" s="464"/>
      <c r="G180" s="458" t="str">
        <f>G179</f>
        <v>Y</v>
      </c>
      <c r="H180" s="450"/>
      <c r="I180" s="212" t="str">
        <f>I179</f>
        <v>LA</v>
      </c>
      <c r="J180" s="249" t="s">
        <v>68</v>
      </c>
      <c r="K180" s="215">
        <f>K179</f>
        <v>46099</v>
      </c>
      <c r="L180" s="215">
        <f>WORKDAY(IF(K181="",K180,K181),INDEX(L$12:L$15,MATCH($I179,$I$12:$I$15,0)))</f>
        <v>46100</v>
      </c>
      <c r="M180" s="215">
        <f>WORKDAY(IF(L181="",L180,L181),1)</f>
        <v>46101</v>
      </c>
      <c r="N180" s="215">
        <f>WORKDAY(IF(M181="",M180,M181),INDEX(N$12:N$15,MATCH($I179,$I$12:$I$15,0)))</f>
        <v>46104</v>
      </c>
      <c r="O180" s="215">
        <f>WORKDAY(IF(N181="",N180,N181),1)</f>
        <v>46105</v>
      </c>
      <c r="P180" s="216"/>
      <c r="Q180" s="217"/>
      <c r="R180" s="215">
        <f>WORKDAY(IF(O181="",O180,O181),5)</f>
        <v>46112</v>
      </c>
      <c r="S180" s="215">
        <f>WORKDAY(IF(R181="",R180,R181),1)</f>
        <v>46113</v>
      </c>
      <c r="T180" s="215">
        <f>WORKDAY(IF(S181="",S180,S181),1)</f>
        <v>46114</v>
      </c>
      <c r="U180" s="215">
        <f>WORKDAY(IF(T181="",T180,T181),7)-1</f>
        <v>46124</v>
      </c>
      <c r="V180" s="215">
        <f>WORKDAY(IF(U181="",U180,U181),1)</f>
        <v>46125</v>
      </c>
      <c r="W180" s="218"/>
      <c r="X180" s="215">
        <f>U180+Y179</f>
        <v>46244</v>
      </c>
      <c r="Y180" s="448"/>
      <c r="Z180" s="445"/>
      <c r="AA180" s="443"/>
      <c r="AB180" s="442"/>
      <c r="AC180" s="242">
        <f>IF(ISERROR(LOOKUP(AC$16,$L180:$X180,#REF!)),0,(LOOKUP(AC$16,$L180:$X180,#REF!)))</f>
        <v>0</v>
      </c>
      <c r="AD180" s="243">
        <f>IF(ISERROR(LOOKUP(AD$16,$L180:$X180,#REF!)),0,(LOOKUP(AD$16,$L180:$X180,#REF!)))</f>
        <v>0</v>
      </c>
      <c r="AE180" s="243">
        <f>IF(ISERROR(LOOKUP(AE$16,$L180:$X180,#REF!)),0,(LOOKUP(AE$16,$L180:$X180,#REF!)))</f>
        <v>0</v>
      </c>
      <c r="AF180" s="243">
        <f>IF(ISERROR(LOOKUP(AF$16,$L180:$X180,#REF!)),0,(LOOKUP(AF$16,$L180:$X180,#REF!)))</f>
        <v>0</v>
      </c>
      <c r="AG180" s="243">
        <f>IF(ISERROR(LOOKUP(AG$16,$L180:$X180,#REF!)),0,(LOOKUP(AG$16,$L180:$X180,#REF!)))</f>
        <v>0</v>
      </c>
      <c r="AH180" s="243">
        <f>IF(ISERROR(LOOKUP(AH$16,$L180:$X180,#REF!)),0,(LOOKUP(AH$16,$L180:$X180,#REF!)))</f>
        <v>0</v>
      </c>
      <c r="AI180" s="243">
        <f>IF(ISERROR(LOOKUP(AI$16,$L180:$X180,#REF!)),0,(LOOKUP(AI$16,$L180:$X180,#REF!)))</f>
        <v>0</v>
      </c>
      <c r="AJ180" s="243">
        <f>IF(ISERROR(LOOKUP(AJ$16,$L180:$X180,#REF!)),0,(LOOKUP(AJ$16,$L180:$X180,#REF!)))</f>
        <v>0</v>
      </c>
      <c r="AK180" s="243">
        <f>IF(ISERROR(LOOKUP(AK$16,$L180:$X180,#REF!)),0,(LOOKUP(AK$16,$L180:$X180,#REF!)))</f>
        <v>0</v>
      </c>
      <c r="AL180" s="243">
        <f>IF(ISERROR(LOOKUP(AL$16,$L180:$X180,#REF!)),0,(LOOKUP(AL$16,$L180:$X180,#REF!)))</f>
        <v>0</v>
      </c>
      <c r="AM180" s="243">
        <f ca="1">IF(ISERROR(LOOKUP(AM$16,$L180:$X180,#REF!)),0,(LOOKUP(AM$16,$L180:$X180,#REF!)))</f>
        <v>0</v>
      </c>
      <c r="AP180" s="215" t="e">
        <f>WORKDAY(IF(T181="",T180,T181),INDEX(AP$12:AP$15,MATCH($I179,$I$12:$I$15,0)),$AW$17:$AW$148)</f>
        <v>#REF!</v>
      </c>
      <c r="AQ180" s="215" t="e">
        <f>WORKDAY(IF(AP181="",AP180,AP181),INDEX(AQ$12:AQ$15,MATCH($I179,$I$12:$I$15,0)),$AW$17:$AW$148)</f>
        <v>#REF!</v>
      </c>
      <c r="AR180" s="215" t="e">
        <f>WORKDAY(IF(AQ181="",AQ180,AQ181),INDEX(AR$12:AR$15,MATCH($I179,$I$12:$I$15,0)),$AW$17:$AW$148)</f>
        <v>#REF!</v>
      </c>
      <c r="AS180" s="440"/>
      <c r="AW180" s="244"/>
    </row>
    <row r="181" spans="1:49" s="168" customFormat="1" ht="18.600000000000001" customHeight="1">
      <c r="A181" s="482"/>
      <c r="B181" s="481"/>
      <c r="C181" s="458"/>
      <c r="D181" s="477"/>
      <c r="E181" s="258"/>
      <c r="F181" s="465"/>
      <c r="G181" s="458" t="str">
        <f>G179</f>
        <v>Y</v>
      </c>
      <c r="H181" s="451"/>
      <c r="I181" s="212" t="str">
        <f>I179</f>
        <v>LA</v>
      </c>
      <c r="J181" s="249" t="s">
        <v>70</v>
      </c>
      <c r="K181" s="212"/>
      <c r="L181" s="212"/>
      <c r="M181" s="212"/>
      <c r="N181" s="212"/>
      <c r="O181" s="212"/>
      <c r="P181" s="226"/>
      <c r="Q181" s="227"/>
      <c r="R181" s="212"/>
      <c r="S181" s="212"/>
      <c r="T181" s="212"/>
      <c r="U181" s="212"/>
      <c r="V181" s="212"/>
      <c r="W181" s="228"/>
      <c r="X181" s="212"/>
      <c r="Y181" s="448"/>
      <c r="Z181" s="446"/>
      <c r="AA181" s="443"/>
      <c r="AB181" s="442"/>
      <c r="AC181" s="246">
        <f>IF(ISERROR(LOOKUP(AC$16,$L181:$X181,#REF!)),0,(LOOKUP(AC$16,$L181:$X181,#REF!)))</f>
        <v>0</v>
      </c>
      <c r="AD181" s="247">
        <f>IF(ISERROR(LOOKUP(AD$16,$L181:$X181,#REF!)),0,(LOOKUP(AD$16,$L181:$X181,#REF!)))</f>
        <v>0</v>
      </c>
      <c r="AE181" s="247">
        <f>IF(ISERROR(LOOKUP(AE$16,$L181:$X181,#REF!)),0,(LOOKUP(AE$16,$L181:$X181,#REF!)))</f>
        <v>0</v>
      </c>
      <c r="AF181" s="247">
        <f>IF(ISERROR(LOOKUP(AF$16,$L181:$X181,#REF!)),0,(LOOKUP(AF$16,$L181:$X181,#REF!)))</f>
        <v>0</v>
      </c>
      <c r="AG181" s="247">
        <f>IF(ISERROR(LOOKUP(AG$16,$L181:$X181,#REF!)),0,(LOOKUP(AG$16,$L181:$X181,#REF!)))</f>
        <v>0</v>
      </c>
      <c r="AH181" s="247">
        <f>IF(ISERROR(LOOKUP(AH$16,$L181:$X181,#REF!)),0,(LOOKUP(AH$16,$L181:$X181,#REF!)))</f>
        <v>0</v>
      </c>
      <c r="AI181" s="247">
        <f>IF(ISERROR(LOOKUP(AI$16,$L181:$X181,#REF!)),0,(LOOKUP(AI$16,$L181:$X181,#REF!)))</f>
        <v>0</v>
      </c>
      <c r="AJ181" s="247">
        <f>IF(ISERROR(LOOKUP(AJ$16,$L181:$X181,#REF!)),0,(LOOKUP(AJ$16,$L181:$X181,#REF!)))</f>
        <v>0</v>
      </c>
      <c r="AK181" s="247">
        <f>IF(ISERROR(LOOKUP(AK$16,$L181:$X181,#REF!)),0,(LOOKUP(AK$16,$L181:$X181,#REF!)))</f>
        <v>0</v>
      </c>
      <c r="AL181" s="247">
        <f>IF(ISERROR(LOOKUP(AL$16,$L181:$X181,#REF!)),0,(LOOKUP(AL$16,$L181:$X181,#REF!)))</f>
        <v>0</v>
      </c>
      <c r="AM181" s="247">
        <f ca="1">IF(ISERROR(LOOKUP(AM$16,$L181:$X181,#REF!)),0,(LOOKUP(AM$16,$L181:$X181,#REF!)))</f>
        <v>0</v>
      </c>
      <c r="AP181" s="212"/>
      <c r="AQ181" s="212"/>
      <c r="AR181" s="212"/>
      <c r="AS181" s="440"/>
      <c r="AW181" s="244"/>
    </row>
    <row r="182" spans="1:49" s="168" customFormat="1" ht="18.600000000000001" customHeight="1">
      <c r="A182" s="482"/>
      <c r="B182" s="479"/>
      <c r="C182" s="458"/>
      <c r="D182" s="477" t="s">
        <v>4804</v>
      </c>
      <c r="E182" s="256"/>
      <c r="F182" s="463" t="s">
        <v>226</v>
      </c>
      <c r="G182" s="458" t="str">
        <f>IF(_xlfn.XLOOKUP(C182,'[35]Before Award'!D:D,'[35]Before Award'!AV:AV,"N/A")="N/A","N","Y")</f>
        <v>Y</v>
      </c>
      <c r="H182" s="449"/>
      <c r="I182" s="212" t="s">
        <v>6</v>
      </c>
      <c r="J182" s="249" t="s">
        <v>4732</v>
      </c>
      <c r="K182" s="215">
        <f>WORKDAY(L182,-INDEX(L$12:L$15,MATCH($I182,$I$12:$I$15,0)))</f>
        <v>46118</v>
      </c>
      <c r="L182" s="215">
        <f>WORKDAY(M182,-1)</f>
        <v>46119</v>
      </c>
      <c r="M182" s="215">
        <f>WORKDAY(N182,-INDEX(N$12:N$15,MATCH($I182,$I$12:$I$15,0)))</f>
        <v>46120</v>
      </c>
      <c r="N182" s="215">
        <f>WORKDAY(O182,-1)</f>
        <v>46121</v>
      </c>
      <c r="O182" s="215">
        <f>WORKDAY(R182,-5)</f>
        <v>46122</v>
      </c>
      <c r="P182" s="216">
        <f>U182-L182</f>
        <v>23</v>
      </c>
      <c r="Q182" s="217"/>
      <c r="R182" s="215">
        <f>WORKDAY(S182,-1)</f>
        <v>46129</v>
      </c>
      <c r="S182" s="215">
        <f>WORKDAY(T182,-1)</f>
        <v>46132</v>
      </c>
      <c r="T182" s="215">
        <f>WORKDAY(U182,-7)</f>
        <v>46133</v>
      </c>
      <c r="U182" s="215">
        <f>X182-Y182</f>
        <v>46142</v>
      </c>
      <c r="V182" s="215">
        <f>WORKDAY(U182,INDEX(V$12:V$15,MATCH($I182,$I$12:$I$15,0)))</f>
        <v>46146</v>
      </c>
      <c r="W182" s="218">
        <f>Y182/7</f>
        <v>19</v>
      </c>
      <c r="X182" s="215">
        <f>Z182</f>
        <v>46275</v>
      </c>
      <c r="Y182" s="448">
        <f>19*7</f>
        <v>133</v>
      </c>
      <c r="Z182" s="447">
        <v>46275</v>
      </c>
      <c r="AA182" s="443">
        <v>46244</v>
      </c>
      <c r="AB182" s="442">
        <f>Z182-X183</f>
        <v>0</v>
      </c>
      <c r="AC182" s="242">
        <f>IF(ISERROR(LOOKUP(AC$16,$L182:$X182,#REF!)),0,(LOOKUP(AC$16,$L182:$X182,#REF!)))</f>
        <v>0</v>
      </c>
      <c r="AD182" s="243">
        <f>IF(ISERROR(LOOKUP(AD$16,$L182:$X182,#REF!)),0,(LOOKUP(AD$16,$L182:$X182,#REF!)))</f>
        <v>0</v>
      </c>
      <c r="AE182" s="243">
        <f>IF(ISERROR(LOOKUP(AE$16,$L182:$X182,#REF!)),0,(LOOKUP(AE$16,$L182:$X182,#REF!)))</f>
        <v>0</v>
      </c>
      <c r="AF182" s="243">
        <f>IF(ISERROR(LOOKUP(AF$16,$L182:$X182,#REF!)),0,(LOOKUP(AF$16,$L182:$X182,#REF!)))</f>
        <v>0</v>
      </c>
      <c r="AG182" s="243">
        <f>IF(ISERROR(LOOKUP(AG$16,$L182:$X182,#REF!)),0,(LOOKUP(AG$16,$L182:$X182,#REF!)))</f>
        <v>0</v>
      </c>
      <c r="AH182" s="243">
        <f>IF(ISERROR(LOOKUP(AH$16,$L182:$X182,#REF!)),0,(LOOKUP(AH$16,$L182:$X182,#REF!)))</f>
        <v>0</v>
      </c>
      <c r="AI182" s="243">
        <f>IF(ISERROR(LOOKUP(AI$16,$L182:$X182,#REF!)),0,(LOOKUP(AI$16,$L182:$X182,#REF!)))</f>
        <v>0</v>
      </c>
      <c r="AJ182" s="243">
        <f>IF(ISERROR(LOOKUP(AJ$16,$L182:$X182,#REF!)),0,(LOOKUP(AJ$16,$L182:$X182,#REF!)))</f>
        <v>0</v>
      </c>
      <c r="AK182" s="243">
        <f>IF(ISERROR(LOOKUP(AK$16,$L182:$X182,#REF!)),0,(LOOKUP(AK$16,$L182:$X182,#REF!)))</f>
        <v>0</v>
      </c>
      <c r="AL182" s="243">
        <f>IF(ISERROR(LOOKUP(AL$16,$L182:$X182,#REF!)),0,(LOOKUP(AL$16,$L182:$X182,#REF!)))</f>
        <v>0</v>
      </c>
      <c r="AM182" s="243">
        <f ca="1">IF(ISERROR(LOOKUP(AM$16,$L182:$X182,#REF!)),0,(LOOKUP(AM$16,$L182:$X182,#REF!)))</f>
        <v>0</v>
      </c>
      <c r="AP182" s="215" t="e">
        <f>WORKDAY(AQ182,-INDEX(AQ$12:AQ$15,MATCH($I182,$I$12:$I$15,0)),$AW$17:$AW$148)</f>
        <v>#REF!</v>
      </c>
      <c r="AQ182" s="215" t="e">
        <f>WORKDAY(U182,-INDEX(U$12:U$15,MATCH($I182,$I$12:$I$15,0)),$AW$17:$AW$148)</f>
        <v>#REF!</v>
      </c>
      <c r="AR182" s="215" t="e">
        <f>WORKDAY(U182,-INDEX(U$12:U$15,MATCH($I182,$I$12:$I$15,0)),$AW$17:$AW$148)</f>
        <v>#REF!</v>
      </c>
      <c r="AS182" s="440">
        <v>7</v>
      </c>
      <c r="AW182" s="244"/>
    </row>
    <row r="183" spans="1:49" s="168" customFormat="1" ht="18.600000000000001" customHeight="1">
      <c r="A183" s="482"/>
      <c r="B183" s="480"/>
      <c r="C183" s="458"/>
      <c r="D183" s="477" t="s">
        <v>4805</v>
      </c>
      <c r="E183" s="257"/>
      <c r="F183" s="464"/>
      <c r="G183" s="458" t="str">
        <f>G182</f>
        <v>Y</v>
      </c>
      <c r="H183" s="450"/>
      <c r="I183" s="212" t="str">
        <f>I182</f>
        <v>LA</v>
      </c>
      <c r="J183" s="249" t="s">
        <v>68</v>
      </c>
      <c r="K183" s="215">
        <f>K182</f>
        <v>46118</v>
      </c>
      <c r="L183" s="215">
        <f>WORKDAY(IF(K184="",K183,K184),INDEX(L$12:L$15,MATCH($I182,$I$12:$I$15,0)))</f>
        <v>46119</v>
      </c>
      <c r="M183" s="215">
        <f>WORKDAY(IF(L184="",L183,L184),1)</f>
        <v>46120</v>
      </c>
      <c r="N183" s="215">
        <f>WORKDAY(IF(M184="",M183,M184),INDEX(N$12:N$15,MATCH($I182,$I$12:$I$15,0)))</f>
        <v>46121</v>
      </c>
      <c r="O183" s="215">
        <f>WORKDAY(IF(N184="",N183,N184),1)</f>
        <v>46122</v>
      </c>
      <c r="P183" s="216"/>
      <c r="Q183" s="217"/>
      <c r="R183" s="215">
        <f>WORKDAY(IF(O184="",O183,O184),5)</f>
        <v>46129</v>
      </c>
      <c r="S183" s="215">
        <f>WORKDAY(IF(R184="",R183,R184),1)</f>
        <v>46132</v>
      </c>
      <c r="T183" s="215">
        <f>WORKDAY(IF(S184="",S183,S184),1)</f>
        <v>46133</v>
      </c>
      <c r="U183" s="215">
        <f>WORKDAY(IF(T184="",T183,T184),7)</f>
        <v>46142</v>
      </c>
      <c r="V183" s="215">
        <f>WORKDAY(IF(U184="",U183,U184),1)</f>
        <v>46143</v>
      </c>
      <c r="W183" s="218"/>
      <c r="X183" s="215">
        <f>U183+Y182</f>
        <v>46275</v>
      </c>
      <c r="Y183" s="448"/>
      <c r="Z183" s="447"/>
      <c r="AA183" s="443"/>
      <c r="AB183" s="442"/>
      <c r="AC183" s="242">
        <f>IF(ISERROR(LOOKUP(AC$16,$L183:$X183,#REF!)),0,(LOOKUP(AC$16,$L183:$X183,#REF!)))</f>
        <v>0</v>
      </c>
      <c r="AD183" s="243">
        <f>IF(ISERROR(LOOKUP(AD$16,$L183:$X183,#REF!)),0,(LOOKUP(AD$16,$L183:$X183,#REF!)))</f>
        <v>0</v>
      </c>
      <c r="AE183" s="243">
        <f>IF(ISERROR(LOOKUP(AE$16,$L183:$X183,#REF!)),0,(LOOKUP(AE$16,$L183:$X183,#REF!)))</f>
        <v>0</v>
      </c>
      <c r="AF183" s="243">
        <f>IF(ISERROR(LOOKUP(AF$16,$L183:$X183,#REF!)),0,(LOOKUP(AF$16,$L183:$X183,#REF!)))</f>
        <v>0</v>
      </c>
      <c r="AG183" s="243">
        <f>IF(ISERROR(LOOKUP(AG$16,$L183:$X183,#REF!)),0,(LOOKUP(AG$16,$L183:$X183,#REF!)))</f>
        <v>0</v>
      </c>
      <c r="AH183" s="243">
        <f>IF(ISERROR(LOOKUP(AH$16,$L183:$X183,#REF!)),0,(LOOKUP(AH$16,$L183:$X183,#REF!)))</f>
        <v>0</v>
      </c>
      <c r="AI183" s="243">
        <f>IF(ISERROR(LOOKUP(AI$16,$L183:$X183,#REF!)),0,(LOOKUP(AI$16,$L183:$X183,#REF!)))</f>
        <v>0</v>
      </c>
      <c r="AJ183" s="243">
        <f>IF(ISERROR(LOOKUP(AJ$16,$L183:$X183,#REF!)),0,(LOOKUP(AJ$16,$L183:$X183,#REF!)))</f>
        <v>0</v>
      </c>
      <c r="AK183" s="243">
        <f>IF(ISERROR(LOOKUP(AK$16,$L183:$X183,#REF!)),0,(LOOKUP(AK$16,$L183:$X183,#REF!)))</f>
        <v>0</v>
      </c>
      <c r="AL183" s="243">
        <f>IF(ISERROR(LOOKUP(AL$16,$L183:$X183,#REF!)),0,(LOOKUP(AL$16,$L183:$X183,#REF!)))</f>
        <v>0</v>
      </c>
      <c r="AM183" s="243">
        <f ca="1">IF(ISERROR(LOOKUP(AM$16,$L183:$X183,#REF!)),0,(LOOKUP(AM$16,$L183:$X183,#REF!)))</f>
        <v>0</v>
      </c>
      <c r="AP183" s="215" t="e">
        <f>WORKDAY(IF(T184="",T183,T184),INDEX(AP$12:AP$15,MATCH($I182,$I$12:$I$15,0)),$AW$17:$AW$148)</f>
        <v>#REF!</v>
      </c>
      <c r="AQ183" s="215" t="e">
        <f>WORKDAY(IF(AP184="",AP183,AP184),INDEX(AQ$12:AQ$15,MATCH($I182,$I$12:$I$15,0)),$AW$17:$AW$148)</f>
        <v>#REF!</v>
      </c>
      <c r="AR183" s="215" t="e">
        <f>WORKDAY(IF(AQ184="",AQ183,AQ184),INDEX(AR$12:AR$15,MATCH($I182,$I$12:$I$15,0)),$AW$17:$AW$148)</f>
        <v>#REF!</v>
      </c>
      <c r="AS183" s="440"/>
      <c r="AW183" s="244"/>
    </row>
    <row r="184" spans="1:49" s="168" customFormat="1" ht="18.600000000000001" customHeight="1">
      <c r="A184" s="482"/>
      <c r="B184" s="481"/>
      <c r="C184" s="458"/>
      <c r="D184" s="477" t="s">
        <v>4805</v>
      </c>
      <c r="E184" s="258"/>
      <c r="F184" s="465"/>
      <c r="G184" s="458" t="str">
        <f>G182</f>
        <v>Y</v>
      </c>
      <c r="H184" s="451"/>
      <c r="I184" s="212" t="str">
        <f t="shared" ref="I184:I196" si="3">I182</f>
        <v>LA</v>
      </c>
      <c r="J184" s="249" t="s">
        <v>70</v>
      </c>
      <c r="K184" s="212"/>
      <c r="L184" s="212"/>
      <c r="M184" s="212"/>
      <c r="N184" s="212"/>
      <c r="O184" s="212"/>
      <c r="P184" s="226"/>
      <c r="Q184" s="227"/>
      <c r="R184" s="212"/>
      <c r="S184" s="212"/>
      <c r="T184" s="212"/>
      <c r="U184" s="212"/>
      <c r="V184" s="212"/>
      <c r="W184" s="228"/>
      <c r="X184" s="212"/>
      <c r="Y184" s="448"/>
      <c r="Z184" s="447"/>
      <c r="AA184" s="443"/>
      <c r="AB184" s="442"/>
      <c r="AC184" s="246">
        <f>IF(ISERROR(LOOKUP(AC$16,$L184:$X184,#REF!)),0,(LOOKUP(AC$16,$L184:$X184,#REF!)))</f>
        <v>0</v>
      </c>
      <c r="AD184" s="247">
        <f>IF(ISERROR(LOOKUP(AD$16,$L184:$X184,#REF!)),0,(LOOKUP(AD$16,$L184:$X184,#REF!)))</f>
        <v>0</v>
      </c>
      <c r="AE184" s="247">
        <f>IF(ISERROR(LOOKUP(AE$16,$L184:$X184,#REF!)),0,(LOOKUP(AE$16,$L184:$X184,#REF!)))</f>
        <v>0</v>
      </c>
      <c r="AF184" s="247">
        <f>IF(ISERROR(LOOKUP(AF$16,$L184:$X184,#REF!)),0,(LOOKUP(AF$16,$L184:$X184,#REF!)))</f>
        <v>0</v>
      </c>
      <c r="AG184" s="247">
        <f>IF(ISERROR(LOOKUP(AG$16,$L184:$X184,#REF!)),0,(LOOKUP(AG$16,$L184:$X184,#REF!)))</f>
        <v>0</v>
      </c>
      <c r="AH184" s="247">
        <f>IF(ISERROR(LOOKUP(AH$16,$L184:$X184,#REF!)),0,(LOOKUP(AH$16,$L184:$X184,#REF!)))</f>
        <v>0</v>
      </c>
      <c r="AI184" s="247">
        <f>IF(ISERROR(LOOKUP(AI$16,$L184:$X184,#REF!)),0,(LOOKUP(AI$16,$L184:$X184,#REF!)))</f>
        <v>0</v>
      </c>
      <c r="AJ184" s="247">
        <f>IF(ISERROR(LOOKUP(AJ$16,$L184:$X184,#REF!)),0,(LOOKUP(AJ$16,$L184:$X184,#REF!)))</f>
        <v>0</v>
      </c>
      <c r="AK184" s="247">
        <f>IF(ISERROR(LOOKUP(AK$16,$L184:$X184,#REF!)),0,(LOOKUP(AK$16,$L184:$X184,#REF!)))</f>
        <v>0</v>
      </c>
      <c r="AL184" s="247">
        <f>IF(ISERROR(LOOKUP(AL$16,$L184:$X184,#REF!)),0,(LOOKUP(AL$16,$L184:$X184,#REF!)))</f>
        <v>0</v>
      </c>
      <c r="AM184" s="247">
        <f ca="1">IF(ISERROR(LOOKUP(AM$16,$L184:$X184,#REF!)),0,(LOOKUP(AM$16,$L184:$X184,#REF!)))</f>
        <v>0</v>
      </c>
      <c r="AP184" s="212"/>
      <c r="AQ184" s="212"/>
      <c r="AR184" s="212"/>
      <c r="AS184" s="440"/>
      <c r="AW184" s="244"/>
    </row>
    <row r="185" spans="1:49" s="168" customFormat="1" ht="18.600000000000001" customHeight="1">
      <c r="A185" s="482"/>
      <c r="B185" s="479"/>
      <c r="C185" s="458"/>
      <c r="D185" s="477" t="s">
        <v>4806</v>
      </c>
      <c r="E185" s="256"/>
      <c r="F185" s="463" t="s">
        <v>226</v>
      </c>
      <c r="G185" s="458" t="str">
        <f>IF(_xlfn.XLOOKUP(C185,'[35]Before Award'!D:D,'[35]Before Award'!AV:AV,"N/A")="N/A","N","Y")</f>
        <v>Y</v>
      </c>
      <c r="H185" s="224"/>
      <c r="I185" s="212" t="str">
        <f t="shared" si="3"/>
        <v>LA</v>
      </c>
      <c r="J185" s="249" t="s">
        <v>4732</v>
      </c>
      <c r="K185" s="215">
        <f>WORKDAY(L185,-INDEX(L$12:L$15,MATCH($I185,$I$12:$I$15,0)))</f>
        <v>46099</v>
      </c>
      <c r="L185" s="215">
        <f>WORKDAY(M185,-1)</f>
        <v>46100</v>
      </c>
      <c r="M185" s="215">
        <f>WORKDAY(N185,-INDEX(N$12:N$15,MATCH($I185,$I$12:$I$15,0)))</f>
        <v>46101</v>
      </c>
      <c r="N185" s="215">
        <f>WORKDAY(O185,-1)</f>
        <v>46104</v>
      </c>
      <c r="O185" s="215">
        <f>WORKDAY(R185,-5)</f>
        <v>46105</v>
      </c>
      <c r="P185" s="216">
        <f>U185-L185</f>
        <v>24</v>
      </c>
      <c r="Q185" s="217"/>
      <c r="R185" s="215">
        <f>WORKDAY(S185,-1)</f>
        <v>46112</v>
      </c>
      <c r="S185" s="215">
        <f>WORKDAY(T185,-1)</f>
        <v>46113</v>
      </c>
      <c r="T185" s="215">
        <f>WORKDAY(U185,-7)</f>
        <v>46114</v>
      </c>
      <c r="U185" s="215">
        <f>X185-Y185</f>
        <v>46124</v>
      </c>
      <c r="V185" s="215">
        <f>WORKDAY(U185,INDEX(V$12:V$15,MATCH($I185,$I$12:$I$15,0)))</f>
        <v>46126</v>
      </c>
      <c r="W185" s="218">
        <f>Y185/7</f>
        <v>17.1428571428571</v>
      </c>
      <c r="X185" s="215">
        <f>Z185</f>
        <v>46244</v>
      </c>
      <c r="Y185" s="448">
        <v>120</v>
      </c>
      <c r="Z185" s="447">
        <v>46244</v>
      </c>
      <c r="AA185" s="219"/>
      <c r="AB185" s="442">
        <f>Z185-X186</f>
        <v>0</v>
      </c>
      <c r="AC185" s="246"/>
      <c r="AD185" s="247"/>
      <c r="AE185" s="247"/>
      <c r="AF185" s="247"/>
      <c r="AG185" s="247"/>
      <c r="AH185" s="247"/>
      <c r="AI185" s="247"/>
      <c r="AJ185" s="247"/>
      <c r="AK185" s="247"/>
      <c r="AL185" s="247"/>
      <c r="AM185" s="247"/>
      <c r="AP185" s="212"/>
      <c r="AQ185" s="212"/>
      <c r="AR185" s="212"/>
      <c r="AS185" s="222"/>
      <c r="AW185" s="244"/>
    </row>
    <row r="186" spans="1:49" s="168" customFormat="1" ht="18.600000000000001" customHeight="1">
      <c r="A186" s="482"/>
      <c r="B186" s="480"/>
      <c r="C186" s="458"/>
      <c r="D186" s="477" t="s">
        <v>4805</v>
      </c>
      <c r="E186" s="257"/>
      <c r="F186" s="464"/>
      <c r="G186" s="458" t="str">
        <f>G185</f>
        <v>Y</v>
      </c>
      <c r="H186" s="224"/>
      <c r="I186" s="212" t="str">
        <f t="shared" si="3"/>
        <v>LA</v>
      </c>
      <c r="J186" s="249" t="s">
        <v>68</v>
      </c>
      <c r="K186" s="215">
        <f>K185</f>
        <v>46099</v>
      </c>
      <c r="L186" s="215">
        <f>WORKDAY(IF(K187="",K186,K187),INDEX(L$12:L$15,MATCH($I185,$I$12:$I$15,0)))</f>
        <v>46100</v>
      </c>
      <c r="M186" s="215">
        <f>WORKDAY(IF(L187="",L186,L187),1)</f>
        <v>46101</v>
      </c>
      <c r="N186" s="215">
        <f>WORKDAY(IF(M187="",M186,M187),INDEX(N$12:N$15,MATCH($I185,$I$12:$I$15,0)))</f>
        <v>46104</v>
      </c>
      <c r="O186" s="215">
        <f>WORKDAY(IF(N187="",N186,N187),1)</f>
        <v>46105</v>
      </c>
      <c r="P186" s="216"/>
      <c r="Q186" s="217"/>
      <c r="R186" s="215">
        <f>WORKDAY(IF(O187="",O186,O187),5)</f>
        <v>46112</v>
      </c>
      <c r="S186" s="215">
        <f>WORKDAY(IF(R187="",R186,R187),1)</f>
        <v>46113</v>
      </c>
      <c r="T186" s="215">
        <f>WORKDAY(IF(S187="",S186,S187),1)</f>
        <v>46114</v>
      </c>
      <c r="U186" s="215">
        <f>WORKDAY(IF(T187="",T186,T187),7)-1</f>
        <v>46124</v>
      </c>
      <c r="V186" s="215">
        <f>WORKDAY(IF(U187="",U186,U187),1)</f>
        <v>46125</v>
      </c>
      <c r="W186" s="218"/>
      <c r="X186" s="215">
        <f>U186+Y185</f>
        <v>46244</v>
      </c>
      <c r="Y186" s="448"/>
      <c r="Z186" s="447"/>
      <c r="AA186" s="219"/>
      <c r="AB186" s="442"/>
      <c r="AC186" s="246"/>
      <c r="AD186" s="247"/>
      <c r="AE186" s="247"/>
      <c r="AF186" s="247"/>
      <c r="AG186" s="247"/>
      <c r="AH186" s="247"/>
      <c r="AI186" s="247"/>
      <c r="AJ186" s="247"/>
      <c r="AK186" s="247"/>
      <c r="AL186" s="247"/>
      <c r="AM186" s="247"/>
      <c r="AP186" s="212"/>
      <c r="AQ186" s="212"/>
      <c r="AR186" s="212"/>
      <c r="AS186" s="222"/>
      <c r="AW186" s="244"/>
    </row>
    <row r="187" spans="1:49" s="168" customFormat="1" ht="18.600000000000001" customHeight="1">
      <c r="A187" s="482"/>
      <c r="B187" s="481"/>
      <c r="C187" s="458"/>
      <c r="D187" s="477" t="s">
        <v>4805</v>
      </c>
      <c r="E187" s="258"/>
      <c r="F187" s="465"/>
      <c r="G187" s="458" t="str">
        <f>G185</f>
        <v>Y</v>
      </c>
      <c r="H187" s="224"/>
      <c r="I187" s="212" t="str">
        <f t="shared" si="3"/>
        <v>LA</v>
      </c>
      <c r="J187" s="249" t="s">
        <v>70</v>
      </c>
      <c r="K187" s="212"/>
      <c r="L187" s="212"/>
      <c r="M187" s="212"/>
      <c r="N187" s="212"/>
      <c r="O187" s="212"/>
      <c r="P187" s="226"/>
      <c r="Q187" s="227"/>
      <c r="R187" s="212"/>
      <c r="S187" s="212"/>
      <c r="T187" s="212"/>
      <c r="U187" s="212"/>
      <c r="V187" s="212"/>
      <c r="W187" s="228"/>
      <c r="X187" s="212"/>
      <c r="Y187" s="448"/>
      <c r="Z187" s="447"/>
      <c r="AA187" s="219"/>
      <c r="AB187" s="442"/>
      <c r="AC187" s="246"/>
      <c r="AD187" s="247"/>
      <c r="AE187" s="247"/>
      <c r="AF187" s="247"/>
      <c r="AG187" s="247"/>
      <c r="AH187" s="247"/>
      <c r="AI187" s="247"/>
      <c r="AJ187" s="247"/>
      <c r="AK187" s="247"/>
      <c r="AL187" s="247"/>
      <c r="AM187" s="247"/>
      <c r="AP187" s="212"/>
      <c r="AQ187" s="212"/>
      <c r="AR187" s="212"/>
      <c r="AS187" s="222"/>
      <c r="AW187" s="244"/>
    </row>
    <row r="188" spans="1:49" s="168" customFormat="1" ht="18.600000000000001" customHeight="1">
      <c r="A188" s="482"/>
      <c r="B188" s="479"/>
      <c r="C188" s="458"/>
      <c r="D188" s="477" t="s">
        <v>4807</v>
      </c>
      <c r="E188" s="256"/>
      <c r="F188" s="463" t="s">
        <v>226</v>
      </c>
      <c r="G188" s="458" t="str">
        <f>IF(_xlfn.XLOOKUP(C188,'[35]Before Award'!D:D,'[35]Before Award'!AV:AV,"N/A")="N/A","N","Y")</f>
        <v>Y</v>
      </c>
      <c r="H188" s="224"/>
      <c r="I188" s="212" t="str">
        <f t="shared" si="3"/>
        <v>LA</v>
      </c>
      <c r="J188" s="249" t="s">
        <v>4732</v>
      </c>
      <c r="K188" s="215">
        <f>WORKDAY(L188,-INDEX(L$12:L$15,MATCH($I188,$I$12:$I$15,0)))</f>
        <v>46161</v>
      </c>
      <c r="L188" s="215">
        <f>WORKDAY(M188,-1)</f>
        <v>46162</v>
      </c>
      <c r="M188" s="215">
        <f>WORKDAY(N188,-INDEX(N$12:N$15,MATCH($I188,$I$12:$I$15,0)))</f>
        <v>46163</v>
      </c>
      <c r="N188" s="215">
        <f>WORKDAY(O188,-1)</f>
        <v>46164</v>
      </c>
      <c r="O188" s="215">
        <f>WORKDAY(R188,-5)</f>
        <v>46167</v>
      </c>
      <c r="P188" s="216">
        <f>U188-L188</f>
        <v>23</v>
      </c>
      <c r="Q188" s="217"/>
      <c r="R188" s="215">
        <f>WORKDAY(S188,-1)</f>
        <v>46174</v>
      </c>
      <c r="S188" s="215">
        <f>WORKDAY(T188,-1)</f>
        <v>46175</v>
      </c>
      <c r="T188" s="215">
        <f>WORKDAY(U188,-7)</f>
        <v>46176</v>
      </c>
      <c r="U188" s="215">
        <f>X188-Y188</f>
        <v>46185</v>
      </c>
      <c r="V188" s="215">
        <f>WORKDAY(U188,INDEX(V$12:V$15,MATCH($I188,$I$12:$I$15,0)))</f>
        <v>46189</v>
      </c>
      <c r="W188" s="218">
        <f>Y188/7</f>
        <v>12.8571428571429</v>
      </c>
      <c r="X188" s="215">
        <f>Z188</f>
        <v>46275</v>
      </c>
      <c r="Y188" s="448">
        <v>90</v>
      </c>
      <c r="Z188" s="447">
        <v>46275</v>
      </c>
      <c r="AA188" s="219"/>
      <c r="AB188" s="442">
        <f>Z188-X189</f>
        <v>0</v>
      </c>
      <c r="AC188" s="246"/>
      <c r="AD188" s="247"/>
      <c r="AE188" s="247"/>
      <c r="AF188" s="247"/>
      <c r="AG188" s="247"/>
      <c r="AH188" s="247"/>
      <c r="AI188" s="247"/>
      <c r="AJ188" s="247"/>
      <c r="AK188" s="247"/>
      <c r="AL188" s="247"/>
      <c r="AM188" s="247"/>
      <c r="AP188" s="212"/>
      <c r="AQ188" s="212"/>
      <c r="AR188" s="212"/>
      <c r="AS188" s="222"/>
      <c r="AW188" s="244"/>
    </row>
    <row r="189" spans="1:49" s="168" customFormat="1" ht="18.600000000000001" customHeight="1">
      <c r="A189" s="482"/>
      <c r="B189" s="480"/>
      <c r="C189" s="458"/>
      <c r="D189" s="477" t="s">
        <v>4808</v>
      </c>
      <c r="E189" s="257"/>
      <c r="F189" s="464"/>
      <c r="G189" s="458" t="str">
        <f>G188</f>
        <v>Y</v>
      </c>
      <c r="H189" s="224"/>
      <c r="I189" s="212" t="str">
        <f t="shared" si="3"/>
        <v>LA</v>
      </c>
      <c r="J189" s="249" t="s">
        <v>68</v>
      </c>
      <c r="K189" s="215">
        <f>K188</f>
        <v>46161</v>
      </c>
      <c r="L189" s="215">
        <f>WORKDAY(IF(K190="",K189,K190),INDEX(L$12:L$15,MATCH($I188,$I$12:$I$15,0)))</f>
        <v>46162</v>
      </c>
      <c r="M189" s="215">
        <f>WORKDAY(IF(L190="",L189,L190),1)</f>
        <v>46163</v>
      </c>
      <c r="N189" s="215">
        <f>WORKDAY(IF(M190="",M189,M190),INDEX(N$12:N$15,MATCH($I188,$I$12:$I$15,0)))</f>
        <v>46164</v>
      </c>
      <c r="O189" s="215">
        <f>WORKDAY(IF(N190="",N189,N190),1)</f>
        <v>46167</v>
      </c>
      <c r="P189" s="216"/>
      <c r="Q189" s="217"/>
      <c r="R189" s="215">
        <f>WORKDAY(IF(O190="",O189,O190),5)</f>
        <v>46174</v>
      </c>
      <c r="S189" s="215">
        <f>WORKDAY(IF(R190="",R189,R190),1)</f>
        <v>46175</v>
      </c>
      <c r="T189" s="215">
        <f>WORKDAY(IF(S190="",S189,S190),1)</f>
        <v>46176</v>
      </c>
      <c r="U189" s="215">
        <f>WORKDAY(IF(T190="",T189,T190),7)</f>
        <v>46185</v>
      </c>
      <c r="V189" s="215">
        <f>WORKDAY(IF(U190="",U189,U190),1)</f>
        <v>46188</v>
      </c>
      <c r="W189" s="218"/>
      <c r="X189" s="215">
        <f>U189+Y188</f>
        <v>46275</v>
      </c>
      <c r="Y189" s="448"/>
      <c r="Z189" s="447"/>
      <c r="AA189" s="219"/>
      <c r="AB189" s="442"/>
      <c r="AC189" s="246"/>
      <c r="AD189" s="247"/>
      <c r="AE189" s="247"/>
      <c r="AF189" s="247"/>
      <c r="AG189" s="247"/>
      <c r="AH189" s="247"/>
      <c r="AI189" s="247"/>
      <c r="AJ189" s="247"/>
      <c r="AK189" s="247"/>
      <c r="AL189" s="247"/>
      <c r="AM189" s="247"/>
      <c r="AP189" s="212"/>
      <c r="AQ189" s="212"/>
      <c r="AR189" s="212"/>
      <c r="AS189" s="222"/>
      <c r="AW189" s="244"/>
    </row>
    <row r="190" spans="1:49" s="168" customFormat="1" ht="18.600000000000001" customHeight="1">
      <c r="A190" s="482"/>
      <c r="B190" s="481"/>
      <c r="C190" s="458"/>
      <c r="D190" s="477" t="s">
        <v>4808</v>
      </c>
      <c r="E190" s="258"/>
      <c r="F190" s="465"/>
      <c r="G190" s="458" t="str">
        <f>G188</f>
        <v>Y</v>
      </c>
      <c r="H190" s="224"/>
      <c r="I190" s="212" t="str">
        <f t="shared" si="3"/>
        <v>LA</v>
      </c>
      <c r="J190" s="249" t="s">
        <v>70</v>
      </c>
      <c r="K190" s="212"/>
      <c r="L190" s="212"/>
      <c r="M190" s="212"/>
      <c r="N190" s="212"/>
      <c r="O190" s="212"/>
      <c r="P190" s="226"/>
      <c r="Q190" s="227"/>
      <c r="R190" s="212"/>
      <c r="S190" s="212"/>
      <c r="T190" s="212"/>
      <c r="U190" s="212"/>
      <c r="V190" s="212"/>
      <c r="W190" s="228"/>
      <c r="X190" s="212"/>
      <c r="Y190" s="448"/>
      <c r="Z190" s="447"/>
      <c r="AA190" s="219"/>
      <c r="AB190" s="442"/>
      <c r="AC190" s="246"/>
      <c r="AD190" s="247"/>
      <c r="AE190" s="247"/>
      <c r="AF190" s="247"/>
      <c r="AG190" s="247"/>
      <c r="AH190" s="247"/>
      <c r="AI190" s="247"/>
      <c r="AJ190" s="247"/>
      <c r="AK190" s="247"/>
      <c r="AL190" s="247"/>
      <c r="AM190" s="247"/>
      <c r="AP190" s="212"/>
      <c r="AQ190" s="212"/>
      <c r="AR190" s="212"/>
      <c r="AS190" s="222"/>
      <c r="AW190" s="244"/>
    </row>
    <row r="191" spans="1:49" s="168" customFormat="1" ht="18.600000000000001" customHeight="1">
      <c r="A191" s="482"/>
      <c r="B191" s="479"/>
      <c r="C191" s="458"/>
      <c r="D191" s="477" t="s">
        <v>240</v>
      </c>
      <c r="E191" s="256"/>
      <c r="F191" s="463" t="s">
        <v>226</v>
      </c>
      <c r="G191" s="458" t="str">
        <f>IF(_xlfn.XLOOKUP(C191,'[35]Before Award'!D:D,'[35]Before Award'!AV:AV,"N/A")="N/A","N","Y")</f>
        <v>Y</v>
      </c>
      <c r="H191" s="224"/>
      <c r="I191" s="212" t="str">
        <f t="shared" si="3"/>
        <v>LA</v>
      </c>
      <c r="J191" s="249" t="s">
        <v>4732</v>
      </c>
      <c r="K191" s="215">
        <f>WORKDAY(L191,-INDEX(L$12:L$15,MATCH($I191,$I$12:$I$15,0)))</f>
        <v>46111</v>
      </c>
      <c r="L191" s="215">
        <f>WORKDAY(M191,-1)</f>
        <v>46112</v>
      </c>
      <c r="M191" s="215">
        <f>WORKDAY(N191,-INDEX(N$12:N$15,MATCH($I191,$I$12:$I$15,0)))</f>
        <v>46113</v>
      </c>
      <c r="N191" s="215">
        <f>WORKDAY(O191,-1)</f>
        <v>46114</v>
      </c>
      <c r="O191" s="215">
        <f>WORKDAY(R191,-5)</f>
        <v>46115</v>
      </c>
      <c r="P191" s="216">
        <f>U191-L191</f>
        <v>23</v>
      </c>
      <c r="Q191" s="217"/>
      <c r="R191" s="215">
        <f>WORKDAY(S191,-1)</f>
        <v>46122</v>
      </c>
      <c r="S191" s="215">
        <f>WORKDAY(T191,-1)</f>
        <v>46125</v>
      </c>
      <c r="T191" s="215">
        <f>WORKDAY(U191,-7)</f>
        <v>46126</v>
      </c>
      <c r="U191" s="215">
        <f>X191-Y191</f>
        <v>46135</v>
      </c>
      <c r="V191" s="215">
        <f>WORKDAY(U191,INDEX(V$12:V$15,MATCH($I191,$I$12:$I$15,0)))</f>
        <v>46139</v>
      </c>
      <c r="W191" s="218">
        <f>Y191/7</f>
        <v>22.8571428571429</v>
      </c>
      <c r="X191" s="215">
        <f>Z191</f>
        <v>46295</v>
      </c>
      <c r="Y191" s="448">
        <f>120+40</f>
        <v>160</v>
      </c>
      <c r="Z191" s="444">
        <v>46295</v>
      </c>
      <c r="AA191" s="219"/>
      <c r="AB191" s="442">
        <f>Z191-X192</f>
        <v>0</v>
      </c>
      <c r="AC191" s="246"/>
      <c r="AD191" s="247"/>
      <c r="AE191" s="247"/>
      <c r="AF191" s="247"/>
      <c r="AG191" s="247"/>
      <c r="AH191" s="247"/>
      <c r="AI191" s="247"/>
      <c r="AJ191" s="247"/>
      <c r="AK191" s="247"/>
      <c r="AL191" s="247"/>
      <c r="AM191" s="247"/>
      <c r="AP191" s="212"/>
      <c r="AQ191" s="212"/>
      <c r="AR191" s="212"/>
      <c r="AS191" s="222"/>
      <c r="AW191" s="244"/>
    </row>
    <row r="192" spans="1:49" s="168" customFormat="1" ht="18.600000000000001" customHeight="1">
      <c r="A192" s="482"/>
      <c r="B192" s="480"/>
      <c r="C192" s="458"/>
      <c r="D192" s="477"/>
      <c r="E192" s="257"/>
      <c r="F192" s="464"/>
      <c r="G192" s="458" t="str">
        <f>G191</f>
        <v>Y</v>
      </c>
      <c r="H192" s="224"/>
      <c r="I192" s="212" t="str">
        <f t="shared" si="3"/>
        <v>LA</v>
      </c>
      <c r="J192" s="249" t="s">
        <v>68</v>
      </c>
      <c r="K192" s="215">
        <f>K191</f>
        <v>46111</v>
      </c>
      <c r="L192" s="215">
        <f>WORKDAY(IF(K193="",K192,K193),INDEX(L$12:L$15,MATCH($I191,$I$12:$I$15,0)))</f>
        <v>46112</v>
      </c>
      <c r="M192" s="215">
        <f>WORKDAY(IF(L193="",L192,L193),1)</f>
        <v>46113</v>
      </c>
      <c r="N192" s="215">
        <f>WORKDAY(IF(M193="",M192,M193),INDEX(N$12:N$15,MATCH($I191,$I$12:$I$15,0)))</f>
        <v>46114</v>
      </c>
      <c r="O192" s="215">
        <f>WORKDAY(IF(N193="",N192,N193),1)</f>
        <v>46115</v>
      </c>
      <c r="P192" s="216"/>
      <c r="Q192" s="217"/>
      <c r="R192" s="215">
        <f>WORKDAY(IF(O193="",O192,O193),5)</f>
        <v>46122</v>
      </c>
      <c r="S192" s="215">
        <f>WORKDAY(IF(R193="",R192,R193),1)</f>
        <v>46125</v>
      </c>
      <c r="T192" s="215">
        <f>WORKDAY(IF(S193="",S192,S193),1)</f>
        <v>46126</v>
      </c>
      <c r="U192" s="215">
        <f>WORKDAY(IF(T193="",T192,T193),7)</f>
        <v>46135</v>
      </c>
      <c r="V192" s="215">
        <f>WORKDAY(IF(U193="",U192,U193),1)</f>
        <v>46136</v>
      </c>
      <c r="W192" s="218"/>
      <c r="X192" s="215">
        <f>U192+Y191</f>
        <v>46295</v>
      </c>
      <c r="Y192" s="448"/>
      <c r="Z192" s="445"/>
      <c r="AA192" s="219"/>
      <c r="AB192" s="442"/>
      <c r="AC192" s="246"/>
      <c r="AD192" s="247"/>
      <c r="AE192" s="247"/>
      <c r="AF192" s="247"/>
      <c r="AG192" s="247"/>
      <c r="AH192" s="247"/>
      <c r="AI192" s="247"/>
      <c r="AJ192" s="247"/>
      <c r="AK192" s="247"/>
      <c r="AL192" s="247"/>
      <c r="AM192" s="247"/>
      <c r="AP192" s="212"/>
      <c r="AQ192" s="212"/>
      <c r="AR192" s="212"/>
      <c r="AS192" s="222"/>
      <c r="AW192" s="244"/>
    </row>
    <row r="193" spans="1:49" s="168" customFormat="1" ht="18.600000000000001" customHeight="1">
      <c r="A193" s="482"/>
      <c r="B193" s="481"/>
      <c r="C193" s="458"/>
      <c r="D193" s="477"/>
      <c r="E193" s="258"/>
      <c r="F193" s="465"/>
      <c r="G193" s="458" t="str">
        <f>G191</f>
        <v>Y</v>
      </c>
      <c r="H193" s="224"/>
      <c r="I193" s="212" t="str">
        <f t="shared" si="3"/>
        <v>LA</v>
      </c>
      <c r="J193" s="249" t="s">
        <v>70</v>
      </c>
      <c r="K193" s="212"/>
      <c r="L193" s="212"/>
      <c r="M193" s="212"/>
      <c r="N193" s="212"/>
      <c r="O193" s="212"/>
      <c r="P193" s="226"/>
      <c r="Q193" s="227"/>
      <c r="R193" s="212"/>
      <c r="S193" s="212"/>
      <c r="T193" s="212"/>
      <c r="U193" s="212"/>
      <c r="V193" s="212"/>
      <c r="W193" s="228"/>
      <c r="X193" s="212"/>
      <c r="Y193" s="448"/>
      <c r="Z193" s="446"/>
      <c r="AA193" s="219"/>
      <c r="AB193" s="442"/>
      <c r="AC193" s="246"/>
      <c r="AD193" s="247"/>
      <c r="AE193" s="247"/>
      <c r="AF193" s="247"/>
      <c r="AG193" s="247"/>
      <c r="AH193" s="247"/>
      <c r="AI193" s="247"/>
      <c r="AJ193" s="247"/>
      <c r="AK193" s="247"/>
      <c r="AL193" s="247"/>
      <c r="AM193" s="247"/>
      <c r="AP193" s="212"/>
      <c r="AQ193" s="212"/>
      <c r="AR193" s="212"/>
      <c r="AS193" s="222"/>
      <c r="AW193" s="244"/>
    </row>
    <row r="194" spans="1:49" s="168" customFormat="1" ht="18.600000000000001" customHeight="1">
      <c r="A194" s="482"/>
      <c r="B194" s="479"/>
      <c r="C194" s="458"/>
      <c r="D194" s="458" t="s">
        <v>243</v>
      </c>
      <c r="E194" s="213"/>
      <c r="F194" s="460" t="s">
        <v>226</v>
      </c>
      <c r="G194" s="458" t="str">
        <f>IF(_xlfn.XLOOKUP(C194,'[35]Before Award'!D:D,'[35]Before Award'!AV:AV,"N/A")="N/A","N","Y")</f>
        <v>Y</v>
      </c>
      <c r="H194" s="224"/>
      <c r="I194" s="212" t="str">
        <f t="shared" si="3"/>
        <v>LA</v>
      </c>
      <c r="J194" s="249" t="s">
        <v>4732</v>
      </c>
      <c r="K194" s="215">
        <f>WORKDAY(L194,-INDEX(L$12:L$15,MATCH($I194,$I$12:$I$15,0)))</f>
        <v>46122</v>
      </c>
      <c r="L194" s="215">
        <f>WORKDAY(M194,-1)</f>
        <v>46125</v>
      </c>
      <c r="M194" s="215">
        <f>WORKDAY(N194,-INDEX(N$12:N$15,MATCH($I194,$I$12:$I$15,0)))</f>
        <v>46126</v>
      </c>
      <c r="N194" s="215">
        <f>WORKDAY(O194,-1)</f>
        <v>46127</v>
      </c>
      <c r="O194" s="215">
        <f>WORKDAY(R194,-5)</f>
        <v>46128</v>
      </c>
      <c r="P194" s="216">
        <f>U194-L194</f>
        <v>23</v>
      </c>
      <c r="Q194" s="217"/>
      <c r="R194" s="215">
        <f>WORKDAY(S194,-1)</f>
        <v>46135</v>
      </c>
      <c r="S194" s="215">
        <f>WORKDAY(T194,-1)</f>
        <v>46136</v>
      </c>
      <c r="T194" s="215">
        <f>WORKDAY(U194,-7)</f>
        <v>46139</v>
      </c>
      <c r="U194" s="215">
        <f>X194-Y194</f>
        <v>46148</v>
      </c>
      <c r="V194" s="215">
        <f>WORKDAY(U194,INDEX(V$12:V$15,MATCH($I194,$I$12:$I$15,0)))</f>
        <v>46150</v>
      </c>
      <c r="W194" s="218">
        <f>Y194/7</f>
        <v>17.1428571428571</v>
      </c>
      <c r="X194" s="215">
        <f>Z194</f>
        <v>46268</v>
      </c>
      <c r="Y194" s="448">
        <v>120</v>
      </c>
      <c r="Z194" s="444">
        <v>46268</v>
      </c>
      <c r="AA194" s="219"/>
      <c r="AB194" s="442">
        <f>Z194-X195</f>
        <v>0</v>
      </c>
      <c r="AC194" s="246"/>
      <c r="AD194" s="247"/>
      <c r="AE194" s="247"/>
      <c r="AF194" s="247"/>
      <c r="AG194" s="247"/>
      <c r="AH194" s="247"/>
      <c r="AI194" s="247"/>
      <c r="AJ194" s="247"/>
      <c r="AK194" s="247"/>
      <c r="AL194" s="247"/>
      <c r="AM194" s="247"/>
      <c r="AP194" s="212"/>
      <c r="AQ194" s="212"/>
      <c r="AR194" s="212"/>
      <c r="AS194" s="222"/>
      <c r="AU194" s="441">
        <f>AT195+40</f>
        <v>46322</v>
      </c>
      <c r="AW194" s="244"/>
    </row>
    <row r="195" spans="1:49" s="168" customFormat="1" ht="18.600000000000001" customHeight="1">
      <c r="A195" s="482"/>
      <c r="B195" s="480"/>
      <c r="C195" s="458"/>
      <c r="D195" s="458" t="s">
        <v>4802</v>
      </c>
      <c r="E195" s="224"/>
      <c r="F195" s="461"/>
      <c r="G195" s="458" t="str">
        <f>G194</f>
        <v>Y</v>
      </c>
      <c r="H195" s="224"/>
      <c r="I195" s="212" t="str">
        <f t="shared" si="3"/>
        <v>LA</v>
      </c>
      <c r="J195" s="249" t="s">
        <v>68</v>
      </c>
      <c r="K195" s="215">
        <f>K194</f>
        <v>46122</v>
      </c>
      <c r="L195" s="215">
        <f>WORKDAY(IF(K196="",K195,K196),INDEX(L$12:L$15,MATCH($I194,$I$12:$I$15,0)))</f>
        <v>46125</v>
      </c>
      <c r="M195" s="215">
        <f>WORKDAY(IF(L196="",L195,L196),1)</f>
        <v>46126</v>
      </c>
      <c r="N195" s="215">
        <f>WORKDAY(IF(M196="",M195,M196),INDEX(N$12:N$15,MATCH($I194,$I$12:$I$15,0)))</f>
        <v>46127</v>
      </c>
      <c r="O195" s="215">
        <f>WORKDAY(IF(N196="",N195,N196),1)</f>
        <v>46128</v>
      </c>
      <c r="P195" s="216"/>
      <c r="Q195" s="217"/>
      <c r="R195" s="215">
        <f>WORKDAY(IF(O196="",O195,O196),5)</f>
        <v>46135</v>
      </c>
      <c r="S195" s="215">
        <f>WORKDAY(IF(R196="",R195,R196),1)</f>
        <v>46136</v>
      </c>
      <c r="T195" s="215">
        <f>WORKDAY(IF(S196="",S195,S196),1)</f>
        <v>46139</v>
      </c>
      <c r="U195" s="215">
        <f>WORKDAY(IF(T196="",T195,T196),7)</f>
        <v>46148</v>
      </c>
      <c r="V195" s="215">
        <f>WORKDAY(IF(U196="",U195,U196),1)</f>
        <v>46149</v>
      </c>
      <c r="W195" s="218"/>
      <c r="X195" s="215">
        <f>U195+Y194</f>
        <v>46268</v>
      </c>
      <c r="Y195" s="448"/>
      <c r="Z195" s="445"/>
      <c r="AA195" s="219"/>
      <c r="AB195" s="442"/>
      <c r="AC195" s="246"/>
      <c r="AD195" s="247"/>
      <c r="AE195" s="247"/>
      <c r="AF195" s="247"/>
      <c r="AG195" s="247"/>
      <c r="AH195" s="247"/>
      <c r="AI195" s="247"/>
      <c r="AJ195" s="247"/>
      <c r="AK195" s="247"/>
      <c r="AL195" s="247"/>
      <c r="AM195" s="247"/>
      <c r="AP195" s="212"/>
      <c r="AQ195" s="212"/>
      <c r="AR195" s="212"/>
      <c r="AS195" s="222"/>
      <c r="AT195" s="259">
        <v>46282</v>
      </c>
      <c r="AU195" s="441"/>
      <c r="AW195" s="244"/>
    </row>
    <row r="196" spans="1:49" s="168" customFormat="1" ht="18.600000000000001" customHeight="1">
      <c r="A196" s="482"/>
      <c r="B196" s="481"/>
      <c r="C196" s="458"/>
      <c r="D196" s="458" t="s">
        <v>4802</v>
      </c>
      <c r="E196" s="225"/>
      <c r="F196" s="462"/>
      <c r="G196" s="458" t="str">
        <f>G194</f>
        <v>Y</v>
      </c>
      <c r="H196" s="224"/>
      <c r="I196" s="212" t="str">
        <f t="shared" si="3"/>
        <v>LA</v>
      </c>
      <c r="J196" s="249" t="s">
        <v>70</v>
      </c>
      <c r="K196" s="212"/>
      <c r="L196" s="212"/>
      <c r="M196" s="212"/>
      <c r="N196" s="212"/>
      <c r="O196" s="212"/>
      <c r="P196" s="226"/>
      <c r="Q196" s="227"/>
      <c r="R196" s="212"/>
      <c r="S196" s="212"/>
      <c r="T196" s="212"/>
      <c r="U196" s="212"/>
      <c r="V196" s="212"/>
      <c r="W196" s="228"/>
      <c r="X196" s="212"/>
      <c r="Y196" s="448"/>
      <c r="Z196" s="446"/>
      <c r="AA196" s="219"/>
      <c r="AB196" s="442"/>
      <c r="AC196" s="246"/>
      <c r="AD196" s="247"/>
      <c r="AE196" s="247"/>
      <c r="AF196" s="247"/>
      <c r="AG196" s="247"/>
      <c r="AH196" s="247"/>
      <c r="AI196" s="247"/>
      <c r="AJ196" s="247"/>
      <c r="AK196" s="247"/>
      <c r="AL196" s="247"/>
      <c r="AM196" s="247"/>
      <c r="AP196" s="212"/>
      <c r="AQ196" s="212"/>
      <c r="AR196" s="212"/>
      <c r="AS196" s="222"/>
      <c r="AU196" s="441"/>
      <c r="AW196" s="244"/>
    </row>
    <row r="197" spans="1:49" s="168" customFormat="1" ht="18.600000000000001" customHeight="1">
      <c r="A197" s="482"/>
      <c r="B197" s="479"/>
      <c r="C197" s="458"/>
      <c r="D197" s="458" t="s">
        <v>4809</v>
      </c>
      <c r="E197" s="213"/>
      <c r="F197" s="460" t="s">
        <v>226</v>
      </c>
      <c r="G197" s="458" t="str">
        <f>IF(_xlfn.XLOOKUP(C197,'[35]Before Award'!D:D,'[35]Before Award'!AV:AV,"N/A")="N/A","N","Y")</f>
        <v>Y</v>
      </c>
      <c r="H197" s="224"/>
      <c r="I197" s="212" t="str">
        <f>I192</f>
        <v>LA</v>
      </c>
      <c r="J197" s="249" t="s">
        <v>4732</v>
      </c>
      <c r="K197" s="215">
        <f>WORKDAY(L197,-INDEX(L$12:L$15,MATCH($I197,$I$12:$I$15,0)))</f>
        <v>46155</v>
      </c>
      <c r="L197" s="215">
        <f>WORKDAY(M197,-1)</f>
        <v>46156</v>
      </c>
      <c r="M197" s="215">
        <f>WORKDAY(N197,-INDEX(N$12:N$15,MATCH($I197,$I$12:$I$15,0)))</f>
        <v>46157</v>
      </c>
      <c r="N197" s="215">
        <f>WORKDAY(O197,-1)</f>
        <v>46160</v>
      </c>
      <c r="O197" s="215">
        <f>WORKDAY(R197,-5)</f>
        <v>46161</v>
      </c>
      <c r="P197" s="216">
        <f>U197-L197</f>
        <v>23</v>
      </c>
      <c r="Q197" s="217"/>
      <c r="R197" s="215">
        <f>WORKDAY(S197,-1)</f>
        <v>46168</v>
      </c>
      <c r="S197" s="215">
        <f>WORKDAY(T197,-1)</f>
        <v>46169</v>
      </c>
      <c r="T197" s="215">
        <f>WORKDAY(U197,-7)</f>
        <v>46170</v>
      </c>
      <c r="U197" s="215">
        <f>X197-Y197</f>
        <v>46179</v>
      </c>
      <c r="V197" s="215">
        <f>WORKDAY(U197,INDEX(V$12:V$15,MATCH($I197,$I$12:$I$15,0)))</f>
        <v>46182</v>
      </c>
      <c r="W197" s="218">
        <f>Y197/7</f>
        <v>19</v>
      </c>
      <c r="X197" s="215">
        <f>Z197</f>
        <v>46312</v>
      </c>
      <c r="Y197" s="448">
        <f>19*7</f>
        <v>133</v>
      </c>
      <c r="Z197" s="443">
        <v>46312</v>
      </c>
      <c r="AA197" s="219"/>
      <c r="AB197" s="442">
        <f>Z197-X198</f>
        <v>0</v>
      </c>
      <c r="AC197" s="246"/>
      <c r="AD197" s="247"/>
      <c r="AE197" s="247"/>
      <c r="AF197" s="247"/>
      <c r="AG197" s="247"/>
      <c r="AH197" s="247"/>
      <c r="AI197" s="247"/>
      <c r="AJ197" s="247"/>
      <c r="AK197" s="247"/>
      <c r="AL197" s="247"/>
      <c r="AM197" s="247"/>
      <c r="AP197" s="212"/>
      <c r="AQ197" s="212"/>
      <c r="AR197" s="212"/>
      <c r="AS197" s="222"/>
      <c r="AW197" s="244"/>
    </row>
    <row r="198" spans="1:49" s="168" customFormat="1" ht="18.600000000000001" customHeight="1">
      <c r="A198" s="482"/>
      <c r="B198" s="480"/>
      <c r="C198" s="458"/>
      <c r="D198" s="458"/>
      <c r="E198" s="224"/>
      <c r="F198" s="461"/>
      <c r="G198" s="458" t="str">
        <f>G197</f>
        <v>Y</v>
      </c>
      <c r="H198" s="224"/>
      <c r="I198" s="212" t="str">
        <f>I193</f>
        <v>LA</v>
      </c>
      <c r="J198" s="249" t="s">
        <v>68</v>
      </c>
      <c r="K198" s="215">
        <f>K197</f>
        <v>46155</v>
      </c>
      <c r="L198" s="215">
        <f>WORKDAY(IF(K199="",K198,K199),INDEX(L$12:L$15,MATCH($I197,$I$12:$I$15,0)))</f>
        <v>46156</v>
      </c>
      <c r="M198" s="215">
        <f>WORKDAY(IF(L199="",L198,L199),1)</f>
        <v>46157</v>
      </c>
      <c r="N198" s="215">
        <f>WORKDAY(IF(M199="",M198,M199),INDEX(N$12:N$15,MATCH($I197,$I$12:$I$15,0)))</f>
        <v>46160</v>
      </c>
      <c r="O198" s="215">
        <f>WORKDAY(IF(N199="",N198,N199),1)</f>
        <v>46161</v>
      </c>
      <c r="P198" s="216"/>
      <c r="Q198" s="217"/>
      <c r="R198" s="215">
        <f>WORKDAY(IF(O199="",O198,O199),5)</f>
        <v>46168</v>
      </c>
      <c r="S198" s="215">
        <f>WORKDAY(IF(R199="",R198,R199),1)</f>
        <v>46169</v>
      </c>
      <c r="T198" s="215">
        <f>WORKDAY(IF(S199="",S198,S199),1)</f>
        <v>46170</v>
      </c>
      <c r="U198" s="215">
        <f>WORKDAY(IF(T199="",T198,T199),7)-2</f>
        <v>46179</v>
      </c>
      <c r="V198" s="215">
        <f>WORKDAY(IF(U199="",U198,U199),1)</f>
        <v>46181</v>
      </c>
      <c r="W198" s="218"/>
      <c r="X198" s="215">
        <f>U198+Y197</f>
        <v>46312</v>
      </c>
      <c r="Y198" s="448"/>
      <c r="Z198" s="443"/>
      <c r="AA198" s="219"/>
      <c r="AB198" s="442"/>
      <c r="AC198" s="246"/>
      <c r="AD198" s="247"/>
      <c r="AE198" s="247"/>
      <c r="AF198" s="247"/>
      <c r="AG198" s="247"/>
      <c r="AH198" s="247"/>
      <c r="AI198" s="247"/>
      <c r="AJ198" s="247"/>
      <c r="AK198" s="247"/>
      <c r="AL198" s="247"/>
      <c r="AM198" s="247"/>
      <c r="AP198" s="212"/>
      <c r="AQ198" s="212"/>
      <c r="AR198" s="212"/>
      <c r="AS198" s="222"/>
      <c r="AW198" s="244"/>
    </row>
    <row r="199" spans="1:49" s="168" customFormat="1" ht="18.600000000000001" customHeight="1">
      <c r="A199" s="482"/>
      <c r="B199" s="481"/>
      <c r="C199" s="458"/>
      <c r="D199" s="458"/>
      <c r="E199" s="225"/>
      <c r="F199" s="462"/>
      <c r="G199" s="458" t="str">
        <f>G197</f>
        <v>Y</v>
      </c>
      <c r="H199" s="224"/>
      <c r="I199" s="212" t="str">
        <f>I197</f>
        <v>LA</v>
      </c>
      <c r="J199" s="249" t="s">
        <v>70</v>
      </c>
      <c r="K199" s="212"/>
      <c r="L199" s="212"/>
      <c r="M199" s="212"/>
      <c r="N199" s="212"/>
      <c r="O199" s="212"/>
      <c r="P199" s="226"/>
      <c r="Q199" s="227"/>
      <c r="R199" s="212"/>
      <c r="S199" s="212"/>
      <c r="T199" s="212"/>
      <c r="U199" s="212"/>
      <c r="V199" s="212"/>
      <c r="W199" s="228"/>
      <c r="X199" s="212"/>
      <c r="Y199" s="448"/>
      <c r="Z199" s="443"/>
      <c r="AA199" s="219"/>
      <c r="AB199" s="442"/>
      <c r="AC199" s="246"/>
      <c r="AD199" s="247"/>
      <c r="AE199" s="247"/>
      <c r="AF199" s="247"/>
      <c r="AG199" s="247"/>
      <c r="AH199" s="247"/>
      <c r="AI199" s="247"/>
      <c r="AJ199" s="247"/>
      <c r="AK199" s="247"/>
      <c r="AL199" s="247"/>
      <c r="AM199" s="247"/>
      <c r="AP199" s="212"/>
      <c r="AQ199" s="212"/>
      <c r="AR199" s="212"/>
      <c r="AS199" s="222"/>
      <c r="AW199" s="244"/>
    </row>
    <row r="200" spans="1:49" s="168" customFormat="1" ht="18.600000000000001" customHeight="1">
      <c r="A200" s="482"/>
      <c r="B200" s="479"/>
      <c r="C200" s="458"/>
      <c r="D200" s="458" t="s">
        <v>4810</v>
      </c>
      <c r="E200" s="213"/>
      <c r="F200" s="460" t="s">
        <v>226</v>
      </c>
      <c r="G200" s="458" t="str">
        <f>IF(_xlfn.XLOOKUP(C200,'[35]Before Award'!D:D,'[35]Before Award'!AV:AV,"N/A")="N/A","N","Y")</f>
        <v>Y</v>
      </c>
      <c r="H200" s="224"/>
      <c r="I200" s="212" t="str">
        <f>I195</f>
        <v>LA</v>
      </c>
      <c r="J200" s="249" t="s">
        <v>4732</v>
      </c>
      <c r="K200" s="215">
        <f>WORKDAY(L200,-INDEX(L$12:L$15,MATCH($I200,$I$12:$I$15,0)))</f>
        <v>46136</v>
      </c>
      <c r="L200" s="215">
        <f>WORKDAY(M200,-1)</f>
        <v>46139</v>
      </c>
      <c r="M200" s="215">
        <f>WORKDAY(N200,-INDEX(N$12:N$15,MATCH($I200,$I$12:$I$15,0)))</f>
        <v>46140</v>
      </c>
      <c r="N200" s="215">
        <f>WORKDAY(O200,-1)</f>
        <v>46141</v>
      </c>
      <c r="O200" s="215">
        <f>WORKDAY(R200,-5)</f>
        <v>46142</v>
      </c>
      <c r="P200" s="216">
        <f>U200-L200</f>
        <v>23</v>
      </c>
      <c r="Q200" s="217"/>
      <c r="R200" s="215">
        <f>WORKDAY(S200,-1)</f>
        <v>46149</v>
      </c>
      <c r="S200" s="215">
        <f>WORKDAY(T200,-1)</f>
        <v>46150</v>
      </c>
      <c r="T200" s="215">
        <f>WORKDAY(U200,-7)</f>
        <v>46153</v>
      </c>
      <c r="U200" s="215">
        <f>X200-Y200</f>
        <v>46162</v>
      </c>
      <c r="V200" s="215">
        <f>WORKDAY(U200,INDEX(V$12:V$15,MATCH($I200,$I$12:$I$15,0)))</f>
        <v>46164</v>
      </c>
      <c r="W200" s="218">
        <f>Y200/7</f>
        <v>22.8571428571429</v>
      </c>
      <c r="X200" s="215">
        <f>Z200</f>
        <v>46322</v>
      </c>
      <c r="Y200" s="448">
        <f>120+40</f>
        <v>160</v>
      </c>
      <c r="Z200" s="443">
        <v>46322</v>
      </c>
      <c r="AA200" s="219"/>
      <c r="AB200" s="442">
        <f>Z200-X201</f>
        <v>0</v>
      </c>
      <c r="AC200" s="246"/>
      <c r="AD200" s="247"/>
      <c r="AE200" s="247"/>
      <c r="AF200" s="247"/>
      <c r="AG200" s="247"/>
      <c r="AH200" s="247"/>
      <c r="AI200" s="247"/>
      <c r="AJ200" s="247"/>
      <c r="AK200" s="247"/>
      <c r="AL200" s="247"/>
      <c r="AM200" s="247"/>
      <c r="AP200" s="212"/>
      <c r="AQ200" s="212"/>
      <c r="AR200" s="212"/>
      <c r="AS200" s="222"/>
      <c r="AW200" s="244"/>
    </row>
    <row r="201" spans="1:49" s="168" customFormat="1" ht="18.600000000000001" customHeight="1">
      <c r="A201" s="482"/>
      <c r="B201" s="480"/>
      <c r="C201" s="458"/>
      <c r="D201" s="458"/>
      <c r="E201" s="224"/>
      <c r="F201" s="461"/>
      <c r="G201" s="458" t="str">
        <f>G200</f>
        <v>Y</v>
      </c>
      <c r="H201" s="224"/>
      <c r="I201" s="212" t="str">
        <f>I196</f>
        <v>LA</v>
      </c>
      <c r="J201" s="249" t="s">
        <v>68</v>
      </c>
      <c r="K201" s="215">
        <f>K200</f>
        <v>46136</v>
      </c>
      <c r="L201" s="215">
        <f>WORKDAY(IF(K202="",K201,K202),INDEX(L$12:L$15,MATCH($I200,$I$12:$I$15,0)))</f>
        <v>46139</v>
      </c>
      <c r="M201" s="215">
        <f>WORKDAY(IF(L202="",L201,L202),1)</f>
        <v>46140</v>
      </c>
      <c r="N201" s="215">
        <f>WORKDAY(IF(M202="",M201,M202),INDEX(N$12:N$15,MATCH($I200,$I$12:$I$15,0)))</f>
        <v>46141</v>
      </c>
      <c r="O201" s="215">
        <f>WORKDAY(IF(N202="",N201,N202),1)</f>
        <v>46142</v>
      </c>
      <c r="P201" s="216"/>
      <c r="Q201" s="217"/>
      <c r="R201" s="215">
        <f>WORKDAY(IF(O202="",O201,O202),5)</f>
        <v>46149</v>
      </c>
      <c r="S201" s="215">
        <f>WORKDAY(IF(R202="",R201,R202),1)</f>
        <v>46150</v>
      </c>
      <c r="T201" s="215">
        <f>WORKDAY(IF(S202="",S201,S202),1)</f>
        <v>46153</v>
      </c>
      <c r="U201" s="215">
        <f>WORKDAY(IF(T202="",T201,T202),7)</f>
        <v>46162</v>
      </c>
      <c r="V201" s="215">
        <f>WORKDAY(IF(U202="",U201,U202),1)</f>
        <v>46163</v>
      </c>
      <c r="W201" s="218"/>
      <c r="X201" s="215">
        <f>U201+Y200</f>
        <v>46322</v>
      </c>
      <c r="Y201" s="448"/>
      <c r="Z201" s="443"/>
      <c r="AA201" s="219"/>
      <c r="AB201" s="442"/>
      <c r="AC201" s="246"/>
      <c r="AD201" s="247"/>
      <c r="AE201" s="247"/>
      <c r="AF201" s="247"/>
      <c r="AG201" s="247"/>
      <c r="AH201" s="247"/>
      <c r="AI201" s="247"/>
      <c r="AJ201" s="247"/>
      <c r="AK201" s="247"/>
      <c r="AL201" s="247"/>
      <c r="AM201" s="247"/>
      <c r="AP201" s="212"/>
      <c r="AQ201" s="212"/>
      <c r="AR201" s="212"/>
      <c r="AS201" s="222"/>
      <c r="AW201" s="244"/>
    </row>
    <row r="202" spans="1:49" s="168" customFormat="1" ht="18.600000000000001" customHeight="1">
      <c r="A202" s="482"/>
      <c r="B202" s="481"/>
      <c r="C202" s="458"/>
      <c r="D202" s="458"/>
      <c r="E202" s="225"/>
      <c r="F202" s="462"/>
      <c r="G202" s="458" t="str">
        <f>G200</f>
        <v>Y</v>
      </c>
      <c r="H202" s="224"/>
      <c r="I202" s="212" t="str">
        <f t="shared" ref="I202:I211" si="4">I200</f>
        <v>LA</v>
      </c>
      <c r="J202" s="249" t="s">
        <v>70</v>
      </c>
      <c r="K202" s="212"/>
      <c r="L202" s="212"/>
      <c r="M202" s="212"/>
      <c r="N202" s="212"/>
      <c r="O202" s="212"/>
      <c r="P202" s="226"/>
      <c r="Q202" s="227"/>
      <c r="R202" s="212"/>
      <c r="S202" s="212"/>
      <c r="T202" s="212"/>
      <c r="U202" s="212"/>
      <c r="V202" s="212"/>
      <c r="W202" s="228"/>
      <c r="X202" s="212"/>
      <c r="Y202" s="448"/>
      <c r="Z202" s="443"/>
      <c r="AA202" s="219"/>
      <c r="AB202" s="442"/>
      <c r="AC202" s="246"/>
      <c r="AD202" s="247"/>
      <c r="AE202" s="247"/>
      <c r="AF202" s="247"/>
      <c r="AG202" s="247"/>
      <c r="AH202" s="247"/>
      <c r="AI202" s="247"/>
      <c r="AJ202" s="247"/>
      <c r="AK202" s="247"/>
      <c r="AL202" s="247"/>
      <c r="AM202" s="247"/>
      <c r="AP202" s="212"/>
      <c r="AQ202" s="212"/>
      <c r="AR202" s="212"/>
      <c r="AS202" s="222"/>
      <c r="AW202" s="244"/>
    </row>
    <row r="203" spans="1:49" s="168" customFormat="1" ht="18.600000000000001" customHeight="1">
      <c r="A203" s="482"/>
      <c r="B203" s="479"/>
      <c r="C203" s="458"/>
      <c r="D203" s="458" t="s">
        <v>4811</v>
      </c>
      <c r="E203" s="213"/>
      <c r="F203" s="460" t="s">
        <v>226</v>
      </c>
      <c r="G203" s="458" t="str">
        <f>IF(_xlfn.XLOOKUP(C203,'[35]Before Award'!D:D,'[35]Before Award'!AV:AV,"N/A")="N/A","N","Y")</f>
        <v>Y</v>
      </c>
      <c r="H203" s="224"/>
      <c r="I203" s="212" t="str">
        <f t="shared" si="4"/>
        <v>LA</v>
      </c>
      <c r="J203" s="249" t="s">
        <v>4732</v>
      </c>
      <c r="K203" s="215">
        <f>WORKDAY(L203,-INDEX(L$12:L$15,MATCH($I203,$I$12:$I$15,0)))</f>
        <v>46136</v>
      </c>
      <c r="L203" s="215">
        <f>WORKDAY(M203,-1)</f>
        <v>46139</v>
      </c>
      <c r="M203" s="215">
        <f>WORKDAY(N203,-INDEX(N$12:N$15,MATCH($I203,$I$12:$I$15,0)))</f>
        <v>46140</v>
      </c>
      <c r="N203" s="215">
        <f>WORKDAY(O203,-1)</f>
        <v>46141</v>
      </c>
      <c r="O203" s="215">
        <f>WORKDAY(R203,-5)</f>
        <v>46142</v>
      </c>
      <c r="P203" s="216">
        <f>U203-L203</f>
        <v>23</v>
      </c>
      <c r="Q203" s="217"/>
      <c r="R203" s="215">
        <f>WORKDAY(S203,-1)</f>
        <v>46149</v>
      </c>
      <c r="S203" s="215">
        <f>WORKDAY(T203,-1)</f>
        <v>46150</v>
      </c>
      <c r="T203" s="215">
        <f>WORKDAY(U203,-7)</f>
        <v>46153</v>
      </c>
      <c r="U203" s="215">
        <f>X203-Y203</f>
        <v>46162</v>
      </c>
      <c r="V203" s="215">
        <f>WORKDAY(U203,INDEX(V$12:V$15,MATCH($I203,$I$12:$I$15,0)))</f>
        <v>46164</v>
      </c>
      <c r="W203" s="218">
        <f>Y203/7</f>
        <v>22.8571428571429</v>
      </c>
      <c r="X203" s="215">
        <f>Z203</f>
        <v>46322</v>
      </c>
      <c r="Y203" s="448">
        <f>120+40</f>
        <v>160</v>
      </c>
      <c r="Z203" s="443">
        <v>46322</v>
      </c>
      <c r="AA203" s="219"/>
      <c r="AB203" s="442">
        <f>Z203-X204</f>
        <v>0</v>
      </c>
      <c r="AC203" s="246"/>
      <c r="AD203" s="247"/>
      <c r="AE203" s="247"/>
      <c r="AF203" s="247"/>
      <c r="AG203" s="247"/>
      <c r="AH203" s="247"/>
      <c r="AI203" s="247"/>
      <c r="AJ203" s="247"/>
      <c r="AK203" s="247"/>
      <c r="AL203" s="247"/>
      <c r="AM203" s="247"/>
      <c r="AP203" s="212"/>
      <c r="AQ203" s="212"/>
      <c r="AR203" s="212"/>
      <c r="AS203" s="222"/>
      <c r="AW203" s="244"/>
    </row>
    <row r="204" spans="1:49" s="168" customFormat="1" ht="18.600000000000001" customHeight="1">
      <c r="A204" s="482"/>
      <c r="B204" s="480"/>
      <c r="C204" s="458"/>
      <c r="D204" s="458"/>
      <c r="E204" s="224"/>
      <c r="F204" s="461"/>
      <c r="G204" s="458" t="str">
        <f>G203</f>
        <v>Y</v>
      </c>
      <c r="H204" s="224"/>
      <c r="I204" s="212" t="str">
        <f t="shared" si="4"/>
        <v>LA</v>
      </c>
      <c r="J204" s="249" t="s">
        <v>68</v>
      </c>
      <c r="K204" s="215">
        <f>K203</f>
        <v>46136</v>
      </c>
      <c r="L204" s="215">
        <f>WORKDAY(IF(K205="",K204,K205),INDEX(L$12:L$15,MATCH($I203,$I$12:$I$15,0)))</f>
        <v>46139</v>
      </c>
      <c r="M204" s="215">
        <f>WORKDAY(IF(L205="",L204,L205),1)</f>
        <v>46140</v>
      </c>
      <c r="N204" s="215">
        <f>WORKDAY(IF(M205="",M204,M205),INDEX(N$12:N$15,MATCH($I203,$I$12:$I$15,0)))</f>
        <v>46141</v>
      </c>
      <c r="O204" s="215">
        <f>WORKDAY(IF(N205="",N204,N205),1)</f>
        <v>46142</v>
      </c>
      <c r="P204" s="216"/>
      <c r="Q204" s="217"/>
      <c r="R204" s="215">
        <f>WORKDAY(IF(O205="",O204,O205),5)</f>
        <v>46149</v>
      </c>
      <c r="S204" s="215">
        <f>WORKDAY(IF(R205="",R204,R205),1)</f>
        <v>46150</v>
      </c>
      <c r="T204" s="215">
        <f>WORKDAY(IF(S205="",S204,S205),1)</f>
        <v>46153</v>
      </c>
      <c r="U204" s="215">
        <f>WORKDAY(IF(T205="",T204,T205),7)</f>
        <v>46162</v>
      </c>
      <c r="V204" s="215">
        <f>WORKDAY(IF(U205="",U204,U205),1)</f>
        <v>46163</v>
      </c>
      <c r="W204" s="218"/>
      <c r="X204" s="215">
        <f>U204+Y203</f>
        <v>46322</v>
      </c>
      <c r="Y204" s="448"/>
      <c r="Z204" s="443"/>
      <c r="AA204" s="219"/>
      <c r="AB204" s="442"/>
      <c r="AC204" s="246"/>
      <c r="AD204" s="247"/>
      <c r="AE204" s="247"/>
      <c r="AF204" s="247"/>
      <c r="AG204" s="247"/>
      <c r="AH204" s="247"/>
      <c r="AI204" s="247"/>
      <c r="AJ204" s="247"/>
      <c r="AK204" s="247"/>
      <c r="AL204" s="247"/>
      <c r="AM204" s="247"/>
      <c r="AP204" s="212"/>
      <c r="AQ204" s="212"/>
      <c r="AR204" s="212"/>
      <c r="AS204" s="222"/>
      <c r="AW204" s="244"/>
    </row>
    <row r="205" spans="1:49" s="168" customFormat="1" ht="18.600000000000001" customHeight="1">
      <c r="A205" s="482"/>
      <c r="B205" s="481"/>
      <c r="C205" s="458"/>
      <c r="D205" s="458"/>
      <c r="E205" s="225"/>
      <c r="F205" s="462"/>
      <c r="G205" s="458" t="str">
        <f>G203</f>
        <v>Y</v>
      </c>
      <c r="H205" s="224"/>
      <c r="I205" s="212" t="str">
        <f t="shared" si="4"/>
        <v>LA</v>
      </c>
      <c r="J205" s="249" t="s">
        <v>70</v>
      </c>
      <c r="K205" s="212"/>
      <c r="L205" s="212"/>
      <c r="M205" s="212"/>
      <c r="N205" s="212"/>
      <c r="O205" s="212"/>
      <c r="P205" s="226"/>
      <c r="Q205" s="227"/>
      <c r="R205" s="212"/>
      <c r="S205" s="212"/>
      <c r="T205" s="212"/>
      <c r="U205" s="212"/>
      <c r="V205" s="212"/>
      <c r="W205" s="228"/>
      <c r="X205" s="212"/>
      <c r="Y205" s="448"/>
      <c r="Z205" s="443"/>
      <c r="AA205" s="219"/>
      <c r="AB205" s="442"/>
      <c r="AC205" s="246"/>
      <c r="AD205" s="247"/>
      <c r="AE205" s="247"/>
      <c r="AF205" s="247"/>
      <c r="AG205" s="247"/>
      <c r="AH205" s="247"/>
      <c r="AI205" s="247"/>
      <c r="AJ205" s="247"/>
      <c r="AK205" s="247"/>
      <c r="AL205" s="247"/>
      <c r="AM205" s="247"/>
      <c r="AP205" s="212"/>
      <c r="AQ205" s="212"/>
      <c r="AR205" s="212"/>
      <c r="AS205" s="222"/>
      <c r="AW205" s="244"/>
    </row>
    <row r="206" spans="1:49" s="168" customFormat="1" ht="18.600000000000001" customHeight="1">
      <c r="A206" s="482"/>
      <c r="B206" s="479"/>
      <c r="C206" s="458"/>
      <c r="D206" s="458" t="s">
        <v>250</v>
      </c>
      <c r="E206" s="213"/>
      <c r="F206" s="460" t="s">
        <v>226</v>
      </c>
      <c r="G206" s="458" t="str">
        <f>IF(_xlfn.XLOOKUP(C206,'[35]Before Award'!D:D,'[35]Before Award'!AV:AV,"N/A")="N/A","N","Y")</f>
        <v>Y</v>
      </c>
      <c r="H206" s="224"/>
      <c r="I206" s="212" t="str">
        <f t="shared" si="4"/>
        <v>LA</v>
      </c>
      <c r="J206" s="249" t="s">
        <v>4732</v>
      </c>
      <c r="K206" s="215">
        <f>WORKDAY(L206,-INDEX(L$12:L$15,MATCH($I206,$I$12:$I$15,0)))</f>
        <v>46281</v>
      </c>
      <c r="L206" s="215">
        <f>WORKDAY(M206,-1)</f>
        <v>46282</v>
      </c>
      <c r="M206" s="215">
        <f>WORKDAY(N206,-INDEX(N$12:N$15,MATCH($I206,$I$12:$I$15,0)))</f>
        <v>46283</v>
      </c>
      <c r="N206" s="215">
        <f>WORKDAY(O206,-1)</f>
        <v>46286</v>
      </c>
      <c r="O206" s="215">
        <f>WORKDAY(R206,-5)</f>
        <v>46287</v>
      </c>
      <c r="P206" s="216">
        <f>U206-L206</f>
        <v>25</v>
      </c>
      <c r="Q206" s="217"/>
      <c r="R206" s="215">
        <f>WORKDAY(S206,-1)</f>
        <v>46294</v>
      </c>
      <c r="S206" s="215">
        <f>WORKDAY(T206,-1)</f>
        <v>46295</v>
      </c>
      <c r="T206" s="215">
        <f>WORKDAY(U206,-7)</f>
        <v>46296</v>
      </c>
      <c r="U206" s="215">
        <f>X206-Y206</f>
        <v>46307</v>
      </c>
      <c r="V206" s="215">
        <f>WORKDAY(U206,INDEX(V$12:V$15,MATCH($I206,$I$12:$I$15,0)))</f>
        <v>46309</v>
      </c>
      <c r="W206" s="218">
        <f>Y206/7</f>
        <v>17.1428571428571</v>
      </c>
      <c r="X206" s="215">
        <f>Z206</f>
        <v>46427</v>
      </c>
      <c r="Y206" s="448">
        <v>120</v>
      </c>
      <c r="Z206" s="444">
        <v>46427</v>
      </c>
      <c r="AA206" s="219"/>
      <c r="AB206" s="442">
        <f>Z206-X207</f>
        <v>0</v>
      </c>
      <c r="AC206" s="246"/>
      <c r="AD206" s="247"/>
      <c r="AE206" s="247"/>
      <c r="AF206" s="247"/>
      <c r="AG206" s="247"/>
      <c r="AH206" s="247"/>
      <c r="AI206" s="247"/>
      <c r="AJ206" s="247"/>
      <c r="AK206" s="247"/>
      <c r="AL206" s="247"/>
      <c r="AM206" s="247"/>
      <c r="AP206" s="212"/>
      <c r="AQ206" s="212"/>
      <c r="AR206" s="212"/>
      <c r="AS206" s="222"/>
      <c r="AW206" s="244"/>
    </row>
    <row r="207" spans="1:49" s="168" customFormat="1" ht="18.600000000000001" customHeight="1">
      <c r="A207" s="482"/>
      <c r="B207" s="480"/>
      <c r="C207" s="458"/>
      <c r="D207" s="458" t="s">
        <v>4802</v>
      </c>
      <c r="E207" s="224"/>
      <c r="F207" s="461"/>
      <c r="G207" s="458" t="str">
        <f>G206</f>
        <v>Y</v>
      </c>
      <c r="H207" s="224"/>
      <c r="I207" s="212" t="str">
        <f t="shared" si="4"/>
        <v>LA</v>
      </c>
      <c r="J207" s="249" t="s">
        <v>68</v>
      </c>
      <c r="K207" s="215">
        <f>K206</f>
        <v>46281</v>
      </c>
      <c r="L207" s="215">
        <f>WORKDAY(IF(K208="",K207,K208),INDEX(L$12:L$15,MATCH($I206,$I$12:$I$15,0)))</f>
        <v>46282</v>
      </c>
      <c r="M207" s="215">
        <f>WORKDAY(IF(L208="",L207,L208),1)</f>
        <v>46283</v>
      </c>
      <c r="N207" s="215">
        <f>WORKDAY(IF(M208="",M207,M208),INDEX(N$12:N$15,MATCH($I206,$I$12:$I$15,0)))</f>
        <v>46286</v>
      </c>
      <c r="O207" s="215">
        <f>WORKDAY(IF(N208="",N207,N208),1)</f>
        <v>46287</v>
      </c>
      <c r="P207" s="216"/>
      <c r="Q207" s="217"/>
      <c r="R207" s="215">
        <f>WORKDAY(IF(O208="",O207,O208),5)</f>
        <v>46294</v>
      </c>
      <c r="S207" s="215">
        <f>WORKDAY(IF(R208="",R207,R208),1)</f>
        <v>46295</v>
      </c>
      <c r="T207" s="215">
        <f>WORKDAY(IF(S208="",S207,S208),1)</f>
        <v>46296</v>
      </c>
      <c r="U207" s="215">
        <f>WORKDAY(IF(T208="",T207,T208),7)</f>
        <v>46307</v>
      </c>
      <c r="V207" s="215">
        <f>WORKDAY(IF(U208="",U207,U208),1)</f>
        <v>46308</v>
      </c>
      <c r="W207" s="218"/>
      <c r="X207" s="215">
        <f>U207+Y206</f>
        <v>46427</v>
      </c>
      <c r="Y207" s="448"/>
      <c r="Z207" s="445"/>
      <c r="AA207" s="219"/>
      <c r="AB207" s="442"/>
      <c r="AC207" s="246"/>
      <c r="AD207" s="247"/>
      <c r="AE207" s="247"/>
      <c r="AF207" s="247"/>
      <c r="AG207" s="247"/>
      <c r="AH207" s="247"/>
      <c r="AI207" s="247"/>
      <c r="AJ207" s="247"/>
      <c r="AK207" s="247"/>
      <c r="AL207" s="247"/>
      <c r="AM207" s="247"/>
      <c r="AP207" s="212"/>
      <c r="AQ207" s="212"/>
      <c r="AR207" s="212"/>
      <c r="AS207" s="222"/>
      <c r="AW207" s="244"/>
    </row>
    <row r="208" spans="1:49" s="168" customFormat="1" ht="18.600000000000001" customHeight="1">
      <c r="A208" s="482"/>
      <c r="B208" s="481"/>
      <c r="C208" s="458"/>
      <c r="D208" s="458" t="s">
        <v>4802</v>
      </c>
      <c r="E208" s="225"/>
      <c r="F208" s="462"/>
      <c r="G208" s="458" t="str">
        <f>G206</f>
        <v>Y</v>
      </c>
      <c r="H208" s="224"/>
      <c r="I208" s="212" t="str">
        <f t="shared" si="4"/>
        <v>LA</v>
      </c>
      <c r="J208" s="249" t="s">
        <v>70</v>
      </c>
      <c r="K208" s="212"/>
      <c r="L208" s="212"/>
      <c r="M208" s="212"/>
      <c r="N208" s="212"/>
      <c r="O208" s="212"/>
      <c r="P208" s="226"/>
      <c r="Q208" s="227"/>
      <c r="R208" s="212"/>
      <c r="S208" s="212"/>
      <c r="T208" s="212"/>
      <c r="U208" s="212"/>
      <c r="V208" s="212"/>
      <c r="W208" s="228"/>
      <c r="X208" s="212"/>
      <c r="Y208" s="448"/>
      <c r="Z208" s="446"/>
      <c r="AA208" s="219"/>
      <c r="AB208" s="442"/>
      <c r="AC208" s="246"/>
      <c r="AD208" s="247"/>
      <c r="AE208" s="247"/>
      <c r="AF208" s="247"/>
      <c r="AG208" s="247"/>
      <c r="AH208" s="247"/>
      <c r="AI208" s="247"/>
      <c r="AJ208" s="247"/>
      <c r="AK208" s="247"/>
      <c r="AL208" s="247"/>
      <c r="AM208" s="247"/>
      <c r="AP208" s="212"/>
      <c r="AQ208" s="212"/>
      <c r="AR208" s="212"/>
      <c r="AS208" s="222"/>
      <c r="AW208" s="244"/>
    </row>
    <row r="209" spans="1:49" s="168" customFormat="1" ht="18.600000000000001" customHeight="1">
      <c r="A209" s="482"/>
      <c r="B209" s="479"/>
      <c r="C209" s="458"/>
      <c r="D209" s="458" t="s">
        <v>253</v>
      </c>
      <c r="E209" s="213"/>
      <c r="F209" s="460" t="s">
        <v>226</v>
      </c>
      <c r="G209" s="458" t="str">
        <f>IF(_xlfn.XLOOKUP(C209,'[35]Before Award'!D:D,'[35]Before Award'!AV:AV,"N/A")="N/A","N","Y")</f>
        <v>Y</v>
      </c>
      <c r="H209" s="224"/>
      <c r="I209" s="212" t="str">
        <f t="shared" si="4"/>
        <v>LA</v>
      </c>
      <c r="J209" s="249" t="s">
        <v>4732</v>
      </c>
      <c r="K209" s="215">
        <f>WORKDAY(L209,-INDEX(L$12:L$15,MATCH($I209,$I$12:$I$15,0)))</f>
        <v>46297</v>
      </c>
      <c r="L209" s="215">
        <f>WORKDAY(M209,-1)</f>
        <v>46300</v>
      </c>
      <c r="M209" s="215">
        <f>WORKDAY(N209,-INDEX(N$12:N$15,MATCH($I209,$I$12:$I$15,0)))</f>
        <v>46301</v>
      </c>
      <c r="N209" s="215">
        <f>WORKDAY(O209,-1)</f>
        <v>46302</v>
      </c>
      <c r="O209" s="215">
        <f>WORKDAY(R209,-5)</f>
        <v>46303</v>
      </c>
      <c r="P209" s="216">
        <f>U209-L209</f>
        <v>23</v>
      </c>
      <c r="Q209" s="217"/>
      <c r="R209" s="215">
        <f>WORKDAY(S209,-1)</f>
        <v>46310</v>
      </c>
      <c r="S209" s="215">
        <f>WORKDAY(T209,-1)</f>
        <v>46311</v>
      </c>
      <c r="T209" s="215">
        <f>WORKDAY(U209,-7)</f>
        <v>46314</v>
      </c>
      <c r="U209" s="215">
        <f>X209-Y209</f>
        <v>46323</v>
      </c>
      <c r="V209" s="215">
        <f>WORKDAY(U209,INDEX(V$12:V$15,MATCH($I209,$I$12:$I$15,0)))</f>
        <v>46325</v>
      </c>
      <c r="W209" s="218">
        <f>Y209/7</f>
        <v>22.8571428571429</v>
      </c>
      <c r="X209" s="215">
        <f>Z209</f>
        <v>46483</v>
      </c>
      <c r="Y209" s="448">
        <f>120+40</f>
        <v>160</v>
      </c>
      <c r="Z209" s="444">
        <v>46483</v>
      </c>
      <c r="AA209" s="219"/>
      <c r="AB209" s="442">
        <f>Z209-X210</f>
        <v>0</v>
      </c>
      <c r="AC209" s="246"/>
      <c r="AD209" s="247"/>
      <c r="AE209" s="247"/>
      <c r="AF209" s="247"/>
      <c r="AG209" s="247"/>
      <c r="AH209" s="247"/>
      <c r="AI209" s="247"/>
      <c r="AJ209" s="247"/>
      <c r="AK209" s="247"/>
      <c r="AL209" s="247"/>
      <c r="AM209" s="247"/>
      <c r="AP209" s="212"/>
      <c r="AQ209" s="212"/>
      <c r="AR209" s="212"/>
      <c r="AS209" s="222"/>
      <c r="AW209" s="244"/>
    </row>
    <row r="210" spans="1:49" s="168" customFormat="1" ht="18.600000000000001" customHeight="1">
      <c r="A210" s="482"/>
      <c r="B210" s="480"/>
      <c r="C210" s="458"/>
      <c r="D210" s="458"/>
      <c r="E210" s="224"/>
      <c r="F210" s="461"/>
      <c r="G210" s="458" t="str">
        <f>G209</f>
        <v>Y</v>
      </c>
      <c r="H210" s="224"/>
      <c r="I210" s="212" t="str">
        <f t="shared" si="4"/>
        <v>LA</v>
      </c>
      <c r="J210" s="249" t="s">
        <v>68</v>
      </c>
      <c r="K210" s="215">
        <f>K209</f>
        <v>46297</v>
      </c>
      <c r="L210" s="215">
        <f>WORKDAY(IF(K211="",K210,K211),INDEX(L$12:L$15,MATCH($I209,$I$12:$I$15,0)))</f>
        <v>46300</v>
      </c>
      <c r="M210" s="215">
        <f>WORKDAY(IF(L211="",L210,L211),1)</f>
        <v>46301</v>
      </c>
      <c r="N210" s="215">
        <f>WORKDAY(IF(M211="",M210,M211),INDEX(N$12:N$15,MATCH($I209,$I$12:$I$15,0)))</f>
        <v>46302</v>
      </c>
      <c r="O210" s="215">
        <f>WORKDAY(IF(N211="",N210,N211),1)</f>
        <v>46303</v>
      </c>
      <c r="P210" s="216"/>
      <c r="Q210" s="217"/>
      <c r="R210" s="215">
        <f>WORKDAY(IF(O211="",O210,O211),5)</f>
        <v>46310</v>
      </c>
      <c r="S210" s="215">
        <f>WORKDAY(IF(R211="",R210,R211),1)</f>
        <v>46311</v>
      </c>
      <c r="T210" s="215">
        <f>WORKDAY(IF(S211="",S210,S211),1)</f>
        <v>46314</v>
      </c>
      <c r="U210" s="215">
        <f>WORKDAY(IF(T211="",T210,T211),7)</f>
        <v>46323</v>
      </c>
      <c r="V210" s="215">
        <f>WORKDAY(IF(U211="",U210,U211),1)</f>
        <v>46324</v>
      </c>
      <c r="W210" s="218"/>
      <c r="X210" s="215">
        <f>U210+Y209</f>
        <v>46483</v>
      </c>
      <c r="Y210" s="448"/>
      <c r="Z210" s="445"/>
      <c r="AA210" s="219"/>
      <c r="AB210" s="442"/>
      <c r="AC210" s="246"/>
      <c r="AD210" s="247"/>
      <c r="AE210" s="247"/>
      <c r="AF210" s="247"/>
      <c r="AG210" s="247"/>
      <c r="AH210" s="247"/>
      <c r="AI210" s="247"/>
      <c r="AJ210" s="247"/>
      <c r="AK210" s="247"/>
      <c r="AL210" s="247"/>
      <c r="AM210" s="247"/>
      <c r="AP210" s="212"/>
      <c r="AQ210" s="212"/>
      <c r="AR210" s="212"/>
      <c r="AS210" s="222"/>
      <c r="AW210" s="244"/>
    </row>
    <row r="211" spans="1:49" s="168" customFormat="1" ht="18.600000000000001" customHeight="1">
      <c r="A211" s="482"/>
      <c r="B211" s="481"/>
      <c r="C211" s="458"/>
      <c r="D211" s="458"/>
      <c r="E211" s="225"/>
      <c r="F211" s="462"/>
      <c r="G211" s="458" t="str">
        <f>G209</f>
        <v>Y</v>
      </c>
      <c r="H211" s="224"/>
      <c r="I211" s="212" t="str">
        <f t="shared" si="4"/>
        <v>LA</v>
      </c>
      <c r="J211" s="249" t="s">
        <v>70</v>
      </c>
      <c r="K211" s="212"/>
      <c r="L211" s="212"/>
      <c r="M211" s="212"/>
      <c r="N211" s="212"/>
      <c r="O211" s="212"/>
      <c r="P211" s="226"/>
      <c r="Q211" s="227"/>
      <c r="R211" s="212"/>
      <c r="S211" s="212"/>
      <c r="T211" s="212"/>
      <c r="U211" s="212"/>
      <c r="V211" s="212"/>
      <c r="W211" s="228"/>
      <c r="X211" s="212"/>
      <c r="Y211" s="448"/>
      <c r="Z211" s="446"/>
      <c r="AA211" s="219"/>
      <c r="AB211" s="442"/>
      <c r="AC211" s="246"/>
      <c r="AD211" s="247"/>
      <c r="AE211" s="247"/>
      <c r="AF211" s="247"/>
      <c r="AG211" s="247"/>
      <c r="AH211" s="247"/>
      <c r="AI211" s="247"/>
      <c r="AJ211" s="247"/>
      <c r="AK211" s="247"/>
      <c r="AL211" s="247"/>
      <c r="AM211" s="247"/>
      <c r="AP211" s="212"/>
      <c r="AQ211" s="212"/>
      <c r="AR211" s="212"/>
      <c r="AS211" s="222"/>
      <c r="AW211" s="244"/>
    </row>
    <row r="212" spans="1:49" s="166" customFormat="1" ht="18" customHeight="1">
      <c r="A212" s="482"/>
      <c r="B212" s="479"/>
      <c r="C212" s="458"/>
      <c r="D212" s="458" t="s">
        <v>4812</v>
      </c>
      <c r="E212" s="212"/>
      <c r="F212" s="458" t="s">
        <v>86</v>
      </c>
      <c r="G212" s="458" t="s">
        <v>75</v>
      </c>
      <c r="H212" s="449"/>
      <c r="I212" s="212" t="s">
        <v>6</v>
      </c>
      <c r="J212" s="249" t="s">
        <v>4732</v>
      </c>
      <c r="K212" s="215">
        <f>WORKDAY(L212,-INDEX(L$12:L$15,MATCH($I212,$I$12:$I$15,0)))</f>
        <v>46030</v>
      </c>
      <c r="L212" s="215">
        <f>WORKDAY(M212,-INDEX(M$12:M$15,MATCH($I212,$I$12:$I$15,0)))</f>
        <v>46031</v>
      </c>
      <c r="M212" s="215">
        <f>WORKDAY(N212,-INDEX(N$12:N$15,MATCH($I212,$I$12:$I$15,0)))</f>
        <v>46038</v>
      </c>
      <c r="N212" s="215">
        <f>WORKDAY(O212,-INDEX(O$12:O$15,MATCH($I212,$I$12:$I$15,0)))</f>
        <v>46041</v>
      </c>
      <c r="O212" s="215">
        <f>WORKDAY(R212,-INDEX(R$12:R$15,MATCH($I212,$I$12:$I$15,0)))</f>
        <v>46048</v>
      </c>
      <c r="P212" s="216">
        <f>U212-L212</f>
        <v>76</v>
      </c>
      <c r="Q212" s="217"/>
      <c r="R212" s="215">
        <f>WORKDAY(S212,-INDEX(S$12:S$15,MATCH($I212,$I$12:$I$15,0)))</f>
        <v>46062</v>
      </c>
      <c r="S212" s="215">
        <f>WORKDAY(T212,-INDEX(T$12:T$15,MATCH($I212,$I$12:$I$15,0)))</f>
        <v>46090</v>
      </c>
      <c r="T212" s="215">
        <f>WORKDAY(U212,-INDEX(U$12:U$15,MATCH($I212,$I$12:$I$15,0)))</f>
        <v>46093</v>
      </c>
      <c r="U212" s="215">
        <f>X212-Y212</f>
        <v>46107</v>
      </c>
      <c r="V212" s="215">
        <f>WORKDAY(U212,INDEX(V$12:V$15,MATCH($I212,$I$12:$I$15,0)))</f>
        <v>46111</v>
      </c>
      <c r="W212" s="218">
        <f>Y212/7</f>
        <v>24</v>
      </c>
      <c r="X212" s="215">
        <f>Z212</f>
        <v>46275</v>
      </c>
      <c r="Y212" s="448">
        <v>168</v>
      </c>
      <c r="Z212" s="443">
        <v>46275</v>
      </c>
      <c r="AA212" s="443">
        <v>46538</v>
      </c>
      <c r="AB212" s="442">
        <f>Z212-X213</f>
        <v>2</v>
      </c>
      <c r="AC212" s="220">
        <f>IF(ISERROR(LOOKUP(AC$16,$L212:$X212,#REF!)),0,(LOOKUP(AC$16,$L212:$X212,#REF!)))</f>
        <v>0</v>
      </c>
      <c r="AD212" s="221">
        <f>IF(ISERROR(LOOKUP(AD$16,$L212:$X212,#REF!)),0,(LOOKUP(AD$16,$L212:$X212,#REF!)))</f>
        <v>0</v>
      </c>
      <c r="AE212" s="221">
        <f>IF(ISERROR(LOOKUP(AE$16,$L212:$X212,#REF!)),0,(LOOKUP(AE$16,$L212:$X212,#REF!)))</f>
        <v>0</v>
      </c>
      <c r="AF212" s="221">
        <f>IF(ISERROR(LOOKUP(AF$16,$L212:$X212,#REF!)),0,(LOOKUP(AF$16,$L212:$X212,#REF!)))</f>
        <v>0</v>
      </c>
      <c r="AG212" s="221">
        <f>IF(ISERROR(LOOKUP(AG$16,$L212:$X212,#REF!)),0,(LOOKUP(AG$16,$L212:$X212,#REF!)))</f>
        <v>0</v>
      </c>
      <c r="AH212" s="221">
        <f>IF(ISERROR(LOOKUP(AH$16,$L212:$X212,#REF!)),0,(LOOKUP(AH$16,$L212:$X212,#REF!)))</f>
        <v>0</v>
      </c>
      <c r="AI212" s="221">
        <f>IF(ISERROR(LOOKUP(AI$16,$L212:$X212,#REF!)),0,(LOOKUP(AI$16,$L212:$X212,#REF!)))</f>
        <v>0</v>
      </c>
      <c r="AJ212" s="221">
        <f>IF(ISERROR(LOOKUP(AJ$16,$L212:$X212,#REF!)),0,(LOOKUP(AJ$16,$L212:$X212,#REF!)))</f>
        <v>0</v>
      </c>
      <c r="AK212" s="221">
        <f>IF(ISERROR(LOOKUP(AK$16,$L212:$X212,#REF!)),0,(LOOKUP(AK$16,$L212:$X212,#REF!)))</f>
        <v>0</v>
      </c>
      <c r="AL212" s="221">
        <f>IF(ISERROR(LOOKUP(AL$16,$L212:$X212,#REF!)),0,(LOOKUP(AL$16,$L212:$X212,#REF!)))</f>
        <v>0</v>
      </c>
      <c r="AM212" s="221">
        <f ca="1">IF(ISERROR(LOOKUP(AM$16,$L212:$X212,#REF!)),0,(LOOKUP(AM$16,$L212:$X212,#REF!)))</f>
        <v>0</v>
      </c>
      <c r="AP212" s="215" t="e">
        <f>WORKDAY(AQ212,-INDEX(AQ$12:AQ$15,MATCH($I212,$I$12:$I$15,0)),$AW$17:$AW$148)</f>
        <v>#REF!</v>
      </c>
      <c r="AQ212" s="215" t="e">
        <f>WORKDAY(U212,-INDEX(U$12:U$15,MATCH($I212,$I$12:$I$15,0)),$AW$17:$AW$148)</f>
        <v>#REF!</v>
      </c>
      <c r="AR212" s="215" t="e">
        <f>WORKDAY(U212,-INDEX(U$12:U$15,MATCH($I212,$I$12:$I$15,0)),$AW$17:$AW$148)</f>
        <v>#REF!</v>
      </c>
      <c r="AS212" s="440">
        <v>7</v>
      </c>
      <c r="AW212" s="223"/>
    </row>
    <row r="213" spans="1:49" s="166" customFormat="1" ht="18" customHeight="1">
      <c r="A213" s="482"/>
      <c r="B213" s="480"/>
      <c r="C213" s="458"/>
      <c r="D213" s="458"/>
      <c r="E213" s="212"/>
      <c r="F213" s="458" t="str">
        <f>F212</f>
        <v>Piping</v>
      </c>
      <c r="G213" s="458" t="str">
        <f>G212</f>
        <v>N</v>
      </c>
      <c r="H213" s="450"/>
      <c r="I213" s="212" t="str">
        <f>I212</f>
        <v>LA</v>
      </c>
      <c r="J213" s="249" t="s">
        <v>68</v>
      </c>
      <c r="K213" s="215">
        <f>K212</f>
        <v>46030</v>
      </c>
      <c r="L213" s="215">
        <f>WORKDAY(IF(K214="",K213,K214),INDEX(L$12:L$15,MATCH($I212,$I$12:$I$15,0)))</f>
        <v>46031</v>
      </c>
      <c r="M213" s="215">
        <f>WORKDAY(IF(L214="",L213,L214),INDEX(M$12:M$15,MATCH($I212,$I$12:$I$15,0)))</f>
        <v>46038</v>
      </c>
      <c r="N213" s="215">
        <f>WORKDAY(IF(M214="",M213,M214),INDEX(N$12:N$15,MATCH($I212,$I$12:$I$15,0)))</f>
        <v>46041</v>
      </c>
      <c r="O213" s="215">
        <f>WORKDAY(IF(N214="",N213,N214),INDEX(O$12:O$15,MATCH($I212,$I$12:$I$15,0)))</f>
        <v>46048</v>
      </c>
      <c r="P213" s="216"/>
      <c r="Q213" s="217"/>
      <c r="R213" s="215">
        <f>WORKDAY(IF(O214="",O213,O214),INDEX(R$12:R$15,MATCH($I212,$I$12:$I$15,0)))</f>
        <v>46062</v>
      </c>
      <c r="S213" s="215">
        <f>WORKDAY(IF(R214="",R213,R214),INDEX(S$12:S$15,MATCH($I212,$I$12:$I$15,0)))</f>
        <v>46090</v>
      </c>
      <c r="T213" s="215">
        <f>WORKDAY(IF(S214="",S213,S214),INDEX(T$12:T$15,MATCH($I212,$I$12:$I$15,0)))</f>
        <v>46093</v>
      </c>
      <c r="U213" s="215">
        <f>WORKDAY(IF(T214="",T213,T214),INDEX(U$12:U$15,MATCH($I212,$I$12:$I$15,0)))-2</f>
        <v>46105</v>
      </c>
      <c r="V213" s="215">
        <f>WORKDAY(IF(U214="",U213,U214),INDEX(V$12:V$15,MATCH($I212,$I$12:$I$15,0)))</f>
        <v>46107</v>
      </c>
      <c r="W213" s="218"/>
      <c r="X213" s="215">
        <f>U213+Y212</f>
        <v>46273</v>
      </c>
      <c r="Y213" s="448"/>
      <c r="Z213" s="443"/>
      <c r="AA213" s="443"/>
      <c r="AB213" s="442"/>
      <c r="AC213" s="220">
        <f>IF(ISERROR(LOOKUP(AC$16,$L213:$X213,#REF!)),0,(LOOKUP(AC$16,$L213:$X213,#REF!)))</f>
        <v>0</v>
      </c>
      <c r="AD213" s="221">
        <f>IF(ISERROR(LOOKUP(AD$16,$L213:$X213,#REF!)),0,(LOOKUP(AD$16,$L213:$X213,#REF!)))</f>
        <v>0</v>
      </c>
      <c r="AE213" s="221">
        <f>IF(ISERROR(LOOKUP(AE$16,$L213:$X213,#REF!)),0,(LOOKUP(AE$16,$L213:$X213,#REF!)))</f>
        <v>0</v>
      </c>
      <c r="AF213" s="221">
        <f>IF(ISERROR(LOOKUP(AF$16,$L213:$X213,#REF!)),0,(LOOKUP(AF$16,$L213:$X213,#REF!)))</f>
        <v>0</v>
      </c>
      <c r="AG213" s="221">
        <f>IF(ISERROR(LOOKUP(AG$16,$L213:$X213,#REF!)),0,(LOOKUP(AG$16,$L213:$X213,#REF!)))</f>
        <v>0</v>
      </c>
      <c r="AH213" s="221">
        <f>IF(ISERROR(LOOKUP(AH$16,$L213:$X213,#REF!)),0,(LOOKUP(AH$16,$L213:$X213,#REF!)))</f>
        <v>0</v>
      </c>
      <c r="AI213" s="221">
        <f>IF(ISERROR(LOOKUP(AI$16,$L213:$X213,#REF!)),0,(LOOKUP(AI$16,$L213:$X213,#REF!)))</f>
        <v>0</v>
      </c>
      <c r="AJ213" s="221">
        <f>IF(ISERROR(LOOKUP(AJ$16,$L213:$X213,#REF!)),0,(LOOKUP(AJ$16,$L213:$X213,#REF!)))</f>
        <v>0</v>
      </c>
      <c r="AK213" s="221">
        <f>IF(ISERROR(LOOKUP(AK$16,$L213:$X213,#REF!)),0,(LOOKUP(AK$16,$L213:$X213,#REF!)))</f>
        <v>0</v>
      </c>
      <c r="AL213" s="221">
        <f>IF(ISERROR(LOOKUP(AL$16,$L213:$X213,#REF!)),0,(LOOKUP(AL$16,$L213:$X213,#REF!)))</f>
        <v>0</v>
      </c>
      <c r="AM213" s="221">
        <f ca="1">IF(ISERROR(LOOKUP(AM$16,$L213:$X213,#REF!)),0,(LOOKUP(AM$16,$L213:$X213,#REF!)))</f>
        <v>0</v>
      </c>
      <c r="AP213" s="215" t="e">
        <f>WORKDAY(IF(T214="",T213,T214),INDEX(AP$12:AP$15,MATCH($I212,$I$12:$I$15,0)),$AW$17:$AW$148)</f>
        <v>#REF!</v>
      </c>
      <c r="AQ213" s="215" t="e">
        <f>WORKDAY(IF(AP214="",AP213,AP214),INDEX(AQ$12:AQ$15,MATCH($I212,$I$12:$I$15,0)),$AW$17:$AW$148)</f>
        <v>#REF!</v>
      </c>
      <c r="AR213" s="215" t="e">
        <f>WORKDAY(IF(AQ214="",AQ213,AQ214),INDEX(AR$12:AR$15,MATCH($I212,$I$12:$I$15,0)),$AW$17:$AW$148)</f>
        <v>#REF!</v>
      </c>
      <c r="AS213" s="440"/>
      <c r="AW213" s="223"/>
    </row>
    <row r="214" spans="1:49" s="166" customFormat="1" ht="18" customHeight="1">
      <c r="A214" s="482"/>
      <c r="B214" s="481"/>
      <c r="C214" s="458"/>
      <c r="D214" s="458"/>
      <c r="E214" s="212"/>
      <c r="F214" s="458" t="str">
        <f>F212</f>
        <v>Piping</v>
      </c>
      <c r="G214" s="458" t="str">
        <f>G212</f>
        <v>N</v>
      </c>
      <c r="H214" s="451"/>
      <c r="I214" s="212" t="str">
        <f>I212</f>
        <v>LA</v>
      </c>
      <c r="J214" s="249" t="s">
        <v>70</v>
      </c>
      <c r="K214" s="212"/>
      <c r="L214" s="212"/>
      <c r="M214" s="212"/>
      <c r="N214" s="212"/>
      <c r="O214" s="212"/>
      <c r="P214" s="226"/>
      <c r="Q214" s="227"/>
      <c r="R214" s="212"/>
      <c r="S214" s="212"/>
      <c r="T214" s="212"/>
      <c r="U214" s="212"/>
      <c r="V214" s="212"/>
      <c r="W214" s="228"/>
      <c r="X214" s="212"/>
      <c r="Y214" s="448"/>
      <c r="Z214" s="443"/>
      <c r="AA214" s="443"/>
      <c r="AB214" s="442"/>
      <c r="AC214" s="229">
        <f>IF(ISERROR(LOOKUP(AC$16,$L214:$X214,#REF!)),0,(LOOKUP(AC$16,$L214:$X214,#REF!)))</f>
        <v>0</v>
      </c>
      <c r="AD214" s="230">
        <f>IF(ISERROR(LOOKUP(AD$16,$L214:$X214,#REF!)),0,(LOOKUP(AD$16,$L214:$X214,#REF!)))</f>
        <v>0</v>
      </c>
      <c r="AE214" s="230">
        <f>IF(ISERROR(LOOKUP(AE$16,$L214:$X214,#REF!)),0,(LOOKUP(AE$16,$L214:$X214,#REF!)))</f>
        <v>0</v>
      </c>
      <c r="AF214" s="230">
        <f>IF(ISERROR(LOOKUP(AF$16,$L214:$X214,#REF!)),0,(LOOKUP(AF$16,$L214:$X214,#REF!)))</f>
        <v>0</v>
      </c>
      <c r="AG214" s="230">
        <f>IF(ISERROR(LOOKUP(AG$16,$L214:$X214,#REF!)),0,(LOOKUP(AG$16,$L214:$X214,#REF!)))</f>
        <v>0</v>
      </c>
      <c r="AH214" s="230">
        <f>IF(ISERROR(LOOKUP(AH$16,$L214:$X214,#REF!)),0,(LOOKUP(AH$16,$L214:$X214,#REF!)))</f>
        <v>0</v>
      </c>
      <c r="AI214" s="230">
        <f>IF(ISERROR(LOOKUP(AI$16,$L214:$X214,#REF!)),0,(LOOKUP(AI$16,$L214:$X214,#REF!)))</f>
        <v>0</v>
      </c>
      <c r="AJ214" s="230">
        <f>IF(ISERROR(LOOKUP(AJ$16,$L214:$X214,#REF!)),0,(LOOKUP(AJ$16,$L214:$X214,#REF!)))</f>
        <v>0</v>
      </c>
      <c r="AK214" s="230">
        <f>IF(ISERROR(LOOKUP(AK$16,$L214:$X214,#REF!)),0,(LOOKUP(AK$16,$L214:$X214,#REF!)))</f>
        <v>0</v>
      </c>
      <c r="AL214" s="230">
        <f>IF(ISERROR(LOOKUP(AL$16,$L214:$X214,#REF!)),0,(LOOKUP(AL$16,$L214:$X214,#REF!)))</f>
        <v>0</v>
      </c>
      <c r="AM214" s="230">
        <f ca="1">IF(ISERROR(LOOKUP(AM$16,$L214:$X214,#REF!)),0,(LOOKUP(AM$16,$L214:$X214,#REF!)))</f>
        <v>0</v>
      </c>
      <c r="AP214" s="248"/>
      <c r="AQ214" s="248"/>
      <c r="AR214" s="248"/>
      <c r="AS214" s="440"/>
      <c r="AW214" s="223"/>
    </row>
    <row r="215" spans="1:49" s="166" customFormat="1" ht="18" customHeight="1">
      <c r="A215" s="482"/>
      <c r="B215" s="479"/>
      <c r="C215" s="458"/>
      <c r="D215" s="458" t="s">
        <v>4813</v>
      </c>
      <c r="E215" s="212"/>
      <c r="F215" s="458" t="s">
        <v>86</v>
      </c>
      <c r="G215" s="458" t="s">
        <v>75</v>
      </c>
      <c r="H215" s="449"/>
      <c r="I215" s="212" t="s">
        <v>6</v>
      </c>
      <c r="J215" s="249" t="s">
        <v>4732</v>
      </c>
      <c r="K215" s="215">
        <f>WORKDAY(L215,-INDEX(L$12:L$15,MATCH($I215,$I$12:$I$15,0)))</f>
        <v>46139</v>
      </c>
      <c r="L215" s="215">
        <f>WORKDAY(M215,-INDEX(M$12:M$15,MATCH($I215,$I$12:$I$15,0)))</f>
        <v>46140</v>
      </c>
      <c r="M215" s="215">
        <f>WORKDAY(N215,-INDEX(N$12:N$15,MATCH($I215,$I$12:$I$15,0)))</f>
        <v>46147</v>
      </c>
      <c r="N215" s="215">
        <f>WORKDAY(O215,-INDEX(O$12:O$15,MATCH($I215,$I$12:$I$15,0)))</f>
        <v>46148</v>
      </c>
      <c r="O215" s="215">
        <f>WORKDAY(R215,-INDEX(R$12:R$15,MATCH($I215,$I$12:$I$15,0)))</f>
        <v>46155</v>
      </c>
      <c r="P215" s="216">
        <f>U215-L215</f>
        <v>74</v>
      </c>
      <c r="Q215" s="217"/>
      <c r="R215" s="215">
        <f>WORKDAY(S215,-INDEX(S$12:S$15,MATCH($I215,$I$12:$I$15,0)))</f>
        <v>46169</v>
      </c>
      <c r="S215" s="215">
        <f>WORKDAY(T215,-INDEX(T$12:T$15,MATCH($I215,$I$12:$I$15,0)))</f>
        <v>46197</v>
      </c>
      <c r="T215" s="215">
        <f>WORKDAY(U215,-INDEX(U$12:U$15,MATCH($I215,$I$12:$I$15,0)))</f>
        <v>46202</v>
      </c>
      <c r="U215" s="215">
        <f>X215-Y215</f>
        <v>46214</v>
      </c>
      <c r="V215" s="215">
        <f>WORKDAY(U215,INDEX(V$12:V$15,MATCH($I215,$I$12:$I$15,0)))</f>
        <v>46217</v>
      </c>
      <c r="W215" s="218">
        <f>Y215/7</f>
        <v>24</v>
      </c>
      <c r="X215" s="215">
        <f>Z215</f>
        <v>46382</v>
      </c>
      <c r="Y215" s="448">
        <v>168</v>
      </c>
      <c r="Z215" s="443">
        <v>46382</v>
      </c>
      <c r="AA215" s="443">
        <v>46538</v>
      </c>
      <c r="AB215" s="442">
        <f>Z215-X216</f>
        <v>0</v>
      </c>
      <c r="AC215" s="220">
        <f>IF(ISERROR(LOOKUP(AC$16,$L215:$X215,#REF!)),0,(LOOKUP(AC$16,$L215:$X215,#REF!)))</f>
        <v>0</v>
      </c>
      <c r="AD215" s="221">
        <f>IF(ISERROR(LOOKUP(AD$16,$L215:$X215,#REF!)),0,(LOOKUP(AD$16,$L215:$X215,#REF!)))</f>
        <v>0</v>
      </c>
      <c r="AE215" s="221">
        <f>IF(ISERROR(LOOKUP(AE$16,$L215:$X215,#REF!)),0,(LOOKUP(AE$16,$L215:$X215,#REF!)))</f>
        <v>0</v>
      </c>
      <c r="AF215" s="221">
        <f>IF(ISERROR(LOOKUP(AF$16,$L215:$X215,#REF!)),0,(LOOKUP(AF$16,$L215:$X215,#REF!)))</f>
        <v>0</v>
      </c>
      <c r="AG215" s="221">
        <f>IF(ISERROR(LOOKUP(AG$16,$L215:$X215,#REF!)),0,(LOOKUP(AG$16,$L215:$X215,#REF!)))</f>
        <v>0</v>
      </c>
      <c r="AH215" s="221">
        <f>IF(ISERROR(LOOKUP(AH$16,$L215:$X215,#REF!)),0,(LOOKUP(AH$16,$L215:$X215,#REF!)))</f>
        <v>0</v>
      </c>
      <c r="AI215" s="221">
        <f>IF(ISERROR(LOOKUP(AI$16,$L215:$X215,#REF!)),0,(LOOKUP(AI$16,$L215:$X215,#REF!)))</f>
        <v>0</v>
      </c>
      <c r="AJ215" s="221">
        <f>IF(ISERROR(LOOKUP(AJ$16,$L215:$X215,#REF!)),0,(LOOKUP(AJ$16,$L215:$X215,#REF!)))</f>
        <v>0</v>
      </c>
      <c r="AK215" s="221">
        <f>IF(ISERROR(LOOKUP(AK$16,$L215:$X215,#REF!)),0,(LOOKUP(AK$16,$L215:$X215,#REF!)))</f>
        <v>0</v>
      </c>
      <c r="AL215" s="221">
        <f>IF(ISERROR(LOOKUP(AL$16,$L215:$X215,#REF!)),0,(LOOKUP(AL$16,$L215:$X215,#REF!)))</f>
        <v>0</v>
      </c>
      <c r="AM215" s="221">
        <f ca="1">IF(ISERROR(LOOKUP(AM$16,$L215:$X215,#REF!)),0,(LOOKUP(AM$16,$L215:$X215,#REF!)))</f>
        <v>0</v>
      </c>
      <c r="AP215" s="215" t="e">
        <f>WORKDAY(AQ215,-INDEX(AQ$12:AQ$15,MATCH($I215,$I$12:$I$15,0)),$AW$17:$AW$148)</f>
        <v>#REF!</v>
      </c>
      <c r="AQ215" s="215" t="e">
        <f>WORKDAY(U215,-INDEX(U$12:U$15,MATCH($I215,$I$12:$I$15,0)),$AW$17:$AW$148)</f>
        <v>#REF!</v>
      </c>
      <c r="AR215" s="215" t="e">
        <f>WORKDAY(U215,-INDEX(U$12:U$15,MATCH($I215,$I$12:$I$15,0)),$AW$17:$AW$148)</f>
        <v>#REF!</v>
      </c>
      <c r="AS215" s="440">
        <v>7</v>
      </c>
      <c r="AW215" s="223"/>
    </row>
    <row r="216" spans="1:49" s="166" customFormat="1" ht="18" customHeight="1">
      <c r="A216" s="482"/>
      <c r="B216" s="480"/>
      <c r="C216" s="458"/>
      <c r="D216" s="458" t="s">
        <v>4813</v>
      </c>
      <c r="E216" s="212"/>
      <c r="F216" s="458" t="str">
        <f>F215</f>
        <v>Piping</v>
      </c>
      <c r="G216" s="458" t="str">
        <f>G215</f>
        <v>N</v>
      </c>
      <c r="H216" s="450"/>
      <c r="I216" s="212" t="str">
        <f>I215</f>
        <v>LA</v>
      </c>
      <c r="J216" s="249" t="s">
        <v>68</v>
      </c>
      <c r="K216" s="215">
        <f>K215</f>
        <v>46139</v>
      </c>
      <c r="L216" s="215">
        <f>WORKDAY(IF(K217="",K216,K217),INDEX(L$12:L$15,MATCH($I215,$I$12:$I$15,0)))</f>
        <v>46140</v>
      </c>
      <c r="M216" s="215">
        <f>WORKDAY(IF(L217="",L216,L217),INDEX(M$12:M$15,MATCH($I215,$I$12:$I$15,0)))</f>
        <v>46147</v>
      </c>
      <c r="N216" s="215">
        <f>WORKDAY(IF(M217="",M216,M217),INDEX(N$12:N$15,MATCH($I215,$I$12:$I$15,0)))</f>
        <v>46148</v>
      </c>
      <c r="O216" s="215">
        <f>WORKDAY(IF(N217="",N216,N217),INDEX(O$12:O$15,MATCH($I215,$I$12:$I$15,0)))</f>
        <v>46155</v>
      </c>
      <c r="P216" s="216"/>
      <c r="Q216" s="217"/>
      <c r="R216" s="215">
        <f>WORKDAY(IF(O217="",O216,O217),INDEX(R$12:R$15,MATCH($I215,$I$12:$I$15,0)))</f>
        <v>46169</v>
      </c>
      <c r="S216" s="215">
        <f>WORKDAY(IF(R217="",R216,R217),INDEX(S$12:S$15,MATCH($I215,$I$12:$I$15,0)))</f>
        <v>46197</v>
      </c>
      <c r="T216" s="215">
        <f>WORKDAY(IF(S217="",S216,S217),INDEX(T$12:T$15,MATCH($I215,$I$12:$I$15,0)))</f>
        <v>46202</v>
      </c>
      <c r="U216" s="215">
        <f>WORKDAY(IF(T217="",T216,T217),INDEX(U$12:U$15,MATCH($I215,$I$12:$I$15,0)))-2</f>
        <v>46214</v>
      </c>
      <c r="V216" s="215">
        <f>WORKDAY(IF(U217="",U216,U217),INDEX(V$12:V$15,MATCH($I215,$I$12:$I$15,0)))</f>
        <v>46217</v>
      </c>
      <c r="W216" s="218"/>
      <c r="X216" s="215">
        <f>U216+Y215</f>
        <v>46382</v>
      </c>
      <c r="Y216" s="448"/>
      <c r="Z216" s="443"/>
      <c r="AA216" s="443"/>
      <c r="AB216" s="442"/>
      <c r="AC216" s="220">
        <f>IF(ISERROR(LOOKUP(AC$16,$L216:$X216,#REF!)),0,(LOOKUP(AC$16,$L216:$X216,#REF!)))</f>
        <v>0</v>
      </c>
      <c r="AD216" s="221">
        <f>IF(ISERROR(LOOKUP(AD$16,$L216:$X216,#REF!)),0,(LOOKUP(AD$16,$L216:$X216,#REF!)))</f>
        <v>0</v>
      </c>
      <c r="AE216" s="221">
        <f>IF(ISERROR(LOOKUP(AE$16,$L216:$X216,#REF!)),0,(LOOKUP(AE$16,$L216:$X216,#REF!)))</f>
        <v>0</v>
      </c>
      <c r="AF216" s="221">
        <f>IF(ISERROR(LOOKUP(AF$16,$L216:$X216,#REF!)),0,(LOOKUP(AF$16,$L216:$X216,#REF!)))</f>
        <v>0</v>
      </c>
      <c r="AG216" s="221">
        <f>IF(ISERROR(LOOKUP(AG$16,$L216:$X216,#REF!)),0,(LOOKUP(AG$16,$L216:$X216,#REF!)))</f>
        <v>0</v>
      </c>
      <c r="AH216" s="221">
        <f>IF(ISERROR(LOOKUP(AH$16,$L216:$X216,#REF!)),0,(LOOKUP(AH$16,$L216:$X216,#REF!)))</f>
        <v>0</v>
      </c>
      <c r="AI216" s="221">
        <f>IF(ISERROR(LOOKUP(AI$16,$L216:$X216,#REF!)),0,(LOOKUP(AI$16,$L216:$X216,#REF!)))</f>
        <v>0</v>
      </c>
      <c r="AJ216" s="221">
        <f>IF(ISERROR(LOOKUP(AJ$16,$L216:$X216,#REF!)),0,(LOOKUP(AJ$16,$L216:$X216,#REF!)))</f>
        <v>0</v>
      </c>
      <c r="AK216" s="221">
        <f>IF(ISERROR(LOOKUP(AK$16,$L216:$X216,#REF!)),0,(LOOKUP(AK$16,$L216:$X216,#REF!)))</f>
        <v>0</v>
      </c>
      <c r="AL216" s="221">
        <f>IF(ISERROR(LOOKUP(AL$16,$L216:$X216,#REF!)),0,(LOOKUP(AL$16,$L216:$X216,#REF!)))</f>
        <v>0</v>
      </c>
      <c r="AM216" s="221">
        <f ca="1">IF(ISERROR(LOOKUP(AM$16,$L216:$X216,#REF!)),0,(LOOKUP(AM$16,$L216:$X216,#REF!)))</f>
        <v>0</v>
      </c>
      <c r="AP216" s="215" t="e">
        <f>WORKDAY(IF(T217="",T216,T217),INDEX(AP$12:AP$15,MATCH($I215,$I$12:$I$15,0)),$AW$17:$AW$148)</f>
        <v>#REF!</v>
      </c>
      <c r="AQ216" s="215" t="e">
        <f>WORKDAY(IF(AP217="",AP216,AP217),INDEX(AQ$12:AQ$15,MATCH($I215,$I$12:$I$15,0)),$AW$17:$AW$148)</f>
        <v>#REF!</v>
      </c>
      <c r="AR216" s="215" t="e">
        <f>WORKDAY(IF(AQ217="",AQ216,AQ217),INDEX(AR$12:AR$15,MATCH($I215,$I$12:$I$15,0)),$AW$17:$AW$148)</f>
        <v>#REF!</v>
      </c>
      <c r="AS216" s="440"/>
      <c r="AW216" s="223"/>
    </row>
    <row r="217" spans="1:49" s="166" customFormat="1" ht="18" customHeight="1">
      <c r="A217" s="482"/>
      <c r="B217" s="481"/>
      <c r="C217" s="458"/>
      <c r="D217" s="458" t="s">
        <v>4813</v>
      </c>
      <c r="E217" s="212"/>
      <c r="F217" s="458" t="str">
        <f>F215</f>
        <v>Piping</v>
      </c>
      <c r="G217" s="458" t="str">
        <f>G215</f>
        <v>N</v>
      </c>
      <c r="H217" s="451"/>
      <c r="I217" s="212" t="str">
        <f>I215</f>
        <v>LA</v>
      </c>
      <c r="J217" s="249" t="s">
        <v>70</v>
      </c>
      <c r="K217" s="212"/>
      <c r="L217" s="212"/>
      <c r="M217" s="212"/>
      <c r="N217" s="212"/>
      <c r="O217" s="212"/>
      <c r="P217" s="226"/>
      <c r="Q217" s="227"/>
      <c r="R217" s="212"/>
      <c r="S217" s="212"/>
      <c r="T217" s="212"/>
      <c r="U217" s="212"/>
      <c r="V217" s="212"/>
      <c r="W217" s="228"/>
      <c r="X217" s="212"/>
      <c r="Y217" s="448"/>
      <c r="Z217" s="443"/>
      <c r="AA217" s="443"/>
      <c r="AB217" s="442"/>
      <c r="AC217" s="229">
        <f>IF(ISERROR(LOOKUP(AC$16,$L217:$X217,#REF!)),0,(LOOKUP(AC$16,$L217:$X217,#REF!)))</f>
        <v>0</v>
      </c>
      <c r="AD217" s="230">
        <f>IF(ISERROR(LOOKUP(AD$16,$L217:$X217,#REF!)),0,(LOOKUP(AD$16,$L217:$X217,#REF!)))</f>
        <v>0</v>
      </c>
      <c r="AE217" s="230">
        <f>IF(ISERROR(LOOKUP(AE$16,$L217:$X217,#REF!)),0,(LOOKUP(AE$16,$L217:$X217,#REF!)))</f>
        <v>0</v>
      </c>
      <c r="AF217" s="230">
        <f>IF(ISERROR(LOOKUP(AF$16,$L217:$X217,#REF!)),0,(LOOKUP(AF$16,$L217:$X217,#REF!)))</f>
        <v>0</v>
      </c>
      <c r="AG217" s="230">
        <f>IF(ISERROR(LOOKUP(AG$16,$L217:$X217,#REF!)),0,(LOOKUP(AG$16,$L217:$X217,#REF!)))</f>
        <v>0</v>
      </c>
      <c r="AH217" s="230">
        <f>IF(ISERROR(LOOKUP(AH$16,$L217:$X217,#REF!)),0,(LOOKUP(AH$16,$L217:$X217,#REF!)))</f>
        <v>0</v>
      </c>
      <c r="AI217" s="230">
        <f>IF(ISERROR(LOOKUP(AI$16,$L217:$X217,#REF!)),0,(LOOKUP(AI$16,$L217:$X217,#REF!)))</f>
        <v>0</v>
      </c>
      <c r="AJ217" s="230">
        <f>IF(ISERROR(LOOKUP(AJ$16,$L217:$X217,#REF!)),0,(LOOKUP(AJ$16,$L217:$X217,#REF!)))</f>
        <v>0</v>
      </c>
      <c r="AK217" s="230">
        <f>IF(ISERROR(LOOKUP(AK$16,$L217:$X217,#REF!)),0,(LOOKUP(AK$16,$L217:$X217,#REF!)))</f>
        <v>0</v>
      </c>
      <c r="AL217" s="230">
        <f>IF(ISERROR(LOOKUP(AL$16,$L217:$X217,#REF!)),0,(LOOKUP(AL$16,$L217:$X217,#REF!)))</f>
        <v>0</v>
      </c>
      <c r="AM217" s="230">
        <f ca="1">IF(ISERROR(LOOKUP(AM$16,$L217:$X217,#REF!)),0,(LOOKUP(AM$16,$L217:$X217,#REF!)))</f>
        <v>0</v>
      </c>
      <c r="AP217" s="248"/>
      <c r="AQ217" s="248"/>
      <c r="AR217" s="248"/>
      <c r="AS217" s="440"/>
      <c r="AW217" s="223"/>
    </row>
    <row r="218" spans="1:49" s="166" customFormat="1" ht="18" customHeight="1">
      <c r="A218" s="482"/>
      <c r="B218" s="479"/>
      <c r="C218" s="458"/>
      <c r="D218" s="458" t="s">
        <v>255</v>
      </c>
      <c r="E218" s="212"/>
      <c r="F218" s="458" t="s">
        <v>86</v>
      </c>
      <c r="G218" s="458" t="s">
        <v>75</v>
      </c>
      <c r="H218" s="449"/>
      <c r="I218" s="212" t="s">
        <v>9</v>
      </c>
      <c r="J218" s="249" t="s">
        <v>4732</v>
      </c>
      <c r="K218" s="215">
        <f>WORKDAY(L218,-INDEX(L$12:L$15,MATCH($I218,$I$12:$I$15,0)))</f>
        <v>46248</v>
      </c>
      <c r="L218" s="215">
        <f>WORKDAY(M218,-INDEX(M$12:M$15,MATCH($I218,$I$12:$I$15,0)))</f>
        <v>46253</v>
      </c>
      <c r="M218" s="215">
        <f>WORKDAY(N218,-INDEX(N$12:N$15,MATCH($I218,$I$12:$I$15,0)))</f>
        <v>46260</v>
      </c>
      <c r="N218" s="215">
        <f>WORKDAY(O218,-INDEX(O$12:O$15,MATCH($I218,$I$12:$I$15,0)))</f>
        <v>46261</v>
      </c>
      <c r="O218" s="215">
        <f>WORKDAY(R218,-INDEX(R$12:R$15,MATCH($I218,$I$12:$I$15,0)))</f>
        <v>46266</v>
      </c>
      <c r="P218" s="216">
        <f>U218-L218</f>
        <v>39</v>
      </c>
      <c r="Q218" s="217"/>
      <c r="R218" s="215">
        <f>WORKDAY(S218,-INDEX(S$12:S$15,MATCH($I218,$I$12:$I$15,0)))</f>
        <v>46273</v>
      </c>
      <c r="S218" s="215">
        <f>WORKDAY(T218,-INDEX(T$12:T$15,MATCH($I218,$I$12:$I$15,0)))</f>
        <v>46282</v>
      </c>
      <c r="T218" s="215">
        <f>WORKDAY(U218,-INDEX(U$12:U$15,MATCH($I218,$I$12:$I$15,0)))</f>
        <v>46286</v>
      </c>
      <c r="U218" s="215">
        <f>X218-Y218</f>
        <v>46292</v>
      </c>
      <c r="V218" s="215">
        <f>WORKDAY(U218,INDEX(V$12:V$15,MATCH($I218,$I$12:$I$15,0)))</f>
        <v>46294</v>
      </c>
      <c r="W218" s="218">
        <f>Y218/7</f>
        <v>12.8571428571429</v>
      </c>
      <c r="X218" s="215">
        <f>Z218</f>
        <v>46382</v>
      </c>
      <c r="Y218" s="448">
        <v>90</v>
      </c>
      <c r="Z218" s="443">
        <v>46382</v>
      </c>
      <c r="AA218" s="443">
        <v>46538</v>
      </c>
      <c r="AB218" s="442">
        <f>Z218-X219</f>
        <v>0</v>
      </c>
      <c r="AC218" s="220">
        <f>IF(ISERROR(LOOKUP(AC$16,$L218:$X218,#REF!)),0,(LOOKUP(AC$16,$L218:$X218,#REF!)))</f>
        <v>0</v>
      </c>
      <c r="AD218" s="221">
        <f>IF(ISERROR(LOOKUP(AD$16,$L218:$X218,#REF!)),0,(LOOKUP(AD$16,$L218:$X218,#REF!)))</f>
        <v>0</v>
      </c>
      <c r="AE218" s="221">
        <f>IF(ISERROR(LOOKUP(AE$16,$L218:$X218,#REF!)),0,(LOOKUP(AE$16,$L218:$X218,#REF!)))</f>
        <v>0</v>
      </c>
      <c r="AF218" s="221">
        <f>IF(ISERROR(LOOKUP(AF$16,$L218:$X218,#REF!)),0,(LOOKUP(AF$16,$L218:$X218,#REF!)))</f>
        <v>0</v>
      </c>
      <c r="AG218" s="221">
        <f>IF(ISERROR(LOOKUP(AG$16,$L218:$X218,#REF!)),0,(LOOKUP(AG$16,$L218:$X218,#REF!)))</f>
        <v>0</v>
      </c>
      <c r="AH218" s="221">
        <f>IF(ISERROR(LOOKUP(AH$16,$L218:$X218,#REF!)),0,(LOOKUP(AH$16,$L218:$X218,#REF!)))</f>
        <v>0</v>
      </c>
      <c r="AI218" s="221">
        <f>IF(ISERROR(LOOKUP(AI$16,$L218:$X218,#REF!)),0,(LOOKUP(AI$16,$L218:$X218,#REF!)))</f>
        <v>0</v>
      </c>
      <c r="AJ218" s="221">
        <f>IF(ISERROR(LOOKUP(AJ$16,$L218:$X218,#REF!)),0,(LOOKUP(AJ$16,$L218:$X218,#REF!)))</f>
        <v>0</v>
      </c>
      <c r="AK218" s="221">
        <f>IF(ISERROR(LOOKUP(AK$16,$L218:$X218,#REF!)),0,(LOOKUP(AK$16,$L218:$X218,#REF!)))</f>
        <v>0</v>
      </c>
      <c r="AL218" s="221">
        <f>IF(ISERROR(LOOKUP(AL$16,$L218:$X218,#REF!)),0,(LOOKUP(AL$16,$L218:$X218,#REF!)))</f>
        <v>0</v>
      </c>
      <c r="AM218" s="221">
        <f ca="1">IF(ISERROR(LOOKUP(AM$16,$L218:$X218,#REF!)),0,(LOOKUP(AM$16,$L218:$X218,#REF!)))</f>
        <v>0</v>
      </c>
      <c r="AP218" s="215" t="e">
        <f>WORKDAY(AQ218,-INDEX(AQ$12:AQ$15,MATCH($I218,$I$12:$I$15,0)),$AW$17:$AW$148)</f>
        <v>#REF!</v>
      </c>
      <c r="AQ218" s="215" t="e">
        <f>WORKDAY(U218,-INDEX(U$12:U$15,MATCH($I218,$I$12:$I$15,0)),$AW$17:$AW$148)</f>
        <v>#REF!</v>
      </c>
      <c r="AR218" s="215" t="e">
        <f>WORKDAY(U218,-INDEX(U$12:U$15,MATCH($I218,$I$12:$I$15,0)),$AW$17:$AW$148)</f>
        <v>#REF!</v>
      </c>
      <c r="AS218" s="440">
        <v>7</v>
      </c>
      <c r="AW218" s="223"/>
    </row>
    <row r="219" spans="1:49" s="166" customFormat="1" ht="18" customHeight="1">
      <c r="A219" s="482"/>
      <c r="B219" s="480"/>
      <c r="C219" s="458"/>
      <c r="D219" s="458" t="s">
        <v>255</v>
      </c>
      <c r="E219" s="212"/>
      <c r="F219" s="458" t="str">
        <f>F218</f>
        <v>Piping</v>
      </c>
      <c r="G219" s="458" t="str">
        <f>G218</f>
        <v>N</v>
      </c>
      <c r="H219" s="450"/>
      <c r="I219" s="212" t="str">
        <f>I218</f>
        <v>LD</v>
      </c>
      <c r="J219" s="249" t="s">
        <v>68</v>
      </c>
      <c r="K219" s="215">
        <f>K218</f>
        <v>46248</v>
      </c>
      <c r="L219" s="215">
        <f>WORKDAY(IF(K220="",K219,K220),INDEX(L$12:L$15,MATCH($I218,$I$12:$I$15,0)))</f>
        <v>46253</v>
      </c>
      <c r="M219" s="215">
        <f>WORKDAY(IF(L220="",L219,L220),INDEX(M$12:M$15,MATCH($I218,$I$12:$I$15,0)))</f>
        <v>46260</v>
      </c>
      <c r="N219" s="215">
        <f>WORKDAY(IF(M220="",M219,M220),INDEX(N$12:N$15,MATCH($I218,$I$12:$I$15,0)))</f>
        <v>46261</v>
      </c>
      <c r="O219" s="215">
        <f>WORKDAY(IF(N220="",N219,N220),INDEX(O$12:O$15,MATCH($I218,$I$12:$I$15,0)))</f>
        <v>46266</v>
      </c>
      <c r="P219" s="216"/>
      <c r="Q219" s="217"/>
      <c r="R219" s="215">
        <f>WORKDAY(IF(O220="",O219,O220),INDEX(R$12:R$15,MATCH($I218,$I$12:$I$15,0)))</f>
        <v>46273</v>
      </c>
      <c r="S219" s="215">
        <f>WORKDAY(IF(R220="",R219,R220),INDEX(S$12:S$15,MATCH($I218,$I$12:$I$15,0)))</f>
        <v>46282</v>
      </c>
      <c r="T219" s="215">
        <f>WORKDAY(IF(S220="",S219,S220),INDEX(T$12:T$15,MATCH($I218,$I$12:$I$15,0)))</f>
        <v>46286</v>
      </c>
      <c r="U219" s="215">
        <f>WORKDAY(IF(T220="",T219,T220),INDEX(U$12:U$15,MATCH($I218,$I$12:$I$15,0)))-1</f>
        <v>46292</v>
      </c>
      <c r="V219" s="215">
        <f>WORKDAY(IF(U220="",U219,U220),INDEX(V$12:V$15,MATCH($I218,$I$12:$I$15,0)))</f>
        <v>46294</v>
      </c>
      <c r="W219" s="218"/>
      <c r="X219" s="215">
        <f>U219+Y218</f>
        <v>46382</v>
      </c>
      <c r="Y219" s="448"/>
      <c r="Z219" s="443"/>
      <c r="AA219" s="443"/>
      <c r="AB219" s="442"/>
      <c r="AC219" s="220">
        <f>IF(ISERROR(LOOKUP(AC$16,$L219:$X219,#REF!)),0,(LOOKUP(AC$16,$L219:$X219,#REF!)))</f>
        <v>0</v>
      </c>
      <c r="AD219" s="221">
        <f>IF(ISERROR(LOOKUP(AD$16,$L219:$X219,#REF!)),0,(LOOKUP(AD$16,$L219:$X219,#REF!)))</f>
        <v>0</v>
      </c>
      <c r="AE219" s="221">
        <f>IF(ISERROR(LOOKUP(AE$16,$L219:$X219,#REF!)),0,(LOOKUP(AE$16,$L219:$X219,#REF!)))</f>
        <v>0</v>
      </c>
      <c r="AF219" s="221">
        <f>IF(ISERROR(LOOKUP(AF$16,$L219:$X219,#REF!)),0,(LOOKUP(AF$16,$L219:$X219,#REF!)))</f>
        <v>0</v>
      </c>
      <c r="AG219" s="221">
        <f>IF(ISERROR(LOOKUP(AG$16,$L219:$X219,#REF!)),0,(LOOKUP(AG$16,$L219:$X219,#REF!)))</f>
        <v>0</v>
      </c>
      <c r="AH219" s="221">
        <f>IF(ISERROR(LOOKUP(AH$16,$L219:$X219,#REF!)),0,(LOOKUP(AH$16,$L219:$X219,#REF!)))</f>
        <v>0</v>
      </c>
      <c r="AI219" s="221">
        <f>IF(ISERROR(LOOKUP(AI$16,$L219:$X219,#REF!)),0,(LOOKUP(AI$16,$L219:$X219,#REF!)))</f>
        <v>0</v>
      </c>
      <c r="AJ219" s="221">
        <f>IF(ISERROR(LOOKUP(AJ$16,$L219:$X219,#REF!)),0,(LOOKUP(AJ$16,$L219:$X219,#REF!)))</f>
        <v>0</v>
      </c>
      <c r="AK219" s="221">
        <f>IF(ISERROR(LOOKUP(AK$16,$L219:$X219,#REF!)),0,(LOOKUP(AK$16,$L219:$X219,#REF!)))</f>
        <v>0</v>
      </c>
      <c r="AL219" s="221">
        <f>IF(ISERROR(LOOKUP(AL$16,$L219:$X219,#REF!)),0,(LOOKUP(AL$16,$L219:$X219,#REF!)))</f>
        <v>0</v>
      </c>
      <c r="AM219" s="221">
        <f ca="1">IF(ISERROR(LOOKUP(AM$16,$L219:$X219,#REF!)),0,(LOOKUP(AM$16,$L219:$X219,#REF!)))</f>
        <v>0</v>
      </c>
      <c r="AP219" s="215" t="e">
        <f>WORKDAY(IF(T220="",T219,T220),INDEX(AP$12:AP$15,MATCH($I218,$I$12:$I$15,0)),$AW$17:$AW$148)</f>
        <v>#REF!</v>
      </c>
      <c r="AQ219" s="215" t="e">
        <f>WORKDAY(IF(AP220="",AP219,AP220),INDEX(AQ$12:AQ$15,MATCH($I218,$I$12:$I$15,0)),$AW$17:$AW$148)</f>
        <v>#REF!</v>
      </c>
      <c r="AR219" s="215" t="e">
        <f>WORKDAY(IF(AQ220="",AQ219,AQ220),INDEX(AR$12:AR$15,MATCH($I218,$I$12:$I$15,0)),$AW$17:$AW$148)</f>
        <v>#REF!</v>
      </c>
      <c r="AS219" s="440"/>
      <c r="AW219" s="223"/>
    </row>
    <row r="220" spans="1:49" s="166" customFormat="1" ht="18" customHeight="1">
      <c r="A220" s="482"/>
      <c r="B220" s="481"/>
      <c r="C220" s="458"/>
      <c r="D220" s="458" t="s">
        <v>255</v>
      </c>
      <c r="E220" s="212"/>
      <c r="F220" s="458" t="str">
        <f>F218</f>
        <v>Piping</v>
      </c>
      <c r="G220" s="458" t="str">
        <f>G218</f>
        <v>N</v>
      </c>
      <c r="H220" s="451"/>
      <c r="I220" s="212" t="str">
        <f>I218</f>
        <v>LD</v>
      </c>
      <c r="J220" s="249" t="s">
        <v>70</v>
      </c>
      <c r="K220" s="212"/>
      <c r="L220" s="212"/>
      <c r="M220" s="212"/>
      <c r="N220" s="212"/>
      <c r="O220" s="212"/>
      <c r="P220" s="226"/>
      <c r="Q220" s="227"/>
      <c r="R220" s="212"/>
      <c r="S220" s="212"/>
      <c r="T220" s="212"/>
      <c r="U220" s="212"/>
      <c r="V220" s="212"/>
      <c r="W220" s="228"/>
      <c r="X220" s="212"/>
      <c r="Y220" s="448"/>
      <c r="Z220" s="443"/>
      <c r="AA220" s="443"/>
      <c r="AB220" s="442"/>
      <c r="AC220" s="229">
        <f>IF(ISERROR(LOOKUP(AC$16,$L220:$X220,#REF!)),0,(LOOKUP(AC$16,$L220:$X220,#REF!)))</f>
        <v>0</v>
      </c>
      <c r="AD220" s="230">
        <f>IF(ISERROR(LOOKUP(AD$16,$L220:$X220,#REF!)),0,(LOOKUP(AD$16,$L220:$X220,#REF!)))</f>
        <v>0</v>
      </c>
      <c r="AE220" s="230">
        <f>IF(ISERROR(LOOKUP(AE$16,$L220:$X220,#REF!)),0,(LOOKUP(AE$16,$L220:$X220,#REF!)))</f>
        <v>0</v>
      </c>
      <c r="AF220" s="230">
        <f>IF(ISERROR(LOOKUP(AF$16,$L220:$X220,#REF!)),0,(LOOKUP(AF$16,$L220:$X220,#REF!)))</f>
        <v>0</v>
      </c>
      <c r="AG220" s="230">
        <f>IF(ISERROR(LOOKUP(AG$16,$L220:$X220,#REF!)),0,(LOOKUP(AG$16,$L220:$X220,#REF!)))</f>
        <v>0</v>
      </c>
      <c r="AH220" s="230">
        <f>IF(ISERROR(LOOKUP(AH$16,$L220:$X220,#REF!)),0,(LOOKUP(AH$16,$L220:$X220,#REF!)))</f>
        <v>0</v>
      </c>
      <c r="AI220" s="230">
        <f>IF(ISERROR(LOOKUP(AI$16,$L220:$X220,#REF!)),0,(LOOKUP(AI$16,$L220:$X220,#REF!)))</f>
        <v>0</v>
      </c>
      <c r="AJ220" s="230">
        <f>IF(ISERROR(LOOKUP(AJ$16,$L220:$X220,#REF!)),0,(LOOKUP(AJ$16,$L220:$X220,#REF!)))</f>
        <v>0</v>
      </c>
      <c r="AK220" s="230">
        <f>IF(ISERROR(LOOKUP(AK$16,$L220:$X220,#REF!)),0,(LOOKUP(AK$16,$L220:$X220,#REF!)))</f>
        <v>0</v>
      </c>
      <c r="AL220" s="230">
        <f>IF(ISERROR(LOOKUP(AL$16,$L220:$X220,#REF!)),0,(LOOKUP(AL$16,$L220:$X220,#REF!)))</f>
        <v>0</v>
      </c>
      <c r="AM220" s="230">
        <f ca="1">IF(ISERROR(LOOKUP(AM$16,$L220:$X220,#REF!)),0,(LOOKUP(AM$16,$L220:$X220,#REF!)))</f>
        <v>0</v>
      </c>
      <c r="AP220" s="248"/>
      <c r="AQ220" s="248"/>
      <c r="AR220" s="248"/>
      <c r="AS220" s="440"/>
      <c r="AW220" s="223"/>
    </row>
    <row r="221" spans="1:49" s="166" customFormat="1" ht="18" customHeight="1">
      <c r="A221" s="482"/>
      <c r="B221" s="479"/>
      <c r="C221" s="458"/>
      <c r="D221" s="458" t="s">
        <v>4814</v>
      </c>
      <c r="E221" s="212"/>
      <c r="F221" s="458" t="s">
        <v>86</v>
      </c>
      <c r="G221" s="458" t="s">
        <v>75</v>
      </c>
      <c r="H221" s="449"/>
      <c r="I221" s="212" t="s">
        <v>9</v>
      </c>
      <c r="J221" s="249" t="s">
        <v>4732</v>
      </c>
      <c r="K221" s="215">
        <f>WORKDAY(L221,-INDEX(L$12:L$15,MATCH($I221,$I$12:$I$15,0)))</f>
        <v>46248</v>
      </c>
      <c r="L221" s="215">
        <f>WORKDAY(M221,-INDEX(M$12:M$15,MATCH($I221,$I$12:$I$15,0)))</f>
        <v>46253</v>
      </c>
      <c r="M221" s="215">
        <f>WORKDAY(N221,-INDEX(N$12:N$15,MATCH($I221,$I$12:$I$15,0)))</f>
        <v>46260</v>
      </c>
      <c r="N221" s="215">
        <f>WORKDAY(O221,-INDEX(O$12:O$15,MATCH($I221,$I$12:$I$15,0)))</f>
        <v>46261</v>
      </c>
      <c r="O221" s="215">
        <f>WORKDAY(R221,-INDEX(R$12:R$15,MATCH($I221,$I$12:$I$15,0)))</f>
        <v>46266</v>
      </c>
      <c r="P221" s="216">
        <f>U221-L221</f>
        <v>39</v>
      </c>
      <c r="Q221" s="217"/>
      <c r="R221" s="215">
        <f>WORKDAY(S221,-INDEX(S$12:S$15,MATCH($I221,$I$12:$I$15,0)))</f>
        <v>46273</v>
      </c>
      <c r="S221" s="215">
        <f>WORKDAY(T221,-INDEX(T$12:T$15,MATCH($I221,$I$12:$I$15,0)))</f>
        <v>46282</v>
      </c>
      <c r="T221" s="215">
        <f>WORKDAY(U221,-INDEX(U$12:U$15,MATCH($I221,$I$12:$I$15,0)))</f>
        <v>46286</v>
      </c>
      <c r="U221" s="215">
        <f>X221-Y221</f>
        <v>46292</v>
      </c>
      <c r="V221" s="215">
        <f>WORKDAY(U221,INDEX(V$12:V$15,MATCH($I221,$I$12:$I$15,0)))</f>
        <v>46294</v>
      </c>
      <c r="W221" s="218">
        <f>Y221/7</f>
        <v>12.8571428571429</v>
      </c>
      <c r="X221" s="215">
        <f>Z221</f>
        <v>46382</v>
      </c>
      <c r="Y221" s="448">
        <v>90</v>
      </c>
      <c r="Z221" s="443">
        <v>46382</v>
      </c>
      <c r="AA221" s="443">
        <v>46538</v>
      </c>
      <c r="AB221" s="442">
        <f>Z221-X222</f>
        <v>0</v>
      </c>
      <c r="AC221" s="220">
        <f>IF(ISERROR(LOOKUP(AC$16,$L221:$X221,#REF!)),0,(LOOKUP(AC$16,$L221:$X221,#REF!)))</f>
        <v>0</v>
      </c>
      <c r="AD221" s="221">
        <f>IF(ISERROR(LOOKUP(AD$16,$L221:$X221,#REF!)),0,(LOOKUP(AD$16,$L221:$X221,#REF!)))</f>
        <v>0</v>
      </c>
      <c r="AE221" s="221">
        <f>IF(ISERROR(LOOKUP(AE$16,$L221:$X221,#REF!)),0,(LOOKUP(AE$16,$L221:$X221,#REF!)))</f>
        <v>0</v>
      </c>
      <c r="AF221" s="221">
        <f>IF(ISERROR(LOOKUP(AF$16,$L221:$X221,#REF!)),0,(LOOKUP(AF$16,$L221:$X221,#REF!)))</f>
        <v>0</v>
      </c>
      <c r="AG221" s="221">
        <f>IF(ISERROR(LOOKUP(AG$16,$L221:$X221,#REF!)),0,(LOOKUP(AG$16,$L221:$X221,#REF!)))</f>
        <v>0</v>
      </c>
      <c r="AH221" s="221">
        <f>IF(ISERROR(LOOKUP(AH$16,$L221:$X221,#REF!)),0,(LOOKUP(AH$16,$L221:$X221,#REF!)))</f>
        <v>0</v>
      </c>
      <c r="AI221" s="221">
        <f>IF(ISERROR(LOOKUP(AI$16,$L221:$X221,#REF!)),0,(LOOKUP(AI$16,$L221:$X221,#REF!)))</f>
        <v>0</v>
      </c>
      <c r="AJ221" s="221">
        <f>IF(ISERROR(LOOKUP(AJ$16,$L221:$X221,#REF!)),0,(LOOKUP(AJ$16,$L221:$X221,#REF!)))</f>
        <v>0</v>
      </c>
      <c r="AK221" s="221">
        <f>IF(ISERROR(LOOKUP(AK$16,$L221:$X221,#REF!)),0,(LOOKUP(AK$16,$L221:$X221,#REF!)))</f>
        <v>0</v>
      </c>
      <c r="AL221" s="221">
        <f>IF(ISERROR(LOOKUP(AL$16,$L221:$X221,#REF!)),0,(LOOKUP(AL$16,$L221:$X221,#REF!)))</f>
        <v>0</v>
      </c>
      <c r="AM221" s="221">
        <f ca="1">IF(ISERROR(LOOKUP(AM$16,$L221:$X221,#REF!)),0,(LOOKUP(AM$16,$L221:$X221,#REF!)))</f>
        <v>0</v>
      </c>
      <c r="AP221" s="215" t="e">
        <f>WORKDAY(AQ221,-INDEX(AQ$12:AQ$15,MATCH($I221,$I$12:$I$15,0)),$AW$17:$AW$148)</f>
        <v>#REF!</v>
      </c>
      <c r="AQ221" s="215" t="e">
        <f>WORKDAY(U221,-INDEX(U$12:U$15,MATCH($I221,$I$12:$I$15,0)),$AW$17:$AW$148)</f>
        <v>#REF!</v>
      </c>
      <c r="AR221" s="215" t="e">
        <f>WORKDAY(U221,-INDEX(U$12:U$15,MATCH($I221,$I$12:$I$15,0)),$AW$17:$AW$148)</f>
        <v>#REF!</v>
      </c>
      <c r="AS221" s="440">
        <v>7</v>
      </c>
      <c r="AW221" s="223"/>
    </row>
    <row r="222" spans="1:49" s="166" customFormat="1" ht="18" customHeight="1">
      <c r="A222" s="482"/>
      <c r="B222" s="480"/>
      <c r="C222" s="458"/>
      <c r="D222" s="458" t="s">
        <v>4814</v>
      </c>
      <c r="E222" s="212"/>
      <c r="F222" s="458" t="str">
        <f>F221</f>
        <v>Piping</v>
      </c>
      <c r="G222" s="458" t="str">
        <f>G221</f>
        <v>N</v>
      </c>
      <c r="H222" s="450"/>
      <c r="I222" s="212" t="str">
        <f>I221</f>
        <v>LD</v>
      </c>
      <c r="J222" s="249" t="s">
        <v>68</v>
      </c>
      <c r="K222" s="215">
        <f>K221</f>
        <v>46248</v>
      </c>
      <c r="L222" s="215">
        <f>WORKDAY(IF(K223="",K222,K223),INDEX(L$12:L$15,MATCH($I221,$I$12:$I$15,0)))</f>
        <v>46253</v>
      </c>
      <c r="M222" s="215">
        <f>WORKDAY(IF(L223="",L222,L223),INDEX(M$12:M$15,MATCH($I221,$I$12:$I$15,0)))</f>
        <v>46260</v>
      </c>
      <c r="N222" s="215">
        <f>WORKDAY(IF(M223="",M222,M223),INDEX(N$12:N$15,MATCH($I221,$I$12:$I$15,0)))</f>
        <v>46261</v>
      </c>
      <c r="O222" s="215">
        <f>WORKDAY(IF(N223="",N222,N223),INDEX(O$12:O$15,MATCH($I221,$I$12:$I$15,0)))</f>
        <v>46266</v>
      </c>
      <c r="P222" s="216"/>
      <c r="Q222" s="217"/>
      <c r="R222" s="215">
        <f>WORKDAY(IF(O223="",O222,O223),INDEX(R$12:R$15,MATCH($I221,$I$12:$I$15,0)))</f>
        <v>46273</v>
      </c>
      <c r="S222" s="215">
        <f>WORKDAY(IF(R223="",R222,R223),INDEX(S$12:S$15,MATCH($I221,$I$12:$I$15,0)))</f>
        <v>46282</v>
      </c>
      <c r="T222" s="215">
        <f>WORKDAY(IF(S223="",S222,S223),INDEX(T$12:T$15,MATCH($I221,$I$12:$I$15,0)))</f>
        <v>46286</v>
      </c>
      <c r="U222" s="215">
        <f>WORKDAY(IF(T223="",T222,T223),INDEX(U$12:U$15,MATCH($I221,$I$12:$I$15,0)))-1</f>
        <v>46292</v>
      </c>
      <c r="V222" s="215">
        <f>WORKDAY(IF(U223="",U222,U223),INDEX(V$12:V$15,MATCH($I221,$I$12:$I$15,0)))</f>
        <v>46294</v>
      </c>
      <c r="W222" s="218"/>
      <c r="X222" s="215">
        <f>U222+Y221</f>
        <v>46382</v>
      </c>
      <c r="Y222" s="448"/>
      <c r="Z222" s="443"/>
      <c r="AA222" s="443"/>
      <c r="AB222" s="442"/>
      <c r="AC222" s="220">
        <f>IF(ISERROR(LOOKUP(AC$16,$L222:$X222,#REF!)),0,(LOOKUP(AC$16,$L222:$X222,#REF!)))</f>
        <v>0</v>
      </c>
      <c r="AD222" s="221">
        <f>IF(ISERROR(LOOKUP(AD$16,$L222:$X222,#REF!)),0,(LOOKUP(AD$16,$L222:$X222,#REF!)))</f>
        <v>0</v>
      </c>
      <c r="AE222" s="221">
        <f>IF(ISERROR(LOOKUP(AE$16,$L222:$X222,#REF!)),0,(LOOKUP(AE$16,$L222:$X222,#REF!)))</f>
        <v>0</v>
      </c>
      <c r="AF222" s="221">
        <f>IF(ISERROR(LOOKUP(AF$16,$L222:$X222,#REF!)),0,(LOOKUP(AF$16,$L222:$X222,#REF!)))</f>
        <v>0</v>
      </c>
      <c r="AG222" s="221">
        <f>IF(ISERROR(LOOKUP(AG$16,$L222:$X222,#REF!)),0,(LOOKUP(AG$16,$L222:$X222,#REF!)))</f>
        <v>0</v>
      </c>
      <c r="AH222" s="221">
        <f>IF(ISERROR(LOOKUP(AH$16,$L222:$X222,#REF!)),0,(LOOKUP(AH$16,$L222:$X222,#REF!)))</f>
        <v>0</v>
      </c>
      <c r="AI222" s="221">
        <f>IF(ISERROR(LOOKUP(AI$16,$L222:$X222,#REF!)),0,(LOOKUP(AI$16,$L222:$X222,#REF!)))</f>
        <v>0</v>
      </c>
      <c r="AJ222" s="221">
        <f>IF(ISERROR(LOOKUP(AJ$16,$L222:$X222,#REF!)),0,(LOOKUP(AJ$16,$L222:$X222,#REF!)))</f>
        <v>0</v>
      </c>
      <c r="AK222" s="221">
        <f>IF(ISERROR(LOOKUP(AK$16,$L222:$X222,#REF!)),0,(LOOKUP(AK$16,$L222:$X222,#REF!)))</f>
        <v>0</v>
      </c>
      <c r="AL222" s="221">
        <f>IF(ISERROR(LOOKUP(AL$16,$L222:$X222,#REF!)),0,(LOOKUP(AL$16,$L222:$X222,#REF!)))</f>
        <v>0</v>
      </c>
      <c r="AM222" s="221">
        <f ca="1">IF(ISERROR(LOOKUP(AM$16,$L222:$X222,#REF!)),0,(LOOKUP(AM$16,$L222:$X222,#REF!)))</f>
        <v>0</v>
      </c>
      <c r="AP222" s="215" t="e">
        <f>WORKDAY(IF(T223="",T222,T223),INDEX(AP$12:AP$15,MATCH($I221,$I$12:$I$15,0)),$AW$17:$AW$148)</f>
        <v>#REF!</v>
      </c>
      <c r="AQ222" s="215" t="e">
        <f>WORKDAY(IF(AP223="",AP222,AP223),INDEX(AQ$12:AQ$15,MATCH($I221,$I$12:$I$15,0)),$AW$17:$AW$148)</f>
        <v>#REF!</v>
      </c>
      <c r="AR222" s="215" t="e">
        <f>WORKDAY(IF(AQ223="",AQ222,AQ223),INDEX(AR$12:AR$15,MATCH($I221,$I$12:$I$15,0)),$AW$17:$AW$148)</f>
        <v>#REF!</v>
      </c>
      <c r="AS222" s="440"/>
      <c r="AW222" s="223"/>
    </row>
    <row r="223" spans="1:49" s="166" customFormat="1" ht="18" customHeight="1">
      <c r="A223" s="482"/>
      <c r="B223" s="481"/>
      <c r="C223" s="458"/>
      <c r="D223" s="458" t="s">
        <v>4814</v>
      </c>
      <c r="E223" s="212"/>
      <c r="F223" s="458" t="str">
        <f>F221</f>
        <v>Piping</v>
      </c>
      <c r="G223" s="458" t="str">
        <f>G221</f>
        <v>N</v>
      </c>
      <c r="H223" s="451"/>
      <c r="I223" s="212" t="str">
        <f>I221</f>
        <v>LD</v>
      </c>
      <c r="J223" s="249" t="s">
        <v>70</v>
      </c>
      <c r="K223" s="212"/>
      <c r="L223" s="212"/>
      <c r="M223" s="212"/>
      <c r="N223" s="212"/>
      <c r="O223" s="212"/>
      <c r="P223" s="226"/>
      <c r="Q223" s="227"/>
      <c r="R223" s="212"/>
      <c r="S223" s="212"/>
      <c r="T223" s="212"/>
      <c r="U223" s="212"/>
      <c r="V223" s="212"/>
      <c r="W223" s="228"/>
      <c r="X223" s="212"/>
      <c r="Y223" s="448"/>
      <c r="Z223" s="443"/>
      <c r="AA223" s="443"/>
      <c r="AB223" s="442"/>
      <c r="AC223" s="229">
        <f>IF(ISERROR(LOOKUP(AC$16,$L223:$X223,#REF!)),0,(LOOKUP(AC$16,$L223:$X223,#REF!)))</f>
        <v>0</v>
      </c>
      <c r="AD223" s="230">
        <f>IF(ISERROR(LOOKUP(AD$16,$L223:$X223,#REF!)),0,(LOOKUP(AD$16,$L223:$X223,#REF!)))</f>
        <v>0</v>
      </c>
      <c r="AE223" s="230">
        <f>IF(ISERROR(LOOKUP(AE$16,$L223:$X223,#REF!)),0,(LOOKUP(AE$16,$L223:$X223,#REF!)))</f>
        <v>0</v>
      </c>
      <c r="AF223" s="230">
        <f>IF(ISERROR(LOOKUP(AF$16,$L223:$X223,#REF!)),0,(LOOKUP(AF$16,$L223:$X223,#REF!)))</f>
        <v>0</v>
      </c>
      <c r="AG223" s="230">
        <f>IF(ISERROR(LOOKUP(AG$16,$L223:$X223,#REF!)),0,(LOOKUP(AG$16,$L223:$X223,#REF!)))</f>
        <v>0</v>
      </c>
      <c r="AH223" s="230">
        <f>IF(ISERROR(LOOKUP(AH$16,$L223:$X223,#REF!)),0,(LOOKUP(AH$16,$L223:$X223,#REF!)))</f>
        <v>0</v>
      </c>
      <c r="AI223" s="230">
        <f>IF(ISERROR(LOOKUP(AI$16,$L223:$X223,#REF!)),0,(LOOKUP(AI$16,$L223:$X223,#REF!)))</f>
        <v>0</v>
      </c>
      <c r="AJ223" s="230">
        <f>IF(ISERROR(LOOKUP(AJ$16,$L223:$X223,#REF!)),0,(LOOKUP(AJ$16,$L223:$X223,#REF!)))</f>
        <v>0</v>
      </c>
      <c r="AK223" s="230">
        <f>IF(ISERROR(LOOKUP(AK$16,$L223:$X223,#REF!)),0,(LOOKUP(AK$16,$L223:$X223,#REF!)))</f>
        <v>0</v>
      </c>
      <c r="AL223" s="230">
        <f>IF(ISERROR(LOOKUP(AL$16,$L223:$X223,#REF!)),0,(LOOKUP(AL$16,$L223:$X223,#REF!)))</f>
        <v>0</v>
      </c>
      <c r="AM223" s="230">
        <f ca="1">IF(ISERROR(LOOKUP(AM$16,$L223:$X223,#REF!)),0,(LOOKUP(AM$16,$L223:$X223,#REF!)))</f>
        <v>0</v>
      </c>
      <c r="AP223" s="248"/>
      <c r="AQ223" s="248"/>
      <c r="AR223" s="248"/>
      <c r="AS223" s="440"/>
      <c r="AW223" s="223"/>
    </row>
    <row r="224" spans="1:49" s="166" customFormat="1" ht="18" customHeight="1">
      <c r="A224" s="482"/>
      <c r="B224" s="479"/>
      <c r="C224" s="458"/>
      <c r="D224" s="458" t="s">
        <v>262</v>
      </c>
      <c r="E224" s="212"/>
      <c r="F224" s="458" t="s">
        <v>86</v>
      </c>
      <c r="G224" s="458" t="s">
        <v>75</v>
      </c>
      <c r="H224" s="449"/>
      <c r="I224" s="212" t="s">
        <v>9</v>
      </c>
      <c r="J224" s="249" t="s">
        <v>4732</v>
      </c>
      <c r="K224" s="215">
        <f>WORKDAY(L224,-INDEX(L$12:L$15,MATCH($I224,$I$12:$I$15,0)))</f>
        <v>46169</v>
      </c>
      <c r="L224" s="215">
        <f>WORKDAY(M224,-INDEX(M$12:M$15,MATCH($I224,$I$12:$I$15,0)))</f>
        <v>46174</v>
      </c>
      <c r="M224" s="215">
        <f>WORKDAY(N224,-INDEX(N$12:N$15,MATCH($I224,$I$12:$I$15,0)))</f>
        <v>46181</v>
      </c>
      <c r="N224" s="215">
        <f>WORKDAY(O224,-INDEX(O$12:O$15,MATCH($I224,$I$12:$I$15,0)))</f>
        <v>46182</v>
      </c>
      <c r="O224" s="215">
        <f>WORKDAY(R224,-INDEX(R$12:R$15,MATCH($I224,$I$12:$I$15,0)))</f>
        <v>46185</v>
      </c>
      <c r="P224" s="216">
        <f>U224-L224</f>
        <v>38</v>
      </c>
      <c r="Q224" s="217"/>
      <c r="R224" s="215">
        <f>WORKDAY(S224,-INDEX(S$12:S$15,MATCH($I224,$I$12:$I$15,0)))</f>
        <v>46192</v>
      </c>
      <c r="S224" s="215">
        <f>WORKDAY(T224,-INDEX(T$12:T$15,MATCH($I224,$I$12:$I$15,0)))</f>
        <v>46203</v>
      </c>
      <c r="T224" s="215">
        <f>WORKDAY(U224,-INDEX(U$12:U$15,MATCH($I224,$I$12:$I$15,0)))</f>
        <v>46205</v>
      </c>
      <c r="U224" s="215">
        <f>X224-Y224</f>
        <v>46212</v>
      </c>
      <c r="V224" s="215">
        <f>WORKDAY(U224,INDEX(V$12:V$15,MATCH($I224,$I$12:$I$15,0)))</f>
        <v>46216</v>
      </c>
      <c r="W224" s="218">
        <f>Y224/7</f>
        <v>24.285714285714299</v>
      </c>
      <c r="X224" s="215">
        <f>Z224</f>
        <v>46382</v>
      </c>
      <c r="Y224" s="448">
        <v>170</v>
      </c>
      <c r="Z224" s="443">
        <v>46382</v>
      </c>
      <c r="AA224" s="443">
        <v>46538</v>
      </c>
      <c r="AB224" s="442">
        <f>Z224-X225</f>
        <v>0</v>
      </c>
      <c r="AC224" s="220">
        <f>IF(ISERROR(LOOKUP(AC$16,$L224:$X224,#REF!)),0,(LOOKUP(AC$16,$L224:$X224,#REF!)))</f>
        <v>0</v>
      </c>
      <c r="AD224" s="221">
        <f>IF(ISERROR(LOOKUP(AD$16,$L224:$X224,#REF!)),0,(LOOKUP(AD$16,$L224:$X224,#REF!)))</f>
        <v>0</v>
      </c>
      <c r="AE224" s="221">
        <f>IF(ISERROR(LOOKUP(AE$16,$L224:$X224,#REF!)),0,(LOOKUP(AE$16,$L224:$X224,#REF!)))</f>
        <v>0</v>
      </c>
      <c r="AF224" s="221">
        <f>IF(ISERROR(LOOKUP(AF$16,$L224:$X224,#REF!)),0,(LOOKUP(AF$16,$L224:$X224,#REF!)))</f>
        <v>0</v>
      </c>
      <c r="AG224" s="221">
        <f>IF(ISERROR(LOOKUP(AG$16,$L224:$X224,#REF!)),0,(LOOKUP(AG$16,$L224:$X224,#REF!)))</f>
        <v>0</v>
      </c>
      <c r="AH224" s="221">
        <f>IF(ISERROR(LOOKUP(AH$16,$L224:$X224,#REF!)),0,(LOOKUP(AH$16,$L224:$X224,#REF!)))</f>
        <v>0</v>
      </c>
      <c r="AI224" s="221">
        <f>IF(ISERROR(LOOKUP(AI$16,$L224:$X224,#REF!)),0,(LOOKUP(AI$16,$L224:$X224,#REF!)))</f>
        <v>0</v>
      </c>
      <c r="AJ224" s="221">
        <f>IF(ISERROR(LOOKUP(AJ$16,$L224:$X224,#REF!)),0,(LOOKUP(AJ$16,$L224:$X224,#REF!)))</f>
        <v>0</v>
      </c>
      <c r="AK224" s="221">
        <f>IF(ISERROR(LOOKUP(AK$16,$L224:$X224,#REF!)),0,(LOOKUP(AK$16,$L224:$X224,#REF!)))</f>
        <v>0</v>
      </c>
      <c r="AL224" s="221">
        <f>IF(ISERROR(LOOKUP(AL$16,$L224:$X224,#REF!)),0,(LOOKUP(AL$16,$L224:$X224,#REF!)))</f>
        <v>0</v>
      </c>
      <c r="AM224" s="221">
        <f ca="1">IF(ISERROR(LOOKUP(AM$16,$L224:$X224,#REF!)),0,(LOOKUP(AM$16,$L224:$X224,#REF!)))</f>
        <v>0</v>
      </c>
      <c r="AP224" s="215" t="e">
        <f>WORKDAY(AQ224,-INDEX(AQ$12:AQ$15,MATCH($I224,$I$12:$I$15,0)),$AW$17:$AW$148)</f>
        <v>#REF!</v>
      </c>
      <c r="AQ224" s="215" t="e">
        <f>WORKDAY(U224,-INDEX(U$12:U$15,MATCH($I224,$I$12:$I$15,0)),$AW$17:$AW$148)</f>
        <v>#REF!</v>
      </c>
      <c r="AR224" s="215" t="e">
        <f>WORKDAY(U224,-INDEX(U$12:U$15,MATCH($I224,$I$12:$I$15,0)),$AW$17:$AW$148)</f>
        <v>#REF!</v>
      </c>
      <c r="AS224" s="440">
        <v>7</v>
      </c>
      <c r="AW224" s="223"/>
    </row>
    <row r="225" spans="1:49" s="166" customFormat="1" ht="18" customHeight="1">
      <c r="A225" s="482"/>
      <c r="B225" s="480"/>
      <c r="C225" s="458"/>
      <c r="D225" s="458" t="s">
        <v>262</v>
      </c>
      <c r="E225" s="212"/>
      <c r="F225" s="458" t="str">
        <f>F224</f>
        <v>Piping</v>
      </c>
      <c r="G225" s="458" t="str">
        <f>G224</f>
        <v>N</v>
      </c>
      <c r="H225" s="450"/>
      <c r="I225" s="212" t="str">
        <f>I224</f>
        <v>LD</v>
      </c>
      <c r="J225" s="249" t="s">
        <v>68</v>
      </c>
      <c r="K225" s="215">
        <f>K224</f>
        <v>46169</v>
      </c>
      <c r="L225" s="215">
        <f>WORKDAY(IF(K226="",K225,K226),INDEX(L$12:L$15,MATCH($I224,$I$12:$I$15,0)))</f>
        <v>46174</v>
      </c>
      <c r="M225" s="215">
        <f>WORKDAY(IF(L226="",L225,L226),INDEX(M$12:M$15,MATCH($I224,$I$12:$I$15,0)))</f>
        <v>46181</v>
      </c>
      <c r="N225" s="215">
        <f>WORKDAY(IF(M226="",M225,M226),INDEX(N$12:N$15,MATCH($I224,$I$12:$I$15,0)))</f>
        <v>46182</v>
      </c>
      <c r="O225" s="215">
        <f>WORKDAY(IF(N226="",N225,N226),INDEX(O$12:O$15,MATCH($I224,$I$12:$I$15,0)))</f>
        <v>46185</v>
      </c>
      <c r="P225" s="216"/>
      <c r="Q225" s="217"/>
      <c r="R225" s="215">
        <f>WORKDAY(IF(O226="",O225,O226),INDEX(R$12:R$15,MATCH($I224,$I$12:$I$15,0)))</f>
        <v>46192</v>
      </c>
      <c r="S225" s="215">
        <f>WORKDAY(IF(R226="",R225,R226),INDEX(S$12:S$15,MATCH($I224,$I$12:$I$15,0)))</f>
        <v>46203</v>
      </c>
      <c r="T225" s="215">
        <f>WORKDAY(IF(S226="",S225,S226),INDEX(T$12:T$15,MATCH($I224,$I$12:$I$15,0)))</f>
        <v>46205</v>
      </c>
      <c r="U225" s="215">
        <f>WORKDAY(IF(T226="",T225,T226),INDEX(U$12:U$15,MATCH($I224,$I$12:$I$15,0)))</f>
        <v>46212</v>
      </c>
      <c r="V225" s="215">
        <f>WORKDAY(IF(U226="",U225,U226),INDEX(V$12:V$15,MATCH($I224,$I$12:$I$15,0)))</f>
        <v>46216</v>
      </c>
      <c r="W225" s="218"/>
      <c r="X225" s="215">
        <f>U225+Y224</f>
        <v>46382</v>
      </c>
      <c r="Y225" s="448"/>
      <c r="Z225" s="443"/>
      <c r="AA225" s="443"/>
      <c r="AB225" s="442"/>
      <c r="AC225" s="220">
        <f>IF(ISERROR(LOOKUP(AC$16,$L225:$X225,#REF!)),0,(LOOKUP(AC$16,$L225:$X225,#REF!)))</f>
        <v>0</v>
      </c>
      <c r="AD225" s="221">
        <f>IF(ISERROR(LOOKUP(AD$16,$L225:$X225,#REF!)),0,(LOOKUP(AD$16,$L225:$X225,#REF!)))</f>
        <v>0</v>
      </c>
      <c r="AE225" s="221">
        <f>IF(ISERROR(LOOKUP(AE$16,$L225:$X225,#REF!)),0,(LOOKUP(AE$16,$L225:$X225,#REF!)))</f>
        <v>0</v>
      </c>
      <c r="AF225" s="221">
        <f>IF(ISERROR(LOOKUP(AF$16,$L225:$X225,#REF!)),0,(LOOKUP(AF$16,$L225:$X225,#REF!)))</f>
        <v>0</v>
      </c>
      <c r="AG225" s="221">
        <f>IF(ISERROR(LOOKUP(AG$16,$L225:$X225,#REF!)),0,(LOOKUP(AG$16,$L225:$X225,#REF!)))</f>
        <v>0</v>
      </c>
      <c r="AH225" s="221">
        <f>IF(ISERROR(LOOKUP(AH$16,$L225:$X225,#REF!)),0,(LOOKUP(AH$16,$L225:$X225,#REF!)))</f>
        <v>0</v>
      </c>
      <c r="AI225" s="221">
        <f>IF(ISERROR(LOOKUP(AI$16,$L225:$X225,#REF!)),0,(LOOKUP(AI$16,$L225:$X225,#REF!)))</f>
        <v>0</v>
      </c>
      <c r="AJ225" s="221">
        <f>IF(ISERROR(LOOKUP(AJ$16,$L225:$X225,#REF!)),0,(LOOKUP(AJ$16,$L225:$X225,#REF!)))</f>
        <v>0</v>
      </c>
      <c r="AK225" s="221">
        <f>IF(ISERROR(LOOKUP(AK$16,$L225:$X225,#REF!)),0,(LOOKUP(AK$16,$L225:$X225,#REF!)))</f>
        <v>0</v>
      </c>
      <c r="AL225" s="221">
        <f>IF(ISERROR(LOOKUP(AL$16,$L225:$X225,#REF!)),0,(LOOKUP(AL$16,$L225:$X225,#REF!)))</f>
        <v>0</v>
      </c>
      <c r="AM225" s="221">
        <f ca="1">IF(ISERROR(LOOKUP(AM$16,$L225:$X225,#REF!)),0,(LOOKUP(AM$16,$L225:$X225,#REF!)))</f>
        <v>0</v>
      </c>
      <c r="AP225" s="215" t="e">
        <f>WORKDAY(IF(T226="",T225,T226),INDEX(AP$12:AP$15,MATCH($I224,$I$12:$I$15,0)),$AW$17:$AW$148)</f>
        <v>#REF!</v>
      </c>
      <c r="AQ225" s="215" t="e">
        <f>WORKDAY(IF(AP226="",AP225,AP226),INDEX(AQ$12:AQ$15,MATCH($I224,$I$12:$I$15,0)),$AW$17:$AW$148)</f>
        <v>#REF!</v>
      </c>
      <c r="AR225" s="215" t="e">
        <f>WORKDAY(IF(AQ226="",AQ225,AQ226),INDEX(AR$12:AR$15,MATCH($I224,$I$12:$I$15,0)),$AW$17:$AW$148)</f>
        <v>#REF!</v>
      </c>
      <c r="AS225" s="440"/>
      <c r="AW225" s="223"/>
    </row>
    <row r="226" spans="1:49" s="166" customFormat="1" ht="18" customHeight="1">
      <c r="A226" s="482"/>
      <c r="B226" s="481"/>
      <c r="C226" s="458"/>
      <c r="D226" s="458" t="s">
        <v>262</v>
      </c>
      <c r="E226" s="212"/>
      <c r="F226" s="458" t="str">
        <f>F224</f>
        <v>Piping</v>
      </c>
      <c r="G226" s="458" t="str">
        <f>G224</f>
        <v>N</v>
      </c>
      <c r="H226" s="451"/>
      <c r="I226" s="212" t="str">
        <f>I224</f>
        <v>LD</v>
      </c>
      <c r="J226" s="249" t="s">
        <v>70</v>
      </c>
      <c r="K226" s="212"/>
      <c r="L226" s="212"/>
      <c r="M226" s="212"/>
      <c r="N226" s="212"/>
      <c r="O226" s="212"/>
      <c r="P226" s="226"/>
      <c r="Q226" s="227"/>
      <c r="R226" s="212"/>
      <c r="S226" s="212"/>
      <c r="T226" s="212"/>
      <c r="U226" s="212"/>
      <c r="V226" s="212"/>
      <c r="W226" s="228"/>
      <c r="X226" s="212"/>
      <c r="Y226" s="448"/>
      <c r="Z226" s="443"/>
      <c r="AA226" s="443"/>
      <c r="AB226" s="442"/>
      <c r="AC226" s="229">
        <f>IF(ISERROR(LOOKUP(AC$16,$L226:$X226,#REF!)),0,(LOOKUP(AC$16,$L226:$X226,#REF!)))</f>
        <v>0</v>
      </c>
      <c r="AD226" s="230">
        <f>IF(ISERROR(LOOKUP(AD$16,$L226:$X226,#REF!)),0,(LOOKUP(AD$16,$L226:$X226,#REF!)))</f>
        <v>0</v>
      </c>
      <c r="AE226" s="230">
        <f>IF(ISERROR(LOOKUP(AE$16,$L226:$X226,#REF!)),0,(LOOKUP(AE$16,$L226:$X226,#REF!)))</f>
        <v>0</v>
      </c>
      <c r="AF226" s="230">
        <f>IF(ISERROR(LOOKUP(AF$16,$L226:$X226,#REF!)),0,(LOOKUP(AF$16,$L226:$X226,#REF!)))</f>
        <v>0</v>
      </c>
      <c r="AG226" s="230">
        <f>IF(ISERROR(LOOKUP(AG$16,$L226:$X226,#REF!)),0,(LOOKUP(AG$16,$L226:$X226,#REF!)))</f>
        <v>0</v>
      </c>
      <c r="AH226" s="230">
        <f>IF(ISERROR(LOOKUP(AH$16,$L226:$X226,#REF!)),0,(LOOKUP(AH$16,$L226:$X226,#REF!)))</f>
        <v>0</v>
      </c>
      <c r="AI226" s="230">
        <f>IF(ISERROR(LOOKUP(AI$16,$L226:$X226,#REF!)),0,(LOOKUP(AI$16,$L226:$X226,#REF!)))</f>
        <v>0</v>
      </c>
      <c r="AJ226" s="230">
        <f>IF(ISERROR(LOOKUP(AJ$16,$L226:$X226,#REF!)),0,(LOOKUP(AJ$16,$L226:$X226,#REF!)))</f>
        <v>0</v>
      </c>
      <c r="AK226" s="230">
        <f>IF(ISERROR(LOOKUP(AK$16,$L226:$X226,#REF!)),0,(LOOKUP(AK$16,$L226:$X226,#REF!)))</f>
        <v>0</v>
      </c>
      <c r="AL226" s="230">
        <f>IF(ISERROR(LOOKUP(AL$16,$L226:$X226,#REF!)),0,(LOOKUP(AL$16,$L226:$X226,#REF!)))</f>
        <v>0</v>
      </c>
      <c r="AM226" s="230">
        <f ca="1">IF(ISERROR(LOOKUP(AM$16,$L226:$X226,#REF!)),0,(LOOKUP(AM$16,$L226:$X226,#REF!)))</f>
        <v>0</v>
      </c>
      <c r="AP226" s="248"/>
      <c r="AQ226" s="248"/>
      <c r="AR226" s="248"/>
      <c r="AS226" s="440"/>
      <c r="AW226" s="223"/>
    </row>
    <row r="227" spans="1:49" s="166" customFormat="1" ht="18" customHeight="1">
      <c r="A227" s="482"/>
      <c r="B227" s="479"/>
      <c r="C227" s="458"/>
      <c r="D227" s="458" t="s">
        <v>4815</v>
      </c>
      <c r="E227" s="212"/>
      <c r="F227" s="458" t="s">
        <v>86</v>
      </c>
      <c r="G227" s="458" t="s">
        <v>75</v>
      </c>
      <c r="H227" s="449"/>
      <c r="I227" s="212" t="s">
        <v>9</v>
      </c>
      <c r="J227" s="249" t="s">
        <v>4732</v>
      </c>
      <c r="K227" s="215">
        <f>WORKDAY(L227,-INDEX(L$12:L$15,MATCH($I227,$I$12:$I$15,0)))</f>
        <v>46169</v>
      </c>
      <c r="L227" s="215">
        <f>WORKDAY(M227,-INDEX(M$12:M$15,MATCH($I227,$I$12:$I$15,0)))</f>
        <v>46174</v>
      </c>
      <c r="M227" s="215">
        <f>WORKDAY(N227,-INDEX(N$12:N$15,MATCH($I227,$I$12:$I$15,0)))</f>
        <v>46181</v>
      </c>
      <c r="N227" s="215">
        <f>WORKDAY(O227,-INDEX(O$12:O$15,MATCH($I227,$I$12:$I$15,0)))</f>
        <v>46182</v>
      </c>
      <c r="O227" s="215">
        <f>WORKDAY(R227,-INDEX(R$12:R$15,MATCH($I227,$I$12:$I$15,0)))</f>
        <v>46185</v>
      </c>
      <c r="P227" s="216">
        <f>U227-L227</f>
        <v>38</v>
      </c>
      <c r="Q227" s="217"/>
      <c r="R227" s="215">
        <f>WORKDAY(S227,-INDEX(S$12:S$15,MATCH($I227,$I$12:$I$15,0)))</f>
        <v>46192</v>
      </c>
      <c r="S227" s="215">
        <f>WORKDAY(T227,-INDEX(T$12:T$15,MATCH($I227,$I$12:$I$15,0)))</f>
        <v>46203</v>
      </c>
      <c r="T227" s="215">
        <f>WORKDAY(U227,-INDEX(U$12:U$15,MATCH($I227,$I$12:$I$15,0)))</f>
        <v>46205</v>
      </c>
      <c r="U227" s="215">
        <f>X227-Y227</f>
        <v>46212</v>
      </c>
      <c r="V227" s="215">
        <f>WORKDAY(U227,INDEX(V$12:V$15,MATCH($I227,$I$12:$I$15,0)))</f>
        <v>46216</v>
      </c>
      <c r="W227" s="218">
        <f>Y227/7</f>
        <v>24.285714285714299</v>
      </c>
      <c r="X227" s="215">
        <f>Z227</f>
        <v>46382</v>
      </c>
      <c r="Y227" s="448">
        <v>170</v>
      </c>
      <c r="Z227" s="443">
        <v>46382</v>
      </c>
      <c r="AA227" s="443">
        <v>46538</v>
      </c>
      <c r="AB227" s="442">
        <f>Z227-X228</f>
        <v>0</v>
      </c>
      <c r="AC227" s="220">
        <f>IF(ISERROR(LOOKUP(AC$16,$L227:$X227,#REF!)),0,(LOOKUP(AC$16,$L227:$X227,#REF!)))</f>
        <v>0</v>
      </c>
      <c r="AD227" s="221">
        <f>IF(ISERROR(LOOKUP(AD$16,$L227:$X227,#REF!)),0,(LOOKUP(AD$16,$L227:$X227,#REF!)))</f>
        <v>0</v>
      </c>
      <c r="AE227" s="221">
        <f>IF(ISERROR(LOOKUP(AE$16,$L227:$X227,#REF!)),0,(LOOKUP(AE$16,$L227:$X227,#REF!)))</f>
        <v>0</v>
      </c>
      <c r="AF227" s="221">
        <f>IF(ISERROR(LOOKUP(AF$16,$L227:$X227,#REF!)),0,(LOOKUP(AF$16,$L227:$X227,#REF!)))</f>
        <v>0</v>
      </c>
      <c r="AG227" s="221">
        <f>IF(ISERROR(LOOKUP(AG$16,$L227:$X227,#REF!)),0,(LOOKUP(AG$16,$L227:$X227,#REF!)))</f>
        <v>0</v>
      </c>
      <c r="AH227" s="221">
        <f>IF(ISERROR(LOOKUP(AH$16,$L227:$X227,#REF!)),0,(LOOKUP(AH$16,$L227:$X227,#REF!)))</f>
        <v>0</v>
      </c>
      <c r="AI227" s="221">
        <f>IF(ISERROR(LOOKUP(AI$16,$L227:$X227,#REF!)),0,(LOOKUP(AI$16,$L227:$X227,#REF!)))</f>
        <v>0</v>
      </c>
      <c r="AJ227" s="221">
        <f>IF(ISERROR(LOOKUP(AJ$16,$L227:$X227,#REF!)),0,(LOOKUP(AJ$16,$L227:$X227,#REF!)))</f>
        <v>0</v>
      </c>
      <c r="AK227" s="221">
        <f>IF(ISERROR(LOOKUP(AK$16,$L227:$X227,#REF!)),0,(LOOKUP(AK$16,$L227:$X227,#REF!)))</f>
        <v>0</v>
      </c>
      <c r="AL227" s="221">
        <f>IF(ISERROR(LOOKUP(AL$16,$L227:$X227,#REF!)),0,(LOOKUP(AL$16,$L227:$X227,#REF!)))</f>
        <v>0</v>
      </c>
      <c r="AM227" s="221">
        <f ca="1">IF(ISERROR(LOOKUP(AM$16,$L227:$X227,#REF!)),0,(LOOKUP(AM$16,$L227:$X227,#REF!)))</f>
        <v>0</v>
      </c>
      <c r="AP227" s="215" t="e">
        <f>WORKDAY(AQ227,-INDEX(AQ$12:AQ$15,MATCH($I227,$I$12:$I$15,0)),$AW$17:$AW$148)</f>
        <v>#REF!</v>
      </c>
      <c r="AQ227" s="215" t="e">
        <f>WORKDAY(U227,-INDEX(U$12:U$15,MATCH($I227,$I$12:$I$15,0)),$AW$17:$AW$148)</f>
        <v>#REF!</v>
      </c>
      <c r="AR227" s="215" t="e">
        <f>WORKDAY(U227,-INDEX(U$12:U$15,MATCH($I227,$I$12:$I$15,0)),$AW$17:$AW$148)</f>
        <v>#REF!</v>
      </c>
      <c r="AS227" s="440">
        <v>7</v>
      </c>
      <c r="AW227" s="223"/>
    </row>
    <row r="228" spans="1:49" s="166" customFormat="1" ht="18" customHeight="1">
      <c r="A228" s="482"/>
      <c r="B228" s="480"/>
      <c r="C228" s="458"/>
      <c r="D228" s="458" t="s">
        <v>4815</v>
      </c>
      <c r="E228" s="212"/>
      <c r="F228" s="458" t="str">
        <f>F227</f>
        <v>Piping</v>
      </c>
      <c r="G228" s="458" t="str">
        <f>G227</f>
        <v>N</v>
      </c>
      <c r="H228" s="450"/>
      <c r="I228" s="212" t="str">
        <f>I227</f>
        <v>LD</v>
      </c>
      <c r="J228" s="249" t="s">
        <v>68</v>
      </c>
      <c r="K228" s="215">
        <f>K227</f>
        <v>46169</v>
      </c>
      <c r="L228" s="215">
        <f>WORKDAY(IF(K229="",K228,K229),INDEX(L$12:L$15,MATCH($I227,$I$12:$I$15,0)))</f>
        <v>46174</v>
      </c>
      <c r="M228" s="215">
        <f>WORKDAY(IF(L229="",L228,L229),INDEX(M$12:M$15,MATCH($I227,$I$12:$I$15,0)))</f>
        <v>46181</v>
      </c>
      <c r="N228" s="215">
        <f>WORKDAY(IF(M229="",M228,M229),INDEX(N$12:N$15,MATCH($I227,$I$12:$I$15,0)))</f>
        <v>46182</v>
      </c>
      <c r="O228" s="215">
        <f>WORKDAY(IF(N229="",N228,N229),INDEX(O$12:O$15,MATCH($I227,$I$12:$I$15,0)))</f>
        <v>46185</v>
      </c>
      <c r="P228" s="216"/>
      <c r="Q228" s="217"/>
      <c r="R228" s="215">
        <f>WORKDAY(IF(O229="",O228,O229),INDEX(R$12:R$15,MATCH($I227,$I$12:$I$15,0)))</f>
        <v>46192</v>
      </c>
      <c r="S228" s="215">
        <f>WORKDAY(IF(R229="",R228,R229),INDEX(S$12:S$15,MATCH($I227,$I$12:$I$15,0)))</f>
        <v>46203</v>
      </c>
      <c r="T228" s="215">
        <f>WORKDAY(IF(S229="",S228,S229),INDEX(T$12:T$15,MATCH($I227,$I$12:$I$15,0)))</f>
        <v>46205</v>
      </c>
      <c r="U228" s="215">
        <f>WORKDAY(IF(T229="",T228,T229),INDEX(U$12:U$15,MATCH($I227,$I$12:$I$15,0)))</f>
        <v>46212</v>
      </c>
      <c r="V228" s="215">
        <f>WORKDAY(IF(U229="",U228,U229),INDEX(V$12:V$15,MATCH($I227,$I$12:$I$15,0)))</f>
        <v>46216</v>
      </c>
      <c r="W228" s="218"/>
      <c r="X228" s="215">
        <f>U228+Y227</f>
        <v>46382</v>
      </c>
      <c r="Y228" s="448"/>
      <c r="Z228" s="443"/>
      <c r="AA228" s="443"/>
      <c r="AB228" s="442"/>
      <c r="AC228" s="220">
        <f>IF(ISERROR(LOOKUP(AC$16,$L228:$X228,#REF!)),0,(LOOKUP(AC$16,$L228:$X228,#REF!)))</f>
        <v>0</v>
      </c>
      <c r="AD228" s="221">
        <f>IF(ISERROR(LOOKUP(AD$16,$L228:$X228,#REF!)),0,(LOOKUP(AD$16,$L228:$X228,#REF!)))</f>
        <v>0</v>
      </c>
      <c r="AE228" s="221">
        <f>IF(ISERROR(LOOKUP(AE$16,$L228:$X228,#REF!)),0,(LOOKUP(AE$16,$L228:$X228,#REF!)))</f>
        <v>0</v>
      </c>
      <c r="AF228" s="221">
        <f>IF(ISERROR(LOOKUP(AF$16,$L228:$X228,#REF!)),0,(LOOKUP(AF$16,$L228:$X228,#REF!)))</f>
        <v>0</v>
      </c>
      <c r="AG228" s="221">
        <f>IF(ISERROR(LOOKUP(AG$16,$L228:$X228,#REF!)),0,(LOOKUP(AG$16,$L228:$X228,#REF!)))</f>
        <v>0</v>
      </c>
      <c r="AH228" s="221">
        <f>IF(ISERROR(LOOKUP(AH$16,$L228:$X228,#REF!)),0,(LOOKUP(AH$16,$L228:$X228,#REF!)))</f>
        <v>0</v>
      </c>
      <c r="AI228" s="221">
        <f>IF(ISERROR(LOOKUP(AI$16,$L228:$X228,#REF!)),0,(LOOKUP(AI$16,$L228:$X228,#REF!)))</f>
        <v>0</v>
      </c>
      <c r="AJ228" s="221">
        <f>IF(ISERROR(LOOKUP(AJ$16,$L228:$X228,#REF!)),0,(LOOKUP(AJ$16,$L228:$X228,#REF!)))</f>
        <v>0</v>
      </c>
      <c r="AK228" s="221">
        <f>IF(ISERROR(LOOKUP(AK$16,$L228:$X228,#REF!)),0,(LOOKUP(AK$16,$L228:$X228,#REF!)))</f>
        <v>0</v>
      </c>
      <c r="AL228" s="221">
        <f>IF(ISERROR(LOOKUP(AL$16,$L228:$X228,#REF!)),0,(LOOKUP(AL$16,$L228:$X228,#REF!)))</f>
        <v>0</v>
      </c>
      <c r="AM228" s="221">
        <f ca="1">IF(ISERROR(LOOKUP(AM$16,$L228:$X228,#REF!)),0,(LOOKUP(AM$16,$L228:$X228,#REF!)))</f>
        <v>0</v>
      </c>
      <c r="AP228" s="215" t="e">
        <f>WORKDAY(IF(T229="",T228,T229),INDEX(AP$12:AP$15,MATCH($I227,$I$12:$I$15,0)),$AW$17:$AW$148)</f>
        <v>#REF!</v>
      </c>
      <c r="AQ228" s="215" t="e">
        <f>WORKDAY(IF(AP229="",AP228,AP229),INDEX(AQ$12:AQ$15,MATCH($I227,$I$12:$I$15,0)),$AW$17:$AW$148)</f>
        <v>#REF!</v>
      </c>
      <c r="AR228" s="215" t="e">
        <f>WORKDAY(IF(AQ229="",AQ228,AQ229),INDEX(AR$12:AR$15,MATCH($I227,$I$12:$I$15,0)),$AW$17:$AW$148)</f>
        <v>#REF!</v>
      </c>
      <c r="AS228" s="440"/>
      <c r="AW228" s="223"/>
    </row>
    <row r="229" spans="1:49" s="166" customFormat="1" ht="18" customHeight="1">
      <c r="A229" s="482"/>
      <c r="B229" s="481"/>
      <c r="C229" s="458"/>
      <c r="D229" s="458" t="s">
        <v>4815</v>
      </c>
      <c r="E229" s="212"/>
      <c r="F229" s="458" t="str">
        <f>F227</f>
        <v>Piping</v>
      </c>
      <c r="G229" s="458" t="str">
        <f>G227</f>
        <v>N</v>
      </c>
      <c r="H229" s="451"/>
      <c r="I229" s="212" t="str">
        <f>I227</f>
        <v>LD</v>
      </c>
      <c r="J229" s="249" t="s">
        <v>70</v>
      </c>
      <c r="K229" s="212"/>
      <c r="L229" s="212"/>
      <c r="M229" s="212"/>
      <c r="N229" s="212"/>
      <c r="O229" s="212"/>
      <c r="P229" s="226"/>
      <c r="Q229" s="227"/>
      <c r="R229" s="212"/>
      <c r="S229" s="212"/>
      <c r="T229" s="212"/>
      <c r="U229" s="212"/>
      <c r="V229" s="212"/>
      <c r="W229" s="228"/>
      <c r="X229" s="212"/>
      <c r="Y229" s="448"/>
      <c r="Z229" s="443"/>
      <c r="AA229" s="443"/>
      <c r="AB229" s="442"/>
      <c r="AC229" s="229">
        <f>IF(ISERROR(LOOKUP(AC$16,$L229:$X229,#REF!)),0,(LOOKUP(AC$16,$L229:$X229,#REF!)))</f>
        <v>0</v>
      </c>
      <c r="AD229" s="230">
        <f>IF(ISERROR(LOOKUP(AD$16,$L229:$X229,#REF!)),0,(LOOKUP(AD$16,$L229:$X229,#REF!)))</f>
        <v>0</v>
      </c>
      <c r="AE229" s="230">
        <f>IF(ISERROR(LOOKUP(AE$16,$L229:$X229,#REF!)),0,(LOOKUP(AE$16,$L229:$X229,#REF!)))</f>
        <v>0</v>
      </c>
      <c r="AF229" s="230">
        <f>IF(ISERROR(LOOKUP(AF$16,$L229:$X229,#REF!)),0,(LOOKUP(AF$16,$L229:$X229,#REF!)))</f>
        <v>0</v>
      </c>
      <c r="AG229" s="230">
        <f>IF(ISERROR(LOOKUP(AG$16,$L229:$X229,#REF!)),0,(LOOKUP(AG$16,$L229:$X229,#REF!)))</f>
        <v>0</v>
      </c>
      <c r="AH229" s="230">
        <f>IF(ISERROR(LOOKUP(AH$16,$L229:$X229,#REF!)),0,(LOOKUP(AH$16,$L229:$X229,#REF!)))</f>
        <v>0</v>
      </c>
      <c r="AI229" s="230">
        <f>IF(ISERROR(LOOKUP(AI$16,$L229:$X229,#REF!)),0,(LOOKUP(AI$16,$L229:$X229,#REF!)))</f>
        <v>0</v>
      </c>
      <c r="AJ229" s="230">
        <f>IF(ISERROR(LOOKUP(AJ$16,$L229:$X229,#REF!)),0,(LOOKUP(AJ$16,$L229:$X229,#REF!)))</f>
        <v>0</v>
      </c>
      <c r="AK229" s="230">
        <f>IF(ISERROR(LOOKUP(AK$16,$L229:$X229,#REF!)),0,(LOOKUP(AK$16,$L229:$X229,#REF!)))</f>
        <v>0</v>
      </c>
      <c r="AL229" s="230">
        <f>IF(ISERROR(LOOKUP(AL$16,$L229:$X229,#REF!)),0,(LOOKUP(AL$16,$L229:$X229,#REF!)))</f>
        <v>0</v>
      </c>
      <c r="AM229" s="230">
        <f ca="1">IF(ISERROR(LOOKUP(AM$16,$L229:$X229,#REF!)),0,(LOOKUP(AM$16,$L229:$X229,#REF!)))</f>
        <v>0</v>
      </c>
      <c r="AP229" s="248"/>
      <c r="AQ229" s="248"/>
      <c r="AR229" s="248"/>
      <c r="AS229" s="440"/>
      <c r="AW229" s="223"/>
    </row>
    <row r="230" spans="1:49" s="166" customFormat="1" ht="18" customHeight="1">
      <c r="A230" s="482"/>
      <c r="B230" s="479"/>
      <c r="C230" s="458"/>
      <c r="D230" s="458" t="s">
        <v>4816</v>
      </c>
      <c r="E230" s="212"/>
      <c r="F230" s="458" t="s">
        <v>86</v>
      </c>
      <c r="G230" s="458" t="s">
        <v>75</v>
      </c>
      <c r="H230" s="449"/>
      <c r="I230" s="212" t="s">
        <v>9</v>
      </c>
      <c r="J230" s="249" t="s">
        <v>4732</v>
      </c>
      <c r="K230" s="215">
        <f>WORKDAY(L230,-INDEX(L$12:L$15,MATCH($I230,$I$12:$I$15,0)))</f>
        <v>46248</v>
      </c>
      <c r="L230" s="215">
        <f>WORKDAY(M230,-INDEX(M$12:M$15,MATCH($I230,$I$12:$I$15,0)))</f>
        <v>46253</v>
      </c>
      <c r="M230" s="215">
        <f>WORKDAY(N230,-INDEX(N$12:N$15,MATCH($I230,$I$12:$I$15,0)))</f>
        <v>46260</v>
      </c>
      <c r="N230" s="215">
        <f>WORKDAY(O230,-INDEX(O$12:O$15,MATCH($I230,$I$12:$I$15,0)))</f>
        <v>46261</v>
      </c>
      <c r="O230" s="215">
        <f>WORKDAY(R230,-INDEX(R$12:R$15,MATCH($I230,$I$12:$I$15,0)))</f>
        <v>46266</v>
      </c>
      <c r="P230" s="216">
        <f>U230-L230</f>
        <v>39</v>
      </c>
      <c r="Q230" s="217"/>
      <c r="R230" s="215">
        <f>WORKDAY(S230,-INDEX(S$12:S$15,MATCH($I230,$I$12:$I$15,0)))</f>
        <v>46273</v>
      </c>
      <c r="S230" s="215">
        <f>WORKDAY(T230,-INDEX(T$12:T$15,MATCH($I230,$I$12:$I$15,0)))</f>
        <v>46282</v>
      </c>
      <c r="T230" s="215">
        <f>WORKDAY(U230,-INDEX(U$12:U$15,MATCH($I230,$I$12:$I$15,0)))</f>
        <v>46286</v>
      </c>
      <c r="U230" s="215">
        <f>X230-Y230</f>
        <v>46292</v>
      </c>
      <c r="V230" s="215">
        <f>WORKDAY(U230,INDEX(V$12:V$15,MATCH($I230,$I$12:$I$15,0)))</f>
        <v>46294</v>
      </c>
      <c r="W230" s="218">
        <f>Y230/7</f>
        <v>12.8571428571429</v>
      </c>
      <c r="X230" s="215">
        <f>Z230</f>
        <v>46382</v>
      </c>
      <c r="Y230" s="448">
        <v>90</v>
      </c>
      <c r="Z230" s="443">
        <v>46382</v>
      </c>
      <c r="AA230" s="443">
        <v>46538</v>
      </c>
      <c r="AB230" s="442">
        <f>Z230-X231</f>
        <v>0</v>
      </c>
      <c r="AC230" s="220">
        <f>IF(ISERROR(LOOKUP(AC$16,$L230:$X230,#REF!)),0,(LOOKUP(AC$16,$L230:$X230,#REF!)))</f>
        <v>0</v>
      </c>
      <c r="AD230" s="221">
        <f>IF(ISERROR(LOOKUP(AD$16,$L230:$X230,#REF!)),0,(LOOKUP(AD$16,$L230:$X230,#REF!)))</f>
        <v>0</v>
      </c>
      <c r="AE230" s="221">
        <f>IF(ISERROR(LOOKUP(AE$16,$L230:$X230,#REF!)),0,(LOOKUP(AE$16,$L230:$X230,#REF!)))</f>
        <v>0</v>
      </c>
      <c r="AF230" s="221">
        <f>IF(ISERROR(LOOKUP(AF$16,$L230:$X230,#REF!)),0,(LOOKUP(AF$16,$L230:$X230,#REF!)))</f>
        <v>0</v>
      </c>
      <c r="AG230" s="221">
        <f>IF(ISERROR(LOOKUP(AG$16,$L230:$X230,#REF!)),0,(LOOKUP(AG$16,$L230:$X230,#REF!)))</f>
        <v>0</v>
      </c>
      <c r="AH230" s="221">
        <f>IF(ISERROR(LOOKUP(AH$16,$L230:$X230,#REF!)),0,(LOOKUP(AH$16,$L230:$X230,#REF!)))</f>
        <v>0</v>
      </c>
      <c r="AI230" s="221">
        <f>IF(ISERROR(LOOKUP(AI$16,$L230:$X230,#REF!)),0,(LOOKUP(AI$16,$L230:$X230,#REF!)))</f>
        <v>0</v>
      </c>
      <c r="AJ230" s="221">
        <f>IF(ISERROR(LOOKUP(AJ$16,$L230:$X230,#REF!)),0,(LOOKUP(AJ$16,$L230:$X230,#REF!)))</f>
        <v>0</v>
      </c>
      <c r="AK230" s="221">
        <f>IF(ISERROR(LOOKUP(AK$16,$L230:$X230,#REF!)),0,(LOOKUP(AK$16,$L230:$X230,#REF!)))</f>
        <v>0</v>
      </c>
      <c r="AL230" s="221">
        <f>IF(ISERROR(LOOKUP(AL$16,$L230:$X230,#REF!)),0,(LOOKUP(AL$16,$L230:$X230,#REF!)))</f>
        <v>0</v>
      </c>
      <c r="AM230" s="221">
        <f ca="1">IF(ISERROR(LOOKUP(AM$16,$L230:$X230,#REF!)),0,(LOOKUP(AM$16,$L230:$X230,#REF!)))</f>
        <v>0</v>
      </c>
      <c r="AP230" s="215" t="e">
        <f>WORKDAY(AQ230,-INDEX(AQ$12:AQ$15,MATCH($I230,$I$12:$I$15,0)),$AW$17:$AW$148)</f>
        <v>#REF!</v>
      </c>
      <c r="AQ230" s="215" t="e">
        <f>WORKDAY(U230,-INDEX(U$12:U$15,MATCH($I230,$I$12:$I$15,0)),$AW$17:$AW$148)</f>
        <v>#REF!</v>
      </c>
      <c r="AR230" s="215" t="e">
        <f>WORKDAY(U230,-INDEX(U$12:U$15,MATCH($I230,$I$12:$I$15,0)),$AW$17:$AW$148)</f>
        <v>#REF!</v>
      </c>
      <c r="AS230" s="440">
        <v>7</v>
      </c>
      <c r="AW230" s="223"/>
    </row>
    <row r="231" spans="1:49" s="166" customFormat="1" ht="18" customHeight="1">
      <c r="A231" s="482"/>
      <c r="B231" s="480"/>
      <c r="C231" s="458"/>
      <c r="D231" s="458" t="s">
        <v>4816</v>
      </c>
      <c r="E231" s="212"/>
      <c r="F231" s="458" t="str">
        <f>F230</f>
        <v>Piping</v>
      </c>
      <c r="G231" s="458" t="str">
        <f>G230</f>
        <v>N</v>
      </c>
      <c r="H231" s="450"/>
      <c r="I231" s="212" t="str">
        <f>I230</f>
        <v>LD</v>
      </c>
      <c r="J231" s="249" t="s">
        <v>68</v>
      </c>
      <c r="K231" s="215">
        <f>K230</f>
        <v>46248</v>
      </c>
      <c r="L231" s="215">
        <f>WORKDAY(IF(K232="",K231,K232),INDEX(L$12:L$15,MATCH($I230,$I$12:$I$15,0)))</f>
        <v>46253</v>
      </c>
      <c r="M231" s="215">
        <f>WORKDAY(IF(L232="",L231,L232),INDEX(M$12:M$15,MATCH($I230,$I$12:$I$15,0)))</f>
        <v>46260</v>
      </c>
      <c r="N231" s="215">
        <f>WORKDAY(IF(M232="",M231,M232),INDEX(N$12:N$15,MATCH($I230,$I$12:$I$15,0)))</f>
        <v>46261</v>
      </c>
      <c r="O231" s="215">
        <f>WORKDAY(IF(N232="",N231,N232),INDEX(O$12:O$15,MATCH($I230,$I$12:$I$15,0)))</f>
        <v>46266</v>
      </c>
      <c r="P231" s="216"/>
      <c r="Q231" s="217"/>
      <c r="R231" s="215">
        <f>WORKDAY(IF(O232="",O231,O232),INDEX(R$12:R$15,MATCH($I230,$I$12:$I$15,0)))</f>
        <v>46273</v>
      </c>
      <c r="S231" s="215">
        <f>WORKDAY(IF(R232="",R231,R232),INDEX(S$12:S$15,MATCH($I230,$I$12:$I$15,0)))</f>
        <v>46282</v>
      </c>
      <c r="T231" s="215">
        <f>WORKDAY(IF(S232="",S231,S232),INDEX(T$12:T$15,MATCH($I230,$I$12:$I$15,0)))</f>
        <v>46286</v>
      </c>
      <c r="U231" s="215">
        <f>WORKDAY(IF(T232="",T231,T232),INDEX(U$12:U$15,MATCH($I230,$I$12:$I$15,0)))-1</f>
        <v>46292</v>
      </c>
      <c r="V231" s="215">
        <f>WORKDAY(IF(U232="",U231,U232),INDEX(V$12:V$15,MATCH($I230,$I$12:$I$15,0)))</f>
        <v>46294</v>
      </c>
      <c r="W231" s="218"/>
      <c r="X231" s="215">
        <f>U231+Y230</f>
        <v>46382</v>
      </c>
      <c r="Y231" s="448"/>
      <c r="Z231" s="443"/>
      <c r="AA231" s="443"/>
      <c r="AB231" s="442"/>
      <c r="AC231" s="220">
        <f>IF(ISERROR(LOOKUP(AC$16,$L231:$X231,#REF!)),0,(LOOKUP(AC$16,$L231:$X231,#REF!)))</f>
        <v>0</v>
      </c>
      <c r="AD231" s="221">
        <f>IF(ISERROR(LOOKUP(AD$16,$L231:$X231,#REF!)),0,(LOOKUP(AD$16,$L231:$X231,#REF!)))</f>
        <v>0</v>
      </c>
      <c r="AE231" s="221">
        <f>IF(ISERROR(LOOKUP(AE$16,$L231:$X231,#REF!)),0,(LOOKUP(AE$16,$L231:$X231,#REF!)))</f>
        <v>0</v>
      </c>
      <c r="AF231" s="221">
        <f>IF(ISERROR(LOOKUP(AF$16,$L231:$X231,#REF!)),0,(LOOKUP(AF$16,$L231:$X231,#REF!)))</f>
        <v>0</v>
      </c>
      <c r="AG231" s="221">
        <f>IF(ISERROR(LOOKUP(AG$16,$L231:$X231,#REF!)),0,(LOOKUP(AG$16,$L231:$X231,#REF!)))</f>
        <v>0</v>
      </c>
      <c r="AH231" s="221">
        <f>IF(ISERROR(LOOKUP(AH$16,$L231:$X231,#REF!)),0,(LOOKUP(AH$16,$L231:$X231,#REF!)))</f>
        <v>0</v>
      </c>
      <c r="AI231" s="221">
        <f>IF(ISERROR(LOOKUP(AI$16,$L231:$X231,#REF!)),0,(LOOKUP(AI$16,$L231:$X231,#REF!)))</f>
        <v>0</v>
      </c>
      <c r="AJ231" s="221">
        <f>IF(ISERROR(LOOKUP(AJ$16,$L231:$X231,#REF!)),0,(LOOKUP(AJ$16,$L231:$X231,#REF!)))</f>
        <v>0</v>
      </c>
      <c r="AK231" s="221">
        <f>IF(ISERROR(LOOKUP(AK$16,$L231:$X231,#REF!)),0,(LOOKUP(AK$16,$L231:$X231,#REF!)))</f>
        <v>0</v>
      </c>
      <c r="AL231" s="221">
        <f>IF(ISERROR(LOOKUP(AL$16,$L231:$X231,#REF!)),0,(LOOKUP(AL$16,$L231:$X231,#REF!)))</f>
        <v>0</v>
      </c>
      <c r="AM231" s="221">
        <f ca="1">IF(ISERROR(LOOKUP(AM$16,$L231:$X231,#REF!)),0,(LOOKUP(AM$16,$L231:$X231,#REF!)))</f>
        <v>0</v>
      </c>
      <c r="AP231" s="215" t="e">
        <f>WORKDAY(IF(T232="",T231,T232),INDEX(AP$12:AP$15,MATCH($I230,$I$12:$I$15,0)),$AW$17:$AW$148)</f>
        <v>#REF!</v>
      </c>
      <c r="AQ231" s="215" t="e">
        <f>WORKDAY(IF(AP232="",AP231,AP232),INDEX(AQ$12:AQ$15,MATCH($I230,$I$12:$I$15,0)),$AW$17:$AW$148)</f>
        <v>#REF!</v>
      </c>
      <c r="AR231" s="215" t="e">
        <f>WORKDAY(IF(AQ232="",AQ231,AQ232),INDEX(AR$12:AR$15,MATCH($I230,$I$12:$I$15,0)),$AW$17:$AW$148)</f>
        <v>#REF!</v>
      </c>
      <c r="AS231" s="440"/>
      <c r="AW231" s="223"/>
    </row>
    <row r="232" spans="1:49" s="166" customFormat="1" ht="18" customHeight="1">
      <c r="A232" s="482"/>
      <c r="B232" s="481"/>
      <c r="C232" s="458"/>
      <c r="D232" s="458" t="s">
        <v>4816</v>
      </c>
      <c r="E232" s="212"/>
      <c r="F232" s="458" t="str">
        <f>F230</f>
        <v>Piping</v>
      </c>
      <c r="G232" s="458" t="str">
        <f>G230</f>
        <v>N</v>
      </c>
      <c r="H232" s="451"/>
      <c r="I232" s="212" t="str">
        <f>I230</f>
        <v>LD</v>
      </c>
      <c r="J232" s="249" t="s">
        <v>70</v>
      </c>
      <c r="K232" s="212"/>
      <c r="L232" s="212"/>
      <c r="M232" s="212"/>
      <c r="N232" s="212"/>
      <c r="O232" s="212"/>
      <c r="P232" s="226"/>
      <c r="Q232" s="227"/>
      <c r="R232" s="212"/>
      <c r="S232" s="212"/>
      <c r="T232" s="212"/>
      <c r="U232" s="212"/>
      <c r="V232" s="212"/>
      <c r="W232" s="228"/>
      <c r="X232" s="212"/>
      <c r="Y232" s="448"/>
      <c r="Z232" s="443"/>
      <c r="AA232" s="443"/>
      <c r="AB232" s="442"/>
      <c r="AC232" s="229">
        <f>IF(ISERROR(LOOKUP(AC$16,$L232:$X232,#REF!)),0,(LOOKUP(AC$16,$L232:$X232,#REF!)))</f>
        <v>0</v>
      </c>
      <c r="AD232" s="230">
        <f>IF(ISERROR(LOOKUP(AD$16,$L232:$X232,#REF!)),0,(LOOKUP(AD$16,$L232:$X232,#REF!)))</f>
        <v>0</v>
      </c>
      <c r="AE232" s="230">
        <f>IF(ISERROR(LOOKUP(AE$16,$L232:$X232,#REF!)),0,(LOOKUP(AE$16,$L232:$X232,#REF!)))</f>
        <v>0</v>
      </c>
      <c r="AF232" s="230">
        <f>IF(ISERROR(LOOKUP(AF$16,$L232:$X232,#REF!)),0,(LOOKUP(AF$16,$L232:$X232,#REF!)))</f>
        <v>0</v>
      </c>
      <c r="AG232" s="230">
        <f>IF(ISERROR(LOOKUP(AG$16,$L232:$X232,#REF!)),0,(LOOKUP(AG$16,$L232:$X232,#REF!)))</f>
        <v>0</v>
      </c>
      <c r="AH232" s="230">
        <f>IF(ISERROR(LOOKUP(AH$16,$L232:$X232,#REF!)),0,(LOOKUP(AH$16,$L232:$X232,#REF!)))</f>
        <v>0</v>
      </c>
      <c r="AI232" s="230">
        <f>IF(ISERROR(LOOKUP(AI$16,$L232:$X232,#REF!)),0,(LOOKUP(AI$16,$L232:$X232,#REF!)))</f>
        <v>0</v>
      </c>
      <c r="AJ232" s="230">
        <f>IF(ISERROR(LOOKUP(AJ$16,$L232:$X232,#REF!)),0,(LOOKUP(AJ$16,$L232:$X232,#REF!)))</f>
        <v>0</v>
      </c>
      <c r="AK232" s="230">
        <f>IF(ISERROR(LOOKUP(AK$16,$L232:$X232,#REF!)),0,(LOOKUP(AK$16,$L232:$X232,#REF!)))</f>
        <v>0</v>
      </c>
      <c r="AL232" s="230">
        <f>IF(ISERROR(LOOKUP(AL$16,$L232:$X232,#REF!)),0,(LOOKUP(AL$16,$L232:$X232,#REF!)))</f>
        <v>0</v>
      </c>
      <c r="AM232" s="230">
        <f ca="1">IF(ISERROR(LOOKUP(AM$16,$L232:$X232,#REF!)),0,(LOOKUP(AM$16,$L232:$X232,#REF!)))</f>
        <v>0</v>
      </c>
      <c r="AP232" s="248"/>
      <c r="AQ232" s="248"/>
      <c r="AR232" s="248"/>
      <c r="AS232" s="440"/>
      <c r="AW232" s="223"/>
    </row>
    <row r="233" spans="1:49" s="166" customFormat="1" ht="18" customHeight="1">
      <c r="A233" s="482"/>
      <c r="B233" s="479"/>
      <c r="C233" s="458"/>
      <c r="D233" s="458" t="s">
        <v>268</v>
      </c>
      <c r="E233" s="212"/>
      <c r="F233" s="458" t="s">
        <v>86</v>
      </c>
      <c r="G233" s="458" t="s">
        <v>75</v>
      </c>
      <c r="H233" s="449"/>
      <c r="I233" s="212" t="s">
        <v>9</v>
      </c>
      <c r="J233" s="249" t="s">
        <v>4732</v>
      </c>
      <c r="K233" s="215">
        <f>WORKDAY(L233,-INDEX(L$12:L$15,MATCH($I233,$I$12:$I$15,0)))</f>
        <v>46248</v>
      </c>
      <c r="L233" s="215">
        <f>WORKDAY(M233,-INDEX(M$12:M$15,MATCH($I233,$I$12:$I$15,0)))</f>
        <v>46253</v>
      </c>
      <c r="M233" s="215">
        <f>WORKDAY(N233,-INDEX(N$12:N$15,MATCH($I233,$I$12:$I$15,0)))</f>
        <v>46260</v>
      </c>
      <c r="N233" s="215">
        <f>WORKDAY(O233,-INDEX(O$12:O$15,MATCH($I233,$I$12:$I$15,0)))</f>
        <v>46261</v>
      </c>
      <c r="O233" s="215">
        <f>WORKDAY(R233,-INDEX(R$12:R$15,MATCH($I233,$I$12:$I$15,0)))</f>
        <v>46266</v>
      </c>
      <c r="P233" s="216">
        <f>U233-L233</f>
        <v>39</v>
      </c>
      <c r="Q233" s="217"/>
      <c r="R233" s="215">
        <f>WORKDAY(S233,-INDEX(S$12:S$15,MATCH($I233,$I$12:$I$15,0)))</f>
        <v>46273</v>
      </c>
      <c r="S233" s="215">
        <f>WORKDAY(T233,-INDEX(T$12:T$15,MATCH($I233,$I$12:$I$15,0)))</f>
        <v>46282</v>
      </c>
      <c r="T233" s="215">
        <f>WORKDAY(U233,-INDEX(U$12:U$15,MATCH($I233,$I$12:$I$15,0)))</f>
        <v>46286</v>
      </c>
      <c r="U233" s="215">
        <f>X233-Y233</f>
        <v>46292</v>
      </c>
      <c r="V233" s="215">
        <f>WORKDAY(U233,INDEX(V$12:V$15,MATCH($I233,$I$12:$I$15,0)))</f>
        <v>46294</v>
      </c>
      <c r="W233" s="218">
        <f>Y233/7</f>
        <v>12.8571428571429</v>
      </c>
      <c r="X233" s="215">
        <f>Z233</f>
        <v>46382</v>
      </c>
      <c r="Y233" s="448">
        <v>90</v>
      </c>
      <c r="Z233" s="443">
        <v>46382</v>
      </c>
      <c r="AA233" s="443">
        <v>46538</v>
      </c>
      <c r="AB233" s="442">
        <f>Z233-X234</f>
        <v>0</v>
      </c>
      <c r="AC233" s="220">
        <f>IF(ISERROR(LOOKUP(AC$16,$L233:$X233,#REF!)),0,(LOOKUP(AC$16,$L233:$X233,#REF!)))</f>
        <v>0</v>
      </c>
      <c r="AD233" s="221">
        <f>IF(ISERROR(LOOKUP(AD$16,$L233:$X233,#REF!)),0,(LOOKUP(AD$16,$L233:$X233,#REF!)))</f>
        <v>0</v>
      </c>
      <c r="AE233" s="221">
        <f>IF(ISERROR(LOOKUP(AE$16,$L233:$X233,#REF!)),0,(LOOKUP(AE$16,$L233:$X233,#REF!)))</f>
        <v>0</v>
      </c>
      <c r="AF233" s="221">
        <f>IF(ISERROR(LOOKUP(AF$16,$L233:$X233,#REF!)),0,(LOOKUP(AF$16,$L233:$X233,#REF!)))</f>
        <v>0</v>
      </c>
      <c r="AG233" s="221">
        <f>IF(ISERROR(LOOKUP(AG$16,$L233:$X233,#REF!)),0,(LOOKUP(AG$16,$L233:$X233,#REF!)))</f>
        <v>0</v>
      </c>
      <c r="AH233" s="221">
        <f>IF(ISERROR(LOOKUP(AH$16,$L233:$X233,#REF!)),0,(LOOKUP(AH$16,$L233:$X233,#REF!)))</f>
        <v>0</v>
      </c>
      <c r="AI233" s="221">
        <f>IF(ISERROR(LOOKUP(AI$16,$L233:$X233,#REF!)),0,(LOOKUP(AI$16,$L233:$X233,#REF!)))</f>
        <v>0</v>
      </c>
      <c r="AJ233" s="221">
        <f>IF(ISERROR(LOOKUP(AJ$16,$L233:$X233,#REF!)),0,(LOOKUP(AJ$16,$L233:$X233,#REF!)))</f>
        <v>0</v>
      </c>
      <c r="AK233" s="221">
        <f>IF(ISERROR(LOOKUP(AK$16,$L233:$X233,#REF!)),0,(LOOKUP(AK$16,$L233:$X233,#REF!)))</f>
        <v>0</v>
      </c>
      <c r="AL233" s="221">
        <f>IF(ISERROR(LOOKUP(AL$16,$L233:$X233,#REF!)),0,(LOOKUP(AL$16,$L233:$X233,#REF!)))</f>
        <v>0</v>
      </c>
      <c r="AM233" s="221">
        <f ca="1">IF(ISERROR(LOOKUP(AM$16,$L233:$X233,#REF!)),0,(LOOKUP(AM$16,$L233:$X233,#REF!)))</f>
        <v>0</v>
      </c>
      <c r="AP233" s="215" t="e">
        <f>WORKDAY(AQ233,-INDEX(AQ$12:AQ$15,MATCH($I233,$I$12:$I$15,0)),$AW$17:$AW$148)</f>
        <v>#REF!</v>
      </c>
      <c r="AQ233" s="215" t="e">
        <f>WORKDAY(U233,-INDEX(U$12:U$15,MATCH($I233,$I$12:$I$15,0)),$AW$17:$AW$148)</f>
        <v>#REF!</v>
      </c>
      <c r="AR233" s="215" t="e">
        <f>WORKDAY(U233,-INDEX(U$12:U$15,MATCH($I233,$I$12:$I$15,0)),$AW$17:$AW$148)</f>
        <v>#REF!</v>
      </c>
      <c r="AS233" s="440">
        <v>7</v>
      </c>
      <c r="AW233" s="223"/>
    </row>
    <row r="234" spans="1:49" s="166" customFormat="1" ht="18" customHeight="1">
      <c r="A234" s="482"/>
      <c r="B234" s="480"/>
      <c r="C234" s="458"/>
      <c r="D234" s="458" t="s">
        <v>268</v>
      </c>
      <c r="E234" s="212"/>
      <c r="F234" s="458" t="str">
        <f>F233</f>
        <v>Piping</v>
      </c>
      <c r="G234" s="458" t="str">
        <f>G233</f>
        <v>N</v>
      </c>
      <c r="H234" s="450"/>
      <c r="I234" s="212" t="str">
        <f>I233</f>
        <v>LD</v>
      </c>
      <c r="J234" s="249" t="s">
        <v>68</v>
      </c>
      <c r="K234" s="215">
        <f>K233</f>
        <v>46248</v>
      </c>
      <c r="L234" s="215">
        <f>WORKDAY(IF(K235="",K234,K235),INDEX(L$12:L$15,MATCH($I233,$I$12:$I$15,0)))</f>
        <v>46253</v>
      </c>
      <c r="M234" s="215">
        <f>WORKDAY(IF(L235="",L234,L235),INDEX(M$12:M$15,MATCH($I233,$I$12:$I$15,0)))</f>
        <v>46260</v>
      </c>
      <c r="N234" s="215">
        <f>WORKDAY(IF(M235="",M234,M235),INDEX(N$12:N$15,MATCH($I233,$I$12:$I$15,0)))</f>
        <v>46261</v>
      </c>
      <c r="O234" s="215">
        <f>WORKDAY(IF(N235="",N234,N235),INDEX(O$12:O$15,MATCH($I233,$I$12:$I$15,0)))</f>
        <v>46266</v>
      </c>
      <c r="P234" s="216"/>
      <c r="Q234" s="217"/>
      <c r="R234" s="215">
        <f>WORKDAY(IF(O235="",O234,O235),INDEX(R$12:R$15,MATCH($I233,$I$12:$I$15,0)))</f>
        <v>46273</v>
      </c>
      <c r="S234" s="215">
        <f>WORKDAY(IF(R235="",R234,R235),INDEX(S$12:S$15,MATCH($I233,$I$12:$I$15,0)))</f>
        <v>46282</v>
      </c>
      <c r="T234" s="215">
        <f>WORKDAY(IF(S235="",S234,S235),INDEX(T$12:T$15,MATCH($I233,$I$12:$I$15,0)))</f>
        <v>46286</v>
      </c>
      <c r="U234" s="215">
        <f>WORKDAY(IF(T235="",T234,T235),INDEX(U$12:U$15,MATCH($I233,$I$12:$I$15,0)))-1</f>
        <v>46292</v>
      </c>
      <c r="V234" s="215">
        <f>WORKDAY(IF(U235="",U234,U235),INDEX(V$12:V$15,MATCH($I233,$I$12:$I$15,0)))</f>
        <v>46294</v>
      </c>
      <c r="W234" s="218"/>
      <c r="X234" s="215">
        <f>U234+Y233</f>
        <v>46382</v>
      </c>
      <c r="Y234" s="448"/>
      <c r="Z234" s="443"/>
      <c r="AA234" s="443"/>
      <c r="AB234" s="442"/>
      <c r="AC234" s="220">
        <f>IF(ISERROR(LOOKUP(AC$16,$L234:$X234,#REF!)),0,(LOOKUP(AC$16,$L234:$X234,#REF!)))</f>
        <v>0</v>
      </c>
      <c r="AD234" s="221">
        <f>IF(ISERROR(LOOKUP(AD$16,$L234:$X234,#REF!)),0,(LOOKUP(AD$16,$L234:$X234,#REF!)))</f>
        <v>0</v>
      </c>
      <c r="AE234" s="221">
        <f>IF(ISERROR(LOOKUP(AE$16,$L234:$X234,#REF!)),0,(LOOKUP(AE$16,$L234:$X234,#REF!)))</f>
        <v>0</v>
      </c>
      <c r="AF234" s="221">
        <f>IF(ISERROR(LOOKUP(AF$16,$L234:$X234,#REF!)),0,(LOOKUP(AF$16,$L234:$X234,#REF!)))</f>
        <v>0</v>
      </c>
      <c r="AG234" s="221">
        <f>IF(ISERROR(LOOKUP(AG$16,$L234:$X234,#REF!)),0,(LOOKUP(AG$16,$L234:$X234,#REF!)))</f>
        <v>0</v>
      </c>
      <c r="AH234" s="221">
        <f>IF(ISERROR(LOOKUP(AH$16,$L234:$X234,#REF!)),0,(LOOKUP(AH$16,$L234:$X234,#REF!)))</f>
        <v>0</v>
      </c>
      <c r="AI234" s="221">
        <f>IF(ISERROR(LOOKUP(AI$16,$L234:$X234,#REF!)),0,(LOOKUP(AI$16,$L234:$X234,#REF!)))</f>
        <v>0</v>
      </c>
      <c r="AJ234" s="221">
        <f>IF(ISERROR(LOOKUP(AJ$16,$L234:$X234,#REF!)),0,(LOOKUP(AJ$16,$L234:$X234,#REF!)))</f>
        <v>0</v>
      </c>
      <c r="AK234" s="221">
        <f>IF(ISERROR(LOOKUP(AK$16,$L234:$X234,#REF!)),0,(LOOKUP(AK$16,$L234:$X234,#REF!)))</f>
        <v>0</v>
      </c>
      <c r="AL234" s="221">
        <f>IF(ISERROR(LOOKUP(AL$16,$L234:$X234,#REF!)),0,(LOOKUP(AL$16,$L234:$X234,#REF!)))</f>
        <v>0</v>
      </c>
      <c r="AM234" s="221">
        <f ca="1">IF(ISERROR(LOOKUP(AM$16,$L234:$X234,#REF!)),0,(LOOKUP(AM$16,$L234:$X234,#REF!)))</f>
        <v>0</v>
      </c>
      <c r="AP234" s="215" t="e">
        <f>WORKDAY(IF(T235="",T234,T235),INDEX(AP$12:AP$15,MATCH($I233,$I$12:$I$15,0)),$AW$17:$AW$148)</f>
        <v>#REF!</v>
      </c>
      <c r="AQ234" s="215" t="e">
        <f>WORKDAY(IF(AP235="",AP234,AP235),INDEX(AQ$12:AQ$15,MATCH($I233,$I$12:$I$15,0)),$AW$17:$AW$148)</f>
        <v>#REF!</v>
      </c>
      <c r="AR234" s="215" t="e">
        <f>WORKDAY(IF(AQ235="",AQ234,AQ235),INDEX(AR$12:AR$15,MATCH($I233,$I$12:$I$15,0)),$AW$17:$AW$148)</f>
        <v>#REF!</v>
      </c>
      <c r="AS234" s="440"/>
      <c r="AW234" s="223"/>
    </row>
    <row r="235" spans="1:49" s="166" customFormat="1" ht="18" customHeight="1">
      <c r="A235" s="482"/>
      <c r="B235" s="481"/>
      <c r="C235" s="458"/>
      <c r="D235" s="458" t="s">
        <v>268</v>
      </c>
      <c r="E235" s="212"/>
      <c r="F235" s="458" t="str">
        <f>F233</f>
        <v>Piping</v>
      </c>
      <c r="G235" s="458" t="str">
        <f>G233</f>
        <v>N</v>
      </c>
      <c r="H235" s="451"/>
      <c r="I235" s="212" t="str">
        <f>I233</f>
        <v>LD</v>
      </c>
      <c r="J235" s="249" t="s">
        <v>70</v>
      </c>
      <c r="K235" s="212"/>
      <c r="L235" s="212"/>
      <c r="M235" s="212"/>
      <c r="N235" s="212"/>
      <c r="O235" s="212"/>
      <c r="P235" s="226"/>
      <c r="Q235" s="227"/>
      <c r="R235" s="212"/>
      <c r="S235" s="212"/>
      <c r="T235" s="212"/>
      <c r="U235" s="212"/>
      <c r="V235" s="212"/>
      <c r="W235" s="228"/>
      <c r="X235" s="212"/>
      <c r="Y235" s="448"/>
      <c r="Z235" s="443"/>
      <c r="AA235" s="443"/>
      <c r="AB235" s="442"/>
      <c r="AC235" s="229">
        <f>IF(ISERROR(LOOKUP(AC$16,$L235:$X235,#REF!)),0,(LOOKUP(AC$16,$L235:$X235,#REF!)))</f>
        <v>0</v>
      </c>
      <c r="AD235" s="230">
        <f>IF(ISERROR(LOOKUP(AD$16,$L235:$X235,#REF!)),0,(LOOKUP(AD$16,$L235:$X235,#REF!)))</f>
        <v>0</v>
      </c>
      <c r="AE235" s="230">
        <f>IF(ISERROR(LOOKUP(AE$16,$L235:$X235,#REF!)),0,(LOOKUP(AE$16,$L235:$X235,#REF!)))</f>
        <v>0</v>
      </c>
      <c r="AF235" s="230">
        <f>IF(ISERROR(LOOKUP(AF$16,$L235:$X235,#REF!)),0,(LOOKUP(AF$16,$L235:$X235,#REF!)))</f>
        <v>0</v>
      </c>
      <c r="AG235" s="230">
        <f>IF(ISERROR(LOOKUP(AG$16,$L235:$X235,#REF!)),0,(LOOKUP(AG$16,$L235:$X235,#REF!)))</f>
        <v>0</v>
      </c>
      <c r="AH235" s="230">
        <f>IF(ISERROR(LOOKUP(AH$16,$L235:$X235,#REF!)),0,(LOOKUP(AH$16,$L235:$X235,#REF!)))</f>
        <v>0</v>
      </c>
      <c r="AI235" s="230">
        <f>IF(ISERROR(LOOKUP(AI$16,$L235:$X235,#REF!)),0,(LOOKUP(AI$16,$L235:$X235,#REF!)))</f>
        <v>0</v>
      </c>
      <c r="AJ235" s="230">
        <f>IF(ISERROR(LOOKUP(AJ$16,$L235:$X235,#REF!)),0,(LOOKUP(AJ$16,$L235:$X235,#REF!)))</f>
        <v>0</v>
      </c>
      <c r="AK235" s="230">
        <f>IF(ISERROR(LOOKUP(AK$16,$L235:$X235,#REF!)),0,(LOOKUP(AK$16,$L235:$X235,#REF!)))</f>
        <v>0</v>
      </c>
      <c r="AL235" s="230">
        <f>IF(ISERROR(LOOKUP(AL$16,$L235:$X235,#REF!)),0,(LOOKUP(AL$16,$L235:$X235,#REF!)))</f>
        <v>0</v>
      </c>
      <c r="AM235" s="230">
        <f ca="1">IF(ISERROR(LOOKUP(AM$16,$L235:$X235,#REF!)),0,(LOOKUP(AM$16,$L235:$X235,#REF!)))</f>
        <v>0</v>
      </c>
      <c r="AP235" s="248"/>
      <c r="AQ235" s="248"/>
      <c r="AR235" s="248"/>
      <c r="AS235" s="440"/>
      <c r="AW235" s="223"/>
    </row>
    <row r="236" spans="1:49" s="166" customFormat="1" ht="18" customHeight="1">
      <c r="A236" s="482"/>
      <c r="B236" s="479"/>
      <c r="C236" s="458"/>
      <c r="D236" s="458" t="s">
        <v>4817</v>
      </c>
      <c r="E236" s="212"/>
      <c r="F236" s="458" t="s">
        <v>86</v>
      </c>
      <c r="G236" s="458" t="s">
        <v>75</v>
      </c>
      <c r="H236" s="449"/>
      <c r="I236" s="212" t="s">
        <v>9</v>
      </c>
      <c r="J236" s="249" t="s">
        <v>4732</v>
      </c>
      <c r="K236" s="215">
        <f>WORKDAY(L236,-INDEX(L$12:L$15,MATCH($I236,$I$12:$I$15,0)))</f>
        <v>46248</v>
      </c>
      <c r="L236" s="215">
        <f>WORKDAY(M236,-INDEX(M$12:M$15,MATCH($I236,$I$12:$I$15,0)))</f>
        <v>46253</v>
      </c>
      <c r="M236" s="215">
        <f>WORKDAY(N236,-INDEX(N$12:N$15,MATCH($I236,$I$12:$I$15,0)))</f>
        <v>46260</v>
      </c>
      <c r="N236" s="215">
        <f>WORKDAY(O236,-INDEX(O$12:O$15,MATCH($I236,$I$12:$I$15,0)))</f>
        <v>46261</v>
      </c>
      <c r="O236" s="215">
        <f>WORKDAY(R236,-INDEX(R$12:R$15,MATCH($I236,$I$12:$I$15,0)))</f>
        <v>46266</v>
      </c>
      <c r="P236" s="216">
        <f>U236-L236</f>
        <v>39</v>
      </c>
      <c r="Q236" s="217"/>
      <c r="R236" s="215">
        <f>WORKDAY(S236,-INDEX(S$12:S$15,MATCH($I236,$I$12:$I$15,0)))</f>
        <v>46273</v>
      </c>
      <c r="S236" s="215">
        <f>WORKDAY(T236,-INDEX(T$12:T$15,MATCH($I236,$I$12:$I$15,0)))</f>
        <v>46282</v>
      </c>
      <c r="T236" s="215">
        <f>WORKDAY(U236,-INDEX(U$12:U$15,MATCH($I236,$I$12:$I$15,0)))</f>
        <v>46286</v>
      </c>
      <c r="U236" s="215">
        <f>X236-Y236</f>
        <v>46292</v>
      </c>
      <c r="V236" s="215">
        <f>WORKDAY(U236,INDEX(V$12:V$15,MATCH($I236,$I$12:$I$15,0)))</f>
        <v>46294</v>
      </c>
      <c r="W236" s="218">
        <f>Y236/7</f>
        <v>12.8571428571429</v>
      </c>
      <c r="X236" s="215">
        <f>Z236</f>
        <v>46382</v>
      </c>
      <c r="Y236" s="448">
        <v>90</v>
      </c>
      <c r="Z236" s="443">
        <v>46382</v>
      </c>
      <c r="AA236" s="443">
        <v>46538</v>
      </c>
      <c r="AB236" s="442">
        <f>Z236-X237</f>
        <v>0</v>
      </c>
      <c r="AC236" s="220">
        <f>IF(ISERROR(LOOKUP(AC$16,$L236:$X236,#REF!)),0,(LOOKUP(AC$16,$L236:$X236,#REF!)))</f>
        <v>0</v>
      </c>
      <c r="AD236" s="221">
        <f>IF(ISERROR(LOOKUP(AD$16,$L236:$X236,#REF!)),0,(LOOKUP(AD$16,$L236:$X236,#REF!)))</f>
        <v>0</v>
      </c>
      <c r="AE236" s="221">
        <f>IF(ISERROR(LOOKUP(AE$16,$L236:$X236,#REF!)),0,(LOOKUP(AE$16,$L236:$X236,#REF!)))</f>
        <v>0</v>
      </c>
      <c r="AF236" s="221">
        <f>IF(ISERROR(LOOKUP(AF$16,$L236:$X236,#REF!)),0,(LOOKUP(AF$16,$L236:$X236,#REF!)))</f>
        <v>0</v>
      </c>
      <c r="AG236" s="221">
        <f>IF(ISERROR(LOOKUP(AG$16,$L236:$X236,#REF!)),0,(LOOKUP(AG$16,$L236:$X236,#REF!)))</f>
        <v>0</v>
      </c>
      <c r="AH236" s="221">
        <f>IF(ISERROR(LOOKUP(AH$16,$L236:$X236,#REF!)),0,(LOOKUP(AH$16,$L236:$X236,#REF!)))</f>
        <v>0</v>
      </c>
      <c r="AI236" s="221">
        <f>IF(ISERROR(LOOKUP(AI$16,$L236:$X236,#REF!)),0,(LOOKUP(AI$16,$L236:$X236,#REF!)))</f>
        <v>0</v>
      </c>
      <c r="AJ236" s="221">
        <f>IF(ISERROR(LOOKUP(AJ$16,$L236:$X236,#REF!)),0,(LOOKUP(AJ$16,$L236:$X236,#REF!)))</f>
        <v>0</v>
      </c>
      <c r="AK236" s="221">
        <f>IF(ISERROR(LOOKUP(AK$16,$L236:$X236,#REF!)),0,(LOOKUP(AK$16,$L236:$X236,#REF!)))</f>
        <v>0</v>
      </c>
      <c r="AL236" s="221">
        <f>IF(ISERROR(LOOKUP(AL$16,$L236:$X236,#REF!)),0,(LOOKUP(AL$16,$L236:$X236,#REF!)))</f>
        <v>0</v>
      </c>
      <c r="AM236" s="221">
        <f ca="1">IF(ISERROR(LOOKUP(AM$16,$L236:$X236,#REF!)),0,(LOOKUP(AM$16,$L236:$X236,#REF!)))</f>
        <v>0</v>
      </c>
      <c r="AP236" s="215" t="e">
        <f>WORKDAY(AQ236,-INDEX(AQ$12:AQ$15,MATCH($I236,$I$12:$I$15,0)),$AW$17:$AW$148)</f>
        <v>#REF!</v>
      </c>
      <c r="AQ236" s="215" t="e">
        <f>WORKDAY(U236,-INDEX(U$12:U$15,MATCH($I236,$I$12:$I$15,0)),$AW$17:$AW$148)</f>
        <v>#REF!</v>
      </c>
      <c r="AR236" s="215" t="e">
        <f>WORKDAY(U236,-INDEX(U$12:U$15,MATCH($I236,$I$12:$I$15,0)),$AW$17:$AW$148)</f>
        <v>#REF!</v>
      </c>
      <c r="AS236" s="440">
        <v>7</v>
      </c>
      <c r="AW236" s="223"/>
    </row>
    <row r="237" spans="1:49" s="166" customFormat="1" ht="18" customHeight="1">
      <c r="A237" s="482"/>
      <c r="B237" s="480"/>
      <c r="C237" s="458"/>
      <c r="D237" s="458" t="s">
        <v>4817</v>
      </c>
      <c r="E237" s="212"/>
      <c r="F237" s="458" t="str">
        <f>F236</f>
        <v>Piping</v>
      </c>
      <c r="G237" s="458" t="str">
        <f>G236</f>
        <v>N</v>
      </c>
      <c r="H237" s="450"/>
      <c r="I237" s="212" t="str">
        <f>I236</f>
        <v>LD</v>
      </c>
      <c r="J237" s="249" t="s">
        <v>68</v>
      </c>
      <c r="K237" s="215">
        <f>K236</f>
        <v>46248</v>
      </c>
      <c r="L237" s="215">
        <f>WORKDAY(IF(K238="",K237,K238),INDEX(L$12:L$15,MATCH($I236,$I$12:$I$15,0)))</f>
        <v>46253</v>
      </c>
      <c r="M237" s="215">
        <f>WORKDAY(IF(L238="",L237,L238),INDEX(M$12:M$15,MATCH($I236,$I$12:$I$15,0)))</f>
        <v>46260</v>
      </c>
      <c r="N237" s="215">
        <f>WORKDAY(IF(M238="",M237,M238),INDEX(N$12:N$15,MATCH($I236,$I$12:$I$15,0)))</f>
        <v>46261</v>
      </c>
      <c r="O237" s="215">
        <f>WORKDAY(IF(N238="",N237,N238),INDEX(O$12:O$15,MATCH($I236,$I$12:$I$15,0)))</f>
        <v>46266</v>
      </c>
      <c r="P237" s="216"/>
      <c r="Q237" s="217"/>
      <c r="R237" s="215">
        <f>WORKDAY(IF(O238="",O237,O238),INDEX(R$12:R$15,MATCH($I236,$I$12:$I$15,0)))</f>
        <v>46273</v>
      </c>
      <c r="S237" s="215">
        <f>WORKDAY(IF(R238="",R237,R238),INDEX(S$12:S$15,MATCH($I236,$I$12:$I$15,0)))</f>
        <v>46282</v>
      </c>
      <c r="T237" s="215">
        <f>WORKDAY(IF(S238="",S237,S238),INDEX(T$12:T$15,MATCH($I236,$I$12:$I$15,0)))</f>
        <v>46286</v>
      </c>
      <c r="U237" s="215">
        <f>WORKDAY(IF(T238="",T237,T238),INDEX(U$12:U$15,MATCH($I236,$I$12:$I$15,0)))-1</f>
        <v>46292</v>
      </c>
      <c r="V237" s="215">
        <f>WORKDAY(IF(U238="",U237,U238),INDEX(V$12:V$15,MATCH($I236,$I$12:$I$15,0)))</f>
        <v>46294</v>
      </c>
      <c r="W237" s="218"/>
      <c r="X237" s="215">
        <f>U237+Y236</f>
        <v>46382</v>
      </c>
      <c r="Y237" s="448"/>
      <c r="Z237" s="443"/>
      <c r="AA237" s="443"/>
      <c r="AB237" s="442"/>
      <c r="AC237" s="220">
        <f>IF(ISERROR(LOOKUP(AC$16,$L237:$X237,#REF!)),0,(LOOKUP(AC$16,$L237:$X237,#REF!)))</f>
        <v>0</v>
      </c>
      <c r="AD237" s="221">
        <f>IF(ISERROR(LOOKUP(AD$16,$L237:$X237,#REF!)),0,(LOOKUP(AD$16,$L237:$X237,#REF!)))</f>
        <v>0</v>
      </c>
      <c r="AE237" s="221">
        <f>IF(ISERROR(LOOKUP(AE$16,$L237:$X237,#REF!)),0,(LOOKUP(AE$16,$L237:$X237,#REF!)))</f>
        <v>0</v>
      </c>
      <c r="AF237" s="221">
        <f>IF(ISERROR(LOOKUP(AF$16,$L237:$X237,#REF!)),0,(LOOKUP(AF$16,$L237:$X237,#REF!)))</f>
        <v>0</v>
      </c>
      <c r="AG237" s="221">
        <f>IF(ISERROR(LOOKUP(AG$16,$L237:$X237,#REF!)),0,(LOOKUP(AG$16,$L237:$X237,#REF!)))</f>
        <v>0</v>
      </c>
      <c r="AH237" s="221">
        <f>IF(ISERROR(LOOKUP(AH$16,$L237:$X237,#REF!)),0,(LOOKUP(AH$16,$L237:$X237,#REF!)))</f>
        <v>0</v>
      </c>
      <c r="AI237" s="221">
        <f>IF(ISERROR(LOOKUP(AI$16,$L237:$X237,#REF!)),0,(LOOKUP(AI$16,$L237:$X237,#REF!)))</f>
        <v>0</v>
      </c>
      <c r="AJ237" s="221">
        <f>IF(ISERROR(LOOKUP(AJ$16,$L237:$X237,#REF!)),0,(LOOKUP(AJ$16,$L237:$X237,#REF!)))</f>
        <v>0</v>
      </c>
      <c r="AK237" s="221">
        <f>IF(ISERROR(LOOKUP(AK$16,$L237:$X237,#REF!)),0,(LOOKUP(AK$16,$L237:$X237,#REF!)))</f>
        <v>0</v>
      </c>
      <c r="AL237" s="221">
        <f>IF(ISERROR(LOOKUP(AL$16,$L237:$X237,#REF!)),0,(LOOKUP(AL$16,$L237:$X237,#REF!)))</f>
        <v>0</v>
      </c>
      <c r="AM237" s="221">
        <f ca="1">IF(ISERROR(LOOKUP(AM$16,$L237:$X237,#REF!)),0,(LOOKUP(AM$16,$L237:$X237,#REF!)))</f>
        <v>0</v>
      </c>
      <c r="AP237" s="215" t="e">
        <f>WORKDAY(IF(T238="",T237,T238),INDEX(AP$12:AP$15,MATCH($I236,$I$12:$I$15,0)),$AW$17:$AW$148)</f>
        <v>#REF!</v>
      </c>
      <c r="AQ237" s="215" t="e">
        <f>WORKDAY(IF(AP238="",AP237,AP238),INDEX(AQ$12:AQ$15,MATCH($I236,$I$12:$I$15,0)),$AW$17:$AW$148)</f>
        <v>#REF!</v>
      </c>
      <c r="AR237" s="215" t="e">
        <f>WORKDAY(IF(AQ238="",AQ237,AQ238),INDEX(AR$12:AR$15,MATCH($I236,$I$12:$I$15,0)),$AW$17:$AW$148)</f>
        <v>#REF!</v>
      </c>
      <c r="AS237" s="440"/>
      <c r="AW237" s="223"/>
    </row>
    <row r="238" spans="1:49" s="166" customFormat="1" ht="18" customHeight="1">
      <c r="A238" s="482"/>
      <c r="B238" s="481"/>
      <c r="C238" s="458"/>
      <c r="D238" s="458" t="s">
        <v>4817</v>
      </c>
      <c r="E238" s="212"/>
      <c r="F238" s="458" t="str">
        <f>F236</f>
        <v>Piping</v>
      </c>
      <c r="G238" s="458" t="str">
        <f>G236</f>
        <v>N</v>
      </c>
      <c r="H238" s="451"/>
      <c r="I238" s="212" t="str">
        <f>I236</f>
        <v>LD</v>
      </c>
      <c r="J238" s="249" t="s">
        <v>70</v>
      </c>
      <c r="K238" s="212"/>
      <c r="L238" s="212"/>
      <c r="M238" s="212"/>
      <c r="N238" s="212"/>
      <c r="O238" s="212"/>
      <c r="P238" s="226"/>
      <c r="Q238" s="227"/>
      <c r="R238" s="212"/>
      <c r="S238" s="212"/>
      <c r="T238" s="212"/>
      <c r="U238" s="212"/>
      <c r="V238" s="212"/>
      <c r="W238" s="228"/>
      <c r="X238" s="212"/>
      <c r="Y238" s="448"/>
      <c r="Z238" s="443"/>
      <c r="AA238" s="443"/>
      <c r="AB238" s="442"/>
      <c r="AC238" s="229">
        <f>IF(ISERROR(LOOKUP(AC$16,$L238:$X238,#REF!)),0,(LOOKUP(AC$16,$L238:$X238,#REF!)))</f>
        <v>0</v>
      </c>
      <c r="AD238" s="230">
        <f>IF(ISERROR(LOOKUP(AD$16,$L238:$X238,#REF!)),0,(LOOKUP(AD$16,$L238:$X238,#REF!)))</f>
        <v>0</v>
      </c>
      <c r="AE238" s="230">
        <f>IF(ISERROR(LOOKUP(AE$16,$L238:$X238,#REF!)),0,(LOOKUP(AE$16,$L238:$X238,#REF!)))</f>
        <v>0</v>
      </c>
      <c r="AF238" s="230">
        <f>IF(ISERROR(LOOKUP(AF$16,$L238:$X238,#REF!)),0,(LOOKUP(AF$16,$L238:$X238,#REF!)))</f>
        <v>0</v>
      </c>
      <c r="AG238" s="230">
        <f>IF(ISERROR(LOOKUP(AG$16,$L238:$X238,#REF!)),0,(LOOKUP(AG$16,$L238:$X238,#REF!)))</f>
        <v>0</v>
      </c>
      <c r="AH238" s="230">
        <f>IF(ISERROR(LOOKUP(AH$16,$L238:$X238,#REF!)),0,(LOOKUP(AH$16,$L238:$X238,#REF!)))</f>
        <v>0</v>
      </c>
      <c r="AI238" s="230">
        <f>IF(ISERROR(LOOKUP(AI$16,$L238:$X238,#REF!)),0,(LOOKUP(AI$16,$L238:$X238,#REF!)))</f>
        <v>0</v>
      </c>
      <c r="AJ238" s="230">
        <f>IF(ISERROR(LOOKUP(AJ$16,$L238:$X238,#REF!)),0,(LOOKUP(AJ$16,$L238:$X238,#REF!)))</f>
        <v>0</v>
      </c>
      <c r="AK238" s="230">
        <f>IF(ISERROR(LOOKUP(AK$16,$L238:$X238,#REF!)),0,(LOOKUP(AK$16,$L238:$X238,#REF!)))</f>
        <v>0</v>
      </c>
      <c r="AL238" s="230">
        <f>IF(ISERROR(LOOKUP(AL$16,$L238:$X238,#REF!)),0,(LOOKUP(AL$16,$L238:$X238,#REF!)))</f>
        <v>0</v>
      </c>
      <c r="AM238" s="230">
        <f ca="1">IF(ISERROR(LOOKUP(AM$16,$L238:$X238,#REF!)),0,(LOOKUP(AM$16,$L238:$X238,#REF!)))</f>
        <v>0</v>
      </c>
      <c r="AP238" s="248"/>
      <c r="AQ238" s="248"/>
      <c r="AR238" s="248"/>
      <c r="AS238" s="440"/>
      <c r="AW238" s="223"/>
    </row>
    <row r="239" spans="1:49" s="166" customFormat="1" ht="18" customHeight="1">
      <c r="A239" s="482"/>
      <c r="B239" s="479"/>
      <c r="C239" s="458"/>
      <c r="D239" s="458" t="s">
        <v>4818</v>
      </c>
      <c r="E239" s="212"/>
      <c r="F239" s="458" t="s">
        <v>86</v>
      </c>
      <c r="G239" s="458" t="s">
        <v>75</v>
      </c>
      <c r="H239" s="449"/>
      <c r="I239" s="212" t="s">
        <v>9</v>
      </c>
      <c r="J239" s="249" t="s">
        <v>4732</v>
      </c>
      <c r="K239" s="215">
        <f>WORKDAY(L239,-INDEX(L$12:L$15,MATCH($I239,$I$12:$I$15,0)))</f>
        <v>46248</v>
      </c>
      <c r="L239" s="215">
        <f>WORKDAY(M239,-INDEX(M$12:M$15,MATCH($I239,$I$12:$I$15,0)))</f>
        <v>46253</v>
      </c>
      <c r="M239" s="215">
        <f>WORKDAY(N239,-INDEX(N$12:N$15,MATCH($I239,$I$12:$I$15,0)))</f>
        <v>46260</v>
      </c>
      <c r="N239" s="215">
        <f>WORKDAY(O239,-INDEX(O$12:O$15,MATCH($I239,$I$12:$I$15,0)))</f>
        <v>46261</v>
      </c>
      <c r="O239" s="215">
        <f>WORKDAY(R239,-INDEX(R$12:R$15,MATCH($I239,$I$12:$I$15,0)))</f>
        <v>46266</v>
      </c>
      <c r="P239" s="216">
        <f>U239-L239</f>
        <v>39</v>
      </c>
      <c r="Q239" s="217"/>
      <c r="R239" s="215">
        <f>WORKDAY(S239,-INDEX(S$12:S$15,MATCH($I239,$I$12:$I$15,0)))</f>
        <v>46273</v>
      </c>
      <c r="S239" s="215">
        <f>WORKDAY(T239,-INDEX(T$12:T$15,MATCH($I239,$I$12:$I$15,0)))</f>
        <v>46282</v>
      </c>
      <c r="T239" s="215">
        <f>WORKDAY(U239,-INDEX(U$12:U$15,MATCH($I239,$I$12:$I$15,0)))</f>
        <v>46286</v>
      </c>
      <c r="U239" s="215">
        <f>X239-Y239</f>
        <v>46292</v>
      </c>
      <c r="V239" s="215">
        <f>WORKDAY(U239,INDEX(V$12:V$15,MATCH($I239,$I$12:$I$15,0)))</f>
        <v>46294</v>
      </c>
      <c r="W239" s="218">
        <f>Y239/7</f>
        <v>12.8571428571429</v>
      </c>
      <c r="X239" s="215">
        <f>Z239</f>
        <v>46382</v>
      </c>
      <c r="Y239" s="448">
        <v>90</v>
      </c>
      <c r="Z239" s="443">
        <v>46382</v>
      </c>
      <c r="AA239" s="443">
        <v>46538</v>
      </c>
      <c r="AB239" s="442">
        <f>Z239-X240</f>
        <v>0</v>
      </c>
      <c r="AC239" s="220">
        <f>IF(ISERROR(LOOKUP(AC$16,$L239:$X239,#REF!)),0,(LOOKUP(AC$16,$L239:$X239,#REF!)))</f>
        <v>0</v>
      </c>
      <c r="AD239" s="221">
        <f>IF(ISERROR(LOOKUP(AD$16,$L239:$X239,#REF!)),0,(LOOKUP(AD$16,$L239:$X239,#REF!)))</f>
        <v>0</v>
      </c>
      <c r="AE239" s="221">
        <f>IF(ISERROR(LOOKUP(AE$16,$L239:$X239,#REF!)),0,(LOOKUP(AE$16,$L239:$X239,#REF!)))</f>
        <v>0</v>
      </c>
      <c r="AF239" s="221">
        <f>IF(ISERROR(LOOKUP(AF$16,$L239:$X239,#REF!)),0,(LOOKUP(AF$16,$L239:$X239,#REF!)))</f>
        <v>0</v>
      </c>
      <c r="AG239" s="221">
        <f>IF(ISERROR(LOOKUP(AG$16,$L239:$X239,#REF!)),0,(LOOKUP(AG$16,$L239:$X239,#REF!)))</f>
        <v>0</v>
      </c>
      <c r="AH239" s="221">
        <f>IF(ISERROR(LOOKUP(AH$16,$L239:$X239,#REF!)),0,(LOOKUP(AH$16,$L239:$X239,#REF!)))</f>
        <v>0</v>
      </c>
      <c r="AI239" s="221">
        <f>IF(ISERROR(LOOKUP(AI$16,$L239:$X239,#REF!)),0,(LOOKUP(AI$16,$L239:$X239,#REF!)))</f>
        <v>0</v>
      </c>
      <c r="AJ239" s="221">
        <f>IF(ISERROR(LOOKUP(AJ$16,$L239:$X239,#REF!)),0,(LOOKUP(AJ$16,$L239:$X239,#REF!)))</f>
        <v>0</v>
      </c>
      <c r="AK239" s="221">
        <f>IF(ISERROR(LOOKUP(AK$16,$L239:$X239,#REF!)),0,(LOOKUP(AK$16,$L239:$X239,#REF!)))</f>
        <v>0</v>
      </c>
      <c r="AL239" s="221">
        <f>IF(ISERROR(LOOKUP(AL$16,$L239:$X239,#REF!)),0,(LOOKUP(AL$16,$L239:$X239,#REF!)))</f>
        <v>0</v>
      </c>
      <c r="AM239" s="221">
        <f ca="1">IF(ISERROR(LOOKUP(AM$16,$L239:$X239,#REF!)),0,(LOOKUP(AM$16,$L239:$X239,#REF!)))</f>
        <v>0</v>
      </c>
      <c r="AP239" s="215" t="e">
        <f>WORKDAY(AQ239,-INDEX(AQ$12:AQ$15,MATCH($I239,$I$12:$I$15,0)),$AW$17:$AW$148)</f>
        <v>#REF!</v>
      </c>
      <c r="AQ239" s="215" t="e">
        <f>WORKDAY(U239,-INDEX(U$12:U$15,MATCH($I239,$I$12:$I$15,0)),$AW$17:$AW$148)</f>
        <v>#REF!</v>
      </c>
      <c r="AR239" s="215" t="e">
        <f>WORKDAY(U239,-INDEX(U$12:U$15,MATCH($I239,$I$12:$I$15,0)),$AW$17:$AW$148)</f>
        <v>#REF!</v>
      </c>
      <c r="AS239" s="440">
        <v>7</v>
      </c>
      <c r="AW239" s="223"/>
    </row>
    <row r="240" spans="1:49" s="166" customFormat="1" ht="18" customHeight="1">
      <c r="A240" s="482"/>
      <c r="B240" s="480"/>
      <c r="C240" s="458"/>
      <c r="D240" s="458" t="s">
        <v>4818</v>
      </c>
      <c r="E240" s="212"/>
      <c r="F240" s="458" t="str">
        <f>F239</f>
        <v>Piping</v>
      </c>
      <c r="G240" s="458" t="str">
        <f>G239</f>
        <v>N</v>
      </c>
      <c r="H240" s="450"/>
      <c r="I240" s="212" t="str">
        <f>I239</f>
        <v>LD</v>
      </c>
      <c r="J240" s="249" t="s">
        <v>68</v>
      </c>
      <c r="K240" s="215">
        <f>K239</f>
        <v>46248</v>
      </c>
      <c r="L240" s="215">
        <f>WORKDAY(IF(K241="",K240,K241),INDEX(L$12:L$15,MATCH($I239,$I$12:$I$15,0)))</f>
        <v>46253</v>
      </c>
      <c r="M240" s="215">
        <f>WORKDAY(IF(L241="",L240,L241),INDEX(M$12:M$15,MATCH($I239,$I$12:$I$15,0)))</f>
        <v>46260</v>
      </c>
      <c r="N240" s="215">
        <f>WORKDAY(IF(M241="",M240,M241),INDEX(N$12:N$15,MATCH($I239,$I$12:$I$15,0)))</f>
        <v>46261</v>
      </c>
      <c r="O240" s="215">
        <f>WORKDAY(IF(N241="",N240,N241),INDEX(O$12:O$15,MATCH($I239,$I$12:$I$15,0)))</f>
        <v>46266</v>
      </c>
      <c r="P240" s="216"/>
      <c r="Q240" s="217"/>
      <c r="R240" s="215">
        <f>WORKDAY(IF(O241="",O240,O241),INDEX(R$12:R$15,MATCH($I239,$I$12:$I$15,0)))</f>
        <v>46273</v>
      </c>
      <c r="S240" s="215">
        <f>WORKDAY(IF(R241="",R240,R241),INDEX(S$12:S$15,MATCH($I239,$I$12:$I$15,0)))</f>
        <v>46282</v>
      </c>
      <c r="T240" s="215">
        <f>WORKDAY(IF(S241="",S240,S241),INDEX(T$12:T$15,MATCH($I239,$I$12:$I$15,0)))</f>
        <v>46286</v>
      </c>
      <c r="U240" s="215">
        <f>WORKDAY(IF(T241="",T240,T241),INDEX(U$12:U$15,MATCH($I239,$I$12:$I$15,0)))-1</f>
        <v>46292</v>
      </c>
      <c r="V240" s="215">
        <f>WORKDAY(IF(U241="",U240,U241),INDEX(V$12:V$15,MATCH($I239,$I$12:$I$15,0)))</f>
        <v>46294</v>
      </c>
      <c r="W240" s="218"/>
      <c r="X240" s="215">
        <f>U240+Y239</f>
        <v>46382</v>
      </c>
      <c r="Y240" s="448"/>
      <c r="Z240" s="443"/>
      <c r="AA240" s="443"/>
      <c r="AB240" s="442"/>
      <c r="AC240" s="220">
        <f>IF(ISERROR(LOOKUP(AC$16,$L240:$X240,#REF!)),0,(LOOKUP(AC$16,$L240:$X240,#REF!)))</f>
        <v>0</v>
      </c>
      <c r="AD240" s="221">
        <f>IF(ISERROR(LOOKUP(AD$16,$L240:$X240,#REF!)),0,(LOOKUP(AD$16,$L240:$X240,#REF!)))</f>
        <v>0</v>
      </c>
      <c r="AE240" s="221">
        <f>IF(ISERROR(LOOKUP(AE$16,$L240:$X240,#REF!)),0,(LOOKUP(AE$16,$L240:$X240,#REF!)))</f>
        <v>0</v>
      </c>
      <c r="AF240" s="221">
        <f>IF(ISERROR(LOOKUP(AF$16,$L240:$X240,#REF!)),0,(LOOKUP(AF$16,$L240:$X240,#REF!)))</f>
        <v>0</v>
      </c>
      <c r="AG240" s="221">
        <f>IF(ISERROR(LOOKUP(AG$16,$L240:$X240,#REF!)),0,(LOOKUP(AG$16,$L240:$X240,#REF!)))</f>
        <v>0</v>
      </c>
      <c r="AH240" s="221">
        <f>IF(ISERROR(LOOKUP(AH$16,$L240:$X240,#REF!)),0,(LOOKUP(AH$16,$L240:$X240,#REF!)))</f>
        <v>0</v>
      </c>
      <c r="AI240" s="221">
        <f>IF(ISERROR(LOOKUP(AI$16,$L240:$X240,#REF!)),0,(LOOKUP(AI$16,$L240:$X240,#REF!)))</f>
        <v>0</v>
      </c>
      <c r="AJ240" s="221">
        <f>IF(ISERROR(LOOKUP(AJ$16,$L240:$X240,#REF!)),0,(LOOKUP(AJ$16,$L240:$X240,#REF!)))</f>
        <v>0</v>
      </c>
      <c r="AK240" s="221">
        <f>IF(ISERROR(LOOKUP(AK$16,$L240:$X240,#REF!)),0,(LOOKUP(AK$16,$L240:$X240,#REF!)))</f>
        <v>0</v>
      </c>
      <c r="AL240" s="221">
        <f>IF(ISERROR(LOOKUP(AL$16,$L240:$X240,#REF!)),0,(LOOKUP(AL$16,$L240:$X240,#REF!)))</f>
        <v>0</v>
      </c>
      <c r="AM240" s="221">
        <f ca="1">IF(ISERROR(LOOKUP(AM$16,$L240:$X240,#REF!)),0,(LOOKUP(AM$16,$L240:$X240,#REF!)))</f>
        <v>0</v>
      </c>
      <c r="AP240" s="215" t="e">
        <f>WORKDAY(IF(T241="",T240,T241),INDEX(AP$12:AP$15,MATCH($I239,$I$12:$I$15,0)),$AW$17:$AW$148)</f>
        <v>#REF!</v>
      </c>
      <c r="AQ240" s="215" t="e">
        <f>WORKDAY(IF(AP241="",AP240,AP241),INDEX(AQ$12:AQ$15,MATCH($I239,$I$12:$I$15,0)),$AW$17:$AW$148)</f>
        <v>#REF!</v>
      </c>
      <c r="AR240" s="215" t="e">
        <f>WORKDAY(IF(AQ241="",AQ240,AQ241),INDEX(AR$12:AR$15,MATCH($I239,$I$12:$I$15,0)),$AW$17:$AW$148)</f>
        <v>#REF!</v>
      </c>
      <c r="AS240" s="440"/>
      <c r="AW240" s="223"/>
    </row>
    <row r="241" spans="1:49" s="166" customFormat="1" ht="18" customHeight="1">
      <c r="A241" s="482"/>
      <c r="B241" s="481"/>
      <c r="C241" s="458"/>
      <c r="D241" s="458" t="s">
        <v>4818</v>
      </c>
      <c r="E241" s="212"/>
      <c r="F241" s="458" t="str">
        <f>F239</f>
        <v>Piping</v>
      </c>
      <c r="G241" s="458" t="str">
        <f>G239</f>
        <v>N</v>
      </c>
      <c r="H241" s="451"/>
      <c r="I241" s="212" t="str">
        <f>I239</f>
        <v>LD</v>
      </c>
      <c r="J241" s="249" t="s">
        <v>70</v>
      </c>
      <c r="K241" s="212"/>
      <c r="L241" s="212"/>
      <c r="M241" s="212"/>
      <c r="N241" s="212"/>
      <c r="O241" s="212"/>
      <c r="P241" s="226"/>
      <c r="Q241" s="227"/>
      <c r="R241" s="212"/>
      <c r="S241" s="212"/>
      <c r="T241" s="212"/>
      <c r="U241" s="212"/>
      <c r="V241" s="212"/>
      <c r="W241" s="228"/>
      <c r="X241" s="212"/>
      <c r="Y241" s="448"/>
      <c r="Z241" s="443"/>
      <c r="AA241" s="443"/>
      <c r="AB241" s="442"/>
      <c r="AC241" s="229">
        <f>IF(ISERROR(LOOKUP(AC$16,$L241:$X241,#REF!)),0,(LOOKUP(AC$16,$L241:$X241,#REF!)))</f>
        <v>0</v>
      </c>
      <c r="AD241" s="230">
        <f>IF(ISERROR(LOOKUP(AD$16,$L241:$X241,#REF!)),0,(LOOKUP(AD$16,$L241:$X241,#REF!)))</f>
        <v>0</v>
      </c>
      <c r="AE241" s="230">
        <f>IF(ISERROR(LOOKUP(AE$16,$L241:$X241,#REF!)),0,(LOOKUP(AE$16,$L241:$X241,#REF!)))</f>
        <v>0</v>
      </c>
      <c r="AF241" s="230">
        <f>IF(ISERROR(LOOKUP(AF$16,$L241:$X241,#REF!)),0,(LOOKUP(AF$16,$L241:$X241,#REF!)))</f>
        <v>0</v>
      </c>
      <c r="AG241" s="230">
        <f>IF(ISERROR(LOOKUP(AG$16,$L241:$X241,#REF!)),0,(LOOKUP(AG$16,$L241:$X241,#REF!)))</f>
        <v>0</v>
      </c>
      <c r="AH241" s="230">
        <f>IF(ISERROR(LOOKUP(AH$16,$L241:$X241,#REF!)),0,(LOOKUP(AH$16,$L241:$X241,#REF!)))</f>
        <v>0</v>
      </c>
      <c r="AI241" s="230">
        <f>IF(ISERROR(LOOKUP(AI$16,$L241:$X241,#REF!)),0,(LOOKUP(AI$16,$L241:$X241,#REF!)))</f>
        <v>0</v>
      </c>
      <c r="AJ241" s="230">
        <f>IF(ISERROR(LOOKUP(AJ$16,$L241:$X241,#REF!)),0,(LOOKUP(AJ$16,$L241:$X241,#REF!)))</f>
        <v>0</v>
      </c>
      <c r="AK241" s="230">
        <f>IF(ISERROR(LOOKUP(AK$16,$L241:$X241,#REF!)),0,(LOOKUP(AK$16,$L241:$X241,#REF!)))</f>
        <v>0</v>
      </c>
      <c r="AL241" s="230">
        <f>IF(ISERROR(LOOKUP(AL$16,$L241:$X241,#REF!)),0,(LOOKUP(AL$16,$L241:$X241,#REF!)))</f>
        <v>0</v>
      </c>
      <c r="AM241" s="230">
        <f ca="1">IF(ISERROR(LOOKUP(AM$16,$L241:$X241,#REF!)),0,(LOOKUP(AM$16,$L241:$X241,#REF!)))</f>
        <v>0</v>
      </c>
      <c r="AP241" s="248"/>
      <c r="AQ241" s="248"/>
      <c r="AR241" s="248"/>
      <c r="AS241" s="440"/>
      <c r="AW241" s="223"/>
    </row>
    <row r="242" spans="1:49" s="166" customFormat="1" ht="18" customHeight="1">
      <c r="A242" s="482"/>
      <c r="B242" s="479"/>
      <c r="C242" s="458"/>
      <c r="D242" s="458" t="s">
        <v>4819</v>
      </c>
      <c r="E242" s="212"/>
      <c r="F242" s="458" t="s">
        <v>86</v>
      </c>
      <c r="G242" s="458" t="s">
        <v>75</v>
      </c>
      <c r="H242" s="449"/>
      <c r="I242" s="212" t="s">
        <v>9</v>
      </c>
      <c r="J242" s="249" t="s">
        <v>4732</v>
      </c>
      <c r="K242" s="215">
        <f>WORKDAY(L242,-INDEX(L$12:L$15,MATCH($I242,$I$12:$I$15,0)))</f>
        <v>46219</v>
      </c>
      <c r="L242" s="215">
        <f>WORKDAY(M242,-INDEX(M$12:M$15,MATCH($I242,$I$12:$I$15,0)))</f>
        <v>46224</v>
      </c>
      <c r="M242" s="215">
        <f>WORKDAY(N242,-INDEX(N$12:N$15,MATCH($I242,$I$12:$I$15,0)))</f>
        <v>46231</v>
      </c>
      <c r="N242" s="215">
        <f>WORKDAY(O242,-INDEX(O$12:O$15,MATCH($I242,$I$12:$I$15,0)))</f>
        <v>46232</v>
      </c>
      <c r="O242" s="215">
        <f>WORKDAY(R242,-INDEX(R$12:R$15,MATCH($I242,$I$12:$I$15,0)))</f>
        <v>46237</v>
      </c>
      <c r="P242" s="216">
        <f>U242-L242</f>
        <v>38</v>
      </c>
      <c r="Q242" s="217"/>
      <c r="R242" s="215">
        <f>WORKDAY(S242,-INDEX(S$12:S$15,MATCH($I242,$I$12:$I$15,0)))</f>
        <v>46244</v>
      </c>
      <c r="S242" s="215">
        <f>WORKDAY(T242,-INDEX(T$12:T$15,MATCH($I242,$I$12:$I$15,0)))</f>
        <v>46253</v>
      </c>
      <c r="T242" s="215">
        <f>WORKDAY(U242,-INDEX(U$12:U$15,MATCH($I242,$I$12:$I$15,0)))</f>
        <v>46255</v>
      </c>
      <c r="U242" s="215">
        <f>X242-Y242</f>
        <v>46262</v>
      </c>
      <c r="V242" s="215">
        <f>WORKDAY(U242,INDEX(V$12:V$15,MATCH($I242,$I$12:$I$15,0)))</f>
        <v>46266</v>
      </c>
      <c r="W242" s="218">
        <f>Y242/7</f>
        <v>17.1428571428571</v>
      </c>
      <c r="X242" s="215">
        <f>Z242</f>
        <v>46382</v>
      </c>
      <c r="Y242" s="448">
        <v>120</v>
      </c>
      <c r="Z242" s="443">
        <v>46382</v>
      </c>
      <c r="AA242" s="443">
        <v>46538</v>
      </c>
      <c r="AB242" s="442">
        <f>Z242-X243</f>
        <v>0</v>
      </c>
      <c r="AC242" s="220">
        <f>IF(ISERROR(LOOKUP(AC$16,$L242:$X242,#REF!)),0,(LOOKUP(AC$16,$L242:$X242,#REF!)))</f>
        <v>0</v>
      </c>
      <c r="AD242" s="221">
        <f>IF(ISERROR(LOOKUP(AD$16,$L242:$X242,#REF!)),0,(LOOKUP(AD$16,$L242:$X242,#REF!)))</f>
        <v>0</v>
      </c>
      <c r="AE242" s="221">
        <f>IF(ISERROR(LOOKUP(AE$16,$L242:$X242,#REF!)),0,(LOOKUP(AE$16,$L242:$X242,#REF!)))</f>
        <v>0</v>
      </c>
      <c r="AF242" s="221">
        <f>IF(ISERROR(LOOKUP(AF$16,$L242:$X242,#REF!)),0,(LOOKUP(AF$16,$L242:$X242,#REF!)))</f>
        <v>0</v>
      </c>
      <c r="AG242" s="221">
        <f>IF(ISERROR(LOOKUP(AG$16,$L242:$X242,#REF!)),0,(LOOKUP(AG$16,$L242:$X242,#REF!)))</f>
        <v>0</v>
      </c>
      <c r="AH242" s="221">
        <f>IF(ISERROR(LOOKUP(AH$16,$L242:$X242,#REF!)),0,(LOOKUP(AH$16,$L242:$X242,#REF!)))</f>
        <v>0</v>
      </c>
      <c r="AI242" s="221">
        <f>IF(ISERROR(LOOKUP(AI$16,$L242:$X242,#REF!)),0,(LOOKUP(AI$16,$L242:$X242,#REF!)))</f>
        <v>0</v>
      </c>
      <c r="AJ242" s="221">
        <f>IF(ISERROR(LOOKUP(AJ$16,$L242:$X242,#REF!)),0,(LOOKUP(AJ$16,$L242:$X242,#REF!)))</f>
        <v>0</v>
      </c>
      <c r="AK242" s="221">
        <f>IF(ISERROR(LOOKUP(AK$16,$L242:$X242,#REF!)),0,(LOOKUP(AK$16,$L242:$X242,#REF!)))</f>
        <v>0</v>
      </c>
      <c r="AL242" s="221">
        <f>IF(ISERROR(LOOKUP(AL$16,$L242:$X242,#REF!)),0,(LOOKUP(AL$16,$L242:$X242,#REF!)))</f>
        <v>0</v>
      </c>
      <c r="AM242" s="221">
        <f ca="1">IF(ISERROR(LOOKUP(AM$16,$L242:$X242,#REF!)),0,(LOOKUP(AM$16,$L242:$X242,#REF!)))</f>
        <v>0</v>
      </c>
      <c r="AP242" s="215" t="e">
        <f>WORKDAY(AQ242,-INDEX(AQ$12:AQ$15,MATCH($I242,$I$12:$I$15,0)),$AW$17:$AW$148)</f>
        <v>#REF!</v>
      </c>
      <c r="AQ242" s="215" t="e">
        <f>WORKDAY(U242,-INDEX(U$12:U$15,MATCH($I242,$I$12:$I$15,0)),$AW$17:$AW$148)</f>
        <v>#REF!</v>
      </c>
      <c r="AR242" s="215" t="e">
        <f>WORKDAY(U242,-INDEX(U$12:U$15,MATCH($I242,$I$12:$I$15,0)),$AW$17:$AW$148)</f>
        <v>#REF!</v>
      </c>
      <c r="AS242" s="440">
        <v>7</v>
      </c>
      <c r="AW242" s="223"/>
    </row>
    <row r="243" spans="1:49" s="166" customFormat="1" ht="18" customHeight="1">
      <c r="A243" s="482"/>
      <c r="B243" s="480"/>
      <c r="C243" s="458"/>
      <c r="D243" s="458" t="s">
        <v>4819</v>
      </c>
      <c r="E243" s="212"/>
      <c r="F243" s="458" t="str">
        <f>F242</f>
        <v>Piping</v>
      </c>
      <c r="G243" s="458" t="str">
        <f>G242</f>
        <v>N</v>
      </c>
      <c r="H243" s="450"/>
      <c r="I243" s="212" t="str">
        <f>I242</f>
        <v>LD</v>
      </c>
      <c r="J243" s="249" t="s">
        <v>68</v>
      </c>
      <c r="K243" s="215">
        <f>K242</f>
        <v>46219</v>
      </c>
      <c r="L243" s="215">
        <f>WORKDAY(IF(K244="",K243,K244),INDEX(L$12:L$15,MATCH($I242,$I$12:$I$15,0)))</f>
        <v>46224</v>
      </c>
      <c r="M243" s="215">
        <f>WORKDAY(IF(L244="",L243,L244),INDEX(M$12:M$15,MATCH($I242,$I$12:$I$15,0)))</f>
        <v>46231</v>
      </c>
      <c r="N243" s="215">
        <f>WORKDAY(IF(M244="",M243,M244),INDEX(N$12:N$15,MATCH($I242,$I$12:$I$15,0)))</f>
        <v>46232</v>
      </c>
      <c r="O243" s="215">
        <f>WORKDAY(IF(N244="",N243,N244),INDEX(O$12:O$15,MATCH($I242,$I$12:$I$15,0)))</f>
        <v>46237</v>
      </c>
      <c r="P243" s="216"/>
      <c r="Q243" s="217"/>
      <c r="R243" s="215">
        <f>WORKDAY(IF(O244="",O243,O244),INDEX(R$12:R$15,MATCH($I242,$I$12:$I$15,0)))</f>
        <v>46244</v>
      </c>
      <c r="S243" s="215">
        <f>WORKDAY(IF(R244="",R243,R244),INDEX(S$12:S$15,MATCH($I242,$I$12:$I$15,0)))</f>
        <v>46253</v>
      </c>
      <c r="T243" s="215">
        <f>WORKDAY(IF(S244="",S243,S244),INDEX(T$12:T$15,MATCH($I242,$I$12:$I$15,0)))</f>
        <v>46255</v>
      </c>
      <c r="U243" s="215">
        <f>WORKDAY(IF(T244="",T243,T244),INDEX(U$12:U$15,MATCH($I242,$I$12:$I$15,0)))</f>
        <v>46262</v>
      </c>
      <c r="V243" s="215">
        <f>WORKDAY(IF(U244="",U243,U244),INDEX(V$12:V$15,MATCH($I242,$I$12:$I$15,0)))</f>
        <v>46266</v>
      </c>
      <c r="W243" s="218"/>
      <c r="X243" s="215">
        <f>U243+Y242</f>
        <v>46382</v>
      </c>
      <c r="Y243" s="448"/>
      <c r="Z243" s="443"/>
      <c r="AA243" s="443"/>
      <c r="AB243" s="442"/>
      <c r="AC243" s="220">
        <f>IF(ISERROR(LOOKUP(AC$16,$L243:$X243,#REF!)),0,(LOOKUP(AC$16,$L243:$X243,#REF!)))</f>
        <v>0</v>
      </c>
      <c r="AD243" s="221">
        <f>IF(ISERROR(LOOKUP(AD$16,$L243:$X243,#REF!)),0,(LOOKUP(AD$16,$L243:$X243,#REF!)))</f>
        <v>0</v>
      </c>
      <c r="AE243" s="221">
        <f>IF(ISERROR(LOOKUP(AE$16,$L243:$X243,#REF!)),0,(LOOKUP(AE$16,$L243:$X243,#REF!)))</f>
        <v>0</v>
      </c>
      <c r="AF243" s="221">
        <f>IF(ISERROR(LOOKUP(AF$16,$L243:$X243,#REF!)),0,(LOOKUP(AF$16,$L243:$X243,#REF!)))</f>
        <v>0</v>
      </c>
      <c r="AG243" s="221">
        <f>IF(ISERROR(LOOKUP(AG$16,$L243:$X243,#REF!)),0,(LOOKUP(AG$16,$L243:$X243,#REF!)))</f>
        <v>0</v>
      </c>
      <c r="AH243" s="221">
        <f>IF(ISERROR(LOOKUP(AH$16,$L243:$X243,#REF!)),0,(LOOKUP(AH$16,$L243:$X243,#REF!)))</f>
        <v>0</v>
      </c>
      <c r="AI243" s="221">
        <f>IF(ISERROR(LOOKUP(AI$16,$L243:$X243,#REF!)),0,(LOOKUP(AI$16,$L243:$X243,#REF!)))</f>
        <v>0</v>
      </c>
      <c r="AJ243" s="221">
        <f>IF(ISERROR(LOOKUP(AJ$16,$L243:$X243,#REF!)),0,(LOOKUP(AJ$16,$L243:$X243,#REF!)))</f>
        <v>0</v>
      </c>
      <c r="AK243" s="221">
        <f>IF(ISERROR(LOOKUP(AK$16,$L243:$X243,#REF!)),0,(LOOKUP(AK$16,$L243:$X243,#REF!)))</f>
        <v>0</v>
      </c>
      <c r="AL243" s="221">
        <f>IF(ISERROR(LOOKUP(AL$16,$L243:$X243,#REF!)),0,(LOOKUP(AL$16,$L243:$X243,#REF!)))</f>
        <v>0</v>
      </c>
      <c r="AM243" s="221">
        <f ca="1">IF(ISERROR(LOOKUP(AM$16,$L243:$X243,#REF!)),0,(LOOKUP(AM$16,$L243:$X243,#REF!)))</f>
        <v>0</v>
      </c>
      <c r="AP243" s="215" t="e">
        <f>WORKDAY(IF(T244="",T243,T244),INDEX(AP$12:AP$15,MATCH($I242,$I$12:$I$15,0)),$AW$17:$AW$148)</f>
        <v>#REF!</v>
      </c>
      <c r="AQ243" s="215" t="e">
        <f>WORKDAY(IF(AP244="",AP243,AP244),INDEX(AQ$12:AQ$15,MATCH($I242,$I$12:$I$15,0)),$AW$17:$AW$148)</f>
        <v>#REF!</v>
      </c>
      <c r="AR243" s="215" t="e">
        <f>WORKDAY(IF(AQ244="",AQ243,AQ244),INDEX(AR$12:AR$15,MATCH($I242,$I$12:$I$15,0)),$AW$17:$AW$148)</f>
        <v>#REF!</v>
      </c>
      <c r="AS243" s="440"/>
      <c r="AW243" s="223"/>
    </row>
    <row r="244" spans="1:49" s="166" customFormat="1" ht="18" customHeight="1">
      <c r="A244" s="482"/>
      <c r="B244" s="481"/>
      <c r="C244" s="458"/>
      <c r="D244" s="458" t="s">
        <v>4819</v>
      </c>
      <c r="E244" s="212"/>
      <c r="F244" s="458" t="str">
        <f>F242</f>
        <v>Piping</v>
      </c>
      <c r="G244" s="458" t="str">
        <f>G242</f>
        <v>N</v>
      </c>
      <c r="H244" s="451"/>
      <c r="I244" s="212" t="str">
        <f>I242</f>
        <v>LD</v>
      </c>
      <c r="J244" s="249" t="s">
        <v>70</v>
      </c>
      <c r="K244" s="212"/>
      <c r="L244" s="212"/>
      <c r="M244" s="212"/>
      <c r="N244" s="212"/>
      <c r="O244" s="212"/>
      <c r="P244" s="226"/>
      <c r="Q244" s="227"/>
      <c r="R244" s="212"/>
      <c r="S244" s="212"/>
      <c r="T244" s="212"/>
      <c r="U244" s="212"/>
      <c r="V244" s="212"/>
      <c r="W244" s="228"/>
      <c r="X244" s="212"/>
      <c r="Y244" s="448"/>
      <c r="Z244" s="443"/>
      <c r="AA244" s="443"/>
      <c r="AB244" s="442"/>
      <c r="AC244" s="229">
        <f>IF(ISERROR(LOOKUP(AC$16,$L244:$X244,#REF!)),0,(LOOKUP(AC$16,$L244:$X244,#REF!)))</f>
        <v>0</v>
      </c>
      <c r="AD244" s="230">
        <f>IF(ISERROR(LOOKUP(AD$16,$L244:$X244,#REF!)),0,(LOOKUP(AD$16,$L244:$X244,#REF!)))</f>
        <v>0</v>
      </c>
      <c r="AE244" s="230">
        <f>IF(ISERROR(LOOKUP(AE$16,$L244:$X244,#REF!)),0,(LOOKUP(AE$16,$L244:$X244,#REF!)))</f>
        <v>0</v>
      </c>
      <c r="AF244" s="230">
        <f>IF(ISERROR(LOOKUP(AF$16,$L244:$X244,#REF!)),0,(LOOKUP(AF$16,$L244:$X244,#REF!)))</f>
        <v>0</v>
      </c>
      <c r="AG244" s="230">
        <f>IF(ISERROR(LOOKUP(AG$16,$L244:$X244,#REF!)),0,(LOOKUP(AG$16,$L244:$X244,#REF!)))</f>
        <v>0</v>
      </c>
      <c r="AH244" s="230">
        <f>IF(ISERROR(LOOKUP(AH$16,$L244:$X244,#REF!)),0,(LOOKUP(AH$16,$L244:$X244,#REF!)))</f>
        <v>0</v>
      </c>
      <c r="AI244" s="230">
        <f>IF(ISERROR(LOOKUP(AI$16,$L244:$X244,#REF!)),0,(LOOKUP(AI$16,$L244:$X244,#REF!)))</f>
        <v>0</v>
      </c>
      <c r="AJ244" s="230">
        <f>IF(ISERROR(LOOKUP(AJ$16,$L244:$X244,#REF!)),0,(LOOKUP(AJ$16,$L244:$X244,#REF!)))</f>
        <v>0</v>
      </c>
      <c r="AK244" s="230">
        <f>IF(ISERROR(LOOKUP(AK$16,$L244:$X244,#REF!)),0,(LOOKUP(AK$16,$L244:$X244,#REF!)))</f>
        <v>0</v>
      </c>
      <c r="AL244" s="230">
        <f>IF(ISERROR(LOOKUP(AL$16,$L244:$X244,#REF!)),0,(LOOKUP(AL$16,$L244:$X244,#REF!)))</f>
        <v>0</v>
      </c>
      <c r="AM244" s="230">
        <f ca="1">IF(ISERROR(LOOKUP(AM$16,$L244:$X244,#REF!)),0,(LOOKUP(AM$16,$L244:$X244,#REF!)))</f>
        <v>0</v>
      </c>
      <c r="AP244" s="248"/>
      <c r="AQ244" s="248"/>
      <c r="AR244" s="248"/>
      <c r="AS244" s="440"/>
      <c r="AW244" s="223"/>
    </row>
    <row r="245" spans="1:49" s="166" customFormat="1" ht="18" customHeight="1">
      <c r="A245" s="482"/>
      <c r="B245" s="479"/>
      <c r="C245" s="458"/>
      <c r="D245" s="458" t="s">
        <v>274</v>
      </c>
      <c r="E245" s="212"/>
      <c r="F245" s="458" t="s">
        <v>86</v>
      </c>
      <c r="G245" s="458" t="s">
        <v>75</v>
      </c>
      <c r="H245" s="449"/>
      <c r="I245" s="212" t="s">
        <v>9</v>
      </c>
      <c r="J245" s="249" t="s">
        <v>4732</v>
      </c>
      <c r="K245" s="215">
        <f>WORKDAY(L245,-INDEX(L$12:L$15,MATCH($I245,$I$12:$I$15,0)))</f>
        <v>46219</v>
      </c>
      <c r="L245" s="215">
        <f>WORKDAY(M245,-INDEX(M$12:M$15,MATCH($I245,$I$12:$I$15,0)))</f>
        <v>46224</v>
      </c>
      <c r="M245" s="215">
        <f>WORKDAY(N245,-INDEX(N$12:N$15,MATCH($I245,$I$12:$I$15,0)))</f>
        <v>46231</v>
      </c>
      <c r="N245" s="215">
        <f>WORKDAY(O245,-INDEX(O$12:O$15,MATCH($I245,$I$12:$I$15,0)))</f>
        <v>46232</v>
      </c>
      <c r="O245" s="215">
        <f>WORKDAY(R245,-INDEX(R$12:R$15,MATCH($I245,$I$12:$I$15,0)))</f>
        <v>46237</v>
      </c>
      <c r="P245" s="216">
        <f>U245-L245</f>
        <v>38</v>
      </c>
      <c r="Q245" s="217"/>
      <c r="R245" s="215">
        <f>WORKDAY(S245,-INDEX(S$12:S$15,MATCH($I245,$I$12:$I$15,0)))</f>
        <v>46244</v>
      </c>
      <c r="S245" s="215">
        <f>WORKDAY(T245,-INDEX(T$12:T$15,MATCH($I245,$I$12:$I$15,0)))</f>
        <v>46253</v>
      </c>
      <c r="T245" s="215">
        <f>WORKDAY(U245,-INDEX(U$12:U$15,MATCH($I245,$I$12:$I$15,0)))</f>
        <v>46255</v>
      </c>
      <c r="U245" s="215">
        <f>X245-Y245</f>
        <v>46262</v>
      </c>
      <c r="V245" s="215">
        <f>WORKDAY(U245,INDEX(V$12:V$15,MATCH($I245,$I$12:$I$15,0)))</f>
        <v>46266</v>
      </c>
      <c r="W245" s="218">
        <f>Y245/7</f>
        <v>17.1428571428571</v>
      </c>
      <c r="X245" s="215">
        <f>Z245</f>
        <v>46382</v>
      </c>
      <c r="Y245" s="448">
        <v>120</v>
      </c>
      <c r="Z245" s="443">
        <v>46382</v>
      </c>
      <c r="AA245" s="443">
        <v>46538</v>
      </c>
      <c r="AB245" s="442">
        <f>Z245-X246</f>
        <v>0</v>
      </c>
      <c r="AC245" s="220">
        <f>IF(ISERROR(LOOKUP(AC$16,$L245:$X245,#REF!)),0,(LOOKUP(AC$16,$L245:$X245,#REF!)))</f>
        <v>0</v>
      </c>
      <c r="AD245" s="221">
        <f>IF(ISERROR(LOOKUP(AD$16,$L245:$X245,#REF!)),0,(LOOKUP(AD$16,$L245:$X245,#REF!)))</f>
        <v>0</v>
      </c>
      <c r="AE245" s="221">
        <f>IF(ISERROR(LOOKUP(AE$16,$L245:$X245,#REF!)),0,(LOOKUP(AE$16,$L245:$X245,#REF!)))</f>
        <v>0</v>
      </c>
      <c r="AF245" s="221">
        <f>IF(ISERROR(LOOKUP(AF$16,$L245:$X245,#REF!)),0,(LOOKUP(AF$16,$L245:$X245,#REF!)))</f>
        <v>0</v>
      </c>
      <c r="AG245" s="221">
        <f>IF(ISERROR(LOOKUP(AG$16,$L245:$X245,#REF!)),0,(LOOKUP(AG$16,$L245:$X245,#REF!)))</f>
        <v>0</v>
      </c>
      <c r="AH245" s="221">
        <f>IF(ISERROR(LOOKUP(AH$16,$L245:$X245,#REF!)),0,(LOOKUP(AH$16,$L245:$X245,#REF!)))</f>
        <v>0</v>
      </c>
      <c r="AI245" s="221">
        <f>IF(ISERROR(LOOKUP(AI$16,$L245:$X245,#REF!)),0,(LOOKUP(AI$16,$L245:$X245,#REF!)))</f>
        <v>0</v>
      </c>
      <c r="AJ245" s="221">
        <f>IF(ISERROR(LOOKUP(AJ$16,$L245:$X245,#REF!)),0,(LOOKUP(AJ$16,$L245:$X245,#REF!)))</f>
        <v>0</v>
      </c>
      <c r="AK245" s="221">
        <f>IF(ISERROR(LOOKUP(AK$16,$L245:$X245,#REF!)),0,(LOOKUP(AK$16,$L245:$X245,#REF!)))</f>
        <v>0</v>
      </c>
      <c r="AL245" s="221">
        <f>IF(ISERROR(LOOKUP(AL$16,$L245:$X245,#REF!)),0,(LOOKUP(AL$16,$L245:$X245,#REF!)))</f>
        <v>0</v>
      </c>
      <c r="AM245" s="221">
        <f ca="1">IF(ISERROR(LOOKUP(AM$16,$L245:$X245,#REF!)),0,(LOOKUP(AM$16,$L245:$X245,#REF!)))</f>
        <v>0</v>
      </c>
      <c r="AP245" s="215" t="e">
        <f>WORKDAY(AQ245,-INDEX(AQ$12:AQ$15,MATCH($I245,$I$12:$I$15,0)),$AW$17:$AW$148)</f>
        <v>#REF!</v>
      </c>
      <c r="AQ245" s="215" t="e">
        <f>WORKDAY(U245,-INDEX(U$12:U$15,MATCH($I245,$I$12:$I$15,0)),$AW$17:$AW$148)</f>
        <v>#REF!</v>
      </c>
      <c r="AR245" s="215" t="e">
        <f>WORKDAY(U245,-INDEX(U$12:U$15,MATCH($I245,$I$12:$I$15,0)),$AW$17:$AW$148)</f>
        <v>#REF!</v>
      </c>
      <c r="AS245" s="440">
        <v>7</v>
      </c>
      <c r="AW245" s="223"/>
    </row>
    <row r="246" spans="1:49" s="166" customFormat="1" ht="18" customHeight="1">
      <c r="A246" s="482"/>
      <c r="B246" s="480"/>
      <c r="C246" s="458"/>
      <c r="D246" s="458" t="s">
        <v>274</v>
      </c>
      <c r="E246" s="212"/>
      <c r="F246" s="458" t="str">
        <f>F245</f>
        <v>Piping</v>
      </c>
      <c r="G246" s="458" t="str">
        <f>G245</f>
        <v>N</v>
      </c>
      <c r="H246" s="450"/>
      <c r="I246" s="212" t="str">
        <f>I245</f>
        <v>LD</v>
      </c>
      <c r="J246" s="249" t="s">
        <v>68</v>
      </c>
      <c r="K246" s="215">
        <f>K245</f>
        <v>46219</v>
      </c>
      <c r="L246" s="215">
        <f>WORKDAY(IF(K247="",K246,K247),INDEX(L$12:L$15,MATCH($I245,$I$12:$I$15,0)))</f>
        <v>46224</v>
      </c>
      <c r="M246" s="215">
        <f>WORKDAY(IF(L247="",L246,L247),INDEX(M$12:M$15,MATCH($I245,$I$12:$I$15,0)))</f>
        <v>46231</v>
      </c>
      <c r="N246" s="215">
        <f>WORKDAY(IF(M247="",M246,M247),INDEX(N$12:N$15,MATCH($I245,$I$12:$I$15,0)))</f>
        <v>46232</v>
      </c>
      <c r="O246" s="215">
        <f>WORKDAY(IF(N247="",N246,N247),INDEX(O$12:O$15,MATCH($I245,$I$12:$I$15,0)))</f>
        <v>46237</v>
      </c>
      <c r="P246" s="216"/>
      <c r="Q246" s="217"/>
      <c r="R246" s="215">
        <f>WORKDAY(IF(O247="",O246,O247),INDEX(R$12:R$15,MATCH($I245,$I$12:$I$15,0)))</f>
        <v>46244</v>
      </c>
      <c r="S246" s="215">
        <f>WORKDAY(IF(R247="",R246,R247),INDEX(S$12:S$15,MATCH($I245,$I$12:$I$15,0)))</f>
        <v>46253</v>
      </c>
      <c r="T246" s="215">
        <f>WORKDAY(IF(S247="",S246,S247),INDEX(T$12:T$15,MATCH($I245,$I$12:$I$15,0)))</f>
        <v>46255</v>
      </c>
      <c r="U246" s="215">
        <f>WORKDAY(IF(T247="",T246,T247),INDEX(U$12:U$15,MATCH($I245,$I$12:$I$15,0)))</f>
        <v>46262</v>
      </c>
      <c r="V246" s="215">
        <f>WORKDAY(IF(U247="",U246,U247),INDEX(V$12:V$15,MATCH($I245,$I$12:$I$15,0)))</f>
        <v>46266</v>
      </c>
      <c r="W246" s="218"/>
      <c r="X246" s="215">
        <f>U246+Y245</f>
        <v>46382</v>
      </c>
      <c r="Y246" s="448"/>
      <c r="Z246" s="443"/>
      <c r="AA246" s="443"/>
      <c r="AB246" s="442"/>
      <c r="AC246" s="220">
        <f>IF(ISERROR(LOOKUP(AC$16,$L246:$X246,#REF!)),0,(LOOKUP(AC$16,$L246:$X246,#REF!)))</f>
        <v>0</v>
      </c>
      <c r="AD246" s="221">
        <f>IF(ISERROR(LOOKUP(AD$16,$L246:$X246,#REF!)),0,(LOOKUP(AD$16,$L246:$X246,#REF!)))</f>
        <v>0</v>
      </c>
      <c r="AE246" s="221">
        <f>IF(ISERROR(LOOKUP(AE$16,$L246:$X246,#REF!)),0,(LOOKUP(AE$16,$L246:$X246,#REF!)))</f>
        <v>0</v>
      </c>
      <c r="AF246" s="221">
        <f>IF(ISERROR(LOOKUP(AF$16,$L246:$X246,#REF!)),0,(LOOKUP(AF$16,$L246:$X246,#REF!)))</f>
        <v>0</v>
      </c>
      <c r="AG246" s="221">
        <f>IF(ISERROR(LOOKUP(AG$16,$L246:$X246,#REF!)),0,(LOOKUP(AG$16,$L246:$X246,#REF!)))</f>
        <v>0</v>
      </c>
      <c r="AH246" s="221">
        <f>IF(ISERROR(LOOKUP(AH$16,$L246:$X246,#REF!)),0,(LOOKUP(AH$16,$L246:$X246,#REF!)))</f>
        <v>0</v>
      </c>
      <c r="AI246" s="221">
        <f>IF(ISERROR(LOOKUP(AI$16,$L246:$X246,#REF!)),0,(LOOKUP(AI$16,$L246:$X246,#REF!)))</f>
        <v>0</v>
      </c>
      <c r="AJ246" s="221">
        <f>IF(ISERROR(LOOKUP(AJ$16,$L246:$X246,#REF!)),0,(LOOKUP(AJ$16,$L246:$X246,#REF!)))</f>
        <v>0</v>
      </c>
      <c r="AK246" s="221">
        <f>IF(ISERROR(LOOKUP(AK$16,$L246:$X246,#REF!)),0,(LOOKUP(AK$16,$L246:$X246,#REF!)))</f>
        <v>0</v>
      </c>
      <c r="AL246" s="221">
        <f>IF(ISERROR(LOOKUP(AL$16,$L246:$X246,#REF!)),0,(LOOKUP(AL$16,$L246:$X246,#REF!)))</f>
        <v>0</v>
      </c>
      <c r="AM246" s="221">
        <f ca="1">IF(ISERROR(LOOKUP(AM$16,$L246:$X246,#REF!)),0,(LOOKUP(AM$16,$L246:$X246,#REF!)))</f>
        <v>0</v>
      </c>
      <c r="AP246" s="215" t="e">
        <f>WORKDAY(IF(T247="",T246,T247),INDEX(AP$12:AP$15,MATCH($I245,$I$12:$I$15,0)),$AW$17:$AW$148)</f>
        <v>#REF!</v>
      </c>
      <c r="AQ246" s="215" t="e">
        <f>WORKDAY(IF(AP247="",AP246,AP247),INDEX(AQ$12:AQ$15,MATCH($I245,$I$12:$I$15,0)),$AW$17:$AW$148)</f>
        <v>#REF!</v>
      </c>
      <c r="AR246" s="215" t="e">
        <f>WORKDAY(IF(AQ247="",AQ246,AQ247),INDEX(AR$12:AR$15,MATCH($I245,$I$12:$I$15,0)),$AW$17:$AW$148)</f>
        <v>#REF!</v>
      </c>
      <c r="AS246" s="440"/>
      <c r="AW246" s="223"/>
    </row>
    <row r="247" spans="1:49" s="166" customFormat="1" ht="18" customHeight="1">
      <c r="A247" s="482"/>
      <c r="B247" s="481"/>
      <c r="C247" s="458"/>
      <c r="D247" s="458" t="s">
        <v>274</v>
      </c>
      <c r="E247" s="212"/>
      <c r="F247" s="458" t="str">
        <f>F245</f>
        <v>Piping</v>
      </c>
      <c r="G247" s="458" t="str">
        <f>G245</f>
        <v>N</v>
      </c>
      <c r="H247" s="451"/>
      <c r="I247" s="212" t="str">
        <f>I245</f>
        <v>LD</v>
      </c>
      <c r="J247" s="249" t="s">
        <v>70</v>
      </c>
      <c r="K247" s="212"/>
      <c r="L247" s="212"/>
      <c r="M247" s="212"/>
      <c r="N247" s="212"/>
      <c r="O247" s="212"/>
      <c r="P247" s="226"/>
      <c r="Q247" s="227"/>
      <c r="R247" s="212"/>
      <c r="S247" s="212"/>
      <c r="T247" s="212"/>
      <c r="U247" s="212"/>
      <c r="V247" s="212"/>
      <c r="W247" s="228"/>
      <c r="X247" s="212"/>
      <c r="Y247" s="448"/>
      <c r="Z247" s="443"/>
      <c r="AA247" s="443"/>
      <c r="AB247" s="442"/>
      <c r="AC247" s="229">
        <f>IF(ISERROR(LOOKUP(AC$16,$L247:$X247,#REF!)),0,(LOOKUP(AC$16,$L247:$X247,#REF!)))</f>
        <v>0</v>
      </c>
      <c r="AD247" s="230">
        <f>IF(ISERROR(LOOKUP(AD$16,$L247:$X247,#REF!)),0,(LOOKUP(AD$16,$L247:$X247,#REF!)))</f>
        <v>0</v>
      </c>
      <c r="AE247" s="230">
        <f>IF(ISERROR(LOOKUP(AE$16,$L247:$X247,#REF!)),0,(LOOKUP(AE$16,$L247:$X247,#REF!)))</f>
        <v>0</v>
      </c>
      <c r="AF247" s="230">
        <f>IF(ISERROR(LOOKUP(AF$16,$L247:$X247,#REF!)),0,(LOOKUP(AF$16,$L247:$X247,#REF!)))</f>
        <v>0</v>
      </c>
      <c r="AG247" s="230">
        <f>IF(ISERROR(LOOKUP(AG$16,$L247:$X247,#REF!)),0,(LOOKUP(AG$16,$L247:$X247,#REF!)))</f>
        <v>0</v>
      </c>
      <c r="AH247" s="230">
        <f>IF(ISERROR(LOOKUP(AH$16,$L247:$X247,#REF!)),0,(LOOKUP(AH$16,$L247:$X247,#REF!)))</f>
        <v>0</v>
      </c>
      <c r="AI247" s="230">
        <f>IF(ISERROR(LOOKUP(AI$16,$L247:$X247,#REF!)),0,(LOOKUP(AI$16,$L247:$X247,#REF!)))</f>
        <v>0</v>
      </c>
      <c r="AJ247" s="230">
        <f>IF(ISERROR(LOOKUP(AJ$16,$L247:$X247,#REF!)),0,(LOOKUP(AJ$16,$L247:$X247,#REF!)))</f>
        <v>0</v>
      </c>
      <c r="AK247" s="230">
        <f>IF(ISERROR(LOOKUP(AK$16,$L247:$X247,#REF!)),0,(LOOKUP(AK$16,$L247:$X247,#REF!)))</f>
        <v>0</v>
      </c>
      <c r="AL247" s="230">
        <f>IF(ISERROR(LOOKUP(AL$16,$L247:$X247,#REF!)),0,(LOOKUP(AL$16,$L247:$X247,#REF!)))</f>
        <v>0</v>
      </c>
      <c r="AM247" s="230">
        <f ca="1">IF(ISERROR(LOOKUP(AM$16,$L247:$X247,#REF!)),0,(LOOKUP(AM$16,$L247:$X247,#REF!)))</f>
        <v>0</v>
      </c>
      <c r="AP247" s="248"/>
      <c r="AQ247" s="248"/>
      <c r="AR247" s="248"/>
      <c r="AS247" s="440"/>
      <c r="AW247" s="223"/>
    </row>
  </sheetData>
  <autoFilter ref="A16:BK247" xr:uid="{00000000-0009-0000-0000-000003000000}"/>
  <mergeCells count="908">
    <mergeCell ref="A17:A19"/>
    <mergeCell ref="A20:A22"/>
    <mergeCell ref="A23:A25"/>
    <mergeCell ref="A26:A28"/>
    <mergeCell ref="A29:A31"/>
    <mergeCell ref="A32:A34"/>
    <mergeCell ref="A35:A37"/>
    <mergeCell ref="A38:A40"/>
    <mergeCell ref="A41:A43"/>
    <mergeCell ref="A44:A46"/>
    <mergeCell ref="A47:A49"/>
    <mergeCell ref="A50:A52"/>
    <mergeCell ref="A53:A55"/>
    <mergeCell ref="A56:A58"/>
    <mergeCell ref="A59:A61"/>
    <mergeCell ref="A62:A64"/>
    <mergeCell ref="A65:A67"/>
    <mergeCell ref="A68:A70"/>
    <mergeCell ref="A71:A73"/>
    <mergeCell ref="A74:A76"/>
    <mergeCell ref="A77:A79"/>
    <mergeCell ref="A80:A82"/>
    <mergeCell ref="A83:A85"/>
    <mergeCell ref="A86:A88"/>
    <mergeCell ref="A89:A91"/>
    <mergeCell ref="A92:A94"/>
    <mergeCell ref="A95:A97"/>
    <mergeCell ref="A98:A100"/>
    <mergeCell ref="A101:A103"/>
    <mergeCell ref="A104:A106"/>
    <mergeCell ref="A107:A109"/>
    <mergeCell ref="A110:A112"/>
    <mergeCell ref="A113:A115"/>
    <mergeCell ref="A116:A118"/>
    <mergeCell ref="A119:A121"/>
    <mergeCell ref="A122:A124"/>
    <mergeCell ref="A125:A127"/>
    <mergeCell ref="A128:A130"/>
    <mergeCell ref="A131:A133"/>
    <mergeCell ref="A134:A136"/>
    <mergeCell ref="A137:A139"/>
    <mergeCell ref="A140:A142"/>
    <mergeCell ref="A143:A145"/>
    <mergeCell ref="A146:A148"/>
    <mergeCell ref="A149:A151"/>
    <mergeCell ref="A152:A154"/>
    <mergeCell ref="A155:A157"/>
    <mergeCell ref="A158:A160"/>
    <mergeCell ref="A161:A163"/>
    <mergeCell ref="A164:A166"/>
    <mergeCell ref="A167:A169"/>
    <mergeCell ref="A170:A172"/>
    <mergeCell ref="A173:A175"/>
    <mergeCell ref="A176:A178"/>
    <mergeCell ref="A179:A181"/>
    <mergeCell ref="A182:A184"/>
    <mergeCell ref="A185:A187"/>
    <mergeCell ref="A188:A190"/>
    <mergeCell ref="A191:A193"/>
    <mergeCell ref="A194:A196"/>
    <mergeCell ref="A197:A199"/>
    <mergeCell ref="A200:A202"/>
    <mergeCell ref="A203:A205"/>
    <mergeCell ref="A206:A208"/>
    <mergeCell ref="A209:A211"/>
    <mergeCell ref="A212:A214"/>
    <mergeCell ref="A215:A217"/>
    <mergeCell ref="A218:A220"/>
    <mergeCell ref="A221:A223"/>
    <mergeCell ref="A224:A226"/>
    <mergeCell ref="A227:A229"/>
    <mergeCell ref="A230:A232"/>
    <mergeCell ref="A233:A235"/>
    <mergeCell ref="A236:A238"/>
    <mergeCell ref="A239:A241"/>
    <mergeCell ref="A242:A244"/>
    <mergeCell ref="A245:A247"/>
    <mergeCell ref="B17:B19"/>
    <mergeCell ref="B20:B22"/>
    <mergeCell ref="B23:B25"/>
    <mergeCell ref="B26:B28"/>
    <mergeCell ref="B29:B31"/>
    <mergeCell ref="B32:B34"/>
    <mergeCell ref="B35:B37"/>
    <mergeCell ref="B38:B40"/>
    <mergeCell ref="B41:B43"/>
    <mergeCell ref="B44:B46"/>
    <mergeCell ref="B47:B49"/>
    <mergeCell ref="B50:B52"/>
    <mergeCell ref="B53:B55"/>
    <mergeCell ref="B56:B58"/>
    <mergeCell ref="B59:B61"/>
    <mergeCell ref="B62:B64"/>
    <mergeCell ref="B65:B67"/>
    <mergeCell ref="B68:B70"/>
    <mergeCell ref="B71:B73"/>
    <mergeCell ref="B74:B76"/>
    <mergeCell ref="B77:B79"/>
    <mergeCell ref="B80:B82"/>
    <mergeCell ref="B83:B85"/>
    <mergeCell ref="B86:B88"/>
    <mergeCell ref="B89:B91"/>
    <mergeCell ref="B92:B94"/>
    <mergeCell ref="B95:B97"/>
    <mergeCell ref="B98:B100"/>
    <mergeCell ref="B101:B103"/>
    <mergeCell ref="B104:B106"/>
    <mergeCell ref="B107:B109"/>
    <mergeCell ref="B110:B112"/>
    <mergeCell ref="B113:B115"/>
    <mergeCell ref="B116:B118"/>
    <mergeCell ref="B119:B121"/>
    <mergeCell ref="B122:B124"/>
    <mergeCell ref="B125:B127"/>
    <mergeCell ref="B128:B130"/>
    <mergeCell ref="B131:B133"/>
    <mergeCell ref="B134:B136"/>
    <mergeCell ref="B137:B139"/>
    <mergeCell ref="B140:B142"/>
    <mergeCell ref="B143:B145"/>
    <mergeCell ref="B146:B148"/>
    <mergeCell ref="B149:B151"/>
    <mergeCell ref="B152:B154"/>
    <mergeCell ref="B155:B157"/>
    <mergeCell ref="B158:B160"/>
    <mergeCell ref="B161:B163"/>
    <mergeCell ref="B164:B166"/>
    <mergeCell ref="B167:B169"/>
    <mergeCell ref="B170:B172"/>
    <mergeCell ref="B173:B175"/>
    <mergeCell ref="B176:B178"/>
    <mergeCell ref="B179:B181"/>
    <mergeCell ref="B182:B184"/>
    <mergeCell ref="B185:B187"/>
    <mergeCell ref="B188:B190"/>
    <mergeCell ref="B191:B193"/>
    <mergeCell ref="B194:B196"/>
    <mergeCell ref="B197:B199"/>
    <mergeCell ref="B200:B202"/>
    <mergeCell ref="B203:B205"/>
    <mergeCell ref="B206:B208"/>
    <mergeCell ref="B209:B211"/>
    <mergeCell ref="B212:B214"/>
    <mergeCell ref="B215:B217"/>
    <mergeCell ref="B218:B220"/>
    <mergeCell ref="B221:B223"/>
    <mergeCell ref="B224:B226"/>
    <mergeCell ref="B227:B229"/>
    <mergeCell ref="B230:B232"/>
    <mergeCell ref="B233:B235"/>
    <mergeCell ref="B236:B238"/>
    <mergeCell ref="B239:B241"/>
    <mergeCell ref="B242:B244"/>
    <mergeCell ref="B245:B247"/>
    <mergeCell ref="C17:C19"/>
    <mergeCell ref="C20:C22"/>
    <mergeCell ref="C23:C25"/>
    <mergeCell ref="C26:C28"/>
    <mergeCell ref="C29:C31"/>
    <mergeCell ref="C32:C34"/>
    <mergeCell ref="C35:C37"/>
    <mergeCell ref="C38:C40"/>
    <mergeCell ref="C41:C43"/>
    <mergeCell ref="C44:C46"/>
    <mergeCell ref="C47:C49"/>
    <mergeCell ref="C50:C52"/>
    <mergeCell ref="C53:C55"/>
    <mergeCell ref="C56:C58"/>
    <mergeCell ref="C59:C61"/>
    <mergeCell ref="C62:C64"/>
    <mergeCell ref="C65:C67"/>
    <mergeCell ref="C68:C70"/>
    <mergeCell ref="C71:C73"/>
    <mergeCell ref="C74:C76"/>
    <mergeCell ref="C77:C79"/>
    <mergeCell ref="C80:C82"/>
    <mergeCell ref="C83:C85"/>
    <mergeCell ref="C86:C88"/>
    <mergeCell ref="C89:C91"/>
    <mergeCell ref="C92:C94"/>
    <mergeCell ref="C95:C97"/>
    <mergeCell ref="C98:C100"/>
    <mergeCell ref="C101:C103"/>
    <mergeCell ref="C104:C106"/>
    <mergeCell ref="C107:C109"/>
    <mergeCell ref="C110:C112"/>
    <mergeCell ref="C113:C115"/>
    <mergeCell ref="C116:C118"/>
    <mergeCell ref="C119:C121"/>
    <mergeCell ref="C122:C124"/>
    <mergeCell ref="C125:C127"/>
    <mergeCell ref="C128:C130"/>
    <mergeCell ref="C131:C133"/>
    <mergeCell ref="C134:C136"/>
    <mergeCell ref="C137:C139"/>
    <mergeCell ref="C140:C142"/>
    <mergeCell ref="C143:C145"/>
    <mergeCell ref="C146:C148"/>
    <mergeCell ref="C149:C151"/>
    <mergeCell ref="C152:C154"/>
    <mergeCell ref="C155:C157"/>
    <mergeCell ref="C158:C160"/>
    <mergeCell ref="C161:C163"/>
    <mergeCell ref="C164:C166"/>
    <mergeCell ref="C167:C169"/>
    <mergeCell ref="C170:C172"/>
    <mergeCell ref="C173:C175"/>
    <mergeCell ref="C176:C178"/>
    <mergeCell ref="C179:C181"/>
    <mergeCell ref="C182:C184"/>
    <mergeCell ref="C185:C187"/>
    <mergeCell ref="C188:C190"/>
    <mergeCell ref="C191:C193"/>
    <mergeCell ref="C194:C196"/>
    <mergeCell ref="C197:C199"/>
    <mergeCell ref="C200:C202"/>
    <mergeCell ref="C203:C205"/>
    <mergeCell ref="C206:C208"/>
    <mergeCell ref="C209:C211"/>
    <mergeCell ref="C212:C214"/>
    <mergeCell ref="C215:C217"/>
    <mergeCell ref="C218:C220"/>
    <mergeCell ref="C221:C223"/>
    <mergeCell ref="C224:C226"/>
    <mergeCell ref="C227:C229"/>
    <mergeCell ref="C230:C232"/>
    <mergeCell ref="C233:C235"/>
    <mergeCell ref="C236:C238"/>
    <mergeCell ref="C239:C241"/>
    <mergeCell ref="C242:C244"/>
    <mergeCell ref="C245:C247"/>
    <mergeCell ref="D17:D19"/>
    <mergeCell ref="D20:D22"/>
    <mergeCell ref="D23:D25"/>
    <mergeCell ref="D26:D28"/>
    <mergeCell ref="D29:D31"/>
    <mergeCell ref="D32:D34"/>
    <mergeCell ref="D35:D37"/>
    <mergeCell ref="D38:D40"/>
    <mergeCell ref="D41:D43"/>
    <mergeCell ref="D44:D46"/>
    <mergeCell ref="D47:D49"/>
    <mergeCell ref="D50:D52"/>
    <mergeCell ref="D53:D55"/>
    <mergeCell ref="D56:D58"/>
    <mergeCell ref="D59:D61"/>
    <mergeCell ref="D62:D64"/>
    <mergeCell ref="D65:D67"/>
    <mergeCell ref="D68:D70"/>
    <mergeCell ref="D71:D73"/>
    <mergeCell ref="D74:D76"/>
    <mergeCell ref="D77:D79"/>
    <mergeCell ref="D80:D82"/>
    <mergeCell ref="D83:D85"/>
    <mergeCell ref="D86:D88"/>
    <mergeCell ref="D89:D91"/>
    <mergeCell ref="D92:D94"/>
    <mergeCell ref="D95:D97"/>
    <mergeCell ref="D98:D100"/>
    <mergeCell ref="D101:D103"/>
    <mergeCell ref="D104:D106"/>
    <mergeCell ref="D107:D109"/>
    <mergeCell ref="D110:D112"/>
    <mergeCell ref="D113:D115"/>
    <mergeCell ref="D116:D118"/>
    <mergeCell ref="D119:D121"/>
    <mergeCell ref="D122:D124"/>
    <mergeCell ref="D125:D127"/>
    <mergeCell ref="D128:D130"/>
    <mergeCell ref="D131:D133"/>
    <mergeCell ref="D134:D136"/>
    <mergeCell ref="D137:D139"/>
    <mergeCell ref="D140:D142"/>
    <mergeCell ref="D143:D145"/>
    <mergeCell ref="D146:D148"/>
    <mergeCell ref="D149:D151"/>
    <mergeCell ref="D152:D154"/>
    <mergeCell ref="D155:D157"/>
    <mergeCell ref="D158:D160"/>
    <mergeCell ref="D197:D199"/>
    <mergeCell ref="D200:D202"/>
    <mergeCell ref="D203:D205"/>
    <mergeCell ref="D206:D208"/>
    <mergeCell ref="D209:D211"/>
    <mergeCell ref="D212:D214"/>
    <mergeCell ref="D161:D163"/>
    <mergeCell ref="D164:D166"/>
    <mergeCell ref="D167:D169"/>
    <mergeCell ref="D170:D172"/>
    <mergeCell ref="D173:D175"/>
    <mergeCell ref="D176:D178"/>
    <mergeCell ref="D179:D181"/>
    <mergeCell ref="D182:D184"/>
    <mergeCell ref="D185:D187"/>
    <mergeCell ref="D242:D244"/>
    <mergeCell ref="D245:D247"/>
    <mergeCell ref="E17:E19"/>
    <mergeCell ref="E20:E22"/>
    <mergeCell ref="E23:E25"/>
    <mergeCell ref="E26:E28"/>
    <mergeCell ref="E29:E31"/>
    <mergeCell ref="E35:E37"/>
    <mergeCell ref="E38:E40"/>
    <mergeCell ref="E41:E43"/>
    <mergeCell ref="E44:E46"/>
    <mergeCell ref="E47:E49"/>
    <mergeCell ref="D215:D217"/>
    <mergeCell ref="D218:D220"/>
    <mergeCell ref="D221:D223"/>
    <mergeCell ref="D224:D226"/>
    <mergeCell ref="D227:D229"/>
    <mergeCell ref="D230:D232"/>
    <mergeCell ref="D233:D235"/>
    <mergeCell ref="D236:D238"/>
    <mergeCell ref="D239:D241"/>
    <mergeCell ref="D188:D190"/>
    <mergeCell ref="D191:D193"/>
    <mergeCell ref="D194:D196"/>
    <mergeCell ref="F17:F19"/>
    <mergeCell ref="F20:F22"/>
    <mergeCell ref="F23:F25"/>
    <mergeCell ref="F26:F28"/>
    <mergeCell ref="F29:F31"/>
    <mergeCell ref="F32:F34"/>
    <mergeCell ref="F35:F37"/>
    <mergeCell ref="F38:F40"/>
    <mergeCell ref="F41:F43"/>
    <mergeCell ref="F44:F46"/>
    <mergeCell ref="F47:F49"/>
    <mergeCell ref="F50:F52"/>
    <mergeCell ref="F53:F55"/>
    <mergeCell ref="F56:F58"/>
    <mergeCell ref="F59:F61"/>
    <mergeCell ref="F62:F64"/>
    <mergeCell ref="F65:F67"/>
    <mergeCell ref="F68:F70"/>
    <mergeCell ref="F71:F73"/>
    <mergeCell ref="F74:F76"/>
    <mergeCell ref="F77:F79"/>
    <mergeCell ref="F80:F82"/>
    <mergeCell ref="F83:F85"/>
    <mergeCell ref="F86:F88"/>
    <mergeCell ref="F89:F91"/>
    <mergeCell ref="F92:F94"/>
    <mergeCell ref="F95:F97"/>
    <mergeCell ref="F98:F100"/>
    <mergeCell ref="F101:F103"/>
    <mergeCell ref="F104:F106"/>
    <mergeCell ref="F107:F109"/>
    <mergeCell ref="F110:F112"/>
    <mergeCell ref="F113:F115"/>
    <mergeCell ref="F116:F118"/>
    <mergeCell ref="F119:F121"/>
    <mergeCell ref="F122:F124"/>
    <mergeCell ref="F125:F127"/>
    <mergeCell ref="F128:F130"/>
    <mergeCell ref="F131:F133"/>
    <mergeCell ref="F134:F136"/>
    <mergeCell ref="F137:F139"/>
    <mergeCell ref="F140:F142"/>
    <mergeCell ref="F143:F145"/>
    <mergeCell ref="F146:F148"/>
    <mergeCell ref="F149:F151"/>
    <mergeCell ref="F152:F154"/>
    <mergeCell ref="F155:F157"/>
    <mergeCell ref="F158:F160"/>
    <mergeCell ref="F161:F163"/>
    <mergeCell ref="F164:F166"/>
    <mergeCell ref="F167:F169"/>
    <mergeCell ref="F170:F172"/>
    <mergeCell ref="F173:F175"/>
    <mergeCell ref="F176:F178"/>
    <mergeCell ref="F179:F181"/>
    <mergeCell ref="F182:F184"/>
    <mergeCell ref="F185:F187"/>
    <mergeCell ref="F188:F190"/>
    <mergeCell ref="F191:F193"/>
    <mergeCell ref="F194:F196"/>
    <mergeCell ref="F197:F199"/>
    <mergeCell ref="F200:F202"/>
    <mergeCell ref="F203:F205"/>
    <mergeCell ref="F206:F208"/>
    <mergeCell ref="F209:F211"/>
    <mergeCell ref="F212:F214"/>
    <mergeCell ref="F215:F217"/>
    <mergeCell ref="F218:F220"/>
    <mergeCell ref="F221:F223"/>
    <mergeCell ref="F224:F226"/>
    <mergeCell ref="F227:F229"/>
    <mergeCell ref="F230:F232"/>
    <mergeCell ref="F233:F235"/>
    <mergeCell ref="F236:F238"/>
    <mergeCell ref="F239:F241"/>
    <mergeCell ref="F242:F244"/>
    <mergeCell ref="F245:F247"/>
    <mergeCell ref="G17:G19"/>
    <mergeCell ref="G20:G22"/>
    <mergeCell ref="G23:G25"/>
    <mergeCell ref="G26:G28"/>
    <mergeCell ref="G29:G31"/>
    <mergeCell ref="G32:G34"/>
    <mergeCell ref="G35:G37"/>
    <mergeCell ref="G38:G40"/>
    <mergeCell ref="G41:G43"/>
    <mergeCell ref="G44:G46"/>
    <mergeCell ref="G47:G49"/>
    <mergeCell ref="G50:G52"/>
    <mergeCell ref="G53:G55"/>
    <mergeCell ref="G56:G58"/>
    <mergeCell ref="G59:G61"/>
    <mergeCell ref="G62:G64"/>
    <mergeCell ref="G65:G67"/>
    <mergeCell ref="G68:G70"/>
    <mergeCell ref="G71:G73"/>
    <mergeCell ref="G74:G76"/>
    <mergeCell ref="G77:G79"/>
    <mergeCell ref="G80:G82"/>
    <mergeCell ref="G83:G85"/>
    <mergeCell ref="G86:G88"/>
    <mergeCell ref="G89:G91"/>
    <mergeCell ref="G92:G94"/>
    <mergeCell ref="G95:G97"/>
    <mergeCell ref="G98:G100"/>
    <mergeCell ref="G101:G103"/>
    <mergeCell ref="G104:G106"/>
    <mergeCell ref="G107:G109"/>
    <mergeCell ref="G110:G112"/>
    <mergeCell ref="G113:G115"/>
    <mergeCell ref="G116:G118"/>
    <mergeCell ref="G119:G121"/>
    <mergeCell ref="G122:G124"/>
    <mergeCell ref="G125:G127"/>
    <mergeCell ref="G128:G130"/>
    <mergeCell ref="G131:G133"/>
    <mergeCell ref="G134:G136"/>
    <mergeCell ref="G137:G139"/>
    <mergeCell ref="G140:G142"/>
    <mergeCell ref="G143:G145"/>
    <mergeCell ref="G146:G148"/>
    <mergeCell ref="G149:G151"/>
    <mergeCell ref="G152:G154"/>
    <mergeCell ref="G155:G157"/>
    <mergeCell ref="G158:G160"/>
    <mergeCell ref="G161:G163"/>
    <mergeCell ref="G164:G166"/>
    <mergeCell ref="G167:G169"/>
    <mergeCell ref="G170:G172"/>
    <mergeCell ref="G173:G175"/>
    <mergeCell ref="G176:G178"/>
    <mergeCell ref="G179:G181"/>
    <mergeCell ref="G182:G184"/>
    <mergeCell ref="G185:G187"/>
    <mergeCell ref="G188:G190"/>
    <mergeCell ref="G191:G193"/>
    <mergeCell ref="G194:G196"/>
    <mergeCell ref="G197:G199"/>
    <mergeCell ref="G200:G202"/>
    <mergeCell ref="G203:G205"/>
    <mergeCell ref="G206:G208"/>
    <mergeCell ref="G209:G211"/>
    <mergeCell ref="G212:G214"/>
    <mergeCell ref="G215:G217"/>
    <mergeCell ref="G218:G220"/>
    <mergeCell ref="G221:G223"/>
    <mergeCell ref="G224:G226"/>
    <mergeCell ref="G227:G229"/>
    <mergeCell ref="G230:G232"/>
    <mergeCell ref="G233:G235"/>
    <mergeCell ref="G236:G238"/>
    <mergeCell ref="G239:G241"/>
    <mergeCell ref="G242:G244"/>
    <mergeCell ref="G245:G247"/>
    <mergeCell ref="H17:H19"/>
    <mergeCell ref="H20:H22"/>
    <mergeCell ref="H23:H25"/>
    <mergeCell ref="H26:H28"/>
    <mergeCell ref="H29:H31"/>
    <mergeCell ref="H32:H34"/>
    <mergeCell ref="H35:H37"/>
    <mergeCell ref="H38:H40"/>
    <mergeCell ref="H41:H43"/>
    <mergeCell ref="H44:H46"/>
    <mergeCell ref="H47:H49"/>
    <mergeCell ref="H50:H52"/>
    <mergeCell ref="H53:H55"/>
    <mergeCell ref="H56:H58"/>
    <mergeCell ref="H59:H61"/>
    <mergeCell ref="H62:H64"/>
    <mergeCell ref="H65:H67"/>
    <mergeCell ref="H68:H70"/>
    <mergeCell ref="H71:H73"/>
    <mergeCell ref="H74:H76"/>
    <mergeCell ref="H77:H79"/>
    <mergeCell ref="H80:H82"/>
    <mergeCell ref="H83:H85"/>
    <mergeCell ref="H86:H88"/>
    <mergeCell ref="H89:H91"/>
    <mergeCell ref="H92:H94"/>
    <mergeCell ref="H95:H97"/>
    <mergeCell ref="H98:H100"/>
    <mergeCell ref="H101:H103"/>
    <mergeCell ref="H104:H106"/>
    <mergeCell ref="H107:H109"/>
    <mergeCell ref="H110:H112"/>
    <mergeCell ref="H113:H115"/>
    <mergeCell ref="H116:H118"/>
    <mergeCell ref="H119:H121"/>
    <mergeCell ref="H122:H124"/>
    <mergeCell ref="H125:H127"/>
    <mergeCell ref="H128:H130"/>
    <mergeCell ref="H131:H133"/>
    <mergeCell ref="H134:H136"/>
    <mergeCell ref="H137:H139"/>
    <mergeCell ref="H140:H142"/>
    <mergeCell ref="H143:H145"/>
    <mergeCell ref="H146:H148"/>
    <mergeCell ref="H149:H151"/>
    <mergeCell ref="H152:H154"/>
    <mergeCell ref="H155:H157"/>
    <mergeCell ref="H158:H160"/>
    <mergeCell ref="H161:H163"/>
    <mergeCell ref="H164:H166"/>
    <mergeCell ref="H167:H169"/>
    <mergeCell ref="H170:H172"/>
    <mergeCell ref="H173:H175"/>
    <mergeCell ref="H176:H178"/>
    <mergeCell ref="H179:H181"/>
    <mergeCell ref="H182:H184"/>
    <mergeCell ref="H212:H214"/>
    <mergeCell ref="H215:H217"/>
    <mergeCell ref="H218:H220"/>
    <mergeCell ref="H221:H223"/>
    <mergeCell ref="H224:H226"/>
    <mergeCell ref="H227:H229"/>
    <mergeCell ref="H230:H232"/>
    <mergeCell ref="H233:H235"/>
    <mergeCell ref="H236:H238"/>
    <mergeCell ref="H239:H241"/>
    <mergeCell ref="H242:H244"/>
    <mergeCell ref="H245:H247"/>
    <mergeCell ref="Y17:Y19"/>
    <mergeCell ref="Y20:Y22"/>
    <mergeCell ref="Y23:Y25"/>
    <mergeCell ref="Y26:Y28"/>
    <mergeCell ref="Y29:Y31"/>
    <mergeCell ref="Y32:Y34"/>
    <mergeCell ref="Y35:Y37"/>
    <mergeCell ref="Y38:Y40"/>
    <mergeCell ref="Y41:Y43"/>
    <mergeCell ref="Y44:Y46"/>
    <mergeCell ref="Y47:Y49"/>
    <mergeCell ref="Y50:Y52"/>
    <mergeCell ref="Y53:Y55"/>
    <mergeCell ref="Y56:Y58"/>
    <mergeCell ref="Y59:Y61"/>
    <mergeCell ref="Y62:Y64"/>
    <mergeCell ref="Y65:Y67"/>
    <mergeCell ref="Y68:Y70"/>
    <mergeCell ref="Y71:Y73"/>
    <mergeCell ref="Y74:Y76"/>
    <mergeCell ref="Y77:Y79"/>
    <mergeCell ref="Y80:Y82"/>
    <mergeCell ref="Y83:Y85"/>
    <mergeCell ref="Y86:Y88"/>
    <mergeCell ref="Y89:Y91"/>
    <mergeCell ref="Y92:Y94"/>
    <mergeCell ref="Y95:Y97"/>
    <mergeCell ref="Y98:Y100"/>
    <mergeCell ref="Y101:Y103"/>
    <mergeCell ref="Y104:Y106"/>
    <mergeCell ref="Y107:Y109"/>
    <mergeCell ref="Y110:Y112"/>
    <mergeCell ref="Y113:Y115"/>
    <mergeCell ref="Y116:Y118"/>
    <mergeCell ref="Y119:Y121"/>
    <mergeCell ref="Y122:Y124"/>
    <mergeCell ref="Y125:Y127"/>
    <mergeCell ref="Y128:Y130"/>
    <mergeCell ref="Y131:Y133"/>
    <mergeCell ref="Y134:Y136"/>
    <mergeCell ref="Y137:Y139"/>
    <mergeCell ref="Y140:Y142"/>
    <mergeCell ref="Y143:Y145"/>
    <mergeCell ref="Y146:Y148"/>
    <mergeCell ref="Y149:Y151"/>
    <mergeCell ref="Y152:Y154"/>
    <mergeCell ref="Y155:Y157"/>
    <mergeCell ref="Y158:Y160"/>
    <mergeCell ref="Y161:Y163"/>
    <mergeCell ref="Y164:Y166"/>
    <mergeCell ref="Y167:Y169"/>
    <mergeCell ref="Y170:Y172"/>
    <mergeCell ref="Y173:Y175"/>
    <mergeCell ref="Y176:Y178"/>
    <mergeCell ref="Y179:Y181"/>
    <mergeCell ref="Y182:Y184"/>
    <mergeCell ref="Y185:Y187"/>
    <mergeCell ref="Y188:Y190"/>
    <mergeCell ref="Y191:Y193"/>
    <mergeCell ref="Y194:Y196"/>
    <mergeCell ref="Y197:Y199"/>
    <mergeCell ref="Y200:Y202"/>
    <mergeCell ref="Y203:Y205"/>
    <mergeCell ref="Y206:Y208"/>
    <mergeCell ref="Y209:Y211"/>
    <mergeCell ref="Y212:Y214"/>
    <mergeCell ref="Y215:Y217"/>
    <mergeCell ref="Y218:Y220"/>
    <mergeCell ref="Y221:Y223"/>
    <mergeCell ref="Y224:Y226"/>
    <mergeCell ref="Y227:Y229"/>
    <mergeCell ref="Y230:Y232"/>
    <mergeCell ref="Y233:Y235"/>
    <mergeCell ref="Y236:Y238"/>
    <mergeCell ref="Y239:Y241"/>
    <mergeCell ref="Y242:Y244"/>
    <mergeCell ref="Y245:Y247"/>
    <mergeCell ref="Z17:Z19"/>
    <mergeCell ref="Z20:Z22"/>
    <mergeCell ref="Z23:Z25"/>
    <mergeCell ref="Z26:Z28"/>
    <mergeCell ref="Z29:Z31"/>
    <mergeCell ref="Z32:Z34"/>
    <mergeCell ref="Z35:Z37"/>
    <mergeCell ref="Z38:Z40"/>
    <mergeCell ref="Z41:Z43"/>
    <mergeCell ref="Z44:Z46"/>
    <mergeCell ref="Z47:Z49"/>
    <mergeCell ref="Z50:Z52"/>
    <mergeCell ref="Z53:Z55"/>
    <mergeCell ref="Z56:Z58"/>
    <mergeCell ref="Z59:Z61"/>
    <mergeCell ref="Z62:Z64"/>
    <mergeCell ref="Z65:Z67"/>
    <mergeCell ref="Z68:Z70"/>
    <mergeCell ref="Z71:Z73"/>
    <mergeCell ref="Z74:Z76"/>
    <mergeCell ref="Z77:Z79"/>
    <mergeCell ref="Z80:Z82"/>
    <mergeCell ref="Z83:Z85"/>
    <mergeCell ref="Z86:Z88"/>
    <mergeCell ref="Z89:Z91"/>
    <mergeCell ref="Z92:Z94"/>
    <mergeCell ref="Z95:Z97"/>
    <mergeCell ref="Z98:Z100"/>
    <mergeCell ref="Z101:Z103"/>
    <mergeCell ref="Z104:Z106"/>
    <mergeCell ref="Z107:Z109"/>
    <mergeCell ref="Z110:Z112"/>
    <mergeCell ref="Z113:Z115"/>
    <mergeCell ref="Z116:Z118"/>
    <mergeCell ref="Z119:Z121"/>
    <mergeCell ref="Z122:Z124"/>
    <mergeCell ref="Z125:Z127"/>
    <mergeCell ref="Z128:Z130"/>
    <mergeCell ref="Z131:Z133"/>
    <mergeCell ref="Z134:Z136"/>
    <mergeCell ref="Z137:Z139"/>
    <mergeCell ref="Z140:Z142"/>
    <mergeCell ref="Z143:Z145"/>
    <mergeCell ref="Z146:Z148"/>
    <mergeCell ref="Z149:Z151"/>
    <mergeCell ref="Z152:Z154"/>
    <mergeCell ref="Z155:Z157"/>
    <mergeCell ref="Z158:Z160"/>
    <mergeCell ref="Z161:Z163"/>
    <mergeCell ref="Z164:Z166"/>
    <mergeCell ref="Z167:Z169"/>
    <mergeCell ref="Z170:Z172"/>
    <mergeCell ref="Z173:Z175"/>
    <mergeCell ref="Z176:Z178"/>
    <mergeCell ref="Z179:Z181"/>
    <mergeCell ref="Z182:Z184"/>
    <mergeCell ref="Z185:Z187"/>
    <mergeCell ref="Z188:Z190"/>
    <mergeCell ref="Z191:Z193"/>
    <mergeCell ref="Z194:Z196"/>
    <mergeCell ref="Z197:Z199"/>
    <mergeCell ref="Z200:Z202"/>
    <mergeCell ref="Z203:Z205"/>
    <mergeCell ref="Z206:Z208"/>
    <mergeCell ref="Z209:Z211"/>
    <mergeCell ref="Z212:Z214"/>
    <mergeCell ref="Z215:Z217"/>
    <mergeCell ref="Z218:Z220"/>
    <mergeCell ref="Z221:Z223"/>
    <mergeCell ref="Z224:Z226"/>
    <mergeCell ref="Z227:Z229"/>
    <mergeCell ref="Z230:Z232"/>
    <mergeCell ref="Z233:Z235"/>
    <mergeCell ref="Z236:Z238"/>
    <mergeCell ref="Z239:Z241"/>
    <mergeCell ref="Z242:Z244"/>
    <mergeCell ref="Z245:Z247"/>
    <mergeCell ref="AA17:AA19"/>
    <mergeCell ref="AA20:AA22"/>
    <mergeCell ref="AA23:AA25"/>
    <mergeCell ref="AA26:AA28"/>
    <mergeCell ref="AA29:AA31"/>
    <mergeCell ref="AA32:AA34"/>
    <mergeCell ref="AA35:AA37"/>
    <mergeCell ref="AA38:AA40"/>
    <mergeCell ref="AA41:AA43"/>
    <mergeCell ref="AA44:AA46"/>
    <mergeCell ref="AA47:AA49"/>
    <mergeCell ref="AA50:AA52"/>
    <mergeCell ref="AA53:AA55"/>
    <mergeCell ref="AA56:AA58"/>
    <mergeCell ref="AA59:AA61"/>
    <mergeCell ref="AA62:AA64"/>
    <mergeCell ref="AA65:AA67"/>
    <mergeCell ref="AA68:AA70"/>
    <mergeCell ref="AA71:AA73"/>
    <mergeCell ref="AA74:AA76"/>
    <mergeCell ref="AA77:AA79"/>
    <mergeCell ref="AA80:AA82"/>
    <mergeCell ref="AA83:AA85"/>
    <mergeCell ref="AA86:AA88"/>
    <mergeCell ref="AA89:AA91"/>
    <mergeCell ref="AA92:AA94"/>
    <mergeCell ref="AA95:AA97"/>
    <mergeCell ref="AA98:AA100"/>
    <mergeCell ref="AA101:AA103"/>
    <mergeCell ref="AA104:AA106"/>
    <mergeCell ref="AA107:AA109"/>
    <mergeCell ref="AA110:AA112"/>
    <mergeCell ref="AA113:AA115"/>
    <mergeCell ref="AA116:AA118"/>
    <mergeCell ref="AA119:AA121"/>
    <mergeCell ref="AA122:AA124"/>
    <mergeCell ref="AA125:AA127"/>
    <mergeCell ref="AA128:AA130"/>
    <mergeCell ref="AA131:AA133"/>
    <mergeCell ref="AA134:AA136"/>
    <mergeCell ref="AA137:AA139"/>
    <mergeCell ref="AA140:AA142"/>
    <mergeCell ref="AA143:AA145"/>
    <mergeCell ref="AA146:AA148"/>
    <mergeCell ref="AA149:AA151"/>
    <mergeCell ref="AA152:AA154"/>
    <mergeCell ref="AA155:AA157"/>
    <mergeCell ref="AA158:AA160"/>
    <mergeCell ref="AA161:AA163"/>
    <mergeCell ref="AA164:AA166"/>
    <mergeCell ref="AA167:AA169"/>
    <mergeCell ref="AA170:AA172"/>
    <mergeCell ref="AA173:AA175"/>
    <mergeCell ref="AA176:AA178"/>
    <mergeCell ref="AA179:AA181"/>
    <mergeCell ref="AA182:AA184"/>
    <mergeCell ref="AA212:AA214"/>
    <mergeCell ref="AA215:AA217"/>
    <mergeCell ref="AA218:AA220"/>
    <mergeCell ref="AA221:AA223"/>
    <mergeCell ref="AA224:AA226"/>
    <mergeCell ref="AA227:AA229"/>
    <mergeCell ref="AA230:AA232"/>
    <mergeCell ref="AA233:AA235"/>
    <mergeCell ref="AA236:AA238"/>
    <mergeCell ref="AA239:AA241"/>
    <mergeCell ref="AA242:AA244"/>
    <mergeCell ref="AA245:AA247"/>
    <mergeCell ref="AB17:AB19"/>
    <mergeCell ref="AB20:AB22"/>
    <mergeCell ref="AB23:AB25"/>
    <mergeCell ref="AB26:AB28"/>
    <mergeCell ref="AB29:AB31"/>
    <mergeCell ref="AB32:AB34"/>
    <mergeCell ref="AB35:AB37"/>
    <mergeCell ref="AB38:AB40"/>
    <mergeCell ref="AB41:AB43"/>
    <mergeCell ref="AB44:AB46"/>
    <mergeCell ref="AB47:AB49"/>
    <mergeCell ref="AB50:AB52"/>
    <mergeCell ref="AB53:AB55"/>
    <mergeCell ref="AB56:AB58"/>
    <mergeCell ref="AB59:AB61"/>
    <mergeCell ref="AB62:AB64"/>
    <mergeCell ref="AB65:AB67"/>
    <mergeCell ref="AB68:AB70"/>
    <mergeCell ref="AB71:AB73"/>
    <mergeCell ref="AB74:AB76"/>
    <mergeCell ref="AB77:AB79"/>
    <mergeCell ref="AB80:AB82"/>
    <mergeCell ref="AB83:AB85"/>
    <mergeCell ref="AB86:AB88"/>
    <mergeCell ref="AB89:AB91"/>
    <mergeCell ref="AB92:AB94"/>
    <mergeCell ref="AB95:AB97"/>
    <mergeCell ref="AB98:AB100"/>
    <mergeCell ref="AB101:AB103"/>
    <mergeCell ref="AB104:AB106"/>
    <mergeCell ref="AB107:AB109"/>
    <mergeCell ref="AB110:AB112"/>
    <mergeCell ref="AB113:AB115"/>
    <mergeCell ref="AB116:AB118"/>
    <mergeCell ref="AB119:AB121"/>
    <mergeCell ref="AB122:AB124"/>
    <mergeCell ref="AB125:AB127"/>
    <mergeCell ref="AB128:AB130"/>
    <mergeCell ref="AB131:AB133"/>
    <mergeCell ref="AB134:AB136"/>
    <mergeCell ref="AB137:AB139"/>
    <mergeCell ref="AB140:AB142"/>
    <mergeCell ref="AB143:AB145"/>
    <mergeCell ref="AB146:AB148"/>
    <mergeCell ref="AB149:AB151"/>
    <mergeCell ref="AB152:AB154"/>
    <mergeCell ref="AB155:AB157"/>
    <mergeCell ref="AB158:AB160"/>
    <mergeCell ref="AB161:AB163"/>
    <mergeCell ref="AB164:AB166"/>
    <mergeCell ref="AB167:AB169"/>
    <mergeCell ref="AB170:AB172"/>
    <mergeCell ref="AB173:AB175"/>
    <mergeCell ref="AB176:AB178"/>
    <mergeCell ref="AB179:AB181"/>
    <mergeCell ref="AB182:AB184"/>
    <mergeCell ref="AB185:AB187"/>
    <mergeCell ref="AB188:AB190"/>
    <mergeCell ref="AB191:AB193"/>
    <mergeCell ref="AB194:AB196"/>
    <mergeCell ref="AB197:AB199"/>
    <mergeCell ref="AB200:AB202"/>
    <mergeCell ref="AB203:AB205"/>
    <mergeCell ref="AB206:AB208"/>
    <mergeCell ref="AB209:AB211"/>
    <mergeCell ref="AB212:AB214"/>
    <mergeCell ref="AB215:AB217"/>
    <mergeCell ref="AB218:AB220"/>
    <mergeCell ref="AB221:AB223"/>
    <mergeCell ref="AB224:AB226"/>
    <mergeCell ref="AB227:AB229"/>
    <mergeCell ref="AB230:AB232"/>
    <mergeCell ref="AB233:AB235"/>
    <mergeCell ref="AB236:AB238"/>
    <mergeCell ref="AB239:AB241"/>
    <mergeCell ref="AB242:AB244"/>
    <mergeCell ref="AB245:AB247"/>
    <mergeCell ref="AS17:AS19"/>
    <mergeCell ref="AS20:AS22"/>
    <mergeCell ref="AS23:AS25"/>
    <mergeCell ref="AS26:AS28"/>
    <mergeCell ref="AS29:AS31"/>
    <mergeCell ref="AS32:AS34"/>
    <mergeCell ref="AS35:AS37"/>
    <mergeCell ref="AS38:AS40"/>
    <mergeCell ref="AS41:AS43"/>
    <mergeCell ref="AS44:AS46"/>
    <mergeCell ref="AS47:AS49"/>
    <mergeCell ref="AS50:AS52"/>
    <mergeCell ref="AS53:AS55"/>
    <mergeCell ref="AS56:AS58"/>
    <mergeCell ref="AS59:AS61"/>
    <mergeCell ref="AS62:AS64"/>
    <mergeCell ref="AS65:AS67"/>
    <mergeCell ref="AS68:AS70"/>
    <mergeCell ref="AS71:AS73"/>
    <mergeCell ref="AS74:AS76"/>
    <mergeCell ref="AS77:AS79"/>
    <mergeCell ref="AS80:AS82"/>
    <mergeCell ref="AS83:AS85"/>
    <mergeCell ref="AS86:AS88"/>
    <mergeCell ref="AS89:AS91"/>
    <mergeCell ref="AS92:AS94"/>
    <mergeCell ref="AS95:AS97"/>
    <mergeCell ref="AS98:AS100"/>
    <mergeCell ref="AS101:AS103"/>
    <mergeCell ref="AS104:AS106"/>
    <mergeCell ref="AS107:AS109"/>
    <mergeCell ref="AS110:AS112"/>
    <mergeCell ref="AS113:AS115"/>
    <mergeCell ref="AS116:AS118"/>
    <mergeCell ref="AS119:AS121"/>
    <mergeCell ref="AS122:AS124"/>
    <mergeCell ref="AS125:AS127"/>
    <mergeCell ref="AS128:AS130"/>
    <mergeCell ref="AS131:AS133"/>
    <mergeCell ref="AS134:AS136"/>
    <mergeCell ref="AS137:AS139"/>
    <mergeCell ref="AS140:AS142"/>
    <mergeCell ref="AS143:AS145"/>
    <mergeCell ref="AS146:AS148"/>
    <mergeCell ref="AS149:AS151"/>
    <mergeCell ref="AS152:AS154"/>
    <mergeCell ref="AS155:AS157"/>
    <mergeCell ref="AS158:AS160"/>
    <mergeCell ref="AS161:AS163"/>
    <mergeCell ref="AS164:AS166"/>
    <mergeCell ref="AS167:AS169"/>
    <mergeCell ref="AS170:AS172"/>
    <mergeCell ref="AS173:AS175"/>
    <mergeCell ref="AS176:AS178"/>
    <mergeCell ref="AS179:AS181"/>
    <mergeCell ref="AS236:AS238"/>
    <mergeCell ref="AS239:AS241"/>
    <mergeCell ref="AS242:AS244"/>
    <mergeCell ref="AS245:AS247"/>
    <mergeCell ref="AU194:AU196"/>
    <mergeCell ref="AS182:AS184"/>
    <mergeCell ref="AS212:AS214"/>
    <mergeCell ref="AS215:AS217"/>
    <mergeCell ref="AS218:AS220"/>
    <mergeCell ref="AS221:AS223"/>
    <mergeCell ref="AS224:AS226"/>
    <mergeCell ref="AS227:AS229"/>
    <mergeCell ref="AS230:AS232"/>
    <mergeCell ref="AS233:AS235"/>
  </mergeCells>
  <conditionalFormatting sqref="U55:V55 AP55:AR55 AP97:AR97 AP175:AR175">
    <cfRule type="expression" dxfId="99" priority="33" stopIfTrue="1">
      <formula>(U54&lt;&gt;"")*(U55="")*(U54&lt;TODAY())</formula>
    </cfRule>
    <cfRule type="expression" dxfId="98" priority="34" stopIfTrue="1">
      <formula>(U54&lt;&gt;"")*(U55="")*(U54&gt;=TODAY())*(U54&lt;=TODAY()+14)</formula>
    </cfRule>
    <cfRule type="expression" dxfId="97" priority="35">
      <formula>(U55&lt;&gt;"")*(U55&lt;=TODAY())</formula>
    </cfRule>
  </conditionalFormatting>
  <conditionalFormatting sqref="X55">
    <cfRule type="expression" dxfId="96" priority="25" stopIfTrue="1">
      <formula>(X54&lt;&gt;"")*(X55="")*(X54&lt;TODAY())</formula>
    </cfRule>
    <cfRule type="expression" dxfId="95" priority="26" stopIfTrue="1">
      <formula>(X54&lt;&gt;"")*(X55="")*(X54&gt;=TODAY())*(X54&lt;=TODAY()+14)</formula>
    </cfRule>
    <cfRule type="expression" dxfId="94" priority="27">
      <formula>(X55&lt;&gt;"")*(X55&lt;=TODAY())</formula>
    </cfRule>
  </conditionalFormatting>
  <conditionalFormatting sqref="AP214:AR214 AP217:AR217 AP220:AR220 AP223:AR223 AP226:AR226 AP229:AR229 AP232:AR232 AP235:AR235 AP238:AR238 AP241:AR241 AP244:AR244 AP247:AR247">
    <cfRule type="expression" dxfId="93" priority="1" stopIfTrue="1">
      <formula>(AP213&lt;&gt;"")*(AP214="")*(AP213&lt;TODAY())</formula>
    </cfRule>
    <cfRule type="expression" dxfId="92" priority="2" stopIfTrue="1">
      <formula>(AP213&lt;&gt;"")*(AP214="")*(AP213&gt;=TODAY())*(AP213&lt;=TODAY()+14)</formula>
    </cfRule>
    <cfRule type="expression" dxfId="91" priority="3">
      <formula>(AP214&lt;&gt;"")*(AP214&lt;=TODAY())</formula>
    </cfRule>
  </conditionalFormatting>
  <pageMargins left="0.7" right="0.7" top="0.75" bottom="0.75" header="0.3" footer="0.3"/>
  <pageSetup scale="30" fitToHeight="0" orientation="landscape" horizontalDpi="1200" verticalDpi="1200" r:id="rId1"/>
  <rowBreaks count="4" manualBreakCount="4">
    <brk id="55" max="16383" man="1"/>
    <brk id="100" max="16383" man="1"/>
    <brk id="127" max="16383" man="1"/>
    <brk id="175" max="16383" man="1"/>
  </rowBreaks>
  <colBreaks count="3" manualBreakCount="3">
    <brk id="10" max="1048575" man="1"/>
    <brk id="28" max="1048575" man="1"/>
    <brk id="42" max="177"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B303"/>
  <sheetViews>
    <sheetView topLeftCell="H1" zoomScale="85" zoomScaleNormal="85" workbookViewId="0">
      <pane xSplit="2" ySplit="9" topLeftCell="J190" activePane="bottomRight" state="frozen"/>
      <selection pane="topRight"/>
      <selection pane="bottomLeft"/>
      <selection pane="bottomRight" activeCell="A250" sqref="A250:A252"/>
    </sheetView>
  </sheetViews>
  <sheetFormatPr defaultColWidth="10.73046875" defaultRowHeight="18"/>
  <cols>
    <col min="1" max="1" width="3.86328125" style="22" customWidth="1"/>
    <col min="2" max="2" width="30" style="22" customWidth="1"/>
    <col min="3" max="3" width="8.265625" style="23" customWidth="1"/>
    <col min="4" max="4" width="6.1328125" style="24" customWidth="1"/>
    <col min="5" max="5" width="10.265625" style="25" customWidth="1"/>
    <col min="6" max="6" width="4.3984375" style="26" customWidth="1"/>
    <col min="7" max="7" width="18.86328125" style="27" customWidth="1"/>
    <col min="8" max="8" width="56.1328125" style="28" customWidth="1"/>
    <col min="9" max="9" width="8.73046875" style="29" customWidth="1"/>
    <col min="10" max="10" width="10.86328125" style="29" customWidth="1"/>
    <col min="11" max="13" width="7.73046875" style="29" customWidth="1"/>
    <col min="14" max="16" width="6.86328125" style="29" customWidth="1"/>
    <col min="17" max="18" width="10.3984375" style="29" customWidth="1"/>
    <col min="19" max="27" width="10.3984375" style="30" customWidth="1"/>
    <col min="28" max="29" width="10.3984375" style="31" customWidth="1"/>
    <col min="30" max="30" width="9.265625" style="31" customWidth="1"/>
    <col min="31" max="33" width="10.3984375" style="31" customWidth="1"/>
    <col min="34" max="34" width="10.3984375" style="32" customWidth="1"/>
    <col min="35" max="35" width="10.3984375" style="33" customWidth="1"/>
    <col min="36" max="37" width="10.3984375" style="31" customWidth="1"/>
    <col min="38" max="38" width="26" style="31" customWidth="1"/>
    <col min="39" max="49" width="10.73046875" style="29" hidden="1" customWidth="1"/>
    <col min="50" max="53" width="10.73046875" style="29"/>
    <col min="54" max="54" width="10.73046875" style="34" hidden="1" customWidth="1"/>
    <col min="55" max="16384" width="10.73046875" style="29"/>
  </cols>
  <sheetData>
    <row r="1" spans="1:54" ht="19.5" customHeight="1">
      <c r="A1" s="35" t="s">
        <v>4820</v>
      </c>
      <c r="B1" s="35"/>
      <c r="C1" s="35"/>
      <c r="F1" s="25"/>
      <c r="G1" s="36"/>
      <c r="H1" s="37"/>
      <c r="I1" s="25"/>
      <c r="J1" s="25"/>
      <c r="K1" s="25"/>
      <c r="L1" s="25"/>
      <c r="M1" s="25"/>
      <c r="N1" s="25"/>
      <c r="O1" s="25"/>
      <c r="P1" s="25"/>
      <c r="Q1" s="38"/>
      <c r="R1" s="38"/>
      <c r="S1" s="39"/>
      <c r="T1" s="39"/>
      <c r="U1" s="39"/>
      <c r="V1" s="39"/>
      <c r="W1" s="39"/>
      <c r="X1" s="39"/>
      <c r="Y1" s="39"/>
      <c r="Z1" s="39"/>
      <c r="AA1" s="39"/>
      <c r="AB1" s="40"/>
      <c r="AC1" s="25"/>
      <c r="AD1" s="41"/>
      <c r="AE1" s="25"/>
      <c r="AF1" s="40"/>
      <c r="AG1" s="25"/>
      <c r="AH1" s="42"/>
      <c r="AI1" s="43"/>
      <c r="AJ1" s="25"/>
      <c r="AK1" s="25"/>
      <c r="AL1" s="25"/>
    </row>
    <row r="2" spans="1:54" ht="12" customHeight="1">
      <c r="A2" s="44"/>
      <c r="B2" s="24"/>
      <c r="C2" s="44"/>
      <c r="F2" s="25"/>
      <c r="G2" s="36"/>
      <c r="H2" s="37"/>
      <c r="I2" s="45" t="s">
        <v>6</v>
      </c>
      <c r="J2" s="46" t="s">
        <v>4821</v>
      </c>
      <c r="K2" s="25"/>
      <c r="L2" s="25"/>
      <c r="M2" s="25"/>
      <c r="N2" s="46"/>
      <c r="O2" s="46"/>
      <c r="P2" s="46"/>
      <c r="Q2" s="38"/>
      <c r="R2" s="38"/>
      <c r="S2" s="47">
        <v>20</v>
      </c>
      <c r="T2" s="47">
        <v>10</v>
      </c>
      <c r="U2" s="47"/>
      <c r="V2" s="47"/>
      <c r="W2" s="47">
        <v>5</v>
      </c>
      <c r="X2" s="47">
        <v>5</v>
      </c>
      <c r="Y2" s="47">
        <v>5</v>
      </c>
      <c r="Z2" s="47">
        <v>2</v>
      </c>
      <c r="AA2" s="47">
        <v>10</v>
      </c>
      <c r="AB2" s="25"/>
      <c r="AC2" s="25"/>
      <c r="AD2" s="25"/>
      <c r="AE2" s="25"/>
      <c r="AF2" s="25"/>
      <c r="AG2" s="25"/>
      <c r="AH2" s="42"/>
      <c r="AI2" s="43"/>
      <c r="AJ2" s="25"/>
      <c r="AK2" s="25"/>
      <c r="AL2" s="25"/>
    </row>
    <row r="3" spans="1:54" ht="12" customHeight="1">
      <c r="A3" s="48" t="s">
        <v>4822</v>
      </c>
      <c r="B3" s="46" t="s">
        <v>4823</v>
      </c>
      <c r="C3" s="44"/>
      <c r="F3" s="25"/>
      <c r="G3" s="36"/>
      <c r="H3" s="49"/>
      <c r="I3" s="45" t="s">
        <v>7</v>
      </c>
      <c r="J3" s="46" t="s">
        <v>4824</v>
      </c>
      <c r="K3" s="25"/>
      <c r="L3" s="25"/>
      <c r="M3" s="25"/>
      <c r="N3" s="46"/>
      <c r="O3" s="46"/>
      <c r="P3" s="46"/>
      <c r="Q3" s="38"/>
      <c r="R3" s="38"/>
      <c r="S3" s="47">
        <v>20</v>
      </c>
      <c r="T3" s="47">
        <v>10</v>
      </c>
      <c r="U3" s="47"/>
      <c r="V3" s="47"/>
      <c r="W3" s="47">
        <v>5</v>
      </c>
      <c r="X3" s="47">
        <v>5</v>
      </c>
      <c r="Y3" s="47">
        <v>5</v>
      </c>
      <c r="Z3" s="47">
        <v>2</v>
      </c>
      <c r="AA3" s="47">
        <v>10</v>
      </c>
      <c r="AB3" s="25"/>
      <c r="AC3" s="25"/>
      <c r="AD3" s="25"/>
      <c r="AE3" s="25"/>
      <c r="AF3" s="25"/>
      <c r="AG3" s="25"/>
      <c r="AH3" s="42"/>
      <c r="AI3" s="43"/>
      <c r="AJ3" s="25"/>
      <c r="AK3" s="25"/>
      <c r="AL3" s="25"/>
    </row>
    <row r="4" spans="1:54" ht="12" customHeight="1">
      <c r="A4" s="50" t="s">
        <v>4822</v>
      </c>
      <c r="B4" s="46" t="s">
        <v>4825</v>
      </c>
      <c r="C4" s="44"/>
      <c r="F4" s="25"/>
      <c r="G4" s="36"/>
      <c r="H4" s="49"/>
      <c r="I4" s="45" t="s">
        <v>8</v>
      </c>
      <c r="J4" s="46" t="s">
        <v>4826</v>
      </c>
      <c r="K4" s="25"/>
      <c r="L4" s="25"/>
      <c r="M4" s="25"/>
      <c r="N4" s="46"/>
      <c r="O4" s="46"/>
      <c r="P4" s="46"/>
      <c r="Q4" s="38"/>
      <c r="R4" s="38"/>
      <c r="S4" s="47">
        <v>15</v>
      </c>
      <c r="T4" s="47">
        <v>10</v>
      </c>
      <c r="U4" s="47"/>
      <c r="V4" s="47"/>
      <c r="W4" s="47">
        <v>5</v>
      </c>
      <c r="X4" s="47">
        <v>5</v>
      </c>
      <c r="Y4" s="47">
        <v>5</v>
      </c>
      <c r="Z4" s="47">
        <v>2</v>
      </c>
      <c r="AA4" s="47">
        <v>10</v>
      </c>
      <c r="AB4" s="25"/>
      <c r="AC4" s="25"/>
      <c r="AD4" s="25"/>
      <c r="AE4" s="25"/>
      <c r="AF4" s="25"/>
      <c r="AG4" s="25"/>
      <c r="AH4" s="42"/>
      <c r="AI4" s="43"/>
      <c r="AJ4" s="25"/>
      <c r="AK4" s="25"/>
      <c r="AL4" s="25"/>
    </row>
    <row r="5" spans="1:54" s="17" customFormat="1" ht="12" customHeight="1">
      <c r="A5" s="51" t="s">
        <v>4822</v>
      </c>
      <c r="B5" s="46" t="s">
        <v>4827</v>
      </c>
      <c r="C5" s="44"/>
      <c r="D5" s="24"/>
      <c r="E5" s="25"/>
      <c r="F5" s="25"/>
      <c r="G5" s="36"/>
      <c r="H5" s="37"/>
      <c r="I5" s="45" t="s">
        <v>9</v>
      </c>
      <c r="J5" s="46" t="s">
        <v>4828</v>
      </c>
      <c r="K5" s="25"/>
      <c r="L5" s="25"/>
      <c r="M5" s="52">
        <f>SUM(M10:M171)</f>
        <v>0.747</v>
      </c>
      <c r="N5" s="46"/>
      <c r="O5" s="46"/>
      <c r="P5" s="46"/>
      <c r="Q5" s="53"/>
      <c r="R5" s="53"/>
      <c r="S5" s="47">
        <v>10</v>
      </c>
      <c r="T5" s="47">
        <v>10</v>
      </c>
      <c r="U5" s="47"/>
      <c r="V5" s="47"/>
      <c r="W5" s="47">
        <v>5</v>
      </c>
      <c r="X5" s="47">
        <v>5</v>
      </c>
      <c r="Y5" s="47">
        <v>5</v>
      </c>
      <c r="Z5" s="47">
        <v>2</v>
      </c>
      <c r="AA5" s="47">
        <v>10</v>
      </c>
      <c r="AB5" s="54"/>
      <c r="AC5" s="54"/>
      <c r="AD5" s="54"/>
      <c r="AE5" s="54"/>
      <c r="AF5" s="54"/>
      <c r="AG5" s="54"/>
      <c r="AH5" s="55"/>
      <c r="AI5" s="56"/>
      <c r="AJ5" s="57"/>
      <c r="AK5" s="57"/>
      <c r="AL5" s="58"/>
      <c r="BB5" s="59"/>
    </row>
    <row r="6" spans="1:54" s="18" customFormat="1" ht="24.95" customHeight="1">
      <c r="A6" s="484" t="s">
        <v>12</v>
      </c>
      <c r="B6" s="484" t="s">
        <v>52</v>
      </c>
      <c r="C6" s="484" t="s">
        <v>4829</v>
      </c>
      <c r="D6" s="484" t="s">
        <v>4830</v>
      </c>
      <c r="E6" s="484" t="s">
        <v>13</v>
      </c>
      <c r="F6" s="60" t="s">
        <v>4831</v>
      </c>
      <c r="G6" s="484" t="s">
        <v>4832</v>
      </c>
      <c r="H6" s="484" t="s">
        <v>4833</v>
      </c>
      <c r="I6" s="484" t="s">
        <v>22</v>
      </c>
      <c r="J6" s="484" t="s">
        <v>4834</v>
      </c>
      <c r="K6" s="60" t="s">
        <v>4835</v>
      </c>
      <c r="L6" s="60" t="s">
        <v>4835</v>
      </c>
      <c r="M6" s="60" t="s">
        <v>4835</v>
      </c>
      <c r="N6" s="60" t="s">
        <v>4835</v>
      </c>
      <c r="O6" s="60" t="s">
        <v>4835</v>
      </c>
      <c r="P6" s="60" t="s">
        <v>4835</v>
      </c>
      <c r="Q6" s="484" t="s">
        <v>4836</v>
      </c>
      <c r="R6" s="484" t="s">
        <v>36</v>
      </c>
      <c r="S6" s="484" t="s">
        <v>4837</v>
      </c>
      <c r="T6" s="484" t="s">
        <v>38</v>
      </c>
      <c r="U6" s="484" t="s">
        <v>39</v>
      </c>
      <c r="V6" s="484" t="s">
        <v>41</v>
      </c>
      <c r="W6" s="484" t="s">
        <v>42</v>
      </c>
      <c r="X6" s="484" t="s">
        <v>43</v>
      </c>
      <c r="Y6" s="484" t="s">
        <v>44</v>
      </c>
      <c r="Z6" s="484" t="s">
        <v>45</v>
      </c>
      <c r="AA6" s="484" t="s">
        <v>4838</v>
      </c>
      <c r="AB6" s="484" t="s">
        <v>4722</v>
      </c>
      <c r="AC6" s="484" t="s">
        <v>4839</v>
      </c>
      <c r="AD6" s="484" t="s">
        <v>4729</v>
      </c>
      <c r="AE6" s="484" t="s">
        <v>47</v>
      </c>
      <c r="AF6" s="484" t="s">
        <v>4840</v>
      </c>
      <c r="AG6" s="484" t="s">
        <v>49</v>
      </c>
      <c r="AH6" s="484" t="s">
        <v>4841</v>
      </c>
      <c r="AI6" s="484" t="s">
        <v>4842</v>
      </c>
      <c r="AJ6" s="484" t="s">
        <v>53</v>
      </c>
      <c r="AK6" s="484" t="s">
        <v>4843</v>
      </c>
      <c r="AL6" s="484" t="s">
        <v>4844</v>
      </c>
      <c r="AM6" s="61">
        <v>40329</v>
      </c>
      <c r="AN6" s="62">
        <v>40359</v>
      </c>
      <c r="AO6" s="62">
        <v>40390</v>
      </c>
      <c r="AP6" s="62">
        <v>40421</v>
      </c>
      <c r="AQ6" s="62">
        <v>40451</v>
      </c>
      <c r="AR6" s="62">
        <v>40482</v>
      </c>
      <c r="AS6" s="62">
        <v>40512</v>
      </c>
      <c r="AT6" s="62">
        <v>40543</v>
      </c>
      <c r="AU6" s="62">
        <v>40574</v>
      </c>
      <c r="AV6" s="62">
        <v>40602</v>
      </c>
      <c r="AW6" s="62">
        <f ca="1">TODAY()</f>
        <v>46249</v>
      </c>
      <c r="BB6" s="63"/>
    </row>
    <row r="7" spans="1:54" s="18" customFormat="1" ht="24.95" customHeight="1">
      <c r="A7" s="485"/>
      <c r="B7" s="485"/>
      <c r="C7" s="485"/>
      <c r="D7" s="485"/>
      <c r="E7" s="485"/>
      <c r="F7" s="60" t="s">
        <v>4845</v>
      </c>
      <c r="G7" s="485"/>
      <c r="H7" s="485"/>
      <c r="I7" s="485"/>
      <c r="J7" s="485"/>
      <c r="K7" s="60"/>
      <c r="L7" s="60"/>
      <c r="M7" s="60"/>
      <c r="N7" s="60"/>
      <c r="O7" s="60"/>
      <c r="P7" s="60"/>
      <c r="Q7" s="485"/>
      <c r="R7" s="485"/>
      <c r="S7" s="485"/>
      <c r="T7" s="485"/>
      <c r="U7" s="485"/>
      <c r="V7" s="485"/>
      <c r="W7" s="485"/>
      <c r="X7" s="485"/>
      <c r="Y7" s="485"/>
      <c r="Z7" s="485"/>
      <c r="AA7" s="485"/>
      <c r="AB7" s="485"/>
      <c r="AC7" s="485"/>
      <c r="AD7" s="485"/>
      <c r="AE7" s="485"/>
      <c r="AF7" s="485"/>
      <c r="AG7" s="485"/>
      <c r="AH7" s="485"/>
      <c r="AI7" s="485"/>
      <c r="AJ7" s="485"/>
      <c r="AK7" s="485"/>
      <c r="AL7" s="485"/>
      <c r="BB7" s="63"/>
    </row>
    <row r="8" spans="1:54" s="19" customFormat="1" ht="11.25" customHeight="1">
      <c r="A8" s="64"/>
      <c r="B8" s="64"/>
      <c r="C8" s="64"/>
      <c r="D8" s="65"/>
      <c r="E8" s="65"/>
      <c r="F8" s="65"/>
      <c r="G8" s="66"/>
      <c r="H8" s="65"/>
      <c r="I8" s="65"/>
      <c r="J8" s="65"/>
      <c r="K8" s="65"/>
      <c r="L8" s="65"/>
      <c r="M8" s="65"/>
      <c r="N8" s="65"/>
      <c r="O8" s="65"/>
      <c r="P8" s="65"/>
      <c r="Q8" s="65" t="s">
        <v>55</v>
      </c>
      <c r="R8" s="65" t="s">
        <v>4846</v>
      </c>
      <c r="S8" s="65" t="s">
        <v>4847</v>
      </c>
      <c r="T8" s="65" t="s">
        <v>4847</v>
      </c>
      <c r="U8" s="65" t="s">
        <v>4848</v>
      </c>
      <c r="V8" s="65" t="s">
        <v>4849</v>
      </c>
      <c r="W8" s="65" t="s">
        <v>4850</v>
      </c>
      <c r="X8" s="65" t="s">
        <v>4847</v>
      </c>
      <c r="Y8" s="65" t="s">
        <v>4849</v>
      </c>
      <c r="Z8" s="65" t="s">
        <v>4848</v>
      </c>
      <c r="AA8" s="65" t="s">
        <v>4847</v>
      </c>
      <c r="AB8" s="65" t="s">
        <v>4851</v>
      </c>
      <c r="AC8" s="67"/>
      <c r="AD8" s="65"/>
      <c r="AE8" s="68"/>
      <c r="AF8" s="69" t="s">
        <v>4852</v>
      </c>
      <c r="AG8" s="65"/>
      <c r="AH8" s="70"/>
      <c r="AI8" s="71"/>
      <c r="AJ8" s="65"/>
      <c r="AK8" s="65"/>
      <c r="AL8" s="65"/>
      <c r="BB8" s="72" t="e">
        <f>WORKDAY("7/16/2026",1,$BB$10:$BB$141)</f>
        <v>#REF!</v>
      </c>
    </row>
    <row r="9" spans="1:54" s="19" customFormat="1" ht="11.65">
      <c r="A9" s="64"/>
      <c r="B9" s="64"/>
      <c r="C9" s="64"/>
      <c r="D9" s="65"/>
      <c r="E9" s="65"/>
      <c r="F9" s="65"/>
      <c r="G9" s="66"/>
      <c r="H9" s="65"/>
      <c r="I9" s="65"/>
      <c r="J9" s="65"/>
      <c r="K9" s="65"/>
      <c r="L9" s="65"/>
      <c r="M9" s="65"/>
      <c r="N9" s="65"/>
      <c r="O9" s="65"/>
      <c r="P9" s="65"/>
      <c r="Q9" s="73" t="s">
        <v>4853</v>
      </c>
      <c r="R9" s="73"/>
      <c r="S9" s="73"/>
      <c r="T9" s="73"/>
      <c r="U9" s="73"/>
      <c r="V9" s="73"/>
      <c r="W9" s="73"/>
      <c r="X9" s="73"/>
      <c r="Y9" s="73"/>
      <c r="Z9" s="73" t="s">
        <v>4852</v>
      </c>
      <c r="AA9" s="73"/>
      <c r="AB9" s="73">
        <v>0.95</v>
      </c>
      <c r="AC9" s="74"/>
      <c r="AD9" s="73"/>
      <c r="AE9" s="75"/>
      <c r="AF9" s="76"/>
      <c r="AG9" s="73"/>
      <c r="AH9" s="77"/>
      <c r="AI9" s="78"/>
      <c r="AJ9" s="73"/>
      <c r="AK9" s="73"/>
      <c r="AL9" s="73"/>
      <c r="BB9" s="72"/>
    </row>
    <row r="10" spans="1:54" s="20" customFormat="1" ht="18" customHeight="1">
      <c r="A10" s="513">
        <v>1</v>
      </c>
      <c r="B10" s="516" t="s">
        <v>4854</v>
      </c>
      <c r="C10" s="507" t="s">
        <v>4855</v>
      </c>
      <c r="D10" s="80" t="s">
        <v>4856</v>
      </c>
      <c r="E10" s="81" t="s">
        <v>4730</v>
      </c>
      <c r="F10" s="82" t="str">
        <f>IF(_xlfn.XLOOKUP(E10,'[35]Before Award'!D:D,'[35]Before Award'!AV:AV,"N/A")="N/A","N","Y")</f>
        <v>N</v>
      </c>
      <c r="G10" s="504" t="s">
        <v>4857</v>
      </c>
      <c r="H10" s="83" t="s">
        <v>4731</v>
      </c>
      <c r="I10" s="81" t="s">
        <v>6</v>
      </c>
      <c r="J10" s="82"/>
      <c r="K10" s="84">
        <f>M12</f>
        <v>0.02</v>
      </c>
      <c r="L10" s="84"/>
      <c r="M10" s="84"/>
      <c r="N10" s="81"/>
      <c r="O10" s="81"/>
      <c r="P10" s="81"/>
      <c r="Q10" s="85" t="s">
        <v>4858</v>
      </c>
      <c r="R10" s="86">
        <f>'Before Award'!U17+5</f>
        <v>46222</v>
      </c>
      <c r="S10" s="86" t="e">
        <f>WORKDAY(R10,INDEX(S$2:S$5,MATCH($I10,$I$2:$I$5,0)),$BB$10:$BB$141)</f>
        <v>#REF!</v>
      </c>
      <c r="T10" s="86" t="e">
        <f>WORKDAY(S10,INDEX(T$2:T$5,MATCH($I10,$I$2:$I$5,0)),$BB$10:$BB$141)</f>
        <v>#REF!</v>
      </c>
      <c r="U10" s="86" t="e">
        <f>T10+60</f>
        <v>#REF!</v>
      </c>
      <c r="V10" s="86"/>
      <c r="W10" s="86">
        <f>AB10-35</f>
        <v>46532</v>
      </c>
      <c r="X10" s="86"/>
      <c r="Y10" s="86"/>
      <c r="Z10" s="86"/>
      <c r="AA10" s="86"/>
      <c r="AB10" s="86">
        <f>'Before Award'!X17</f>
        <v>46567</v>
      </c>
      <c r="AC10" s="501" t="s">
        <v>4859</v>
      </c>
      <c r="AD10" s="87">
        <v>14</v>
      </c>
      <c r="AE10" s="499">
        <v>350</v>
      </c>
      <c r="AF10" s="492" t="e">
        <f>AB11</f>
        <v>#REF!</v>
      </c>
      <c r="AG10" s="489">
        <f>WORKDAY(AH10+1+AI10,-1,$BA$10:$BA$141)</f>
        <v>46567</v>
      </c>
      <c r="AH10" s="88">
        <v>46507</v>
      </c>
      <c r="AI10" s="89">
        <v>60</v>
      </c>
      <c r="AJ10" s="486" t="e">
        <f>AG10-AF10</f>
        <v>#REF!</v>
      </c>
      <c r="AK10" s="90"/>
      <c r="AL10" s="91"/>
      <c r="AM10" s="92">
        <f t="shared" ref="AM10:AW10" si="0">IF(ISERROR(LOOKUP(AM$6,$S10:$AB10,$S$9:$AB$9)),0,(LOOKUP(AM$6,$S10:$AB10,$S$9:$AB$9)))</f>
        <v>0</v>
      </c>
      <c r="AN10" s="93">
        <f t="shared" si="0"/>
        <v>0</v>
      </c>
      <c r="AO10" s="93">
        <f t="shared" si="0"/>
        <v>0</v>
      </c>
      <c r="AP10" s="93">
        <f t="shared" si="0"/>
        <v>0</v>
      </c>
      <c r="AQ10" s="93">
        <f t="shared" si="0"/>
        <v>0</v>
      </c>
      <c r="AR10" s="93">
        <f t="shared" si="0"/>
        <v>0</v>
      </c>
      <c r="AS10" s="93">
        <f t="shared" si="0"/>
        <v>0</v>
      </c>
      <c r="AT10" s="93">
        <f t="shared" si="0"/>
        <v>0</v>
      </c>
      <c r="AU10" s="93">
        <f t="shared" si="0"/>
        <v>0</v>
      </c>
      <c r="AV10" s="93">
        <f t="shared" si="0"/>
        <v>0</v>
      </c>
      <c r="AW10" s="93">
        <f t="shared" ca="1" si="0"/>
        <v>0</v>
      </c>
      <c r="BB10" s="94" t="e" cm="1">
        <f t="array" ref="BB10:BB88">'[35]Equipment List and MR List (3)'!$A$2:$A$80</f>
        <v>#REF!</v>
      </c>
    </row>
    <row r="11" spans="1:54" s="20" customFormat="1" ht="18" customHeight="1">
      <c r="A11" s="514"/>
      <c r="B11" s="517"/>
      <c r="C11" s="508"/>
      <c r="D11" s="96" t="str">
        <f>D10</f>
        <v>MEC</v>
      </c>
      <c r="E11" s="97" t="str">
        <f>E10</f>
        <v>RFQ-001</v>
      </c>
      <c r="F11" s="98" t="str">
        <f>F10</f>
        <v>N</v>
      </c>
      <c r="G11" s="505"/>
      <c r="H11" s="99" t="str">
        <f>H10</f>
        <v>Pedestal Crane</v>
      </c>
      <c r="I11" s="97" t="str">
        <f>I10</f>
        <v>LA</v>
      </c>
      <c r="J11" s="98"/>
      <c r="K11" s="100"/>
      <c r="L11" s="100">
        <f>M12</f>
        <v>0.02</v>
      </c>
      <c r="M11" s="100"/>
      <c r="N11" s="97"/>
      <c r="O11" s="97"/>
      <c r="P11" s="97"/>
      <c r="Q11" s="101" t="s">
        <v>4860</v>
      </c>
      <c r="R11" s="102">
        <f>'Before Award'!U18+5</f>
        <v>46222</v>
      </c>
      <c r="S11" s="103" t="e">
        <f>WORKDAY(IF(R12="",R11,R12),INDEX(S$2:S$5,MATCH($I10,$I$2:$I$5,0)),$BB$10:$BB$141)</f>
        <v>#REF!</v>
      </c>
      <c r="T11" s="103" t="e">
        <f>WORKDAY(IF(S12="",S11,S12),INDEX(T$2:T$5,MATCH($I10,$I$2:$I$5,0)),$BB$10:$BB$141)</f>
        <v>#REF!</v>
      </c>
      <c r="U11" s="103"/>
      <c r="V11" s="103"/>
      <c r="W11" s="103" t="e">
        <f>WORKDAY(IF(V12="",V11,V12),INDEX(W$2:W$5,MATCH($I10,$I$2:$I$5,0)),$BB$10:$BB$141)</f>
        <v>#REF!</v>
      </c>
      <c r="X11" s="103" t="e">
        <f>WORKDAY(IF(W12="",W11,W12),INDEX(X$2:X$5,MATCH($I10,$I$2:$I$5,0)),$BB$10:$BB$141)</f>
        <v>#REF!</v>
      </c>
      <c r="Y11" s="103" t="e">
        <f>WORKDAY(IF(X12="",X11,X12),INDEX(Y$2:Y$5,MATCH($I10,$I$2:$I$5,0)),$BB$10:$BB$141)</f>
        <v>#REF!</v>
      </c>
      <c r="Z11" s="103" t="e">
        <f>WORKDAY(IF(Y12="",Y11,Y12),INDEX(Z$2:Z$5,MATCH($I10,$I$2:$I$5,0)),$BB$10:$BB$141)</f>
        <v>#REF!</v>
      </c>
      <c r="AA11" s="103" t="e">
        <f>WORKDAY(IF(Z12="",X11,Z12),INDEX(AA$2:AA$5,MATCH($I10,$I$2:$I$5,0)),$BB$10:$BB$141)</f>
        <v>#REF!</v>
      </c>
      <c r="AB11" s="104" t="e">
        <f>WORKDAY(AE10+#REF!,0,'[35]Equipment List and MR List (3)'!$A$2:$A$80)</f>
        <v>#REF!</v>
      </c>
      <c r="AC11" s="502"/>
      <c r="AD11" s="105"/>
      <c r="AE11" s="499"/>
      <c r="AF11" s="493"/>
      <c r="AG11" s="490"/>
      <c r="AH11" s="106"/>
      <c r="AI11" s="107"/>
      <c r="AJ11" s="487"/>
      <c r="AK11" s="108"/>
      <c r="AL11" s="109"/>
      <c r="AM11" s="92">
        <f t="shared" ref="AM11:AW11" si="1">IF(ISERROR(LOOKUP(AM$6,$S11:$AB11,$S$9:$AB$9)),0,(LOOKUP(AM$6,$S11:$AB11,$S$9:$AB$9)))</f>
        <v>0</v>
      </c>
      <c r="AN11" s="93">
        <f t="shared" si="1"/>
        <v>0</v>
      </c>
      <c r="AO11" s="93">
        <f t="shared" si="1"/>
        <v>0</v>
      </c>
      <c r="AP11" s="93">
        <f t="shared" si="1"/>
        <v>0</v>
      </c>
      <c r="AQ11" s="93">
        <f t="shared" si="1"/>
        <v>0</v>
      </c>
      <c r="AR11" s="93">
        <f t="shared" si="1"/>
        <v>0</v>
      </c>
      <c r="AS11" s="93">
        <f t="shared" si="1"/>
        <v>0</v>
      </c>
      <c r="AT11" s="93">
        <f t="shared" si="1"/>
        <v>0</v>
      </c>
      <c r="AU11" s="93">
        <f t="shared" si="1"/>
        <v>0</v>
      </c>
      <c r="AV11" s="93">
        <f t="shared" si="1"/>
        <v>0</v>
      </c>
      <c r="AW11" s="93">
        <f t="shared" ca="1" si="1"/>
        <v>0</v>
      </c>
      <c r="BB11" s="94" t="e">
        <v>#REF!</v>
      </c>
    </row>
    <row r="12" spans="1:54" s="20" customFormat="1" ht="18" customHeight="1">
      <c r="A12" s="515"/>
      <c r="B12" s="518"/>
      <c r="C12" s="509"/>
      <c r="D12" s="111" t="str">
        <f>D10</f>
        <v>MEC</v>
      </c>
      <c r="E12" s="112" t="str">
        <f>E10</f>
        <v>RFQ-001</v>
      </c>
      <c r="F12" s="113" t="str">
        <f>F10</f>
        <v>N</v>
      </c>
      <c r="G12" s="506"/>
      <c r="H12" s="99" t="str">
        <f>H10</f>
        <v>Pedestal Crane</v>
      </c>
      <c r="I12" s="112" t="str">
        <f>I10</f>
        <v>LA</v>
      </c>
      <c r="J12" s="113"/>
      <c r="K12" s="114"/>
      <c r="L12" s="114"/>
      <c r="M12" s="114">
        <v>0.02</v>
      </c>
      <c r="N12" s="112"/>
      <c r="O12" s="112"/>
      <c r="P12" s="112"/>
      <c r="Q12" s="115" t="s">
        <v>4861</v>
      </c>
      <c r="R12" s="115"/>
      <c r="S12" s="115"/>
      <c r="T12" s="115"/>
      <c r="U12" s="115"/>
      <c r="V12" s="115"/>
      <c r="W12" s="115"/>
      <c r="X12" s="115"/>
      <c r="Y12" s="115"/>
      <c r="Z12" s="115"/>
      <c r="AA12" s="115"/>
      <c r="AB12" s="115"/>
      <c r="AC12" s="503"/>
      <c r="AD12" s="116"/>
      <c r="AE12" s="499"/>
      <c r="AF12" s="494"/>
      <c r="AG12" s="491"/>
      <c r="AH12" s="117"/>
      <c r="AI12" s="118"/>
      <c r="AJ12" s="488"/>
      <c r="AK12" s="119"/>
      <c r="AL12" s="120"/>
      <c r="AM12" s="121">
        <f t="shared" ref="AM12:AW12" si="2">IF(ISERROR(LOOKUP(AM$6,$S12:$AB12,$S$9:$AB$9)),0,(LOOKUP(AM$6,$S12:$AB12,$S$9:$AB$9)))</f>
        <v>0</v>
      </c>
      <c r="AN12" s="122">
        <f t="shared" si="2"/>
        <v>0</v>
      </c>
      <c r="AO12" s="122">
        <f t="shared" si="2"/>
        <v>0</v>
      </c>
      <c r="AP12" s="122">
        <f t="shared" si="2"/>
        <v>0</v>
      </c>
      <c r="AQ12" s="122">
        <f t="shared" si="2"/>
        <v>0</v>
      </c>
      <c r="AR12" s="122">
        <f t="shared" si="2"/>
        <v>0</v>
      </c>
      <c r="AS12" s="122">
        <f t="shared" si="2"/>
        <v>0</v>
      </c>
      <c r="AT12" s="122">
        <f t="shared" si="2"/>
        <v>0</v>
      </c>
      <c r="AU12" s="122">
        <f t="shared" si="2"/>
        <v>0</v>
      </c>
      <c r="AV12" s="122">
        <f t="shared" si="2"/>
        <v>0</v>
      </c>
      <c r="AW12" s="122">
        <f t="shared" ca="1" si="2"/>
        <v>0</v>
      </c>
      <c r="BB12" s="94" t="e">
        <v>#REF!</v>
      </c>
    </row>
    <row r="13" spans="1:54" s="20" customFormat="1" ht="18" customHeight="1">
      <c r="A13" s="513">
        <f>A10+1</f>
        <v>2</v>
      </c>
      <c r="B13" s="79"/>
      <c r="C13" s="507" t="s">
        <v>4855</v>
      </c>
      <c r="D13" s="80" t="s">
        <v>4856</v>
      </c>
      <c r="E13" s="81" t="s">
        <v>4733</v>
      </c>
      <c r="F13" s="82" t="s">
        <v>75</v>
      </c>
      <c r="G13" s="504" t="s">
        <v>4862</v>
      </c>
      <c r="H13" s="82" t="s">
        <v>73</v>
      </c>
      <c r="I13" s="81" t="s">
        <v>6</v>
      </c>
      <c r="J13" s="82"/>
      <c r="K13" s="84">
        <f>M15</f>
        <v>7.0000000000000007E-2</v>
      </c>
      <c r="L13" s="84"/>
      <c r="M13" s="84"/>
      <c r="N13" s="81"/>
      <c r="O13" s="81"/>
      <c r="P13" s="81"/>
      <c r="Q13" s="85" t="s">
        <v>4858</v>
      </c>
      <c r="R13" s="86">
        <f>'Before Award'!U20+5</f>
        <v>46398</v>
      </c>
      <c r="S13" s="86" t="e">
        <f>WORKDAY(R13,INDEX(S$2:S$5,MATCH($I13,$I$2:$I$5,0)),$BB$10:$BB$141)</f>
        <v>#REF!</v>
      </c>
      <c r="T13" s="86" t="e">
        <f>WORKDAY(S13,INDEX(T$2:T$5,MATCH($I13,$I$2:$I$5,0)),$BB$10:$BB$141)</f>
        <v>#REF!</v>
      </c>
      <c r="U13" s="86" t="e">
        <f>T13+60</f>
        <v>#REF!</v>
      </c>
      <c r="V13" s="86"/>
      <c r="W13" s="86">
        <f>AB13-35</f>
        <v>46533</v>
      </c>
      <c r="X13" s="86"/>
      <c r="Y13" s="86"/>
      <c r="Z13" s="86"/>
      <c r="AA13" s="86"/>
      <c r="AB13" s="86">
        <f>'Before Award'!X20</f>
        <v>46568</v>
      </c>
      <c r="AC13" s="501" t="s">
        <v>4859</v>
      </c>
      <c r="AD13" s="87">
        <v>14</v>
      </c>
      <c r="AE13" s="500">
        <v>175</v>
      </c>
      <c r="AF13" s="492" t="e">
        <f>AB14</f>
        <v>#REF!</v>
      </c>
      <c r="AG13" s="489">
        <f>WORKDAY(AH13+1,-1,$BA$10:$BA$141)</f>
        <v>46568</v>
      </c>
      <c r="AH13" s="88">
        <v>46568</v>
      </c>
      <c r="AI13" s="89"/>
      <c r="AJ13" s="486" t="e">
        <f>AG13-AF13</f>
        <v>#REF!</v>
      </c>
      <c r="AK13" s="90"/>
      <c r="AL13" s="91"/>
      <c r="AM13" s="92">
        <f t="shared" ref="AM13:AW13" si="3">IF(ISERROR(LOOKUP(AM$6,$S13:$AB13,$S$9:$AB$9)),0,(LOOKUP(AM$6,$S13:$AB13,$S$9:$AB$9)))</f>
        <v>0</v>
      </c>
      <c r="AN13" s="93">
        <f t="shared" si="3"/>
        <v>0</v>
      </c>
      <c r="AO13" s="93">
        <f t="shared" si="3"/>
        <v>0</v>
      </c>
      <c r="AP13" s="93">
        <f t="shared" si="3"/>
        <v>0</v>
      </c>
      <c r="AQ13" s="93">
        <f t="shared" si="3"/>
        <v>0</v>
      </c>
      <c r="AR13" s="93">
        <f t="shared" si="3"/>
        <v>0</v>
      </c>
      <c r="AS13" s="93">
        <f t="shared" si="3"/>
        <v>0</v>
      </c>
      <c r="AT13" s="93">
        <f t="shared" si="3"/>
        <v>0</v>
      </c>
      <c r="AU13" s="93">
        <f t="shared" si="3"/>
        <v>0</v>
      </c>
      <c r="AV13" s="93">
        <f t="shared" si="3"/>
        <v>0</v>
      </c>
      <c r="AW13" s="93">
        <f t="shared" ca="1" si="3"/>
        <v>0</v>
      </c>
      <c r="BB13" s="94" t="e">
        <v>#REF!</v>
      </c>
    </row>
    <row r="14" spans="1:54" s="20" customFormat="1" ht="18" customHeight="1">
      <c r="A14" s="514"/>
      <c r="B14" s="95"/>
      <c r="C14" s="508"/>
      <c r="D14" s="96" t="str">
        <f>D13</f>
        <v>MEC</v>
      </c>
      <c r="E14" s="97" t="str">
        <f>E13</f>
        <v>RFQ-002</v>
      </c>
      <c r="F14" s="98" t="str">
        <f>F13</f>
        <v>N</v>
      </c>
      <c r="G14" s="505"/>
      <c r="H14" s="98" t="str">
        <f>H13</f>
        <v>Material Handling Equipment</v>
      </c>
      <c r="I14" s="97" t="str">
        <f>I13</f>
        <v>LA</v>
      </c>
      <c r="J14" s="98"/>
      <c r="K14" s="100"/>
      <c r="L14" s="100">
        <f>M15</f>
        <v>7.0000000000000007E-2</v>
      </c>
      <c r="M14" s="100"/>
      <c r="N14" s="97"/>
      <c r="O14" s="97"/>
      <c r="P14" s="97"/>
      <c r="Q14" s="101" t="s">
        <v>4860</v>
      </c>
      <c r="R14" s="102">
        <f>R13</f>
        <v>46398</v>
      </c>
      <c r="S14" s="102" t="e">
        <f>S13</f>
        <v>#REF!</v>
      </c>
      <c r="T14" s="103" t="e">
        <f>T13</f>
        <v>#REF!</v>
      </c>
      <c r="U14" s="103" t="e">
        <f t="shared" ref="U14:Z14" si="4">WORKDAY(IF(T15="",T14,T15),INDEX(U$2:U$5,MATCH($I13,$I$2:$I$5,0)),$BB$10:$BB$141)</f>
        <v>#REF!</v>
      </c>
      <c r="V14" s="103" t="e">
        <f t="shared" si="4"/>
        <v>#REF!</v>
      </c>
      <c r="W14" s="103" t="e">
        <f t="shared" si="4"/>
        <v>#REF!</v>
      </c>
      <c r="X14" s="103" t="e">
        <f t="shared" si="4"/>
        <v>#REF!</v>
      </c>
      <c r="Y14" s="103" t="e">
        <f t="shared" si="4"/>
        <v>#REF!</v>
      </c>
      <c r="Z14" s="103" t="e">
        <f t="shared" si="4"/>
        <v>#REF!</v>
      </c>
      <c r="AA14" s="103" t="e">
        <f>WORKDAY(IF(Z15="",X14,Z15),INDEX(AA$2:AA$5,MATCH($I13,$I$2:$I$5,0)),$BB$10:$BB$141)</f>
        <v>#REF!</v>
      </c>
      <c r="AB14" s="104" t="e">
        <f>WORKDAY(AE13+#REF!,0,'[35]Equipment List and MR List (3)'!$A$2:$A$80)</f>
        <v>#REF!</v>
      </c>
      <c r="AC14" s="502"/>
      <c r="AD14" s="105"/>
      <c r="AE14" s="500"/>
      <c r="AF14" s="493"/>
      <c r="AG14" s="490"/>
      <c r="AH14" s="106"/>
      <c r="AI14" s="107"/>
      <c r="AJ14" s="487"/>
      <c r="AK14" s="108"/>
      <c r="AL14" s="109"/>
      <c r="AM14" s="92">
        <f t="shared" ref="AM14:AW14" si="5">IF(ISERROR(LOOKUP(AM$6,$S14:$AB14,$S$9:$AB$9)),0,(LOOKUP(AM$6,$S14:$AB14,$S$9:$AB$9)))</f>
        <v>0</v>
      </c>
      <c r="AN14" s="93">
        <f t="shared" si="5"/>
        <v>0</v>
      </c>
      <c r="AO14" s="93">
        <f t="shared" si="5"/>
        <v>0</v>
      </c>
      <c r="AP14" s="93">
        <f t="shared" si="5"/>
        <v>0</v>
      </c>
      <c r="AQ14" s="93">
        <f t="shared" si="5"/>
        <v>0</v>
      </c>
      <c r="AR14" s="93">
        <f t="shared" si="5"/>
        <v>0</v>
      </c>
      <c r="AS14" s="93">
        <f t="shared" si="5"/>
        <v>0</v>
      </c>
      <c r="AT14" s="93">
        <f t="shared" si="5"/>
        <v>0</v>
      </c>
      <c r="AU14" s="93">
        <f t="shared" si="5"/>
        <v>0</v>
      </c>
      <c r="AV14" s="93">
        <f t="shared" si="5"/>
        <v>0</v>
      </c>
      <c r="AW14" s="93">
        <f t="shared" ca="1" si="5"/>
        <v>0</v>
      </c>
      <c r="BB14" s="94" t="e">
        <v>#REF!</v>
      </c>
    </row>
    <row r="15" spans="1:54" s="20" customFormat="1" ht="18" customHeight="1">
      <c r="A15" s="515"/>
      <c r="B15" s="110"/>
      <c r="C15" s="509"/>
      <c r="D15" s="111" t="str">
        <f>D13</f>
        <v>MEC</v>
      </c>
      <c r="E15" s="112" t="str">
        <f>E13</f>
        <v>RFQ-002</v>
      </c>
      <c r="F15" s="113" t="str">
        <f>F13</f>
        <v>N</v>
      </c>
      <c r="G15" s="506"/>
      <c r="H15" s="113" t="str">
        <f>H13</f>
        <v>Material Handling Equipment</v>
      </c>
      <c r="I15" s="112" t="str">
        <f>I13</f>
        <v>LA</v>
      </c>
      <c r="J15" s="113"/>
      <c r="K15" s="114"/>
      <c r="L15" s="114"/>
      <c r="M15" s="114">
        <v>7.0000000000000007E-2</v>
      </c>
      <c r="N15" s="112"/>
      <c r="O15" s="112"/>
      <c r="P15" s="112"/>
      <c r="Q15" s="115" t="s">
        <v>4861</v>
      </c>
      <c r="R15" s="115"/>
      <c r="S15" s="115"/>
      <c r="T15" s="115"/>
      <c r="U15" s="115"/>
      <c r="V15" s="115"/>
      <c r="W15" s="115"/>
      <c r="X15" s="115"/>
      <c r="Y15" s="115"/>
      <c r="Z15" s="115"/>
      <c r="AA15" s="115"/>
      <c r="AB15" s="115"/>
      <c r="AC15" s="503"/>
      <c r="AD15" s="116"/>
      <c r="AE15" s="500"/>
      <c r="AF15" s="494"/>
      <c r="AG15" s="491"/>
      <c r="AH15" s="117"/>
      <c r="AI15" s="118"/>
      <c r="AJ15" s="488"/>
      <c r="AK15" s="119"/>
      <c r="AL15" s="120"/>
      <c r="AM15" s="121">
        <f t="shared" ref="AM15:AW15" si="6">IF(ISERROR(LOOKUP(AM$6,$S15:$AB15,$S$9:$AB$9)),0,(LOOKUP(AM$6,$S15:$AB15,$S$9:$AB$9)))</f>
        <v>0</v>
      </c>
      <c r="AN15" s="122">
        <f t="shared" si="6"/>
        <v>0</v>
      </c>
      <c r="AO15" s="122">
        <f t="shared" si="6"/>
        <v>0</v>
      </c>
      <c r="AP15" s="122">
        <f t="shared" si="6"/>
        <v>0</v>
      </c>
      <c r="AQ15" s="122">
        <f t="shared" si="6"/>
        <v>0</v>
      </c>
      <c r="AR15" s="122">
        <f t="shared" si="6"/>
        <v>0</v>
      </c>
      <c r="AS15" s="122">
        <f t="shared" si="6"/>
        <v>0</v>
      </c>
      <c r="AT15" s="122">
        <f t="shared" si="6"/>
        <v>0</v>
      </c>
      <c r="AU15" s="122">
        <f t="shared" si="6"/>
        <v>0</v>
      </c>
      <c r="AV15" s="122">
        <f t="shared" si="6"/>
        <v>0</v>
      </c>
      <c r="AW15" s="122">
        <f t="shared" ca="1" si="6"/>
        <v>0</v>
      </c>
      <c r="BB15" s="94" t="e">
        <v>#REF!</v>
      </c>
    </row>
    <row r="16" spans="1:54" s="20" customFormat="1" ht="18" customHeight="1">
      <c r="A16" s="513">
        <f>A13+1</f>
        <v>3</v>
      </c>
      <c r="B16" s="516" t="s">
        <v>4863</v>
      </c>
      <c r="C16" s="507" t="s">
        <v>4855</v>
      </c>
      <c r="D16" s="80" t="s">
        <v>4856</v>
      </c>
      <c r="E16" s="81" t="s">
        <v>4734</v>
      </c>
      <c r="F16" s="82" t="s">
        <v>67</v>
      </c>
      <c r="G16" s="504" t="s">
        <v>4864</v>
      </c>
      <c r="H16" s="83" t="s">
        <v>78</v>
      </c>
      <c r="I16" s="81" t="s">
        <v>6</v>
      </c>
      <c r="J16" s="82"/>
      <c r="K16" s="84">
        <f>M18</f>
        <v>0.15</v>
      </c>
      <c r="L16" s="84"/>
      <c r="M16" s="84"/>
      <c r="N16" s="81"/>
      <c r="O16" s="81"/>
      <c r="P16" s="81"/>
      <c r="Q16" s="85" t="s">
        <v>4858</v>
      </c>
      <c r="R16" s="86">
        <f>'Before Award'!U23+5</f>
        <v>46291</v>
      </c>
      <c r="S16" s="86" t="e">
        <f>WORKDAY(R16,INDEX(S$2:S$5,MATCH($I16,$I$2:$I$5,0)),$BB$10:$BB$141)</f>
        <v>#REF!</v>
      </c>
      <c r="T16" s="86" t="e">
        <f>WORKDAY(S16,INDEX(T$2:T$5,MATCH($I16,$I$2:$I$5,0)),$BB$10:$BB$141)</f>
        <v>#REF!</v>
      </c>
      <c r="U16" s="86" t="e">
        <f>T16+60</f>
        <v>#REF!</v>
      </c>
      <c r="V16" s="86"/>
      <c r="W16" s="86">
        <f>AB16-35</f>
        <v>46431</v>
      </c>
      <c r="X16" s="86"/>
      <c r="Y16" s="86"/>
      <c r="Z16" s="86"/>
      <c r="AA16" s="86"/>
      <c r="AB16" s="86">
        <f>'Before Award'!X23</f>
        <v>46466</v>
      </c>
      <c r="AC16" s="501" t="s">
        <v>4859</v>
      </c>
      <c r="AD16" s="87">
        <v>7</v>
      </c>
      <c r="AE16" s="500">
        <v>180</v>
      </c>
      <c r="AF16" s="492" t="e">
        <f>AB17</f>
        <v>#REF!</v>
      </c>
      <c r="AG16" s="489">
        <f>WORKDAY(AH16+1,-1,$BA$10:$BA$141)</f>
        <v>46419</v>
      </c>
      <c r="AH16" s="88">
        <v>46419</v>
      </c>
      <c r="AI16" s="89"/>
      <c r="AJ16" s="486" t="e">
        <f>AG16-AF16</f>
        <v>#REF!</v>
      </c>
      <c r="AK16" s="90"/>
      <c r="AL16" s="91"/>
      <c r="AM16" s="92">
        <f t="shared" ref="AM16:AW16" si="7">IF(ISERROR(LOOKUP(AM$6,$S16:$AB16,$S$9:$AB$9)),0,(LOOKUP(AM$6,$S16:$AB16,$S$9:$AB$9)))</f>
        <v>0</v>
      </c>
      <c r="AN16" s="93">
        <f t="shared" si="7"/>
        <v>0</v>
      </c>
      <c r="AO16" s="93">
        <f t="shared" si="7"/>
        <v>0</v>
      </c>
      <c r="AP16" s="93">
        <f t="shared" si="7"/>
        <v>0</v>
      </c>
      <c r="AQ16" s="93">
        <f t="shared" si="7"/>
        <v>0</v>
      </c>
      <c r="AR16" s="93">
        <f t="shared" si="7"/>
        <v>0</v>
      </c>
      <c r="AS16" s="93">
        <f t="shared" si="7"/>
        <v>0</v>
      </c>
      <c r="AT16" s="93">
        <f t="shared" si="7"/>
        <v>0</v>
      </c>
      <c r="AU16" s="93">
        <f t="shared" si="7"/>
        <v>0</v>
      </c>
      <c r="AV16" s="93">
        <f t="shared" si="7"/>
        <v>0</v>
      </c>
      <c r="AW16" s="93">
        <f t="shared" ca="1" si="7"/>
        <v>0</v>
      </c>
      <c r="BB16" s="94" t="e">
        <v>#REF!</v>
      </c>
    </row>
    <row r="17" spans="1:54" s="20" customFormat="1" ht="18" customHeight="1">
      <c r="A17" s="514"/>
      <c r="B17" s="517"/>
      <c r="C17" s="508"/>
      <c r="D17" s="96" t="str">
        <f>D16</f>
        <v>MEC</v>
      </c>
      <c r="E17" s="97" t="str">
        <f>E16</f>
        <v>RFQ-003</v>
      </c>
      <c r="F17" s="98" t="str">
        <f>F16</f>
        <v>Y</v>
      </c>
      <c r="G17" s="505"/>
      <c r="H17" s="99" t="str">
        <f>H16</f>
        <v>Instrument Gas Filter Coalescer</v>
      </c>
      <c r="I17" s="97" t="str">
        <f>I16</f>
        <v>LA</v>
      </c>
      <c r="J17" s="98"/>
      <c r="K17" s="100"/>
      <c r="L17" s="100">
        <f>M18</f>
        <v>0.15</v>
      </c>
      <c r="M17" s="100"/>
      <c r="N17" s="97"/>
      <c r="O17" s="97"/>
      <c r="P17" s="97"/>
      <c r="Q17" s="101" t="s">
        <v>4860</v>
      </c>
      <c r="R17" s="102">
        <f>R16</f>
        <v>46291</v>
      </c>
      <c r="S17" s="102" t="e">
        <f>S16</f>
        <v>#REF!</v>
      </c>
      <c r="T17" s="103" t="e">
        <f>T16</f>
        <v>#REF!</v>
      </c>
      <c r="U17" s="103" t="e">
        <f t="shared" ref="U17:Z17" si="8">WORKDAY(IF(T18="",T17,T18),INDEX(U$2:U$5,MATCH($I16,$I$2:$I$5,0)),$BB$10:$BB$141)</f>
        <v>#REF!</v>
      </c>
      <c r="V17" s="103" t="e">
        <f t="shared" si="8"/>
        <v>#REF!</v>
      </c>
      <c r="W17" s="103" t="e">
        <f t="shared" si="8"/>
        <v>#REF!</v>
      </c>
      <c r="X17" s="103" t="e">
        <f t="shared" si="8"/>
        <v>#REF!</v>
      </c>
      <c r="Y17" s="103" t="e">
        <f t="shared" si="8"/>
        <v>#REF!</v>
      </c>
      <c r="Z17" s="103" t="e">
        <f t="shared" si="8"/>
        <v>#REF!</v>
      </c>
      <c r="AA17" s="103" t="e">
        <f>WORKDAY(IF(Z18="",X17,Z18),INDEX(AA$2:AA$5,MATCH($I16,$I$2:$I$5,0)),$BB$10:$BB$141)</f>
        <v>#REF!</v>
      </c>
      <c r="AB17" s="104" t="e">
        <f>WORKDAY(AE16+#REF!,0,'[35]Equipment List and MR List (3)'!$A$2:$A$80)</f>
        <v>#REF!</v>
      </c>
      <c r="AC17" s="502"/>
      <c r="AD17" s="105"/>
      <c r="AE17" s="500"/>
      <c r="AF17" s="493"/>
      <c r="AG17" s="490"/>
      <c r="AH17" s="106"/>
      <c r="AI17" s="107"/>
      <c r="AJ17" s="487"/>
      <c r="AK17" s="108"/>
      <c r="AL17" s="109"/>
      <c r="AM17" s="92">
        <f t="shared" ref="AM17:AW17" si="9">IF(ISERROR(LOOKUP(AM$6,$S17:$AB17,$S$9:$AB$9)),0,(LOOKUP(AM$6,$S17:$AB17,$S$9:$AB$9)))</f>
        <v>0</v>
      </c>
      <c r="AN17" s="93">
        <f t="shared" si="9"/>
        <v>0</v>
      </c>
      <c r="AO17" s="93">
        <f t="shared" si="9"/>
        <v>0</v>
      </c>
      <c r="AP17" s="93">
        <f t="shared" si="9"/>
        <v>0</v>
      </c>
      <c r="AQ17" s="93">
        <f t="shared" si="9"/>
        <v>0</v>
      </c>
      <c r="AR17" s="93">
        <f t="shared" si="9"/>
        <v>0</v>
      </c>
      <c r="AS17" s="93">
        <f t="shared" si="9"/>
        <v>0</v>
      </c>
      <c r="AT17" s="93">
        <f t="shared" si="9"/>
        <v>0</v>
      </c>
      <c r="AU17" s="93">
        <f t="shared" si="9"/>
        <v>0</v>
      </c>
      <c r="AV17" s="93">
        <f t="shared" si="9"/>
        <v>0</v>
      </c>
      <c r="AW17" s="93">
        <f t="shared" ca="1" si="9"/>
        <v>0</v>
      </c>
      <c r="BB17" s="94" t="e">
        <v>#REF!</v>
      </c>
    </row>
    <row r="18" spans="1:54" s="20" customFormat="1" ht="18" customHeight="1">
      <c r="A18" s="515"/>
      <c r="B18" s="518"/>
      <c r="C18" s="509"/>
      <c r="D18" s="111" t="str">
        <f>D16</f>
        <v>MEC</v>
      </c>
      <c r="E18" s="112" t="str">
        <f>E16</f>
        <v>RFQ-003</v>
      </c>
      <c r="F18" s="113" t="str">
        <f>F16</f>
        <v>Y</v>
      </c>
      <c r="G18" s="506"/>
      <c r="H18" s="99" t="str">
        <f>H16</f>
        <v>Instrument Gas Filter Coalescer</v>
      </c>
      <c r="I18" s="112" t="str">
        <f>I16</f>
        <v>LA</v>
      </c>
      <c r="J18" s="113"/>
      <c r="K18" s="114"/>
      <c r="L18" s="114"/>
      <c r="M18" s="114">
        <v>0.15</v>
      </c>
      <c r="N18" s="112"/>
      <c r="O18" s="112"/>
      <c r="P18" s="112"/>
      <c r="Q18" s="115" t="s">
        <v>4861</v>
      </c>
      <c r="R18" s="115"/>
      <c r="S18" s="115"/>
      <c r="T18" s="115"/>
      <c r="U18" s="115"/>
      <c r="V18" s="115"/>
      <c r="W18" s="115"/>
      <c r="X18" s="115"/>
      <c r="Y18" s="115"/>
      <c r="Z18" s="115"/>
      <c r="AA18" s="115"/>
      <c r="AB18" s="115"/>
      <c r="AC18" s="503"/>
      <c r="AD18" s="116"/>
      <c r="AE18" s="500"/>
      <c r="AF18" s="494"/>
      <c r="AG18" s="491"/>
      <c r="AH18" s="117"/>
      <c r="AI18" s="118"/>
      <c r="AJ18" s="488"/>
      <c r="AK18" s="119"/>
      <c r="AL18" s="120"/>
      <c r="AM18" s="121">
        <f t="shared" ref="AM18:AW18" si="10">IF(ISERROR(LOOKUP(AM$6,$S18:$AB18,$S$9:$AB$9)),0,(LOOKUP(AM$6,$S18:$AB18,$S$9:$AB$9)))</f>
        <v>0</v>
      </c>
      <c r="AN18" s="122">
        <f t="shared" si="10"/>
        <v>0</v>
      </c>
      <c r="AO18" s="122">
        <f t="shared" si="10"/>
        <v>0</v>
      </c>
      <c r="AP18" s="122">
        <f t="shared" si="10"/>
        <v>0</v>
      </c>
      <c r="AQ18" s="122">
        <f t="shared" si="10"/>
        <v>0</v>
      </c>
      <c r="AR18" s="122">
        <f t="shared" si="10"/>
        <v>0</v>
      </c>
      <c r="AS18" s="122">
        <f t="shared" si="10"/>
        <v>0</v>
      </c>
      <c r="AT18" s="122">
        <f t="shared" si="10"/>
        <v>0</v>
      </c>
      <c r="AU18" s="122">
        <f t="shared" si="10"/>
        <v>0</v>
      </c>
      <c r="AV18" s="122">
        <f t="shared" si="10"/>
        <v>0</v>
      </c>
      <c r="AW18" s="122">
        <f t="shared" ca="1" si="10"/>
        <v>0</v>
      </c>
      <c r="BB18" s="94" t="e">
        <v>#REF!</v>
      </c>
    </row>
    <row r="19" spans="1:54" s="20" customFormat="1" ht="16.5" customHeight="1">
      <c r="A19" s="513">
        <f>A16+1</f>
        <v>4</v>
      </c>
      <c r="B19" s="510" t="s">
        <v>4865</v>
      </c>
      <c r="C19" s="507" t="s">
        <v>4855</v>
      </c>
      <c r="D19" s="80" t="s">
        <v>4856</v>
      </c>
      <c r="E19" s="81" t="s">
        <v>4735</v>
      </c>
      <c r="F19" s="82" t="str">
        <f>IF(_xlfn.XLOOKUP(E19,'[35]Before Award'!D:D,'[35]Before Award'!AV:AV,"N/A")="N/A","N","Y")</f>
        <v>N</v>
      </c>
      <c r="G19" s="504" t="s">
        <v>4866</v>
      </c>
      <c r="H19" s="123" t="s">
        <v>4736</v>
      </c>
      <c r="I19" s="81" t="s">
        <v>6</v>
      </c>
      <c r="J19" s="82"/>
      <c r="K19" s="84">
        <f>M21</f>
        <v>0.02</v>
      </c>
      <c r="L19" s="84"/>
      <c r="M19" s="84"/>
      <c r="N19" s="81"/>
      <c r="O19" s="81"/>
      <c r="P19" s="81"/>
      <c r="Q19" s="85" t="s">
        <v>4858</v>
      </c>
      <c r="R19" s="86">
        <f>'Before Award'!U26+5</f>
        <v>46288</v>
      </c>
      <c r="S19" s="86" t="e">
        <f>WORKDAY(R19,INDEX(S$2:S$5,MATCH($I19,$I$2:$I$5,0)),$BB$10:$BB$141)</f>
        <v>#REF!</v>
      </c>
      <c r="T19" s="86" t="e">
        <f>WORKDAY(S19,INDEX(T$2:T$5,MATCH($I19,$I$2:$I$5,0)),$BB$10:$BB$141)</f>
        <v>#REF!</v>
      </c>
      <c r="U19" s="86" t="e">
        <f>T19+60</f>
        <v>#REF!</v>
      </c>
      <c r="V19" s="86"/>
      <c r="W19" s="86">
        <f>AB19-35</f>
        <v>46431</v>
      </c>
      <c r="X19" s="86"/>
      <c r="Y19" s="86"/>
      <c r="Z19" s="86"/>
      <c r="AA19" s="86"/>
      <c r="AB19" s="86">
        <f>'Before Award'!X26</f>
        <v>46466</v>
      </c>
      <c r="AC19" s="501" t="s">
        <v>4859</v>
      </c>
      <c r="AD19" s="87">
        <v>14</v>
      </c>
      <c r="AE19" s="499">
        <v>336</v>
      </c>
      <c r="AF19" s="492" t="e">
        <f>AB20</f>
        <v>#REF!</v>
      </c>
      <c r="AG19" s="489">
        <f>WORKDAY(AH19+1,-1,$BA$10:$BA$141)</f>
        <v>46416</v>
      </c>
      <c r="AH19" s="88">
        <v>46417</v>
      </c>
      <c r="AI19" s="89"/>
      <c r="AJ19" s="486" t="e">
        <f>AG19-AF19</f>
        <v>#REF!</v>
      </c>
      <c r="AK19" s="90"/>
      <c r="AL19" s="91"/>
      <c r="AM19" s="92">
        <f t="shared" ref="AM19:AW19" si="11">IF(ISERROR(LOOKUP(AM$6,$S19:$AB19,$S$9:$AB$9)),0,(LOOKUP(AM$6,$S19:$AB19,$S$9:$AB$9)))</f>
        <v>0</v>
      </c>
      <c r="AN19" s="93">
        <f t="shared" si="11"/>
        <v>0</v>
      </c>
      <c r="AO19" s="93">
        <f t="shared" si="11"/>
        <v>0</v>
      </c>
      <c r="AP19" s="93">
        <f t="shared" si="11"/>
        <v>0</v>
      </c>
      <c r="AQ19" s="93">
        <f t="shared" si="11"/>
        <v>0</v>
      </c>
      <c r="AR19" s="93">
        <f t="shared" si="11"/>
        <v>0</v>
      </c>
      <c r="AS19" s="93">
        <f t="shared" si="11"/>
        <v>0</v>
      </c>
      <c r="AT19" s="93">
        <f t="shared" si="11"/>
        <v>0</v>
      </c>
      <c r="AU19" s="93">
        <f t="shared" si="11"/>
        <v>0</v>
      </c>
      <c r="AV19" s="93">
        <f t="shared" si="11"/>
        <v>0</v>
      </c>
      <c r="AW19" s="93">
        <f t="shared" ca="1" si="11"/>
        <v>0</v>
      </c>
      <c r="BB19" s="94" t="e">
        <v>#REF!</v>
      </c>
    </row>
    <row r="20" spans="1:54" s="20" customFormat="1" ht="16.5" customHeight="1">
      <c r="A20" s="514"/>
      <c r="B20" s="511"/>
      <c r="C20" s="508"/>
      <c r="D20" s="96" t="str">
        <f>D19</f>
        <v>MEC</v>
      </c>
      <c r="E20" s="97" t="str">
        <f>E19</f>
        <v>RFQ-004</v>
      </c>
      <c r="F20" s="98" t="str">
        <f>F19</f>
        <v>N</v>
      </c>
      <c r="G20" s="505"/>
      <c r="H20" s="124" t="str">
        <f>H19</f>
        <v>Production &amp; Test Seperator</v>
      </c>
      <c r="I20" s="97" t="str">
        <f>I19</f>
        <v>LA</v>
      </c>
      <c r="J20" s="98"/>
      <c r="K20" s="100"/>
      <c r="L20" s="100">
        <f>M21</f>
        <v>0.02</v>
      </c>
      <c r="M20" s="100"/>
      <c r="N20" s="97"/>
      <c r="O20" s="97"/>
      <c r="P20" s="97"/>
      <c r="Q20" s="101" t="s">
        <v>4860</v>
      </c>
      <c r="R20" s="102">
        <f>R19</f>
        <v>46288</v>
      </c>
      <c r="S20" s="125" t="e">
        <f>S19</f>
        <v>#REF!</v>
      </c>
      <c r="T20" s="102" t="e">
        <f>T19</f>
        <v>#REF!</v>
      </c>
      <c r="U20" s="102" t="e">
        <f t="shared" ref="U20:Z20" si="12">WORKDAY(IF(T21="",T20,T21),INDEX(U$2:U$5,MATCH($I19,$I$2:$I$5,0)),$BB$10:$BB$141)</f>
        <v>#REF!</v>
      </c>
      <c r="V20" s="103" t="e">
        <f t="shared" si="12"/>
        <v>#REF!</v>
      </c>
      <c r="W20" s="103" t="e">
        <f t="shared" si="12"/>
        <v>#REF!</v>
      </c>
      <c r="X20" s="103" t="e">
        <f t="shared" si="12"/>
        <v>#REF!</v>
      </c>
      <c r="Y20" s="103" t="e">
        <f t="shared" si="12"/>
        <v>#REF!</v>
      </c>
      <c r="Z20" s="103" t="e">
        <f t="shared" si="12"/>
        <v>#REF!</v>
      </c>
      <c r="AA20" s="103" t="e">
        <f>WORKDAY(IF(Z21="",X20,Z21),INDEX(AA$2:AA$5,MATCH($I19,$I$2:$I$5,0)),$BB$10:$BB$141)</f>
        <v>#REF!</v>
      </c>
      <c r="AB20" s="104" t="e">
        <f>WORKDAY(AE19+#REF!,0,'[35]Equipment List and MR List (3)'!$A$2:$A$80)</f>
        <v>#REF!</v>
      </c>
      <c r="AC20" s="502"/>
      <c r="AD20" s="105"/>
      <c r="AE20" s="499"/>
      <c r="AF20" s="493"/>
      <c r="AG20" s="490"/>
      <c r="AH20" s="106"/>
      <c r="AI20" s="107"/>
      <c r="AJ20" s="487"/>
      <c r="AK20" s="108"/>
      <c r="AL20" s="109"/>
      <c r="AM20" s="92">
        <f t="shared" ref="AM20:AW20" si="13">IF(ISERROR(LOOKUP(AM$6,$S20:$AB20,$S$9:$AB$9)),0,(LOOKUP(AM$6,$S20:$AB20,$S$9:$AB$9)))</f>
        <v>0</v>
      </c>
      <c r="AN20" s="93">
        <f t="shared" si="13"/>
        <v>0</v>
      </c>
      <c r="AO20" s="93">
        <f t="shared" si="13"/>
        <v>0</v>
      </c>
      <c r="AP20" s="93">
        <f t="shared" si="13"/>
        <v>0</v>
      </c>
      <c r="AQ20" s="93">
        <f t="shared" si="13"/>
        <v>0</v>
      </c>
      <c r="AR20" s="93">
        <f t="shared" si="13"/>
        <v>0</v>
      </c>
      <c r="AS20" s="93">
        <f t="shared" si="13"/>
        <v>0</v>
      </c>
      <c r="AT20" s="93">
        <f t="shared" si="13"/>
        <v>0</v>
      </c>
      <c r="AU20" s="93">
        <f t="shared" si="13"/>
        <v>0</v>
      </c>
      <c r="AV20" s="93">
        <f t="shared" si="13"/>
        <v>0</v>
      </c>
      <c r="AW20" s="93">
        <f t="shared" ca="1" si="13"/>
        <v>0</v>
      </c>
      <c r="BB20" s="94" t="e">
        <v>#REF!</v>
      </c>
    </row>
    <row r="21" spans="1:54" s="20" customFormat="1" ht="16.5" customHeight="1">
      <c r="A21" s="515"/>
      <c r="B21" s="512"/>
      <c r="C21" s="509"/>
      <c r="D21" s="111" t="str">
        <f>D19</f>
        <v>MEC</v>
      </c>
      <c r="E21" s="112" t="str">
        <f>E19</f>
        <v>RFQ-004</v>
      </c>
      <c r="F21" s="113" t="str">
        <f>F19</f>
        <v>N</v>
      </c>
      <c r="G21" s="506"/>
      <c r="H21" s="124" t="str">
        <f>H19</f>
        <v>Production &amp; Test Seperator</v>
      </c>
      <c r="I21" s="112" t="str">
        <f>I19</f>
        <v>LA</v>
      </c>
      <c r="J21" s="113"/>
      <c r="K21" s="114"/>
      <c r="L21" s="114"/>
      <c r="M21" s="114">
        <v>0.02</v>
      </c>
      <c r="N21" s="112"/>
      <c r="O21" s="112"/>
      <c r="P21" s="112"/>
      <c r="Q21" s="115" t="s">
        <v>4861</v>
      </c>
      <c r="R21" s="115"/>
      <c r="S21" s="115"/>
      <c r="T21" s="115"/>
      <c r="U21" s="115"/>
      <c r="V21" s="115"/>
      <c r="W21" s="115"/>
      <c r="X21" s="115"/>
      <c r="Y21" s="115"/>
      <c r="Z21" s="115"/>
      <c r="AA21" s="115"/>
      <c r="AB21" s="115"/>
      <c r="AC21" s="503"/>
      <c r="AD21" s="116"/>
      <c r="AE21" s="499"/>
      <c r="AF21" s="494"/>
      <c r="AG21" s="491"/>
      <c r="AH21" s="117"/>
      <c r="AI21" s="118"/>
      <c r="AJ21" s="488"/>
      <c r="AK21" s="119"/>
      <c r="AL21" s="120"/>
      <c r="AM21" s="121">
        <f t="shared" ref="AM21:AW21" si="14">IF(ISERROR(LOOKUP(AM$6,$S21:$AB21,$S$9:$AB$9)),0,(LOOKUP(AM$6,$S21:$AB21,$S$9:$AB$9)))</f>
        <v>0</v>
      </c>
      <c r="AN21" s="122">
        <f t="shared" si="14"/>
        <v>0</v>
      </c>
      <c r="AO21" s="122">
        <f t="shared" si="14"/>
        <v>0</v>
      </c>
      <c r="AP21" s="122">
        <f t="shared" si="14"/>
        <v>0</v>
      </c>
      <c r="AQ21" s="122">
        <f t="shared" si="14"/>
        <v>0</v>
      </c>
      <c r="AR21" s="122">
        <f t="shared" si="14"/>
        <v>0</v>
      </c>
      <c r="AS21" s="122">
        <f t="shared" si="14"/>
        <v>0</v>
      </c>
      <c r="AT21" s="122">
        <f t="shared" si="14"/>
        <v>0</v>
      </c>
      <c r="AU21" s="122">
        <f t="shared" si="14"/>
        <v>0</v>
      </c>
      <c r="AV21" s="122">
        <f t="shared" si="14"/>
        <v>0</v>
      </c>
      <c r="AW21" s="122">
        <f t="shared" ca="1" si="14"/>
        <v>0</v>
      </c>
      <c r="BB21" s="94" t="e">
        <v>#REF!</v>
      </c>
    </row>
    <row r="22" spans="1:54" s="20" customFormat="1" ht="16.5" customHeight="1">
      <c r="A22" s="513">
        <f>A19+1</f>
        <v>5</v>
      </c>
      <c r="B22" s="510" t="s">
        <v>4865</v>
      </c>
      <c r="C22" s="507" t="s">
        <v>4855</v>
      </c>
      <c r="D22" s="80" t="s">
        <v>4867</v>
      </c>
      <c r="E22" s="81" t="s">
        <v>4737</v>
      </c>
      <c r="F22" s="82" t="s">
        <v>67</v>
      </c>
      <c r="G22" s="504" t="s">
        <v>4868</v>
      </c>
      <c r="H22" s="123" t="s">
        <v>4738</v>
      </c>
      <c r="I22" s="81" t="s">
        <v>6</v>
      </c>
      <c r="J22" s="82"/>
      <c r="K22" s="84">
        <f>M24</f>
        <v>0.02</v>
      </c>
      <c r="L22" s="84"/>
      <c r="M22" s="84"/>
      <c r="N22" s="81"/>
      <c r="O22" s="81"/>
      <c r="P22" s="81"/>
      <c r="Q22" s="85" t="s">
        <v>4858</v>
      </c>
      <c r="R22" s="86">
        <f>'Before Award'!U29+5</f>
        <v>46253</v>
      </c>
      <c r="S22" s="86" t="e">
        <f>WORKDAY(R22,INDEX(S$2:S$5,MATCH($I22,$I$2:$I$5,0)),$BB$10:$BB$141)</f>
        <v>#REF!</v>
      </c>
      <c r="T22" s="86" t="e">
        <f>WORKDAY(S22,INDEX(T$2:T$5,MATCH($I22,$I$2:$I$5,0)),$BB$10:$BB$141)</f>
        <v>#REF!</v>
      </c>
      <c r="U22" s="86" t="e">
        <f>T22+60</f>
        <v>#REF!</v>
      </c>
      <c r="V22" s="86"/>
      <c r="W22" s="86">
        <f>AB22-35</f>
        <v>46437</v>
      </c>
      <c r="X22" s="86"/>
      <c r="Y22" s="86"/>
      <c r="Z22" s="86"/>
      <c r="AA22" s="86"/>
      <c r="AB22" s="86">
        <f>'Before Award'!X29</f>
        <v>46472</v>
      </c>
      <c r="AC22" s="501" t="s">
        <v>4859</v>
      </c>
      <c r="AD22" s="87">
        <v>14</v>
      </c>
      <c r="AE22" s="499">
        <v>294</v>
      </c>
      <c r="AF22" s="492" t="e">
        <f>AB23</f>
        <v>#REF!</v>
      </c>
      <c r="AG22" s="489">
        <f>WORKDAY(AH22+1,-1,$BA$10:$BA$141)</f>
        <v>46339</v>
      </c>
      <c r="AH22" s="88">
        <v>46341</v>
      </c>
      <c r="AI22" s="89"/>
      <c r="AJ22" s="486" t="e">
        <f>AG22-AF22</f>
        <v>#REF!</v>
      </c>
      <c r="AK22" s="90"/>
      <c r="AL22" s="91"/>
      <c r="AM22" s="92">
        <f t="shared" ref="AM22:AW22" si="15">IF(ISERROR(LOOKUP(AM$6,$S22:$AB22,$S$9:$AB$9)),0,(LOOKUP(AM$6,$S22:$AB22,$S$9:$AB$9)))</f>
        <v>0</v>
      </c>
      <c r="AN22" s="93">
        <f t="shared" si="15"/>
        <v>0</v>
      </c>
      <c r="AO22" s="93">
        <f t="shared" si="15"/>
        <v>0</v>
      </c>
      <c r="AP22" s="93">
        <f t="shared" si="15"/>
        <v>0</v>
      </c>
      <c r="AQ22" s="93">
        <f t="shared" si="15"/>
        <v>0</v>
      </c>
      <c r="AR22" s="93">
        <f t="shared" si="15"/>
        <v>0</v>
      </c>
      <c r="AS22" s="93">
        <f t="shared" si="15"/>
        <v>0</v>
      </c>
      <c r="AT22" s="93">
        <f t="shared" si="15"/>
        <v>0</v>
      </c>
      <c r="AU22" s="93">
        <f t="shared" si="15"/>
        <v>0</v>
      </c>
      <c r="AV22" s="93">
        <f t="shared" si="15"/>
        <v>0</v>
      </c>
      <c r="AW22" s="93">
        <f t="shared" ca="1" si="15"/>
        <v>0</v>
      </c>
      <c r="BB22" s="94" t="e">
        <v>#REF!</v>
      </c>
    </row>
    <row r="23" spans="1:54" s="20" customFormat="1" ht="16.5" customHeight="1">
      <c r="A23" s="514"/>
      <c r="B23" s="511"/>
      <c r="C23" s="508"/>
      <c r="D23" s="96" t="str">
        <f>D22</f>
        <v>PIP</v>
      </c>
      <c r="E23" s="97" t="str">
        <f>E22</f>
        <v>RFQ-005</v>
      </c>
      <c r="F23" s="98" t="str">
        <f>F22</f>
        <v>Y</v>
      </c>
      <c r="G23" s="505"/>
      <c r="H23" s="124" t="str">
        <f>H22</f>
        <v>Pig Launcher and Receiver</v>
      </c>
      <c r="I23" s="97" t="str">
        <f>I22</f>
        <v>LA</v>
      </c>
      <c r="J23" s="98"/>
      <c r="K23" s="100"/>
      <c r="L23" s="100">
        <f>M24</f>
        <v>0.02</v>
      </c>
      <c r="M23" s="100"/>
      <c r="N23" s="97"/>
      <c r="O23" s="97"/>
      <c r="P23" s="97"/>
      <c r="Q23" s="101" t="s">
        <v>4860</v>
      </c>
      <c r="R23" s="102">
        <f>R22</f>
        <v>46253</v>
      </c>
      <c r="S23" s="102" t="e">
        <f>S22</f>
        <v>#REF!</v>
      </c>
      <c r="T23" s="103" t="e">
        <f>T22</f>
        <v>#REF!</v>
      </c>
      <c r="U23" s="103" t="e">
        <f t="shared" ref="U23:Z23" si="16">WORKDAY(IF(T24="",T23,T24),INDEX(U$2:U$5,MATCH($I22,$I$2:$I$5,0)),$BB$10:$BB$141)</f>
        <v>#REF!</v>
      </c>
      <c r="V23" s="103" t="e">
        <f t="shared" si="16"/>
        <v>#REF!</v>
      </c>
      <c r="W23" s="125" t="e">
        <f t="shared" si="16"/>
        <v>#REF!</v>
      </c>
      <c r="X23" s="103" t="e">
        <f t="shared" si="16"/>
        <v>#REF!</v>
      </c>
      <c r="Y23" s="103" t="e">
        <f t="shared" si="16"/>
        <v>#REF!</v>
      </c>
      <c r="Z23" s="103" t="e">
        <f t="shared" si="16"/>
        <v>#REF!</v>
      </c>
      <c r="AA23" s="103" t="e">
        <f>WORKDAY(IF(Z24="",X23,Z24),INDEX(AA$2:AA$5,MATCH($I22,$I$2:$I$5,0)),$BB$10:$BB$141)</f>
        <v>#REF!</v>
      </c>
      <c r="AB23" s="104" t="e">
        <f>WORKDAY(AE22+#REF!,0,'[35]Equipment List and MR List (3)'!$A$2:$A$80)</f>
        <v>#REF!</v>
      </c>
      <c r="AC23" s="502"/>
      <c r="AD23" s="105"/>
      <c r="AE23" s="499"/>
      <c r="AF23" s="493"/>
      <c r="AG23" s="490"/>
      <c r="AH23" s="106"/>
      <c r="AI23" s="107"/>
      <c r="AJ23" s="487"/>
      <c r="AK23" s="108"/>
      <c r="AL23" s="109"/>
      <c r="AM23" s="92">
        <f t="shared" ref="AM23:AW23" si="17">IF(ISERROR(LOOKUP(AM$6,$S23:$AB23,$S$9:$AB$9)),0,(LOOKUP(AM$6,$S23:$AB23,$S$9:$AB$9)))</f>
        <v>0</v>
      </c>
      <c r="AN23" s="93">
        <f t="shared" si="17"/>
        <v>0</v>
      </c>
      <c r="AO23" s="93">
        <f t="shared" si="17"/>
        <v>0</v>
      </c>
      <c r="AP23" s="93">
        <f t="shared" si="17"/>
        <v>0</v>
      </c>
      <c r="AQ23" s="93">
        <f t="shared" si="17"/>
        <v>0</v>
      </c>
      <c r="AR23" s="93">
        <f t="shared" si="17"/>
        <v>0</v>
      </c>
      <c r="AS23" s="93">
        <f t="shared" si="17"/>
        <v>0</v>
      </c>
      <c r="AT23" s="93">
        <f t="shared" si="17"/>
        <v>0</v>
      </c>
      <c r="AU23" s="93">
        <f t="shared" si="17"/>
        <v>0</v>
      </c>
      <c r="AV23" s="93">
        <f t="shared" si="17"/>
        <v>0</v>
      </c>
      <c r="AW23" s="93">
        <f t="shared" ca="1" si="17"/>
        <v>0</v>
      </c>
      <c r="BB23" s="94" t="e">
        <v>#REF!</v>
      </c>
    </row>
    <row r="24" spans="1:54" s="20" customFormat="1" ht="16.5" customHeight="1">
      <c r="A24" s="515"/>
      <c r="B24" s="512"/>
      <c r="C24" s="509"/>
      <c r="D24" s="111" t="str">
        <f>D22</f>
        <v>PIP</v>
      </c>
      <c r="E24" s="112" t="str">
        <f>E22</f>
        <v>RFQ-005</v>
      </c>
      <c r="F24" s="113" t="str">
        <f>F22</f>
        <v>Y</v>
      </c>
      <c r="G24" s="506"/>
      <c r="H24" s="124" t="str">
        <f>H22</f>
        <v>Pig Launcher and Receiver</v>
      </c>
      <c r="I24" s="112" t="str">
        <f>I22</f>
        <v>LA</v>
      </c>
      <c r="J24" s="113"/>
      <c r="K24" s="114"/>
      <c r="L24" s="114"/>
      <c r="M24" s="114">
        <v>0.02</v>
      </c>
      <c r="N24" s="112"/>
      <c r="O24" s="112"/>
      <c r="P24" s="112"/>
      <c r="Q24" s="115" t="s">
        <v>4861</v>
      </c>
      <c r="R24" s="115"/>
      <c r="S24" s="115"/>
      <c r="T24" s="115"/>
      <c r="U24" s="115"/>
      <c r="V24" s="115"/>
      <c r="W24" s="115"/>
      <c r="X24" s="115"/>
      <c r="Y24" s="115"/>
      <c r="Z24" s="115"/>
      <c r="AA24" s="115"/>
      <c r="AB24" s="115"/>
      <c r="AC24" s="503"/>
      <c r="AD24" s="116"/>
      <c r="AE24" s="499"/>
      <c r="AF24" s="494"/>
      <c r="AG24" s="491"/>
      <c r="AH24" s="117"/>
      <c r="AI24" s="118"/>
      <c r="AJ24" s="488"/>
      <c r="AK24" s="119"/>
      <c r="AL24" s="120"/>
      <c r="AM24" s="121">
        <f t="shared" ref="AM24:AW24" si="18">IF(ISERROR(LOOKUP(AM$6,$S24:$AB24,$S$9:$AB$9)),0,(LOOKUP(AM$6,$S24:$AB24,$S$9:$AB$9)))</f>
        <v>0</v>
      </c>
      <c r="AN24" s="122">
        <f t="shared" si="18"/>
        <v>0</v>
      </c>
      <c r="AO24" s="122">
        <f t="shared" si="18"/>
        <v>0</v>
      </c>
      <c r="AP24" s="122">
        <f t="shared" si="18"/>
        <v>0</v>
      </c>
      <c r="AQ24" s="122">
        <f t="shared" si="18"/>
        <v>0</v>
      </c>
      <c r="AR24" s="122">
        <f t="shared" si="18"/>
        <v>0</v>
      </c>
      <c r="AS24" s="122">
        <f t="shared" si="18"/>
        <v>0</v>
      </c>
      <c r="AT24" s="122">
        <f t="shared" si="18"/>
        <v>0</v>
      </c>
      <c r="AU24" s="122">
        <f t="shared" si="18"/>
        <v>0</v>
      </c>
      <c r="AV24" s="122">
        <f t="shared" si="18"/>
        <v>0</v>
      </c>
      <c r="AW24" s="122">
        <f t="shared" ca="1" si="18"/>
        <v>0</v>
      </c>
      <c r="BB24" s="94" t="e">
        <v>#REF!</v>
      </c>
    </row>
    <row r="25" spans="1:54" s="20" customFormat="1" ht="19.5" customHeight="1">
      <c r="A25" s="513">
        <f>A22+1</f>
        <v>6</v>
      </c>
      <c r="B25" s="516" t="s">
        <v>4869</v>
      </c>
      <c r="C25" s="507" t="s">
        <v>4855</v>
      </c>
      <c r="D25" s="80" t="s">
        <v>4856</v>
      </c>
      <c r="E25" s="81" t="s">
        <v>4739</v>
      </c>
      <c r="F25" s="82" t="s">
        <v>67</v>
      </c>
      <c r="G25" s="504" t="s">
        <v>4870</v>
      </c>
      <c r="H25" s="83" t="s">
        <v>4740</v>
      </c>
      <c r="I25" s="81" t="s">
        <v>6</v>
      </c>
      <c r="J25" s="82"/>
      <c r="K25" s="84">
        <f>M27</f>
        <v>0.01</v>
      </c>
      <c r="L25" s="84"/>
      <c r="M25" s="84"/>
      <c r="N25" s="81"/>
      <c r="O25" s="81"/>
      <c r="P25" s="81"/>
      <c r="Q25" s="85" t="s">
        <v>4858</v>
      </c>
      <c r="R25" s="86">
        <f>'Before Award'!U32+5</f>
        <v>46225</v>
      </c>
      <c r="S25" s="86" t="e">
        <f>WORKDAY(R25,INDEX(S$2:S$5,MATCH($I25,$I$2:$I$5,0)),$BB$10:$BB$141)</f>
        <v>#REF!</v>
      </c>
      <c r="T25" s="86" t="e">
        <f>WORKDAY(S25,INDEX(T$2:T$5,MATCH($I25,$I$2:$I$5,0)),$BB$10:$BB$141)</f>
        <v>#REF!</v>
      </c>
      <c r="U25" s="86" t="e">
        <f>T25+60</f>
        <v>#REF!</v>
      </c>
      <c r="V25" s="86"/>
      <c r="W25" s="86">
        <f>AB25-35</f>
        <v>46409</v>
      </c>
      <c r="X25" s="86"/>
      <c r="Y25" s="86"/>
      <c r="Z25" s="86"/>
      <c r="AA25" s="86"/>
      <c r="AB25" s="86">
        <f>'Before Award'!X32</f>
        <v>46444</v>
      </c>
      <c r="AC25" s="501" t="s">
        <v>4859</v>
      </c>
      <c r="AD25" s="87">
        <v>14</v>
      </c>
      <c r="AE25" s="499">
        <f>32*7</f>
        <v>224</v>
      </c>
      <c r="AF25" s="492" t="e">
        <f>AB26</f>
        <v>#REF!</v>
      </c>
      <c r="AG25" s="489">
        <f>WORKDAY(AH25+1,-1,$BA$10:$BA$141)</f>
        <v>46444</v>
      </c>
      <c r="AH25" s="88">
        <v>46446</v>
      </c>
      <c r="AI25" s="89"/>
      <c r="AJ25" s="486" t="e">
        <f>AG25-AF25</f>
        <v>#REF!</v>
      </c>
      <c r="AK25" s="90"/>
      <c r="AL25" s="91"/>
      <c r="AM25" s="92">
        <f t="shared" ref="AM25:AW25" si="19">IF(ISERROR(LOOKUP(AM$6,$S25:$AB25,$S$9:$AB$9)),0,(LOOKUP(AM$6,$S25:$AB25,$S$9:$AB$9)))</f>
        <v>0</v>
      </c>
      <c r="AN25" s="93">
        <f t="shared" si="19"/>
        <v>0</v>
      </c>
      <c r="AO25" s="93">
        <f t="shared" si="19"/>
        <v>0</v>
      </c>
      <c r="AP25" s="93">
        <f t="shared" si="19"/>
        <v>0</v>
      </c>
      <c r="AQ25" s="93">
        <f t="shared" si="19"/>
        <v>0</v>
      </c>
      <c r="AR25" s="93">
        <f t="shared" si="19"/>
        <v>0</v>
      </c>
      <c r="AS25" s="93">
        <f t="shared" si="19"/>
        <v>0</v>
      </c>
      <c r="AT25" s="93">
        <f t="shared" si="19"/>
        <v>0</v>
      </c>
      <c r="AU25" s="93">
        <f t="shared" si="19"/>
        <v>0</v>
      </c>
      <c r="AV25" s="93">
        <f t="shared" si="19"/>
        <v>0</v>
      </c>
      <c r="AW25" s="93">
        <f t="shared" ca="1" si="19"/>
        <v>0</v>
      </c>
      <c r="BB25" s="94" t="e">
        <v>#REF!</v>
      </c>
    </row>
    <row r="26" spans="1:54" s="20" customFormat="1" ht="19.5" customHeight="1">
      <c r="A26" s="514"/>
      <c r="B26" s="517"/>
      <c r="C26" s="508"/>
      <c r="D26" s="96" t="str">
        <f>D25</f>
        <v>MEC</v>
      </c>
      <c r="E26" s="97" t="str">
        <f>E25</f>
        <v>RFQ-006</v>
      </c>
      <c r="F26" s="98" t="str">
        <f>F25</f>
        <v>Y</v>
      </c>
      <c r="G26" s="505"/>
      <c r="H26" s="99" t="str">
        <f>H25</f>
        <v>Corrosion Inhibitor Injection Pump</v>
      </c>
      <c r="I26" s="97" t="str">
        <f>I25</f>
        <v>LA</v>
      </c>
      <c r="J26" s="98"/>
      <c r="K26" s="100"/>
      <c r="L26" s="100">
        <f>M27</f>
        <v>0.01</v>
      </c>
      <c r="M26" s="100"/>
      <c r="N26" s="97"/>
      <c r="O26" s="97"/>
      <c r="P26" s="97"/>
      <c r="Q26" s="101" t="s">
        <v>4860</v>
      </c>
      <c r="R26" s="102">
        <f>R25</f>
        <v>46225</v>
      </c>
      <c r="S26" s="102" t="e">
        <f>S25</f>
        <v>#REF!</v>
      </c>
      <c r="T26" s="103" t="e">
        <f>T25</f>
        <v>#REF!</v>
      </c>
      <c r="U26" s="103" t="e">
        <f t="shared" ref="U26:Z26" si="20">WORKDAY(IF(T27="",T26,T27),INDEX(U$2:U$5,MATCH($I25,$I$2:$I$5,0)),$BB$10:$BB$141)</f>
        <v>#REF!</v>
      </c>
      <c r="V26" s="103" t="e">
        <f t="shared" si="20"/>
        <v>#REF!</v>
      </c>
      <c r="W26" s="103" t="e">
        <f t="shared" si="20"/>
        <v>#REF!</v>
      </c>
      <c r="X26" s="103" t="e">
        <f t="shared" si="20"/>
        <v>#REF!</v>
      </c>
      <c r="Y26" s="103" t="e">
        <f t="shared" si="20"/>
        <v>#REF!</v>
      </c>
      <c r="Z26" s="103" t="e">
        <f t="shared" si="20"/>
        <v>#REF!</v>
      </c>
      <c r="AA26" s="103" t="e">
        <f>WORKDAY(IF(Z27="",X26,Z27),INDEX(AA$2:AA$5,MATCH($I25,$I$2:$I$5,0)),$BB$10:$BB$141)</f>
        <v>#REF!</v>
      </c>
      <c r="AB26" s="104" t="e">
        <f>WORKDAY(AE25+#REF!,0,'[35]Equipment List and MR List (3)'!$A$2:$A$80)</f>
        <v>#REF!</v>
      </c>
      <c r="AC26" s="502"/>
      <c r="AD26" s="105"/>
      <c r="AE26" s="499"/>
      <c r="AF26" s="493"/>
      <c r="AG26" s="490"/>
      <c r="AH26" s="106"/>
      <c r="AI26" s="107"/>
      <c r="AJ26" s="487"/>
      <c r="AK26" s="108"/>
      <c r="AL26" s="109"/>
      <c r="AM26" s="92">
        <f t="shared" ref="AM26:AW26" si="21">IF(ISERROR(LOOKUP(AM$6,$S26:$AB26,$S$9:$AB$9)),0,(LOOKUP(AM$6,$S26:$AB26,$S$9:$AB$9)))</f>
        <v>0</v>
      </c>
      <c r="AN26" s="93">
        <f t="shared" si="21"/>
        <v>0</v>
      </c>
      <c r="AO26" s="93">
        <f t="shared" si="21"/>
        <v>0</v>
      </c>
      <c r="AP26" s="93">
        <f t="shared" si="21"/>
        <v>0</v>
      </c>
      <c r="AQ26" s="93">
        <f t="shared" si="21"/>
        <v>0</v>
      </c>
      <c r="AR26" s="93">
        <f t="shared" si="21"/>
        <v>0</v>
      </c>
      <c r="AS26" s="93">
        <f t="shared" si="21"/>
        <v>0</v>
      </c>
      <c r="AT26" s="93">
        <f t="shared" si="21"/>
        <v>0</v>
      </c>
      <c r="AU26" s="93">
        <f t="shared" si="21"/>
        <v>0</v>
      </c>
      <c r="AV26" s="93">
        <f t="shared" si="21"/>
        <v>0</v>
      </c>
      <c r="AW26" s="93">
        <f t="shared" ca="1" si="21"/>
        <v>0</v>
      </c>
      <c r="BB26" s="94" t="e">
        <v>#REF!</v>
      </c>
    </row>
    <row r="27" spans="1:54" s="20" customFormat="1" ht="19.5" customHeight="1">
      <c r="A27" s="515"/>
      <c r="B27" s="518"/>
      <c r="C27" s="509"/>
      <c r="D27" s="111" t="str">
        <f>D25</f>
        <v>MEC</v>
      </c>
      <c r="E27" s="112" t="str">
        <f>E25</f>
        <v>RFQ-006</v>
      </c>
      <c r="F27" s="113" t="str">
        <f>F25</f>
        <v>Y</v>
      </c>
      <c r="G27" s="506"/>
      <c r="H27" s="99" t="str">
        <f>H25</f>
        <v>Corrosion Inhibitor Injection Pump</v>
      </c>
      <c r="I27" s="112" t="str">
        <f>I25</f>
        <v>LA</v>
      </c>
      <c r="J27" s="113"/>
      <c r="K27" s="114"/>
      <c r="L27" s="114"/>
      <c r="M27" s="114">
        <v>0.01</v>
      </c>
      <c r="N27" s="112"/>
      <c r="O27" s="112"/>
      <c r="P27" s="112"/>
      <c r="Q27" s="115" t="s">
        <v>4861</v>
      </c>
      <c r="R27" s="115"/>
      <c r="S27" s="115"/>
      <c r="T27" s="115"/>
      <c r="U27" s="115"/>
      <c r="V27" s="115"/>
      <c r="W27" s="115"/>
      <c r="X27" s="115"/>
      <c r="Y27" s="115"/>
      <c r="Z27" s="115"/>
      <c r="AA27" s="115"/>
      <c r="AB27" s="115"/>
      <c r="AC27" s="503"/>
      <c r="AD27" s="116"/>
      <c r="AE27" s="499"/>
      <c r="AF27" s="494"/>
      <c r="AG27" s="491"/>
      <c r="AH27" s="117"/>
      <c r="AI27" s="118"/>
      <c r="AJ27" s="488"/>
      <c r="AK27" s="119"/>
      <c r="AL27" s="120"/>
      <c r="AM27" s="121">
        <f t="shared" ref="AM27:AW27" si="22">IF(ISERROR(LOOKUP(AM$6,$S27:$AB27,$S$9:$AB$9)),0,(LOOKUP(AM$6,$S27:$AB27,$S$9:$AB$9)))</f>
        <v>0</v>
      </c>
      <c r="AN27" s="122">
        <f t="shared" si="22"/>
        <v>0</v>
      </c>
      <c r="AO27" s="122">
        <f t="shared" si="22"/>
        <v>0</v>
      </c>
      <c r="AP27" s="122">
        <f t="shared" si="22"/>
        <v>0</v>
      </c>
      <c r="AQ27" s="122">
        <f t="shared" si="22"/>
        <v>0</v>
      </c>
      <c r="AR27" s="122">
        <f t="shared" si="22"/>
        <v>0</v>
      </c>
      <c r="AS27" s="122">
        <f t="shared" si="22"/>
        <v>0</v>
      </c>
      <c r="AT27" s="122">
        <f t="shared" si="22"/>
        <v>0</v>
      </c>
      <c r="AU27" s="122">
        <f t="shared" si="22"/>
        <v>0</v>
      </c>
      <c r="AV27" s="122">
        <f t="shared" si="22"/>
        <v>0</v>
      </c>
      <c r="AW27" s="122">
        <f t="shared" ca="1" si="22"/>
        <v>0</v>
      </c>
      <c r="BB27" s="94" t="e">
        <v>#REF!</v>
      </c>
    </row>
    <row r="28" spans="1:54" s="20" customFormat="1" ht="18" customHeight="1">
      <c r="A28" s="513">
        <f>A25+1</f>
        <v>7</v>
      </c>
      <c r="B28" s="79"/>
      <c r="C28" s="507" t="s">
        <v>4855</v>
      </c>
      <c r="D28" s="80" t="s">
        <v>4856</v>
      </c>
      <c r="E28" s="81" t="s">
        <v>4741</v>
      </c>
      <c r="F28" s="82" t="s">
        <v>75</v>
      </c>
      <c r="G28" s="504" t="s">
        <v>4870</v>
      </c>
      <c r="H28" s="82" t="s">
        <v>4742</v>
      </c>
      <c r="I28" s="81" t="s">
        <v>6</v>
      </c>
      <c r="J28" s="82"/>
      <c r="K28" s="84">
        <f>M30</f>
        <v>0.02</v>
      </c>
      <c r="L28" s="84"/>
      <c r="M28" s="84"/>
      <c r="N28" s="81"/>
      <c r="O28" s="81"/>
      <c r="P28" s="81"/>
      <c r="Q28" s="85" t="s">
        <v>4858</v>
      </c>
      <c r="R28" s="86">
        <f>'Before Award'!U35+5</f>
        <v>46258</v>
      </c>
      <c r="S28" s="86" t="e">
        <f>WORKDAY(R28,INDEX(S$2:S$5,MATCH($I28,$I$2:$I$5,0)),$BB$10:$BB$141)</f>
        <v>#REF!</v>
      </c>
      <c r="T28" s="86" t="e">
        <f>WORKDAY(S28,INDEX(T$2:T$5,MATCH($I28,$I$2:$I$5,0)),$BB$10:$BB$141)</f>
        <v>#REF!</v>
      </c>
      <c r="U28" s="86" t="e">
        <f>T28+60</f>
        <v>#REF!</v>
      </c>
      <c r="V28" s="86"/>
      <c r="W28" s="86">
        <f>AB28-35</f>
        <v>46442</v>
      </c>
      <c r="X28" s="86"/>
      <c r="Y28" s="86"/>
      <c r="Z28" s="86"/>
      <c r="AA28" s="86"/>
      <c r="AB28" s="86">
        <f>'Before Award'!X35</f>
        <v>46477</v>
      </c>
      <c r="AC28" s="501" t="s">
        <v>4859</v>
      </c>
      <c r="AD28" s="87">
        <v>14</v>
      </c>
      <c r="AE28" s="500">
        <f>32*7</f>
        <v>224</v>
      </c>
      <c r="AF28" s="492" t="e">
        <f>AB29</f>
        <v>#REF!</v>
      </c>
      <c r="AG28" s="489">
        <f>WORKDAY(AH28+1,-1,$BA$10:$BA$141)</f>
        <v>46477</v>
      </c>
      <c r="AH28" s="88">
        <v>46477</v>
      </c>
      <c r="AI28" s="89"/>
      <c r="AJ28" s="486" t="e">
        <f>AG28-AF28</f>
        <v>#REF!</v>
      </c>
      <c r="AK28" s="90"/>
      <c r="AL28" s="91"/>
      <c r="AM28" s="92">
        <f t="shared" ref="AM28:AW28" si="23">IF(ISERROR(LOOKUP(AM$6,$S28:$AB28,$S$9:$AB$9)),0,(LOOKUP(AM$6,$S28:$AB28,$S$9:$AB$9)))</f>
        <v>0</v>
      </c>
      <c r="AN28" s="93">
        <f t="shared" si="23"/>
        <v>0</v>
      </c>
      <c r="AO28" s="93">
        <f t="shared" si="23"/>
        <v>0</v>
      </c>
      <c r="AP28" s="93">
        <f t="shared" si="23"/>
        <v>0</v>
      </c>
      <c r="AQ28" s="93">
        <f t="shared" si="23"/>
        <v>0</v>
      </c>
      <c r="AR28" s="93">
        <f t="shared" si="23"/>
        <v>0</v>
      </c>
      <c r="AS28" s="93">
        <f t="shared" si="23"/>
        <v>0</v>
      </c>
      <c r="AT28" s="93">
        <f t="shared" si="23"/>
        <v>0</v>
      </c>
      <c r="AU28" s="93">
        <f t="shared" si="23"/>
        <v>0</v>
      </c>
      <c r="AV28" s="93">
        <f t="shared" si="23"/>
        <v>0</v>
      </c>
      <c r="AW28" s="93">
        <f t="shared" ca="1" si="23"/>
        <v>0</v>
      </c>
      <c r="BB28" s="94" t="e">
        <v>#REF!</v>
      </c>
    </row>
    <row r="29" spans="1:54" s="20" customFormat="1" ht="18" customHeight="1">
      <c r="A29" s="514"/>
      <c r="B29" s="95"/>
      <c r="C29" s="508"/>
      <c r="D29" s="96" t="str">
        <f>D28</f>
        <v>MEC</v>
      </c>
      <c r="E29" s="97" t="str">
        <f>E28</f>
        <v>RFQ-007</v>
      </c>
      <c r="F29" s="98" t="str">
        <f>F28</f>
        <v>N</v>
      </c>
      <c r="G29" s="505"/>
      <c r="H29" s="98" t="str">
        <f>H28</f>
        <v>Demulsifier/Water Clarifier Injection Pump</v>
      </c>
      <c r="I29" s="97" t="str">
        <f>I28</f>
        <v>LA</v>
      </c>
      <c r="J29" s="98"/>
      <c r="K29" s="100"/>
      <c r="L29" s="100">
        <f>M30</f>
        <v>0.02</v>
      </c>
      <c r="M29" s="100"/>
      <c r="N29" s="97"/>
      <c r="O29" s="97"/>
      <c r="P29" s="97"/>
      <c r="Q29" s="101" t="s">
        <v>4860</v>
      </c>
      <c r="R29" s="102">
        <f>R28</f>
        <v>46258</v>
      </c>
      <c r="S29" s="102" t="e">
        <f>S28</f>
        <v>#REF!</v>
      </c>
      <c r="T29" s="103" t="e">
        <f>T28</f>
        <v>#REF!</v>
      </c>
      <c r="U29" s="103" t="e">
        <f t="shared" ref="U29:Z29" si="24">WORKDAY(IF(T30="",T29,T30),INDEX(U$2:U$5,MATCH($I28,$I$2:$I$5,0)),$BB$10:$BB$141)</f>
        <v>#REF!</v>
      </c>
      <c r="V29" s="103" t="e">
        <f t="shared" si="24"/>
        <v>#REF!</v>
      </c>
      <c r="W29" s="103" t="e">
        <f t="shared" si="24"/>
        <v>#REF!</v>
      </c>
      <c r="X29" s="103" t="e">
        <f t="shared" si="24"/>
        <v>#REF!</v>
      </c>
      <c r="Y29" s="103" t="e">
        <f t="shared" si="24"/>
        <v>#REF!</v>
      </c>
      <c r="Z29" s="103" t="e">
        <f t="shared" si="24"/>
        <v>#REF!</v>
      </c>
      <c r="AA29" s="103" t="e">
        <f>WORKDAY(IF(Z30="",X29,Z30),INDEX(AA$2:AA$5,MATCH($I28,$I$2:$I$5,0)),$BB$10:$BB$141)</f>
        <v>#REF!</v>
      </c>
      <c r="AB29" s="104" t="e">
        <f>WORKDAY(AE28+#REF!,0,'[35]Equipment List and MR List (3)'!$A$2:$A$80)</f>
        <v>#REF!</v>
      </c>
      <c r="AC29" s="502"/>
      <c r="AD29" s="105"/>
      <c r="AE29" s="500"/>
      <c r="AF29" s="493"/>
      <c r="AG29" s="490"/>
      <c r="AH29" s="106"/>
      <c r="AI29" s="107"/>
      <c r="AJ29" s="487"/>
      <c r="AK29" s="108"/>
      <c r="AL29" s="109"/>
      <c r="AM29" s="92">
        <f t="shared" ref="AM29:AW29" si="25">IF(ISERROR(LOOKUP(AM$6,$S29:$AB29,$S$9:$AB$9)),0,(LOOKUP(AM$6,$S29:$AB29,$S$9:$AB$9)))</f>
        <v>0</v>
      </c>
      <c r="AN29" s="93">
        <f t="shared" si="25"/>
        <v>0</v>
      </c>
      <c r="AO29" s="93">
        <f t="shared" si="25"/>
        <v>0</v>
      </c>
      <c r="AP29" s="93">
        <f t="shared" si="25"/>
        <v>0</v>
      </c>
      <c r="AQ29" s="93">
        <f t="shared" si="25"/>
        <v>0</v>
      </c>
      <c r="AR29" s="93">
        <f t="shared" si="25"/>
        <v>0</v>
      </c>
      <c r="AS29" s="93">
        <f t="shared" si="25"/>
        <v>0</v>
      </c>
      <c r="AT29" s="93">
        <f t="shared" si="25"/>
        <v>0</v>
      </c>
      <c r="AU29" s="93">
        <f t="shared" si="25"/>
        <v>0</v>
      </c>
      <c r="AV29" s="93">
        <f t="shared" si="25"/>
        <v>0</v>
      </c>
      <c r="AW29" s="93">
        <f t="shared" ca="1" si="25"/>
        <v>0</v>
      </c>
      <c r="BB29" s="94" t="e">
        <v>#REF!</v>
      </c>
    </row>
    <row r="30" spans="1:54" s="20" customFormat="1" ht="18" customHeight="1">
      <c r="A30" s="515"/>
      <c r="B30" s="110"/>
      <c r="C30" s="509"/>
      <c r="D30" s="111" t="str">
        <f>D28</f>
        <v>MEC</v>
      </c>
      <c r="E30" s="112" t="str">
        <f>E28</f>
        <v>RFQ-007</v>
      </c>
      <c r="F30" s="113" t="str">
        <f>F28</f>
        <v>N</v>
      </c>
      <c r="G30" s="506"/>
      <c r="H30" s="113" t="str">
        <f>H28</f>
        <v>Demulsifier/Water Clarifier Injection Pump</v>
      </c>
      <c r="I30" s="112" t="str">
        <f>I28</f>
        <v>LA</v>
      </c>
      <c r="J30" s="113"/>
      <c r="K30" s="114"/>
      <c r="L30" s="114"/>
      <c r="M30" s="114">
        <v>0.02</v>
      </c>
      <c r="N30" s="112"/>
      <c r="O30" s="112"/>
      <c r="P30" s="112"/>
      <c r="Q30" s="115" t="s">
        <v>4861</v>
      </c>
      <c r="R30" s="115"/>
      <c r="S30" s="126"/>
      <c r="T30" s="126"/>
      <c r="U30" s="126"/>
      <c r="V30" s="126"/>
      <c r="W30" s="126"/>
      <c r="X30" s="126"/>
      <c r="Y30" s="126"/>
      <c r="Z30" s="126"/>
      <c r="AA30" s="126"/>
      <c r="AB30" s="126"/>
      <c r="AC30" s="503"/>
      <c r="AD30" s="116"/>
      <c r="AE30" s="500"/>
      <c r="AF30" s="494"/>
      <c r="AG30" s="491"/>
      <c r="AH30" s="117"/>
      <c r="AI30" s="118"/>
      <c r="AJ30" s="488"/>
      <c r="AK30" s="119"/>
      <c r="AL30" s="120"/>
      <c r="AM30" s="121">
        <f t="shared" ref="AM30:AW30" si="26">IF(ISERROR(LOOKUP(AM$6,$S30:$AB30,$S$9:$AB$9)),0,(LOOKUP(AM$6,$S30:$AB30,$S$9:$AB$9)))</f>
        <v>0</v>
      </c>
      <c r="AN30" s="122">
        <f t="shared" si="26"/>
        <v>0</v>
      </c>
      <c r="AO30" s="122">
        <f t="shared" si="26"/>
        <v>0</v>
      </c>
      <c r="AP30" s="122">
        <f t="shared" si="26"/>
        <v>0</v>
      </c>
      <c r="AQ30" s="122">
        <f t="shared" si="26"/>
        <v>0</v>
      </c>
      <c r="AR30" s="122">
        <f t="shared" si="26"/>
        <v>0</v>
      </c>
      <c r="AS30" s="122">
        <f t="shared" si="26"/>
        <v>0</v>
      </c>
      <c r="AT30" s="122">
        <f t="shared" si="26"/>
        <v>0</v>
      </c>
      <c r="AU30" s="122">
        <f t="shared" si="26"/>
        <v>0</v>
      </c>
      <c r="AV30" s="122">
        <f t="shared" si="26"/>
        <v>0</v>
      </c>
      <c r="AW30" s="122">
        <f t="shared" ca="1" si="26"/>
        <v>0</v>
      </c>
      <c r="BB30" s="94" t="e">
        <v>#REF!</v>
      </c>
    </row>
    <row r="31" spans="1:54" s="20" customFormat="1" ht="18" customHeight="1">
      <c r="A31" s="513">
        <f>A28+1</f>
        <v>8</v>
      </c>
      <c r="B31" s="510" t="s">
        <v>4871</v>
      </c>
      <c r="C31" s="507" t="s">
        <v>4855</v>
      </c>
      <c r="D31" s="80" t="s">
        <v>4856</v>
      </c>
      <c r="E31" s="81" t="s">
        <v>4743</v>
      </c>
      <c r="F31" s="82" t="str">
        <f>IF(_xlfn.XLOOKUP(E31,'[35]Before Award'!D:D,'[35]Before Award'!AV:AV,"N/A")="N/A","N","Y")</f>
        <v>N</v>
      </c>
      <c r="G31" s="504" t="s">
        <v>4872</v>
      </c>
      <c r="H31" s="123" t="s">
        <v>4744</v>
      </c>
      <c r="I31" s="81" t="s">
        <v>6</v>
      </c>
      <c r="J31" s="82"/>
      <c r="K31" s="84">
        <f>M33</f>
        <v>0.01</v>
      </c>
      <c r="L31" s="84"/>
      <c r="M31" s="84"/>
      <c r="N31" s="81"/>
      <c r="O31" s="81"/>
      <c r="P31" s="81"/>
      <c r="Q31" s="85" t="s">
        <v>4858</v>
      </c>
      <c r="R31" s="86">
        <f>'Before Award'!U38+5</f>
        <v>46239</v>
      </c>
      <c r="S31" s="86" t="e">
        <f>WORKDAY(R31,INDEX(S$2:S$5,MATCH($I31,$I$2:$I$5,0)),$BB$10:$BB$141)</f>
        <v>#REF!</v>
      </c>
      <c r="T31" s="86" t="e">
        <f>WORKDAY(S31,INDEX(T$2:T$5,MATCH($I31,$I$2:$I$5,0)),$BB$10:$BB$141)</f>
        <v>#REF!</v>
      </c>
      <c r="U31" s="86" t="e">
        <f>T31+60</f>
        <v>#REF!</v>
      </c>
      <c r="V31" s="86"/>
      <c r="W31" s="86">
        <f>AB31-35</f>
        <v>46381</v>
      </c>
      <c r="X31" s="86"/>
      <c r="Y31" s="86"/>
      <c r="Z31" s="86"/>
      <c r="AA31" s="86"/>
      <c r="AB31" s="86">
        <f>'Before Award'!X38</f>
        <v>46416</v>
      </c>
      <c r="AC31" s="501" t="s">
        <v>4859</v>
      </c>
      <c r="AD31" s="87">
        <v>14</v>
      </c>
      <c r="AE31" s="499">
        <v>280</v>
      </c>
      <c r="AF31" s="492" t="e">
        <f>AB32</f>
        <v>#REF!</v>
      </c>
      <c r="AG31" s="489">
        <f>WORKDAY(AH31+1,-1,$BA$10:$BA$141)</f>
        <v>46416</v>
      </c>
      <c r="AH31" s="88">
        <v>46418</v>
      </c>
      <c r="AI31" s="89"/>
      <c r="AJ31" s="486" t="e">
        <f>AG31-AF31</f>
        <v>#REF!</v>
      </c>
      <c r="AK31" s="90"/>
      <c r="AL31" s="91"/>
      <c r="AM31" s="92">
        <f t="shared" ref="AM31:AW31" si="27">IF(ISERROR(LOOKUP(AM$6,$S31:$AB31,$S$9:$AB$9)),0,(LOOKUP(AM$6,$S31:$AB31,$S$9:$AB$9)))</f>
        <v>0</v>
      </c>
      <c r="AN31" s="93">
        <f t="shared" si="27"/>
        <v>0</v>
      </c>
      <c r="AO31" s="93">
        <f t="shared" si="27"/>
        <v>0</v>
      </c>
      <c r="AP31" s="93">
        <f t="shared" si="27"/>
        <v>0</v>
      </c>
      <c r="AQ31" s="93">
        <f t="shared" si="27"/>
        <v>0</v>
      </c>
      <c r="AR31" s="93">
        <f t="shared" si="27"/>
        <v>0</v>
      </c>
      <c r="AS31" s="93">
        <f t="shared" si="27"/>
        <v>0</v>
      </c>
      <c r="AT31" s="93">
        <f t="shared" si="27"/>
        <v>0</v>
      </c>
      <c r="AU31" s="93">
        <f t="shared" si="27"/>
        <v>0</v>
      </c>
      <c r="AV31" s="93">
        <f t="shared" si="27"/>
        <v>0</v>
      </c>
      <c r="AW31" s="93">
        <f t="shared" ca="1" si="27"/>
        <v>0</v>
      </c>
      <c r="BB31" s="94" t="e">
        <v>#REF!</v>
      </c>
    </row>
    <row r="32" spans="1:54" s="20" customFormat="1" ht="18" customHeight="1">
      <c r="A32" s="514"/>
      <c r="B32" s="511"/>
      <c r="C32" s="508"/>
      <c r="D32" s="96" t="str">
        <f>D31</f>
        <v>MEC</v>
      </c>
      <c r="E32" s="97" t="str">
        <f>E31</f>
        <v>RFQ-008</v>
      </c>
      <c r="F32" s="98" t="str">
        <f>F31</f>
        <v>N</v>
      </c>
      <c r="G32" s="505"/>
      <c r="H32" s="124" t="str">
        <f>H31</f>
        <v>De-Oiler Hydrocyclone</v>
      </c>
      <c r="I32" s="97" t="str">
        <f>I31</f>
        <v>LA</v>
      </c>
      <c r="J32" s="98"/>
      <c r="K32" s="100"/>
      <c r="L32" s="100">
        <f>M33</f>
        <v>0.01</v>
      </c>
      <c r="M32" s="100"/>
      <c r="N32" s="97"/>
      <c r="O32" s="97"/>
      <c r="P32" s="97"/>
      <c r="Q32" s="101" t="s">
        <v>4860</v>
      </c>
      <c r="R32" s="102">
        <f>R31</f>
        <v>46239</v>
      </c>
      <c r="S32" s="102" t="e">
        <f>S31</f>
        <v>#REF!</v>
      </c>
      <c r="T32" s="103" t="e">
        <f>T31</f>
        <v>#REF!</v>
      </c>
      <c r="U32" s="103" t="e">
        <f t="shared" ref="U32:Z32" si="28">WORKDAY(IF(T33="",T32,T33),INDEX(U$2:U$5,MATCH($I31,$I$2:$I$5,0)),$BB$10:$BB$141)</f>
        <v>#REF!</v>
      </c>
      <c r="V32" s="103" t="e">
        <f t="shared" si="28"/>
        <v>#REF!</v>
      </c>
      <c r="W32" s="103" t="e">
        <f t="shared" si="28"/>
        <v>#REF!</v>
      </c>
      <c r="X32" s="103" t="e">
        <f t="shared" si="28"/>
        <v>#REF!</v>
      </c>
      <c r="Y32" s="103" t="e">
        <f t="shared" si="28"/>
        <v>#REF!</v>
      </c>
      <c r="Z32" s="103" t="e">
        <f t="shared" si="28"/>
        <v>#REF!</v>
      </c>
      <c r="AA32" s="103" t="e">
        <f>WORKDAY(IF(Z33="",X32,Z33),INDEX(AA$2:AA$5,MATCH($I31,$I$2:$I$5,0)),$BB$10:$BB$141)</f>
        <v>#REF!</v>
      </c>
      <c r="AB32" s="104" t="e">
        <f>WORKDAY(AE31+#REF!,0,'[35]Equipment List and MR List (3)'!$A$2:$A$80)</f>
        <v>#REF!</v>
      </c>
      <c r="AC32" s="502"/>
      <c r="AD32" s="105"/>
      <c r="AE32" s="499"/>
      <c r="AF32" s="493"/>
      <c r="AG32" s="490"/>
      <c r="AH32" s="106"/>
      <c r="AI32" s="107"/>
      <c r="AJ32" s="487"/>
      <c r="AK32" s="108"/>
      <c r="AL32" s="109"/>
      <c r="AM32" s="92">
        <f t="shared" ref="AM32:AW32" si="29">IF(ISERROR(LOOKUP(AM$6,$S32:$AB32,$S$9:$AB$9)),0,(LOOKUP(AM$6,$S32:$AB32,$S$9:$AB$9)))</f>
        <v>0</v>
      </c>
      <c r="AN32" s="93">
        <f t="shared" si="29"/>
        <v>0</v>
      </c>
      <c r="AO32" s="93">
        <f t="shared" si="29"/>
        <v>0</v>
      </c>
      <c r="AP32" s="93">
        <f t="shared" si="29"/>
        <v>0</v>
      </c>
      <c r="AQ32" s="93">
        <f t="shared" si="29"/>
        <v>0</v>
      </c>
      <c r="AR32" s="93">
        <f t="shared" si="29"/>
        <v>0</v>
      </c>
      <c r="AS32" s="93">
        <f t="shared" si="29"/>
        <v>0</v>
      </c>
      <c r="AT32" s="93">
        <f t="shared" si="29"/>
        <v>0</v>
      </c>
      <c r="AU32" s="93">
        <f t="shared" si="29"/>
        <v>0</v>
      </c>
      <c r="AV32" s="93">
        <f t="shared" si="29"/>
        <v>0</v>
      </c>
      <c r="AW32" s="93">
        <f t="shared" ca="1" si="29"/>
        <v>0</v>
      </c>
      <c r="BB32" s="94" t="e">
        <v>#REF!</v>
      </c>
    </row>
    <row r="33" spans="1:54" s="20" customFormat="1" ht="18" customHeight="1">
      <c r="A33" s="515"/>
      <c r="B33" s="512"/>
      <c r="C33" s="509"/>
      <c r="D33" s="111" t="str">
        <f>D31</f>
        <v>MEC</v>
      </c>
      <c r="E33" s="112" t="str">
        <f>E31</f>
        <v>RFQ-008</v>
      </c>
      <c r="F33" s="113" t="str">
        <f>F31</f>
        <v>N</v>
      </c>
      <c r="G33" s="506"/>
      <c r="H33" s="124" t="str">
        <f>H31</f>
        <v>De-Oiler Hydrocyclone</v>
      </c>
      <c r="I33" s="112" t="str">
        <f>I31</f>
        <v>LA</v>
      </c>
      <c r="J33" s="113"/>
      <c r="K33" s="114"/>
      <c r="L33" s="114"/>
      <c r="M33" s="114">
        <v>0.01</v>
      </c>
      <c r="N33" s="112"/>
      <c r="O33" s="112"/>
      <c r="P33" s="112"/>
      <c r="Q33" s="115" t="s">
        <v>4861</v>
      </c>
      <c r="R33" s="126"/>
      <c r="S33" s="126"/>
      <c r="T33" s="126"/>
      <c r="U33" s="126"/>
      <c r="V33" s="126"/>
      <c r="W33" s="126"/>
      <c r="X33" s="126"/>
      <c r="Y33" s="126"/>
      <c r="Z33" s="126"/>
      <c r="AA33" s="126"/>
      <c r="AB33" s="126"/>
      <c r="AC33" s="503"/>
      <c r="AD33" s="116"/>
      <c r="AE33" s="499"/>
      <c r="AF33" s="494"/>
      <c r="AG33" s="491"/>
      <c r="AH33" s="117"/>
      <c r="AI33" s="118"/>
      <c r="AJ33" s="488"/>
      <c r="AK33" s="119"/>
      <c r="AL33" s="120"/>
      <c r="AM33" s="121">
        <f t="shared" ref="AM33:AW33" si="30">IF(ISERROR(LOOKUP(AM$6,$S33:$AB33,$S$9:$AB$9)),0,(LOOKUP(AM$6,$S33:$AB33,$S$9:$AB$9)))</f>
        <v>0</v>
      </c>
      <c r="AN33" s="122">
        <f t="shared" si="30"/>
        <v>0</v>
      </c>
      <c r="AO33" s="122">
        <f t="shared" si="30"/>
        <v>0</v>
      </c>
      <c r="AP33" s="122">
        <f t="shared" si="30"/>
        <v>0</v>
      </c>
      <c r="AQ33" s="122">
        <f t="shared" si="30"/>
        <v>0</v>
      </c>
      <c r="AR33" s="122">
        <f t="shared" si="30"/>
        <v>0</v>
      </c>
      <c r="AS33" s="122">
        <f t="shared" si="30"/>
        <v>0</v>
      </c>
      <c r="AT33" s="122">
        <f t="shared" si="30"/>
        <v>0</v>
      </c>
      <c r="AU33" s="122">
        <f t="shared" si="30"/>
        <v>0</v>
      </c>
      <c r="AV33" s="122">
        <f t="shared" si="30"/>
        <v>0</v>
      </c>
      <c r="AW33" s="122">
        <f t="shared" ca="1" si="30"/>
        <v>0</v>
      </c>
      <c r="BB33" s="94" t="e">
        <v>#REF!</v>
      </c>
    </row>
    <row r="34" spans="1:54" s="20" customFormat="1" ht="18" customHeight="1">
      <c r="A34" s="513">
        <f>A31+1</f>
        <v>9</v>
      </c>
      <c r="B34" s="510" t="s">
        <v>4873</v>
      </c>
      <c r="C34" s="507" t="s">
        <v>4855</v>
      </c>
      <c r="D34" s="80" t="s">
        <v>4856</v>
      </c>
      <c r="E34" s="81" t="s">
        <v>4746</v>
      </c>
      <c r="F34" s="82" t="str">
        <f>IF(_xlfn.XLOOKUP(E34,'[35]Before Award'!D:D,'[35]Before Award'!AV:AV,"N/A")="N/A","N","Y")</f>
        <v>N</v>
      </c>
      <c r="G34" s="504" t="s">
        <v>4872</v>
      </c>
      <c r="H34" s="123" t="s">
        <v>4747</v>
      </c>
      <c r="I34" s="81" t="s">
        <v>6</v>
      </c>
      <c r="J34" s="82"/>
      <c r="K34" s="84">
        <f>M36</f>
        <v>0.04</v>
      </c>
      <c r="L34" s="84"/>
      <c r="M34" s="84"/>
      <c r="N34" s="81"/>
      <c r="O34" s="81"/>
      <c r="P34" s="81"/>
      <c r="Q34" s="85" t="s">
        <v>4858</v>
      </c>
      <c r="R34" s="86">
        <f>'Before Award'!U41+5</f>
        <v>46239</v>
      </c>
      <c r="S34" s="86" t="e">
        <f>WORKDAY(R34,INDEX(S$2:S$5,MATCH($I34,$I$2:$I$5,0)),$BB$10:$BB$141)</f>
        <v>#REF!</v>
      </c>
      <c r="T34" s="86" t="e">
        <f>WORKDAY(S34,INDEX(T$2:T$5,MATCH($I34,$I$2:$I$5,0)),$BB$10:$BB$141)</f>
        <v>#REF!</v>
      </c>
      <c r="U34" s="86" t="e">
        <f>T34+60</f>
        <v>#REF!</v>
      </c>
      <c r="V34" s="86"/>
      <c r="W34" s="86">
        <f>AB34-35</f>
        <v>46381</v>
      </c>
      <c r="X34" s="86"/>
      <c r="Y34" s="86"/>
      <c r="Z34" s="86"/>
      <c r="AA34" s="86"/>
      <c r="AB34" s="86">
        <f>'Before Award'!X41</f>
        <v>46416</v>
      </c>
      <c r="AC34" s="501" t="s">
        <v>4859</v>
      </c>
      <c r="AD34" s="87">
        <v>14</v>
      </c>
      <c r="AE34" s="499">
        <v>280</v>
      </c>
      <c r="AF34" s="492" t="e">
        <f>AB35</f>
        <v>#REF!</v>
      </c>
      <c r="AG34" s="489">
        <f>WORKDAY(AH34+1,-1,$BA$10:$BA$141)</f>
        <v>46416</v>
      </c>
      <c r="AH34" s="88">
        <v>46418</v>
      </c>
      <c r="AI34" s="89"/>
      <c r="AJ34" s="486" t="e">
        <f>AG34-AF34</f>
        <v>#REF!</v>
      </c>
      <c r="AK34" s="90"/>
      <c r="AL34" s="91"/>
      <c r="AM34" s="92">
        <f t="shared" ref="AM34:AW34" si="31">IF(ISERROR(LOOKUP(AM$6,$S34:$AB34,$S$9:$AB$9)),0,(LOOKUP(AM$6,$S34:$AB34,$S$9:$AB$9)))</f>
        <v>0</v>
      </c>
      <c r="AN34" s="93">
        <f t="shared" si="31"/>
        <v>0</v>
      </c>
      <c r="AO34" s="93">
        <f t="shared" si="31"/>
        <v>0</v>
      </c>
      <c r="AP34" s="93">
        <f t="shared" si="31"/>
        <v>0</v>
      </c>
      <c r="AQ34" s="93">
        <f t="shared" si="31"/>
        <v>0</v>
      </c>
      <c r="AR34" s="93">
        <f t="shared" si="31"/>
        <v>0</v>
      </c>
      <c r="AS34" s="93">
        <f t="shared" si="31"/>
        <v>0</v>
      </c>
      <c r="AT34" s="93">
        <f t="shared" si="31"/>
        <v>0</v>
      </c>
      <c r="AU34" s="93">
        <f t="shared" si="31"/>
        <v>0</v>
      </c>
      <c r="AV34" s="93">
        <f t="shared" si="31"/>
        <v>0</v>
      </c>
      <c r="AW34" s="93">
        <f t="shared" ca="1" si="31"/>
        <v>0</v>
      </c>
      <c r="BB34" s="94" t="e">
        <v>#REF!</v>
      </c>
    </row>
    <row r="35" spans="1:54" s="20" customFormat="1" ht="18" customHeight="1">
      <c r="A35" s="514"/>
      <c r="B35" s="511"/>
      <c r="C35" s="508"/>
      <c r="D35" s="96" t="str">
        <f>D34</f>
        <v>MEC</v>
      </c>
      <c r="E35" s="97" t="str">
        <f>E34</f>
        <v>RFQ-009</v>
      </c>
      <c r="F35" s="98" t="str">
        <f>F34</f>
        <v>N</v>
      </c>
      <c r="G35" s="505"/>
      <c r="H35" s="124" t="str">
        <f>H34</f>
        <v>Degasser</v>
      </c>
      <c r="I35" s="97" t="str">
        <f>I34</f>
        <v>LA</v>
      </c>
      <c r="J35" s="98"/>
      <c r="K35" s="100"/>
      <c r="L35" s="100">
        <f>M36</f>
        <v>0.04</v>
      </c>
      <c r="M35" s="100"/>
      <c r="N35" s="97"/>
      <c r="O35" s="97"/>
      <c r="P35" s="97"/>
      <c r="Q35" s="101" t="s">
        <v>4860</v>
      </c>
      <c r="R35" s="102">
        <f>R34</f>
        <v>46239</v>
      </c>
      <c r="S35" s="102" t="e">
        <f>S34</f>
        <v>#REF!</v>
      </c>
      <c r="T35" s="103" t="e">
        <f>T34</f>
        <v>#REF!</v>
      </c>
      <c r="U35" s="103" t="e">
        <f t="shared" ref="U35:Z35" si="32">WORKDAY(IF(T36="",T35,T36),INDEX(U$2:U$5,MATCH($I34,$I$2:$I$5,0)),$BB$10:$BB$141)</f>
        <v>#REF!</v>
      </c>
      <c r="V35" s="103" t="e">
        <f t="shared" si="32"/>
        <v>#REF!</v>
      </c>
      <c r="W35" s="103" t="e">
        <f t="shared" si="32"/>
        <v>#REF!</v>
      </c>
      <c r="X35" s="103" t="e">
        <f t="shared" si="32"/>
        <v>#REF!</v>
      </c>
      <c r="Y35" s="103" t="e">
        <f t="shared" si="32"/>
        <v>#REF!</v>
      </c>
      <c r="Z35" s="103" t="e">
        <f t="shared" si="32"/>
        <v>#REF!</v>
      </c>
      <c r="AA35" s="103" t="e">
        <f>WORKDAY(IF(Z36="",X35,Z36),INDEX(AA$2:AA$5,MATCH($I34,$I$2:$I$5,0)),$BB$10:$BB$141)</f>
        <v>#REF!</v>
      </c>
      <c r="AB35" s="104" t="e">
        <f>WORKDAY(AE34+#REF!,0,'[35]Equipment List and MR List (3)'!$A$2:$A$80)</f>
        <v>#REF!</v>
      </c>
      <c r="AC35" s="502"/>
      <c r="AD35" s="105"/>
      <c r="AE35" s="499"/>
      <c r="AF35" s="493"/>
      <c r="AG35" s="490"/>
      <c r="AH35" s="106"/>
      <c r="AI35" s="107"/>
      <c r="AJ35" s="487"/>
      <c r="AK35" s="108"/>
      <c r="AL35" s="109"/>
      <c r="AM35" s="92">
        <f t="shared" ref="AM35:AW35" si="33">IF(ISERROR(LOOKUP(AM$6,$S35:$AB35,$S$9:$AB$9)),0,(LOOKUP(AM$6,$S35:$AB35,$S$9:$AB$9)))</f>
        <v>0</v>
      </c>
      <c r="AN35" s="93">
        <f t="shared" si="33"/>
        <v>0</v>
      </c>
      <c r="AO35" s="93">
        <f t="shared" si="33"/>
        <v>0</v>
      </c>
      <c r="AP35" s="93">
        <f t="shared" si="33"/>
        <v>0</v>
      </c>
      <c r="AQ35" s="93">
        <f t="shared" si="33"/>
        <v>0</v>
      </c>
      <c r="AR35" s="93">
        <f t="shared" si="33"/>
        <v>0</v>
      </c>
      <c r="AS35" s="93">
        <f t="shared" si="33"/>
        <v>0</v>
      </c>
      <c r="AT35" s="93">
        <f t="shared" si="33"/>
        <v>0</v>
      </c>
      <c r="AU35" s="93">
        <f t="shared" si="33"/>
        <v>0</v>
      </c>
      <c r="AV35" s="93">
        <f t="shared" si="33"/>
        <v>0</v>
      </c>
      <c r="AW35" s="93">
        <f t="shared" ca="1" si="33"/>
        <v>0</v>
      </c>
      <c r="BB35" s="94" t="e">
        <v>#REF!</v>
      </c>
    </row>
    <row r="36" spans="1:54" s="20" customFormat="1" ht="18" customHeight="1">
      <c r="A36" s="515"/>
      <c r="B36" s="512"/>
      <c r="C36" s="509"/>
      <c r="D36" s="111" t="str">
        <f>D34</f>
        <v>MEC</v>
      </c>
      <c r="E36" s="112" t="str">
        <f>E34</f>
        <v>RFQ-009</v>
      </c>
      <c r="F36" s="113" t="str">
        <f>F34</f>
        <v>N</v>
      </c>
      <c r="G36" s="506"/>
      <c r="H36" s="124" t="str">
        <f>H34</f>
        <v>Degasser</v>
      </c>
      <c r="I36" s="112" t="str">
        <f>I34</f>
        <v>LA</v>
      </c>
      <c r="J36" s="113"/>
      <c r="K36" s="114"/>
      <c r="L36" s="114"/>
      <c r="M36" s="114">
        <v>0.04</v>
      </c>
      <c r="N36" s="112"/>
      <c r="O36" s="112"/>
      <c r="P36" s="112"/>
      <c r="Q36" s="115" t="s">
        <v>4861</v>
      </c>
      <c r="R36" s="126"/>
      <c r="S36" s="126"/>
      <c r="T36" s="126"/>
      <c r="U36" s="126"/>
      <c r="V36" s="126"/>
      <c r="W36" s="126"/>
      <c r="X36" s="126"/>
      <c r="Y36" s="126"/>
      <c r="Z36" s="126"/>
      <c r="AA36" s="126"/>
      <c r="AB36" s="126"/>
      <c r="AC36" s="503"/>
      <c r="AD36" s="116"/>
      <c r="AE36" s="499"/>
      <c r="AF36" s="494"/>
      <c r="AG36" s="491"/>
      <c r="AH36" s="117"/>
      <c r="AI36" s="118"/>
      <c r="AJ36" s="488"/>
      <c r="AK36" s="119"/>
      <c r="AL36" s="120"/>
      <c r="AM36" s="121">
        <f t="shared" ref="AM36:AW36" si="34">IF(ISERROR(LOOKUP(AM$6,$S36:$AB36,$S$9:$AB$9)),0,(LOOKUP(AM$6,$S36:$AB36,$S$9:$AB$9)))</f>
        <v>0</v>
      </c>
      <c r="AN36" s="122">
        <f t="shared" si="34"/>
        <v>0</v>
      </c>
      <c r="AO36" s="122">
        <f t="shared" si="34"/>
        <v>0</v>
      </c>
      <c r="AP36" s="122">
        <f t="shared" si="34"/>
        <v>0</v>
      </c>
      <c r="AQ36" s="122">
        <f t="shared" si="34"/>
        <v>0</v>
      </c>
      <c r="AR36" s="122">
        <f t="shared" si="34"/>
        <v>0</v>
      </c>
      <c r="AS36" s="122">
        <f t="shared" si="34"/>
        <v>0</v>
      </c>
      <c r="AT36" s="122">
        <f t="shared" si="34"/>
        <v>0</v>
      </c>
      <c r="AU36" s="122">
        <f t="shared" si="34"/>
        <v>0</v>
      </c>
      <c r="AV36" s="122">
        <f t="shared" si="34"/>
        <v>0</v>
      </c>
      <c r="AW36" s="122">
        <f t="shared" ca="1" si="34"/>
        <v>0</v>
      </c>
      <c r="BB36" s="94" t="e">
        <v>#REF!</v>
      </c>
    </row>
    <row r="37" spans="1:54" s="20" customFormat="1" ht="18.600000000000001" customHeight="1">
      <c r="A37" s="513">
        <f>A34+1</f>
        <v>10</v>
      </c>
      <c r="B37" s="510" t="s">
        <v>4874</v>
      </c>
      <c r="C37" s="507" t="s">
        <v>4855</v>
      </c>
      <c r="D37" s="80" t="s">
        <v>4856</v>
      </c>
      <c r="E37" s="81" t="s">
        <v>4748</v>
      </c>
      <c r="F37" s="82" t="str">
        <f>IF(_xlfn.XLOOKUP(E37,'[35]Before Award'!D:D,'[35]Before Award'!AV:AV,"N/A")="N/A","N","Y")</f>
        <v>N</v>
      </c>
      <c r="G37" s="504" t="s">
        <v>4866</v>
      </c>
      <c r="H37" s="123" t="s">
        <v>100</v>
      </c>
      <c r="I37" s="81" t="s">
        <v>6</v>
      </c>
      <c r="J37" s="82"/>
      <c r="K37" s="84">
        <f>M39</f>
        <v>0.01</v>
      </c>
      <c r="L37" s="84"/>
      <c r="M37" s="84"/>
      <c r="N37" s="81"/>
      <c r="O37" s="81"/>
      <c r="P37" s="81"/>
      <c r="Q37" s="85" t="s">
        <v>4858</v>
      </c>
      <c r="R37" s="86">
        <f>'Before Award'!U44+5</f>
        <v>46239</v>
      </c>
      <c r="S37" s="86" t="e">
        <f>WORKDAY(R37,INDEX(S$2:S$5,MATCH($I37,$I$2:$I$5,0)),$BB$10:$BB$141)</f>
        <v>#REF!</v>
      </c>
      <c r="T37" s="86" t="e">
        <f>WORKDAY(S37,INDEX(T$2:T$5,MATCH($I37,$I$2:$I$5,0)),$BB$10:$BB$141)</f>
        <v>#REF!</v>
      </c>
      <c r="U37" s="86" t="e">
        <f>T37+60</f>
        <v>#REF!</v>
      </c>
      <c r="V37" s="86"/>
      <c r="W37" s="86">
        <f>AB37-35</f>
        <v>46381</v>
      </c>
      <c r="X37" s="86"/>
      <c r="Y37" s="86"/>
      <c r="Z37" s="86"/>
      <c r="AA37" s="86"/>
      <c r="AB37" s="86">
        <f>'Before Award'!X44</f>
        <v>46416</v>
      </c>
      <c r="AC37" s="501" t="s">
        <v>4859</v>
      </c>
      <c r="AD37" s="87">
        <v>14</v>
      </c>
      <c r="AE37" s="499">
        <v>294</v>
      </c>
      <c r="AF37" s="492" t="e">
        <f>AB38</f>
        <v>#REF!</v>
      </c>
      <c r="AG37" s="489">
        <f>WORKDAY(AH37+1,-1,$BA$10:$BA$141)</f>
        <v>46416</v>
      </c>
      <c r="AH37" s="88">
        <v>46418</v>
      </c>
      <c r="AI37" s="89"/>
      <c r="AJ37" s="486" t="e">
        <f>AG37-AF37</f>
        <v>#REF!</v>
      </c>
      <c r="AK37" s="90"/>
      <c r="AL37" s="91"/>
      <c r="AM37" s="92">
        <f t="shared" ref="AM37:AW37" si="35">IF(ISERROR(LOOKUP(AM$6,$S37:$AB37,$S$9:$AB$9)),0,(LOOKUP(AM$6,$S37:$AB37,$S$9:$AB$9)))</f>
        <v>0</v>
      </c>
      <c r="AN37" s="93">
        <f t="shared" si="35"/>
        <v>0</v>
      </c>
      <c r="AO37" s="93">
        <f t="shared" si="35"/>
        <v>0</v>
      </c>
      <c r="AP37" s="93">
        <f t="shared" si="35"/>
        <v>0</v>
      </c>
      <c r="AQ37" s="93">
        <f t="shared" si="35"/>
        <v>0</v>
      </c>
      <c r="AR37" s="93">
        <f t="shared" si="35"/>
        <v>0</v>
      </c>
      <c r="AS37" s="93">
        <f t="shared" si="35"/>
        <v>0</v>
      </c>
      <c r="AT37" s="93">
        <f t="shared" si="35"/>
        <v>0</v>
      </c>
      <c r="AU37" s="93">
        <f t="shared" si="35"/>
        <v>0</v>
      </c>
      <c r="AV37" s="93">
        <f t="shared" si="35"/>
        <v>0</v>
      </c>
      <c r="AW37" s="93">
        <f t="shared" ca="1" si="35"/>
        <v>0</v>
      </c>
      <c r="BB37" s="94" t="e">
        <v>#REF!</v>
      </c>
    </row>
    <row r="38" spans="1:54" s="20" customFormat="1" ht="18.600000000000001" customHeight="1">
      <c r="A38" s="514"/>
      <c r="B38" s="511"/>
      <c r="C38" s="508"/>
      <c r="D38" s="96" t="str">
        <f>D37</f>
        <v>MEC</v>
      </c>
      <c r="E38" s="97" t="str">
        <f>E37</f>
        <v>RFQ-010</v>
      </c>
      <c r="F38" s="98" t="str">
        <f>F37</f>
        <v>N</v>
      </c>
      <c r="G38" s="505"/>
      <c r="H38" s="124" t="str">
        <f>H37</f>
        <v>Skim Tank Vessel</v>
      </c>
      <c r="I38" s="97" t="str">
        <f>I37</f>
        <v>LA</v>
      </c>
      <c r="J38" s="98"/>
      <c r="K38" s="100"/>
      <c r="L38" s="100">
        <f>M39</f>
        <v>0.01</v>
      </c>
      <c r="M38" s="100"/>
      <c r="N38" s="97"/>
      <c r="O38" s="97"/>
      <c r="P38" s="97"/>
      <c r="Q38" s="101" t="s">
        <v>4860</v>
      </c>
      <c r="R38" s="102">
        <f>R37</f>
        <v>46239</v>
      </c>
      <c r="S38" s="102" t="e">
        <f>S37</f>
        <v>#REF!</v>
      </c>
      <c r="T38" s="103" t="e">
        <f>T37</f>
        <v>#REF!</v>
      </c>
      <c r="U38" s="103" t="e">
        <f t="shared" ref="U38:Z38" si="36">WORKDAY(IF(T39="",T38,T39),INDEX(U$2:U$5,MATCH($I37,$I$2:$I$5,0)),$BB$10:$BB$141)</f>
        <v>#REF!</v>
      </c>
      <c r="V38" s="103" t="e">
        <f t="shared" si="36"/>
        <v>#REF!</v>
      </c>
      <c r="W38" s="103" t="e">
        <f t="shared" si="36"/>
        <v>#REF!</v>
      </c>
      <c r="X38" s="103" t="e">
        <f t="shared" si="36"/>
        <v>#REF!</v>
      </c>
      <c r="Y38" s="103" t="e">
        <f t="shared" si="36"/>
        <v>#REF!</v>
      </c>
      <c r="Z38" s="103" t="e">
        <f t="shared" si="36"/>
        <v>#REF!</v>
      </c>
      <c r="AA38" s="103" t="e">
        <f>WORKDAY(IF(Z39="",X38,Z39),INDEX(AA$2:AA$5,MATCH($I37,$I$2:$I$5,0)),$BB$10:$BB$141)</f>
        <v>#REF!</v>
      </c>
      <c r="AB38" s="104" t="e">
        <f>WORKDAY(AE37+#REF!,0,'[35]Equipment List and MR List (3)'!$A$2:$A$80)</f>
        <v>#REF!</v>
      </c>
      <c r="AC38" s="502"/>
      <c r="AD38" s="105"/>
      <c r="AE38" s="499"/>
      <c r="AF38" s="493"/>
      <c r="AG38" s="490"/>
      <c r="AH38" s="106"/>
      <c r="AI38" s="107"/>
      <c r="AJ38" s="487"/>
      <c r="AK38" s="108"/>
      <c r="AL38" s="109"/>
      <c r="AM38" s="92">
        <f t="shared" ref="AM38:AW38" si="37">IF(ISERROR(LOOKUP(AM$6,$S38:$AB38,$S$9:$AB$9)),0,(LOOKUP(AM$6,$S38:$AB38,$S$9:$AB$9)))</f>
        <v>0</v>
      </c>
      <c r="AN38" s="93">
        <f t="shared" si="37"/>
        <v>0</v>
      </c>
      <c r="AO38" s="93">
        <f t="shared" si="37"/>
        <v>0</v>
      </c>
      <c r="AP38" s="93">
        <f t="shared" si="37"/>
        <v>0</v>
      </c>
      <c r="AQ38" s="93">
        <f t="shared" si="37"/>
        <v>0</v>
      </c>
      <c r="AR38" s="93">
        <f t="shared" si="37"/>
        <v>0</v>
      </c>
      <c r="AS38" s="93">
        <f t="shared" si="37"/>
        <v>0</v>
      </c>
      <c r="AT38" s="93">
        <f t="shared" si="37"/>
        <v>0</v>
      </c>
      <c r="AU38" s="93">
        <f t="shared" si="37"/>
        <v>0</v>
      </c>
      <c r="AV38" s="93">
        <f t="shared" si="37"/>
        <v>0</v>
      </c>
      <c r="AW38" s="93">
        <f t="shared" ca="1" si="37"/>
        <v>0</v>
      </c>
      <c r="BB38" s="94" t="e">
        <v>#REF!</v>
      </c>
    </row>
    <row r="39" spans="1:54" s="20" customFormat="1" ht="18.600000000000001" customHeight="1">
      <c r="A39" s="515"/>
      <c r="B39" s="512"/>
      <c r="C39" s="509"/>
      <c r="D39" s="111" t="str">
        <f>D37</f>
        <v>MEC</v>
      </c>
      <c r="E39" s="112" t="str">
        <f>E37</f>
        <v>RFQ-010</v>
      </c>
      <c r="F39" s="113" t="str">
        <f>F37</f>
        <v>N</v>
      </c>
      <c r="G39" s="506"/>
      <c r="H39" s="124" t="str">
        <f>H37</f>
        <v>Skim Tank Vessel</v>
      </c>
      <c r="I39" s="112" t="str">
        <f>I37</f>
        <v>LA</v>
      </c>
      <c r="J39" s="113"/>
      <c r="K39" s="114"/>
      <c r="L39" s="114"/>
      <c r="M39" s="114">
        <v>0.01</v>
      </c>
      <c r="N39" s="112"/>
      <c r="O39" s="112"/>
      <c r="P39" s="112"/>
      <c r="Q39" s="115" t="s">
        <v>4861</v>
      </c>
      <c r="R39" s="126"/>
      <c r="S39" s="126"/>
      <c r="T39" s="126"/>
      <c r="U39" s="126"/>
      <c r="V39" s="126"/>
      <c r="W39" s="126"/>
      <c r="X39" s="126"/>
      <c r="Y39" s="126"/>
      <c r="Z39" s="126"/>
      <c r="AA39" s="126"/>
      <c r="AB39" s="126"/>
      <c r="AC39" s="503"/>
      <c r="AD39" s="116"/>
      <c r="AE39" s="499"/>
      <c r="AF39" s="494"/>
      <c r="AG39" s="491"/>
      <c r="AH39" s="117"/>
      <c r="AI39" s="118"/>
      <c r="AJ39" s="488"/>
      <c r="AK39" s="119"/>
      <c r="AL39" s="120"/>
      <c r="AM39" s="121">
        <f t="shared" ref="AM39:AW39" si="38">IF(ISERROR(LOOKUP(AM$6,$S39:$AB39,$S$9:$AB$9)),0,(LOOKUP(AM$6,$S39:$AB39,$S$9:$AB$9)))</f>
        <v>0</v>
      </c>
      <c r="AN39" s="122">
        <f t="shared" si="38"/>
        <v>0</v>
      </c>
      <c r="AO39" s="122">
        <f t="shared" si="38"/>
        <v>0</v>
      </c>
      <c r="AP39" s="122">
        <f t="shared" si="38"/>
        <v>0</v>
      </c>
      <c r="AQ39" s="122">
        <f t="shared" si="38"/>
        <v>0</v>
      </c>
      <c r="AR39" s="122">
        <f t="shared" si="38"/>
        <v>0</v>
      </c>
      <c r="AS39" s="122">
        <f t="shared" si="38"/>
        <v>0</v>
      </c>
      <c r="AT39" s="122">
        <f t="shared" si="38"/>
        <v>0</v>
      </c>
      <c r="AU39" s="122">
        <f t="shared" si="38"/>
        <v>0</v>
      </c>
      <c r="AV39" s="122">
        <f t="shared" si="38"/>
        <v>0</v>
      </c>
      <c r="AW39" s="122">
        <f t="shared" ca="1" si="38"/>
        <v>0</v>
      </c>
      <c r="BB39" s="94" t="e">
        <v>#REF!</v>
      </c>
    </row>
    <row r="40" spans="1:54" s="20" customFormat="1" ht="18.600000000000001" customHeight="1">
      <c r="A40" s="513">
        <f>A37+1</f>
        <v>11</v>
      </c>
      <c r="B40" s="510" t="s">
        <v>4874</v>
      </c>
      <c r="C40" s="507" t="s">
        <v>4855</v>
      </c>
      <c r="D40" s="80" t="s">
        <v>4856</v>
      </c>
      <c r="E40" s="81" t="s">
        <v>4749</v>
      </c>
      <c r="F40" s="82" t="s">
        <v>67</v>
      </c>
      <c r="G40" s="504" t="s">
        <v>4866</v>
      </c>
      <c r="H40" s="123" t="s">
        <v>103</v>
      </c>
      <c r="I40" s="81" t="s">
        <v>6</v>
      </c>
      <c r="J40" s="82"/>
      <c r="K40" s="84">
        <f>M42</f>
        <v>0.01</v>
      </c>
      <c r="L40" s="84"/>
      <c r="M40" s="84"/>
      <c r="N40" s="81"/>
      <c r="O40" s="81"/>
      <c r="P40" s="81"/>
      <c r="Q40" s="85" t="s">
        <v>4858</v>
      </c>
      <c r="R40" s="86">
        <f>'Before Award'!U47+5</f>
        <v>46260</v>
      </c>
      <c r="S40" s="86" t="e">
        <f>WORKDAY(R40,INDEX(S$2:S$5,MATCH($I40,$I$2:$I$5,0)),$BB$10:$BB$141)</f>
        <v>#REF!</v>
      </c>
      <c r="T40" s="86" t="e">
        <f>WORKDAY(S40,INDEX(T$2:T$5,MATCH($I40,$I$2:$I$5,0)),$BB$10:$BB$141)</f>
        <v>#REF!</v>
      </c>
      <c r="U40" s="86" t="e">
        <f>T40+60</f>
        <v>#REF!</v>
      </c>
      <c r="V40" s="86"/>
      <c r="W40" s="86">
        <f>AB40-35</f>
        <v>46402</v>
      </c>
      <c r="X40" s="86"/>
      <c r="Y40" s="86"/>
      <c r="Z40" s="86"/>
      <c r="AA40" s="86"/>
      <c r="AB40" s="86">
        <f>'Before Award'!X47</f>
        <v>46437</v>
      </c>
      <c r="AC40" s="501" t="s">
        <v>4859</v>
      </c>
      <c r="AD40" s="87">
        <v>14</v>
      </c>
      <c r="AE40" s="499">
        <v>294</v>
      </c>
      <c r="AF40" s="492" t="e">
        <f>AB41</f>
        <v>#REF!</v>
      </c>
      <c r="AG40" s="489">
        <f>WORKDAY(AH40+1,-1,$BA$10:$BA$141)</f>
        <v>46386</v>
      </c>
      <c r="AH40" s="88">
        <v>46386</v>
      </c>
      <c r="AI40" s="89"/>
      <c r="AJ40" s="486" t="e">
        <f>AG40-AF40</f>
        <v>#REF!</v>
      </c>
      <c r="AK40" s="90"/>
      <c r="AL40" s="91"/>
      <c r="AM40" s="92">
        <f t="shared" ref="AM40:AW40" si="39">IF(ISERROR(LOOKUP(AM$6,$S40:$AB40,$S$9:$AB$9)),0,(LOOKUP(AM$6,$S40:$AB40,$S$9:$AB$9)))</f>
        <v>0</v>
      </c>
      <c r="AN40" s="93">
        <f t="shared" si="39"/>
        <v>0</v>
      </c>
      <c r="AO40" s="93">
        <f t="shared" si="39"/>
        <v>0</v>
      </c>
      <c r="AP40" s="93">
        <f t="shared" si="39"/>
        <v>0</v>
      </c>
      <c r="AQ40" s="93">
        <f t="shared" si="39"/>
        <v>0</v>
      </c>
      <c r="AR40" s="93">
        <f t="shared" si="39"/>
        <v>0</v>
      </c>
      <c r="AS40" s="93">
        <f t="shared" si="39"/>
        <v>0</v>
      </c>
      <c r="AT40" s="93">
        <f t="shared" si="39"/>
        <v>0</v>
      </c>
      <c r="AU40" s="93">
        <f t="shared" si="39"/>
        <v>0</v>
      </c>
      <c r="AV40" s="93">
        <f t="shared" si="39"/>
        <v>0</v>
      </c>
      <c r="AW40" s="93">
        <f t="shared" ca="1" si="39"/>
        <v>0</v>
      </c>
      <c r="BB40" s="94" t="e">
        <v>#REF!</v>
      </c>
    </row>
    <row r="41" spans="1:54" s="20" customFormat="1" ht="18.600000000000001" customHeight="1">
      <c r="A41" s="514"/>
      <c r="B41" s="511"/>
      <c r="C41" s="508"/>
      <c r="D41" s="96" t="str">
        <f>D40</f>
        <v>MEC</v>
      </c>
      <c r="E41" s="97" t="str">
        <f>E40</f>
        <v>RFQ-011</v>
      </c>
      <c r="F41" s="98" t="str">
        <f>F40</f>
        <v>Y</v>
      </c>
      <c r="G41" s="505"/>
      <c r="H41" s="124" t="str">
        <f>H40</f>
        <v>Closed Drain Sump Vessel</v>
      </c>
      <c r="I41" s="97" t="str">
        <f>I40</f>
        <v>LA</v>
      </c>
      <c r="J41" s="98"/>
      <c r="K41" s="100"/>
      <c r="L41" s="100">
        <f>M42</f>
        <v>0.01</v>
      </c>
      <c r="M41" s="100"/>
      <c r="N41" s="97"/>
      <c r="O41" s="97"/>
      <c r="P41" s="97"/>
      <c r="Q41" s="101" t="s">
        <v>4860</v>
      </c>
      <c r="R41" s="102">
        <f>R40</f>
        <v>46260</v>
      </c>
      <c r="S41" s="102" t="e">
        <f>S40</f>
        <v>#REF!</v>
      </c>
      <c r="T41" s="103" t="e">
        <f>T40</f>
        <v>#REF!</v>
      </c>
      <c r="U41" s="103" t="e">
        <f t="shared" ref="U41:Z41" si="40">WORKDAY(IF(T42="",T41,T42),INDEX(U$2:U$5,MATCH($I40,$I$2:$I$5,0)),$BB$10:$BB$141)</f>
        <v>#REF!</v>
      </c>
      <c r="V41" s="103" t="e">
        <f t="shared" si="40"/>
        <v>#REF!</v>
      </c>
      <c r="W41" s="103" t="e">
        <f t="shared" si="40"/>
        <v>#REF!</v>
      </c>
      <c r="X41" s="103" t="e">
        <f t="shared" si="40"/>
        <v>#REF!</v>
      </c>
      <c r="Y41" s="103" t="e">
        <f t="shared" si="40"/>
        <v>#REF!</v>
      </c>
      <c r="Z41" s="103" t="e">
        <f t="shared" si="40"/>
        <v>#REF!</v>
      </c>
      <c r="AA41" s="103" t="e">
        <f>WORKDAY(IF(Z42="",X41,Z42),INDEX(AA$2:AA$5,MATCH($I40,$I$2:$I$5,0)),$BB$10:$BB$141)</f>
        <v>#REF!</v>
      </c>
      <c r="AB41" s="104" t="e">
        <f>WORKDAY(AE40+#REF!,0,'[35]Equipment List and MR List (3)'!$A$2:$A$80)</f>
        <v>#REF!</v>
      </c>
      <c r="AC41" s="502"/>
      <c r="AD41" s="105"/>
      <c r="AE41" s="499"/>
      <c r="AF41" s="493"/>
      <c r="AG41" s="490"/>
      <c r="AH41" s="106"/>
      <c r="AI41" s="107"/>
      <c r="AJ41" s="487"/>
      <c r="AK41" s="108"/>
      <c r="AL41" s="109"/>
      <c r="AM41" s="92">
        <f t="shared" ref="AM41:AW41" si="41">IF(ISERROR(LOOKUP(AM$6,$S41:$AB41,$S$9:$AB$9)),0,(LOOKUP(AM$6,$S41:$AB41,$S$9:$AB$9)))</f>
        <v>0</v>
      </c>
      <c r="AN41" s="93">
        <f t="shared" si="41"/>
        <v>0</v>
      </c>
      <c r="AO41" s="93">
        <f t="shared" si="41"/>
        <v>0</v>
      </c>
      <c r="AP41" s="93">
        <f t="shared" si="41"/>
        <v>0</v>
      </c>
      <c r="AQ41" s="93">
        <f t="shared" si="41"/>
        <v>0</v>
      </c>
      <c r="AR41" s="93">
        <f t="shared" si="41"/>
        <v>0</v>
      </c>
      <c r="AS41" s="93">
        <f t="shared" si="41"/>
        <v>0</v>
      </c>
      <c r="AT41" s="93">
        <f t="shared" si="41"/>
        <v>0</v>
      </c>
      <c r="AU41" s="93">
        <f t="shared" si="41"/>
        <v>0</v>
      </c>
      <c r="AV41" s="93">
        <f t="shared" si="41"/>
        <v>0</v>
      </c>
      <c r="AW41" s="93">
        <f t="shared" ca="1" si="41"/>
        <v>0</v>
      </c>
      <c r="BB41" s="94" t="e">
        <v>#REF!</v>
      </c>
    </row>
    <row r="42" spans="1:54" s="20" customFormat="1" ht="18.600000000000001" customHeight="1">
      <c r="A42" s="515"/>
      <c r="B42" s="512"/>
      <c r="C42" s="509"/>
      <c r="D42" s="111" t="str">
        <f>D40</f>
        <v>MEC</v>
      </c>
      <c r="E42" s="112" t="str">
        <f>E40</f>
        <v>RFQ-011</v>
      </c>
      <c r="F42" s="113" t="str">
        <f>F40</f>
        <v>Y</v>
      </c>
      <c r="G42" s="506"/>
      <c r="H42" s="124" t="str">
        <f>H40</f>
        <v>Closed Drain Sump Vessel</v>
      </c>
      <c r="I42" s="112" t="str">
        <f>I40</f>
        <v>LA</v>
      </c>
      <c r="J42" s="113"/>
      <c r="K42" s="114"/>
      <c r="L42" s="114"/>
      <c r="M42" s="114">
        <v>0.01</v>
      </c>
      <c r="N42" s="112"/>
      <c r="O42" s="112"/>
      <c r="P42" s="112"/>
      <c r="Q42" s="115" t="s">
        <v>4861</v>
      </c>
      <c r="R42" s="126"/>
      <c r="S42" s="126"/>
      <c r="T42" s="126"/>
      <c r="U42" s="126"/>
      <c r="V42" s="126"/>
      <c r="W42" s="126"/>
      <c r="X42" s="126"/>
      <c r="Y42" s="126"/>
      <c r="Z42" s="126"/>
      <c r="AA42" s="126"/>
      <c r="AB42" s="126"/>
      <c r="AC42" s="503"/>
      <c r="AD42" s="116"/>
      <c r="AE42" s="499"/>
      <c r="AF42" s="494"/>
      <c r="AG42" s="491"/>
      <c r="AH42" s="117"/>
      <c r="AI42" s="118"/>
      <c r="AJ42" s="488"/>
      <c r="AK42" s="119"/>
      <c r="AL42" s="120"/>
      <c r="AM42" s="121">
        <f t="shared" ref="AM42:AW42" si="42">IF(ISERROR(LOOKUP(AM$6,$S42:$AB42,$S$9:$AB$9)),0,(LOOKUP(AM$6,$S42:$AB42,$S$9:$AB$9)))</f>
        <v>0</v>
      </c>
      <c r="AN42" s="122">
        <f t="shared" si="42"/>
        <v>0</v>
      </c>
      <c r="AO42" s="122">
        <f t="shared" si="42"/>
        <v>0</v>
      </c>
      <c r="AP42" s="122">
        <f t="shared" si="42"/>
        <v>0</v>
      </c>
      <c r="AQ42" s="122">
        <f t="shared" si="42"/>
        <v>0</v>
      </c>
      <c r="AR42" s="122">
        <f t="shared" si="42"/>
        <v>0</v>
      </c>
      <c r="AS42" s="122">
        <f t="shared" si="42"/>
        <v>0</v>
      </c>
      <c r="AT42" s="122">
        <f t="shared" si="42"/>
        <v>0</v>
      </c>
      <c r="AU42" s="122">
        <f t="shared" si="42"/>
        <v>0</v>
      </c>
      <c r="AV42" s="122">
        <f t="shared" si="42"/>
        <v>0</v>
      </c>
      <c r="AW42" s="122">
        <f t="shared" ca="1" si="42"/>
        <v>0</v>
      </c>
      <c r="BB42" s="94" t="e">
        <v>#REF!</v>
      </c>
    </row>
    <row r="43" spans="1:54" s="20" customFormat="1" ht="18.600000000000001" customHeight="1">
      <c r="A43" s="513">
        <f>A40+1</f>
        <v>12</v>
      </c>
      <c r="B43" s="516" t="s">
        <v>4875</v>
      </c>
      <c r="C43" s="507" t="s">
        <v>4855</v>
      </c>
      <c r="D43" s="80" t="s">
        <v>4856</v>
      </c>
      <c r="E43" s="81" t="s">
        <v>4750</v>
      </c>
      <c r="F43" s="82" t="str">
        <f>IF(_xlfn.XLOOKUP(E43,'[35]Before Award'!D:D,'[35]Before Award'!AV:AV,"N/A")="N/A","N","Y")</f>
        <v>N</v>
      </c>
      <c r="G43" s="504" t="s">
        <v>4866</v>
      </c>
      <c r="H43" s="83" t="s">
        <v>4876</v>
      </c>
      <c r="I43" s="81" t="s">
        <v>6</v>
      </c>
      <c r="J43" s="82"/>
      <c r="K43" s="84">
        <f>M45</f>
        <v>0.01</v>
      </c>
      <c r="L43" s="84"/>
      <c r="M43" s="84"/>
      <c r="N43" s="81"/>
      <c r="O43" s="81"/>
      <c r="P43" s="81"/>
      <c r="Q43" s="85" t="s">
        <v>4858</v>
      </c>
      <c r="R43" s="86">
        <f>'Before Award'!U50+5</f>
        <v>46281</v>
      </c>
      <c r="S43" s="86" t="e">
        <f>WORKDAY(R43,INDEX(S$2:S$5,MATCH($I43,$I$2:$I$5,0)),$BB$10:$BB$141)</f>
        <v>#REF!</v>
      </c>
      <c r="T43" s="86" t="e">
        <f>WORKDAY(S43,INDEX(T$2:T$5,MATCH($I43,$I$2:$I$5,0)),$BB$10:$BB$141)</f>
        <v>#REF!</v>
      </c>
      <c r="U43" s="86" t="e">
        <f>T43+60</f>
        <v>#REF!</v>
      </c>
      <c r="V43" s="86"/>
      <c r="W43" s="86">
        <f>AB43-35</f>
        <v>46381</v>
      </c>
      <c r="X43" s="86"/>
      <c r="Y43" s="86"/>
      <c r="Z43" s="86"/>
      <c r="AA43" s="86"/>
      <c r="AB43" s="86">
        <f>'Before Award'!X50</f>
        <v>46416</v>
      </c>
      <c r="AC43" s="501" t="s">
        <v>4859</v>
      </c>
      <c r="AD43" s="87">
        <v>14</v>
      </c>
      <c r="AE43" s="499">
        <v>238</v>
      </c>
      <c r="AF43" s="492" t="e">
        <f>AB44</f>
        <v>#REF!</v>
      </c>
      <c r="AG43" s="489">
        <f>WORKDAY(AH43+1,-1,$BA$10:$BA$141)</f>
        <v>46416</v>
      </c>
      <c r="AH43" s="88">
        <v>46418</v>
      </c>
      <c r="AI43" s="89"/>
      <c r="AJ43" s="486" t="e">
        <f>AG43-AF43</f>
        <v>#REF!</v>
      </c>
      <c r="AK43" s="90"/>
      <c r="AL43" s="91"/>
      <c r="AM43" s="92">
        <f t="shared" ref="AM43:AW43" si="43">IF(ISERROR(LOOKUP(AM$6,$S43:$AB43,$S$9:$AB$9)),0,(LOOKUP(AM$6,$S43:$AB43,$S$9:$AB$9)))</f>
        <v>0</v>
      </c>
      <c r="AN43" s="93">
        <f t="shared" si="43"/>
        <v>0</v>
      </c>
      <c r="AO43" s="93">
        <f t="shared" si="43"/>
        <v>0</v>
      </c>
      <c r="AP43" s="93">
        <f t="shared" si="43"/>
        <v>0</v>
      </c>
      <c r="AQ43" s="93">
        <f t="shared" si="43"/>
        <v>0</v>
      </c>
      <c r="AR43" s="93">
        <f t="shared" si="43"/>
        <v>0</v>
      </c>
      <c r="AS43" s="93">
        <f t="shared" si="43"/>
        <v>0</v>
      </c>
      <c r="AT43" s="93">
        <f t="shared" si="43"/>
        <v>0</v>
      </c>
      <c r="AU43" s="93">
        <f t="shared" si="43"/>
        <v>0</v>
      </c>
      <c r="AV43" s="93">
        <f t="shared" si="43"/>
        <v>0</v>
      </c>
      <c r="AW43" s="93">
        <f t="shared" ca="1" si="43"/>
        <v>0</v>
      </c>
      <c r="BB43" s="94" t="e">
        <v>#REF!</v>
      </c>
    </row>
    <row r="44" spans="1:54" s="20" customFormat="1" ht="18.600000000000001" customHeight="1">
      <c r="A44" s="514"/>
      <c r="B44" s="517"/>
      <c r="C44" s="508"/>
      <c r="D44" s="96" t="str">
        <f>D43</f>
        <v>MEC</v>
      </c>
      <c r="E44" s="97" t="str">
        <f>E43</f>
        <v>RFQ-012</v>
      </c>
      <c r="F44" s="98" t="str">
        <f>F43</f>
        <v>N</v>
      </c>
      <c r="G44" s="505"/>
      <c r="H44" s="99" t="str">
        <f>H43</f>
        <v>Diesel Storage Tote Tank</v>
      </c>
      <c r="I44" s="97" t="str">
        <f>I43</f>
        <v>LA</v>
      </c>
      <c r="J44" s="98"/>
      <c r="K44" s="100"/>
      <c r="L44" s="100">
        <f>M45</f>
        <v>0.01</v>
      </c>
      <c r="M44" s="100"/>
      <c r="N44" s="97"/>
      <c r="O44" s="97"/>
      <c r="P44" s="97"/>
      <c r="Q44" s="101" t="s">
        <v>4860</v>
      </c>
      <c r="R44" s="102">
        <f>R43</f>
        <v>46281</v>
      </c>
      <c r="S44" s="102" t="e">
        <f>S43</f>
        <v>#REF!</v>
      </c>
      <c r="T44" s="103" t="e">
        <f>T43</f>
        <v>#REF!</v>
      </c>
      <c r="U44" s="103" t="e">
        <f t="shared" ref="U44:Z44" si="44">WORKDAY(IF(T45="",T44,T45),INDEX(U$2:U$5,MATCH($I43,$I$2:$I$5,0)),$BB$10:$BB$141)</f>
        <v>#REF!</v>
      </c>
      <c r="V44" s="103" t="e">
        <f t="shared" si="44"/>
        <v>#REF!</v>
      </c>
      <c r="W44" s="103" t="e">
        <f t="shared" si="44"/>
        <v>#REF!</v>
      </c>
      <c r="X44" s="103" t="e">
        <f t="shared" si="44"/>
        <v>#REF!</v>
      </c>
      <c r="Y44" s="103" t="e">
        <f t="shared" si="44"/>
        <v>#REF!</v>
      </c>
      <c r="Z44" s="103" t="e">
        <f t="shared" si="44"/>
        <v>#REF!</v>
      </c>
      <c r="AA44" s="103" t="e">
        <f>WORKDAY(IF(Z45="",X44,Z45),INDEX(AA$2:AA$5,MATCH($I43,$I$2:$I$5,0)),$BB$10:$BB$141)</f>
        <v>#REF!</v>
      </c>
      <c r="AB44" s="104" t="e">
        <f>WORKDAY(AE43+#REF!,0,'[35]Equipment List and MR List (3)'!$A$2:$A$80)</f>
        <v>#REF!</v>
      </c>
      <c r="AC44" s="502"/>
      <c r="AD44" s="105"/>
      <c r="AE44" s="499"/>
      <c r="AF44" s="493"/>
      <c r="AG44" s="490"/>
      <c r="AH44" s="106"/>
      <c r="AI44" s="107"/>
      <c r="AJ44" s="487"/>
      <c r="AK44" s="108"/>
      <c r="AL44" s="109"/>
      <c r="AM44" s="92">
        <f t="shared" ref="AM44:AW44" si="45">IF(ISERROR(LOOKUP(AM$6,$S44:$AB44,$S$9:$AB$9)),0,(LOOKUP(AM$6,$S44:$AB44,$S$9:$AB$9)))</f>
        <v>0</v>
      </c>
      <c r="AN44" s="93">
        <f t="shared" si="45"/>
        <v>0</v>
      </c>
      <c r="AO44" s="93">
        <f t="shared" si="45"/>
        <v>0</v>
      </c>
      <c r="AP44" s="93">
        <f t="shared" si="45"/>
        <v>0</v>
      </c>
      <c r="AQ44" s="93">
        <f t="shared" si="45"/>
        <v>0</v>
      </c>
      <c r="AR44" s="93">
        <f t="shared" si="45"/>
        <v>0</v>
      </c>
      <c r="AS44" s="93">
        <f t="shared" si="45"/>
        <v>0</v>
      </c>
      <c r="AT44" s="93">
        <f t="shared" si="45"/>
        <v>0</v>
      </c>
      <c r="AU44" s="93">
        <f t="shared" si="45"/>
        <v>0</v>
      </c>
      <c r="AV44" s="93">
        <f t="shared" si="45"/>
        <v>0</v>
      </c>
      <c r="AW44" s="93">
        <f t="shared" ca="1" si="45"/>
        <v>0</v>
      </c>
      <c r="BB44" s="94" t="e">
        <v>#REF!</v>
      </c>
    </row>
    <row r="45" spans="1:54" s="20" customFormat="1" ht="18.600000000000001" customHeight="1">
      <c r="A45" s="515"/>
      <c r="B45" s="518"/>
      <c r="C45" s="509"/>
      <c r="D45" s="111" t="str">
        <f>D43</f>
        <v>MEC</v>
      </c>
      <c r="E45" s="112" t="str">
        <f>E43</f>
        <v>RFQ-012</v>
      </c>
      <c r="F45" s="113" t="str">
        <f>F43</f>
        <v>N</v>
      </c>
      <c r="G45" s="506"/>
      <c r="H45" s="99" t="str">
        <f>H43</f>
        <v>Diesel Storage Tote Tank</v>
      </c>
      <c r="I45" s="112" t="str">
        <f>I43</f>
        <v>LA</v>
      </c>
      <c r="J45" s="113"/>
      <c r="K45" s="114"/>
      <c r="L45" s="114"/>
      <c r="M45" s="114">
        <v>0.01</v>
      </c>
      <c r="N45" s="112"/>
      <c r="O45" s="112"/>
      <c r="P45" s="112"/>
      <c r="Q45" s="115" t="s">
        <v>4861</v>
      </c>
      <c r="R45" s="115"/>
      <c r="S45" s="126"/>
      <c r="T45" s="126"/>
      <c r="U45" s="126"/>
      <c r="V45" s="126"/>
      <c r="W45" s="126"/>
      <c r="X45" s="126"/>
      <c r="Y45" s="126"/>
      <c r="Z45" s="126"/>
      <c r="AA45" s="126"/>
      <c r="AB45" s="126"/>
      <c r="AC45" s="503"/>
      <c r="AD45" s="116"/>
      <c r="AE45" s="499"/>
      <c r="AF45" s="494"/>
      <c r="AG45" s="491"/>
      <c r="AH45" s="117"/>
      <c r="AI45" s="118"/>
      <c r="AJ45" s="488"/>
      <c r="AK45" s="119"/>
      <c r="AL45" s="120"/>
      <c r="AM45" s="121">
        <f t="shared" ref="AM45:AW45" si="46">IF(ISERROR(LOOKUP(AM$6,$S45:$AB45,$S$9:$AB$9)),0,(LOOKUP(AM$6,$S45:$AB45,$S$9:$AB$9)))</f>
        <v>0</v>
      </c>
      <c r="AN45" s="122">
        <f t="shared" si="46"/>
        <v>0</v>
      </c>
      <c r="AO45" s="122">
        <f t="shared" si="46"/>
        <v>0</v>
      </c>
      <c r="AP45" s="122">
        <f t="shared" si="46"/>
        <v>0</v>
      </c>
      <c r="AQ45" s="122">
        <f t="shared" si="46"/>
        <v>0</v>
      </c>
      <c r="AR45" s="122">
        <f t="shared" si="46"/>
        <v>0</v>
      </c>
      <c r="AS45" s="122">
        <f t="shared" si="46"/>
        <v>0</v>
      </c>
      <c r="AT45" s="122">
        <f t="shared" si="46"/>
        <v>0</v>
      </c>
      <c r="AU45" s="122">
        <f t="shared" si="46"/>
        <v>0</v>
      </c>
      <c r="AV45" s="122">
        <f t="shared" si="46"/>
        <v>0</v>
      </c>
      <c r="AW45" s="122">
        <f t="shared" ca="1" si="46"/>
        <v>0</v>
      </c>
      <c r="BB45" s="94" t="e">
        <v>#REF!</v>
      </c>
    </row>
    <row r="46" spans="1:54" s="20" customFormat="1" ht="18.600000000000001" customHeight="1">
      <c r="A46" s="513">
        <f>A43+1</f>
        <v>13</v>
      </c>
      <c r="B46" s="516" t="s">
        <v>4875</v>
      </c>
      <c r="C46" s="507" t="s">
        <v>4855</v>
      </c>
      <c r="D46" s="80" t="s">
        <v>4856</v>
      </c>
      <c r="E46" s="81" t="s">
        <v>4752</v>
      </c>
      <c r="F46" s="82" t="str">
        <f>IF(_xlfn.XLOOKUP(E46,'[35]Before Award'!D:D,'[35]Before Award'!AV:AV,"N/A")="N/A","N","Y")</f>
        <v>N</v>
      </c>
      <c r="G46" s="504" t="s">
        <v>4866</v>
      </c>
      <c r="H46" s="83" t="s">
        <v>4877</v>
      </c>
      <c r="I46" s="81" t="s">
        <v>6</v>
      </c>
      <c r="J46" s="82"/>
      <c r="K46" s="84">
        <f>M48</f>
        <v>1E-3</v>
      </c>
      <c r="L46" s="84"/>
      <c r="M46" s="84"/>
      <c r="N46" s="81"/>
      <c r="O46" s="81"/>
      <c r="P46" s="81"/>
      <c r="Q46" s="85" t="s">
        <v>4858</v>
      </c>
      <c r="R46" s="86">
        <f>'Before Award'!U53+5</f>
        <v>46319</v>
      </c>
      <c r="S46" s="86" t="e">
        <f>WORKDAY(R46,INDEX(S$2:S$5,MATCH($I46,$I$2:$I$5,0)),$BB$10:$BB$141)</f>
        <v>#REF!</v>
      </c>
      <c r="T46" s="86" t="e">
        <f>WORKDAY(S46,INDEX(T$2:T$5,MATCH($I46,$I$2:$I$5,0)),$BB$10:$BB$141)</f>
        <v>#REF!</v>
      </c>
      <c r="U46" s="86" t="e">
        <f>T46+60</f>
        <v>#REF!</v>
      </c>
      <c r="V46" s="86"/>
      <c r="W46" s="86">
        <f>AB46-35</f>
        <v>46419</v>
      </c>
      <c r="X46" s="86"/>
      <c r="Y46" s="86"/>
      <c r="Z46" s="86"/>
      <c r="AA46" s="86"/>
      <c r="AB46" s="86">
        <f>'Before Award'!X53</f>
        <v>46454</v>
      </c>
      <c r="AC46" s="501" t="s">
        <v>4859</v>
      </c>
      <c r="AD46" s="87">
        <v>14</v>
      </c>
      <c r="AE46" s="499">
        <v>238</v>
      </c>
      <c r="AF46" s="492" t="e">
        <f>AB47</f>
        <v>#REF!</v>
      </c>
      <c r="AG46" s="489">
        <f>WORKDAY(AH46+1,-1,$BA$10:$BA$141)</f>
        <v>46416</v>
      </c>
      <c r="AH46" s="88">
        <v>46418</v>
      </c>
      <c r="AI46" s="89"/>
      <c r="AJ46" s="486" t="e">
        <f>AG46-AF46</f>
        <v>#REF!</v>
      </c>
      <c r="AK46" s="90"/>
      <c r="AL46" s="91"/>
      <c r="AM46" s="92">
        <f t="shared" ref="AM46:AW46" si="47">IF(ISERROR(LOOKUP(AM$6,$S46:$AB46,$S$9:$AB$9)),0,(LOOKUP(AM$6,$S46:$AB46,$S$9:$AB$9)))</f>
        <v>0</v>
      </c>
      <c r="AN46" s="93">
        <f t="shared" si="47"/>
        <v>0</v>
      </c>
      <c r="AO46" s="93">
        <f t="shared" si="47"/>
        <v>0</v>
      </c>
      <c r="AP46" s="93">
        <f t="shared" si="47"/>
        <v>0</v>
      </c>
      <c r="AQ46" s="93">
        <f t="shared" si="47"/>
        <v>0</v>
      </c>
      <c r="AR46" s="93">
        <f t="shared" si="47"/>
        <v>0</v>
      </c>
      <c r="AS46" s="93">
        <f t="shared" si="47"/>
        <v>0</v>
      </c>
      <c r="AT46" s="93">
        <f t="shared" si="47"/>
        <v>0</v>
      </c>
      <c r="AU46" s="93">
        <f t="shared" si="47"/>
        <v>0</v>
      </c>
      <c r="AV46" s="93">
        <f t="shared" si="47"/>
        <v>0</v>
      </c>
      <c r="AW46" s="93">
        <f t="shared" ca="1" si="47"/>
        <v>0</v>
      </c>
      <c r="BB46" s="94" t="e">
        <v>#REF!</v>
      </c>
    </row>
    <row r="47" spans="1:54" s="20" customFormat="1" ht="18.600000000000001" customHeight="1">
      <c r="A47" s="514"/>
      <c r="B47" s="517"/>
      <c r="C47" s="508"/>
      <c r="D47" s="96" t="str">
        <f>D46</f>
        <v>MEC</v>
      </c>
      <c r="E47" s="97" t="str">
        <f>E46</f>
        <v>RFQ-013</v>
      </c>
      <c r="F47" s="98" t="str">
        <f>F46</f>
        <v>N</v>
      </c>
      <c r="G47" s="505"/>
      <c r="H47" s="99" t="str">
        <f>H46</f>
        <v>Corrosion Inhibitor Storage Tank</v>
      </c>
      <c r="I47" s="97" t="str">
        <f>I46</f>
        <v>LA</v>
      </c>
      <c r="J47" s="98"/>
      <c r="K47" s="100"/>
      <c r="L47" s="100">
        <f>M48</f>
        <v>1E-3</v>
      </c>
      <c r="M47" s="100"/>
      <c r="N47" s="97"/>
      <c r="O47" s="97"/>
      <c r="P47" s="97"/>
      <c r="Q47" s="101" t="s">
        <v>4860</v>
      </c>
      <c r="R47" s="102">
        <f>R46</f>
        <v>46319</v>
      </c>
      <c r="S47" s="102" t="e">
        <f>S46</f>
        <v>#REF!</v>
      </c>
      <c r="T47" s="103" t="e">
        <f>T46</f>
        <v>#REF!</v>
      </c>
      <c r="U47" s="103" t="e">
        <f t="shared" ref="U47:Z47" si="48">WORKDAY(IF(T48="",T47,T48),INDEX(U$2:U$5,MATCH($I46,$I$2:$I$5,0)),$BB$10:$BB$141)</f>
        <v>#REF!</v>
      </c>
      <c r="V47" s="103" t="e">
        <f t="shared" si="48"/>
        <v>#REF!</v>
      </c>
      <c r="W47" s="103" t="e">
        <f t="shared" si="48"/>
        <v>#REF!</v>
      </c>
      <c r="X47" s="103" t="e">
        <f t="shared" si="48"/>
        <v>#REF!</v>
      </c>
      <c r="Y47" s="103" t="e">
        <f t="shared" si="48"/>
        <v>#REF!</v>
      </c>
      <c r="Z47" s="103" t="e">
        <f t="shared" si="48"/>
        <v>#REF!</v>
      </c>
      <c r="AA47" s="103" t="e">
        <f>WORKDAY(IF(Z48="",X47,Z48),INDEX(AA$2:AA$5,MATCH($I46,$I$2:$I$5,0)),$BB$10:$BB$141)</f>
        <v>#REF!</v>
      </c>
      <c r="AB47" s="104" t="e">
        <f>WORKDAY(AE46+#REF!,0,'[35]Equipment List and MR List (3)'!$A$2:$A$80)</f>
        <v>#REF!</v>
      </c>
      <c r="AC47" s="502"/>
      <c r="AD47" s="105"/>
      <c r="AE47" s="499"/>
      <c r="AF47" s="493"/>
      <c r="AG47" s="490"/>
      <c r="AH47" s="106"/>
      <c r="AI47" s="107"/>
      <c r="AJ47" s="487"/>
      <c r="AK47" s="108"/>
      <c r="AL47" s="109"/>
      <c r="AM47" s="92">
        <f t="shared" ref="AM47:AW47" si="49">IF(ISERROR(LOOKUP(AM$6,$S47:$AB47,$S$9:$AB$9)),0,(LOOKUP(AM$6,$S47:$AB47,$S$9:$AB$9)))</f>
        <v>0</v>
      </c>
      <c r="AN47" s="93">
        <f t="shared" si="49"/>
        <v>0</v>
      </c>
      <c r="AO47" s="93">
        <f t="shared" si="49"/>
        <v>0</v>
      </c>
      <c r="AP47" s="93">
        <f t="shared" si="49"/>
        <v>0</v>
      </c>
      <c r="AQ47" s="93">
        <f t="shared" si="49"/>
        <v>0</v>
      </c>
      <c r="AR47" s="93">
        <f t="shared" si="49"/>
        <v>0</v>
      </c>
      <c r="AS47" s="93">
        <f t="shared" si="49"/>
        <v>0</v>
      </c>
      <c r="AT47" s="93">
        <f t="shared" si="49"/>
        <v>0</v>
      </c>
      <c r="AU47" s="93">
        <f t="shared" si="49"/>
        <v>0</v>
      </c>
      <c r="AV47" s="93">
        <f t="shared" si="49"/>
        <v>0</v>
      </c>
      <c r="AW47" s="93">
        <f t="shared" ca="1" si="49"/>
        <v>0</v>
      </c>
      <c r="BB47" s="94" t="e">
        <v>#REF!</v>
      </c>
    </row>
    <row r="48" spans="1:54" s="20" customFormat="1" ht="18.600000000000001" customHeight="1">
      <c r="A48" s="515"/>
      <c r="B48" s="518"/>
      <c r="C48" s="509"/>
      <c r="D48" s="111" t="str">
        <f>D46</f>
        <v>MEC</v>
      </c>
      <c r="E48" s="112" t="str">
        <f>E46</f>
        <v>RFQ-013</v>
      </c>
      <c r="F48" s="113" t="str">
        <f>F46</f>
        <v>N</v>
      </c>
      <c r="G48" s="506"/>
      <c r="H48" s="99" t="str">
        <f>H46</f>
        <v>Corrosion Inhibitor Storage Tank</v>
      </c>
      <c r="I48" s="112" t="str">
        <f>I46</f>
        <v>LA</v>
      </c>
      <c r="J48" s="113"/>
      <c r="K48" s="114"/>
      <c r="L48" s="114"/>
      <c r="M48" s="114">
        <v>1E-3</v>
      </c>
      <c r="N48" s="112"/>
      <c r="O48" s="112"/>
      <c r="P48" s="112"/>
      <c r="Q48" s="115" t="s">
        <v>4861</v>
      </c>
      <c r="R48" s="115"/>
      <c r="S48" s="126"/>
      <c r="T48" s="126"/>
      <c r="U48" s="126"/>
      <c r="V48" s="126"/>
      <c r="W48" s="126"/>
      <c r="X48" s="126"/>
      <c r="Y48" s="126"/>
      <c r="Z48" s="126"/>
      <c r="AA48" s="126"/>
      <c r="AB48" s="126"/>
      <c r="AC48" s="503"/>
      <c r="AD48" s="116"/>
      <c r="AE48" s="499"/>
      <c r="AF48" s="494"/>
      <c r="AG48" s="491"/>
      <c r="AH48" s="117"/>
      <c r="AI48" s="118"/>
      <c r="AJ48" s="488"/>
      <c r="AK48" s="119"/>
      <c r="AL48" s="120"/>
      <c r="AM48" s="121">
        <f t="shared" ref="AM48:AW48" si="50">IF(ISERROR(LOOKUP(AM$6,$S48:$AB48,$S$9:$AB$9)),0,(LOOKUP(AM$6,$S48:$AB48,$S$9:$AB$9)))</f>
        <v>0</v>
      </c>
      <c r="AN48" s="122">
        <f t="shared" si="50"/>
        <v>0</v>
      </c>
      <c r="AO48" s="122">
        <f t="shared" si="50"/>
        <v>0</v>
      </c>
      <c r="AP48" s="122">
        <f t="shared" si="50"/>
        <v>0</v>
      </c>
      <c r="AQ48" s="122">
        <f t="shared" si="50"/>
        <v>0</v>
      </c>
      <c r="AR48" s="122">
        <f t="shared" si="50"/>
        <v>0</v>
      </c>
      <c r="AS48" s="122">
        <f t="shared" si="50"/>
        <v>0</v>
      </c>
      <c r="AT48" s="122">
        <f t="shared" si="50"/>
        <v>0</v>
      </c>
      <c r="AU48" s="122">
        <f t="shared" si="50"/>
        <v>0</v>
      </c>
      <c r="AV48" s="122">
        <f t="shared" si="50"/>
        <v>0</v>
      </c>
      <c r="AW48" s="122">
        <f t="shared" ca="1" si="50"/>
        <v>0</v>
      </c>
      <c r="BB48" s="94" t="e">
        <v>#REF!</v>
      </c>
    </row>
    <row r="49" spans="1:54" s="20" customFormat="1" ht="18" customHeight="1">
      <c r="A49" s="513">
        <f>A46+1</f>
        <v>14</v>
      </c>
      <c r="B49" s="510" t="s">
        <v>4878</v>
      </c>
      <c r="C49" s="507" t="s">
        <v>4855</v>
      </c>
      <c r="D49" s="80" t="s">
        <v>4856</v>
      </c>
      <c r="E49" s="81" t="s">
        <v>4753</v>
      </c>
      <c r="F49" s="82" t="str">
        <f>IF(_xlfn.XLOOKUP(E49,'[35]Before Award'!D:D,'[35]Before Award'!AV:AV,"N/A")="N/A","N","Y")</f>
        <v>N</v>
      </c>
      <c r="G49" s="504" t="s">
        <v>4879</v>
      </c>
      <c r="H49" s="123" t="s">
        <v>4754</v>
      </c>
      <c r="I49" s="81" t="s">
        <v>6</v>
      </c>
      <c r="J49" s="82"/>
      <c r="K49" s="84">
        <f>M51</f>
        <v>0.01</v>
      </c>
      <c r="L49" s="84"/>
      <c r="M49" s="84"/>
      <c r="N49" s="81"/>
      <c r="O49" s="81"/>
      <c r="P49" s="81"/>
      <c r="Q49" s="85" t="s">
        <v>4858</v>
      </c>
      <c r="R49" s="86">
        <f>'Before Award'!U56+5</f>
        <v>46215</v>
      </c>
      <c r="S49" s="86" t="e">
        <f>WORKDAY(R49,INDEX(S$2:S$5,MATCH($I49,$I$2:$I$5,0)),$BB$10:$BB$141)</f>
        <v>#REF!</v>
      </c>
      <c r="T49" s="86" t="e">
        <f>WORKDAY(S49,INDEX(T$2:T$5,MATCH($I49,$I$2:$I$5,0)),$BB$10:$BB$141)</f>
        <v>#REF!</v>
      </c>
      <c r="U49" s="86" t="e">
        <f>T49+30</f>
        <v>#REF!</v>
      </c>
      <c r="V49" s="86"/>
      <c r="W49" s="86">
        <f>AB49-35</f>
        <v>46399</v>
      </c>
      <c r="X49" s="86"/>
      <c r="Y49" s="86"/>
      <c r="Z49" s="86"/>
      <c r="AA49" s="86"/>
      <c r="AB49" s="86">
        <f>'Before Award'!X56</f>
        <v>46434</v>
      </c>
      <c r="AC49" s="501" t="s">
        <v>4859</v>
      </c>
      <c r="AD49" s="87">
        <v>14</v>
      </c>
      <c r="AE49" s="499">
        <f>32*7</f>
        <v>224</v>
      </c>
      <c r="AF49" s="492" t="e">
        <f>AB50</f>
        <v>#REF!</v>
      </c>
      <c r="AG49" s="489">
        <f>WORKDAY(AH49+1,-1,$BA$10:$BA$141)</f>
        <v>46386</v>
      </c>
      <c r="AH49" s="88">
        <v>46386</v>
      </c>
      <c r="AI49" s="89"/>
      <c r="AJ49" s="486" t="e">
        <f>AG49-AF49</f>
        <v>#REF!</v>
      </c>
      <c r="AK49" s="90"/>
      <c r="AL49" s="91"/>
      <c r="AM49" s="92">
        <f t="shared" ref="AM49:AW49" si="51">IF(ISERROR(LOOKUP(AM$6,$S49:$AB49,$S$9:$AB$9)),0,(LOOKUP(AM$6,$S49:$AB49,$S$9:$AB$9)))</f>
        <v>0</v>
      </c>
      <c r="AN49" s="93">
        <f t="shared" si="51"/>
        <v>0</v>
      </c>
      <c r="AO49" s="93">
        <f t="shared" si="51"/>
        <v>0</v>
      </c>
      <c r="AP49" s="93">
        <f t="shared" si="51"/>
        <v>0</v>
      </c>
      <c r="AQ49" s="93">
        <f t="shared" si="51"/>
        <v>0</v>
      </c>
      <c r="AR49" s="93">
        <f t="shared" si="51"/>
        <v>0</v>
      </c>
      <c r="AS49" s="93">
        <f t="shared" si="51"/>
        <v>0</v>
      </c>
      <c r="AT49" s="93">
        <f t="shared" si="51"/>
        <v>0</v>
      </c>
      <c r="AU49" s="93">
        <f t="shared" si="51"/>
        <v>0</v>
      </c>
      <c r="AV49" s="93">
        <f t="shared" si="51"/>
        <v>0</v>
      </c>
      <c r="AW49" s="93">
        <f t="shared" ca="1" si="51"/>
        <v>0</v>
      </c>
      <c r="BB49" s="94" t="e">
        <v>#REF!</v>
      </c>
    </row>
    <row r="50" spans="1:54" s="20" customFormat="1" ht="18" customHeight="1">
      <c r="A50" s="514"/>
      <c r="B50" s="511"/>
      <c r="C50" s="508"/>
      <c r="D50" s="96" t="str">
        <f>D49</f>
        <v>MEC</v>
      </c>
      <c r="E50" s="97" t="str">
        <f>E49</f>
        <v>RFQ-014</v>
      </c>
      <c r="F50" s="98" t="str">
        <f>F49</f>
        <v>N</v>
      </c>
      <c r="G50" s="505"/>
      <c r="H50" s="124" t="str">
        <f>H49</f>
        <v>Closed Drain Sump Pump</v>
      </c>
      <c r="I50" s="97" t="str">
        <f>I49</f>
        <v>LA</v>
      </c>
      <c r="J50" s="98"/>
      <c r="K50" s="100"/>
      <c r="L50" s="100">
        <f>M51</f>
        <v>0.01</v>
      </c>
      <c r="M50" s="100"/>
      <c r="N50" s="97"/>
      <c r="O50" s="97"/>
      <c r="P50" s="97"/>
      <c r="Q50" s="101" t="s">
        <v>4860</v>
      </c>
      <c r="R50" s="102">
        <f>R49</f>
        <v>46215</v>
      </c>
      <c r="S50" s="102" t="e">
        <f>S49</f>
        <v>#REF!</v>
      </c>
      <c r="T50" s="103" t="e">
        <f>T49</f>
        <v>#REF!</v>
      </c>
      <c r="U50" s="103" t="e">
        <f t="shared" ref="U50:Z50" si="52">WORKDAY(IF(T51="",T50,T51),INDEX(U$2:U$5,MATCH($I49,$I$2:$I$5,0)),$BB$10:$BB$141)</f>
        <v>#REF!</v>
      </c>
      <c r="V50" s="103" t="e">
        <f t="shared" si="52"/>
        <v>#REF!</v>
      </c>
      <c r="W50" s="103" t="e">
        <f t="shared" si="52"/>
        <v>#REF!</v>
      </c>
      <c r="X50" s="103" t="e">
        <f t="shared" si="52"/>
        <v>#REF!</v>
      </c>
      <c r="Y50" s="103" t="e">
        <f t="shared" si="52"/>
        <v>#REF!</v>
      </c>
      <c r="Z50" s="103" t="e">
        <f t="shared" si="52"/>
        <v>#REF!</v>
      </c>
      <c r="AA50" s="103" t="e">
        <f>WORKDAY(IF(Z51="",X50,Z51),INDEX(AA$2:AA$5,MATCH($I49,$I$2:$I$5,0)),$BB$10:$BB$141)</f>
        <v>#REF!</v>
      </c>
      <c r="AB50" s="104" t="e">
        <f>WORKDAY(AE49+#REF!,0,'[35]Equipment List and MR List (3)'!$A$2:$A$80)</f>
        <v>#REF!</v>
      </c>
      <c r="AC50" s="502"/>
      <c r="AD50" s="105"/>
      <c r="AE50" s="499"/>
      <c r="AF50" s="493"/>
      <c r="AG50" s="490"/>
      <c r="AH50" s="106"/>
      <c r="AI50" s="107"/>
      <c r="AJ50" s="487"/>
      <c r="AK50" s="108"/>
      <c r="AL50" s="109"/>
      <c r="AM50" s="92">
        <f t="shared" ref="AM50:AW50" si="53">IF(ISERROR(LOOKUP(AM$6,$S50:$AB50,$S$9:$AB$9)),0,(LOOKUP(AM$6,$S50:$AB50,$S$9:$AB$9)))</f>
        <v>0</v>
      </c>
      <c r="AN50" s="93">
        <f t="shared" si="53"/>
        <v>0</v>
      </c>
      <c r="AO50" s="93">
        <f t="shared" si="53"/>
        <v>0</v>
      </c>
      <c r="AP50" s="93">
        <f t="shared" si="53"/>
        <v>0</v>
      </c>
      <c r="AQ50" s="93">
        <f t="shared" si="53"/>
        <v>0</v>
      </c>
      <c r="AR50" s="93">
        <f t="shared" si="53"/>
        <v>0</v>
      </c>
      <c r="AS50" s="93">
        <f t="shared" si="53"/>
        <v>0</v>
      </c>
      <c r="AT50" s="93">
        <f t="shared" si="53"/>
        <v>0</v>
      </c>
      <c r="AU50" s="93">
        <f t="shared" si="53"/>
        <v>0</v>
      </c>
      <c r="AV50" s="93">
        <f t="shared" si="53"/>
        <v>0</v>
      </c>
      <c r="AW50" s="93">
        <f t="shared" ca="1" si="53"/>
        <v>0</v>
      </c>
      <c r="BB50" s="94" t="e">
        <v>#REF!</v>
      </c>
    </row>
    <row r="51" spans="1:54" s="20" customFormat="1" ht="18" customHeight="1">
      <c r="A51" s="515"/>
      <c r="B51" s="512"/>
      <c r="C51" s="509"/>
      <c r="D51" s="111" t="str">
        <f>D49</f>
        <v>MEC</v>
      </c>
      <c r="E51" s="112" t="str">
        <f>E49</f>
        <v>RFQ-014</v>
      </c>
      <c r="F51" s="113" t="str">
        <f>F49</f>
        <v>N</v>
      </c>
      <c r="G51" s="506"/>
      <c r="H51" s="124" t="str">
        <f>H49</f>
        <v>Closed Drain Sump Pump</v>
      </c>
      <c r="I51" s="112" t="str">
        <f>I49</f>
        <v>LA</v>
      </c>
      <c r="J51" s="113"/>
      <c r="K51" s="114"/>
      <c r="L51" s="114"/>
      <c r="M51" s="114">
        <v>0.01</v>
      </c>
      <c r="N51" s="112"/>
      <c r="O51" s="112"/>
      <c r="P51" s="112"/>
      <c r="Q51" s="115" t="s">
        <v>4861</v>
      </c>
      <c r="R51" s="126"/>
      <c r="S51" s="126"/>
      <c r="T51" s="126"/>
      <c r="U51" s="126"/>
      <c r="V51" s="126"/>
      <c r="W51" s="126"/>
      <c r="X51" s="126"/>
      <c r="Y51" s="126"/>
      <c r="Z51" s="126"/>
      <c r="AA51" s="126"/>
      <c r="AB51" s="126"/>
      <c r="AC51" s="503"/>
      <c r="AD51" s="116"/>
      <c r="AE51" s="499"/>
      <c r="AF51" s="494"/>
      <c r="AG51" s="491"/>
      <c r="AH51" s="117"/>
      <c r="AI51" s="118"/>
      <c r="AJ51" s="488"/>
      <c r="AK51" s="119"/>
      <c r="AL51" s="120"/>
      <c r="AM51" s="121">
        <f t="shared" ref="AM51:AW51" si="54">IF(ISERROR(LOOKUP(AM$6,$S51:$AB51,$S$9:$AB$9)),0,(LOOKUP(AM$6,$S51:$AB51,$S$9:$AB$9)))</f>
        <v>0</v>
      </c>
      <c r="AN51" s="122">
        <f t="shared" si="54"/>
        <v>0</v>
      </c>
      <c r="AO51" s="122">
        <f t="shared" si="54"/>
        <v>0</v>
      </c>
      <c r="AP51" s="122">
        <f t="shared" si="54"/>
        <v>0</v>
      </c>
      <c r="AQ51" s="122">
        <f t="shared" si="54"/>
        <v>0</v>
      </c>
      <c r="AR51" s="122">
        <f t="shared" si="54"/>
        <v>0</v>
      </c>
      <c r="AS51" s="122">
        <f t="shared" si="54"/>
        <v>0</v>
      </c>
      <c r="AT51" s="122">
        <f t="shared" si="54"/>
        <v>0</v>
      </c>
      <c r="AU51" s="122">
        <f t="shared" si="54"/>
        <v>0</v>
      </c>
      <c r="AV51" s="122">
        <f t="shared" si="54"/>
        <v>0</v>
      </c>
      <c r="AW51" s="122">
        <f t="shared" ca="1" si="54"/>
        <v>0</v>
      </c>
      <c r="BB51" s="94" t="e">
        <v>#REF!</v>
      </c>
    </row>
    <row r="52" spans="1:54" s="20" customFormat="1" ht="18" customHeight="1">
      <c r="A52" s="513">
        <f>A49+1</f>
        <v>15</v>
      </c>
      <c r="B52" s="79"/>
      <c r="C52" s="507" t="s">
        <v>4855</v>
      </c>
      <c r="D52" s="80" t="s">
        <v>4856</v>
      </c>
      <c r="E52" s="81" t="s">
        <v>4755</v>
      </c>
      <c r="F52" s="82" t="s">
        <v>75</v>
      </c>
      <c r="G52" s="504" t="s">
        <v>4880</v>
      </c>
      <c r="H52" s="82" t="s">
        <v>4756</v>
      </c>
      <c r="I52" s="81" t="s">
        <v>6</v>
      </c>
      <c r="J52" s="82"/>
      <c r="K52" s="84">
        <f>M54</f>
        <v>0.01</v>
      </c>
      <c r="L52" s="84"/>
      <c r="M52" s="84"/>
      <c r="N52" s="81"/>
      <c r="O52" s="81"/>
      <c r="P52" s="81"/>
      <c r="Q52" s="85" t="s">
        <v>4858</v>
      </c>
      <c r="R52" s="86">
        <f>'Before Award'!U59+5</f>
        <v>46302</v>
      </c>
      <c r="S52" s="86" t="e">
        <f>WORKDAY(R52,INDEX(S$2:S$5,MATCH($I52,$I$2:$I$5,0)),$BB$10:$BB$141)</f>
        <v>#REF!</v>
      </c>
      <c r="T52" s="86" t="e">
        <f>WORKDAY(S52,INDEX(T$2:T$5,MATCH($I52,$I$2:$I$5,0)),$BB$10:$BB$141)</f>
        <v>#REF!</v>
      </c>
      <c r="U52" s="86" t="e">
        <f>T52+30</f>
        <v>#REF!</v>
      </c>
      <c r="V52" s="86"/>
      <c r="W52" s="86">
        <f>AB52-35</f>
        <v>46486</v>
      </c>
      <c r="X52" s="86"/>
      <c r="Y52" s="86"/>
      <c r="Z52" s="86"/>
      <c r="AA52" s="86"/>
      <c r="AB52" s="86">
        <f>'Before Award'!X59</f>
        <v>46521</v>
      </c>
      <c r="AC52" s="501" t="s">
        <v>4859</v>
      </c>
      <c r="AD52" s="87">
        <v>14</v>
      </c>
      <c r="AE52" s="500">
        <f>32*7</f>
        <v>224</v>
      </c>
      <c r="AF52" s="492" t="e">
        <f>AB53</f>
        <v>#REF!</v>
      </c>
      <c r="AG52" s="489">
        <f>WORKDAY(AH52+1,-1,$BA$10:$BA$141)</f>
        <v>46521</v>
      </c>
      <c r="AH52" s="88">
        <v>46522</v>
      </c>
      <c r="AI52" s="89"/>
      <c r="AJ52" s="486" t="e">
        <f>AG52-AF52</f>
        <v>#REF!</v>
      </c>
      <c r="AK52" s="90"/>
      <c r="AL52" s="91"/>
      <c r="AM52" s="92">
        <f t="shared" ref="AM52:AW52" si="55">IF(ISERROR(LOOKUP(AM$6,$S52:$AB52,$S$9:$AB$9)),0,(LOOKUP(AM$6,$S52:$AB52,$S$9:$AB$9)))</f>
        <v>0</v>
      </c>
      <c r="AN52" s="93">
        <f t="shared" si="55"/>
        <v>0</v>
      </c>
      <c r="AO52" s="93">
        <f t="shared" si="55"/>
        <v>0</v>
      </c>
      <c r="AP52" s="93">
        <f t="shared" si="55"/>
        <v>0</v>
      </c>
      <c r="AQ52" s="93">
        <f t="shared" si="55"/>
        <v>0</v>
      </c>
      <c r="AR52" s="93">
        <f t="shared" si="55"/>
        <v>0</v>
      </c>
      <c r="AS52" s="93">
        <f t="shared" si="55"/>
        <v>0</v>
      </c>
      <c r="AT52" s="93">
        <f t="shared" si="55"/>
        <v>0</v>
      </c>
      <c r="AU52" s="93">
        <f t="shared" si="55"/>
        <v>0</v>
      </c>
      <c r="AV52" s="93">
        <f t="shared" si="55"/>
        <v>0</v>
      </c>
      <c r="AW52" s="93">
        <f t="shared" ca="1" si="55"/>
        <v>0</v>
      </c>
      <c r="BB52" s="94" t="e">
        <v>#REF!</v>
      </c>
    </row>
    <row r="53" spans="1:54" s="20" customFormat="1" ht="18" customHeight="1">
      <c r="A53" s="514"/>
      <c r="B53" s="95"/>
      <c r="C53" s="508"/>
      <c r="D53" s="96" t="str">
        <f>D52</f>
        <v>MEC</v>
      </c>
      <c r="E53" s="97" t="str">
        <f>E52</f>
        <v>RFQ-015</v>
      </c>
      <c r="F53" s="98" t="str">
        <f>F52</f>
        <v>N</v>
      </c>
      <c r="G53" s="505"/>
      <c r="H53" s="98" t="str">
        <f>H52</f>
        <v>Diesel Transfer Pump</v>
      </c>
      <c r="I53" s="97" t="str">
        <f>I52</f>
        <v>LA</v>
      </c>
      <c r="J53" s="98"/>
      <c r="K53" s="100"/>
      <c r="L53" s="100">
        <f>M54</f>
        <v>0.01</v>
      </c>
      <c r="M53" s="100"/>
      <c r="N53" s="97"/>
      <c r="O53" s="97"/>
      <c r="P53" s="97"/>
      <c r="Q53" s="101" t="s">
        <v>4860</v>
      </c>
      <c r="R53" s="102">
        <f>R52</f>
        <v>46302</v>
      </c>
      <c r="S53" s="102" t="e">
        <f>S52</f>
        <v>#REF!</v>
      </c>
      <c r="T53" s="103" t="e">
        <f>T52</f>
        <v>#REF!</v>
      </c>
      <c r="U53" s="103" t="e">
        <f t="shared" ref="U53:Z53" si="56">WORKDAY(IF(T54="",T53,T54),INDEX(U$2:U$5,MATCH($I52,$I$2:$I$5,0)),$BB$10:$BB$141)</f>
        <v>#REF!</v>
      </c>
      <c r="V53" s="103" t="e">
        <f t="shared" si="56"/>
        <v>#REF!</v>
      </c>
      <c r="W53" s="103" t="e">
        <f t="shared" si="56"/>
        <v>#REF!</v>
      </c>
      <c r="X53" s="103" t="e">
        <f t="shared" si="56"/>
        <v>#REF!</v>
      </c>
      <c r="Y53" s="103" t="e">
        <f t="shared" si="56"/>
        <v>#REF!</v>
      </c>
      <c r="Z53" s="103" t="e">
        <f t="shared" si="56"/>
        <v>#REF!</v>
      </c>
      <c r="AA53" s="103" t="e">
        <f>WORKDAY(IF(Z54="",X53,Z54),INDEX(AA$2:AA$5,MATCH($I52,$I$2:$I$5,0)),$BB$10:$BB$141)</f>
        <v>#REF!</v>
      </c>
      <c r="AB53" s="104" t="e">
        <f>WORKDAY(AE52+#REF!,0,'[35]Equipment List and MR List (3)'!$A$2:$A$80)</f>
        <v>#REF!</v>
      </c>
      <c r="AC53" s="502"/>
      <c r="AD53" s="105"/>
      <c r="AE53" s="500"/>
      <c r="AF53" s="493"/>
      <c r="AG53" s="490"/>
      <c r="AH53" s="106"/>
      <c r="AI53" s="107"/>
      <c r="AJ53" s="487"/>
      <c r="AK53" s="108"/>
      <c r="AL53" s="109"/>
      <c r="AM53" s="92">
        <f t="shared" ref="AM53:AW53" si="57">IF(ISERROR(LOOKUP(AM$6,$S53:$AB53,$S$9:$AB$9)),0,(LOOKUP(AM$6,$S53:$AB53,$S$9:$AB$9)))</f>
        <v>0</v>
      </c>
      <c r="AN53" s="93">
        <f t="shared" si="57"/>
        <v>0</v>
      </c>
      <c r="AO53" s="93">
        <f t="shared" si="57"/>
        <v>0</v>
      </c>
      <c r="AP53" s="93">
        <f t="shared" si="57"/>
        <v>0</v>
      </c>
      <c r="AQ53" s="93">
        <f t="shared" si="57"/>
        <v>0</v>
      </c>
      <c r="AR53" s="93">
        <f t="shared" si="57"/>
        <v>0</v>
      </c>
      <c r="AS53" s="93">
        <f t="shared" si="57"/>
        <v>0</v>
      </c>
      <c r="AT53" s="93">
        <f t="shared" si="57"/>
        <v>0</v>
      </c>
      <c r="AU53" s="93">
        <f t="shared" si="57"/>
        <v>0</v>
      </c>
      <c r="AV53" s="93">
        <f t="shared" si="57"/>
        <v>0</v>
      </c>
      <c r="AW53" s="93">
        <f t="shared" ca="1" si="57"/>
        <v>0</v>
      </c>
      <c r="BB53" s="94" t="e">
        <v>#REF!</v>
      </c>
    </row>
    <row r="54" spans="1:54" s="20" customFormat="1" ht="18" customHeight="1">
      <c r="A54" s="515"/>
      <c r="B54" s="110"/>
      <c r="C54" s="509"/>
      <c r="D54" s="111" t="str">
        <f>D52</f>
        <v>MEC</v>
      </c>
      <c r="E54" s="112" t="str">
        <f>E52</f>
        <v>RFQ-015</v>
      </c>
      <c r="F54" s="113" t="str">
        <f>F52</f>
        <v>N</v>
      </c>
      <c r="G54" s="506"/>
      <c r="H54" s="113" t="str">
        <f>H52</f>
        <v>Diesel Transfer Pump</v>
      </c>
      <c r="I54" s="112" t="str">
        <f>I52</f>
        <v>LA</v>
      </c>
      <c r="J54" s="113"/>
      <c r="K54" s="114"/>
      <c r="L54" s="114"/>
      <c r="M54" s="114">
        <v>0.01</v>
      </c>
      <c r="N54" s="112"/>
      <c r="O54" s="112"/>
      <c r="P54" s="112"/>
      <c r="Q54" s="115" t="s">
        <v>4861</v>
      </c>
      <c r="R54" s="115"/>
      <c r="S54" s="126"/>
      <c r="T54" s="126"/>
      <c r="U54" s="126"/>
      <c r="V54" s="126"/>
      <c r="W54" s="126"/>
      <c r="X54" s="126"/>
      <c r="Y54" s="126"/>
      <c r="Z54" s="126"/>
      <c r="AA54" s="126"/>
      <c r="AB54" s="126"/>
      <c r="AC54" s="503"/>
      <c r="AD54" s="116"/>
      <c r="AE54" s="500"/>
      <c r="AF54" s="494"/>
      <c r="AG54" s="491"/>
      <c r="AH54" s="117"/>
      <c r="AI54" s="118"/>
      <c r="AJ54" s="488"/>
      <c r="AK54" s="119"/>
      <c r="AL54" s="120"/>
      <c r="AM54" s="121">
        <f t="shared" ref="AM54:AW54" si="58">IF(ISERROR(LOOKUP(AM$6,$S54:$AB54,$S$9:$AB$9)),0,(LOOKUP(AM$6,$S54:$AB54,$S$9:$AB$9)))</f>
        <v>0</v>
      </c>
      <c r="AN54" s="122">
        <f t="shared" si="58"/>
        <v>0</v>
      </c>
      <c r="AO54" s="122">
        <f t="shared" si="58"/>
        <v>0</v>
      </c>
      <c r="AP54" s="122">
        <f t="shared" si="58"/>
        <v>0</v>
      </c>
      <c r="AQ54" s="122">
        <f t="shared" si="58"/>
        <v>0</v>
      </c>
      <c r="AR54" s="122">
        <f t="shared" si="58"/>
        <v>0</v>
      </c>
      <c r="AS54" s="122">
        <f t="shared" si="58"/>
        <v>0</v>
      </c>
      <c r="AT54" s="122">
        <f t="shared" si="58"/>
        <v>0</v>
      </c>
      <c r="AU54" s="122">
        <f t="shared" si="58"/>
        <v>0</v>
      </c>
      <c r="AV54" s="122">
        <f t="shared" si="58"/>
        <v>0</v>
      </c>
      <c r="AW54" s="122">
        <f t="shared" ca="1" si="58"/>
        <v>0</v>
      </c>
      <c r="BB54" s="94" t="e">
        <v>#REF!</v>
      </c>
    </row>
    <row r="55" spans="1:54" s="20" customFormat="1" ht="18" customHeight="1">
      <c r="A55" s="513">
        <f>A52+1</f>
        <v>16</v>
      </c>
      <c r="B55" s="79"/>
      <c r="C55" s="507" t="s">
        <v>4855</v>
      </c>
      <c r="D55" s="80" t="s">
        <v>4856</v>
      </c>
      <c r="E55" s="81" t="s">
        <v>4757</v>
      </c>
      <c r="F55" s="82" t="s">
        <v>75</v>
      </c>
      <c r="G55" s="504" t="s">
        <v>4881</v>
      </c>
      <c r="H55" s="82" t="s">
        <v>4758</v>
      </c>
      <c r="I55" s="81" t="s">
        <v>6</v>
      </c>
      <c r="J55" s="82"/>
      <c r="K55" s="84">
        <f>M57</f>
        <v>5.0000000000000001E-4</v>
      </c>
      <c r="L55" s="84"/>
      <c r="M55" s="84"/>
      <c r="N55" s="81"/>
      <c r="O55" s="81"/>
      <c r="P55" s="81"/>
      <c r="Q55" s="85" t="s">
        <v>4858</v>
      </c>
      <c r="R55" s="86">
        <f>'Before Award'!U62+5</f>
        <v>46258</v>
      </c>
      <c r="S55" s="86" t="e">
        <f>WORKDAY(R55,INDEX(S$2:S$5,MATCH($I55,$I$2:$I$5,0)),$BB$10:$BB$141)</f>
        <v>#REF!</v>
      </c>
      <c r="T55" s="86" t="e">
        <f>WORKDAY(S55,INDEX(T$2:T$5,MATCH($I55,$I$2:$I$5,0)),$BB$10:$BB$141)</f>
        <v>#REF!</v>
      </c>
      <c r="U55" s="86" t="e">
        <f>T55+30</f>
        <v>#REF!</v>
      </c>
      <c r="V55" s="86"/>
      <c r="W55" s="86">
        <f>AB55-35</f>
        <v>46442</v>
      </c>
      <c r="X55" s="86"/>
      <c r="Y55" s="86"/>
      <c r="Z55" s="86"/>
      <c r="AA55" s="86"/>
      <c r="AB55" s="86">
        <f>'Before Award'!X62</f>
        <v>46477</v>
      </c>
      <c r="AC55" s="501" t="s">
        <v>4859</v>
      </c>
      <c r="AD55" s="87">
        <v>14</v>
      </c>
      <c r="AE55" s="500">
        <f>32*7</f>
        <v>224</v>
      </c>
      <c r="AF55" s="492" t="e">
        <f>AB56</f>
        <v>#REF!</v>
      </c>
      <c r="AG55" s="489">
        <f>WORKDAY(AH55+1,-1,$BA$10:$BA$141)</f>
        <v>46477</v>
      </c>
      <c r="AH55" s="88">
        <v>46477</v>
      </c>
      <c r="AI55" s="89"/>
      <c r="AJ55" s="486" t="e">
        <f>AG55-AF55</f>
        <v>#REF!</v>
      </c>
      <c r="AK55" s="90"/>
      <c r="AL55" s="91"/>
      <c r="AM55" s="92">
        <f t="shared" ref="AM55:AW55" si="59">IF(ISERROR(LOOKUP(AM$6,$S55:$AB55,$S$9:$AB$9)),0,(LOOKUP(AM$6,$S55:$AB55,$S$9:$AB$9)))</f>
        <v>0</v>
      </c>
      <c r="AN55" s="93">
        <f t="shared" si="59"/>
        <v>0</v>
      </c>
      <c r="AO55" s="93">
        <f t="shared" si="59"/>
        <v>0</v>
      </c>
      <c r="AP55" s="93">
        <f t="shared" si="59"/>
        <v>0</v>
      </c>
      <c r="AQ55" s="93">
        <f t="shared" si="59"/>
        <v>0</v>
      </c>
      <c r="AR55" s="93">
        <f t="shared" si="59"/>
        <v>0</v>
      </c>
      <c r="AS55" s="93">
        <f t="shared" si="59"/>
        <v>0</v>
      </c>
      <c r="AT55" s="93">
        <f t="shared" si="59"/>
        <v>0</v>
      </c>
      <c r="AU55" s="93">
        <f t="shared" si="59"/>
        <v>0</v>
      </c>
      <c r="AV55" s="93">
        <f t="shared" si="59"/>
        <v>0</v>
      </c>
      <c r="AW55" s="93">
        <f t="shared" ca="1" si="59"/>
        <v>0</v>
      </c>
      <c r="BB55" s="94" t="e">
        <v>#REF!</v>
      </c>
    </row>
    <row r="56" spans="1:54" s="20" customFormat="1" ht="18" customHeight="1">
      <c r="A56" s="514"/>
      <c r="B56" s="95"/>
      <c r="C56" s="508"/>
      <c r="D56" s="96" t="str">
        <f>D55</f>
        <v>MEC</v>
      </c>
      <c r="E56" s="97" t="str">
        <f>E55</f>
        <v>RFQ-016</v>
      </c>
      <c r="F56" s="98" t="str">
        <f>F55</f>
        <v>N</v>
      </c>
      <c r="G56" s="505"/>
      <c r="H56" s="98" t="str">
        <f>H55</f>
        <v>Open Drain Caisson Pump</v>
      </c>
      <c r="I56" s="97" t="str">
        <f>I55</f>
        <v>LA</v>
      </c>
      <c r="J56" s="98"/>
      <c r="K56" s="100"/>
      <c r="L56" s="100">
        <f>M57</f>
        <v>5.0000000000000001E-4</v>
      </c>
      <c r="M56" s="100"/>
      <c r="N56" s="97"/>
      <c r="O56" s="97"/>
      <c r="P56" s="97"/>
      <c r="Q56" s="101" t="s">
        <v>4860</v>
      </c>
      <c r="R56" s="102">
        <f>R55</f>
        <v>46258</v>
      </c>
      <c r="S56" s="102" t="e">
        <f>S55</f>
        <v>#REF!</v>
      </c>
      <c r="T56" s="103" t="e">
        <f>T55</f>
        <v>#REF!</v>
      </c>
      <c r="U56" s="103" t="e">
        <f t="shared" ref="U56:Z56" si="60">WORKDAY(IF(T57="",T56,T57),INDEX(U$2:U$5,MATCH($I55,$I$2:$I$5,0)),$BB$10:$BB$141)</f>
        <v>#REF!</v>
      </c>
      <c r="V56" s="103" t="e">
        <f t="shared" si="60"/>
        <v>#REF!</v>
      </c>
      <c r="W56" s="103" t="e">
        <f t="shared" si="60"/>
        <v>#REF!</v>
      </c>
      <c r="X56" s="103" t="e">
        <f t="shared" si="60"/>
        <v>#REF!</v>
      </c>
      <c r="Y56" s="103" t="e">
        <f t="shared" si="60"/>
        <v>#REF!</v>
      </c>
      <c r="Z56" s="103" t="e">
        <f t="shared" si="60"/>
        <v>#REF!</v>
      </c>
      <c r="AA56" s="103" t="e">
        <f>WORKDAY(IF(Z57="",X56,Z57),INDEX(AA$2:AA$5,MATCH($I55,$I$2:$I$5,0)),$BB$10:$BB$141)</f>
        <v>#REF!</v>
      </c>
      <c r="AB56" s="104" t="e">
        <f>WORKDAY(AE55+#REF!,0,'[35]Equipment List and MR List (3)'!$A$2:$A$80)</f>
        <v>#REF!</v>
      </c>
      <c r="AC56" s="502"/>
      <c r="AD56" s="105"/>
      <c r="AE56" s="500"/>
      <c r="AF56" s="493"/>
      <c r="AG56" s="490"/>
      <c r="AH56" s="106"/>
      <c r="AI56" s="107"/>
      <c r="AJ56" s="487"/>
      <c r="AK56" s="108"/>
      <c r="AL56" s="109"/>
      <c r="AM56" s="92">
        <f t="shared" ref="AM56:AW56" si="61">IF(ISERROR(LOOKUP(AM$6,$S56:$AB56,$S$9:$AB$9)),0,(LOOKUP(AM$6,$S56:$AB56,$S$9:$AB$9)))</f>
        <v>0</v>
      </c>
      <c r="AN56" s="93">
        <f t="shared" si="61"/>
        <v>0</v>
      </c>
      <c r="AO56" s="93">
        <f t="shared" si="61"/>
        <v>0</v>
      </c>
      <c r="AP56" s="93">
        <f t="shared" si="61"/>
        <v>0</v>
      </c>
      <c r="AQ56" s="93">
        <f t="shared" si="61"/>
        <v>0</v>
      </c>
      <c r="AR56" s="93">
        <f t="shared" si="61"/>
        <v>0</v>
      </c>
      <c r="AS56" s="93">
        <f t="shared" si="61"/>
        <v>0</v>
      </c>
      <c r="AT56" s="93">
        <f t="shared" si="61"/>
        <v>0</v>
      </c>
      <c r="AU56" s="93">
        <f t="shared" si="61"/>
        <v>0</v>
      </c>
      <c r="AV56" s="93">
        <f t="shared" si="61"/>
        <v>0</v>
      </c>
      <c r="AW56" s="93">
        <f t="shared" ca="1" si="61"/>
        <v>0</v>
      </c>
      <c r="BB56" s="94" t="e">
        <v>#REF!</v>
      </c>
    </row>
    <row r="57" spans="1:54" s="20" customFormat="1" ht="18" customHeight="1">
      <c r="A57" s="515"/>
      <c r="B57" s="110"/>
      <c r="C57" s="509"/>
      <c r="D57" s="111" t="str">
        <f>D55</f>
        <v>MEC</v>
      </c>
      <c r="E57" s="112" t="str">
        <f>E55</f>
        <v>RFQ-016</v>
      </c>
      <c r="F57" s="113" t="str">
        <f>F55</f>
        <v>N</v>
      </c>
      <c r="G57" s="506"/>
      <c r="H57" s="113" t="str">
        <f>H55</f>
        <v>Open Drain Caisson Pump</v>
      </c>
      <c r="I57" s="112" t="str">
        <f>I55</f>
        <v>LA</v>
      </c>
      <c r="J57" s="113"/>
      <c r="K57" s="114"/>
      <c r="L57" s="114"/>
      <c r="M57" s="114">
        <v>5.0000000000000001E-4</v>
      </c>
      <c r="N57" s="112"/>
      <c r="O57" s="112"/>
      <c r="P57" s="112"/>
      <c r="Q57" s="115" t="s">
        <v>4861</v>
      </c>
      <c r="R57" s="115"/>
      <c r="S57" s="126"/>
      <c r="T57" s="126"/>
      <c r="U57" s="126"/>
      <c r="V57" s="126"/>
      <c r="W57" s="126"/>
      <c r="X57" s="126"/>
      <c r="Y57" s="126"/>
      <c r="Z57" s="126"/>
      <c r="AA57" s="126"/>
      <c r="AB57" s="126"/>
      <c r="AC57" s="503"/>
      <c r="AD57" s="116"/>
      <c r="AE57" s="500"/>
      <c r="AF57" s="494"/>
      <c r="AG57" s="491"/>
      <c r="AH57" s="117"/>
      <c r="AI57" s="118"/>
      <c r="AJ57" s="488"/>
      <c r="AK57" s="119"/>
      <c r="AL57" s="120"/>
      <c r="AM57" s="121">
        <f t="shared" ref="AM57:AW57" si="62">IF(ISERROR(LOOKUP(AM$6,$S57:$AB57,$S$9:$AB$9)),0,(LOOKUP(AM$6,$S57:$AB57,$S$9:$AB$9)))</f>
        <v>0</v>
      </c>
      <c r="AN57" s="122">
        <f t="shared" si="62"/>
        <v>0</v>
      </c>
      <c r="AO57" s="122">
        <f t="shared" si="62"/>
        <v>0</v>
      </c>
      <c r="AP57" s="122">
        <f t="shared" si="62"/>
        <v>0</v>
      </c>
      <c r="AQ57" s="122">
        <f t="shared" si="62"/>
        <v>0</v>
      </c>
      <c r="AR57" s="122">
        <f t="shared" si="62"/>
        <v>0</v>
      </c>
      <c r="AS57" s="122">
        <f t="shared" si="62"/>
        <v>0</v>
      </c>
      <c r="AT57" s="122">
        <f t="shared" si="62"/>
        <v>0</v>
      </c>
      <c r="AU57" s="122">
        <f t="shared" si="62"/>
        <v>0</v>
      </c>
      <c r="AV57" s="122">
        <f t="shared" si="62"/>
        <v>0</v>
      </c>
      <c r="AW57" s="122">
        <f t="shared" ca="1" si="62"/>
        <v>0</v>
      </c>
      <c r="BB57" s="94" t="e">
        <v>#REF!</v>
      </c>
    </row>
    <row r="58" spans="1:54" s="20" customFormat="1" ht="20.25" customHeight="1">
      <c r="A58" s="513">
        <f>A55+1</f>
        <v>17</v>
      </c>
      <c r="B58" s="79"/>
      <c r="C58" s="507" t="s">
        <v>4855</v>
      </c>
      <c r="D58" s="80" t="s">
        <v>4882</v>
      </c>
      <c r="E58" s="81" t="s">
        <v>4759</v>
      </c>
      <c r="F58" s="82" t="s">
        <v>75</v>
      </c>
      <c r="G58" s="504" t="s">
        <v>4883</v>
      </c>
      <c r="H58" s="82" t="s">
        <v>4760</v>
      </c>
      <c r="I58" s="81" t="s">
        <v>8</v>
      </c>
      <c r="J58" s="82"/>
      <c r="K58" s="84">
        <f>M60</f>
        <v>1E-3</v>
      </c>
      <c r="L58" s="84"/>
      <c r="M58" s="84"/>
      <c r="N58" s="81"/>
      <c r="O58" s="81"/>
      <c r="P58" s="81"/>
      <c r="Q58" s="85" t="s">
        <v>4858</v>
      </c>
      <c r="R58" s="86">
        <f>'Before Award'!U65+5</f>
        <v>46272</v>
      </c>
      <c r="S58" s="86" t="e">
        <f>WORKDAY(R58,INDEX(S$2:S$5,MATCH($I58,$I$2:$I$5,0)),$BB$10:$BB$141)</f>
        <v>#REF!</v>
      </c>
      <c r="T58" s="86" t="e">
        <f>WORKDAY(S58,INDEX(T$2:T$5,MATCH($I58,$I$2:$I$5,0)),$BB$10:$BB$141)</f>
        <v>#REF!</v>
      </c>
      <c r="U58" s="86" t="e">
        <f>T58+30</f>
        <v>#REF!</v>
      </c>
      <c r="V58" s="86"/>
      <c r="W58" s="86">
        <f>AB58-35</f>
        <v>46470</v>
      </c>
      <c r="X58" s="86"/>
      <c r="Y58" s="86"/>
      <c r="Z58" s="86"/>
      <c r="AA58" s="86"/>
      <c r="AB58" s="86">
        <f>'Before Award'!X65</f>
        <v>46505</v>
      </c>
      <c r="AC58" s="501" t="s">
        <v>4859</v>
      </c>
      <c r="AD58" s="87">
        <v>14</v>
      </c>
      <c r="AE58" s="500">
        <f>34*7</f>
        <v>238</v>
      </c>
      <c r="AF58" s="492" t="e">
        <f>AB59</f>
        <v>#REF!</v>
      </c>
      <c r="AG58" s="489">
        <f>WORKDAY(AH58+1,-1,$BA$10:$BA$141)</f>
        <v>46505</v>
      </c>
      <c r="AH58" s="88">
        <v>46505</v>
      </c>
      <c r="AI58" s="89"/>
      <c r="AJ58" s="486" t="e">
        <f>AG58-AF58</f>
        <v>#REF!</v>
      </c>
      <c r="AK58" s="90"/>
      <c r="AL58" s="91"/>
      <c r="AM58" s="92">
        <f t="shared" ref="AM58:AW58" si="63">IF(ISERROR(LOOKUP(AM$6,$S58:$AB58,$S$9:$AB$9)),0,(LOOKUP(AM$6,$S58:$AB58,$S$9:$AB$9)))</f>
        <v>0</v>
      </c>
      <c r="AN58" s="93">
        <f t="shared" si="63"/>
        <v>0</v>
      </c>
      <c r="AO58" s="93">
        <f t="shared" si="63"/>
        <v>0</v>
      </c>
      <c r="AP58" s="93">
        <f t="shared" si="63"/>
        <v>0</v>
      </c>
      <c r="AQ58" s="93">
        <f t="shared" si="63"/>
        <v>0</v>
      </c>
      <c r="AR58" s="93">
        <f t="shared" si="63"/>
        <v>0</v>
      </c>
      <c r="AS58" s="93">
        <f t="shared" si="63"/>
        <v>0</v>
      </c>
      <c r="AT58" s="93">
        <f t="shared" si="63"/>
        <v>0</v>
      </c>
      <c r="AU58" s="93">
        <f t="shared" si="63"/>
        <v>0</v>
      </c>
      <c r="AV58" s="93">
        <f t="shared" si="63"/>
        <v>0</v>
      </c>
      <c r="AW58" s="93">
        <f t="shared" ca="1" si="63"/>
        <v>0</v>
      </c>
      <c r="BB58" s="94" t="e">
        <v>#REF!</v>
      </c>
    </row>
    <row r="59" spans="1:54" s="20" customFormat="1" ht="20.25" customHeight="1">
      <c r="A59" s="514"/>
      <c r="B59" s="95"/>
      <c r="C59" s="508"/>
      <c r="D59" s="96" t="str">
        <f>D58</f>
        <v>ELE</v>
      </c>
      <c r="E59" s="97" t="str">
        <f>E58</f>
        <v>RFQ-017</v>
      </c>
      <c r="F59" s="98" t="str">
        <f>F58</f>
        <v>N</v>
      </c>
      <c r="G59" s="505"/>
      <c r="H59" s="98" t="str">
        <f>H58</f>
        <v>DC Distribution Board</v>
      </c>
      <c r="I59" s="97" t="str">
        <f>I58</f>
        <v>LC</v>
      </c>
      <c r="J59" s="98"/>
      <c r="K59" s="100"/>
      <c r="L59" s="100">
        <f>M60</f>
        <v>1E-3</v>
      </c>
      <c r="M59" s="100"/>
      <c r="N59" s="97"/>
      <c r="O59" s="97"/>
      <c r="P59" s="97"/>
      <c r="Q59" s="101" t="s">
        <v>4860</v>
      </c>
      <c r="R59" s="102">
        <f>R58</f>
        <v>46272</v>
      </c>
      <c r="S59" s="102" t="e">
        <f>S58</f>
        <v>#REF!</v>
      </c>
      <c r="T59" s="103" t="e">
        <f>T58</f>
        <v>#REF!</v>
      </c>
      <c r="U59" s="103" t="e">
        <f t="shared" ref="U59:Z59" si="64">WORKDAY(IF(T60="",T59,T60),INDEX(U$2:U$5,MATCH($I58,$I$2:$I$5,0)),$BB$10:$BB$141)</f>
        <v>#REF!</v>
      </c>
      <c r="V59" s="103" t="e">
        <f t="shared" si="64"/>
        <v>#REF!</v>
      </c>
      <c r="W59" s="103" t="e">
        <f t="shared" si="64"/>
        <v>#REF!</v>
      </c>
      <c r="X59" s="103" t="e">
        <f t="shared" si="64"/>
        <v>#REF!</v>
      </c>
      <c r="Y59" s="103" t="e">
        <f t="shared" si="64"/>
        <v>#REF!</v>
      </c>
      <c r="Z59" s="103" t="e">
        <f t="shared" si="64"/>
        <v>#REF!</v>
      </c>
      <c r="AA59" s="103" t="e">
        <f>WORKDAY(IF(Z60="",X59,Z60),INDEX(AA$2:AA$5,MATCH($I58,$I$2:$I$5,0)),$BB$10:$BB$141)</f>
        <v>#REF!</v>
      </c>
      <c r="AB59" s="104" t="e">
        <f>WORKDAY(AE58+#REF!,0,'[35]Equipment List and MR List (3)'!$A$2:$A$80)</f>
        <v>#REF!</v>
      </c>
      <c r="AC59" s="502"/>
      <c r="AD59" s="105"/>
      <c r="AE59" s="500"/>
      <c r="AF59" s="493"/>
      <c r="AG59" s="490"/>
      <c r="AH59" s="106"/>
      <c r="AI59" s="107"/>
      <c r="AJ59" s="487"/>
      <c r="AK59" s="108"/>
      <c r="AL59" s="109"/>
      <c r="AM59" s="92">
        <f t="shared" ref="AM59:AW59" si="65">IF(ISERROR(LOOKUP(AM$6,$S59:$AB59,$S$9:$AB$9)),0,(LOOKUP(AM$6,$S59:$AB59,$S$9:$AB$9)))</f>
        <v>0</v>
      </c>
      <c r="AN59" s="93">
        <f t="shared" si="65"/>
        <v>0</v>
      </c>
      <c r="AO59" s="93">
        <f t="shared" si="65"/>
        <v>0</v>
      </c>
      <c r="AP59" s="93">
        <f t="shared" si="65"/>
        <v>0</v>
      </c>
      <c r="AQ59" s="93">
        <f t="shared" si="65"/>
        <v>0</v>
      </c>
      <c r="AR59" s="93">
        <f t="shared" si="65"/>
        <v>0</v>
      </c>
      <c r="AS59" s="93">
        <f t="shared" si="65"/>
        <v>0</v>
      </c>
      <c r="AT59" s="93">
        <f t="shared" si="65"/>
        <v>0</v>
      </c>
      <c r="AU59" s="93">
        <f t="shared" si="65"/>
        <v>0</v>
      </c>
      <c r="AV59" s="93">
        <f t="shared" si="65"/>
        <v>0</v>
      </c>
      <c r="AW59" s="93">
        <f t="shared" ca="1" si="65"/>
        <v>0</v>
      </c>
      <c r="BB59" s="94" t="e">
        <v>#REF!</v>
      </c>
    </row>
    <row r="60" spans="1:54" s="20" customFormat="1" ht="20.25" customHeight="1">
      <c r="A60" s="515"/>
      <c r="B60" s="110"/>
      <c r="C60" s="509"/>
      <c r="D60" s="111" t="str">
        <f>D58</f>
        <v>ELE</v>
      </c>
      <c r="E60" s="112" t="str">
        <f>E58</f>
        <v>RFQ-017</v>
      </c>
      <c r="F60" s="113" t="str">
        <f>F58</f>
        <v>N</v>
      </c>
      <c r="G60" s="506"/>
      <c r="H60" s="113" t="str">
        <f>H58</f>
        <v>DC Distribution Board</v>
      </c>
      <c r="I60" s="112" t="str">
        <f>I58</f>
        <v>LC</v>
      </c>
      <c r="J60" s="113"/>
      <c r="K60" s="114"/>
      <c r="L60" s="114"/>
      <c r="M60" s="114">
        <v>1E-3</v>
      </c>
      <c r="N60" s="112"/>
      <c r="O60" s="112"/>
      <c r="P60" s="112"/>
      <c r="Q60" s="115" t="s">
        <v>4861</v>
      </c>
      <c r="R60" s="115"/>
      <c r="S60" s="126"/>
      <c r="T60" s="126"/>
      <c r="U60" s="126"/>
      <c r="V60" s="126"/>
      <c r="W60" s="126"/>
      <c r="X60" s="126"/>
      <c r="Y60" s="126"/>
      <c r="Z60" s="126"/>
      <c r="AA60" s="126"/>
      <c r="AB60" s="126"/>
      <c r="AC60" s="503"/>
      <c r="AD60" s="116"/>
      <c r="AE60" s="500"/>
      <c r="AF60" s="494"/>
      <c r="AG60" s="491"/>
      <c r="AH60" s="117"/>
      <c r="AI60" s="118"/>
      <c r="AJ60" s="488"/>
      <c r="AK60" s="119"/>
      <c r="AL60" s="120"/>
      <c r="AM60" s="121">
        <f t="shared" ref="AM60:AW60" si="66">IF(ISERROR(LOOKUP(AM$6,$S60:$AB60,$S$9:$AB$9)),0,(LOOKUP(AM$6,$S60:$AB60,$S$9:$AB$9)))</f>
        <v>0</v>
      </c>
      <c r="AN60" s="122">
        <f t="shared" si="66"/>
        <v>0</v>
      </c>
      <c r="AO60" s="122">
        <f t="shared" si="66"/>
        <v>0</v>
      </c>
      <c r="AP60" s="122">
        <f t="shared" si="66"/>
        <v>0</v>
      </c>
      <c r="AQ60" s="122">
        <f t="shared" si="66"/>
        <v>0</v>
      </c>
      <c r="AR60" s="122">
        <f t="shared" si="66"/>
        <v>0</v>
      </c>
      <c r="AS60" s="122">
        <f t="shared" si="66"/>
        <v>0</v>
      </c>
      <c r="AT60" s="122">
        <f t="shared" si="66"/>
        <v>0</v>
      </c>
      <c r="AU60" s="122">
        <f t="shared" si="66"/>
        <v>0</v>
      </c>
      <c r="AV60" s="122">
        <f t="shared" si="66"/>
        <v>0</v>
      </c>
      <c r="AW60" s="122">
        <f t="shared" ca="1" si="66"/>
        <v>0</v>
      </c>
      <c r="BB60" s="94" t="e">
        <v>#REF!</v>
      </c>
    </row>
    <row r="61" spans="1:54" s="20" customFormat="1" ht="22.5" customHeight="1">
      <c r="A61" s="513">
        <f>A58+1</f>
        <v>18</v>
      </c>
      <c r="B61" s="510" t="s">
        <v>4884</v>
      </c>
      <c r="C61" s="507" t="s">
        <v>4855</v>
      </c>
      <c r="D61" s="80" t="s">
        <v>4882</v>
      </c>
      <c r="E61" s="81" t="s">
        <v>4761</v>
      </c>
      <c r="F61" s="82" t="str">
        <f>IF(_xlfn.XLOOKUP(E61,'[35]Before Award'!D:D,'[35]Before Award'!AV:AV,"N/A")="N/A","N","Y")</f>
        <v>N</v>
      </c>
      <c r="G61" s="504" t="s">
        <v>4885</v>
      </c>
      <c r="H61" s="123" t="s">
        <v>125</v>
      </c>
      <c r="I61" s="81" t="s">
        <v>7</v>
      </c>
      <c r="J61" s="82"/>
      <c r="K61" s="84">
        <f>M63</f>
        <v>1E-3</v>
      </c>
      <c r="L61" s="84"/>
      <c r="M61" s="84"/>
      <c r="N61" s="81"/>
      <c r="O61" s="81"/>
      <c r="P61" s="81"/>
      <c r="Q61" s="85" t="s">
        <v>4858</v>
      </c>
      <c r="R61" s="86">
        <f>'Before Award'!U68+5</f>
        <v>46230</v>
      </c>
      <c r="S61" s="86" t="e">
        <f>WORKDAY(R61,INDEX(S$2:S$5,MATCH($I61,$I$2:$I$5,0)),$BB$10:$BB$141)</f>
        <v>#REF!</v>
      </c>
      <c r="T61" s="86" t="e">
        <f>WORKDAY(S61,INDEX(T$2:T$5,MATCH($I61,$I$2:$I$5,0)),$BB$10:$BB$141)</f>
        <v>#REF!</v>
      </c>
      <c r="U61" s="86" t="e">
        <f>T61+30</f>
        <v>#REF!</v>
      </c>
      <c r="V61" s="86"/>
      <c r="W61" s="86">
        <f>AB61-35</f>
        <v>46442</v>
      </c>
      <c r="X61" s="86"/>
      <c r="Y61" s="86"/>
      <c r="Z61" s="86"/>
      <c r="AA61" s="86"/>
      <c r="AB61" s="86">
        <f>'Before Award'!X68</f>
        <v>46477</v>
      </c>
      <c r="AC61" s="501" t="s">
        <v>4859</v>
      </c>
      <c r="AD61" s="87">
        <v>14</v>
      </c>
      <c r="AE61" s="499">
        <f>36*7</f>
        <v>252</v>
      </c>
      <c r="AF61" s="492" t="e">
        <f>AB62</f>
        <v>#REF!</v>
      </c>
      <c r="AG61" s="489">
        <f>WORKDAY(AH61+1,-1,$BA$10:$BA$141)</f>
        <v>46477</v>
      </c>
      <c r="AH61" s="88">
        <v>46477</v>
      </c>
      <c r="AI61" s="89"/>
      <c r="AJ61" s="486" t="e">
        <f>AG61-AF61</f>
        <v>#REF!</v>
      </c>
      <c r="AK61" s="90"/>
      <c r="AL61" s="91"/>
      <c r="AM61" s="92">
        <f t="shared" ref="AM61:AW61" si="67">IF(ISERROR(LOOKUP(AM$6,$S61:$AB61,$S$9:$AB$9)),0,(LOOKUP(AM$6,$S61:$AB61,$S$9:$AB$9)))</f>
        <v>0</v>
      </c>
      <c r="AN61" s="93">
        <f t="shared" si="67"/>
        <v>0</v>
      </c>
      <c r="AO61" s="93">
        <f t="shared" si="67"/>
        <v>0</v>
      </c>
      <c r="AP61" s="93">
        <f t="shared" si="67"/>
        <v>0</v>
      </c>
      <c r="AQ61" s="93">
        <f t="shared" si="67"/>
        <v>0</v>
      </c>
      <c r="AR61" s="93">
        <f t="shared" si="67"/>
        <v>0</v>
      </c>
      <c r="AS61" s="93">
        <f t="shared" si="67"/>
        <v>0</v>
      </c>
      <c r="AT61" s="93">
        <f t="shared" si="67"/>
        <v>0</v>
      </c>
      <c r="AU61" s="93">
        <f t="shared" si="67"/>
        <v>0</v>
      </c>
      <c r="AV61" s="93">
        <f t="shared" si="67"/>
        <v>0</v>
      </c>
      <c r="AW61" s="93">
        <f t="shared" ca="1" si="67"/>
        <v>0</v>
      </c>
      <c r="BB61" s="94" t="e">
        <v>#REF!</v>
      </c>
    </row>
    <row r="62" spans="1:54" s="20" customFormat="1" ht="22.5" customHeight="1">
      <c r="A62" s="514"/>
      <c r="B62" s="511"/>
      <c r="C62" s="508"/>
      <c r="D62" s="96" t="str">
        <f>D61</f>
        <v>ELE</v>
      </c>
      <c r="E62" s="97" t="str">
        <f>E61</f>
        <v>RFQ-018</v>
      </c>
      <c r="F62" s="98" t="str">
        <f>F61</f>
        <v>N</v>
      </c>
      <c r="G62" s="505"/>
      <c r="H62" s="124" t="str">
        <f>H61</f>
        <v>Solar Power System</v>
      </c>
      <c r="I62" s="97" t="str">
        <f>I61</f>
        <v>LB</v>
      </c>
      <c r="J62" s="98"/>
      <c r="K62" s="100"/>
      <c r="L62" s="100">
        <f>M63</f>
        <v>1E-3</v>
      </c>
      <c r="M62" s="100"/>
      <c r="N62" s="97"/>
      <c r="O62" s="97"/>
      <c r="P62" s="97"/>
      <c r="Q62" s="101" t="s">
        <v>4860</v>
      </c>
      <c r="R62" s="102">
        <f>R61</f>
        <v>46230</v>
      </c>
      <c r="S62" s="102" t="e">
        <f>S61</f>
        <v>#REF!</v>
      </c>
      <c r="T62" s="103" t="e">
        <f>T61</f>
        <v>#REF!</v>
      </c>
      <c r="U62" s="103" t="e">
        <f t="shared" ref="U62:Z62" si="68">WORKDAY(IF(T63="",T62,T63),INDEX(U$2:U$5,MATCH($I61,$I$2:$I$5,0)),$BB$10:$BB$141)</f>
        <v>#REF!</v>
      </c>
      <c r="V62" s="103" t="e">
        <f t="shared" si="68"/>
        <v>#REF!</v>
      </c>
      <c r="W62" s="103" t="e">
        <f t="shared" si="68"/>
        <v>#REF!</v>
      </c>
      <c r="X62" s="103" t="e">
        <f t="shared" si="68"/>
        <v>#REF!</v>
      </c>
      <c r="Y62" s="103" t="e">
        <f t="shared" si="68"/>
        <v>#REF!</v>
      </c>
      <c r="Z62" s="103" t="e">
        <f t="shared" si="68"/>
        <v>#REF!</v>
      </c>
      <c r="AA62" s="103" t="e">
        <f>WORKDAY(IF(Z63="",X62,Z63),INDEX(AA$2:AA$5,MATCH($I61,$I$2:$I$5,0)),$BB$10:$BB$141)</f>
        <v>#REF!</v>
      </c>
      <c r="AB62" s="104" t="e">
        <f>WORKDAY(AE61+#REF!,0,'[35]Equipment List and MR List (3)'!$A$2:$A$80)</f>
        <v>#REF!</v>
      </c>
      <c r="AC62" s="502"/>
      <c r="AD62" s="105"/>
      <c r="AE62" s="499"/>
      <c r="AF62" s="493"/>
      <c r="AG62" s="490"/>
      <c r="AH62" s="106"/>
      <c r="AI62" s="107"/>
      <c r="AJ62" s="487"/>
      <c r="AK62" s="108"/>
      <c r="AL62" s="109"/>
      <c r="AM62" s="92">
        <f t="shared" ref="AM62:AW62" si="69">IF(ISERROR(LOOKUP(AM$6,$S62:$AB62,$S$9:$AB$9)),0,(LOOKUP(AM$6,$S62:$AB62,$S$9:$AB$9)))</f>
        <v>0</v>
      </c>
      <c r="AN62" s="93">
        <f t="shared" si="69"/>
        <v>0</v>
      </c>
      <c r="AO62" s="93">
        <f t="shared" si="69"/>
        <v>0</v>
      </c>
      <c r="AP62" s="93">
        <f t="shared" si="69"/>
        <v>0</v>
      </c>
      <c r="AQ62" s="93">
        <f t="shared" si="69"/>
        <v>0</v>
      </c>
      <c r="AR62" s="93">
        <f t="shared" si="69"/>
        <v>0</v>
      </c>
      <c r="AS62" s="93">
        <f t="shared" si="69"/>
        <v>0</v>
      </c>
      <c r="AT62" s="93">
        <f t="shared" si="69"/>
        <v>0</v>
      </c>
      <c r="AU62" s="93">
        <f t="shared" si="69"/>
        <v>0</v>
      </c>
      <c r="AV62" s="93">
        <f t="shared" si="69"/>
        <v>0</v>
      </c>
      <c r="AW62" s="93">
        <f t="shared" ca="1" si="69"/>
        <v>0</v>
      </c>
      <c r="BB62" s="94" t="e">
        <v>#REF!</v>
      </c>
    </row>
    <row r="63" spans="1:54" s="20" customFormat="1" ht="15" customHeight="1">
      <c r="A63" s="515"/>
      <c r="B63" s="512"/>
      <c r="C63" s="509"/>
      <c r="D63" s="111" t="str">
        <f>D61</f>
        <v>ELE</v>
      </c>
      <c r="E63" s="112" t="str">
        <f>E61</f>
        <v>RFQ-018</v>
      </c>
      <c r="F63" s="113" t="str">
        <f>F61</f>
        <v>N</v>
      </c>
      <c r="G63" s="506"/>
      <c r="H63" s="124" t="str">
        <f>H61</f>
        <v>Solar Power System</v>
      </c>
      <c r="I63" s="112" t="str">
        <f>I61</f>
        <v>LB</v>
      </c>
      <c r="J63" s="113"/>
      <c r="K63" s="114"/>
      <c r="L63" s="114"/>
      <c r="M63" s="114">
        <v>1E-3</v>
      </c>
      <c r="N63" s="112"/>
      <c r="O63" s="112"/>
      <c r="P63" s="112"/>
      <c r="Q63" s="115" t="s">
        <v>4861</v>
      </c>
      <c r="R63" s="126"/>
      <c r="S63" s="126"/>
      <c r="T63" s="126"/>
      <c r="U63" s="126"/>
      <c r="V63" s="126"/>
      <c r="W63" s="126"/>
      <c r="X63" s="126"/>
      <c r="Y63" s="126"/>
      <c r="Z63" s="126"/>
      <c r="AA63" s="126"/>
      <c r="AB63" s="126"/>
      <c r="AC63" s="503"/>
      <c r="AD63" s="116"/>
      <c r="AE63" s="499"/>
      <c r="AF63" s="494"/>
      <c r="AG63" s="491"/>
      <c r="AH63" s="117"/>
      <c r="AI63" s="118"/>
      <c r="AJ63" s="488"/>
      <c r="AK63" s="119"/>
      <c r="AL63" s="120"/>
      <c r="AM63" s="121">
        <f t="shared" ref="AM63:AW63" si="70">IF(ISERROR(LOOKUP(AM$6,$S63:$AB63,$S$9:$AB$9)),0,(LOOKUP(AM$6,$S63:$AB63,$S$9:$AB$9)))</f>
        <v>0</v>
      </c>
      <c r="AN63" s="122">
        <f t="shared" si="70"/>
        <v>0</v>
      </c>
      <c r="AO63" s="122">
        <f t="shared" si="70"/>
        <v>0</v>
      </c>
      <c r="AP63" s="122">
        <f t="shared" si="70"/>
        <v>0</v>
      </c>
      <c r="AQ63" s="122">
        <f t="shared" si="70"/>
        <v>0</v>
      </c>
      <c r="AR63" s="122">
        <f t="shared" si="70"/>
        <v>0</v>
      </c>
      <c r="AS63" s="122">
        <f t="shared" si="70"/>
        <v>0</v>
      </c>
      <c r="AT63" s="122">
        <f t="shared" si="70"/>
        <v>0</v>
      </c>
      <c r="AU63" s="122">
        <f t="shared" si="70"/>
        <v>0</v>
      </c>
      <c r="AV63" s="122">
        <f t="shared" si="70"/>
        <v>0</v>
      </c>
      <c r="AW63" s="122">
        <f t="shared" ca="1" si="70"/>
        <v>0</v>
      </c>
      <c r="BB63" s="94" t="e">
        <v>#REF!</v>
      </c>
    </row>
    <row r="64" spans="1:54" s="20" customFormat="1" ht="18" customHeight="1">
      <c r="A64" s="513">
        <f>A61+1</f>
        <v>19</v>
      </c>
      <c r="B64" s="79"/>
      <c r="C64" s="507" t="s">
        <v>4855</v>
      </c>
      <c r="D64" s="80" t="s">
        <v>4882</v>
      </c>
      <c r="E64" s="81" t="s">
        <v>4762</v>
      </c>
      <c r="F64" s="82" t="s">
        <v>75</v>
      </c>
      <c r="G64" s="504" t="s">
        <v>4886</v>
      </c>
      <c r="H64" s="82" t="s">
        <v>128</v>
      </c>
      <c r="I64" s="81" t="s">
        <v>7</v>
      </c>
      <c r="J64" s="82"/>
      <c r="K64" s="84">
        <f>M66</f>
        <v>1.5E-3</v>
      </c>
      <c r="L64" s="84"/>
      <c r="M64" s="84"/>
      <c r="N64" s="81"/>
      <c r="O64" s="81"/>
      <c r="P64" s="81"/>
      <c r="Q64" s="85" t="s">
        <v>4858</v>
      </c>
      <c r="R64" s="86">
        <f>'Before Award'!U71+5</f>
        <v>46279</v>
      </c>
      <c r="S64" s="86" t="e">
        <f>WORKDAY(R64,INDEX(S$2:S$5,MATCH($I64,$I$2:$I$5,0)),$BB$10:$BB$141)</f>
        <v>#REF!</v>
      </c>
      <c r="T64" s="86" t="e">
        <f>WORKDAY(S64,INDEX(T$2:T$5,MATCH($I64,$I$2:$I$5,0)),$BB$10:$BB$141)</f>
        <v>#REF!</v>
      </c>
      <c r="U64" s="86" t="e">
        <f>T64+30</f>
        <v>#REF!</v>
      </c>
      <c r="V64" s="86"/>
      <c r="W64" s="86">
        <f>AB64-35</f>
        <v>46533</v>
      </c>
      <c r="X64" s="86"/>
      <c r="Y64" s="86"/>
      <c r="Z64" s="86"/>
      <c r="AA64" s="86"/>
      <c r="AB64" s="86">
        <f>'Before Award'!X71</f>
        <v>46568</v>
      </c>
      <c r="AC64" s="501" t="s">
        <v>4859</v>
      </c>
      <c r="AD64" s="87">
        <v>14</v>
      </c>
      <c r="AE64" s="500">
        <v>294</v>
      </c>
      <c r="AF64" s="492" t="e">
        <f>AB65</f>
        <v>#REF!</v>
      </c>
      <c r="AG64" s="489">
        <f>WORKDAY(AH64+1,-1,$BA$10:$BA$141)</f>
        <v>46598</v>
      </c>
      <c r="AH64" s="88">
        <v>46599</v>
      </c>
      <c r="AI64" s="89"/>
      <c r="AJ64" s="486" t="e">
        <f>AG64-AF64</f>
        <v>#REF!</v>
      </c>
      <c r="AK64" s="90"/>
      <c r="AL64" s="91"/>
      <c r="AM64" s="92">
        <f t="shared" ref="AM64:AW64" si="71">IF(ISERROR(LOOKUP(AM$6,$S64:$AB64,$S$9:$AB$9)),0,(LOOKUP(AM$6,$S64:$AB64,$S$9:$AB$9)))</f>
        <v>0</v>
      </c>
      <c r="AN64" s="93">
        <f t="shared" si="71"/>
        <v>0</v>
      </c>
      <c r="AO64" s="93">
        <f t="shared" si="71"/>
        <v>0</v>
      </c>
      <c r="AP64" s="93">
        <f t="shared" si="71"/>
        <v>0</v>
      </c>
      <c r="AQ64" s="93">
        <f t="shared" si="71"/>
        <v>0</v>
      </c>
      <c r="AR64" s="93">
        <f t="shared" si="71"/>
        <v>0</v>
      </c>
      <c r="AS64" s="93">
        <f t="shared" si="71"/>
        <v>0</v>
      </c>
      <c r="AT64" s="93">
        <f t="shared" si="71"/>
        <v>0</v>
      </c>
      <c r="AU64" s="93">
        <f t="shared" si="71"/>
        <v>0</v>
      </c>
      <c r="AV64" s="93">
        <f t="shared" si="71"/>
        <v>0</v>
      </c>
      <c r="AW64" s="93">
        <f t="shared" ca="1" si="71"/>
        <v>0</v>
      </c>
      <c r="BB64" s="94" t="e">
        <v>#REF!</v>
      </c>
    </row>
    <row r="65" spans="1:54" s="20" customFormat="1" ht="18" customHeight="1">
      <c r="A65" s="514"/>
      <c r="B65" s="95"/>
      <c r="C65" s="508"/>
      <c r="D65" s="96" t="str">
        <f>D64</f>
        <v>ELE</v>
      </c>
      <c r="E65" s="97" t="str">
        <f>E64</f>
        <v>RFQ-019</v>
      </c>
      <c r="F65" s="98" t="str">
        <f>F64</f>
        <v>N</v>
      </c>
      <c r="G65" s="505"/>
      <c r="H65" s="98" t="str">
        <f>H64</f>
        <v>Navigation Aid System</v>
      </c>
      <c r="I65" s="97" t="str">
        <f>I64</f>
        <v>LB</v>
      </c>
      <c r="J65" s="98"/>
      <c r="K65" s="100"/>
      <c r="L65" s="100">
        <f>M66</f>
        <v>1.5E-3</v>
      </c>
      <c r="M65" s="100"/>
      <c r="N65" s="97"/>
      <c r="O65" s="97"/>
      <c r="P65" s="97"/>
      <c r="Q65" s="101" t="s">
        <v>4860</v>
      </c>
      <c r="R65" s="102">
        <f>R64</f>
        <v>46279</v>
      </c>
      <c r="S65" s="102" t="e">
        <f>S64</f>
        <v>#REF!</v>
      </c>
      <c r="T65" s="103" t="e">
        <f>T64</f>
        <v>#REF!</v>
      </c>
      <c r="U65" s="103" t="e">
        <f t="shared" ref="U65:Z65" si="72">WORKDAY(IF(T66="",T65,T66),INDEX(U$2:U$5,MATCH($I64,$I$2:$I$5,0)),$BB$10:$BB$141)</f>
        <v>#REF!</v>
      </c>
      <c r="V65" s="103" t="e">
        <f t="shared" si="72"/>
        <v>#REF!</v>
      </c>
      <c r="W65" s="103" t="e">
        <f t="shared" si="72"/>
        <v>#REF!</v>
      </c>
      <c r="X65" s="103" t="e">
        <f t="shared" si="72"/>
        <v>#REF!</v>
      </c>
      <c r="Y65" s="103" t="e">
        <f t="shared" si="72"/>
        <v>#REF!</v>
      </c>
      <c r="Z65" s="103" t="e">
        <f t="shared" si="72"/>
        <v>#REF!</v>
      </c>
      <c r="AA65" s="103" t="e">
        <f>WORKDAY(IF(Z66="",X65,Z66),INDEX(AA$2:AA$5,MATCH($I64,$I$2:$I$5,0)),$BB$10:$BB$141)</f>
        <v>#REF!</v>
      </c>
      <c r="AB65" s="104" t="e">
        <f>WORKDAY(AE64+#REF!,0,'[35]Equipment List and MR List (3)'!$A$2:$A$80)</f>
        <v>#REF!</v>
      </c>
      <c r="AC65" s="502"/>
      <c r="AD65" s="105"/>
      <c r="AE65" s="500"/>
      <c r="AF65" s="493"/>
      <c r="AG65" s="490"/>
      <c r="AH65" s="106"/>
      <c r="AI65" s="107"/>
      <c r="AJ65" s="487"/>
      <c r="AK65" s="108"/>
      <c r="AL65" s="109"/>
      <c r="AM65" s="92">
        <f t="shared" ref="AM65:AW65" si="73">IF(ISERROR(LOOKUP(AM$6,$S65:$AB65,$S$9:$AB$9)),0,(LOOKUP(AM$6,$S65:$AB65,$S$9:$AB$9)))</f>
        <v>0</v>
      </c>
      <c r="AN65" s="93">
        <f t="shared" si="73"/>
        <v>0</v>
      </c>
      <c r="AO65" s="93">
        <f t="shared" si="73"/>
        <v>0</v>
      </c>
      <c r="AP65" s="93">
        <f t="shared" si="73"/>
        <v>0</v>
      </c>
      <c r="AQ65" s="93">
        <f t="shared" si="73"/>
        <v>0</v>
      </c>
      <c r="AR65" s="93">
        <f t="shared" si="73"/>
        <v>0</v>
      </c>
      <c r="AS65" s="93">
        <f t="shared" si="73"/>
        <v>0</v>
      </c>
      <c r="AT65" s="93">
        <f t="shared" si="73"/>
        <v>0</v>
      </c>
      <c r="AU65" s="93">
        <f t="shared" si="73"/>
        <v>0</v>
      </c>
      <c r="AV65" s="93">
        <f t="shared" si="73"/>
        <v>0</v>
      </c>
      <c r="AW65" s="93">
        <f t="shared" ca="1" si="73"/>
        <v>0</v>
      </c>
      <c r="BB65" s="94" t="e">
        <v>#REF!</v>
      </c>
    </row>
    <row r="66" spans="1:54" s="20" customFormat="1" ht="18" customHeight="1">
      <c r="A66" s="515"/>
      <c r="B66" s="110"/>
      <c r="C66" s="509"/>
      <c r="D66" s="111" t="str">
        <f>D64</f>
        <v>ELE</v>
      </c>
      <c r="E66" s="112" t="str">
        <f>E64</f>
        <v>RFQ-019</v>
      </c>
      <c r="F66" s="113" t="str">
        <f>F64</f>
        <v>N</v>
      </c>
      <c r="G66" s="506"/>
      <c r="H66" s="113" t="str">
        <f>H64</f>
        <v>Navigation Aid System</v>
      </c>
      <c r="I66" s="112" t="str">
        <f>I64</f>
        <v>LB</v>
      </c>
      <c r="J66" s="113"/>
      <c r="K66" s="114"/>
      <c r="L66" s="114"/>
      <c r="M66" s="114">
        <v>1.5E-3</v>
      </c>
      <c r="N66" s="112"/>
      <c r="O66" s="112"/>
      <c r="P66" s="112"/>
      <c r="Q66" s="115" t="s">
        <v>4861</v>
      </c>
      <c r="R66" s="115"/>
      <c r="S66" s="126"/>
      <c r="T66" s="126"/>
      <c r="U66" s="126"/>
      <c r="V66" s="126"/>
      <c r="W66" s="126"/>
      <c r="X66" s="126"/>
      <c r="Y66" s="126"/>
      <c r="Z66" s="126"/>
      <c r="AA66" s="126"/>
      <c r="AB66" s="126"/>
      <c r="AC66" s="503"/>
      <c r="AD66" s="116"/>
      <c r="AE66" s="500"/>
      <c r="AF66" s="494"/>
      <c r="AG66" s="491"/>
      <c r="AH66" s="117"/>
      <c r="AI66" s="118"/>
      <c r="AJ66" s="488"/>
      <c r="AK66" s="119"/>
      <c r="AL66" s="120"/>
      <c r="AM66" s="121">
        <f t="shared" ref="AM66:AW66" si="74">IF(ISERROR(LOOKUP(AM$6,$S66:$AB66,$S$9:$AB$9)),0,(LOOKUP(AM$6,$S66:$AB66,$S$9:$AB$9)))</f>
        <v>0</v>
      </c>
      <c r="AN66" s="122">
        <f t="shared" si="74"/>
        <v>0</v>
      </c>
      <c r="AO66" s="122">
        <f t="shared" si="74"/>
        <v>0</v>
      </c>
      <c r="AP66" s="122">
        <f t="shared" si="74"/>
        <v>0</v>
      </c>
      <c r="AQ66" s="122">
        <f t="shared" si="74"/>
        <v>0</v>
      </c>
      <c r="AR66" s="122">
        <f t="shared" si="74"/>
        <v>0</v>
      </c>
      <c r="AS66" s="122">
        <f t="shared" si="74"/>
        <v>0</v>
      </c>
      <c r="AT66" s="122">
        <f t="shared" si="74"/>
        <v>0</v>
      </c>
      <c r="AU66" s="122">
        <f t="shared" si="74"/>
        <v>0</v>
      </c>
      <c r="AV66" s="122">
        <f t="shared" si="74"/>
        <v>0</v>
      </c>
      <c r="AW66" s="122">
        <f t="shared" ca="1" si="74"/>
        <v>0</v>
      </c>
      <c r="BB66" s="94" t="e">
        <v>#REF!</v>
      </c>
    </row>
    <row r="67" spans="1:54" s="20" customFormat="1" ht="18" customHeight="1">
      <c r="A67" s="513">
        <f>A64+1</f>
        <v>20</v>
      </c>
      <c r="B67" s="79"/>
      <c r="C67" s="507" t="s">
        <v>4855</v>
      </c>
      <c r="D67" s="80" t="s">
        <v>4882</v>
      </c>
      <c r="E67" s="81" t="s">
        <v>4763</v>
      </c>
      <c r="F67" s="82" t="s">
        <v>67</v>
      </c>
      <c r="G67" s="504" t="s">
        <v>4886</v>
      </c>
      <c r="H67" s="82" t="s">
        <v>131</v>
      </c>
      <c r="I67" s="81" t="s">
        <v>8</v>
      </c>
      <c r="J67" s="82"/>
      <c r="K67" s="84">
        <f>M69</f>
        <v>5.0000000000000001E-4</v>
      </c>
      <c r="L67" s="84"/>
      <c r="M67" s="84"/>
      <c r="N67" s="81"/>
      <c r="O67" s="81"/>
      <c r="P67" s="81"/>
      <c r="Q67" s="85" t="s">
        <v>4858</v>
      </c>
      <c r="R67" s="86">
        <f>'Before Award'!U74+5</f>
        <v>46274</v>
      </c>
      <c r="S67" s="86" t="e">
        <f>WORKDAY(R67,INDEX(S$2:S$5,MATCH($I67,$I$2:$I$5,0)),$BB$10:$BB$141)</f>
        <v>#REF!</v>
      </c>
      <c r="T67" s="86" t="e">
        <f>WORKDAY(S67,INDEX(T$2:T$5,MATCH($I67,$I$2:$I$5,0)),$BB$10:$BB$141)</f>
        <v>#REF!</v>
      </c>
      <c r="U67" s="86" t="e">
        <f>T67+30</f>
        <v>#REF!</v>
      </c>
      <c r="V67" s="86"/>
      <c r="W67" s="86">
        <f>AB67-35</f>
        <v>46486</v>
      </c>
      <c r="X67" s="86"/>
      <c r="Y67" s="86"/>
      <c r="Z67" s="86"/>
      <c r="AA67" s="86"/>
      <c r="AB67" s="86">
        <f>'Before Award'!X74</f>
        <v>46521</v>
      </c>
      <c r="AC67" s="501" t="s">
        <v>4859</v>
      </c>
      <c r="AD67" s="87">
        <v>14</v>
      </c>
      <c r="AE67" s="500">
        <f>36*7</f>
        <v>252</v>
      </c>
      <c r="AF67" s="492" t="e">
        <f>AB68</f>
        <v>#REF!</v>
      </c>
      <c r="AG67" s="489">
        <f>WORKDAY(AH67+1,-1,$BA$10:$BA$141)</f>
        <v>46521</v>
      </c>
      <c r="AH67" s="88">
        <v>46522</v>
      </c>
      <c r="AI67" s="89"/>
      <c r="AJ67" s="486" t="e">
        <f>AG67-AF67</f>
        <v>#REF!</v>
      </c>
      <c r="AK67" s="90"/>
      <c r="AL67" s="91"/>
      <c r="AM67" s="92">
        <f t="shared" ref="AM67:AW67" si="75">IF(ISERROR(LOOKUP(AM$6,$S67:$AB67,$S$9:$AB$9)),0,(LOOKUP(AM$6,$S67:$AB67,$S$9:$AB$9)))</f>
        <v>0</v>
      </c>
      <c r="AN67" s="93">
        <f t="shared" si="75"/>
        <v>0</v>
      </c>
      <c r="AO67" s="93">
        <f t="shared" si="75"/>
        <v>0</v>
      </c>
      <c r="AP67" s="93">
        <f t="shared" si="75"/>
        <v>0</v>
      </c>
      <c r="AQ67" s="93">
        <f t="shared" si="75"/>
        <v>0</v>
      </c>
      <c r="AR67" s="93">
        <f t="shared" si="75"/>
        <v>0</v>
      </c>
      <c r="AS67" s="93">
        <f t="shared" si="75"/>
        <v>0</v>
      </c>
      <c r="AT67" s="93">
        <f t="shared" si="75"/>
        <v>0</v>
      </c>
      <c r="AU67" s="93">
        <f t="shared" si="75"/>
        <v>0</v>
      </c>
      <c r="AV67" s="93">
        <f t="shared" si="75"/>
        <v>0</v>
      </c>
      <c r="AW67" s="93">
        <f t="shared" ca="1" si="75"/>
        <v>0</v>
      </c>
      <c r="BB67" s="94" t="e">
        <v>#REF!</v>
      </c>
    </row>
    <row r="68" spans="1:54" s="20" customFormat="1" ht="18" customHeight="1">
      <c r="A68" s="514"/>
      <c r="B68" s="95"/>
      <c r="C68" s="508"/>
      <c r="D68" s="96" t="str">
        <f>D67</f>
        <v>ELE</v>
      </c>
      <c r="E68" s="97" t="str">
        <f>E67</f>
        <v>RFQ-020</v>
      </c>
      <c r="F68" s="98" t="str">
        <f>F67</f>
        <v>Y</v>
      </c>
      <c r="G68" s="505"/>
      <c r="H68" s="98" t="str">
        <f>H67</f>
        <v>External Battery Charger</v>
      </c>
      <c r="I68" s="97" t="str">
        <f>I67</f>
        <v>LC</v>
      </c>
      <c r="J68" s="98"/>
      <c r="K68" s="100"/>
      <c r="L68" s="100">
        <f>M69</f>
        <v>5.0000000000000001E-4</v>
      </c>
      <c r="M68" s="100"/>
      <c r="N68" s="97"/>
      <c r="O68" s="97"/>
      <c r="P68" s="97"/>
      <c r="Q68" s="101" t="s">
        <v>4860</v>
      </c>
      <c r="R68" s="102">
        <f>R67</f>
        <v>46274</v>
      </c>
      <c r="S68" s="102" t="e">
        <f>S67</f>
        <v>#REF!</v>
      </c>
      <c r="T68" s="103" t="e">
        <f>T67</f>
        <v>#REF!</v>
      </c>
      <c r="U68" s="103" t="e">
        <f t="shared" ref="U68:Z68" si="76">WORKDAY(IF(T69="",T68,T69),INDEX(U$2:U$5,MATCH($I67,$I$2:$I$5,0)),$BB$10:$BB$141)</f>
        <v>#REF!</v>
      </c>
      <c r="V68" s="103" t="e">
        <f t="shared" si="76"/>
        <v>#REF!</v>
      </c>
      <c r="W68" s="103" t="e">
        <f t="shared" si="76"/>
        <v>#REF!</v>
      </c>
      <c r="X68" s="103" t="e">
        <f t="shared" si="76"/>
        <v>#REF!</v>
      </c>
      <c r="Y68" s="103" t="e">
        <f t="shared" si="76"/>
        <v>#REF!</v>
      </c>
      <c r="Z68" s="103" t="e">
        <f t="shared" si="76"/>
        <v>#REF!</v>
      </c>
      <c r="AA68" s="103" t="e">
        <f>WORKDAY(IF(Z69="",X68,Z69),INDEX(AA$2:AA$5,MATCH($I67,$I$2:$I$5,0)),$BB$10:$BB$141)</f>
        <v>#REF!</v>
      </c>
      <c r="AB68" s="104" t="e">
        <f>WORKDAY(AE67+#REF!,0,'[35]Equipment List and MR List (3)'!$A$2:$A$80)</f>
        <v>#REF!</v>
      </c>
      <c r="AC68" s="502"/>
      <c r="AD68" s="105"/>
      <c r="AE68" s="500"/>
      <c r="AF68" s="493"/>
      <c r="AG68" s="490"/>
      <c r="AH68" s="106"/>
      <c r="AI68" s="107"/>
      <c r="AJ68" s="487"/>
      <c r="AK68" s="108"/>
      <c r="AL68" s="109"/>
      <c r="AM68" s="92">
        <f t="shared" ref="AM68:AW68" si="77">IF(ISERROR(LOOKUP(AM$6,$S68:$AB68,$S$9:$AB$9)),0,(LOOKUP(AM$6,$S68:$AB68,$S$9:$AB$9)))</f>
        <v>0</v>
      </c>
      <c r="AN68" s="93">
        <f t="shared" si="77"/>
        <v>0</v>
      </c>
      <c r="AO68" s="93">
        <f t="shared" si="77"/>
        <v>0</v>
      </c>
      <c r="AP68" s="93">
        <f t="shared" si="77"/>
        <v>0</v>
      </c>
      <c r="AQ68" s="93">
        <f t="shared" si="77"/>
        <v>0</v>
      </c>
      <c r="AR68" s="93">
        <f t="shared" si="77"/>
        <v>0</v>
      </c>
      <c r="AS68" s="93">
        <f t="shared" si="77"/>
        <v>0</v>
      </c>
      <c r="AT68" s="93">
        <f t="shared" si="77"/>
        <v>0</v>
      </c>
      <c r="AU68" s="93">
        <f t="shared" si="77"/>
        <v>0</v>
      </c>
      <c r="AV68" s="93">
        <f t="shared" si="77"/>
        <v>0</v>
      </c>
      <c r="AW68" s="93">
        <f t="shared" ca="1" si="77"/>
        <v>0</v>
      </c>
      <c r="BB68" s="94" t="e">
        <v>#REF!</v>
      </c>
    </row>
    <row r="69" spans="1:54" s="20" customFormat="1" ht="18" customHeight="1">
      <c r="A69" s="515"/>
      <c r="B69" s="110"/>
      <c r="C69" s="509"/>
      <c r="D69" s="111" t="str">
        <f>D67</f>
        <v>ELE</v>
      </c>
      <c r="E69" s="112" t="str">
        <f>E67</f>
        <v>RFQ-020</v>
      </c>
      <c r="F69" s="113" t="str">
        <f>F67</f>
        <v>Y</v>
      </c>
      <c r="G69" s="506"/>
      <c r="H69" s="113" t="str">
        <f>H67</f>
        <v>External Battery Charger</v>
      </c>
      <c r="I69" s="112" t="str">
        <f>I67</f>
        <v>LC</v>
      </c>
      <c r="J69" s="113"/>
      <c r="K69" s="114"/>
      <c r="L69" s="114"/>
      <c r="M69" s="114">
        <v>5.0000000000000001E-4</v>
      </c>
      <c r="N69" s="112"/>
      <c r="O69" s="112"/>
      <c r="P69" s="112"/>
      <c r="Q69" s="115" t="s">
        <v>4861</v>
      </c>
      <c r="R69" s="115"/>
      <c r="S69" s="126"/>
      <c r="T69" s="126"/>
      <c r="U69" s="126"/>
      <c r="V69" s="126"/>
      <c r="W69" s="126"/>
      <c r="X69" s="126"/>
      <c r="Y69" s="126"/>
      <c r="Z69" s="126"/>
      <c r="AA69" s="126"/>
      <c r="AB69" s="126"/>
      <c r="AC69" s="503"/>
      <c r="AD69" s="116"/>
      <c r="AE69" s="500"/>
      <c r="AF69" s="494"/>
      <c r="AG69" s="491"/>
      <c r="AH69" s="117"/>
      <c r="AI69" s="118"/>
      <c r="AJ69" s="488"/>
      <c r="AK69" s="119"/>
      <c r="AL69" s="120"/>
      <c r="AM69" s="121">
        <f t="shared" ref="AM69:AW69" si="78">IF(ISERROR(LOOKUP(AM$6,$S69:$AB69,$S$9:$AB$9)),0,(LOOKUP(AM$6,$S69:$AB69,$S$9:$AB$9)))</f>
        <v>0</v>
      </c>
      <c r="AN69" s="122">
        <f t="shared" si="78"/>
        <v>0</v>
      </c>
      <c r="AO69" s="122">
        <f t="shared" si="78"/>
        <v>0</v>
      </c>
      <c r="AP69" s="122">
        <f t="shared" si="78"/>
        <v>0</v>
      </c>
      <c r="AQ69" s="122">
        <f t="shared" si="78"/>
        <v>0</v>
      </c>
      <c r="AR69" s="122">
        <f t="shared" si="78"/>
        <v>0</v>
      </c>
      <c r="AS69" s="122">
        <f t="shared" si="78"/>
        <v>0</v>
      </c>
      <c r="AT69" s="122">
        <f t="shared" si="78"/>
        <v>0</v>
      </c>
      <c r="AU69" s="122">
        <f t="shared" si="78"/>
        <v>0</v>
      </c>
      <c r="AV69" s="122">
        <f t="shared" si="78"/>
        <v>0</v>
      </c>
      <c r="AW69" s="122">
        <f t="shared" ca="1" si="78"/>
        <v>0</v>
      </c>
      <c r="BB69" s="94" t="e">
        <v>#REF!</v>
      </c>
    </row>
    <row r="70" spans="1:54" s="20" customFormat="1" ht="18" customHeight="1">
      <c r="A70" s="513">
        <f>A67+1</f>
        <v>21</v>
      </c>
      <c r="B70" s="79"/>
      <c r="C70" s="507" t="s">
        <v>4855</v>
      </c>
      <c r="D70" s="80" t="s">
        <v>4887</v>
      </c>
      <c r="E70" s="81" t="s">
        <v>4764</v>
      </c>
      <c r="F70" s="82" t="s">
        <v>75</v>
      </c>
      <c r="G70" s="504" t="s">
        <v>4888</v>
      </c>
      <c r="H70" s="82" t="s">
        <v>133</v>
      </c>
      <c r="I70" s="81" t="s">
        <v>7</v>
      </c>
      <c r="J70" s="82"/>
      <c r="K70" s="84">
        <f>M72</f>
        <v>0.01</v>
      </c>
      <c r="L70" s="84"/>
      <c r="M70" s="84"/>
      <c r="N70" s="81"/>
      <c r="O70" s="81"/>
      <c r="P70" s="81"/>
      <c r="Q70" s="85" t="s">
        <v>4858</v>
      </c>
      <c r="R70" s="86">
        <f>'Before Award'!U77+5</f>
        <v>46340</v>
      </c>
      <c r="S70" s="86" t="e">
        <f>WORKDAY(R70,INDEX(S$2:S$5,MATCH($I70,$I$2:$I$5,0)),$BB$10:$BB$141)</f>
        <v>#REF!</v>
      </c>
      <c r="T70" s="86" t="e">
        <f>WORKDAY(S70,INDEX(T$2:T$5,MATCH($I70,$I$2:$I$5,0)),$BB$10:$BB$141)</f>
        <v>#REF!</v>
      </c>
      <c r="U70" s="86" t="e">
        <f>T70+30</f>
        <v>#REF!</v>
      </c>
      <c r="V70" s="86"/>
      <c r="W70" s="86">
        <f>AB70-35</f>
        <v>46500</v>
      </c>
      <c r="X70" s="86"/>
      <c r="Y70" s="86"/>
      <c r="Z70" s="86"/>
      <c r="AA70" s="86"/>
      <c r="AB70" s="86">
        <f>'Before Award'!X77</f>
        <v>46535</v>
      </c>
      <c r="AC70" s="501" t="s">
        <v>4859</v>
      </c>
      <c r="AD70" s="87">
        <v>7</v>
      </c>
      <c r="AE70" s="500">
        <v>200</v>
      </c>
      <c r="AF70" s="492" t="e">
        <f>AB71</f>
        <v>#REF!</v>
      </c>
      <c r="AG70" s="489">
        <f>WORKDAY(AH70+1,-1,$BA$10:$BA$141)</f>
        <v>46535</v>
      </c>
      <c r="AH70" s="88">
        <v>46537</v>
      </c>
      <c r="AI70" s="89"/>
      <c r="AJ70" s="486" t="e">
        <f>AG70-AF70</f>
        <v>#REF!</v>
      </c>
      <c r="AK70" s="90"/>
      <c r="AL70" s="91"/>
      <c r="AM70" s="92">
        <f t="shared" ref="AM70:AW70" si="79">IF(ISERROR(LOOKUP(AM$6,$S70:$AB70,$S$9:$AB$9)),0,(LOOKUP(AM$6,$S70:$AB70,$S$9:$AB$9)))</f>
        <v>0</v>
      </c>
      <c r="AN70" s="93">
        <f t="shared" si="79"/>
        <v>0</v>
      </c>
      <c r="AO70" s="93">
        <f t="shared" si="79"/>
        <v>0</v>
      </c>
      <c r="AP70" s="93">
        <f t="shared" si="79"/>
        <v>0</v>
      </c>
      <c r="AQ70" s="93">
        <f t="shared" si="79"/>
        <v>0</v>
      </c>
      <c r="AR70" s="93">
        <f t="shared" si="79"/>
        <v>0</v>
      </c>
      <c r="AS70" s="93">
        <f t="shared" si="79"/>
        <v>0</v>
      </c>
      <c r="AT70" s="93">
        <f t="shared" si="79"/>
        <v>0</v>
      </c>
      <c r="AU70" s="93">
        <f t="shared" si="79"/>
        <v>0</v>
      </c>
      <c r="AV70" s="93">
        <f t="shared" si="79"/>
        <v>0</v>
      </c>
      <c r="AW70" s="93">
        <f t="shared" ca="1" si="79"/>
        <v>0</v>
      </c>
      <c r="BB70" s="94" t="e">
        <v>#REF!</v>
      </c>
    </row>
    <row r="71" spans="1:54" s="20" customFormat="1" ht="18" customHeight="1">
      <c r="A71" s="514"/>
      <c r="B71" s="95"/>
      <c r="C71" s="508"/>
      <c r="D71" s="96" t="str">
        <f>D70</f>
        <v>INS</v>
      </c>
      <c r="E71" s="97" t="str">
        <f>E70</f>
        <v>RFQ-021</v>
      </c>
      <c r="F71" s="98" t="str">
        <f>F70</f>
        <v>N</v>
      </c>
      <c r="G71" s="505"/>
      <c r="H71" s="98" t="str">
        <f>H70</f>
        <v>Control Valve</v>
      </c>
      <c r="I71" s="97" t="str">
        <f>I70</f>
        <v>LB</v>
      </c>
      <c r="J71" s="98"/>
      <c r="K71" s="100"/>
      <c r="L71" s="100">
        <f>M72</f>
        <v>0.01</v>
      </c>
      <c r="M71" s="100"/>
      <c r="N71" s="97"/>
      <c r="O71" s="97"/>
      <c r="P71" s="97"/>
      <c r="Q71" s="101" t="s">
        <v>4860</v>
      </c>
      <c r="R71" s="101"/>
      <c r="S71" s="102" t="e">
        <f>S70</f>
        <v>#REF!</v>
      </c>
      <c r="T71" s="103" t="e">
        <f>T70</f>
        <v>#REF!</v>
      </c>
      <c r="U71" s="103" t="e">
        <f t="shared" ref="U71:Z71" si="80">WORKDAY(IF(T72="",T71,T72),INDEX(U$2:U$5,MATCH($I70,$I$2:$I$5,0)),$BB$10:$BB$141)</f>
        <v>#REF!</v>
      </c>
      <c r="V71" s="103" t="e">
        <f t="shared" si="80"/>
        <v>#REF!</v>
      </c>
      <c r="W71" s="103" t="e">
        <f t="shared" si="80"/>
        <v>#REF!</v>
      </c>
      <c r="X71" s="103" t="e">
        <f t="shared" si="80"/>
        <v>#REF!</v>
      </c>
      <c r="Y71" s="103" t="e">
        <f t="shared" si="80"/>
        <v>#REF!</v>
      </c>
      <c r="Z71" s="103" t="e">
        <f t="shared" si="80"/>
        <v>#REF!</v>
      </c>
      <c r="AA71" s="103" t="e">
        <f>WORKDAY(IF(Z72="",X71,Z72),INDEX(AA$2:AA$5,MATCH($I70,$I$2:$I$5,0)),$BB$10:$BB$141)</f>
        <v>#REF!</v>
      </c>
      <c r="AB71" s="104" t="e">
        <f>WORKDAY(AE70+#REF!,0,'[35]Equipment List and MR List (3)'!$A$2:$A$80)</f>
        <v>#REF!</v>
      </c>
      <c r="AC71" s="502"/>
      <c r="AD71" s="105"/>
      <c r="AE71" s="500"/>
      <c r="AF71" s="493"/>
      <c r="AG71" s="490"/>
      <c r="AH71" s="106"/>
      <c r="AI71" s="107"/>
      <c r="AJ71" s="487"/>
      <c r="AK71" s="108"/>
      <c r="AL71" s="109"/>
      <c r="AM71" s="92">
        <f t="shared" ref="AM71:AW71" si="81">IF(ISERROR(LOOKUP(AM$6,$S71:$AB71,$S$9:$AB$9)),0,(LOOKUP(AM$6,$S71:$AB71,$S$9:$AB$9)))</f>
        <v>0</v>
      </c>
      <c r="AN71" s="93">
        <f t="shared" si="81"/>
        <v>0</v>
      </c>
      <c r="AO71" s="93">
        <f t="shared" si="81"/>
        <v>0</v>
      </c>
      <c r="AP71" s="93">
        <f t="shared" si="81"/>
        <v>0</v>
      </c>
      <c r="AQ71" s="93">
        <f t="shared" si="81"/>
        <v>0</v>
      </c>
      <c r="AR71" s="93">
        <f t="shared" si="81"/>
        <v>0</v>
      </c>
      <c r="AS71" s="93">
        <f t="shared" si="81"/>
        <v>0</v>
      </c>
      <c r="AT71" s="93">
        <f t="shared" si="81"/>
        <v>0</v>
      </c>
      <c r="AU71" s="93">
        <f t="shared" si="81"/>
        <v>0</v>
      </c>
      <c r="AV71" s="93">
        <f t="shared" si="81"/>
        <v>0</v>
      </c>
      <c r="AW71" s="93">
        <f t="shared" ca="1" si="81"/>
        <v>0</v>
      </c>
      <c r="BB71" s="94" t="e">
        <v>#REF!</v>
      </c>
    </row>
    <row r="72" spans="1:54" s="20" customFormat="1" ht="18" customHeight="1">
      <c r="A72" s="515"/>
      <c r="B72" s="110"/>
      <c r="C72" s="509"/>
      <c r="D72" s="111" t="str">
        <f>D70</f>
        <v>INS</v>
      </c>
      <c r="E72" s="112" t="str">
        <f>E70</f>
        <v>RFQ-021</v>
      </c>
      <c r="F72" s="113" t="str">
        <f>F70</f>
        <v>N</v>
      </c>
      <c r="G72" s="506"/>
      <c r="H72" s="113" t="str">
        <f>H70</f>
        <v>Control Valve</v>
      </c>
      <c r="I72" s="112" t="str">
        <f>I70</f>
        <v>LB</v>
      </c>
      <c r="J72" s="113"/>
      <c r="K72" s="114"/>
      <c r="L72" s="114"/>
      <c r="M72" s="114">
        <v>0.01</v>
      </c>
      <c r="N72" s="112"/>
      <c r="O72" s="112"/>
      <c r="P72" s="112"/>
      <c r="Q72" s="115" t="s">
        <v>4861</v>
      </c>
      <c r="R72" s="115"/>
      <c r="S72" s="126"/>
      <c r="T72" s="126"/>
      <c r="U72" s="126"/>
      <c r="V72" s="126"/>
      <c r="W72" s="126"/>
      <c r="X72" s="126"/>
      <c r="Y72" s="126"/>
      <c r="Z72" s="126"/>
      <c r="AA72" s="126"/>
      <c r="AB72" s="126"/>
      <c r="AC72" s="503"/>
      <c r="AD72" s="116"/>
      <c r="AE72" s="500"/>
      <c r="AF72" s="494"/>
      <c r="AG72" s="491"/>
      <c r="AH72" s="117"/>
      <c r="AI72" s="118"/>
      <c r="AJ72" s="488"/>
      <c r="AK72" s="119"/>
      <c r="AL72" s="120"/>
      <c r="AM72" s="121">
        <f t="shared" ref="AM72:AW72" si="82">IF(ISERROR(LOOKUP(AM$6,$S72:$AB72,$S$9:$AB$9)),0,(LOOKUP(AM$6,$S72:$AB72,$S$9:$AB$9)))</f>
        <v>0</v>
      </c>
      <c r="AN72" s="122">
        <f t="shared" si="82"/>
        <v>0</v>
      </c>
      <c r="AO72" s="122">
        <f t="shared" si="82"/>
        <v>0</v>
      </c>
      <c r="AP72" s="122">
        <f t="shared" si="82"/>
        <v>0</v>
      </c>
      <c r="AQ72" s="122">
        <f t="shared" si="82"/>
        <v>0</v>
      </c>
      <c r="AR72" s="122">
        <f t="shared" si="82"/>
        <v>0</v>
      </c>
      <c r="AS72" s="122">
        <f t="shared" si="82"/>
        <v>0</v>
      </c>
      <c r="AT72" s="122">
        <f t="shared" si="82"/>
        <v>0</v>
      </c>
      <c r="AU72" s="122">
        <f t="shared" si="82"/>
        <v>0</v>
      </c>
      <c r="AV72" s="122">
        <f t="shared" si="82"/>
        <v>0</v>
      </c>
      <c r="AW72" s="122">
        <f t="shared" ca="1" si="82"/>
        <v>0</v>
      </c>
      <c r="BB72" s="94" t="e">
        <v>#REF!</v>
      </c>
    </row>
    <row r="73" spans="1:54" s="20" customFormat="1" ht="18" customHeight="1">
      <c r="A73" s="513">
        <f>A70+1</f>
        <v>22</v>
      </c>
      <c r="B73" s="79"/>
      <c r="C73" s="507" t="s">
        <v>4855</v>
      </c>
      <c r="D73" s="80" t="s">
        <v>4887</v>
      </c>
      <c r="E73" s="81" t="s">
        <v>4765</v>
      </c>
      <c r="F73" s="82" t="s">
        <v>75</v>
      </c>
      <c r="G73" s="504" t="s">
        <v>4888</v>
      </c>
      <c r="H73" s="82" t="s">
        <v>138</v>
      </c>
      <c r="I73" s="81" t="s">
        <v>7</v>
      </c>
      <c r="J73" s="82"/>
      <c r="K73" s="84">
        <f>M75</f>
        <v>0.01</v>
      </c>
      <c r="L73" s="84"/>
      <c r="M73" s="84"/>
      <c r="N73" s="81"/>
      <c r="O73" s="81"/>
      <c r="P73" s="81"/>
      <c r="Q73" s="85" t="s">
        <v>4858</v>
      </c>
      <c r="R73" s="86">
        <f>'Before Award'!U80+5</f>
        <v>46343</v>
      </c>
      <c r="S73" s="86" t="e">
        <f>WORKDAY(R73,INDEX(S$2:S$5,MATCH($I73,$I$2:$I$5,0)),$BB$10:$BB$141)</f>
        <v>#REF!</v>
      </c>
      <c r="T73" s="86" t="e">
        <f>WORKDAY(S73,INDEX(T$2:T$5,MATCH($I73,$I$2:$I$5,0)),$BB$10:$BB$141)</f>
        <v>#REF!</v>
      </c>
      <c r="U73" s="86" t="e">
        <f>T73+30</f>
        <v>#REF!</v>
      </c>
      <c r="V73" s="86"/>
      <c r="W73" s="86">
        <f>AB73-35</f>
        <v>46503</v>
      </c>
      <c r="X73" s="86"/>
      <c r="Y73" s="86"/>
      <c r="Z73" s="86"/>
      <c r="AA73" s="86"/>
      <c r="AB73" s="86">
        <f>'Before Award'!X80</f>
        <v>46538</v>
      </c>
      <c r="AC73" s="501" t="s">
        <v>4859</v>
      </c>
      <c r="AD73" s="87">
        <v>7</v>
      </c>
      <c r="AE73" s="500">
        <v>200</v>
      </c>
      <c r="AF73" s="492" t="e">
        <f>AB74</f>
        <v>#REF!</v>
      </c>
      <c r="AG73" s="489">
        <f>WORKDAY(AH73+1,-1,$BA$10:$BA$141)</f>
        <v>46538</v>
      </c>
      <c r="AH73" s="88">
        <v>46538</v>
      </c>
      <c r="AI73" s="89"/>
      <c r="AJ73" s="486" t="e">
        <f>AG73-AF73</f>
        <v>#REF!</v>
      </c>
      <c r="AK73" s="90"/>
      <c r="AL73" s="91"/>
      <c r="AM73" s="92">
        <f t="shared" ref="AM73:AW73" si="83">IF(ISERROR(LOOKUP(AM$6,$S73:$AB73,$S$9:$AB$9)),0,(LOOKUP(AM$6,$S73:$AB73,$S$9:$AB$9)))</f>
        <v>0</v>
      </c>
      <c r="AN73" s="93">
        <f t="shared" si="83"/>
        <v>0</v>
      </c>
      <c r="AO73" s="93">
        <f t="shared" si="83"/>
        <v>0</v>
      </c>
      <c r="AP73" s="93">
        <f t="shared" si="83"/>
        <v>0</v>
      </c>
      <c r="AQ73" s="93">
        <f t="shared" si="83"/>
        <v>0</v>
      </c>
      <c r="AR73" s="93">
        <f t="shared" si="83"/>
        <v>0</v>
      </c>
      <c r="AS73" s="93">
        <f t="shared" si="83"/>
        <v>0</v>
      </c>
      <c r="AT73" s="93">
        <f t="shared" si="83"/>
        <v>0</v>
      </c>
      <c r="AU73" s="93">
        <f t="shared" si="83"/>
        <v>0</v>
      </c>
      <c r="AV73" s="93">
        <f t="shared" si="83"/>
        <v>0</v>
      </c>
      <c r="AW73" s="93">
        <f t="shared" ca="1" si="83"/>
        <v>0</v>
      </c>
      <c r="BB73" s="94" t="e">
        <v>#REF!</v>
      </c>
    </row>
    <row r="74" spans="1:54" s="20" customFormat="1" ht="18" customHeight="1">
      <c r="A74" s="514"/>
      <c r="B74" s="95"/>
      <c r="C74" s="508"/>
      <c r="D74" s="96" t="str">
        <f>D73</f>
        <v>INS</v>
      </c>
      <c r="E74" s="97" t="str">
        <f>E73</f>
        <v>RFQ-022</v>
      </c>
      <c r="F74" s="98" t="str">
        <f>F73</f>
        <v>N</v>
      </c>
      <c r="G74" s="505"/>
      <c r="H74" s="98" t="str">
        <f>H73</f>
        <v>Self Regulator Valve</v>
      </c>
      <c r="I74" s="97" t="str">
        <f>I73</f>
        <v>LB</v>
      </c>
      <c r="J74" s="98"/>
      <c r="K74" s="100"/>
      <c r="L74" s="100">
        <f>M75</f>
        <v>0.01</v>
      </c>
      <c r="M74" s="100"/>
      <c r="N74" s="97"/>
      <c r="O74" s="97"/>
      <c r="P74" s="97"/>
      <c r="Q74" s="101" t="s">
        <v>4860</v>
      </c>
      <c r="R74" s="101"/>
      <c r="S74" s="102" t="e">
        <f>S73</f>
        <v>#REF!</v>
      </c>
      <c r="T74" s="103" t="e">
        <f>T73</f>
        <v>#REF!</v>
      </c>
      <c r="U74" s="103" t="e">
        <f t="shared" ref="U74:Z74" si="84">WORKDAY(IF(T75="",T74,T75),INDEX(U$2:U$5,MATCH($I73,$I$2:$I$5,0)),$BB$10:$BB$141)</f>
        <v>#REF!</v>
      </c>
      <c r="V74" s="103" t="e">
        <f t="shared" si="84"/>
        <v>#REF!</v>
      </c>
      <c r="W74" s="103" t="e">
        <f t="shared" si="84"/>
        <v>#REF!</v>
      </c>
      <c r="X74" s="103" t="e">
        <f t="shared" si="84"/>
        <v>#REF!</v>
      </c>
      <c r="Y74" s="103" t="e">
        <f t="shared" si="84"/>
        <v>#REF!</v>
      </c>
      <c r="Z74" s="103" t="e">
        <f t="shared" si="84"/>
        <v>#REF!</v>
      </c>
      <c r="AA74" s="103" t="e">
        <f>WORKDAY(IF(Z75="",X74,Z75),INDEX(AA$2:AA$5,MATCH($I73,$I$2:$I$5,0)),$BB$10:$BB$141)</f>
        <v>#REF!</v>
      </c>
      <c r="AB74" s="104" t="e">
        <f>WORKDAY(AE73+#REF!,0,'[35]Equipment List and MR List (3)'!$A$2:$A$80)</f>
        <v>#REF!</v>
      </c>
      <c r="AC74" s="502"/>
      <c r="AD74" s="105"/>
      <c r="AE74" s="500"/>
      <c r="AF74" s="493"/>
      <c r="AG74" s="490"/>
      <c r="AH74" s="106"/>
      <c r="AI74" s="107"/>
      <c r="AJ74" s="487"/>
      <c r="AK74" s="108"/>
      <c r="AL74" s="109"/>
      <c r="AM74" s="92">
        <f t="shared" ref="AM74:AW74" si="85">IF(ISERROR(LOOKUP(AM$6,$S74:$AB74,$S$9:$AB$9)),0,(LOOKUP(AM$6,$S74:$AB74,$S$9:$AB$9)))</f>
        <v>0</v>
      </c>
      <c r="AN74" s="93">
        <f t="shared" si="85"/>
        <v>0</v>
      </c>
      <c r="AO74" s="93">
        <f t="shared" si="85"/>
        <v>0</v>
      </c>
      <c r="AP74" s="93">
        <f t="shared" si="85"/>
        <v>0</v>
      </c>
      <c r="AQ74" s="93">
        <f t="shared" si="85"/>
        <v>0</v>
      </c>
      <c r="AR74" s="93">
        <f t="shared" si="85"/>
        <v>0</v>
      </c>
      <c r="AS74" s="93">
        <f t="shared" si="85"/>
        <v>0</v>
      </c>
      <c r="AT74" s="93">
        <f t="shared" si="85"/>
        <v>0</v>
      </c>
      <c r="AU74" s="93">
        <f t="shared" si="85"/>
        <v>0</v>
      </c>
      <c r="AV74" s="93">
        <f t="shared" si="85"/>
        <v>0</v>
      </c>
      <c r="AW74" s="93">
        <f t="shared" ca="1" si="85"/>
        <v>0</v>
      </c>
      <c r="BB74" s="94" t="e">
        <v>#REF!</v>
      </c>
    </row>
    <row r="75" spans="1:54" s="20" customFormat="1" ht="18" customHeight="1">
      <c r="A75" s="515"/>
      <c r="B75" s="110"/>
      <c r="C75" s="509"/>
      <c r="D75" s="111" t="str">
        <f>D73</f>
        <v>INS</v>
      </c>
      <c r="E75" s="112" t="str">
        <f>E73</f>
        <v>RFQ-022</v>
      </c>
      <c r="F75" s="113" t="str">
        <f>F73</f>
        <v>N</v>
      </c>
      <c r="G75" s="506"/>
      <c r="H75" s="113" t="str">
        <f>H73</f>
        <v>Self Regulator Valve</v>
      </c>
      <c r="I75" s="112" t="str">
        <f>I73</f>
        <v>LB</v>
      </c>
      <c r="J75" s="113"/>
      <c r="K75" s="114"/>
      <c r="L75" s="114"/>
      <c r="M75" s="114">
        <v>0.01</v>
      </c>
      <c r="N75" s="112"/>
      <c r="O75" s="112"/>
      <c r="P75" s="112"/>
      <c r="Q75" s="115" t="s">
        <v>4861</v>
      </c>
      <c r="R75" s="115"/>
      <c r="S75" s="126"/>
      <c r="T75" s="126"/>
      <c r="U75" s="126"/>
      <c r="V75" s="126"/>
      <c r="W75" s="126"/>
      <c r="X75" s="126"/>
      <c r="Y75" s="126"/>
      <c r="Z75" s="126"/>
      <c r="AA75" s="126"/>
      <c r="AB75" s="126"/>
      <c r="AC75" s="503"/>
      <c r="AD75" s="116"/>
      <c r="AE75" s="500"/>
      <c r="AF75" s="494"/>
      <c r="AG75" s="491"/>
      <c r="AH75" s="117"/>
      <c r="AI75" s="118"/>
      <c r="AJ75" s="488"/>
      <c r="AK75" s="119"/>
      <c r="AL75" s="120"/>
      <c r="AM75" s="121">
        <f t="shared" ref="AM75:AW75" si="86">IF(ISERROR(LOOKUP(AM$6,$S75:$AB75,$S$9:$AB$9)),0,(LOOKUP(AM$6,$S75:$AB75,$S$9:$AB$9)))</f>
        <v>0</v>
      </c>
      <c r="AN75" s="122">
        <f t="shared" si="86"/>
        <v>0</v>
      </c>
      <c r="AO75" s="122">
        <f t="shared" si="86"/>
        <v>0</v>
      </c>
      <c r="AP75" s="122">
        <f t="shared" si="86"/>
        <v>0</v>
      </c>
      <c r="AQ75" s="122">
        <f t="shared" si="86"/>
        <v>0</v>
      </c>
      <c r="AR75" s="122">
        <f t="shared" si="86"/>
        <v>0</v>
      </c>
      <c r="AS75" s="122">
        <f t="shared" si="86"/>
        <v>0</v>
      </c>
      <c r="AT75" s="122">
        <f t="shared" si="86"/>
        <v>0</v>
      </c>
      <c r="AU75" s="122">
        <f t="shared" si="86"/>
        <v>0</v>
      </c>
      <c r="AV75" s="122">
        <f t="shared" si="86"/>
        <v>0</v>
      </c>
      <c r="AW75" s="122">
        <f t="shared" ca="1" si="86"/>
        <v>0</v>
      </c>
      <c r="BB75" s="94" t="e">
        <v>#REF!</v>
      </c>
    </row>
    <row r="76" spans="1:54" s="20" customFormat="1" ht="18" customHeight="1">
      <c r="A76" s="513">
        <f>A73+1</f>
        <v>23</v>
      </c>
      <c r="B76" s="79"/>
      <c r="C76" s="507" t="s">
        <v>4855</v>
      </c>
      <c r="D76" s="80" t="s">
        <v>4887</v>
      </c>
      <c r="E76" s="81" t="s">
        <v>4766</v>
      </c>
      <c r="F76" s="82" t="s">
        <v>75</v>
      </c>
      <c r="G76" s="504" t="s">
        <v>4889</v>
      </c>
      <c r="H76" s="82" t="s">
        <v>141</v>
      </c>
      <c r="I76" s="81" t="s">
        <v>7</v>
      </c>
      <c r="J76" s="82"/>
      <c r="K76" s="84">
        <f>M78</f>
        <v>0.01</v>
      </c>
      <c r="L76" s="84"/>
      <c r="M76" s="84"/>
      <c r="N76" s="81"/>
      <c r="O76" s="81"/>
      <c r="P76" s="81"/>
      <c r="Q76" s="85" t="s">
        <v>4858</v>
      </c>
      <c r="R76" s="86">
        <f>'Before Award'!U83+5</f>
        <v>46235</v>
      </c>
      <c r="S76" s="86" t="e">
        <f>WORKDAY(R76,INDEX(S$2:S$5,MATCH($I76,$I$2:$I$5,0)),$BB$10:$BB$141)</f>
        <v>#REF!</v>
      </c>
      <c r="T76" s="86" t="e">
        <f>WORKDAY(S76,INDEX(T$2:T$5,MATCH($I76,$I$2:$I$5,0)),$BB$10:$BB$141)</f>
        <v>#REF!</v>
      </c>
      <c r="U76" s="86" t="e">
        <f>T76+30</f>
        <v>#REF!</v>
      </c>
      <c r="V76" s="86"/>
      <c r="W76" s="86">
        <f>AB76-35</f>
        <v>46503</v>
      </c>
      <c r="X76" s="86"/>
      <c r="Y76" s="86"/>
      <c r="Z76" s="86"/>
      <c r="AA76" s="86"/>
      <c r="AB76" s="86">
        <f>'Before Award'!X83</f>
        <v>46538</v>
      </c>
      <c r="AC76" s="501" t="s">
        <v>4859</v>
      </c>
      <c r="AD76" s="87">
        <v>7</v>
      </c>
      <c r="AE76" s="499">
        <f>44*7</f>
        <v>308</v>
      </c>
      <c r="AF76" s="492" t="e">
        <f>AB77</f>
        <v>#REF!</v>
      </c>
      <c r="AG76" s="489">
        <f>WORKDAY(AH76+1,-1,$BA$10:$BA$141)</f>
        <v>46538</v>
      </c>
      <c r="AH76" s="88">
        <v>46538</v>
      </c>
      <c r="AI76" s="89"/>
      <c r="AJ76" s="486" t="e">
        <f>AG76-AF76</f>
        <v>#REF!</v>
      </c>
      <c r="AK76" s="90"/>
      <c r="AL76" s="91"/>
      <c r="AM76" s="92">
        <f t="shared" ref="AM76:AW76" si="87">IF(ISERROR(LOOKUP(AM$6,$S76:$AB76,$S$9:$AB$9)),0,(LOOKUP(AM$6,$S76:$AB76,$S$9:$AB$9)))</f>
        <v>0</v>
      </c>
      <c r="AN76" s="93">
        <f t="shared" si="87"/>
        <v>0</v>
      </c>
      <c r="AO76" s="93">
        <f t="shared" si="87"/>
        <v>0</v>
      </c>
      <c r="AP76" s="93">
        <f t="shared" si="87"/>
        <v>0</v>
      </c>
      <c r="AQ76" s="93">
        <f t="shared" si="87"/>
        <v>0</v>
      </c>
      <c r="AR76" s="93">
        <f t="shared" si="87"/>
        <v>0</v>
      </c>
      <c r="AS76" s="93">
        <f t="shared" si="87"/>
        <v>0</v>
      </c>
      <c r="AT76" s="93">
        <f t="shared" si="87"/>
        <v>0</v>
      </c>
      <c r="AU76" s="93">
        <f t="shared" si="87"/>
        <v>0</v>
      </c>
      <c r="AV76" s="93">
        <f t="shared" si="87"/>
        <v>0</v>
      </c>
      <c r="AW76" s="93">
        <f t="shared" ca="1" si="87"/>
        <v>0</v>
      </c>
      <c r="BB76" s="94" t="e">
        <v>#REF!</v>
      </c>
    </row>
    <row r="77" spans="1:54" s="20" customFormat="1" ht="18" customHeight="1">
      <c r="A77" s="514"/>
      <c r="B77" s="95"/>
      <c r="C77" s="508"/>
      <c r="D77" s="96" t="str">
        <f>D76</f>
        <v>INS</v>
      </c>
      <c r="E77" s="97" t="str">
        <f>E76</f>
        <v>RFQ-023</v>
      </c>
      <c r="F77" s="98" t="str">
        <f>F76</f>
        <v>N</v>
      </c>
      <c r="G77" s="505"/>
      <c r="H77" s="98" t="str">
        <f>H76</f>
        <v>Actuated Choke Valve</v>
      </c>
      <c r="I77" s="97" t="str">
        <f>I76</f>
        <v>LB</v>
      </c>
      <c r="J77" s="98"/>
      <c r="K77" s="100"/>
      <c r="L77" s="100">
        <f>M78</f>
        <v>0.01</v>
      </c>
      <c r="M77" s="100"/>
      <c r="N77" s="97"/>
      <c r="O77" s="97"/>
      <c r="P77" s="97"/>
      <c r="Q77" s="101" t="s">
        <v>4860</v>
      </c>
      <c r="R77" s="101"/>
      <c r="S77" s="102" t="e">
        <f>S76</f>
        <v>#REF!</v>
      </c>
      <c r="T77" s="103" t="e">
        <f>T76</f>
        <v>#REF!</v>
      </c>
      <c r="U77" s="103" t="e">
        <f t="shared" ref="U77:Z77" si="88">WORKDAY(IF(T78="",T77,T78),INDEX(U$2:U$5,MATCH($I76,$I$2:$I$5,0)),$BB$10:$BB$141)</f>
        <v>#REF!</v>
      </c>
      <c r="V77" s="103" t="e">
        <f t="shared" si="88"/>
        <v>#REF!</v>
      </c>
      <c r="W77" s="103" t="e">
        <f t="shared" si="88"/>
        <v>#REF!</v>
      </c>
      <c r="X77" s="103" t="e">
        <f t="shared" si="88"/>
        <v>#REF!</v>
      </c>
      <c r="Y77" s="103" t="e">
        <f t="shared" si="88"/>
        <v>#REF!</v>
      </c>
      <c r="Z77" s="103" t="e">
        <f t="shared" si="88"/>
        <v>#REF!</v>
      </c>
      <c r="AA77" s="103" t="e">
        <f>WORKDAY(IF(Z78="",X77,Z78),INDEX(AA$2:AA$5,MATCH($I76,$I$2:$I$5,0)),$BB$10:$BB$141)</f>
        <v>#REF!</v>
      </c>
      <c r="AB77" s="104" t="e">
        <f>WORKDAY(AE76+#REF!,0,'[35]Equipment List and MR List (3)'!$A$2:$A$80)</f>
        <v>#REF!</v>
      </c>
      <c r="AC77" s="502"/>
      <c r="AD77" s="105"/>
      <c r="AE77" s="499"/>
      <c r="AF77" s="493"/>
      <c r="AG77" s="490"/>
      <c r="AH77" s="106"/>
      <c r="AI77" s="107"/>
      <c r="AJ77" s="487"/>
      <c r="AK77" s="108"/>
      <c r="AL77" s="109"/>
      <c r="AM77" s="92">
        <f t="shared" ref="AM77:AW77" si="89">IF(ISERROR(LOOKUP(AM$6,$S77:$AB77,$S$9:$AB$9)),0,(LOOKUP(AM$6,$S77:$AB77,$S$9:$AB$9)))</f>
        <v>0</v>
      </c>
      <c r="AN77" s="93">
        <f t="shared" si="89"/>
        <v>0</v>
      </c>
      <c r="AO77" s="93">
        <f t="shared" si="89"/>
        <v>0</v>
      </c>
      <c r="AP77" s="93">
        <f t="shared" si="89"/>
        <v>0</v>
      </c>
      <c r="AQ77" s="93">
        <f t="shared" si="89"/>
        <v>0</v>
      </c>
      <c r="AR77" s="93">
        <f t="shared" si="89"/>
        <v>0</v>
      </c>
      <c r="AS77" s="93">
        <f t="shared" si="89"/>
        <v>0</v>
      </c>
      <c r="AT77" s="93">
        <f t="shared" si="89"/>
        <v>0</v>
      </c>
      <c r="AU77" s="93">
        <f t="shared" si="89"/>
        <v>0</v>
      </c>
      <c r="AV77" s="93">
        <f t="shared" si="89"/>
        <v>0</v>
      </c>
      <c r="AW77" s="93">
        <f t="shared" ca="1" si="89"/>
        <v>0</v>
      </c>
      <c r="BB77" s="94" t="e">
        <v>#REF!</v>
      </c>
    </row>
    <row r="78" spans="1:54" s="20" customFormat="1" ht="18" customHeight="1">
      <c r="A78" s="515"/>
      <c r="B78" s="110"/>
      <c r="C78" s="509"/>
      <c r="D78" s="111" t="str">
        <f>D76</f>
        <v>INS</v>
      </c>
      <c r="E78" s="112" t="str">
        <f>E76</f>
        <v>RFQ-023</v>
      </c>
      <c r="F78" s="113" t="str">
        <f>F76</f>
        <v>N</v>
      </c>
      <c r="G78" s="506"/>
      <c r="H78" s="113" t="str">
        <f>H76</f>
        <v>Actuated Choke Valve</v>
      </c>
      <c r="I78" s="112" t="str">
        <f>I76</f>
        <v>LB</v>
      </c>
      <c r="J78" s="113"/>
      <c r="K78" s="114"/>
      <c r="L78" s="114"/>
      <c r="M78" s="114">
        <v>0.01</v>
      </c>
      <c r="N78" s="112"/>
      <c r="O78" s="112"/>
      <c r="P78" s="112"/>
      <c r="Q78" s="115" t="s">
        <v>4861</v>
      </c>
      <c r="R78" s="115"/>
      <c r="S78" s="126"/>
      <c r="T78" s="126"/>
      <c r="U78" s="126"/>
      <c r="V78" s="126"/>
      <c r="W78" s="126"/>
      <c r="X78" s="126"/>
      <c r="Y78" s="126"/>
      <c r="Z78" s="126"/>
      <c r="AA78" s="126"/>
      <c r="AB78" s="126"/>
      <c r="AC78" s="503"/>
      <c r="AD78" s="116"/>
      <c r="AE78" s="499"/>
      <c r="AF78" s="494"/>
      <c r="AG78" s="491"/>
      <c r="AH78" s="117"/>
      <c r="AI78" s="118"/>
      <c r="AJ78" s="488"/>
      <c r="AK78" s="119"/>
      <c r="AL78" s="120"/>
      <c r="AM78" s="121">
        <f t="shared" ref="AM78:AW78" si="90">IF(ISERROR(LOOKUP(AM$6,$S78:$AB78,$S$9:$AB$9)),0,(LOOKUP(AM$6,$S78:$AB78,$S$9:$AB$9)))</f>
        <v>0</v>
      </c>
      <c r="AN78" s="122">
        <f t="shared" si="90"/>
        <v>0</v>
      </c>
      <c r="AO78" s="122">
        <f t="shared" si="90"/>
        <v>0</v>
      </c>
      <c r="AP78" s="122">
        <f t="shared" si="90"/>
        <v>0</v>
      </c>
      <c r="AQ78" s="122">
        <f t="shared" si="90"/>
        <v>0</v>
      </c>
      <c r="AR78" s="122">
        <f t="shared" si="90"/>
        <v>0</v>
      </c>
      <c r="AS78" s="122">
        <f t="shared" si="90"/>
        <v>0</v>
      </c>
      <c r="AT78" s="122">
        <f t="shared" si="90"/>
        <v>0</v>
      </c>
      <c r="AU78" s="122">
        <f t="shared" si="90"/>
        <v>0</v>
      </c>
      <c r="AV78" s="122">
        <f t="shared" si="90"/>
        <v>0</v>
      </c>
      <c r="AW78" s="122">
        <f t="shared" ca="1" si="90"/>
        <v>0</v>
      </c>
      <c r="BB78" s="94" t="e">
        <v>#REF!</v>
      </c>
    </row>
    <row r="79" spans="1:54" s="20" customFormat="1" ht="18" customHeight="1">
      <c r="A79" s="513">
        <f>A76+1</f>
        <v>24</v>
      </c>
      <c r="B79" s="79"/>
      <c r="C79" s="507" t="s">
        <v>4855</v>
      </c>
      <c r="D79" s="80" t="s">
        <v>4887</v>
      </c>
      <c r="E79" s="81" t="s">
        <v>4767</v>
      </c>
      <c r="F79" s="82" t="s">
        <v>75</v>
      </c>
      <c r="G79" s="504" t="s">
        <v>4890</v>
      </c>
      <c r="H79" s="82" t="s">
        <v>144</v>
      </c>
      <c r="I79" s="81" t="s">
        <v>7</v>
      </c>
      <c r="J79" s="82"/>
      <c r="K79" s="84">
        <f>M81</f>
        <v>0.01</v>
      </c>
      <c r="L79" s="84"/>
      <c r="M79" s="84"/>
      <c r="N79" s="81"/>
      <c r="O79" s="81"/>
      <c r="P79" s="81"/>
      <c r="Q79" s="85" t="s">
        <v>4858</v>
      </c>
      <c r="R79" s="86">
        <f>'Before Award'!U86+5</f>
        <v>46291</v>
      </c>
      <c r="S79" s="86" t="e">
        <f>WORKDAY(R79,INDEX(S$2:S$5,MATCH($I79,$I$2:$I$5,0)),$BB$10:$BB$141)</f>
        <v>#REF!</v>
      </c>
      <c r="T79" s="86" t="e">
        <f>WORKDAY(S79,INDEX(T$2:T$5,MATCH($I79,$I$2:$I$5,0)),$BB$10:$BB$141)</f>
        <v>#REF!</v>
      </c>
      <c r="U79" s="86" t="e">
        <f>T79+30</f>
        <v>#REF!</v>
      </c>
      <c r="V79" s="86"/>
      <c r="W79" s="86">
        <f>AB79-35</f>
        <v>46503</v>
      </c>
      <c r="X79" s="86"/>
      <c r="Y79" s="86"/>
      <c r="Z79" s="86"/>
      <c r="AA79" s="86"/>
      <c r="AB79" s="86">
        <f>'Before Award'!X86</f>
        <v>46538</v>
      </c>
      <c r="AC79" s="501" t="s">
        <v>4859</v>
      </c>
      <c r="AD79" s="87">
        <v>7</v>
      </c>
      <c r="AE79" s="500">
        <f>36*7</f>
        <v>252</v>
      </c>
      <c r="AF79" s="492" t="e">
        <f>AB80</f>
        <v>#REF!</v>
      </c>
      <c r="AG79" s="489">
        <f>WORKDAY(AH79+1,-1,$BA$10:$BA$141)</f>
        <v>46538</v>
      </c>
      <c r="AH79" s="88">
        <v>46538</v>
      </c>
      <c r="AI79" s="89"/>
      <c r="AJ79" s="486" t="e">
        <f>AG79-AF79</f>
        <v>#REF!</v>
      </c>
      <c r="AK79" s="90"/>
      <c r="AL79" s="91"/>
      <c r="AM79" s="92">
        <f t="shared" ref="AM79:AW79" si="91">IF(ISERROR(LOOKUP(AM$6,$S79:$AB79,$S$9:$AB$9)),0,(LOOKUP(AM$6,$S79:$AB79,$S$9:$AB$9)))</f>
        <v>0</v>
      </c>
      <c r="AN79" s="93">
        <f t="shared" si="91"/>
        <v>0</v>
      </c>
      <c r="AO79" s="93">
        <f t="shared" si="91"/>
        <v>0</v>
      </c>
      <c r="AP79" s="93">
        <f t="shared" si="91"/>
        <v>0</v>
      </c>
      <c r="AQ79" s="93">
        <f t="shared" si="91"/>
        <v>0</v>
      </c>
      <c r="AR79" s="93">
        <f t="shared" si="91"/>
        <v>0</v>
      </c>
      <c r="AS79" s="93">
        <f t="shared" si="91"/>
        <v>0</v>
      </c>
      <c r="AT79" s="93">
        <f t="shared" si="91"/>
        <v>0</v>
      </c>
      <c r="AU79" s="93">
        <f t="shared" si="91"/>
        <v>0</v>
      </c>
      <c r="AV79" s="93">
        <f t="shared" si="91"/>
        <v>0</v>
      </c>
      <c r="AW79" s="93">
        <f t="shared" ca="1" si="91"/>
        <v>0</v>
      </c>
      <c r="BB79" s="94" t="e">
        <v>#REF!</v>
      </c>
    </row>
    <row r="80" spans="1:54" s="20" customFormat="1" ht="18" customHeight="1">
      <c r="A80" s="514"/>
      <c r="B80" s="95"/>
      <c r="C80" s="508"/>
      <c r="D80" s="96" t="str">
        <f>D79</f>
        <v>INS</v>
      </c>
      <c r="E80" s="97" t="str">
        <f>E79</f>
        <v>RFQ-024</v>
      </c>
      <c r="F80" s="98" t="str">
        <f>F79</f>
        <v>N</v>
      </c>
      <c r="G80" s="505"/>
      <c r="H80" s="98" t="str">
        <f>H79</f>
        <v>Actuated Ball Valve</v>
      </c>
      <c r="I80" s="97" t="str">
        <f>I79</f>
        <v>LB</v>
      </c>
      <c r="J80" s="98"/>
      <c r="K80" s="100"/>
      <c r="L80" s="100">
        <f>M81</f>
        <v>0.01</v>
      </c>
      <c r="M80" s="100"/>
      <c r="N80" s="97"/>
      <c r="O80" s="97"/>
      <c r="P80" s="97"/>
      <c r="Q80" s="101" t="s">
        <v>4860</v>
      </c>
      <c r="R80" s="101"/>
      <c r="S80" s="102" t="e">
        <f>S79</f>
        <v>#REF!</v>
      </c>
      <c r="T80" s="103" t="e">
        <f>T79</f>
        <v>#REF!</v>
      </c>
      <c r="U80" s="103" t="e">
        <f t="shared" ref="U80:Z80" si="92">WORKDAY(IF(T81="",T80,T81),INDEX(U$2:U$5,MATCH($I79,$I$2:$I$5,0)),$BB$10:$BB$141)</f>
        <v>#REF!</v>
      </c>
      <c r="V80" s="103" t="e">
        <f t="shared" si="92"/>
        <v>#REF!</v>
      </c>
      <c r="W80" s="103" t="e">
        <f t="shared" si="92"/>
        <v>#REF!</v>
      </c>
      <c r="X80" s="103" t="e">
        <f t="shared" si="92"/>
        <v>#REF!</v>
      </c>
      <c r="Y80" s="103" t="e">
        <f t="shared" si="92"/>
        <v>#REF!</v>
      </c>
      <c r="Z80" s="103" t="e">
        <f t="shared" si="92"/>
        <v>#REF!</v>
      </c>
      <c r="AA80" s="103" t="e">
        <f>WORKDAY(IF(Z81="",X80,Z81),INDEX(AA$2:AA$5,MATCH($I79,$I$2:$I$5,0)),$BB$10:$BB$141)</f>
        <v>#REF!</v>
      </c>
      <c r="AB80" s="104" t="e">
        <f>WORKDAY(AE79+#REF!,0,'[35]Equipment List and MR List (3)'!$A$2:$A$80)</f>
        <v>#REF!</v>
      </c>
      <c r="AC80" s="502"/>
      <c r="AD80" s="105"/>
      <c r="AE80" s="500"/>
      <c r="AF80" s="493"/>
      <c r="AG80" s="490"/>
      <c r="AH80" s="106"/>
      <c r="AI80" s="107"/>
      <c r="AJ80" s="487"/>
      <c r="AK80" s="108"/>
      <c r="AL80" s="109"/>
      <c r="AM80" s="92">
        <f t="shared" ref="AM80:AW80" si="93">IF(ISERROR(LOOKUP(AM$6,$S80:$AB80,$S$9:$AB$9)),0,(LOOKUP(AM$6,$S80:$AB80,$S$9:$AB$9)))</f>
        <v>0</v>
      </c>
      <c r="AN80" s="93">
        <f t="shared" si="93"/>
        <v>0</v>
      </c>
      <c r="AO80" s="93">
        <f t="shared" si="93"/>
        <v>0</v>
      </c>
      <c r="AP80" s="93">
        <f t="shared" si="93"/>
        <v>0</v>
      </c>
      <c r="AQ80" s="93">
        <f t="shared" si="93"/>
        <v>0</v>
      </c>
      <c r="AR80" s="93">
        <f t="shared" si="93"/>
        <v>0</v>
      </c>
      <c r="AS80" s="93">
        <f t="shared" si="93"/>
        <v>0</v>
      </c>
      <c r="AT80" s="93">
        <f t="shared" si="93"/>
        <v>0</v>
      </c>
      <c r="AU80" s="93">
        <f t="shared" si="93"/>
        <v>0</v>
      </c>
      <c r="AV80" s="93">
        <f t="shared" si="93"/>
        <v>0</v>
      </c>
      <c r="AW80" s="93">
        <f t="shared" ca="1" si="93"/>
        <v>0</v>
      </c>
      <c r="BB80" s="94" t="e">
        <v>#REF!</v>
      </c>
    </row>
    <row r="81" spans="1:54" s="20" customFormat="1" ht="18" customHeight="1">
      <c r="A81" s="515"/>
      <c r="B81" s="110"/>
      <c r="C81" s="509"/>
      <c r="D81" s="111" t="str">
        <f>D79</f>
        <v>INS</v>
      </c>
      <c r="E81" s="112" t="str">
        <f>E79</f>
        <v>RFQ-024</v>
      </c>
      <c r="F81" s="113" t="str">
        <f>F79</f>
        <v>N</v>
      </c>
      <c r="G81" s="506"/>
      <c r="H81" s="113" t="str">
        <f>H79</f>
        <v>Actuated Ball Valve</v>
      </c>
      <c r="I81" s="112" t="str">
        <f>I79</f>
        <v>LB</v>
      </c>
      <c r="J81" s="113"/>
      <c r="K81" s="114"/>
      <c r="L81" s="114"/>
      <c r="M81" s="114">
        <v>0.01</v>
      </c>
      <c r="N81" s="112"/>
      <c r="O81" s="112"/>
      <c r="P81" s="112"/>
      <c r="Q81" s="115" t="s">
        <v>4861</v>
      </c>
      <c r="R81" s="115"/>
      <c r="S81" s="126"/>
      <c r="T81" s="126"/>
      <c r="U81" s="126"/>
      <c r="V81" s="126"/>
      <c r="W81" s="126"/>
      <c r="X81" s="126"/>
      <c r="Y81" s="126"/>
      <c r="Z81" s="126"/>
      <c r="AA81" s="126"/>
      <c r="AB81" s="126"/>
      <c r="AC81" s="503"/>
      <c r="AD81" s="116"/>
      <c r="AE81" s="500"/>
      <c r="AF81" s="494"/>
      <c r="AG81" s="491"/>
      <c r="AH81" s="117"/>
      <c r="AI81" s="118"/>
      <c r="AJ81" s="488"/>
      <c r="AK81" s="119"/>
      <c r="AL81" s="120"/>
      <c r="AM81" s="121">
        <f t="shared" ref="AM81:AW81" si="94">IF(ISERROR(LOOKUP(AM$6,$S81:$AB81,$S$9:$AB$9)),0,(LOOKUP(AM$6,$S81:$AB81,$S$9:$AB$9)))</f>
        <v>0</v>
      </c>
      <c r="AN81" s="122">
        <f t="shared" si="94"/>
        <v>0</v>
      </c>
      <c r="AO81" s="122">
        <f t="shared" si="94"/>
        <v>0</v>
      </c>
      <c r="AP81" s="122">
        <f t="shared" si="94"/>
        <v>0</v>
      </c>
      <c r="AQ81" s="122">
        <f t="shared" si="94"/>
        <v>0</v>
      </c>
      <c r="AR81" s="122">
        <f t="shared" si="94"/>
        <v>0</v>
      </c>
      <c r="AS81" s="122">
        <f t="shared" si="94"/>
        <v>0</v>
      </c>
      <c r="AT81" s="122">
        <f t="shared" si="94"/>
        <v>0</v>
      </c>
      <c r="AU81" s="122">
        <f t="shared" si="94"/>
        <v>0</v>
      </c>
      <c r="AV81" s="122">
        <f t="shared" si="94"/>
        <v>0</v>
      </c>
      <c r="AW81" s="122">
        <f t="shared" ca="1" si="94"/>
        <v>0</v>
      </c>
      <c r="BB81" s="94" t="e">
        <v>#REF!</v>
      </c>
    </row>
    <row r="82" spans="1:54" s="20" customFormat="1" ht="18" customHeight="1">
      <c r="A82" s="513">
        <f>A79+1</f>
        <v>25</v>
      </c>
      <c r="B82" s="79"/>
      <c r="C82" s="507" t="s">
        <v>4855</v>
      </c>
      <c r="D82" s="80" t="s">
        <v>4887</v>
      </c>
      <c r="E82" s="81" t="s">
        <v>4768</v>
      </c>
      <c r="F82" s="82" t="str">
        <f>IF(_xlfn.XLOOKUP(E82,'[35]Before Award'!D:D,'[35]Before Award'!AV:AV,"N/A")="N/A","N","Y")</f>
        <v>N</v>
      </c>
      <c r="G82" s="504" t="s">
        <v>4891</v>
      </c>
      <c r="H82" s="82" t="s">
        <v>147</v>
      </c>
      <c r="I82" s="81" t="s">
        <v>7</v>
      </c>
      <c r="J82" s="82"/>
      <c r="K82" s="84">
        <f>M84</f>
        <v>0.01</v>
      </c>
      <c r="L82" s="84"/>
      <c r="M82" s="84"/>
      <c r="N82" s="81"/>
      <c r="O82" s="81"/>
      <c r="P82" s="81"/>
      <c r="Q82" s="85" t="s">
        <v>4858</v>
      </c>
      <c r="R82" s="86">
        <f>'Before Award'!U89+5</f>
        <v>46263</v>
      </c>
      <c r="S82" s="86" t="e">
        <f>WORKDAY(R82,INDEX(S$2:S$5,MATCH($I82,$I$2:$I$5,0)),$BB$10:$BB$141)</f>
        <v>#REF!</v>
      </c>
      <c r="T82" s="86" t="e">
        <f>WORKDAY(S82,INDEX(T$2:T$5,MATCH($I82,$I$2:$I$5,0)),$BB$10:$BB$141)</f>
        <v>#REF!</v>
      </c>
      <c r="U82" s="86" t="e">
        <f>T82+30</f>
        <v>#REF!</v>
      </c>
      <c r="V82" s="86"/>
      <c r="W82" s="86">
        <f>AB82-35</f>
        <v>46503</v>
      </c>
      <c r="X82" s="86"/>
      <c r="Y82" s="86"/>
      <c r="Z82" s="86"/>
      <c r="AA82" s="86"/>
      <c r="AB82" s="86">
        <f>'Before Award'!X89</f>
        <v>46538</v>
      </c>
      <c r="AC82" s="501" t="s">
        <v>4859</v>
      </c>
      <c r="AD82" s="87">
        <v>7</v>
      </c>
      <c r="AE82" s="500">
        <v>280</v>
      </c>
      <c r="AF82" s="492" t="e">
        <f>AB83</f>
        <v>#REF!</v>
      </c>
      <c r="AG82" s="489">
        <f>WORKDAY(AH82+1,-1,$BA$10:$BA$141)</f>
        <v>46538</v>
      </c>
      <c r="AH82" s="88">
        <v>46538</v>
      </c>
      <c r="AI82" s="89"/>
      <c r="AJ82" s="486" t="e">
        <f>AG82-AF82</f>
        <v>#REF!</v>
      </c>
      <c r="AK82" s="90"/>
      <c r="AL82" s="91"/>
      <c r="AM82" s="92">
        <f t="shared" ref="AM82:AW82" si="95">IF(ISERROR(LOOKUP(AM$6,$S82:$AB82,$S$9:$AB$9)),0,(LOOKUP(AM$6,$S82:$AB82,$S$9:$AB$9)))</f>
        <v>0</v>
      </c>
      <c r="AN82" s="93">
        <f t="shared" si="95"/>
        <v>0</v>
      </c>
      <c r="AO82" s="93">
        <f t="shared" si="95"/>
        <v>0</v>
      </c>
      <c r="AP82" s="93">
        <f t="shared" si="95"/>
        <v>0</v>
      </c>
      <c r="AQ82" s="93">
        <f t="shared" si="95"/>
        <v>0</v>
      </c>
      <c r="AR82" s="93">
        <f t="shared" si="95"/>
        <v>0</v>
      </c>
      <c r="AS82" s="93">
        <f t="shared" si="95"/>
        <v>0</v>
      </c>
      <c r="AT82" s="93">
        <f t="shared" si="95"/>
        <v>0</v>
      </c>
      <c r="AU82" s="93">
        <f t="shared" si="95"/>
        <v>0</v>
      </c>
      <c r="AV82" s="93">
        <f t="shared" si="95"/>
        <v>0</v>
      </c>
      <c r="AW82" s="93">
        <f t="shared" ca="1" si="95"/>
        <v>0</v>
      </c>
      <c r="BB82" s="94" t="e">
        <v>#REF!</v>
      </c>
    </row>
    <row r="83" spans="1:54" s="20" customFormat="1" ht="18" customHeight="1">
      <c r="A83" s="514"/>
      <c r="B83" s="95"/>
      <c r="C83" s="508"/>
      <c r="D83" s="96" t="str">
        <f>D82</f>
        <v>INS</v>
      </c>
      <c r="E83" s="97" t="str">
        <f>E82</f>
        <v>RFQ-025</v>
      </c>
      <c r="F83" s="98" t="str">
        <f>F82</f>
        <v>N</v>
      </c>
      <c r="G83" s="505"/>
      <c r="H83" s="98" t="str">
        <f>H82</f>
        <v>Actuated Compact Ball Valve</v>
      </c>
      <c r="I83" s="97" t="str">
        <f>I82</f>
        <v>LB</v>
      </c>
      <c r="J83" s="98"/>
      <c r="K83" s="100"/>
      <c r="L83" s="100">
        <f>M84</f>
        <v>0.01</v>
      </c>
      <c r="M83" s="100"/>
      <c r="N83" s="97"/>
      <c r="O83" s="97"/>
      <c r="P83" s="97"/>
      <c r="Q83" s="101" t="s">
        <v>4860</v>
      </c>
      <c r="R83" s="101"/>
      <c r="S83" s="102" t="e">
        <f>S82</f>
        <v>#REF!</v>
      </c>
      <c r="T83" s="103" t="e">
        <f>T82</f>
        <v>#REF!</v>
      </c>
      <c r="U83" s="103" t="e">
        <f t="shared" ref="U83:Z83" si="96">WORKDAY(IF(T84="",T83,T84),INDEX(U$2:U$5,MATCH($I82,$I$2:$I$5,0)),$BB$10:$BB$141)</f>
        <v>#REF!</v>
      </c>
      <c r="V83" s="103" t="e">
        <f t="shared" si="96"/>
        <v>#REF!</v>
      </c>
      <c r="W83" s="103" t="e">
        <f t="shared" si="96"/>
        <v>#REF!</v>
      </c>
      <c r="X83" s="103" t="e">
        <f t="shared" si="96"/>
        <v>#REF!</v>
      </c>
      <c r="Y83" s="103" t="e">
        <f t="shared" si="96"/>
        <v>#REF!</v>
      </c>
      <c r="Z83" s="103" t="e">
        <f t="shared" si="96"/>
        <v>#REF!</v>
      </c>
      <c r="AA83" s="103" t="e">
        <f>WORKDAY(IF(Z84="",X83,Z84),INDEX(AA$2:AA$5,MATCH($I82,$I$2:$I$5,0)),$BB$10:$BB$141)</f>
        <v>#REF!</v>
      </c>
      <c r="AB83" s="104" t="e">
        <f>WORKDAY(AE82+#REF!,0,'[35]Equipment List and MR List (3)'!$A$2:$A$80)</f>
        <v>#REF!</v>
      </c>
      <c r="AC83" s="502"/>
      <c r="AD83" s="105"/>
      <c r="AE83" s="500"/>
      <c r="AF83" s="493"/>
      <c r="AG83" s="490"/>
      <c r="AH83" s="106"/>
      <c r="AI83" s="107"/>
      <c r="AJ83" s="487"/>
      <c r="AK83" s="108"/>
      <c r="AL83" s="109"/>
      <c r="AM83" s="92">
        <f t="shared" ref="AM83:AW83" si="97">IF(ISERROR(LOOKUP(AM$6,$S83:$AB83,$S$9:$AB$9)),0,(LOOKUP(AM$6,$S83:$AB83,$S$9:$AB$9)))</f>
        <v>0</v>
      </c>
      <c r="AN83" s="93">
        <f t="shared" si="97"/>
        <v>0</v>
      </c>
      <c r="AO83" s="93">
        <f t="shared" si="97"/>
        <v>0</v>
      </c>
      <c r="AP83" s="93">
        <f t="shared" si="97"/>
        <v>0</v>
      </c>
      <c r="AQ83" s="93">
        <f t="shared" si="97"/>
        <v>0</v>
      </c>
      <c r="AR83" s="93">
        <f t="shared" si="97"/>
        <v>0</v>
      </c>
      <c r="AS83" s="93">
        <f t="shared" si="97"/>
        <v>0</v>
      </c>
      <c r="AT83" s="93">
        <f t="shared" si="97"/>
        <v>0</v>
      </c>
      <c r="AU83" s="93">
        <f t="shared" si="97"/>
        <v>0</v>
      </c>
      <c r="AV83" s="93">
        <f t="shared" si="97"/>
        <v>0</v>
      </c>
      <c r="AW83" s="93">
        <f t="shared" ca="1" si="97"/>
        <v>0</v>
      </c>
      <c r="BB83" s="94" t="e">
        <v>#REF!</v>
      </c>
    </row>
    <row r="84" spans="1:54" s="20" customFormat="1" ht="18" customHeight="1">
      <c r="A84" s="515"/>
      <c r="B84" s="110"/>
      <c r="C84" s="509"/>
      <c r="D84" s="111" t="str">
        <f>D82</f>
        <v>INS</v>
      </c>
      <c r="E84" s="112" t="str">
        <f>E82</f>
        <v>RFQ-025</v>
      </c>
      <c r="F84" s="113" t="str">
        <f>F82</f>
        <v>N</v>
      </c>
      <c r="G84" s="506"/>
      <c r="H84" s="113" t="str">
        <f>H82</f>
        <v>Actuated Compact Ball Valve</v>
      </c>
      <c r="I84" s="112" t="str">
        <f>I82</f>
        <v>LB</v>
      </c>
      <c r="J84" s="113"/>
      <c r="K84" s="114"/>
      <c r="L84" s="114"/>
      <c r="M84" s="114">
        <v>0.01</v>
      </c>
      <c r="N84" s="112"/>
      <c r="O84" s="112"/>
      <c r="P84" s="112"/>
      <c r="Q84" s="115" t="s">
        <v>4861</v>
      </c>
      <c r="R84" s="115"/>
      <c r="S84" s="126"/>
      <c r="T84" s="126"/>
      <c r="U84" s="126"/>
      <c r="V84" s="126"/>
      <c r="W84" s="126"/>
      <c r="X84" s="126"/>
      <c r="Y84" s="126"/>
      <c r="Z84" s="126"/>
      <c r="AA84" s="126"/>
      <c r="AB84" s="126"/>
      <c r="AC84" s="503"/>
      <c r="AD84" s="116"/>
      <c r="AE84" s="500"/>
      <c r="AF84" s="494"/>
      <c r="AG84" s="491"/>
      <c r="AH84" s="117"/>
      <c r="AI84" s="118"/>
      <c r="AJ84" s="488"/>
      <c r="AK84" s="119"/>
      <c r="AL84" s="120"/>
      <c r="AM84" s="121">
        <f t="shared" ref="AM84:AW84" si="98">IF(ISERROR(LOOKUP(AM$6,$S84:$AB84,$S$9:$AB$9)),0,(LOOKUP(AM$6,$S84:$AB84,$S$9:$AB$9)))</f>
        <v>0</v>
      </c>
      <c r="AN84" s="122">
        <f t="shared" si="98"/>
        <v>0</v>
      </c>
      <c r="AO84" s="122">
        <f t="shared" si="98"/>
        <v>0</v>
      </c>
      <c r="AP84" s="122">
        <f t="shared" si="98"/>
        <v>0</v>
      </c>
      <c r="AQ84" s="122">
        <f t="shared" si="98"/>
        <v>0</v>
      </c>
      <c r="AR84" s="122">
        <f t="shared" si="98"/>
        <v>0</v>
      </c>
      <c r="AS84" s="122">
        <f t="shared" si="98"/>
        <v>0</v>
      </c>
      <c r="AT84" s="122">
        <f t="shared" si="98"/>
        <v>0</v>
      </c>
      <c r="AU84" s="122">
        <f t="shared" si="98"/>
        <v>0</v>
      </c>
      <c r="AV84" s="122">
        <f t="shared" si="98"/>
        <v>0</v>
      </c>
      <c r="AW84" s="122">
        <f t="shared" ca="1" si="98"/>
        <v>0</v>
      </c>
      <c r="BB84" s="94" t="e">
        <v>#REF!</v>
      </c>
    </row>
    <row r="85" spans="1:54" s="20" customFormat="1" ht="18" customHeight="1">
      <c r="A85" s="513">
        <f>A82+1</f>
        <v>26</v>
      </c>
      <c r="B85" s="79"/>
      <c r="C85" s="507" t="s">
        <v>4855</v>
      </c>
      <c r="D85" s="80" t="s">
        <v>4887</v>
      </c>
      <c r="E85" s="81" t="s">
        <v>4769</v>
      </c>
      <c r="F85" s="82" t="s">
        <v>75</v>
      </c>
      <c r="G85" s="504" t="s">
        <v>4892</v>
      </c>
      <c r="H85" s="82" t="s">
        <v>149</v>
      </c>
      <c r="I85" s="81" t="s">
        <v>7</v>
      </c>
      <c r="J85" s="82"/>
      <c r="K85" s="84">
        <f>M87</f>
        <v>0.02</v>
      </c>
      <c r="L85" s="84"/>
      <c r="M85" s="84"/>
      <c r="N85" s="81"/>
      <c r="O85" s="81"/>
      <c r="P85" s="81"/>
      <c r="Q85" s="85" t="s">
        <v>4858</v>
      </c>
      <c r="R85" s="86">
        <f>'Before Award'!U92+5</f>
        <v>46361</v>
      </c>
      <c r="S85" s="86" t="e">
        <f>WORKDAY(R85,INDEX(S$2:S$5,MATCH($I85,$I$2:$I$5,0)),$BB$10:$BB$141)</f>
        <v>#REF!</v>
      </c>
      <c r="T85" s="86" t="e">
        <f>WORKDAY(S85,INDEX(T$2:T$5,MATCH($I85,$I$2:$I$5,0)),$BB$10:$BB$141)</f>
        <v>#REF!</v>
      </c>
      <c r="U85" s="86" t="e">
        <f>T85+30</f>
        <v>#REF!</v>
      </c>
      <c r="V85" s="86"/>
      <c r="W85" s="86">
        <f>AB85-35</f>
        <v>46503</v>
      </c>
      <c r="X85" s="86"/>
      <c r="Y85" s="86"/>
      <c r="Z85" s="86"/>
      <c r="AA85" s="86"/>
      <c r="AB85" s="86">
        <f>'Before Award'!X92</f>
        <v>46538</v>
      </c>
      <c r="AC85" s="501" t="s">
        <v>4859</v>
      </c>
      <c r="AD85" s="87">
        <v>7</v>
      </c>
      <c r="AE85" s="500">
        <v>184</v>
      </c>
      <c r="AF85" s="492" t="e">
        <f>AB86</f>
        <v>#REF!</v>
      </c>
      <c r="AG85" s="489">
        <f>WORKDAY(AH85+1,-1,$BA$10:$BA$141)</f>
        <v>46538</v>
      </c>
      <c r="AH85" s="88">
        <v>46538</v>
      </c>
      <c r="AI85" s="89"/>
      <c r="AJ85" s="486" t="e">
        <f>AG85-AF85</f>
        <v>#REF!</v>
      </c>
      <c r="AK85" s="90"/>
      <c r="AL85" s="91"/>
      <c r="AM85" s="92">
        <f t="shared" ref="AM85:AW85" si="99">IF(ISERROR(LOOKUP(AM$6,$S85:$AB85,$S$9:$AB$9)),0,(LOOKUP(AM$6,$S85:$AB85,$S$9:$AB$9)))</f>
        <v>0</v>
      </c>
      <c r="AN85" s="93">
        <f t="shared" si="99"/>
        <v>0</v>
      </c>
      <c r="AO85" s="93">
        <f t="shared" si="99"/>
        <v>0</v>
      </c>
      <c r="AP85" s="93">
        <f t="shared" si="99"/>
        <v>0</v>
      </c>
      <c r="AQ85" s="93">
        <f t="shared" si="99"/>
        <v>0</v>
      </c>
      <c r="AR85" s="93">
        <f t="shared" si="99"/>
        <v>0</v>
      </c>
      <c r="AS85" s="93">
        <f t="shared" si="99"/>
        <v>0</v>
      </c>
      <c r="AT85" s="93">
        <f t="shared" si="99"/>
        <v>0</v>
      </c>
      <c r="AU85" s="93">
        <f t="shared" si="99"/>
        <v>0</v>
      </c>
      <c r="AV85" s="93">
        <f t="shared" si="99"/>
        <v>0</v>
      </c>
      <c r="AW85" s="93">
        <f t="shared" ca="1" si="99"/>
        <v>0</v>
      </c>
      <c r="BB85" s="94" t="e">
        <v>#REF!</v>
      </c>
    </row>
    <row r="86" spans="1:54" s="20" customFormat="1" ht="18" customHeight="1">
      <c r="A86" s="514"/>
      <c r="B86" s="95"/>
      <c r="C86" s="508"/>
      <c r="D86" s="96" t="str">
        <f>D85</f>
        <v>INS</v>
      </c>
      <c r="E86" s="97" t="str">
        <f>E85</f>
        <v>RFQ-026</v>
      </c>
      <c r="F86" s="98" t="str">
        <f>F85</f>
        <v>N</v>
      </c>
      <c r="G86" s="505"/>
      <c r="H86" s="98" t="str">
        <f>H85</f>
        <v>Safety Relief Valves</v>
      </c>
      <c r="I86" s="97" t="str">
        <f>I85</f>
        <v>LB</v>
      </c>
      <c r="J86" s="98"/>
      <c r="K86" s="100"/>
      <c r="L86" s="100">
        <f>M87</f>
        <v>0.02</v>
      </c>
      <c r="M86" s="100"/>
      <c r="N86" s="97"/>
      <c r="O86" s="97"/>
      <c r="P86" s="97"/>
      <c r="Q86" s="101" t="s">
        <v>4860</v>
      </c>
      <c r="R86" s="101"/>
      <c r="S86" s="102" t="e">
        <f>S85</f>
        <v>#REF!</v>
      </c>
      <c r="T86" s="103" t="e">
        <f>T85</f>
        <v>#REF!</v>
      </c>
      <c r="U86" s="103" t="e">
        <f t="shared" ref="U86:Z86" si="100">WORKDAY(IF(T87="",T86,T87),INDEX(U$2:U$5,MATCH($I85,$I$2:$I$5,0)),$BB$10:$BB$141)</f>
        <v>#REF!</v>
      </c>
      <c r="V86" s="103" t="e">
        <f t="shared" si="100"/>
        <v>#REF!</v>
      </c>
      <c r="W86" s="103" t="e">
        <f t="shared" si="100"/>
        <v>#REF!</v>
      </c>
      <c r="X86" s="103" t="e">
        <f t="shared" si="100"/>
        <v>#REF!</v>
      </c>
      <c r="Y86" s="103" t="e">
        <f t="shared" si="100"/>
        <v>#REF!</v>
      </c>
      <c r="Z86" s="103" t="e">
        <f t="shared" si="100"/>
        <v>#REF!</v>
      </c>
      <c r="AA86" s="103" t="e">
        <f>WORKDAY(IF(Z87="",X86,Z87),INDEX(AA$2:AA$5,MATCH($I85,$I$2:$I$5,0)),$BB$10:$BB$141)</f>
        <v>#REF!</v>
      </c>
      <c r="AB86" s="104" t="e">
        <f>WORKDAY(AE85+#REF!,0,'[35]Equipment List and MR List (3)'!$A$2:$A$80)</f>
        <v>#REF!</v>
      </c>
      <c r="AC86" s="502"/>
      <c r="AD86" s="105"/>
      <c r="AE86" s="500"/>
      <c r="AF86" s="493"/>
      <c r="AG86" s="490"/>
      <c r="AH86" s="106"/>
      <c r="AI86" s="107"/>
      <c r="AJ86" s="487"/>
      <c r="AK86" s="108"/>
      <c r="AL86" s="109"/>
      <c r="AM86" s="92">
        <f t="shared" ref="AM86:AW86" si="101">IF(ISERROR(LOOKUP(AM$6,$S86:$AB86,$S$9:$AB$9)),0,(LOOKUP(AM$6,$S86:$AB86,$S$9:$AB$9)))</f>
        <v>0</v>
      </c>
      <c r="AN86" s="93">
        <f t="shared" si="101"/>
        <v>0</v>
      </c>
      <c r="AO86" s="93">
        <f t="shared" si="101"/>
        <v>0</v>
      </c>
      <c r="AP86" s="93">
        <f t="shared" si="101"/>
        <v>0</v>
      </c>
      <c r="AQ86" s="93">
        <f t="shared" si="101"/>
        <v>0</v>
      </c>
      <c r="AR86" s="93">
        <f t="shared" si="101"/>
        <v>0</v>
      </c>
      <c r="AS86" s="93">
        <f t="shared" si="101"/>
        <v>0</v>
      </c>
      <c r="AT86" s="93">
        <f t="shared" si="101"/>
        <v>0</v>
      </c>
      <c r="AU86" s="93">
        <f t="shared" si="101"/>
        <v>0</v>
      </c>
      <c r="AV86" s="93">
        <f t="shared" si="101"/>
        <v>0</v>
      </c>
      <c r="AW86" s="93">
        <f t="shared" ca="1" si="101"/>
        <v>0</v>
      </c>
      <c r="BB86" s="94" t="e">
        <v>#REF!</v>
      </c>
    </row>
    <row r="87" spans="1:54" s="20" customFormat="1" ht="18" customHeight="1">
      <c r="A87" s="515"/>
      <c r="B87" s="110"/>
      <c r="C87" s="509"/>
      <c r="D87" s="111" t="str">
        <f>D85</f>
        <v>INS</v>
      </c>
      <c r="E87" s="112" t="str">
        <f>E85</f>
        <v>RFQ-026</v>
      </c>
      <c r="F87" s="113" t="str">
        <f>F85</f>
        <v>N</v>
      </c>
      <c r="G87" s="506"/>
      <c r="H87" s="113" t="str">
        <f>H85</f>
        <v>Safety Relief Valves</v>
      </c>
      <c r="I87" s="112" t="str">
        <f>I85</f>
        <v>LB</v>
      </c>
      <c r="J87" s="113"/>
      <c r="K87" s="114"/>
      <c r="L87" s="114"/>
      <c r="M87" s="114">
        <v>0.02</v>
      </c>
      <c r="N87" s="112"/>
      <c r="O87" s="112"/>
      <c r="P87" s="112"/>
      <c r="Q87" s="115" t="s">
        <v>4861</v>
      </c>
      <c r="R87" s="115"/>
      <c r="S87" s="126"/>
      <c r="T87" s="126"/>
      <c r="U87" s="126"/>
      <c r="V87" s="126"/>
      <c r="W87" s="126"/>
      <c r="X87" s="126"/>
      <c r="Y87" s="126"/>
      <c r="Z87" s="126"/>
      <c r="AA87" s="126"/>
      <c r="AB87" s="126"/>
      <c r="AC87" s="503"/>
      <c r="AD87" s="116"/>
      <c r="AE87" s="500"/>
      <c r="AF87" s="494"/>
      <c r="AG87" s="491"/>
      <c r="AH87" s="117"/>
      <c r="AI87" s="118"/>
      <c r="AJ87" s="488"/>
      <c r="AK87" s="119"/>
      <c r="AL87" s="120"/>
      <c r="AM87" s="121">
        <f t="shared" ref="AM87:AW87" si="102">IF(ISERROR(LOOKUP(AM$6,$S87:$AB87,$S$9:$AB$9)),0,(LOOKUP(AM$6,$S87:$AB87,$S$9:$AB$9)))</f>
        <v>0</v>
      </c>
      <c r="AN87" s="122">
        <f t="shared" si="102"/>
        <v>0</v>
      </c>
      <c r="AO87" s="122">
        <f t="shared" si="102"/>
        <v>0</v>
      </c>
      <c r="AP87" s="122">
        <f t="shared" si="102"/>
        <v>0</v>
      </c>
      <c r="AQ87" s="122">
        <f t="shared" si="102"/>
        <v>0</v>
      </c>
      <c r="AR87" s="122">
        <f t="shared" si="102"/>
        <v>0</v>
      </c>
      <c r="AS87" s="122">
        <f t="shared" si="102"/>
        <v>0</v>
      </c>
      <c r="AT87" s="122">
        <f t="shared" si="102"/>
        <v>0</v>
      </c>
      <c r="AU87" s="122">
        <f t="shared" si="102"/>
        <v>0</v>
      </c>
      <c r="AV87" s="122">
        <f t="shared" si="102"/>
        <v>0</v>
      </c>
      <c r="AW87" s="122">
        <f t="shared" ca="1" si="102"/>
        <v>0</v>
      </c>
      <c r="BB87" s="94" t="e">
        <v>#REF!</v>
      </c>
    </row>
    <row r="88" spans="1:54" s="20" customFormat="1" ht="18" customHeight="1">
      <c r="A88" s="513">
        <f>A85+1</f>
        <v>27</v>
      </c>
      <c r="B88" s="79"/>
      <c r="C88" s="507" t="s">
        <v>4855</v>
      </c>
      <c r="D88" s="80" t="s">
        <v>4887</v>
      </c>
      <c r="E88" s="81" t="s">
        <v>4770</v>
      </c>
      <c r="F88" s="82" t="s">
        <v>75</v>
      </c>
      <c r="G88" s="504" t="s">
        <v>4893</v>
      </c>
      <c r="H88" s="82" t="s">
        <v>152</v>
      </c>
      <c r="I88" s="81" t="s">
        <v>8</v>
      </c>
      <c r="J88" s="82"/>
      <c r="K88" s="84">
        <f>M90</f>
        <v>0.04</v>
      </c>
      <c r="L88" s="84"/>
      <c r="M88" s="84"/>
      <c r="N88" s="81"/>
      <c r="O88" s="81"/>
      <c r="P88" s="81"/>
      <c r="Q88" s="85" t="s">
        <v>4858</v>
      </c>
      <c r="R88" s="86">
        <f>'Before Award'!U95+5</f>
        <v>46398</v>
      </c>
      <c r="S88" s="86" t="e">
        <f>WORKDAY(R88,INDEX(S$2:S$5,MATCH($I88,$I$2:$I$5,0)),$BB$10:$BB$141)</f>
        <v>#REF!</v>
      </c>
      <c r="T88" s="86" t="e">
        <f>WORKDAY(S88,INDEX(T$2:T$5,MATCH($I88,$I$2:$I$5,0)),$BB$10:$BB$141)</f>
        <v>#REF!</v>
      </c>
      <c r="U88" s="86" t="e">
        <f>T88+30</f>
        <v>#REF!</v>
      </c>
      <c r="V88" s="86"/>
      <c r="W88" s="86">
        <f>AB88-35</f>
        <v>46503</v>
      </c>
      <c r="X88" s="86"/>
      <c r="Y88" s="86"/>
      <c r="Z88" s="86"/>
      <c r="AA88" s="86"/>
      <c r="AB88" s="86">
        <f>'Before Award'!X95</f>
        <v>46538</v>
      </c>
      <c r="AC88" s="501" t="s">
        <v>4859</v>
      </c>
      <c r="AD88" s="87">
        <v>7</v>
      </c>
      <c r="AE88" s="500">
        <v>145</v>
      </c>
      <c r="AF88" s="492" t="e">
        <f>AB89</f>
        <v>#REF!</v>
      </c>
      <c r="AG88" s="489">
        <f>WORKDAY(AH88+1,-1,$BA$10:$BA$141)</f>
        <v>46538</v>
      </c>
      <c r="AH88" s="88">
        <v>46538</v>
      </c>
      <c r="AI88" s="89"/>
      <c r="AJ88" s="486" t="e">
        <f>AG88-AF88</f>
        <v>#REF!</v>
      </c>
      <c r="AK88" s="90"/>
      <c r="AL88" s="91"/>
      <c r="AM88" s="92">
        <f t="shared" ref="AM88:AW88" si="103">IF(ISERROR(LOOKUP(AM$6,$S88:$AB88,$S$9:$AB$9)),0,(LOOKUP(AM$6,$S88:$AB88,$S$9:$AB$9)))</f>
        <v>0</v>
      </c>
      <c r="AN88" s="93">
        <f t="shared" si="103"/>
        <v>0</v>
      </c>
      <c r="AO88" s="93">
        <f t="shared" si="103"/>
        <v>0</v>
      </c>
      <c r="AP88" s="93">
        <f t="shared" si="103"/>
        <v>0</v>
      </c>
      <c r="AQ88" s="93">
        <f t="shared" si="103"/>
        <v>0</v>
      </c>
      <c r="AR88" s="93">
        <f t="shared" si="103"/>
        <v>0</v>
      </c>
      <c r="AS88" s="93">
        <f t="shared" si="103"/>
        <v>0</v>
      </c>
      <c r="AT88" s="93">
        <f t="shared" si="103"/>
        <v>0</v>
      </c>
      <c r="AU88" s="93">
        <f t="shared" si="103"/>
        <v>0</v>
      </c>
      <c r="AV88" s="93">
        <f t="shared" si="103"/>
        <v>0</v>
      </c>
      <c r="AW88" s="93">
        <f t="shared" ca="1" si="103"/>
        <v>0</v>
      </c>
      <c r="BB88" s="94" t="e">
        <v>#REF!</v>
      </c>
    </row>
    <row r="89" spans="1:54" s="20" customFormat="1" ht="18" customHeight="1">
      <c r="A89" s="514"/>
      <c r="B89" s="79"/>
      <c r="C89" s="508"/>
      <c r="D89" s="96" t="str">
        <f>D88</f>
        <v>INS</v>
      </c>
      <c r="E89" s="97" t="str">
        <f>E88</f>
        <v>RFQ-027</v>
      </c>
      <c r="F89" s="98" t="str">
        <f>F88</f>
        <v>N</v>
      </c>
      <c r="G89" s="505"/>
      <c r="H89" s="98" t="str">
        <f>H88</f>
        <v>Coriolis Flow Meters</v>
      </c>
      <c r="I89" s="97" t="str">
        <f>I88</f>
        <v>LC</v>
      </c>
      <c r="J89" s="98"/>
      <c r="K89" s="100"/>
      <c r="L89" s="100">
        <f>M90</f>
        <v>0.04</v>
      </c>
      <c r="M89" s="100"/>
      <c r="N89" s="97"/>
      <c r="O89" s="97"/>
      <c r="P89" s="97"/>
      <c r="Q89" s="101" t="s">
        <v>4860</v>
      </c>
      <c r="R89" s="101"/>
      <c r="S89" s="102" t="e">
        <f>S88</f>
        <v>#REF!</v>
      </c>
      <c r="T89" s="103" t="e">
        <f>T88</f>
        <v>#REF!</v>
      </c>
      <c r="U89" s="103" t="e">
        <f t="shared" ref="U89:Z89" si="104">WORKDAY(IF(T90="",T89,T90),INDEX(U$2:U$5,MATCH($I88,$I$2:$I$5,0)),$BB$10:$BB$141)</f>
        <v>#REF!</v>
      </c>
      <c r="V89" s="103" t="e">
        <f t="shared" si="104"/>
        <v>#REF!</v>
      </c>
      <c r="W89" s="103" t="e">
        <f t="shared" si="104"/>
        <v>#REF!</v>
      </c>
      <c r="X89" s="103" t="e">
        <f t="shared" si="104"/>
        <v>#REF!</v>
      </c>
      <c r="Y89" s="103" t="e">
        <f t="shared" si="104"/>
        <v>#REF!</v>
      </c>
      <c r="Z89" s="103" t="e">
        <f t="shared" si="104"/>
        <v>#REF!</v>
      </c>
      <c r="AA89" s="103" t="e">
        <f>WORKDAY(IF(Z90="",X89,Z90),INDEX(AA$2:AA$5,MATCH($I88,$I$2:$I$5,0)),$BB$10:$BB$141)</f>
        <v>#REF!</v>
      </c>
      <c r="AB89" s="104" t="e">
        <f>WORKDAY(AE88+#REF!,0,'[35]Equipment List and MR List (3)'!$A$2:$A$80)</f>
        <v>#REF!</v>
      </c>
      <c r="AC89" s="502"/>
      <c r="AD89" s="105"/>
      <c r="AE89" s="500"/>
      <c r="AF89" s="493"/>
      <c r="AG89" s="490"/>
      <c r="AH89" s="106"/>
      <c r="AI89" s="107"/>
      <c r="AJ89" s="487"/>
      <c r="AK89" s="108"/>
      <c r="AL89" s="109"/>
      <c r="AM89" s="92">
        <f t="shared" ref="AM89:AW89" si="105">IF(ISERROR(LOOKUP(AM$6,$S89:$AB89,$S$9:$AB$9)),0,(LOOKUP(AM$6,$S89:$AB89,$S$9:$AB$9)))</f>
        <v>0</v>
      </c>
      <c r="AN89" s="93">
        <f t="shared" si="105"/>
        <v>0</v>
      </c>
      <c r="AO89" s="93">
        <f t="shared" si="105"/>
        <v>0</v>
      </c>
      <c r="AP89" s="93">
        <f t="shared" si="105"/>
        <v>0</v>
      </c>
      <c r="AQ89" s="93">
        <f t="shared" si="105"/>
        <v>0</v>
      </c>
      <c r="AR89" s="93">
        <f t="shared" si="105"/>
        <v>0</v>
      </c>
      <c r="AS89" s="93">
        <f t="shared" si="105"/>
        <v>0</v>
      </c>
      <c r="AT89" s="93">
        <f t="shared" si="105"/>
        <v>0</v>
      </c>
      <c r="AU89" s="93">
        <f t="shared" si="105"/>
        <v>0</v>
      </c>
      <c r="AV89" s="93">
        <f t="shared" si="105"/>
        <v>0</v>
      </c>
      <c r="AW89" s="93">
        <f t="shared" ca="1" si="105"/>
        <v>0</v>
      </c>
      <c r="BB89" s="94" t="e" cm="1">
        <f t="array" ref="BB89:BB167">'[35]Procurement progress '!$A$2:$A$80</f>
        <v>#REF!</v>
      </c>
    </row>
    <row r="90" spans="1:54" s="20" customFormat="1" ht="18" customHeight="1">
      <c r="A90" s="515"/>
      <c r="B90" s="79"/>
      <c r="C90" s="509"/>
      <c r="D90" s="111" t="str">
        <f>D88</f>
        <v>INS</v>
      </c>
      <c r="E90" s="112" t="str">
        <f>E88</f>
        <v>RFQ-027</v>
      </c>
      <c r="F90" s="113" t="str">
        <f>F88</f>
        <v>N</v>
      </c>
      <c r="G90" s="506"/>
      <c r="H90" s="113" t="str">
        <f>H88</f>
        <v>Coriolis Flow Meters</v>
      </c>
      <c r="I90" s="112" t="str">
        <f>I88</f>
        <v>LC</v>
      </c>
      <c r="J90" s="113"/>
      <c r="K90" s="114"/>
      <c r="L90" s="114"/>
      <c r="M90" s="114">
        <v>0.04</v>
      </c>
      <c r="N90" s="112"/>
      <c r="O90" s="112"/>
      <c r="P90" s="112"/>
      <c r="Q90" s="115" t="s">
        <v>4861</v>
      </c>
      <c r="R90" s="115"/>
      <c r="S90" s="126"/>
      <c r="T90" s="126"/>
      <c r="U90" s="126"/>
      <c r="V90" s="126"/>
      <c r="W90" s="126"/>
      <c r="X90" s="126"/>
      <c r="Y90" s="126"/>
      <c r="Z90" s="126"/>
      <c r="AA90" s="126"/>
      <c r="AB90" s="126"/>
      <c r="AC90" s="503"/>
      <c r="AD90" s="116"/>
      <c r="AE90" s="500"/>
      <c r="AF90" s="494"/>
      <c r="AG90" s="491"/>
      <c r="AH90" s="117"/>
      <c r="AI90" s="118"/>
      <c r="AJ90" s="488"/>
      <c r="AK90" s="119"/>
      <c r="AL90" s="120"/>
      <c r="AM90" s="121">
        <f t="shared" ref="AM90:AW90" si="106">IF(ISERROR(LOOKUP(AM$6,$S90:$AB90,$S$9:$AB$9)),0,(LOOKUP(AM$6,$S90:$AB90,$S$9:$AB$9)))</f>
        <v>0</v>
      </c>
      <c r="AN90" s="122">
        <f t="shared" si="106"/>
        <v>0</v>
      </c>
      <c r="AO90" s="122">
        <f t="shared" si="106"/>
        <v>0</v>
      </c>
      <c r="AP90" s="122">
        <f t="shared" si="106"/>
        <v>0</v>
      </c>
      <c r="AQ90" s="122">
        <f t="shared" si="106"/>
        <v>0</v>
      </c>
      <c r="AR90" s="122">
        <f t="shared" si="106"/>
        <v>0</v>
      </c>
      <c r="AS90" s="122">
        <f t="shared" si="106"/>
        <v>0</v>
      </c>
      <c r="AT90" s="122">
        <f t="shared" si="106"/>
        <v>0</v>
      </c>
      <c r="AU90" s="122">
        <f t="shared" si="106"/>
        <v>0</v>
      </c>
      <c r="AV90" s="122">
        <f t="shared" si="106"/>
        <v>0</v>
      </c>
      <c r="AW90" s="122">
        <f t="shared" ca="1" si="106"/>
        <v>0</v>
      </c>
      <c r="BB90" s="94" t="e">
        <v>#REF!</v>
      </c>
    </row>
    <row r="91" spans="1:54" s="20" customFormat="1" ht="18" customHeight="1">
      <c r="A91" s="513">
        <f>A88+1</f>
        <v>28</v>
      </c>
      <c r="B91" s="510" t="s">
        <v>4894</v>
      </c>
      <c r="C91" s="507" t="s">
        <v>4855</v>
      </c>
      <c r="D91" s="80" t="s">
        <v>4887</v>
      </c>
      <c r="E91" s="81" t="s">
        <v>4771</v>
      </c>
      <c r="F91" s="82" t="s">
        <v>67</v>
      </c>
      <c r="G91" s="504" t="s">
        <v>4895</v>
      </c>
      <c r="H91" s="123" t="s">
        <v>4772</v>
      </c>
      <c r="I91" s="81" t="s">
        <v>7</v>
      </c>
      <c r="J91" s="82"/>
      <c r="K91" s="84">
        <f>M93</f>
        <v>0.03</v>
      </c>
      <c r="L91" s="84"/>
      <c r="M91" s="84"/>
      <c r="N91" s="81"/>
      <c r="O91" s="81"/>
      <c r="P91" s="81"/>
      <c r="Q91" s="85" t="s">
        <v>4858</v>
      </c>
      <c r="R91" s="86">
        <f>'Before Award'!U98+5</f>
        <v>46229</v>
      </c>
      <c r="S91" s="86" t="e">
        <f>WORKDAY(R91,INDEX(S$2:S$5,MATCH($I91,$I$2:$I$5,0)),$BB$10:$BB$141)</f>
        <v>#REF!</v>
      </c>
      <c r="T91" s="86" t="e">
        <f>WORKDAY(S91,INDEX(T$2:T$5,MATCH($I91,$I$2:$I$5,0)),$BB$10:$BB$141)</f>
        <v>#REF!</v>
      </c>
      <c r="U91" s="86" t="e">
        <f>T91+30</f>
        <v>#REF!</v>
      </c>
      <c r="V91" s="86"/>
      <c r="W91" s="86">
        <f>AB91-35</f>
        <v>46441</v>
      </c>
      <c r="X91" s="86"/>
      <c r="Y91" s="86"/>
      <c r="Z91" s="86"/>
      <c r="AA91" s="86"/>
      <c r="AB91" s="86">
        <f>'Before Award'!X98</f>
        <v>46476</v>
      </c>
      <c r="AC91" s="501" t="s">
        <v>4859</v>
      </c>
      <c r="AD91" s="87">
        <v>7</v>
      </c>
      <c r="AE91" s="499">
        <v>252</v>
      </c>
      <c r="AF91" s="492" t="e">
        <f>AB92</f>
        <v>#REF!</v>
      </c>
      <c r="AG91" s="489">
        <f>WORKDAY(AH91+1,-1,$BA$10:$BA$141)</f>
        <v>46416</v>
      </c>
      <c r="AH91" s="88">
        <v>46417</v>
      </c>
      <c r="AI91" s="89"/>
      <c r="AJ91" s="486" t="e">
        <f>AG91-AF91</f>
        <v>#REF!</v>
      </c>
      <c r="AK91" s="90"/>
      <c r="AL91" s="91"/>
      <c r="AM91" s="92">
        <f t="shared" ref="AM91:AW91" si="107">IF(ISERROR(LOOKUP(AM$6,$S91:$AB91,$S$9:$AB$9)),0,(LOOKUP(AM$6,$S91:$AB91,$S$9:$AB$9)))</f>
        <v>0</v>
      </c>
      <c r="AN91" s="93">
        <f t="shared" si="107"/>
        <v>0</v>
      </c>
      <c r="AO91" s="93">
        <f t="shared" si="107"/>
        <v>0</v>
      </c>
      <c r="AP91" s="93">
        <f t="shared" si="107"/>
        <v>0</v>
      </c>
      <c r="AQ91" s="93">
        <f t="shared" si="107"/>
        <v>0</v>
      </c>
      <c r="AR91" s="93">
        <f t="shared" si="107"/>
        <v>0</v>
      </c>
      <c r="AS91" s="93">
        <f t="shared" si="107"/>
        <v>0</v>
      </c>
      <c r="AT91" s="93">
        <f t="shared" si="107"/>
        <v>0</v>
      </c>
      <c r="AU91" s="93">
        <f t="shared" si="107"/>
        <v>0</v>
      </c>
      <c r="AV91" s="93">
        <f t="shared" si="107"/>
        <v>0</v>
      </c>
      <c r="AW91" s="93">
        <f t="shared" ca="1" si="107"/>
        <v>0</v>
      </c>
      <c r="BB91" s="94" t="e">
        <v>#REF!</v>
      </c>
    </row>
    <row r="92" spans="1:54" s="20" customFormat="1" ht="18" customHeight="1">
      <c r="A92" s="514"/>
      <c r="B92" s="511"/>
      <c r="C92" s="508"/>
      <c r="D92" s="96" t="str">
        <f>D91</f>
        <v>INS</v>
      </c>
      <c r="E92" s="97" t="str">
        <f>E91</f>
        <v>RFQ-028</v>
      </c>
      <c r="F92" s="98" t="str">
        <f>F91</f>
        <v>Y</v>
      </c>
      <c r="G92" s="505"/>
      <c r="H92" s="124" t="str">
        <f>H91</f>
        <v>Wellhead Control Panel (WHCP)</v>
      </c>
      <c r="I92" s="97" t="str">
        <f>I91</f>
        <v>LB</v>
      </c>
      <c r="J92" s="98"/>
      <c r="K92" s="100"/>
      <c r="L92" s="100">
        <f>M93</f>
        <v>0.03</v>
      </c>
      <c r="M92" s="100"/>
      <c r="N92" s="97"/>
      <c r="O92" s="97"/>
      <c r="P92" s="97"/>
      <c r="Q92" s="101" t="s">
        <v>4860</v>
      </c>
      <c r="R92" s="101"/>
      <c r="S92" s="102" t="e">
        <f>S91</f>
        <v>#REF!</v>
      </c>
      <c r="T92" s="103" t="e">
        <f>T91</f>
        <v>#REF!</v>
      </c>
      <c r="U92" s="103" t="e">
        <f t="shared" ref="U92:Z92" si="108">WORKDAY(IF(T93="",T92,T93),INDEX(U$2:U$5,MATCH($I91,$I$2:$I$5,0)),$BB$10:$BB$141)</f>
        <v>#REF!</v>
      </c>
      <c r="V92" s="103" t="e">
        <f t="shared" si="108"/>
        <v>#REF!</v>
      </c>
      <c r="W92" s="103" t="e">
        <f t="shared" si="108"/>
        <v>#REF!</v>
      </c>
      <c r="X92" s="103" t="e">
        <f t="shared" si="108"/>
        <v>#REF!</v>
      </c>
      <c r="Y92" s="103" t="e">
        <f t="shared" si="108"/>
        <v>#REF!</v>
      </c>
      <c r="Z92" s="103" t="e">
        <f t="shared" si="108"/>
        <v>#REF!</v>
      </c>
      <c r="AA92" s="103" t="e">
        <f>WORKDAY(IF(Z93="",X92,Z93),INDEX(AA$2:AA$5,MATCH($I91,$I$2:$I$5,0)),$BB$10:$BB$141)</f>
        <v>#REF!</v>
      </c>
      <c r="AB92" s="104" t="e">
        <f>WORKDAY(AE91+#REF!,0,'[35]Equipment List and MR List (3)'!$A$2:$A$80)</f>
        <v>#REF!</v>
      </c>
      <c r="AC92" s="502"/>
      <c r="AD92" s="105"/>
      <c r="AE92" s="499"/>
      <c r="AF92" s="493"/>
      <c r="AG92" s="490"/>
      <c r="AH92" s="106"/>
      <c r="AI92" s="107"/>
      <c r="AJ92" s="487"/>
      <c r="AK92" s="108"/>
      <c r="AL92" s="109"/>
      <c r="AM92" s="92">
        <f t="shared" ref="AM92:AW92" si="109">IF(ISERROR(LOOKUP(AM$6,$S92:$AB92,$S$9:$AB$9)),0,(LOOKUP(AM$6,$S92:$AB92,$S$9:$AB$9)))</f>
        <v>0</v>
      </c>
      <c r="AN92" s="93">
        <f t="shared" si="109"/>
        <v>0</v>
      </c>
      <c r="AO92" s="93">
        <f t="shared" si="109"/>
        <v>0</v>
      </c>
      <c r="AP92" s="93">
        <f t="shared" si="109"/>
        <v>0</v>
      </c>
      <c r="AQ92" s="93">
        <f t="shared" si="109"/>
        <v>0</v>
      </c>
      <c r="AR92" s="93">
        <f t="shared" si="109"/>
        <v>0</v>
      </c>
      <c r="AS92" s="93">
        <f t="shared" si="109"/>
        <v>0</v>
      </c>
      <c r="AT92" s="93">
        <f t="shared" si="109"/>
        <v>0</v>
      </c>
      <c r="AU92" s="93">
        <f t="shared" si="109"/>
        <v>0</v>
      </c>
      <c r="AV92" s="93">
        <f t="shared" si="109"/>
        <v>0</v>
      </c>
      <c r="AW92" s="93">
        <f t="shared" ca="1" si="109"/>
        <v>0</v>
      </c>
      <c r="BB92" s="94" t="e">
        <v>#REF!</v>
      </c>
    </row>
    <row r="93" spans="1:54" s="20" customFormat="1" ht="18" customHeight="1">
      <c r="A93" s="515"/>
      <c r="B93" s="512"/>
      <c r="C93" s="509"/>
      <c r="D93" s="111" t="str">
        <f>D91</f>
        <v>INS</v>
      </c>
      <c r="E93" s="112" t="str">
        <f>E91</f>
        <v>RFQ-028</v>
      </c>
      <c r="F93" s="113" t="str">
        <f>F91</f>
        <v>Y</v>
      </c>
      <c r="G93" s="506"/>
      <c r="H93" s="124" t="str">
        <f>H91</f>
        <v>Wellhead Control Panel (WHCP)</v>
      </c>
      <c r="I93" s="112" t="str">
        <f>I91</f>
        <v>LB</v>
      </c>
      <c r="J93" s="113"/>
      <c r="K93" s="114"/>
      <c r="L93" s="114"/>
      <c r="M93" s="114">
        <v>0.03</v>
      </c>
      <c r="N93" s="112"/>
      <c r="O93" s="112"/>
      <c r="P93" s="112"/>
      <c r="Q93" s="115" t="s">
        <v>4861</v>
      </c>
      <c r="R93" s="115"/>
      <c r="S93" s="126"/>
      <c r="T93" s="126"/>
      <c r="U93" s="126"/>
      <c r="V93" s="126"/>
      <c r="W93" s="126"/>
      <c r="X93" s="126"/>
      <c r="Y93" s="126"/>
      <c r="Z93" s="126"/>
      <c r="AA93" s="126"/>
      <c r="AB93" s="126"/>
      <c r="AC93" s="503"/>
      <c r="AD93" s="116"/>
      <c r="AE93" s="499"/>
      <c r="AF93" s="494"/>
      <c r="AG93" s="491"/>
      <c r="AH93" s="117"/>
      <c r="AI93" s="118"/>
      <c r="AJ93" s="488"/>
      <c r="AK93" s="119"/>
      <c r="AL93" s="120"/>
      <c r="AM93" s="121">
        <f t="shared" ref="AM93:AW93" si="110">IF(ISERROR(LOOKUP(AM$6,$S93:$AB93,$S$9:$AB$9)),0,(LOOKUP(AM$6,$S93:$AB93,$S$9:$AB$9)))</f>
        <v>0</v>
      </c>
      <c r="AN93" s="122">
        <f t="shared" si="110"/>
        <v>0</v>
      </c>
      <c r="AO93" s="122">
        <f t="shared" si="110"/>
        <v>0</v>
      </c>
      <c r="AP93" s="122">
        <f t="shared" si="110"/>
        <v>0</v>
      </c>
      <c r="AQ93" s="122">
        <f t="shared" si="110"/>
        <v>0</v>
      </c>
      <c r="AR93" s="122">
        <f t="shared" si="110"/>
        <v>0</v>
      </c>
      <c r="AS93" s="122">
        <f t="shared" si="110"/>
        <v>0</v>
      </c>
      <c r="AT93" s="122">
        <f t="shared" si="110"/>
        <v>0</v>
      </c>
      <c r="AU93" s="122">
        <f t="shared" si="110"/>
        <v>0</v>
      </c>
      <c r="AV93" s="122">
        <f t="shared" si="110"/>
        <v>0</v>
      </c>
      <c r="AW93" s="122">
        <f t="shared" ca="1" si="110"/>
        <v>0</v>
      </c>
      <c r="BB93" s="94" t="e">
        <v>#REF!</v>
      </c>
    </row>
    <row r="94" spans="1:54" s="20" customFormat="1" ht="18" customHeight="1">
      <c r="A94" s="513">
        <f>A91+1</f>
        <v>29</v>
      </c>
      <c r="B94" s="79"/>
      <c r="C94" s="507" t="s">
        <v>4855</v>
      </c>
      <c r="D94" s="80" t="s">
        <v>4887</v>
      </c>
      <c r="E94" s="81" t="s">
        <v>4773</v>
      </c>
      <c r="F94" s="82" t="s">
        <v>75</v>
      </c>
      <c r="G94" s="504" t="s">
        <v>4896</v>
      </c>
      <c r="H94" s="82" t="s">
        <v>158</v>
      </c>
      <c r="I94" s="81" t="s">
        <v>8</v>
      </c>
      <c r="J94" s="82"/>
      <c r="K94" s="84">
        <f>M96</f>
        <v>3.4000000000000002E-2</v>
      </c>
      <c r="L94" s="84"/>
      <c r="M94" s="84"/>
      <c r="N94" s="81"/>
      <c r="O94" s="81"/>
      <c r="P94" s="81"/>
      <c r="Q94" s="85" t="s">
        <v>4858</v>
      </c>
      <c r="R94" s="86">
        <f>'Before Award'!U101+5</f>
        <v>46417</v>
      </c>
      <c r="S94" s="86" t="e">
        <f>WORKDAY(R94,INDEX(S$2:S$5,MATCH($I94,$I$2:$I$5,0)),$BB$10:$BB$141)</f>
        <v>#REF!</v>
      </c>
      <c r="T94" s="86" t="e">
        <f>WORKDAY(S94,INDEX(T$2:T$5,MATCH($I94,$I$2:$I$5,0)),$BB$10:$BB$141)</f>
        <v>#REF!</v>
      </c>
      <c r="U94" s="86" t="e">
        <f>T94+30</f>
        <v>#REF!</v>
      </c>
      <c r="V94" s="86"/>
      <c r="W94" s="86">
        <f>AB94-35</f>
        <v>46503</v>
      </c>
      <c r="X94" s="86"/>
      <c r="Y94" s="86"/>
      <c r="Z94" s="86"/>
      <c r="AA94" s="86"/>
      <c r="AB94" s="86">
        <f>'Before Award'!X101</f>
        <v>46538</v>
      </c>
      <c r="AC94" s="501" t="s">
        <v>4859</v>
      </c>
      <c r="AD94" s="87">
        <v>7</v>
      </c>
      <c r="AE94" s="500">
        <f>18*7</f>
        <v>126</v>
      </c>
      <c r="AF94" s="492" t="e">
        <f>AB95</f>
        <v>#REF!</v>
      </c>
      <c r="AG94" s="489">
        <f>WORKDAY(AH94+1,-1,$BA$10:$BA$141)</f>
        <v>46538</v>
      </c>
      <c r="AH94" s="88">
        <v>46538</v>
      </c>
      <c r="AI94" s="89"/>
      <c r="AJ94" s="486" t="e">
        <f>AG94-AF94</f>
        <v>#REF!</v>
      </c>
      <c r="AK94" s="90"/>
      <c r="AL94" s="91"/>
      <c r="AM94" s="92">
        <f t="shared" ref="AM94:AW94" si="111">IF(ISERROR(LOOKUP(AM$6,$S94:$AB94,$S$9:$AB$9)),0,(LOOKUP(AM$6,$S94:$AB94,$S$9:$AB$9)))</f>
        <v>0</v>
      </c>
      <c r="AN94" s="93">
        <f t="shared" si="111"/>
        <v>0</v>
      </c>
      <c r="AO94" s="93">
        <f t="shared" si="111"/>
        <v>0</v>
      </c>
      <c r="AP94" s="93">
        <f t="shared" si="111"/>
        <v>0</v>
      </c>
      <c r="AQ94" s="93">
        <f t="shared" si="111"/>
        <v>0</v>
      </c>
      <c r="AR94" s="93">
        <f t="shared" si="111"/>
        <v>0</v>
      </c>
      <c r="AS94" s="93">
        <f t="shared" si="111"/>
        <v>0</v>
      </c>
      <c r="AT94" s="93">
        <f t="shared" si="111"/>
        <v>0</v>
      </c>
      <c r="AU94" s="93">
        <f t="shared" si="111"/>
        <v>0</v>
      </c>
      <c r="AV94" s="93">
        <f t="shared" si="111"/>
        <v>0</v>
      </c>
      <c r="AW94" s="93">
        <f t="shared" ca="1" si="111"/>
        <v>0</v>
      </c>
      <c r="BB94" s="94" t="e">
        <v>#REF!</v>
      </c>
    </row>
    <row r="95" spans="1:54" s="20" customFormat="1" ht="18" customHeight="1">
      <c r="A95" s="514"/>
      <c r="B95" s="95"/>
      <c r="C95" s="508"/>
      <c r="D95" s="96" t="str">
        <f>D94</f>
        <v>INS</v>
      </c>
      <c r="E95" s="97" t="str">
        <f>E94</f>
        <v>RFQ-029</v>
      </c>
      <c r="F95" s="98" t="str">
        <f>F94</f>
        <v>N</v>
      </c>
      <c r="G95" s="505"/>
      <c r="H95" s="98" t="str">
        <f>H94</f>
        <v>Pressure Gauge</v>
      </c>
      <c r="I95" s="97" t="str">
        <f>I94</f>
        <v>LC</v>
      </c>
      <c r="J95" s="98"/>
      <c r="K95" s="100"/>
      <c r="L95" s="100">
        <f>M96</f>
        <v>3.4000000000000002E-2</v>
      </c>
      <c r="M95" s="100"/>
      <c r="N95" s="97"/>
      <c r="O95" s="97"/>
      <c r="P95" s="97"/>
      <c r="Q95" s="101" t="s">
        <v>4860</v>
      </c>
      <c r="R95" s="101"/>
      <c r="S95" s="102" t="e">
        <f>S94</f>
        <v>#REF!</v>
      </c>
      <c r="T95" s="103" t="e">
        <f>T94</f>
        <v>#REF!</v>
      </c>
      <c r="U95" s="103" t="e">
        <f t="shared" ref="U95:Z95" si="112">WORKDAY(IF(T96="",T95,T96),INDEX(U$2:U$5,MATCH($I94,$I$2:$I$5,0)),$BB$10:$BB$141)</f>
        <v>#REF!</v>
      </c>
      <c r="V95" s="103" t="e">
        <f t="shared" si="112"/>
        <v>#REF!</v>
      </c>
      <c r="W95" s="103" t="e">
        <f t="shared" si="112"/>
        <v>#REF!</v>
      </c>
      <c r="X95" s="103" t="e">
        <f t="shared" si="112"/>
        <v>#REF!</v>
      </c>
      <c r="Y95" s="103" t="e">
        <f t="shared" si="112"/>
        <v>#REF!</v>
      </c>
      <c r="Z95" s="103" t="e">
        <f t="shared" si="112"/>
        <v>#REF!</v>
      </c>
      <c r="AA95" s="103" t="e">
        <f>WORKDAY(IF(Z96="",X95,Z96),INDEX(AA$2:AA$5,MATCH($I94,$I$2:$I$5,0)),$BB$10:$BB$141)</f>
        <v>#REF!</v>
      </c>
      <c r="AB95" s="104" t="e">
        <f>WORKDAY(AE94+#REF!,0,'[35]Equipment List and MR List (3)'!$A$2:$A$80)</f>
        <v>#REF!</v>
      </c>
      <c r="AC95" s="502"/>
      <c r="AD95" s="105"/>
      <c r="AE95" s="500"/>
      <c r="AF95" s="493"/>
      <c r="AG95" s="490"/>
      <c r="AH95" s="106"/>
      <c r="AI95" s="107"/>
      <c r="AJ95" s="487"/>
      <c r="AK95" s="108"/>
      <c r="AL95" s="109"/>
      <c r="AM95" s="92">
        <f t="shared" ref="AM95:AW95" si="113">IF(ISERROR(LOOKUP(AM$6,$S95:$AB95,$S$9:$AB$9)),0,(LOOKUP(AM$6,$S95:$AB95,$S$9:$AB$9)))</f>
        <v>0</v>
      </c>
      <c r="AN95" s="93">
        <f t="shared" si="113"/>
        <v>0</v>
      </c>
      <c r="AO95" s="93">
        <f t="shared" si="113"/>
        <v>0</v>
      </c>
      <c r="AP95" s="93">
        <f t="shared" si="113"/>
        <v>0</v>
      </c>
      <c r="AQ95" s="93">
        <f t="shared" si="113"/>
        <v>0</v>
      </c>
      <c r="AR95" s="93">
        <f t="shared" si="113"/>
        <v>0</v>
      </c>
      <c r="AS95" s="93">
        <f t="shared" si="113"/>
        <v>0</v>
      </c>
      <c r="AT95" s="93">
        <f t="shared" si="113"/>
        <v>0</v>
      </c>
      <c r="AU95" s="93">
        <f t="shared" si="113"/>
        <v>0</v>
      </c>
      <c r="AV95" s="93">
        <f t="shared" si="113"/>
        <v>0</v>
      </c>
      <c r="AW95" s="93">
        <f t="shared" ca="1" si="113"/>
        <v>0</v>
      </c>
      <c r="BB95" s="94" t="e">
        <v>#REF!</v>
      </c>
    </row>
    <row r="96" spans="1:54" s="20" customFormat="1" ht="18" customHeight="1">
      <c r="A96" s="515"/>
      <c r="B96" s="110"/>
      <c r="C96" s="509"/>
      <c r="D96" s="111" t="str">
        <f>D94</f>
        <v>INS</v>
      </c>
      <c r="E96" s="112" t="str">
        <f>E94</f>
        <v>RFQ-029</v>
      </c>
      <c r="F96" s="113" t="str">
        <f>F94</f>
        <v>N</v>
      </c>
      <c r="G96" s="506"/>
      <c r="H96" s="113" t="str">
        <f>H94</f>
        <v>Pressure Gauge</v>
      </c>
      <c r="I96" s="112" t="str">
        <f>I94</f>
        <v>LC</v>
      </c>
      <c r="J96" s="113"/>
      <c r="K96" s="114"/>
      <c r="L96" s="114"/>
      <c r="M96" s="114">
        <v>3.4000000000000002E-2</v>
      </c>
      <c r="N96" s="112"/>
      <c r="O96" s="112"/>
      <c r="P96" s="112"/>
      <c r="Q96" s="115" t="s">
        <v>4861</v>
      </c>
      <c r="R96" s="115"/>
      <c r="S96" s="126"/>
      <c r="T96" s="126"/>
      <c r="U96" s="126"/>
      <c r="V96" s="126"/>
      <c r="W96" s="126"/>
      <c r="X96" s="126"/>
      <c r="Y96" s="126"/>
      <c r="Z96" s="126"/>
      <c r="AA96" s="126"/>
      <c r="AB96" s="126"/>
      <c r="AC96" s="503"/>
      <c r="AD96" s="116"/>
      <c r="AE96" s="500"/>
      <c r="AF96" s="494"/>
      <c r="AG96" s="491"/>
      <c r="AH96" s="117"/>
      <c r="AI96" s="118"/>
      <c r="AJ96" s="488"/>
      <c r="AK96" s="119"/>
      <c r="AL96" s="120"/>
      <c r="AM96" s="121">
        <f t="shared" ref="AM96:AW96" si="114">IF(ISERROR(LOOKUP(AM$6,$S96:$AB96,$S$9:$AB$9)),0,(LOOKUP(AM$6,$S96:$AB96,$S$9:$AB$9)))</f>
        <v>0</v>
      </c>
      <c r="AN96" s="122">
        <f t="shared" si="114"/>
        <v>0</v>
      </c>
      <c r="AO96" s="122">
        <f t="shared" si="114"/>
        <v>0</v>
      </c>
      <c r="AP96" s="122">
        <f t="shared" si="114"/>
        <v>0</v>
      </c>
      <c r="AQ96" s="122">
        <f t="shared" si="114"/>
        <v>0</v>
      </c>
      <c r="AR96" s="122">
        <f t="shared" si="114"/>
        <v>0</v>
      </c>
      <c r="AS96" s="122">
        <f t="shared" si="114"/>
        <v>0</v>
      </c>
      <c r="AT96" s="122">
        <f t="shared" si="114"/>
        <v>0</v>
      </c>
      <c r="AU96" s="122">
        <f t="shared" si="114"/>
        <v>0</v>
      </c>
      <c r="AV96" s="122">
        <f t="shared" si="114"/>
        <v>0</v>
      </c>
      <c r="AW96" s="122">
        <f t="shared" ca="1" si="114"/>
        <v>0</v>
      </c>
      <c r="BB96" s="94" t="e">
        <v>#REF!</v>
      </c>
    </row>
    <row r="97" spans="1:54" s="20" customFormat="1" ht="18" customHeight="1">
      <c r="A97" s="513">
        <f>A94+1</f>
        <v>30</v>
      </c>
      <c r="B97" s="79"/>
      <c r="C97" s="507" t="s">
        <v>4855</v>
      </c>
      <c r="D97" s="80" t="s">
        <v>4887</v>
      </c>
      <c r="E97" s="81" t="s">
        <v>4774</v>
      </c>
      <c r="F97" s="82" t="s">
        <v>75</v>
      </c>
      <c r="G97" s="504" t="s">
        <v>4897</v>
      </c>
      <c r="H97" s="82" t="s">
        <v>161</v>
      </c>
      <c r="I97" s="81" t="s">
        <v>8</v>
      </c>
      <c r="J97" s="82"/>
      <c r="K97" s="84">
        <f>M99</f>
        <v>0.01</v>
      </c>
      <c r="L97" s="84"/>
      <c r="M97" s="84"/>
      <c r="N97" s="81"/>
      <c r="O97" s="81"/>
      <c r="P97" s="81"/>
      <c r="Q97" s="85" t="s">
        <v>4858</v>
      </c>
      <c r="R97" s="86">
        <f>'Before Award'!U104+5</f>
        <v>46417</v>
      </c>
      <c r="S97" s="86" t="e">
        <f>WORKDAY(R97,INDEX(S$2:S$5,MATCH($I97,$I$2:$I$5,0)),$BB$10:$BB$141)</f>
        <v>#REF!</v>
      </c>
      <c r="T97" s="86" t="e">
        <f>WORKDAY(S97,INDEX(T$2:T$5,MATCH($I97,$I$2:$I$5,0)),$BB$10:$BB$141)</f>
        <v>#REF!</v>
      </c>
      <c r="U97" s="86" t="e">
        <f>T97+30</f>
        <v>#REF!</v>
      </c>
      <c r="V97" s="86"/>
      <c r="W97" s="86">
        <f>AB97-35</f>
        <v>46503</v>
      </c>
      <c r="X97" s="86"/>
      <c r="Y97" s="86"/>
      <c r="Z97" s="86"/>
      <c r="AA97" s="86"/>
      <c r="AB97" s="86">
        <f>'Before Award'!X104</f>
        <v>46538</v>
      </c>
      <c r="AC97" s="501" t="s">
        <v>4859</v>
      </c>
      <c r="AD97" s="87">
        <v>7</v>
      </c>
      <c r="AE97" s="500">
        <f>18*7</f>
        <v>126</v>
      </c>
      <c r="AF97" s="492" t="e">
        <f>AB98</f>
        <v>#REF!</v>
      </c>
      <c r="AG97" s="489">
        <f>WORKDAY(AH97+1,-1,$BA$10:$BA$141)</f>
        <v>46538</v>
      </c>
      <c r="AH97" s="88">
        <v>46538</v>
      </c>
      <c r="AI97" s="89"/>
      <c r="AJ97" s="486" t="e">
        <f>AG97-AF97</f>
        <v>#REF!</v>
      </c>
      <c r="AK97" s="90"/>
      <c r="AL97" s="91"/>
      <c r="AM97" s="92">
        <f t="shared" ref="AM97:AW97" si="115">IF(ISERROR(LOOKUP(AM$6,$S97:$AB97,$S$9:$AB$9)),0,(LOOKUP(AM$6,$S97:$AB97,$S$9:$AB$9)))</f>
        <v>0</v>
      </c>
      <c r="AN97" s="93">
        <f t="shared" si="115"/>
        <v>0</v>
      </c>
      <c r="AO97" s="93">
        <f t="shared" si="115"/>
        <v>0</v>
      </c>
      <c r="AP97" s="93">
        <f t="shared" si="115"/>
        <v>0</v>
      </c>
      <c r="AQ97" s="93">
        <f t="shared" si="115"/>
        <v>0</v>
      </c>
      <c r="AR97" s="93">
        <f t="shared" si="115"/>
        <v>0</v>
      </c>
      <c r="AS97" s="93">
        <f t="shared" si="115"/>
        <v>0</v>
      </c>
      <c r="AT97" s="93">
        <f t="shared" si="115"/>
        <v>0</v>
      </c>
      <c r="AU97" s="93">
        <f t="shared" si="115"/>
        <v>0</v>
      </c>
      <c r="AV97" s="93">
        <f t="shared" si="115"/>
        <v>0</v>
      </c>
      <c r="AW97" s="93">
        <f t="shared" ca="1" si="115"/>
        <v>0</v>
      </c>
      <c r="BB97" s="94" t="e">
        <v>#REF!</v>
      </c>
    </row>
    <row r="98" spans="1:54" s="20" customFormat="1" ht="18" customHeight="1">
      <c r="A98" s="514"/>
      <c r="B98" s="95"/>
      <c r="C98" s="508"/>
      <c r="D98" s="96" t="str">
        <f>D97</f>
        <v>INS</v>
      </c>
      <c r="E98" s="97" t="str">
        <f>E97</f>
        <v>RFQ-030</v>
      </c>
      <c r="F98" s="98" t="str">
        <f>F97</f>
        <v>N</v>
      </c>
      <c r="G98" s="505"/>
      <c r="H98" s="98" t="str">
        <f>H97</f>
        <v>Pressure Transmitter</v>
      </c>
      <c r="I98" s="97" t="str">
        <f>I97</f>
        <v>LC</v>
      </c>
      <c r="J98" s="98"/>
      <c r="K98" s="100"/>
      <c r="L98" s="100">
        <f>M99</f>
        <v>0.01</v>
      </c>
      <c r="M98" s="100"/>
      <c r="N98" s="97"/>
      <c r="O98" s="97"/>
      <c r="P98" s="97"/>
      <c r="Q98" s="101" t="s">
        <v>4860</v>
      </c>
      <c r="R98" s="101"/>
      <c r="S98" s="102" t="e">
        <f>S97</f>
        <v>#REF!</v>
      </c>
      <c r="T98" s="103" t="e">
        <f>T97</f>
        <v>#REF!</v>
      </c>
      <c r="U98" s="103" t="e">
        <f t="shared" ref="U98:Z98" si="116">WORKDAY(IF(T99="",T98,T99),INDEX(U$2:U$5,MATCH($I97,$I$2:$I$5,0)),$BB$10:$BB$141)</f>
        <v>#REF!</v>
      </c>
      <c r="V98" s="103" t="e">
        <f t="shared" si="116"/>
        <v>#REF!</v>
      </c>
      <c r="W98" s="103" t="e">
        <f t="shared" si="116"/>
        <v>#REF!</v>
      </c>
      <c r="X98" s="103" t="e">
        <f t="shared" si="116"/>
        <v>#REF!</v>
      </c>
      <c r="Y98" s="103" t="e">
        <f t="shared" si="116"/>
        <v>#REF!</v>
      </c>
      <c r="Z98" s="103" t="e">
        <f t="shared" si="116"/>
        <v>#REF!</v>
      </c>
      <c r="AA98" s="103" t="e">
        <f>WORKDAY(IF(Z99="",X98,Z99),INDEX(AA$2:AA$5,MATCH($I97,$I$2:$I$5,0)),$BB$10:$BB$141)</f>
        <v>#REF!</v>
      </c>
      <c r="AB98" s="104" t="e">
        <f>WORKDAY(AE97+#REF!,0,'[35]Equipment List and MR List (3)'!$A$2:$A$80)</f>
        <v>#REF!</v>
      </c>
      <c r="AC98" s="502"/>
      <c r="AD98" s="105"/>
      <c r="AE98" s="500"/>
      <c r="AF98" s="493"/>
      <c r="AG98" s="490"/>
      <c r="AH98" s="106"/>
      <c r="AI98" s="107"/>
      <c r="AJ98" s="487"/>
      <c r="AK98" s="108"/>
      <c r="AL98" s="109"/>
      <c r="AM98" s="92">
        <f t="shared" ref="AM98:AW98" si="117">IF(ISERROR(LOOKUP(AM$6,$S98:$AB98,$S$9:$AB$9)),0,(LOOKUP(AM$6,$S98:$AB98,$S$9:$AB$9)))</f>
        <v>0</v>
      </c>
      <c r="AN98" s="93">
        <f t="shared" si="117"/>
        <v>0</v>
      </c>
      <c r="AO98" s="93">
        <f t="shared" si="117"/>
        <v>0</v>
      </c>
      <c r="AP98" s="93">
        <f t="shared" si="117"/>
        <v>0</v>
      </c>
      <c r="AQ98" s="93">
        <f t="shared" si="117"/>
        <v>0</v>
      </c>
      <c r="AR98" s="93">
        <f t="shared" si="117"/>
        <v>0</v>
      </c>
      <c r="AS98" s="93">
        <f t="shared" si="117"/>
        <v>0</v>
      </c>
      <c r="AT98" s="93">
        <f t="shared" si="117"/>
        <v>0</v>
      </c>
      <c r="AU98" s="93">
        <f t="shared" si="117"/>
        <v>0</v>
      </c>
      <c r="AV98" s="93">
        <f t="shared" si="117"/>
        <v>0</v>
      </c>
      <c r="AW98" s="93">
        <f t="shared" ca="1" si="117"/>
        <v>0</v>
      </c>
      <c r="BB98" s="94" t="e">
        <v>#REF!</v>
      </c>
    </row>
    <row r="99" spans="1:54" s="20" customFormat="1" ht="18" customHeight="1">
      <c r="A99" s="515"/>
      <c r="B99" s="110"/>
      <c r="C99" s="509"/>
      <c r="D99" s="111" t="str">
        <f>D97</f>
        <v>INS</v>
      </c>
      <c r="E99" s="112" t="str">
        <f>E97</f>
        <v>RFQ-030</v>
      </c>
      <c r="F99" s="113" t="str">
        <f>F97</f>
        <v>N</v>
      </c>
      <c r="G99" s="506"/>
      <c r="H99" s="113" t="str">
        <f>H97</f>
        <v>Pressure Transmitter</v>
      </c>
      <c r="I99" s="112" t="str">
        <f>I97</f>
        <v>LC</v>
      </c>
      <c r="J99" s="113"/>
      <c r="K99" s="114"/>
      <c r="L99" s="114"/>
      <c r="M99" s="114">
        <v>0.01</v>
      </c>
      <c r="N99" s="112"/>
      <c r="O99" s="112"/>
      <c r="P99" s="112"/>
      <c r="Q99" s="115" t="s">
        <v>4861</v>
      </c>
      <c r="R99" s="115"/>
      <c r="S99" s="126"/>
      <c r="T99" s="126"/>
      <c r="U99" s="126"/>
      <c r="V99" s="126"/>
      <c r="W99" s="126"/>
      <c r="X99" s="126"/>
      <c r="Y99" s="126"/>
      <c r="Z99" s="126"/>
      <c r="AA99" s="126"/>
      <c r="AB99" s="126"/>
      <c r="AC99" s="503"/>
      <c r="AD99" s="116"/>
      <c r="AE99" s="500"/>
      <c r="AF99" s="494"/>
      <c r="AG99" s="491"/>
      <c r="AH99" s="117"/>
      <c r="AI99" s="118"/>
      <c r="AJ99" s="488"/>
      <c r="AK99" s="119"/>
      <c r="AL99" s="120"/>
      <c r="AM99" s="121">
        <f t="shared" ref="AM99:AW99" si="118">IF(ISERROR(LOOKUP(AM$6,$S99:$AB99,$S$9:$AB$9)),0,(LOOKUP(AM$6,$S99:$AB99,$S$9:$AB$9)))</f>
        <v>0</v>
      </c>
      <c r="AN99" s="122">
        <f t="shared" si="118"/>
        <v>0</v>
      </c>
      <c r="AO99" s="122">
        <f t="shared" si="118"/>
        <v>0</v>
      </c>
      <c r="AP99" s="122">
        <f t="shared" si="118"/>
        <v>0</v>
      </c>
      <c r="AQ99" s="122">
        <f t="shared" si="118"/>
        <v>0</v>
      </c>
      <c r="AR99" s="122">
        <f t="shared" si="118"/>
        <v>0</v>
      </c>
      <c r="AS99" s="122">
        <f t="shared" si="118"/>
        <v>0</v>
      </c>
      <c r="AT99" s="122">
        <f t="shared" si="118"/>
        <v>0</v>
      </c>
      <c r="AU99" s="122">
        <f t="shared" si="118"/>
        <v>0</v>
      </c>
      <c r="AV99" s="122">
        <f t="shared" si="118"/>
        <v>0</v>
      </c>
      <c r="AW99" s="122">
        <f t="shared" ca="1" si="118"/>
        <v>0</v>
      </c>
      <c r="BB99" s="94" t="e">
        <v>#REF!</v>
      </c>
    </row>
    <row r="100" spans="1:54" s="20" customFormat="1" ht="18" customHeight="1">
      <c r="A100" s="513">
        <f>A97+1</f>
        <v>31</v>
      </c>
      <c r="B100" s="79"/>
      <c r="C100" s="507" t="s">
        <v>4855</v>
      </c>
      <c r="D100" s="80" t="s">
        <v>4887</v>
      </c>
      <c r="E100" s="81" t="s">
        <v>4775</v>
      </c>
      <c r="F100" s="82" t="s">
        <v>75</v>
      </c>
      <c r="G100" s="504" t="s">
        <v>4898</v>
      </c>
      <c r="H100" s="82" t="s">
        <v>163</v>
      </c>
      <c r="I100" s="81" t="s">
        <v>8</v>
      </c>
      <c r="J100" s="82"/>
      <c r="K100" s="84">
        <f>M102</f>
        <v>0.01</v>
      </c>
      <c r="L100" s="84"/>
      <c r="M100" s="84"/>
      <c r="N100" s="81"/>
      <c r="O100" s="81"/>
      <c r="P100" s="81"/>
      <c r="Q100" s="85" t="s">
        <v>4858</v>
      </c>
      <c r="R100" s="86">
        <f>'Before Award'!U107+5</f>
        <v>46417</v>
      </c>
      <c r="S100" s="86" t="e">
        <f>WORKDAY(R100,INDEX(S$2:S$5,MATCH($I100,$I$2:$I$5,0)),$BB$10:$BB$141)</f>
        <v>#REF!</v>
      </c>
      <c r="T100" s="86" t="e">
        <f>WORKDAY(S100,INDEX(T$2:T$5,MATCH($I100,$I$2:$I$5,0)),$BB$10:$BB$141)</f>
        <v>#REF!</v>
      </c>
      <c r="U100" s="86" t="e">
        <f>T100+30</f>
        <v>#REF!</v>
      </c>
      <c r="V100" s="86"/>
      <c r="W100" s="86">
        <f>AB100-35</f>
        <v>46503</v>
      </c>
      <c r="X100" s="86"/>
      <c r="Y100" s="86"/>
      <c r="Z100" s="86"/>
      <c r="AA100" s="86"/>
      <c r="AB100" s="86">
        <f>'Before Award'!X107</f>
        <v>46538</v>
      </c>
      <c r="AC100" s="501" t="s">
        <v>4859</v>
      </c>
      <c r="AD100" s="87">
        <v>7</v>
      </c>
      <c r="AE100" s="500">
        <f>18*7</f>
        <v>126</v>
      </c>
      <c r="AF100" s="492" t="e">
        <f>AB101</f>
        <v>#REF!</v>
      </c>
      <c r="AG100" s="489">
        <f>WORKDAY(AH100+1,-1,$BA$10:$BA$141)</f>
        <v>46538</v>
      </c>
      <c r="AH100" s="88">
        <v>46538</v>
      </c>
      <c r="AI100" s="89"/>
      <c r="AJ100" s="486" t="e">
        <f>AG100-AF100</f>
        <v>#REF!</v>
      </c>
      <c r="AK100" s="90"/>
      <c r="AL100" s="91"/>
      <c r="AM100" s="92">
        <f t="shared" ref="AM100:AW100" si="119">IF(ISERROR(LOOKUP(AM$6,$S100:$AB100,$S$9:$AB$9)),0,(LOOKUP(AM$6,$S100:$AB100,$S$9:$AB$9)))</f>
        <v>0</v>
      </c>
      <c r="AN100" s="93">
        <f t="shared" si="119"/>
        <v>0</v>
      </c>
      <c r="AO100" s="93">
        <f t="shared" si="119"/>
        <v>0</v>
      </c>
      <c r="AP100" s="93">
        <f t="shared" si="119"/>
        <v>0</v>
      </c>
      <c r="AQ100" s="93">
        <f t="shared" si="119"/>
        <v>0</v>
      </c>
      <c r="AR100" s="93">
        <f t="shared" si="119"/>
        <v>0</v>
      </c>
      <c r="AS100" s="93">
        <f t="shared" si="119"/>
        <v>0</v>
      </c>
      <c r="AT100" s="93">
        <f t="shared" si="119"/>
        <v>0</v>
      </c>
      <c r="AU100" s="93">
        <f t="shared" si="119"/>
        <v>0</v>
      </c>
      <c r="AV100" s="93">
        <f t="shared" si="119"/>
        <v>0</v>
      </c>
      <c r="AW100" s="93">
        <f t="shared" ca="1" si="119"/>
        <v>0</v>
      </c>
      <c r="BB100" s="94" t="e">
        <v>#REF!</v>
      </c>
    </row>
    <row r="101" spans="1:54" s="20" customFormat="1" ht="18" customHeight="1">
      <c r="A101" s="514"/>
      <c r="B101" s="95"/>
      <c r="C101" s="508"/>
      <c r="D101" s="96" t="str">
        <f>D100</f>
        <v>INS</v>
      </c>
      <c r="E101" s="97" t="str">
        <f>E100</f>
        <v>RFQ-031</v>
      </c>
      <c r="F101" s="98" t="str">
        <f>F100</f>
        <v>N</v>
      </c>
      <c r="G101" s="505"/>
      <c r="H101" s="98" t="str">
        <f>H100</f>
        <v>Temperature Gauge</v>
      </c>
      <c r="I101" s="97" t="str">
        <f>I100</f>
        <v>LC</v>
      </c>
      <c r="J101" s="98"/>
      <c r="K101" s="100"/>
      <c r="L101" s="100">
        <f>M102</f>
        <v>0.01</v>
      </c>
      <c r="M101" s="100"/>
      <c r="N101" s="97"/>
      <c r="O101" s="97"/>
      <c r="P101" s="97"/>
      <c r="Q101" s="101" t="s">
        <v>4860</v>
      </c>
      <c r="R101" s="101"/>
      <c r="S101" s="102" t="e">
        <f>S100</f>
        <v>#REF!</v>
      </c>
      <c r="T101" s="103" t="e">
        <f>T100</f>
        <v>#REF!</v>
      </c>
      <c r="U101" s="103" t="e">
        <f t="shared" ref="U101:Z101" si="120">WORKDAY(IF(T102="",T101,T102),INDEX(U$2:U$5,MATCH($I100,$I$2:$I$5,0)),$BB$10:$BB$141)</f>
        <v>#REF!</v>
      </c>
      <c r="V101" s="103" t="e">
        <f t="shared" si="120"/>
        <v>#REF!</v>
      </c>
      <c r="W101" s="103" t="e">
        <f t="shared" si="120"/>
        <v>#REF!</v>
      </c>
      <c r="X101" s="103" t="e">
        <f t="shared" si="120"/>
        <v>#REF!</v>
      </c>
      <c r="Y101" s="103" t="e">
        <f t="shared" si="120"/>
        <v>#REF!</v>
      </c>
      <c r="Z101" s="103" t="e">
        <f t="shared" si="120"/>
        <v>#REF!</v>
      </c>
      <c r="AA101" s="103" t="e">
        <f>WORKDAY(IF(Z102="",X101,Z102),INDEX(AA$2:AA$5,MATCH($I100,$I$2:$I$5,0)),$BB$10:$BB$141)</f>
        <v>#REF!</v>
      </c>
      <c r="AB101" s="104" t="e">
        <f>WORKDAY(AE100+#REF!,0,'[35]Equipment List and MR List (3)'!$A$2:$A$80)</f>
        <v>#REF!</v>
      </c>
      <c r="AC101" s="502"/>
      <c r="AD101" s="105"/>
      <c r="AE101" s="500"/>
      <c r="AF101" s="493"/>
      <c r="AG101" s="490"/>
      <c r="AH101" s="106"/>
      <c r="AI101" s="107"/>
      <c r="AJ101" s="487"/>
      <c r="AK101" s="108"/>
      <c r="AL101" s="109"/>
      <c r="AM101" s="92">
        <f t="shared" ref="AM101:AW101" si="121">IF(ISERROR(LOOKUP(AM$6,$S101:$AB101,$S$9:$AB$9)),0,(LOOKUP(AM$6,$S101:$AB101,$S$9:$AB$9)))</f>
        <v>0</v>
      </c>
      <c r="AN101" s="93">
        <f t="shared" si="121"/>
        <v>0</v>
      </c>
      <c r="AO101" s="93">
        <f t="shared" si="121"/>
        <v>0</v>
      </c>
      <c r="AP101" s="93">
        <f t="shared" si="121"/>
        <v>0</v>
      </c>
      <c r="AQ101" s="93">
        <f t="shared" si="121"/>
        <v>0</v>
      </c>
      <c r="AR101" s="93">
        <f t="shared" si="121"/>
        <v>0</v>
      </c>
      <c r="AS101" s="93">
        <f t="shared" si="121"/>
        <v>0</v>
      </c>
      <c r="AT101" s="93">
        <f t="shared" si="121"/>
        <v>0</v>
      </c>
      <c r="AU101" s="93">
        <f t="shared" si="121"/>
        <v>0</v>
      </c>
      <c r="AV101" s="93">
        <f t="shared" si="121"/>
        <v>0</v>
      </c>
      <c r="AW101" s="93">
        <f t="shared" ca="1" si="121"/>
        <v>0</v>
      </c>
      <c r="BB101" s="94" t="e">
        <v>#REF!</v>
      </c>
    </row>
    <row r="102" spans="1:54" s="20" customFormat="1" ht="18" customHeight="1">
      <c r="A102" s="515"/>
      <c r="B102" s="110"/>
      <c r="C102" s="509"/>
      <c r="D102" s="111" t="str">
        <f>D100</f>
        <v>INS</v>
      </c>
      <c r="E102" s="112" t="str">
        <f>E100</f>
        <v>RFQ-031</v>
      </c>
      <c r="F102" s="113" t="str">
        <f>F100</f>
        <v>N</v>
      </c>
      <c r="G102" s="506"/>
      <c r="H102" s="113" t="str">
        <f>H100</f>
        <v>Temperature Gauge</v>
      </c>
      <c r="I102" s="112" t="str">
        <f>I100</f>
        <v>LC</v>
      </c>
      <c r="J102" s="113"/>
      <c r="K102" s="114"/>
      <c r="L102" s="114"/>
      <c r="M102" s="114">
        <v>0.01</v>
      </c>
      <c r="N102" s="112"/>
      <c r="O102" s="112"/>
      <c r="P102" s="112"/>
      <c r="Q102" s="115" t="s">
        <v>4861</v>
      </c>
      <c r="R102" s="115"/>
      <c r="S102" s="126"/>
      <c r="T102" s="126"/>
      <c r="U102" s="126"/>
      <c r="V102" s="126"/>
      <c r="W102" s="126"/>
      <c r="X102" s="126"/>
      <c r="Y102" s="126"/>
      <c r="Z102" s="126"/>
      <c r="AA102" s="126"/>
      <c r="AB102" s="126"/>
      <c r="AC102" s="503"/>
      <c r="AD102" s="116"/>
      <c r="AE102" s="500"/>
      <c r="AF102" s="494"/>
      <c r="AG102" s="491"/>
      <c r="AH102" s="117"/>
      <c r="AI102" s="118"/>
      <c r="AJ102" s="488"/>
      <c r="AK102" s="119"/>
      <c r="AL102" s="120"/>
      <c r="AM102" s="121">
        <f t="shared" ref="AM102:AW102" si="122">IF(ISERROR(LOOKUP(AM$6,$S102:$AB102,$S$9:$AB$9)),0,(LOOKUP(AM$6,$S102:$AB102,$S$9:$AB$9)))</f>
        <v>0</v>
      </c>
      <c r="AN102" s="122">
        <f t="shared" si="122"/>
        <v>0</v>
      </c>
      <c r="AO102" s="122">
        <f t="shared" si="122"/>
        <v>0</v>
      </c>
      <c r="AP102" s="122">
        <f t="shared" si="122"/>
        <v>0</v>
      </c>
      <c r="AQ102" s="122">
        <f t="shared" si="122"/>
        <v>0</v>
      </c>
      <c r="AR102" s="122">
        <f t="shared" si="122"/>
        <v>0</v>
      </c>
      <c r="AS102" s="122">
        <f t="shared" si="122"/>
        <v>0</v>
      </c>
      <c r="AT102" s="122">
        <f t="shared" si="122"/>
        <v>0</v>
      </c>
      <c r="AU102" s="122">
        <f t="shared" si="122"/>
        <v>0</v>
      </c>
      <c r="AV102" s="122">
        <f t="shared" si="122"/>
        <v>0</v>
      </c>
      <c r="AW102" s="122">
        <f t="shared" ca="1" si="122"/>
        <v>0</v>
      </c>
      <c r="BB102" s="94" t="e">
        <v>#REF!</v>
      </c>
    </row>
    <row r="103" spans="1:54" s="20" customFormat="1" ht="18" customHeight="1">
      <c r="A103" s="513">
        <f>A100+1</f>
        <v>32</v>
      </c>
      <c r="B103" s="79"/>
      <c r="C103" s="507" t="s">
        <v>4855</v>
      </c>
      <c r="D103" s="80" t="s">
        <v>4887</v>
      </c>
      <c r="E103" s="81" t="s">
        <v>4776</v>
      </c>
      <c r="F103" s="82" t="s">
        <v>75</v>
      </c>
      <c r="G103" s="504" t="s">
        <v>4899</v>
      </c>
      <c r="H103" s="82" t="s">
        <v>165</v>
      </c>
      <c r="I103" s="81" t="s">
        <v>8</v>
      </c>
      <c r="J103" s="82"/>
      <c r="K103" s="84">
        <f>M105</f>
        <v>0.02</v>
      </c>
      <c r="L103" s="84"/>
      <c r="M103" s="84"/>
      <c r="N103" s="81"/>
      <c r="O103" s="81"/>
      <c r="P103" s="81"/>
      <c r="Q103" s="85" t="s">
        <v>4858</v>
      </c>
      <c r="R103" s="86">
        <f>'Before Award'!U110+5</f>
        <v>46417</v>
      </c>
      <c r="S103" s="86" t="e">
        <f>WORKDAY(R103,INDEX(S$2:S$5,MATCH($I103,$I$2:$I$5,0)),$BB$10:$BB$141)</f>
        <v>#REF!</v>
      </c>
      <c r="T103" s="86" t="e">
        <f>WORKDAY(S103,INDEX(T$2:T$5,MATCH($I103,$I$2:$I$5,0)),$BB$10:$BB$141)</f>
        <v>#REF!</v>
      </c>
      <c r="U103" s="86" t="e">
        <f>T103+30</f>
        <v>#REF!</v>
      </c>
      <c r="V103" s="86"/>
      <c r="W103" s="86">
        <f>AB103-35</f>
        <v>46503</v>
      </c>
      <c r="X103" s="86"/>
      <c r="Y103" s="86"/>
      <c r="Z103" s="86"/>
      <c r="AA103" s="86"/>
      <c r="AB103" s="86">
        <f>'Before Award'!X110</f>
        <v>46538</v>
      </c>
      <c r="AC103" s="501" t="s">
        <v>4859</v>
      </c>
      <c r="AD103" s="87">
        <v>7</v>
      </c>
      <c r="AE103" s="500">
        <f>18*7</f>
        <v>126</v>
      </c>
      <c r="AF103" s="492" t="e">
        <f>AB104</f>
        <v>#REF!</v>
      </c>
      <c r="AG103" s="489">
        <f>WORKDAY(AH103+1,-1,$BA$10:$BA$141)</f>
        <v>46538</v>
      </c>
      <c r="AH103" s="88">
        <v>46538</v>
      </c>
      <c r="AI103" s="89"/>
      <c r="AJ103" s="486" t="e">
        <f>AG103-AF103</f>
        <v>#REF!</v>
      </c>
      <c r="AK103" s="90"/>
      <c r="AL103" s="91"/>
      <c r="AM103" s="92">
        <f t="shared" ref="AM103:AW103" si="123">IF(ISERROR(LOOKUP(AM$6,$S103:$AB103,$S$9:$AB$9)),0,(LOOKUP(AM$6,$S103:$AB103,$S$9:$AB$9)))</f>
        <v>0</v>
      </c>
      <c r="AN103" s="93">
        <f t="shared" si="123"/>
        <v>0</v>
      </c>
      <c r="AO103" s="93">
        <f t="shared" si="123"/>
        <v>0</v>
      </c>
      <c r="AP103" s="93">
        <f t="shared" si="123"/>
        <v>0</v>
      </c>
      <c r="AQ103" s="93">
        <f t="shared" si="123"/>
        <v>0</v>
      </c>
      <c r="AR103" s="93">
        <f t="shared" si="123"/>
        <v>0</v>
      </c>
      <c r="AS103" s="93">
        <f t="shared" si="123"/>
        <v>0</v>
      </c>
      <c r="AT103" s="93">
        <f t="shared" si="123"/>
        <v>0</v>
      </c>
      <c r="AU103" s="93">
        <f t="shared" si="123"/>
        <v>0</v>
      </c>
      <c r="AV103" s="93">
        <f t="shared" si="123"/>
        <v>0</v>
      </c>
      <c r="AW103" s="93">
        <f t="shared" ca="1" si="123"/>
        <v>0</v>
      </c>
      <c r="BB103" s="94" t="e">
        <v>#REF!</v>
      </c>
    </row>
    <row r="104" spans="1:54" s="20" customFormat="1" ht="18" customHeight="1">
      <c r="A104" s="514"/>
      <c r="B104" s="95"/>
      <c r="C104" s="508"/>
      <c r="D104" s="96" t="str">
        <f>D103</f>
        <v>INS</v>
      </c>
      <c r="E104" s="97" t="str">
        <f>E103</f>
        <v>RFQ-032</v>
      </c>
      <c r="F104" s="98" t="str">
        <f>F103</f>
        <v>N</v>
      </c>
      <c r="G104" s="505"/>
      <c r="H104" s="98" t="str">
        <f>H103</f>
        <v>Temperature Transmitter</v>
      </c>
      <c r="I104" s="97" t="str">
        <f>I103</f>
        <v>LC</v>
      </c>
      <c r="J104" s="98"/>
      <c r="K104" s="100"/>
      <c r="L104" s="100">
        <f>M105</f>
        <v>0.02</v>
      </c>
      <c r="M104" s="100"/>
      <c r="N104" s="97"/>
      <c r="O104" s="97"/>
      <c r="P104" s="97"/>
      <c r="Q104" s="101" t="s">
        <v>4860</v>
      </c>
      <c r="R104" s="101"/>
      <c r="S104" s="102" t="e">
        <f>S103</f>
        <v>#REF!</v>
      </c>
      <c r="T104" s="103" t="e">
        <f>T103</f>
        <v>#REF!</v>
      </c>
      <c r="U104" s="103" t="e">
        <f t="shared" ref="U104:Z104" si="124">WORKDAY(IF(T105="",T104,T105),INDEX(U$2:U$5,MATCH($I103,$I$2:$I$5,0)),$BB$10:$BB$141)</f>
        <v>#REF!</v>
      </c>
      <c r="V104" s="103" t="e">
        <f t="shared" si="124"/>
        <v>#REF!</v>
      </c>
      <c r="W104" s="103" t="e">
        <f t="shared" si="124"/>
        <v>#REF!</v>
      </c>
      <c r="X104" s="103" t="e">
        <f t="shared" si="124"/>
        <v>#REF!</v>
      </c>
      <c r="Y104" s="103" t="e">
        <f t="shared" si="124"/>
        <v>#REF!</v>
      </c>
      <c r="Z104" s="103" t="e">
        <f t="shared" si="124"/>
        <v>#REF!</v>
      </c>
      <c r="AA104" s="103" t="e">
        <f>WORKDAY(IF(Z105="",X104,Z105),INDEX(AA$2:AA$5,MATCH($I103,$I$2:$I$5,0)),$BB$10:$BB$141)</f>
        <v>#REF!</v>
      </c>
      <c r="AB104" s="104" t="e">
        <f>WORKDAY(AE103+#REF!,0,'[35]Equipment List and MR List (3)'!$A$2:$A$80)</f>
        <v>#REF!</v>
      </c>
      <c r="AC104" s="502"/>
      <c r="AD104" s="105"/>
      <c r="AE104" s="500"/>
      <c r="AF104" s="493"/>
      <c r="AG104" s="490"/>
      <c r="AH104" s="106"/>
      <c r="AI104" s="107"/>
      <c r="AJ104" s="487"/>
      <c r="AK104" s="108"/>
      <c r="AL104" s="109"/>
      <c r="AM104" s="92">
        <f t="shared" ref="AM104:AW104" si="125">IF(ISERROR(LOOKUP(AM$6,$S104:$AB104,$S$9:$AB$9)),0,(LOOKUP(AM$6,$S104:$AB104,$S$9:$AB$9)))</f>
        <v>0</v>
      </c>
      <c r="AN104" s="93">
        <f t="shared" si="125"/>
        <v>0</v>
      </c>
      <c r="AO104" s="93">
        <f t="shared" si="125"/>
        <v>0</v>
      </c>
      <c r="AP104" s="93">
        <f t="shared" si="125"/>
        <v>0</v>
      </c>
      <c r="AQ104" s="93">
        <f t="shared" si="125"/>
        <v>0</v>
      </c>
      <c r="AR104" s="93">
        <f t="shared" si="125"/>
        <v>0</v>
      </c>
      <c r="AS104" s="93">
        <f t="shared" si="125"/>
        <v>0</v>
      </c>
      <c r="AT104" s="93">
        <f t="shared" si="125"/>
        <v>0</v>
      </c>
      <c r="AU104" s="93">
        <f t="shared" si="125"/>
        <v>0</v>
      </c>
      <c r="AV104" s="93">
        <f t="shared" si="125"/>
        <v>0</v>
      </c>
      <c r="AW104" s="93">
        <f t="shared" ca="1" si="125"/>
        <v>0</v>
      </c>
      <c r="BB104" s="94" t="e">
        <v>#REF!</v>
      </c>
    </row>
    <row r="105" spans="1:54" s="20" customFormat="1" ht="18" customHeight="1">
      <c r="A105" s="515"/>
      <c r="B105" s="110"/>
      <c r="C105" s="509"/>
      <c r="D105" s="111" t="str">
        <f>D103</f>
        <v>INS</v>
      </c>
      <c r="E105" s="112" t="str">
        <f>E103</f>
        <v>RFQ-032</v>
      </c>
      <c r="F105" s="113" t="str">
        <f>F103</f>
        <v>N</v>
      </c>
      <c r="G105" s="506"/>
      <c r="H105" s="113" t="str">
        <f>H103</f>
        <v>Temperature Transmitter</v>
      </c>
      <c r="I105" s="112" t="str">
        <f>I103</f>
        <v>LC</v>
      </c>
      <c r="J105" s="113"/>
      <c r="K105" s="114"/>
      <c r="L105" s="114"/>
      <c r="M105" s="114">
        <v>0.02</v>
      </c>
      <c r="N105" s="112"/>
      <c r="O105" s="112"/>
      <c r="P105" s="112"/>
      <c r="Q105" s="115" t="s">
        <v>4861</v>
      </c>
      <c r="R105" s="115"/>
      <c r="S105" s="126"/>
      <c r="T105" s="126"/>
      <c r="U105" s="126"/>
      <c r="V105" s="126"/>
      <c r="W105" s="126"/>
      <c r="X105" s="126"/>
      <c r="Y105" s="126"/>
      <c r="Z105" s="126"/>
      <c r="AA105" s="126"/>
      <c r="AB105" s="126"/>
      <c r="AC105" s="503"/>
      <c r="AD105" s="116"/>
      <c r="AE105" s="500"/>
      <c r="AF105" s="494"/>
      <c r="AG105" s="491"/>
      <c r="AH105" s="117"/>
      <c r="AI105" s="118"/>
      <c r="AJ105" s="488"/>
      <c r="AK105" s="119"/>
      <c r="AL105" s="120"/>
      <c r="AM105" s="121">
        <f t="shared" ref="AM105:AW105" si="126">IF(ISERROR(LOOKUP(AM$6,$S105:$AB105,$S$9:$AB$9)),0,(LOOKUP(AM$6,$S105:$AB105,$S$9:$AB$9)))</f>
        <v>0</v>
      </c>
      <c r="AN105" s="122">
        <f t="shared" si="126"/>
        <v>0</v>
      </c>
      <c r="AO105" s="122">
        <f t="shared" si="126"/>
        <v>0</v>
      </c>
      <c r="AP105" s="122">
        <f t="shared" si="126"/>
        <v>0</v>
      </c>
      <c r="AQ105" s="122">
        <f t="shared" si="126"/>
        <v>0</v>
      </c>
      <c r="AR105" s="122">
        <f t="shared" si="126"/>
        <v>0</v>
      </c>
      <c r="AS105" s="122">
        <f t="shared" si="126"/>
        <v>0</v>
      </c>
      <c r="AT105" s="122">
        <f t="shared" si="126"/>
        <v>0</v>
      </c>
      <c r="AU105" s="122">
        <f t="shared" si="126"/>
        <v>0</v>
      </c>
      <c r="AV105" s="122">
        <f t="shared" si="126"/>
        <v>0</v>
      </c>
      <c r="AW105" s="122">
        <f t="shared" ca="1" si="126"/>
        <v>0</v>
      </c>
      <c r="BB105" s="94" t="e">
        <v>#REF!</v>
      </c>
    </row>
    <row r="106" spans="1:54" s="20" customFormat="1" ht="18" customHeight="1">
      <c r="A106" s="513">
        <f>A103+1</f>
        <v>33</v>
      </c>
      <c r="B106" s="79"/>
      <c r="C106" s="507" t="s">
        <v>4855</v>
      </c>
      <c r="D106" s="80" t="s">
        <v>4887</v>
      </c>
      <c r="E106" s="81" t="s">
        <v>4777</v>
      </c>
      <c r="F106" s="82" t="s">
        <v>75</v>
      </c>
      <c r="G106" s="504" t="s">
        <v>4900</v>
      </c>
      <c r="H106" s="82" t="s">
        <v>167</v>
      </c>
      <c r="I106" s="81" t="s">
        <v>8</v>
      </c>
      <c r="J106" s="82"/>
      <c r="K106" s="84">
        <f>M108</f>
        <v>0.04</v>
      </c>
      <c r="L106" s="84"/>
      <c r="M106" s="84"/>
      <c r="N106" s="81"/>
      <c r="O106" s="81"/>
      <c r="P106" s="81"/>
      <c r="Q106" s="85" t="s">
        <v>4858</v>
      </c>
      <c r="R106" s="86">
        <f>'Before Award'!U113+5</f>
        <v>46417</v>
      </c>
      <c r="S106" s="86" t="e">
        <f>WORKDAY(R106,INDEX(S$2:S$5,MATCH($I106,$I$2:$I$5,0)),$BB$10:$BB$141)</f>
        <v>#REF!</v>
      </c>
      <c r="T106" s="86" t="e">
        <f>WORKDAY(S106,INDEX(T$2:T$5,MATCH($I106,$I$2:$I$5,0)),$BB$10:$BB$141)</f>
        <v>#REF!</v>
      </c>
      <c r="U106" s="86" t="e">
        <f>T106+30</f>
        <v>#REF!</v>
      </c>
      <c r="V106" s="86"/>
      <c r="W106" s="86">
        <f>AB106-35</f>
        <v>46503</v>
      </c>
      <c r="X106" s="86"/>
      <c r="Y106" s="86"/>
      <c r="Z106" s="86"/>
      <c r="AA106" s="86"/>
      <c r="AB106" s="86">
        <f>'Before Award'!X113</f>
        <v>46538</v>
      </c>
      <c r="AC106" s="501" t="s">
        <v>4859</v>
      </c>
      <c r="AD106" s="87">
        <v>7</v>
      </c>
      <c r="AE106" s="500">
        <f t="shared" ref="AE106" si="127">18*7</f>
        <v>126</v>
      </c>
      <c r="AF106" s="492" t="e">
        <f>AB107</f>
        <v>#REF!</v>
      </c>
      <c r="AG106" s="489">
        <f>WORKDAY(AH106+1,-1,$BA$10:$BA$141)</f>
        <v>46538</v>
      </c>
      <c r="AH106" s="88">
        <v>46538</v>
      </c>
      <c r="AI106" s="89"/>
      <c r="AJ106" s="486" t="e">
        <f>AG106-AF106</f>
        <v>#REF!</v>
      </c>
      <c r="AK106" s="90"/>
      <c r="AL106" s="91"/>
      <c r="AM106" s="92">
        <f t="shared" ref="AM106:AW106" si="128">IF(ISERROR(LOOKUP(AM$6,$S106:$AB106,$S$9:$AB$9)),0,(LOOKUP(AM$6,$S106:$AB106,$S$9:$AB$9)))</f>
        <v>0</v>
      </c>
      <c r="AN106" s="93">
        <f t="shared" si="128"/>
        <v>0</v>
      </c>
      <c r="AO106" s="93">
        <f t="shared" si="128"/>
        <v>0</v>
      </c>
      <c r="AP106" s="93">
        <f t="shared" si="128"/>
        <v>0</v>
      </c>
      <c r="AQ106" s="93">
        <f t="shared" si="128"/>
        <v>0</v>
      </c>
      <c r="AR106" s="93">
        <f t="shared" si="128"/>
        <v>0</v>
      </c>
      <c r="AS106" s="93">
        <f t="shared" si="128"/>
        <v>0</v>
      </c>
      <c r="AT106" s="93">
        <f t="shared" si="128"/>
        <v>0</v>
      </c>
      <c r="AU106" s="93">
        <f t="shared" si="128"/>
        <v>0</v>
      </c>
      <c r="AV106" s="93">
        <f t="shared" si="128"/>
        <v>0</v>
      </c>
      <c r="AW106" s="93">
        <f t="shared" ca="1" si="128"/>
        <v>0</v>
      </c>
      <c r="BB106" s="94" t="e">
        <v>#REF!</v>
      </c>
    </row>
    <row r="107" spans="1:54" s="20" customFormat="1" ht="18" customHeight="1">
      <c r="A107" s="514"/>
      <c r="B107" s="95"/>
      <c r="C107" s="508"/>
      <c r="D107" s="96" t="str">
        <f>D106</f>
        <v>INS</v>
      </c>
      <c r="E107" s="97" t="str">
        <f>E106</f>
        <v>RFQ-033</v>
      </c>
      <c r="F107" s="98" t="str">
        <f>F106</f>
        <v>N</v>
      </c>
      <c r="G107" s="505"/>
      <c r="H107" s="98" t="str">
        <f>H106</f>
        <v>Vortex Flow Meter</v>
      </c>
      <c r="I107" s="97" t="str">
        <f>I106</f>
        <v>LC</v>
      </c>
      <c r="J107" s="98"/>
      <c r="K107" s="100"/>
      <c r="L107" s="100">
        <f>M108</f>
        <v>0.04</v>
      </c>
      <c r="M107" s="100"/>
      <c r="N107" s="97"/>
      <c r="O107" s="97"/>
      <c r="P107" s="97"/>
      <c r="Q107" s="101" t="s">
        <v>4860</v>
      </c>
      <c r="R107" s="101"/>
      <c r="S107" s="102" t="e">
        <f>S106</f>
        <v>#REF!</v>
      </c>
      <c r="T107" s="103" t="e">
        <f>T106</f>
        <v>#REF!</v>
      </c>
      <c r="U107" s="103" t="e">
        <f t="shared" ref="U107:Z107" si="129">WORKDAY(IF(T108="",T107,T108),INDEX(U$2:U$5,MATCH($I106,$I$2:$I$5,0)),$BB$10:$BB$141)</f>
        <v>#REF!</v>
      </c>
      <c r="V107" s="103" t="e">
        <f t="shared" si="129"/>
        <v>#REF!</v>
      </c>
      <c r="W107" s="103" t="e">
        <f t="shared" si="129"/>
        <v>#REF!</v>
      </c>
      <c r="X107" s="103" t="e">
        <f t="shared" si="129"/>
        <v>#REF!</v>
      </c>
      <c r="Y107" s="103" t="e">
        <f t="shared" si="129"/>
        <v>#REF!</v>
      </c>
      <c r="Z107" s="103" t="e">
        <f t="shared" si="129"/>
        <v>#REF!</v>
      </c>
      <c r="AA107" s="103" t="e">
        <f>WORKDAY(IF(Z108="",X107,Z108),INDEX(AA$2:AA$5,MATCH($I106,$I$2:$I$5,0)),$BB$10:$BB$141)</f>
        <v>#REF!</v>
      </c>
      <c r="AB107" s="104" t="e">
        <f>WORKDAY(AE106+#REF!,0,'[35]Equipment List and MR List (3)'!$A$2:$A$80)</f>
        <v>#REF!</v>
      </c>
      <c r="AC107" s="502"/>
      <c r="AD107" s="105"/>
      <c r="AE107" s="500"/>
      <c r="AF107" s="493"/>
      <c r="AG107" s="490"/>
      <c r="AH107" s="106"/>
      <c r="AI107" s="107"/>
      <c r="AJ107" s="487"/>
      <c r="AK107" s="108"/>
      <c r="AL107" s="109"/>
      <c r="AM107" s="92">
        <f t="shared" ref="AM107:AW107" si="130">IF(ISERROR(LOOKUP(AM$6,$S107:$AB107,$S$9:$AB$9)),0,(LOOKUP(AM$6,$S107:$AB107,$S$9:$AB$9)))</f>
        <v>0</v>
      </c>
      <c r="AN107" s="93">
        <f t="shared" si="130"/>
        <v>0</v>
      </c>
      <c r="AO107" s="93">
        <f t="shared" si="130"/>
        <v>0</v>
      </c>
      <c r="AP107" s="93">
        <f t="shared" si="130"/>
        <v>0</v>
      </c>
      <c r="AQ107" s="93">
        <f t="shared" si="130"/>
        <v>0</v>
      </c>
      <c r="AR107" s="93">
        <f t="shared" si="130"/>
        <v>0</v>
      </c>
      <c r="AS107" s="93">
        <f t="shared" si="130"/>
        <v>0</v>
      </c>
      <c r="AT107" s="93">
        <f t="shared" si="130"/>
        <v>0</v>
      </c>
      <c r="AU107" s="93">
        <f t="shared" si="130"/>
        <v>0</v>
      </c>
      <c r="AV107" s="93">
        <f t="shared" si="130"/>
        <v>0</v>
      </c>
      <c r="AW107" s="93">
        <f t="shared" ca="1" si="130"/>
        <v>0</v>
      </c>
      <c r="BB107" s="94" t="e">
        <v>#REF!</v>
      </c>
    </row>
    <row r="108" spans="1:54" s="20" customFormat="1" ht="18" customHeight="1">
      <c r="A108" s="515"/>
      <c r="B108" s="110"/>
      <c r="C108" s="509"/>
      <c r="D108" s="111" t="str">
        <f>D106</f>
        <v>INS</v>
      </c>
      <c r="E108" s="112" t="str">
        <f>E106</f>
        <v>RFQ-033</v>
      </c>
      <c r="F108" s="113" t="str">
        <f>F106</f>
        <v>N</v>
      </c>
      <c r="G108" s="506"/>
      <c r="H108" s="113" t="str">
        <f>H106</f>
        <v>Vortex Flow Meter</v>
      </c>
      <c r="I108" s="112" t="str">
        <f>I106</f>
        <v>LC</v>
      </c>
      <c r="J108" s="113"/>
      <c r="K108" s="114"/>
      <c r="L108" s="114"/>
      <c r="M108" s="114">
        <v>0.04</v>
      </c>
      <c r="N108" s="112"/>
      <c r="O108" s="112"/>
      <c r="P108" s="112"/>
      <c r="Q108" s="115" t="s">
        <v>4861</v>
      </c>
      <c r="R108" s="115"/>
      <c r="S108" s="126"/>
      <c r="T108" s="126"/>
      <c r="U108" s="126"/>
      <c r="V108" s="126"/>
      <c r="W108" s="126"/>
      <c r="X108" s="126"/>
      <c r="Y108" s="126"/>
      <c r="Z108" s="126"/>
      <c r="AA108" s="126"/>
      <c r="AB108" s="126"/>
      <c r="AC108" s="503"/>
      <c r="AD108" s="116"/>
      <c r="AE108" s="500"/>
      <c r="AF108" s="494"/>
      <c r="AG108" s="491"/>
      <c r="AH108" s="117"/>
      <c r="AI108" s="118"/>
      <c r="AJ108" s="488"/>
      <c r="AK108" s="119"/>
      <c r="AL108" s="120"/>
      <c r="AM108" s="121">
        <f t="shared" ref="AM108:AW108" si="131">IF(ISERROR(LOOKUP(AM$6,$S108:$AB108,$S$9:$AB$9)),0,(LOOKUP(AM$6,$S108:$AB108,$S$9:$AB$9)))</f>
        <v>0</v>
      </c>
      <c r="AN108" s="122">
        <f t="shared" si="131"/>
        <v>0</v>
      </c>
      <c r="AO108" s="122">
        <f t="shared" si="131"/>
        <v>0</v>
      </c>
      <c r="AP108" s="122">
        <f t="shared" si="131"/>
        <v>0</v>
      </c>
      <c r="AQ108" s="122">
        <f t="shared" si="131"/>
        <v>0</v>
      </c>
      <c r="AR108" s="122">
        <f t="shared" si="131"/>
        <v>0</v>
      </c>
      <c r="AS108" s="122">
        <f t="shared" si="131"/>
        <v>0</v>
      </c>
      <c r="AT108" s="122">
        <f t="shared" si="131"/>
        <v>0</v>
      </c>
      <c r="AU108" s="122">
        <f t="shared" si="131"/>
        <v>0</v>
      </c>
      <c r="AV108" s="122">
        <f t="shared" si="131"/>
        <v>0</v>
      </c>
      <c r="AW108" s="122">
        <f t="shared" ca="1" si="131"/>
        <v>0</v>
      </c>
      <c r="BB108" s="94" t="e">
        <v>#REF!</v>
      </c>
    </row>
    <row r="109" spans="1:54" s="20" customFormat="1" ht="18" customHeight="1">
      <c r="A109" s="513">
        <f>A106+1</f>
        <v>34</v>
      </c>
      <c r="B109" s="79"/>
      <c r="C109" s="507" t="s">
        <v>4855</v>
      </c>
      <c r="D109" s="80" t="s">
        <v>4887</v>
      </c>
      <c r="E109" s="81" t="s">
        <v>4778</v>
      </c>
      <c r="F109" s="82" t="s">
        <v>75</v>
      </c>
      <c r="G109" s="504" t="s">
        <v>4901</v>
      </c>
      <c r="H109" s="82" t="s">
        <v>4779</v>
      </c>
      <c r="I109" s="81" t="s">
        <v>8</v>
      </c>
      <c r="J109" s="82"/>
      <c r="K109" s="84">
        <f>M111</f>
        <v>0.01</v>
      </c>
      <c r="L109" s="84"/>
      <c r="M109" s="84"/>
      <c r="N109" s="81"/>
      <c r="O109" s="81"/>
      <c r="P109" s="81"/>
      <c r="Q109" s="85" t="s">
        <v>4858</v>
      </c>
      <c r="R109" s="86">
        <f>'Before Award'!U116+5</f>
        <v>46417</v>
      </c>
      <c r="S109" s="86" t="e">
        <f>WORKDAY(R109,INDEX(S$2:S$5,MATCH($I109,$I$2:$I$5,0)),$BB$10:$BB$141)</f>
        <v>#REF!</v>
      </c>
      <c r="T109" s="86" t="e">
        <f>WORKDAY(S109,INDEX(T$2:T$5,MATCH($I109,$I$2:$I$5,0)),$BB$10:$BB$141)</f>
        <v>#REF!</v>
      </c>
      <c r="U109" s="86" t="e">
        <f>T109+30</f>
        <v>#REF!</v>
      </c>
      <c r="V109" s="86"/>
      <c r="W109" s="86">
        <f>AB109-35</f>
        <v>46503</v>
      </c>
      <c r="X109" s="86"/>
      <c r="Y109" s="86"/>
      <c r="Z109" s="86"/>
      <c r="AA109" s="86"/>
      <c r="AB109" s="86">
        <f>'Before Award'!X116</f>
        <v>46538</v>
      </c>
      <c r="AC109" s="501" t="s">
        <v>4859</v>
      </c>
      <c r="AD109" s="87">
        <v>7</v>
      </c>
      <c r="AE109" s="500">
        <f t="shared" ref="AE109" si="132">18*7</f>
        <v>126</v>
      </c>
      <c r="AF109" s="492" t="e">
        <f>AB110</f>
        <v>#REF!</v>
      </c>
      <c r="AG109" s="489">
        <f>WORKDAY(AH109+1,-1,$BA$10:$BA$141)</f>
        <v>46538</v>
      </c>
      <c r="AH109" s="88">
        <v>46538</v>
      </c>
      <c r="AI109" s="89"/>
      <c r="AJ109" s="486" t="e">
        <f>AG109-AF109</f>
        <v>#REF!</v>
      </c>
      <c r="AK109" s="90"/>
      <c r="AL109" s="91"/>
      <c r="AM109" s="92">
        <f t="shared" ref="AM109:AW109" si="133">IF(ISERROR(LOOKUP(AM$6,$S109:$AB109,$S$9:$AB$9)),0,(LOOKUP(AM$6,$S109:$AB109,$S$9:$AB$9)))</f>
        <v>0</v>
      </c>
      <c r="AN109" s="93">
        <f t="shared" si="133"/>
        <v>0</v>
      </c>
      <c r="AO109" s="93">
        <f t="shared" si="133"/>
        <v>0</v>
      </c>
      <c r="AP109" s="93">
        <f t="shared" si="133"/>
        <v>0</v>
      </c>
      <c r="AQ109" s="93">
        <f t="shared" si="133"/>
        <v>0</v>
      </c>
      <c r="AR109" s="93">
        <f t="shared" si="133"/>
        <v>0</v>
      </c>
      <c r="AS109" s="93">
        <f t="shared" si="133"/>
        <v>0</v>
      </c>
      <c r="AT109" s="93">
        <f t="shared" si="133"/>
        <v>0</v>
      </c>
      <c r="AU109" s="93">
        <f t="shared" si="133"/>
        <v>0</v>
      </c>
      <c r="AV109" s="93">
        <f t="shared" si="133"/>
        <v>0</v>
      </c>
      <c r="AW109" s="93">
        <f t="shared" ca="1" si="133"/>
        <v>0</v>
      </c>
      <c r="BB109" s="94" t="e">
        <v>#REF!</v>
      </c>
    </row>
    <row r="110" spans="1:54" s="20" customFormat="1" ht="18" customHeight="1">
      <c r="A110" s="514"/>
      <c r="B110" s="95"/>
      <c r="C110" s="508"/>
      <c r="D110" s="96" t="str">
        <f>D109</f>
        <v>INS</v>
      </c>
      <c r="E110" s="97" t="str">
        <f>E109</f>
        <v>RFQ-034</v>
      </c>
      <c r="F110" s="98" t="str">
        <f>F109</f>
        <v>N</v>
      </c>
      <c r="G110" s="505"/>
      <c r="H110" s="98" t="str">
        <f>H109</f>
        <v>Level Transmitter and Gauge</v>
      </c>
      <c r="I110" s="97" t="str">
        <f>I109</f>
        <v>LC</v>
      </c>
      <c r="J110" s="98"/>
      <c r="K110" s="100"/>
      <c r="L110" s="100">
        <f>M111</f>
        <v>0.01</v>
      </c>
      <c r="M110" s="100"/>
      <c r="N110" s="97"/>
      <c r="O110" s="97"/>
      <c r="P110" s="97"/>
      <c r="Q110" s="101" t="s">
        <v>4860</v>
      </c>
      <c r="R110" s="101"/>
      <c r="S110" s="102" t="e">
        <f>S109</f>
        <v>#REF!</v>
      </c>
      <c r="T110" s="103" t="e">
        <f>T109</f>
        <v>#REF!</v>
      </c>
      <c r="U110" s="103" t="e">
        <f t="shared" ref="U110:Z110" si="134">WORKDAY(IF(T111="",T110,T111),INDEX(U$2:U$5,MATCH($I109,$I$2:$I$5,0)),$BB$10:$BB$141)</f>
        <v>#REF!</v>
      </c>
      <c r="V110" s="103" t="e">
        <f t="shared" si="134"/>
        <v>#REF!</v>
      </c>
      <c r="W110" s="103" t="e">
        <f t="shared" si="134"/>
        <v>#REF!</v>
      </c>
      <c r="X110" s="103" t="e">
        <f t="shared" si="134"/>
        <v>#REF!</v>
      </c>
      <c r="Y110" s="103" t="e">
        <f t="shared" si="134"/>
        <v>#REF!</v>
      </c>
      <c r="Z110" s="103" t="e">
        <f t="shared" si="134"/>
        <v>#REF!</v>
      </c>
      <c r="AA110" s="103" t="e">
        <f>WORKDAY(IF(Z111="",X110,Z111),INDEX(AA$2:AA$5,MATCH($I109,$I$2:$I$5,0)),$BB$10:$BB$141)</f>
        <v>#REF!</v>
      </c>
      <c r="AB110" s="104" t="e">
        <f>WORKDAY(AE109+#REF!,0,'[35]Equipment List and MR List (3)'!$A$2:$A$80)</f>
        <v>#REF!</v>
      </c>
      <c r="AC110" s="502"/>
      <c r="AD110" s="105"/>
      <c r="AE110" s="500"/>
      <c r="AF110" s="493"/>
      <c r="AG110" s="490"/>
      <c r="AH110" s="106"/>
      <c r="AI110" s="107"/>
      <c r="AJ110" s="487"/>
      <c r="AK110" s="108"/>
      <c r="AL110" s="109"/>
      <c r="AM110" s="92">
        <f t="shared" ref="AM110:AW110" si="135">IF(ISERROR(LOOKUP(AM$6,$S110:$AB110,$S$9:$AB$9)),0,(LOOKUP(AM$6,$S110:$AB110,$S$9:$AB$9)))</f>
        <v>0</v>
      </c>
      <c r="AN110" s="93">
        <f t="shared" si="135"/>
        <v>0</v>
      </c>
      <c r="AO110" s="93">
        <f t="shared" si="135"/>
        <v>0</v>
      </c>
      <c r="AP110" s="93">
        <f t="shared" si="135"/>
        <v>0</v>
      </c>
      <c r="AQ110" s="93">
        <f t="shared" si="135"/>
        <v>0</v>
      </c>
      <c r="AR110" s="93">
        <f t="shared" si="135"/>
        <v>0</v>
      </c>
      <c r="AS110" s="93">
        <f t="shared" si="135"/>
        <v>0</v>
      </c>
      <c r="AT110" s="93">
        <f t="shared" si="135"/>
        <v>0</v>
      </c>
      <c r="AU110" s="93">
        <f t="shared" si="135"/>
        <v>0</v>
      </c>
      <c r="AV110" s="93">
        <f t="shared" si="135"/>
        <v>0</v>
      </c>
      <c r="AW110" s="93">
        <f t="shared" ca="1" si="135"/>
        <v>0</v>
      </c>
      <c r="BB110" s="94" t="e">
        <v>#REF!</v>
      </c>
    </row>
    <row r="111" spans="1:54" s="20" customFormat="1" ht="18" customHeight="1">
      <c r="A111" s="515"/>
      <c r="B111" s="110"/>
      <c r="C111" s="509"/>
      <c r="D111" s="111" t="str">
        <f>D109</f>
        <v>INS</v>
      </c>
      <c r="E111" s="112" t="str">
        <f>E109</f>
        <v>RFQ-034</v>
      </c>
      <c r="F111" s="113" t="str">
        <f>F109</f>
        <v>N</v>
      </c>
      <c r="G111" s="506"/>
      <c r="H111" s="113" t="str">
        <f>H109</f>
        <v>Level Transmitter and Gauge</v>
      </c>
      <c r="I111" s="112" t="str">
        <f>I109</f>
        <v>LC</v>
      </c>
      <c r="J111" s="113"/>
      <c r="K111" s="114"/>
      <c r="L111" s="114"/>
      <c r="M111" s="114">
        <v>0.01</v>
      </c>
      <c r="N111" s="112"/>
      <c r="O111" s="112"/>
      <c r="P111" s="112"/>
      <c r="Q111" s="115" t="s">
        <v>4861</v>
      </c>
      <c r="R111" s="115"/>
      <c r="S111" s="126"/>
      <c r="T111" s="126"/>
      <c r="U111" s="126"/>
      <c r="V111" s="126"/>
      <c r="W111" s="126"/>
      <c r="X111" s="126"/>
      <c r="Y111" s="126"/>
      <c r="Z111" s="126"/>
      <c r="AA111" s="126"/>
      <c r="AB111" s="126"/>
      <c r="AC111" s="503"/>
      <c r="AD111" s="116"/>
      <c r="AE111" s="500"/>
      <c r="AF111" s="494"/>
      <c r="AG111" s="491"/>
      <c r="AH111" s="117"/>
      <c r="AI111" s="118"/>
      <c r="AJ111" s="488"/>
      <c r="AK111" s="119"/>
      <c r="AL111" s="120"/>
      <c r="AM111" s="121">
        <f t="shared" ref="AM111:AW111" si="136">IF(ISERROR(LOOKUP(AM$6,$S111:$AB111,$S$9:$AB$9)),0,(LOOKUP(AM$6,$S111:$AB111,$S$9:$AB$9)))</f>
        <v>0</v>
      </c>
      <c r="AN111" s="122">
        <f t="shared" si="136"/>
        <v>0</v>
      </c>
      <c r="AO111" s="122">
        <f t="shared" si="136"/>
        <v>0</v>
      </c>
      <c r="AP111" s="122">
        <f t="shared" si="136"/>
        <v>0</v>
      </c>
      <c r="AQ111" s="122">
        <f t="shared" si="136"/>
        <v>0</v>
      </c>
      <c r="AR111" s="122">
        <f t="shared" si="136"/>
        <v>0</v>
      </c>
      <c r="AS111" s="122">
        <f t="shared" si="136"/>
        <v>0</v>
      </c>
      <c r="AT111" s="122">
        <f t="shared" si="136"/>
        <v>0</v>
      </c>
      <c r="AU111" s="122">
        <f t="shared" si="136"/>
        <v>0</v>
      </c>
      <c r="AV111" s="122">
        <f t="shared" si="136"/>
        <v>0</v>
      </c>
      <c r="AW111" s="122">
        <f t="shared" ca="1" si="136"/>
        <v>0</v>
      </c>
      <c r="BB111" s="94" t="e">
        <v>#REF!</v>
      </c>
    </row>
    <row r="112" spans="1:54" s="20" customFormat="1" ht="18" customHeight="1">
      <c r="A112" s="513">
        <f>A109+1</f>
        <v>35</v>
      </c>
      <c r="B112" s="79"/>
      <c r="C112" s="507" t="s">
        <v>4855</v>
      </c>
      <c r="D112" s="80" t="s">
        <v>4887</v>
      </c>
      <c r="E112" s="81" t="s">
        <v>4780</v>
      </c>
      <c r="F112" s="82" t="s">
        <v>75</v>
      </c>
      <c r="G112" s="504" t="s">
        <v>4902</v>
      </c>
      <c r="H112" s="82" t="s">
        <v>172</v>
      </c>
      <c r="I112" s="81" t="s">
        <v>8</v>
      </c>
      <c r="J112" s="82"/>
      <c r="K112" s="84">
        <f>M114</f>
        <v>5.0000000000000001E-3</v>
      </c>
      <c r="L112" s="84"/>
      <c r="M112" s="84"/>
      <c r="N112" s="81"/>
      <c r="O112" s="81"/>
      <c r="P112" s="81"/>
      <c r="Q112" s="85" t="s">
        <v>4858</v>
      </c>
      <c r="R112" s="86">
        <f>'Before Award'!U119+5</f>
        <v>46417</v>
      </c>
      <c r="S112" s="86" t="e">
        <f>WORKDAY(R112,INDEX(S$2:S$5,MATCH($I112,$I$2:$I$5,0)),$BB$10:$BB$141)</f>
        <v>#REF!</v>
      </c>
      <c r="T112" s="86" t="e">
        <f>WORKDAY(S112,INDEX(T$2:T$5,MATCH($I112,$I$2:$I$5,0)),$BB$10:$BB$141)</f>
        <v>#REF!</v>
      </c>
      <c r="U112" s="86" t="e">
        <f>T112+30</f>
        <v>#REF!</v>
      </c>
      <c r="V112" s="86"/>
      <c r="W112" s="86">
        <f>AB112-35</f>
        <v>46503</v>
      </c>
      <c r="X112" s="86"/>
      <c r="Y112" s="86"/>
      <c r="Z112" s="86"/>
      <c r="AA112" s="86"/>
      <c r="AB112" s="86">
        <f>'Before Award'!X119</f>
        <v>46538</v>
      </c>
      <c r="AC112" s="501" t="s">
        <v>4859</v>
      </c>
      <c r="AD112" s="87">
        <v>7</v>
      </c>
      <c r="AE112" s="500">
        <f>18*7</f>
        <v>126</v>
      </c>
      <c r="AF112" s="492" t="e">
        <f>AB113</f>
        <v>#REF!</v>
      </c>
      <c r="AG112" s="489">
        <f>WORKDAY(AH112+1,-1,$BA$10:$BA$141)</f>
        <v>46538</v>
      </c>
      <c r="AH112" s="88">
        <v>46538</v>
      </c>
      <c r="AI112" s="89"/>
      <c r="AJ112" s="486" t="e">
        <f>AG112-AF112</f>
        <v>#REF!</v>
      </c>
      <c r="AK112" s="90"/>
      <c r="AL112" s="91"/>
      <c r="AM112" s="92">
        <f t="shared" ref="AM112:AW112" si="137">IF(ISERROR(LOOKUP(AM$6,$S112:$AB112,$S$9:$AB$9)),0,(LOOKUP(AM$6,$S112:$AB112,$S$9:$AB$9)))</f>
        <v>0</v>
      </c>
      <c r="AN112" s="93">
        <f t="shared" si="137"/>
        <v>0</v>
      </c>
      <c r="AO112" s="93">
        <f t="shared" si="137"/>
        <v>0</v>
      </c>
      <c r="AP112" s="93">
        <f t="shared" si="137"/>
        <v>0</v>
      </c>
      <c r="AQ112" s="93">
        <f t="shared" si="137"/>
        <v>0</v>
      </c>
      <c r="AR112" s="93">
        <f t="shared" si="137"/>
        <v>0</v>
      </c>
      <c r="AS112" s="93">
        <f t="shared" si="137"/>
        <v>0</v>
      </c>
      <c r="AT112" s="93">
        <f t="shared" si="137"/>
        <v>0</v>
      </c>
      <c r="AU112" s="93">
        <f t="shared" si="137"/>
        <v>0</v>
      </c>
      <c r="AV112" s="93">
        <f t="shared" si="137"/>
        <v>0</v>
      </c>
      <c r="AW112" s="93">
        <f t="shared" ca="1" si="137"/>
        <v>0</v>
      </c>
      <c r="BB112" s="94" t="e">
        <v>#REF!</v>
      </c>
    </row>
    <row r="113" spans="1:54" s="20" customFormat="1" ht="18" customHeight="1">
      <c r="A113" s="514"/>
      <c r="B113" s="95"/>
      <c r="C113" s="508"/>
      <c r="D113" s="96" t="str">
        <f>D112</f>
        <v>INS</v>
      </c>
      <c r="E113" s="97" t="str">
        <f>E112</f>
        <v>RFQ-035</v>
      </c>
      <c r="F113" s="98" t="str">
        <f>F112</f>
        <v>N</v>
      </c>
      <c r="G113" s="505"/>
      <c r="H113" s="98" t="str">
        <f>H112</f>
        <v>Pig Signaller</v>
      </c>
      <c r="I113" s="97" t="str">
        <f>I112</f>
        <v>LC</v>
      </c>
      <c r="J113" s="98"/>
      <c r="K113" s="100"/>
      <c r="L113" s="100">
        <f>M114</f>
        <v>5.0000000000000001E-3</v>
      </c>
      <c r="M113" s="100"/>
      <c r="N113" s="97"/>
      <c r="O113" s="97"/>
      <c r="P113" s="97"/>
      <c r="Q113" s="101" t="s">
        <v>4860</v>
      </c>
      <c r="R113" s="101"/>
      <c r="S113" s="102" t="e">
        <f>S112</f>
        <v>#REF!</v>
      </c>
      <c r="T113" s="103" t="e">
        <f>T112</f>
        <v>#REF!</v>
      </c>
      <c r="U113" s="103" t="e">
        <f t="shared" ref="U113:Z113" si="138">WORKDAY(IF(T114="",T113,T114),INDEX(U$2:U$5,MATCH($I112,$I$2:$I$5,0)),$BB$10:$BB$141)</f>
        <v>#REF!</v>
      </c>
      <c r="V113" s="103" t="e">
        <f t="shared" si="138"/>
        <v>#REF!</v>
      </c>
      <c r="W113" s="103" t="e">
        <f t="shared" si="138"/>
        <v>#REF!</v>
      </c>
      <c r="X113" s="103" t="e">
        <f t="shared" si="138"/>
        <v>#REF!</v>
      </c>
      <c r="Y113" s="103" t="e">
        <f t="shared" si="138"/>
        <v>#REF!</v>
      </c>
      <c r="Z113" s="103" t="e">
        <f t="shared" si="138"/>
        <v>#REF!</v>
      </c>
      <c r="AA113" s="103" t="e">
        <f>WORKDAY(IF(Z114="",X113,Z114),INDEX(AA$2:AA$5,MATCH($I112,$I$2:$I$5,0)),$BB$10:$BB$141)</f>
        <v>#REF!</v>
      </c>
      <c r="AB113" s="104" t="e">
        <f>WORKDAY(AE112+#REF!,0,'[35]Equipment List and MR List (3)'!$A$2:$A$80)</f>
        <v>#REF!</v>
      </c>
      <c r="AC113" s="502"/>
      <c r="AD113" s="105"/>
      <c r="AE113" s="500"/>
      <c r="AF113" s="493"/>
      <c r="AG113" s="490"/>
      <c r="AH113" s="106"/>
      <c r="AI113" s="107"/>
      <c r="AJ113" s="487"/>
      <c r="AK113" s="108"/>
      <c r="AL113" s="109"/>
      <c r="AM113" s="92">
        <f t="shared" ref="AM113:AW113" si="139">IF(ISERROR(LOOKUP(AM$6,$S113:$AB113,$S$9:$AB$9)),0,(LOOKUP(AM$6,$S113:$AB113,$S$9:$AB$9)))</f>
        <v>0</v>
      </c>
      <c r="AN113" s="93">
        <f t="shared" si="139"/>
        <v>0</v>
      </c>
      <c r="AO113" s="93">
        <f t="shared" si="139"/>
        <v>0</v>
      </c>
      <c r="AP113" s="93">
        <f t="shared" si="139"/>
        <v>0</v>
      </c>
      <c r="AQ113" s="93">
        <f t="shared" si="139"/>
        <v>0</v>
      </c>
      <c r="AR113" s="93">
        <f t="shared" si="139"/>
        <v>0</v>
      </c>
      <c r="AS113" s="93">
        <f t="shared" si="139"/>
        <v>0</v>
      </c>
      <c r="AT113" s="93">
        <f t="shared" si="139"/>
        <v>0</v>
      </c>
      <c r="AU113" s="93">
        <f t="shared" si="139"/>
        <v>0</v>
      </c>
      <c r="AV113" s="93">
        <f t="shared" si="139"/>
        <v>0</v>
      </c>
      <c r="AW113" s="93">
        <f t="shared" ca="1" si="139"/>
        <v>0</v>
      </c>
      <c r="BB113" s="94" t="e">
        <v>#REF!</v>
      </c>
    </row>
    <row r="114" spans="1:54" s="20" customFormat="1" ht="18" customHeight="1">
      <c r="A114" s="515"/>
      <c r="B114" s="110"/>
      <c r="C114" s="509"/>
      <c r="D114" s="111" t="str">
        <f>D112</f>
        <v>INS</v>
      </c>
      <c r="E114" s="112" t="str">
        <f>E112</f>
        <v>RFQ-035</v>
      </c>
      <c r="F114" s="113" t="str">
        <f>F112</f>
        <v>N</v>
      </c>
      <c r="G114" s="506"/>
      <c r="H114" s="113" t="str">
        <f>H112</f>
        <v>Pig Signaller</v>
      </c>
      <c r="I114" s="112" t="str">
        <f>I112</f>
        <v>LC</v>
      </c>
      <c r="J114" s="113"/>
      <c r="K114" s="114"/>
      <c r="L114" s="114"/>
      <c r="M114" s="114">
        <v>5.0000000000000001E-3</v>
      </c>
      <c r="N114" s="112"/>
      <c r="O114" s="112"/>
      <c r="P114" s="112"/>
      <c r="Q114" s="115" t="s">
        <v>4861</v>
      </c>
      <c r="R114" s="115"/>
      <c r="S114" s="126"/>
      <c r="T114" s="126"/>
      <c r="U114" s="126"/>
      <c r="V114" s="126"/>
      <c r="W114" s="126"/>
      <c r="X114" s="126"/>
      <c r="Y114" s="126"/>
      <c r="Z114" s="126"/>
      <c r="AA114" s="126"/>
      <c r="AB114" s="126"/>
      <c r="AC114" s="503"/>
      <c r="AD114" s="116"/>
      <c r="AE114" s="500"/>
      <c r="AF114" s="494"/>
      <c r="AG114" s="491"/>
      <c r="AH114" s="117"/>
      <c r="AI114" s="118"/>
      <c r="AJ114" s="488"/>
      <c r="AK114" s="119"/>
      <c r="AL114" s="120"/>
      <c r="AM114" s="121">
        <f t="shared" ref="AM114:AW114" si="140">IF(ISERROR(LOOKUP(AM$6,$S114:$AB114,$S$9:$AB$9)),0,(LOOKUP(AM$6,$S114:$AB114,$S$9:$AB$9)))</f>
        <v>0</v>
      </c>
      <c r="AN114" s="122">
        <f t="shared" si="140"/>
        <v>0</v>
      </c>
      <c r="AO114" s="122">
        <f t="shared" si="140"/>
        <v>0</v>
      </c>
      <c r="AP114" s="122">
        <f t="shared" si="140"/>
        <v>0</v>
      </c>
      <c r="AQ114" s="122">
        <f t="shared" si="140"/>
        <v>0</v>
      </c>
      <c r="AR114" s="122">
        <f t="shared" si="140"/>
        <v>0</v>
      </c>
      <c r="AS114" s="122">
        <f t="shared" si="140"/>
        <v>0</v>
      </c>
      <c r="AT114" s="122">
        <f t="shared" si="140"/>
        <v>0</v>
      </c>
      <c r="AU114" s="122">
        <f t="shared" si="140"/>
        <v>0</v>
      </c>
      <c r="AV114" s="122">
        <f t="shared" si="140"/>
        <v>0</v>
      </c>
      <c r="AW114" s="122">
        <f t="shared" ca="1" si="140"/>
        <v>0</v>
      </c>
      <c r="BB114" s="94" t="e">
        <v>#REF!</v>
      </c>
    </row>
    <row r="115" spans="1:54" s="20" customFormat="1" ht="18" customHeight="1">
      <c r="A115" s="513">
        <f>A112+1</f>
        <v>36</v>
      </c>
      <c r="B115" s="79"/>
      <c r="C115" s="507" t="s">
        <v>4855</v>
      </c>
      <c r="D115" s="80" t="s">
        <v>4887</v>
      </c>
      <c r="E115" s="81" t="s">
        <v>4781</v>
      </c>
      <c r="F115" s="82" t="s">
        <v>75</v>
      </c>
      <c r="G115" s="504" t="s">
        <v>4903</v>
      </c>
      <c r="H115" s="82" t="s">
        <v>175</v>
      </c>
      <c r="I115" s="81" t="s">
        <v>8</v>
      </c>
      <c r="J115" s="82"/>
      <c r="K115" s="84">
        <f>M117</f>
        <v>5.0000000000000001E-3</v>
      </c>
      <c r="L115" s="84"/>
      <c r="M115" s="84"/>
      <c r="N115" s="81"/>
      <c r="O115" s="81"/>
      <c r="P115" s="81"/>
      <c r="Q115" s="85" t="s">
        <v>4858</v>
      </c>
      <c r="R115" s="86">
        <f>'Before Award'!U122+5</f>
        <v>46389</v>
      </c>
      <c r="S115" s="86" t="e">
        <f>WORKDAY(R115,INDEX(S$2:S$5,MATCH($I115,$I$2:$I$5,0)),$BB$10:$BB$141)</f>
        <v>#REF!</v>
      </c>
      <c r="T115" s="86" t="e">
        <f>WORKDAY(S115,INDEX(T$2:T$5,MATCH($I115,$I$2:$I$5,0)),$BB$10:$BB$141)</f>
        <v>#REF!</v>
      </c>
      <c r="U115" s="86" t="e">
        <f>T115+30</f>
        <v>#REF!</v>
      </c>
      <c r="V115" s="86"/>
      <c r="W115" s="86">
        <f>AB115-35</f>
        <v>46503</v>
      </c>
      <c r="X115" s="86"/>
      <c r="Y115" s="86"/>
      <c r="Z115" s="86"/>
      <c r="AA115" s="86"/>
      <c r="AB115" s="86">
        <f>'Before Award'!X122</f>
        <v>46538</v>
      </c>
      <c r="AC115" s="501" t="s">
        <v>4859</v>
      </c>
      <c r="AD115" s="87">
        <v>7</v>
      </c>
      <c r="AE115" s="500">
        <v>154</v>
      </c>
      <c r="AF115" s="492" t="e">
        <f>AB116</f>
        <v>#REF!</v>
      </c>
      <c r="AG115" s="489">
        <f>WORKDAY(AH115+1,-1,$BA$10:$BA$141)</f>
        <v>46538</v>
      </c>
      <c r="AH115" s="88">
        <v>46538</v>
      </c>
      <c r="AI115" s="89"/>
      <c r="AJ115" s="486" t="e">
        <f>AG115-AF115</f>
        <v>#REF!</v>
      </c>
      <c r="AK115" s="90"/>
      <c r="AL115" s="91"/>
      <c r="AM115" s="92">
        <f t="shared" ref="AM115:AW115" si="141">IF(ISERROR(LOOKUP(AM$6,$S115:$AB115,$S$9:$AB$9)),0,(LOOKUP(AM$6,$S115:$AB115,$S$9:$AB$9)))</f>
        <v>0</v>
      </c>
      <c r="AN115" s="93">
        <f t="shared" si="141"/>
        <v>0</v>
      </c>
      <c r="AO115" s="93">
        <f t="shared" si="141"/>
        <v>0</v>
      </c>
      <c r="AP115" s="93">
        <f t="shared" si="141"/>
        <v>0</v>
      </c>
      <c r="AQ115" s="93">
        <f t="shared" si="141"/>
        <v>0</v>
      </c>
      <c r="AR115" s="93">
        <f t="shared" si="141"/>
        <v>0</v>
      </c>
      <c r="AS115" s="93">
        <f t="shared" si="141"/>
        <v>0</v>
      </c>
      <c r="AT115" s="93">
        <f t="shared" si="141"/>
        <v>0</v>
      </c>
      <c r="AU115" s="93">
        <f t="shared" si="141"/>
        <v>0</v>
      </c>
      <c r="AV115" s="93">
        <f t="shared" si="141"/>
        <v>0</v>
      </c>
      <c r="AW115" s="93">
        <f t="shared" ca="1" si="141"/>
        <v>0</v>
      </c>
      <c r="BB115" s="94" t="e">
        <v>#REF!</v>
      </c>
    </row>
    <row r="116" spans="1:54" s="20" customFormat="1" ht="18" customHeight="1">
      <c r="A116" s="514"/>
      <c r="B116" s="95"/>
      <c r="C116" s="508"/>
      <c r="D116" s="96" t="str">
        <f>D115</f>
        <v>INS</v>
      </c>
      <c r="E116" s="97" t="str">
        <f>E115</f>
        <v>RFQ-036</v>
      </c>
      <c r="F116" s="98" t="str">
        <f>F115</f>
        <v>N</v>
      </c>
      <c r="G116" s="505"/>
      <c r="H116" s="98" t="str">
        <f>H115</f>
        <v>Rrestriction Orifice</v>
      </c>
      <c r="I116" s="97" t="str">
        <f>I115</f>
        <v>LC</v>
      </c>
      <c r="J116" s="98"/>
      <c r="K116" s="100"/>
      <c r="L116" s="100">
        <f>M117</f>
        <v>5.0000000000000001E-3</v>
      </c>
      <c r="M116" s="100"/>
      <c r="N116" s="97"/>
      <c r="O116" s="97"/>
      <c r="P116" s="97"/>
      <c r="Q116" s="101" t="s">
        <v>4860</v>
      </c>
      <c r="R116" s="101"/>
      <c r="S116" s="102" t="e">
        <f>S115</f>
        <v>#REF!</v>
      </c>
      <c r="T116" s="103" t="e">
        <f>T115</f>
        <v>#REF!</v>
      </c>
      <c r="U116" s="103" t="e">
        <f t="shared" ref="U116:Z116" si="142">WORKDAY(IF(T117="",T116,T117),INDEX(U$2:U$5,MATCH($I115,$I$2:$I$5,0)),$BB$10:$BB$141)</f>
        <v>#REF!</v>
      </c>
      <c r="V116" s="103" t="e">
        <f t="shared" si="142"/>
        <v>#REF!</v>
      </c>
      <c r="W116" s="103" t="e">
        <f t="shared" si="142"/>
        <v>#REF!</v>
      </c>
      <c r="X116" s="103" t="e">
        <f t="shared" si="142"/>
        <v>#REF!</v>
      </c>
      <c r="Y116" s="103" t="e">
        <f t="shared" si="142"/>
        <v>#REF!</v>
      </c>
      <c r="Z116" s="103" t="e">
        <f t="shared" si="142"/>
        <v>#REF!</v>
      </c>
      <c r="AA116" s="103" t="e">
        <f>WORKDAY(IF(Z117="",X116,Z117),INDEX(AA$2:AA$5,MATCH($I115,$I$2:$I$5,0)),$BB$10:$BB$141)</f>
        <v>#REF!</v>
      </c>
      <c r="AB116" s="104" t="e">
        <f>WORKDAY(AE115+#REF!,0,'[35]Equipment List and MR List (3)'!$A$2:$A$80)</f>
        <v>#REF!</v>
      </c>
      <c r="AC116" s="502"/>
      <c r="AD116" s="105"/>
      <c r="AE116" s="500"/>
      <c r="AF116" s="493"/>
      <c r="AG116" s="490"/>
      <c r="AH116" s="106"/>
      <c r="AI116" s="107"/>
      <c r="AJ116" s="487"/>
      <c r="AK116" s="108"/>
      <c r="AL116" s="109"/>
      <c r="AM116" s="92">
        <f t="shared" ref="AM116:AW116" si="143">IF(ISERROR(LOOKUP(AM$6,$S116:$AB116,$S$9:$AB$9)),0,(LOOKUP(AM$6,$S116:$AB116,$S$9:$AB$9)))</f>
        <v>0</v>
      </c>
      <c r="AN116" s="93">
        <f t="shared" si="143"/>
        <v>0</v>
      </c>
      <c r="AO116" s="93">
        <f t="shared" si="143"/>
        <v>0</v>
      </c>
      <c r="AP116" s="93">
        <f t="shared" si="143"/>
        <v>0</v>
      </c>
      <c r="AQ116" s="93">
        <f t="shared" si="143"/>
        <v>0</v>
      </c>
      <c r="AR116" s="93">
        <f t="shared" si="143"/>
        <v>0</v>
      </c>
      <c r="AS116" s="93">
        <f t="shared" si="143"/>
        <v>0</v>
      </c>
      <c r="AT116" s="93">
        <f t="shared" si="143"/>
        <v>0</v>
      </c>
      <c r="AU116" s="93">
        <f t="shared" si="143"/>
        <v>0</v>
      </c>
      <c r="AV116" s="93">
        <f t="shared" si="143"/>
        <v>0</v>
      </c>
      <c r="AW116" s="93">
        <f t="shared" ca="1" si="143"/>
        <v>0</v>
      </c>
      <c r="BB116" s="94" t="e">
        <v>#REF!</v>
      </c>
    </row>
    <row r="117" spans="1:54" s="20" customFormat="1" ht="18" customHeight="1">
      <c r="A117" s="515"/>
      <c r="B117" s="110"/>
      <c r="C117" s="509"/>
      <c r="D117" s="111" t="str">
        <f>D115</f>
        <v>INS</v>
      </c>
      <c r="E117" s="112" t="str">
        <f>E115</f>
        <v>RFQ-036</v>
      </c>
      <c r="F117" s="113" t="str">
        <f>F115</f>
        <v>N</v>
      </c>
      <c r="G117" s="506"/>
      <c r="H117" s="113" t="str">
        <f>H115</f>
        <v>Rrestriction Orifice</v>
      </c>
      <c r="I117" s="112" t="str">
        <f>I115</f>
        <v>LC</v>
      </c>
      <c r="J117" s="113"/>
      <c r="K117" s="114"/>
      <c r="L117" s="114"/>
      <c r="M117" s="114">
        <v>5.0000000000000001E-3</v>
      </c>
      <c r="N117" s="112"/>
      <c r="O117" s="112"/>
      <c r="P117" s="112"/>
      <c r="Q117" s="115" t="s">
        <v>4861</v>
      </c>
      <c r="R117" s="115"/>
      <c r="S117" s="126"/>
      <c r="T117" s="126"/>
      <c r="U117" s="126"/>
      <c r="V117" s="126"/>
      <c r="W117" s="126"/>
      <c r="X117" s="126"/>
      <c r="Y117" s="126"/>
      <c r="Z117" s="126"/>
      <c r="AA117" s="126"/>
      <c r="AB117" s="126"/>
      <c r="AC117" s="503"/>
      <c r="AD117" s="116"/>
      <c r="AE117" s="500"/>
      <c r="AF117" s="494"/>
      <c r="AG117" s="491"/>
      <c r="AH117" s="117"/>
      <c r="AI117" s="118"/>
      <c r="AJ117" s="488"/>
      <c r="AK117" s="119"/>
      <c r="AL117" s="120"/>
      <c r="AM117" s="121">
        <f t="shared" ref="AM117:AW117" si="144">IF(ISERROR(LOOKUP(AM$6,$S117:$AB117,$S$9:$AB$9)),0,(LOOKUP(AM$6,$S117:$AB117,$S$9:$AB$9)))</f>
        <v>0</v>
      </c>
      <c r="AN117" s="122">
        <f t="shared" si="144"/>
        <v>0</v>
      </c>
      <c r="AO117" s="122">
        <f t="shared" si="144"/>
        <v>0</v>
      </c>
      <c r="AP117" s="122">
        <f t="shared" si="144"/>
        <v>0</v>
      </c>
      <c r="AQ117" s="122">
        <f t="shared" si="144"/>
        <v>0</v>
      </c>
      <c r="AR117" s="122">
        <f t="shared" si="144"/>
        <v>0</v>
      </c>
      <c r="AS117" s="122">
        <f t="shared" si="144"/>
        <v>0</v>
      </c>
      <c r="AT117" s="122">
        <f t="shared" si="144"/>
        <v>0</v>
      </c>
      <c r="AU117" s="122">
        <f t="shared" si="144"/>
        <v>0</v>
      </c>
      <c r="AV117" s="122">
        <f t="shared" si="144"/>
        <v>0</v>
      </c>
      <c r="AW117" s="122">
        <f t="shared" ca="1" si="144"/>
        <v>0</v>
      </c>
      <c r="BB117" s="94" t="e">
        <v>#REF!</v>
      </c>
    </row>
    <row r="118" spans="1:54" s="20" customFormat="1" ht="18" customHeight="1">
      <c r="A118" s="513">
        <f>A115+1</f>
        <v>37</v>
      </c>
      <c r="B118" s="79"/>
      <c r="C118" s="507" t="s">
        <v>4855</v>
      </c>
      <c r="D118" s="80" t="s">
        <v>4887</v>
      </c>
      <c r="E118" s="81" t="s">
        <v>4782</v>
      </c>
      <c r="F118" s="82" t="s">
        <v>75</v>
      </c>
      <c r="G118" s="504" t="s">
        <v>4904</v>
      </c>
      <c r="H118" s="82" t="s">
        <v>177</v>
      </c>
      <c r="I118" s="81" t="s">
        <v>7</v>
      </c>
      <c r="J118" s="82"/>
      <c r="K118" s="84">
        <f>M120</f>
        <v>5.0000000000000001E-3</v>
      </c>
      <c r="L118" s="84"/>
      <c r="M118" s="84"/>
      <c r="N118" s="81"/>
      <c r="O118" s="81"/>
      <c r="P118" s="81"/>
      <c r="Q118" s="85" t="s">
        <v>4858</v>
      </c>
      <c r="R118" s="86">
        <f>'Before Award'!U125+5</f>
        <v>46291</v>
      </c>
      <c r="S118" s="86" t="e">
        <f>WORKDAY(R118,INDEX(S$2:S$5,MATCH($I118,$I$2:$I$5,0)),$BB$10:$BB$141)</f>
        <v>#REF!</v>
      </c>
      <c r="T118" s="86" t="e">
        <f>WORKDAY(S118,INDEX(T$2:T$5,MATCH($I118,$I$2:$I$5,0)),$BB$10:$BB$141)</f>
        <v>#REF!</v>
      </c>
      <c r="U118" s="86" t="e">
        <f>T118+30</f>
        <v>#REF!</v>
      </c>
      <c r="V118" s="86"/>
      <c r="W118" s="86">
        <f>AB118-35</f>
        <v>46503</v>
      </c>
      <c r="X118" s="86"/>
      <c r="Y118" s="86"/>
      <c r="Z118" s="86"/>
      <c r="AA118" s="86"/>
      <c r="AB118" s="86">
        <f>'Before Award'!X125</f>
        <v>46538</v>
      </c>
      <c r="AC118" s="501" t="s">
        <v>4859</v>
      </c>
      <c r="AD118" s="87">
        <v>7</v>
      </c>
      <c r="AE118" s="500">
        <f>36*7</f>
        <v>252</v>
      </c>
      <c r="AF118" s="492" t="e">
        <f>AB119</f>
        <v>#REF!</v>
      </c>
      <c r="AG118" s="489">
        <f>WORKDAY(AH118+1,-1,$BA$10:$BA$141)</f>
        <v>46538</v>
      </c>
      <c r="AH118" s="88">
        <v>46538</v>
      </c>
      <c r="AI118" s="89"/>
      <c r="AJ118" s="486" t="e">
        <f>AG118-AF118</f>
        <v>#REF!</v>
      </c>
      <c r="AK118" s="90"/>
      <c r="AL118" s="91"/>
      <c r="AM118" s="92">
        <f t="shared" ref="AM118:AW118" si="145">IF(ISERROR(LOOKUP(AM$6,$S118:$AB118,$S$9:$AB$9)),0,(LOOKUP(AM$6,$S118:$AB118,$S$9:$AB$9)))</f>
        <v>0</v>
      </c>
      <c r="AN118" s="93">
        <f t="shared" si="145"/>
        <v>0</v>
      </c>
      <c r="AO118" s="93">
        <f t="shared" si="145"/>
        <v>0</v>
      </c>
      <c r="AP118" s="93">
        <f t="shared" si="145"/>
        <v>0</v>
      </c>
      <c r="AQ118" s="93">
        <f t="shared" si="145"/>
        <v>0</v>
      </c>
      <c r="AR118" s="93">
        <f t="shared" si="145"/>
        <v>0</v>
      </c>
      <c r="AS118" s="93">
        <f t="shared" si="145"/>
        <v>0</v>
      </c>
      <c r="AT118" s="93">
        <f t="shared" si="145"/>
        <v>0</v>
      </c>
      <c r="AU118" s="93">
        <f t="shared" si="145"/>
        <v>0</v>
      </c>
      <c r="AV118" s="93">
        <f t="shared" si="145"/>
        <v>0</v>
      </c>
      <c r="AW118" s="93">
        <f t="shared" ca="1" si="145"/>
        <v>0</v>
      </c>
      <c r="BB118" s="94" t="e">
        <v>#REF!</v>
      </c>
    </row>
    <row r="119" spans="1:54" s="20" customFormat="1" ht="18" customHeight="1">
      <c r="A119" s="514"/>
      <c r="B119" s="95"/>
      <c r="C119" s="508"/>
      <c r="D119" s="96" t="str">
        <f>D118</f>
        <v>INS</v>
      </c>
      <c r="E119" s="97" t="str">
        <f>E118</f>
        <v>RFQ-037</v>
      </c>
      <c r="F119" s="98" t="str">
        <f>F118</f>
        <v>N</v>
      </c>
      <c r="G119" s="505"/>
      <c r="H119" s="98" t="str">
        <f>H118</f>
        <v>PLC System</v>
      </c>
      <c r="I119" s="97" t="str">
        <f>I118</f>
        <v>LB</v>
      </c>
      <c r="J119" s="98"/>
      <c r="K119" s="100"/>
      <c r="L119" s="100">
        <f>M120</f>
        <v>5.0000000000000001E-3</v>
      </c>
      <c r="M119" s="100"/>
      <c r="N119" s="97"/>
      <c r="O119" s="97"/>
      <c r="P119" s="97"/>
      <c r="Q119" s="101" t="s">
        <v>4860</v>
      </c>
      <c r="R119" s="101"/>
      <c r="S119" s="102" t="e">
        <f>S118</f>
        <v>#REF!</v>
      </c>
      <c r="T119" s="103" t="e">
        <f>T118</f>
        <v>#REF!</v>
      </c>
      <c r="U119" s="103" t="e">
        <f t="shared" ref="U119:Z119" si="146">WORKDAY(IF(T120="",T119,T120),INDEX(U$2:U$5,MATCH($I118,$I$2:$I$5,0)),$BB$10:$BB$141)</f>
        <v>#REF!</v>
      </c>
      <c r="V119" s="103" t="e">
        <f t="shared" si="146"/>
        <v>#REF!</v>
      </c>
      <c r="W119" s="103" t="e">
        <f t="shared" si="146"/>
        <v>#REF!</v>
      </c>
      <c r="X119" s="103" t="e">
        <f t="shared" si="146"/>
        <v>#REF!</v>
      </c>
      <c r="Y119" s="103" t="e">
        <f t="shared" si="146"/>
        <v>#REF!</v>
      </c>
      <c r="Z119" s="103" t="e">
        <f t="shared" si="146"/>
        <v>#REF!</v>
      </c>
      <c r="AA119" s="103" t="e">
        <f>WORKDAY(IF(Z120="",X119,Z120),INDEX(AA$2:AA$5,MATCH($I118,$I$2:$I$5,0)),$BB$10:$BB$141)</f>
        <v>#REF!</v>
      </c>
      <c r="AB119" s="104" t="e">
        <f>WORKDAY(AE118+#REF!,0,'[35]Equipment List and MR List (3)'!$A$2:$A$80)</f>
        <v>#REF!</v>
      </c>
      <c r="AC119" s="502"/>
      <c r="AD119" s="105"/>
      <c r="AE119" s="500"/>
      <c r="AF119" s="493"/>
      <c r="AG119" s="490"/>
      <c r="AH119" s="106"/>
      <c r="AI119" s="107"/>
      <c r="AJ119" s="487"/>
      <c r="AK119" s="108"/>
      <c r="AL119" s="109"/>
      <c r="AM119" s="92">
        <f t="shared" ref="AM119:AW119" si="147">IF(ISERROR(LOOKUP(AM$6,$S119:$AB119,$S$9:$AB$9)),0,(LOOKUP(AM$6,$S119:$AB119,$S$9:$AB$9)))</f>
        <v>0</v>
      </c>
      <c r="AN119" s="93">
        <f t="shared" si="147"/>
        <v>0</v>
      </c>
      <c r="AO119" s="93">
        <f t="shared" si="147"/>
        <v>0</v>
      </c>
      <c r="AP119" s="93">
        <f t="shared" si="147"/>
        <v>0</v>
      </c>
      <c r="AQ119" s="93">
        <f t="shared" si="147"/>
        <v>0</v>
      </c>
      <c r="AR119" s="93">
        <f t="shared" si="147"/>
        <v>0</v>
      </c>
      <c r="AS119" s="93">
        <f t="shared" si="147"/>
        <v>0</v>
      </c>
      <c r="AT119" s="93">
        <f t="shared" si="147"/>
        <v>0</v>
      </c>
      <c r="AU119" s="93">
        <f t="shared" si="147"/>
        <v>0</v>
      </c>
      <c r="AV119" s="93">
        <f t="shared" si="147"/>
        <v>0</v>
      </c>
      <c r="AW119" s="93">
        <f t="shared" ca="1" si="147"/>
        <v>0</v>
      </c>
      <c r="BB119" s="94" t="e">
        <v>#REF!</v>
      </c>
    </row>
    <row r="120" spans="1:54" s="20" customFormat="1" ht="18" customHeight="1">
      <c r="A120" s="515"/>
      <c r="B120" s="110"/>
      <c r="C120" s="509"/>
      <c r="D120" s="111" t="str">
        <f>D118</f>
        <v>INS</v>
      </c>
      <c r="E120" s="112" t="str">
        <f>E118</f>
        <v>RFQ-037</v>
      </c>
      <c r="F120" s="113" t="str">
        <f>F118</f>
        <v>N</v>
      </c>
      <c r="G120" s="506"/>
      <c r="H120" s="113" t="str">
        <f>H118</f>
        <v>PLC System</v>
      </c>
      <c r="I120" s="112" t="str">
        <f>I118</f>
        <v>LB</v>
      </c>
      <c r="J120" s="113"/>
      <c r="K120" s="114"/>
      <c r="L120" s="114"/>
      <c r="M120" s="114">
        <v>5.0000000000000001E-3</v>
      </c>
      <c r="N120" s="112"/>
      <c r="O120" s="112"/>
      <c r="P120" s="112"/>
      <c r="Q120" s="115" t="s">
        <v>4861</v>
      </c>
      <c r="R120" s="115"/>
      <c r="S120" s="126"/>
      <c r="T120" s="126"/>
      <c r="U120" s="126"/>
      <c r="V120" s="126"/>
      <c r="W120" s="126"/>
      <c r="X120" s="126"/>
      <c r="Y120" s="126"/>
      <c r="Z120" s="126"/>
      <c r="AA120" s="126"/>
      <c r="AB120" s="126"/>
      <c r="AC120" s="503"/>
      <c r="AD120" s="116"/>
      <c r="AE120" s="500"/>
      <c r="AF120" s="494"/>
      <c r="AG120" s="491"/>
      <c r="AH120" s="117"/>
      <c r="AI120" s="118"/>
      <c r="AJ120" s="488"/>
      <c r="AK120" s="119"/>
      <c r="AL120" s="120"/>
      <c r="AM120" s="121">
        <f t="shared" ref="AM120:AW120" si="148">IF(ISERROR(LOOKUP(AM$6,$S120:$AB120,$S$9:$AB$9)),0,(LOOKUP(AM$6,$S120:$AB120,$S$9:$AB$9)))</f>
        <v>0</v>
      </c>
      <c r="AN120" s="122">
        <f t="shared" si="148"/>
        <v>0</v>
      </c>
      <c r="AO120" s="122">
        <f t="shared" si="148"/>
        <v>0</v>
      </c>
      <c r="AP120" s="122">
        <f t="shared" si="148"/>
        <v>0</v>
      </c>
      <c r="AQ120" s="122">
        <f t="shared" si="148"/>
        <v>0</v>
      </c>
      <c r="AR120" s="122">
        <f t="shared" si="148"/>
        <v>0</v>
      </c>
      <c r="AS120" s="122">
        <f t="shared" si="148"/>
        <v>0</v>
      </c>
      <c r="AT120" s="122">
        <f t="shared" si="148"/>
        <v>0</v>
      </c>
      <c r="AU120" s="122">
        <f t="shared" si="148"/>
        <v>0</v>
      </c>
      <c r="AV120" s="122">
        <f t="shared" si="148"/>
        <v>0</v>
      </c>
      <c r="AW120" s="122">
        <f t="shared" ca="1" si="148"/>
        <v>0</v>
      </c>
      <c r="BB120" s="94" t="e">
        <v>#REF!</v>
      </c>
    </row>
    <row r="121" spans="1:54" s="20" customFormat="1" ht="18" customHeight="1">
      <c r="A121" s="513">
        <f>A118+1</f>
        <v>38</v>
      </c>
      <c r="B121" s="79"/>
      <c r="C121" s="507" t="s">
        <v>4855</v>
      </c>
      <c r="D121" s="80" t="s">
        <v>4887</v>
      </c>
      <c r="E121" s="81" t="s">
        <v>4783</v>
      </c>
      <c r="F121" s="82" t="s">
        <v>75</v>
      </c>
      <c r="G121" s="504" t="s">
        <v>4905</v>
      </c>
      <c r="H121" s="82" t="s">
        <v>180</v>
      </c>
      <c r="I121" s="81" t="s">
        <v>8</v>
      </c>
      <c r="J121" s="82"/>
      <c r="K121" s="84">
        <f>M123</f>
        <v>5.0000000000000001E-3</v>
      </c>
      <c r="L121" s="84"/>
      <c r="M121" s="84"/>
      <c r="N121" s="81"/>
      <c r="O121" s="81"/>
      <c r="P121" s="81"/>
      <c r="Q121" s="85" t="s">
        <v>4858</v>
      </c>
      <c r="R121" s="86">
        <f>'Before Award'!U128+5</f>
        <v>46412</v>
      </c>
      <c r="S121" s="86" t="e">
        <f>WORKDAY(R121,INDEX(S$2:S$5,MATCH($I121,$I$2:$I$5,0)),$BB$10:$BB$141)</f>
        <v>#REF!</v>
      </c>
      <c r="T121" s="86" t="e">
        <f>WORKDAY(S121,INDEX(T$2:T$5,MATCH($I121,$I$2:$I$5,0)),$BB$10:$BB$141)</f>
        <v>#REF!</v>
      </c>
      <c r="U121" s="86" t="e">
        <f>T121+30</f>
        <v>#REF!</v>
      </c>
      <c r="V121" s="86"/>
      <c r="W121" s="86">
        <f>AB121-35</f>
        <v>46503</v>
      </c>
      <c r="X121" s="86"/>
      <c r="Y121" s="86"/>
      <c r="Z121" s="86"/>
      <c r="AA121" s="86"/>
      <c r="AB121" s="86">
        <f>'Before Award'!X128</f>
        <v>46538</v>
      </c>
      <c r="AC121" s="501" t="s">
        <v>4859</v>
      </c>
      <c r="AD121" s="87">
        <v>7</v>
      </c>
      <c r="AE121" s="500">
        <v>131</v>
      </c>
      <c r="AF121" s="492" t="e">
        <f>AB122</f>
        <v>#REF!</v>
      </c>
      <c r="AG121" s="489">
        <f>WORKDAY(AH121+1,-1,$BA$10:$BA$141)</f>
        <v>46538</v>
      </c>
      <c r="AH121" s="88">
        <v>46538</v>
      </c>
      <c r="AI121" s="89"/>
      <c r="AJ121" s="486" t="e">
        <f>AG121-AF121</f>
        <v>#REF!</v>
      </c>
      <c r="AK121" s="90"/>
      <c r="AL121" s="91"/>
      <c r="AM121" s="92">
        <f t="shared" ref="AM121:AW121" si="149">IF(ISERROR(LOOKUP(AM$6,$S121:$AB121,$S$9:$AB$9)),0,(LOOKUP(AM$6,$S121:$AB121,$S$9:$AB$9)))</f>
        <v>0</v>
      </c>
      <c r="AN121" s="93">
        <f t="shared" si="149"/>
        <v>0</v>
      </c>
      <c r="AO121" s="93">
        <f t="shared" si="149"/>
        <v>0</v>
      </c>
      <c r="AP121" s="93">
        <f t="shared" si="149"/>
        <v>0</v>
      </c>
      <c r="AQ121" s="93">
        <f t="shared" si="149"/>
        <v>0</v>
      </c>
      <c r="AR121" s="93">
        <f t="shared" si="149"/>
        <v>0</v>
      </c>
      <c r="AS121" s="93">
        <f t="shared" si="149"/>
        <v>0</v>
      </c>
      <c r="AT121" s="93">
        <f t="shared" si="149"/>
        <v>0</v>
      </c>
      <c r="AU121" s="93">
        <f t="shared" si="149"/>
        <v>0</v>
      </c>
      <c r="AV121" s="93">
        <f t="shared" si="149"/>
        <v>0</v>
      </c>
      <c r="AW121" s="93">
        <f t="shared" ca="1" si="149"/>
        <v>0</v>
      </c>
      <c r="BB121" s="94" t="e">
        <v>#REF!</v>
      </c>
    </row>
    <row r="122" spans="1:54" s="20" customFormat="1" ht="18" customHeight="1">
      <c r="A122" s="514"/>
      <c r="B122" s="95"/>
      <c r="C122" s="508"/>
      <c r="D122" s="96" t="str">
        <f>D121</f>
        <v>INS</v>
      </c>
      <c r="E122" s="97" t="str">
        <f>E121</f>
        <v>RFQ-038</v>
      </c>
      <c r="F122" s="98" t="str">
        <f>F121</f>
        <v>N</v>
      </c>
      <c r="G122" s="505"/>
      <c r="H122" s="98" t="str">
        <f>H121</f>
        <v>Fire and Gas Detector</v>
      </c>
      <c r="I122" s="97" t="str">
        <f>I121</f>
        <v>LC</v>
      </c>
      <c r="J122" s="98"/>
      <c r="K122" s="100"/>
      <c r="L122" s="100">
        <f>M123</f>
        <v>5.0000000000000001E-3</v>
      </c>
      <c r="M122" s="100"/>
      <c r="N122" s="97"/>
      <c r="O122" s="97"/>
      <c r="P122" s="97"/>
      <c r="Q122" s="101" t="s">
        <v>4860</v>
      </c>
      <c r="R122" s="101"/>
      <c r="S122" s="102" t="e">
        <f>S121</f>
        <v>#REF!</v>
      </c>
      <c r="T122" s="103" t="e">
        <f>T121</f>
        <v>#REF!</v>
      </c>
      <c r="U122" s="103" t="e">
        <f t="shared" ref="U122:Z122" si="150">WORKDAY(IF(T123="",T122,T123),INDEX(U$2:U$5,MATCH($I121,$I$2:$I$5,0)),$BB$10:$BB$141)</f>
        <v>#REF!</v>
      </c>
      <c r="V122" s="103" t="e">
        <f t="shared" si="150"/>
        <v>#REF!</v>
      </c>
      <c r="W122" s="103" t="e">
        <f t="shared" si="150"/>
        <v>#REF!</v>
      </c>
      <c r="X122" s="103" t="e">
        <f t="shared" si="150"/>
        <v>#REF!</v>
      </c>
      <c r="Y122" s="103" t="e">
        <f t="shared" si="150"/>
        <v>#REF!</v>
      </c>
      <c r="Z122" s="103" t="e">
        <f t="shared" si="150"/>
        <v>#REF!</v>
      </c>
      <c r="AA122" s="103" t="e">
        <f>WORKDAY(IF(Z123="",X122,Z123),INDEX(AA$2:AA$5,MATCH($I121,$I$2:$I$5,0)),$BB$10:$BB$141)</f>
        <v>#REF!</v>
      </c>
      <c r="AB122" s="104" t="e">
        <f>WORKDAY(AE121+#REF!,0,'[35]Equipment List and MR List (3)'!$A$2:$A$80)</f>
        <v>#REF!</v>
      </c>
      <c r="AC122" s="502"/>
      <c r="AD122" s="105"/>
      <c r="AE122" s="500"/>
      <c r="AF122" s="493"/>
      <c r="AG122" s="490"/>
      <c r="AH122" s="106"/>
      <c r="AI122" s="107"/>
      <c r="AJ122" s="487"/>
      <c r="AK122" s="108"/>
      <c r="AL122" s="109"/>
      <c r="AM122" s="92">
        <f t="shared" ref="AM122:AW122" si="151">IF(ISERROR(LOOKUP(AM$6,$S122:$AB122,$S$9:$AB$9)),0,(LOOKUP(AM$6,$S122:$AB122,$S$9:$AB$9)))</f>
        <v>0</v>
      </c>
      <c r="AN122" s="93">
        <f t="shared" si="151"/>
        <v>0</v>
      </c>
      <c r="AO122" s="93">
        <f t="shared" si="151"/>
        <v>0</v>
      </c>
      <c r="AP122" s="93">
        <f t="shared" si="151"/>
        <v>0</v>
      </c>
      <c r="AQ122" s="93">
        <f t="shared" si="151"/>
        <v>0</v>
      </c>
      <c r="AR122" s="93">
        <f t="shared" si="151"/>
        <v>0</v>
      </c>
      <c r="AS122" s="93">
        <f t="shared" si="151"/>
        <v>0</v>
      </c>
      <c r="AT122" s="93">
        <f t="shared" si="151"/>
        <v>0</v>
      </c>
      <c r="AU122" s="93">
        <f t="shared" si="151"/>
        <v>0</v>
      </c>
      <c r="AV122" s="93">
        <f t="shared" si="151"/>
        <v>0</v>
      </c>
      <c r="AW122" s="93">
        <f t="shared" ca="1" si="151"/>
        <v>0</v>
      </c>
      <c r="BB122" s="94" t="e">
        <v>#REF!</v>
      </c>
    </row>
    <row r="123" spans="1:54" s="20" customFormat="1" ht="18" customHeight="1">
      <c r="A123" s="515"/>
      <c r="B123" s="110"/>
      <c r="C123" s="509"/>
      <c r="D123" s="111" t="str">
        <f>D121</f>
        <v>INS</v>
      </c>
      <c r="E123" s="112" t="str">
        <f>E121</f>
        <v>RFQ-038</v>
      </c>
      <c r="F123" s="113" t="str">
        <f>F121</f>
        <v>N</v>
      </c>
      <c r="G123" s="506"/>
      <c r="H123" s="113" t="str">
        <f>H121</f>
        <v>Fire and Gas Detector</v>
      </c>
      <c r="I123" s="112" t="str">
        <f>I121</f>
        <v>LC</v>
      </c>
      <c r="J123" s="113"/>
      <c r="K123" s="114"/>
      <c r="L123" s="114"/>
      <c r="M123" s="114">
        <v>5.0000000000000001E-3</v>
      </c>
      <c r="N123" s="112"/>
      <c r="O123" s="112"/>
      <c r="P123" s="112"/>
      <c r="Q123" s="115" t="s">
        <v>4861</v>
      </c>
      <c r="R123" s="115"/>
      <c r="S123" s="126"/>
      <c r="T123" s="126"/>
      <c r="U123" s="126"/>
      <c r="V123" s="126"/>
      <c r="W123" s="126"/>
      <c r="X123" s="126"/>
      <c r="Y123" s="126"/>
      <c r="Z123" s="126"/>
      <c r="AA123" s="126"/>
      <c r="AB123" s="126"/>
      <c r="AC123" s="503"/>
      <c r="AD123" s="116"/>
      <c r="AE123" s="500"/>
      <c r="AF123" s="494"/>
      <c r="AG123" s="491"/>
      <c r="AH123" s="117"/>
      <c r="AI123" s="118"/>
      <c r="AJ123" s="488"/>
      <c r="AK123" s="119"/>
      <c r="AL123" s="120"/>
      <c r="AM123" s="121">
        <f t="shared" ref="AM123:AW123" si="152">IF(ISERROR(LOOKUP(AM$6,$S123:$AB123,$S$9:$AB$9)),0,(LOOKUP(AM$6,$S123:$AB123,$S$9:$AB$9)))</f>
        <v>0</v>
      </c>
      <c r="AN123" s="122">
        <f t="shared" si="152"/>
        <v>0</v>
      </c>
      <c r="AO123" s="122">
        <f t="shared" si="152"/>
        <v>0</v>
      </c>
      <c r="AP123" s="122">
        <f t="shared" si="152"/>
        <v>0</v>
      </c>
      <c r="AQ123" s="122">
        <f t="shared" si="152"/>
        <v>0</v>
      </c>
      <c r="AR123" s="122">
        <f t="shared" si="152"/>
        <v>0</v>
      </c>
      <c r="AS123" s="122">
        <f t="shared" si="152"/>
        <v>0</v>
      </c>
      <c r="AT123" s="122">
        <f t="shared" si="152"/>
        <v>0</v>
      </c>
      <c r="AU123" s="122">
        <f t="shared" si="152"/>
        <v>0</v>
      </c>
      <c r="AV123" s="122">
        <f t="shared" si="152"/>
        <v>0</v>
      </c>
      <c r="AW123" s="122">
        <f t="shared" ca="1" si="152"/>
        <v>0</v>
      </c>
      <c r="BB123" s="94" t="e">
        <v>#REF!</v>
      </c>
    </row>
    <row r="124" spans="1:54" s="20" customFormat="1" ht="18" customHeight="1">
      <c r="A124" s="513">
        <f>A121+1</f>
        <v>39</v>
      </c>
      <c r="B124" s="79"/>
      <c r="C124" s="507" t="s">
        <v>4855</v>
      </c>
      <c r="D124" s="80" t="s">
        <v>4887</v>
      </c>
      <c r="E124" s="81" t="s">
        <v>4784</v>
      </c>
      <c r="F124" s="82" t="s">
        <v>75</v>
      </c>
      <c r="G124" s="504" t="s">
        <v>4906</v>
      </c>
      <c r="H124" s="82" t="s">
        <v>182</v>
      </c>
      <c r="I124" s="81" t="s">
        <v>8</v>
      </c>
      <c r="J124" s="82"/>
      <c r="K124" s="84">
        <f>M126</f>
        <v>5.0000000000000001E-3</v>
      </c>
      <c r="L124" s="84"/>
      <c r="M124" s="84"/>
      <c r="N124" s="81"/>
      <c r="O124" s="81"/>
      <c r="P124" s="81"/>
      <c r="Q124" s="85" t="s">
        <v>4858</v>
      </c>
      <c r="R124" s="86">
        <f>'Before Award'!U131+5</f>
        <v>46417</v>
      </c>
      <c r="S124" s="86" t="e">
        <f>WORKDAY(R124,INDEX(S$2:S$5,MATCH($I124,$I$2:$I$5,0)),$BB$10:$BB$141)</f>
        <v>#REF!</v>
      </c>
      <c r="T124" s="86" t="e">
        <f>WORKDAY(S124,INDEX(T$2:T$5,MATCH($I124,$I$2:$I$5,0)),$BB$10:$BB$141)</f>
        <v>#REF!</v>
      </c>
      <c r="U124" s="86" t="e">
        <f>T124+30</f>
        <v>#REF!</v>
      </c>
      <c r="V124" s="86"/>
      <c r="W124" s="86">
        <f>AB124-35</f>
        <v>46503</v>
      </c>
      <c r="X124" s="86"/>
      <c r="Y124" s="86"/>
      <c r="Z124" s="86"/>
      <c r="AA124" s="86"/>
      <c r="AB124" s="86">
        <f>'Before Award'!X131</f>
        <v>46538</v>
      </c>
      <c r="AC124" s="501" t="s">
        <v>4859</v>
      </c>
      <c r="AD124" s="87">
        <v>7</v>
      </c>
      <c r="AE124" s="500">
        <f>18*7</f>
        <v>126</v>
      </c>
      <c r="AF124" s="492" t="e">
        <f>AB125</f>
        <v>#REF!</v>
      </c>
      <c r="AG124" s="489">
        <f>WORKDAY(AH124+1,-1,$BA$10:$BA$141)</f>
        <v>46538</v>
      </c>
      <c r="AH124" s="88">
        <v>46538</v>
      </c>
      <c r="AI124" s="89"/>
      <c r="AJ124" s="486" t="e">
        <f>AG124-AF124</f>
        <v>#REF!</v>
      </c>
      <c r="AK124" s="90"/>
      <c r="AL124" s="91"/>
      <c r="AM124" s="92">
        <f t="shared" ref="AM124:AW124" si="153">IF(ISERROR(LOOKUP(AM$6,$S124:$AB124,$S$9:$AB$9)),0,(LOOKUP(AM$6,$S124:$AB124,$S$9:$AB$9)))</f>
        <v>0</v>
      </c>
      <c r="AN124" s="93">
        <f t="shared" si="153"/>
        <v>0</v>
      </c>
      <c r="AO124" s="93">
        <f t="shared" si="153"/>
        <v>0</v>
      </c>
      <c r="AP124" s="93">
        <f t="shared" si="153"/>
        <v>0</v>
      </c>
      <c r="AQ124" s="93">
        <f t="shared" si="153"/>
        <v>0</v>
      </c>
      <c r="AR124" s="93">
        <f t="shared" si="153"/>
        <v>0</v>
      </c>
      <c r="AS124" s="93">
        <f t="shared" si="153"/>
        <v>0</v>
      </c>
      <c r="AT124" s="93">
        <f t="shared" si="153"/>
        <v>0</v>
      </c>
      <c r="AU124" s="93">
        <f t="shared" si="153"/>
        <v>0</v>
      </c>
      <c r="AV124" s="93">
        <f t="shared" si="153"/>
        <v>0</v>
      </c>
      <c r="AW124" s="93">
        <f t="shared" ca="1" si="153"/>
        <v>0</v>
      </c>
      <c r="BB124" s="94" t="e">
        <v>#REF!</v>
      </c>
    </row>
    <row r="125" spans="1:54" s="20" customFormat="1" ht="18" customHeight="1">
      <c r="A125" s="514"/>
      <c r="B125" s="95"/>
      <c r="C125" s="508"/>
      <c r="D125" s="96" t="str">
        <f>D124</f>
        <v>INS</v>
      </c>
      <c r="E125" s="97" t="str">
        <f>E124</f>
        <v>RFQ-039</v>
      </c>
      <c r="F125" s="98" t="str">
        <f>F124</f>
        <v>N</v>
      </c>
      <c r="G125" s="505"/>
      <c r="H125" s="98" t="str">
        <f>H124</f>
        <v>Dip Tape Level Indicator</v>
      </c>
      <c r="I125" s="97" t="str">
        <f>I124</f>
        <v>LC</v>
      </c>
      <c r="J125" s="98"/>
      <c r="K125" s="100"/>
      <c r="L125" s="100">
        <f>M126</f>
        <v>5.0000000000000001E-3</v>
      </c>
      <c r="M125" s="100"/>
      <c r="N125" s="97"/>
      <c r="O125" s="97"/>
      <c r="P125" s="97"/>
      <c r="Q125" s="101" t="s">
        <v>4860</v>
      </c>
      <c r="R125" s="101"/>
      <c r="S125" s="102" t="e">
        <f>S124</f>
        <v>#REF!</v>
      </c>
      <c r="T125" s="103" t="e">
        <f>T124</f>
        <v>#REF!</v>
      </c>
      <c r="U125" s="103" t="e">
        <f t="shared" ref="U125:Z125" si="154">WORKDAY(IF(T126="",T125,T126),INDEX(U$2:U$5,MATCH($I124,$I$2:$I$5,0)),$BB$10:$BB$141)</f>
        <v>#REF!</v>
      </c>
      <c r="V125" s="103" t="e">
        <f t="shared" si="154"/>
        <v>#REF!</v>
      </c>
      <c r="W125" s="103" t="e">
        <f t="shared" si="154"/>
        <v>#REF!</v>
      </c>
      <c r="X125" s="103" t="e">
        <f t="shared" si="154"/>
        <v>#REF!</v>
      </c>
      <c r="Y125" s="103" t="e">
        <f t="shared" si="154"/>
        <v>#REF!</v>
      </c>
      <c r="Z125" s="103" t="e">
        <f t="shared" si="154"/>
        <v>#REF!</v>
      </c>
      <c r="AA125" s="103" t="e">
        <f>WORKDAY(IF(Z126="",X125,Z126),INDEX(AA$2:AA$5,MATCH($I124,$I$2:$I$5,0)),$BB$10:$BB$141)</f>
        <v>#REF!</v>
      </c>
      <c r="AB125" s="104" t="e">
        <f>WORKDAY(AE124+#REF!,0,'[35]Equipment List and MR List (3)'!$A$2:$A$80)</f>
        <v>#REF!</v>
      </c>
      <c r="AC125" s="502"/>
      <c r="AD125" s="105"/>
      <c r="AE125" s="500"/>
      <c r="AF125" s="493"/>
      <c r="AG125" s="490"/>
      <c r="AH125" s="106"/>
      <c r="AI125" s="107"/>
      <c r="AJ125" s="487"/>
      <c r="AK125" s="108"/>
      <c r="AL125" s="109"/>
      <c r="AM125" s="92">
        <f t="shared" ref="AM125:AW125" si="155">IF(ISERROR(LOOKUP(AM$6,$S125:$AB125,$S$9:$AB$9)),0,(LOOKUP(AM$6,$S125:$AB125,$S$9:$AB$9)))</f>
        <v>0</v>
      </c>
      <c r="AN125" s="93">
        <f t="shared" si="155"/>
        <v>0</v>
      </c>
      <c r="AO125" s="93">
        <f t="shared" si="155"/>
        <v>0</v>
      </c>
      <c r="AP125" s="93">
        <f t="shared" si="155"/>
        <v>0</v>
      </c>
      <c r="AQ125" s="93">
        <f t="shared" si="155"/>
        <v>0</v>
      </c>
      <c r="AR125" s="93">
        <f t="shared" si="155"/>
        <v>0</v>
      </c>
      <c r="AS125" s="93">
        <f t="shared" si="155"/>
        <v>0</v>
      </c>
      <c r="AT125" s="93">
        <f t="shared" si="155"/>
        <v>0</v>
      </c>
      <c r="AU125" s="93">
        <f t="shared" si="155"/>
        <v>0</v>
      </c>
      <c r="AV125" s="93">
        <f t="shared" si="155"/>
        <v>0</v>
      </c>
      <c r="AW125" s="93">
        <f t="shared" ca="1" si="155"/>
        <v>0</v>
      </c>
      <c r="BB125" s="94" t="e">
        <v>#REF!</v>
      </c>
    </row>
    <row r="126" spans="1:54" s="20" customFormat="1" ht="18" customHeight="1">
      <c r="A126" s="515"/>
      <c r="B126" s="110"/>
      <c r="C126" s="509"/>
      <c r="D126" s="111" t="str">
        <f>D124</f>
        <v>INS</v>
      </c>
      <c r="E126" s="112" t="str">
        <f>E124</f>
        <v>RFQ-039</v>
      </c>
      <c r="F126" s="113" t="str">
        <f>F124</f>
        <v>N</v>
      </c>
      <c r="G126" s="506"/>
      <c r="H126" s="113" t="str">
        <f>H124</f>
        <v>Dip Tape Level Indicator</v>
      </c>
      <c r="I126" s="112" t="str">
        <f>I124</f>
        <v>LC</v>
      </c>
      <c r="J126" s="113"/>
      <c r="K126" s="114"/>
      <c r="L126" s="114"/>
      <c r="M126" s="114">
        <v>5.0000000000000001E-3</v>
      </c>
      <c r="N126" s="112"/>
      <c r="O126" s="112"/>
      <c r="P126" s="112"/>
      <c r="Q126" s="115" t="s">
        <v>4861</v>
      </c>
      <c r="R126" s="115"/>
      <c r="S126" s="126"/>
      <c r="T126" s="126"/>
      <c r="U126" s="126"/>
      <c r="V126" s="126"/>
      <c r="W126" s="126"/>
      <c r="X126" s="126"/>
      <c r="Y126" s="126"/>
      <c r="Z126" s="126"/>
      <c r="AA126" s="126"/>
      <c r="AB126" s="126"/>
      <c r="AC126" s="503"/>
      <c r="AD126" s="116"/>
      <c r="AE126" s="500"/>
      <c r="AF126" s="494"/>
      <c r="AG126" s="491"/>
      <c r="AH126" s="117"/>
      <c r="AI126" s="118"/>
      <c r="AJ126" s="488"/>
      <c r="AK126" s="119"/>
      <c r="AL126" s="120"/>
      <c r="AM126" s="121">
        <f t="shared" ref="AM126:AW126" si="156">IF(ISERROR(LOOKUP(AM$6,$S126:$AB126,$S$9:$AB$9)),0,(LOOKUP(AM$6,$S126:$AB126,$S$9:$AB$9)))</f>
        <v>0</v>
      </c>
      <c r="AN126" s="122">
        <f t="shared" si="156"/>
        <v>0</v>
      </c>
      <c r="AO126" s="122">
        <f t="shared" si="156"/>
        <v>0</v>
      </c>
      <c r="AP126" s="122">
        <f t="shared" si="156"/>
        <v>0</v>
      </c>
      <c r="AQ126" s="122">
        <f t="shared" si="156"/>
        <v>0</v>
      </c>
      <c r="AR126" s="122">
        <f t="shared" si="156"/>
        <v>0</v>
      </c>
      <c r="AS126" s="122">
        <f t="shared" si="156"/>
        <v>0</v>
      </c>
      <c r="AT126" s="122">
        <f t="shared" si="156"/>
        <v>0</v>
      </c>
      <c r="AU126" s="122">
        <f t="shared" si="156"/>
        <v>0</v>
      </c>
      <c r="AV126" s="122">
        <f t="shared" si="156"/>
        <v>0</v>
      </c>
      <c r="AW126" s="122">
        <f t="shared" ca="1" si="156"/>
        <v>0</v>
      </c>
      <c r="BB126" s="94" t="e">
        <v>#REF!</v>
      </c>
    </row>
    <row r="127" spans="1:54" s="20" customFormat="1" ht="18" customHeight="1">
      <c r="A127" s="513">
        <f>A124+1</f>
        <v>40</v>
      </c>
      <c r="B127" s="79"/>
      <c r="C127" s="507" t="s">
        <v>4855</v>
      </c>
      <c r="D127" s="80" t="s">
        <v>4887</v>
      </c>
      <c r="E127" s="81" t="s">
        <v>4785</v>
      </c>
      <c r="F127" s="82" t="s">
        <v>75</v>
      </c>
      <c r="G127" s="504" t="s">
        <v>4907</v>
      </c>
      <c r="H127" s="82" t="s">
        <v>185</v>
      </c>
      <c r="I127" s="81" t="s">
        <v>8</v>
      </c>
      <c r="J127" s="82"/>
      <c r="K127" s="84">
        <f>M129</f>
        <v>5.0000000000000001E-3</v>
      </c>
      <c r="L127" s="84"/>
      <c r="M127" s="84"/>
      <c r="N127" s="81"/>
      <c r="O127" s="81"/>
      <c r="P127" s="81"/>
      <c r="Q127" s="85" t="s">
        <v>4858</v>
      </c>
      <c r="R127" s="86">
        <f>'Before Award'!U134+5</f>
        <v>46417</v>
      </c>
      <c r="S127" s="86" t="e">
        <f>WORKDAY(R127,INDEX(S$2:S$5,MATCH($I127,$I$2:$I$5,0)),$BB$10:$BB$141)</f>
        <v>#REF!</v>
      </c>
      <c r="T127" s="86" t="e">
        <f>WORKDAY(S127,INDEX(T$2:T$5,MATCH($I127,$I$2:$I$5,0)),$BB$10:$BB$141)</f>
        <v>#REF!</v>
      </c>
      <c r="U127" s="86" t="e">
        <f>T127+30</f>
        <v>#REF!</v>
      </c>
      <c r="V127" s="86"/>
      <c r="W127" s="86">
        <f>AB127-35</f>
        <v>46503</v>
      </c>
      <c r="X127" s="86"/>
      <c r="Y127" s="86"/>
      <c r="Z127" s="86"/>
      <c r="AA127" s="86"/>
      <c r="AB127" s="86">
        <f>'Before Award'!X134</f>
        <v>46538</v>
      </c>
      <c r="AC127" s="501" t="s">
        <v>4859</v>
      </c>
      <c r="AD127" s="87">
        <v>7</v>
      </c>
      <c r="AE127" s="500">
        <f>18*7</f>
        <v>126</v>
      </c>
      <c r="AF127" s="492" t="e">
        <f>AB128</f>
        <v>#REF!</v>
      </c>
      <c r="AG127" s="489">
        <f>WORKDAY(AH127+1,-1,$BA$10:$BA$141)</f>
        <v>46538</v>
      </c>
      <c r="AH127" s="88">
        <v>46538</v>
      </c>
      <c r="AI127" s="89"/>
      <c r="AJ127" s="486" t="e">
        <f>AG127-AF127</f>
        <v>#REF!</v>
      </c>
      <c r="AK127" s="90"/>
      <c r="AL127" s="91"/>
      <c r="AM127" s="92">
        <f t="shared" ref="AM127:AW127" si="157">IF(ISERROR(LOOKUP(AM$6,$S127:$AB127,$S$9:$AB$9)),0,(LOOKUP(AM$6,$S127:$AB127,$S$9:$AB$9)))</f>
        <v>0</v>
      </c>
      <c r="AN127" s="93">
        <f t="shared" si="157"/>
        <v>0</v>
      </c>
      <c r="AO127" s="93">
        <f t="shared" si="157"/>
        <v>0</v>
      </c>
      <c r="AP127" s="93">
        <f t="shared" si="157"/>
        <v>0</v>
      </c>
      <c r="AQ127" s="93">
        <f t="shared" si="157"/>
        <v>0</v>
      </c>
      <c r="AR127" s="93">
        <f t="shared" si="157"/>
        <v>0</v>
      </c>
      <c r="AS127" s="93">
        <f t="shared" si="157"/>
        <v>0</v>
      </c>
      <c r="AT127" s="93">
        <f t="shared" si="157"/>
        <v>0</v>
      </c>
      <c r="AU127" s="93">
        <f t="shared" si="157"/>
        <v>0</v>
      </c>
      <c r="AV127" s="93">
        <f t="shared" si="157"/>
        <v>0</v>
      </c>
      <c r="AW127" s="93">
        <f t="shared" ca="1" si="157"/>
        <v>0</v>
      </c>
      <c r="BB127" s="94" t="e">
        <v>#REF!</v>
      </c>
    </row>
    <row r="128" spans="1:54" s="20" customFormat="1" ht="18" customHeight="1">
      <c r="A128" s="514"/>
      <c r="B128" s="95"/>
      <c r="C128" s="508"/>
      <c r="D128" s="96" t="str">
        <f>D127</f>
        <v>INS</v>
      </c>
      <c r="E128" s="97" t="str">
        <f>E127</f>
        <v>RFQ-040</v>
      </c>
      <c r="F128" s="98" t="str">
        <f>F127</f>
        <v>N</v>
      </c>
      <c r="G128" s="505"/>
      <c r="H128" s="98" t="str">
        <f>H127</f>
        <v>Position Limit Switches</v>
      </c>
      <c r="I128" s="97" t="str">
        <f>I127</f>
        <v>LC</v>
      </c>
      <c r="J128" s="98"/>
      <c r="K128" s="100"/>
      <c r="L128" s="100">
        <f>M129</f>
        <v>5.0000000000000001E-3</v>
      </c>
      <c r="M128" s="100"/>
      <c r="N128" s="97"/>
      <c r="O128" s="97"/>
      <c r="P128" s="97"/>
      <c r="Q128" s="101" t="s">
        <v>4860</v>
      </c>
      <c r="R128" s="101"/>
      <c r="S128" s="102" t="e">
        <f>S127</f>
        <v>#REF!</v>
      </c>
      <c r="T128" s="103" t="e">
        <f>T127</f>
        <v>#REF!</v>
      </c>
      <c r="U128" s="103" t="e">
        <f t="shared" ref="U128:Z128" si="158">WORKDAY(IF(T129="",T128,T129),INDEX(U$2:U$5,MATCH($I127,$I$2:$I$5,0)),$BB$10:$BB$141)</f>
        <v>#REF!</v>
      </c>
      <c r="V128" s="103" t="e">
        <f t="shared" si="158"/>
        <v>#REF!</v>
      </c>
      <c r="W128" s="103" t="e">
        <f t="shared" si="158"/>
        <v>#REF!</v>
      </c>
      <c r="X128" s="103" t="e">
        <f t="shared" si="158"/>
        <v>#REF!</v>
      </c>
      <c r="Y128" s="103" t="e">
        <f t="shared" si="158"/>
        <v>#REF!</v>
      </c>
      <c r="Z128" s="103" t="e">
        <f t="shared" si="158"/>
        <v>#REF!</v>
      </c>
      <c r="AA128" s="103" t="e">
        <f>WORKDAY(IF(Z129="",X128,Z129),INDEX(AA$2:AA$5,MATCH($I127,$I$2:$I$5,0)),$BB$10:$BB$141)</f>
        <v>#REF!</v>
      </c>
      <c r="AB128" s="104" t="e">
        <f>WORKDAY(AE127+#REF!,0,'[35]Equipment List and MR List (3)'!$A$2:$A$80)</f>
        <v>#REF!</v>
      </c>
      <c r="AC128" s="502"/>
      <c r="AD128" s="105"/>
      <c r="AE128" s="500"/>
      <c r="AF128" s="493"/>
      <c r="AG128" s="490"/>
      <c r="AH128" s="106"/>
      <c r="AI128" s="107"/>
      <c r="AJ128" s="487"/>
      <c r="AK128" s="108"/>
      <c r="AL128" s="109"/>
      <c r="AM128" s="92">
        <f t="shared" ref="AM128:AW128" si="159">IF(ISERROR(LOOKUP(AM$6,$S128:$AB128,$S$9:$AB$9)),0,(LOOKUP(AM$6,$S128:$AB128,$S$9:$AB$9)))</f>
        <v>0</v>
      </c>
      <c r="AN128" s="93">
        <f t="shared" si="159"/>
        <v>0</v>
      </c>
      <c r="AO128" s="93">
        <f t="shared" si="159"/>
        <v>0</v>
      </c>
      <c r="AP128" s="93">
        <f t="shared" si="159"/>
        <v>0</v>
      </c>
      <c r="AQ128" s="93">
        <f t="shared" si="159"/>
        <v>0</v>
      </c>
      <c r="AR128" s="93">
        <f t="shared" si="159"/>
        <v>0</v>
      </c>
      <c r="AS128" s="93">
        <f t="shared" si="159"/>
        <v>0</v>
      </c>
      <c r="AT128" s="93">
        <f t="shared" si="159"/>
        <v>0</v>
      </c>
      <c r="AU128" s="93">
        <f t="shared" si="159"/>
        <v>0</v>
      </c>
      <c r="AV128" s="93">
        <f t="shared" si="159"/>
        <v>0</v>
      </c>
      <c r="AW128" s="93">
        <f t="shared" ca="1" si="159"/>
        <v>0</v>
      </c>
      <c r="BB128" s="94" t="e">
        <v>#REF!</v>
      </c>
    </row>
    <row r="129" spans="1:54" s="20" customFormat="1" ht="18" customHeight="1">
      <c r="A129" s="515"/>
      <c r="B129" s="110"/>
      <c r="C129" s="509"/>
      <c r="D129" s="111" t="str">
        <f>D127</f>
        <v>INS</v>
      </c>
      <c r="E129" s="112" t="str">
        <f>E127</f>
        <v>RFQ-040</v>
      </c>
      <c r="F129" s="113" t="str">
        <f>F127</f>
        <v>N</v>
      </c>
      <c r="G129" s="506"/>
      <c r="H129" s="113" t="str">
        <f>H127</f>
        <v>Position Limit Switches</v>
      </c>
      <c r="I129" s="112" t="str">
        <f>I127</f>
        <v>LC</v>
      </c>
      <c r="J129" s="113"/>
      <c r="K129" s="114"/>
      <c r="L129" s="114"/>
      <c r="M129" s="114">
        <v>5.0000000000000001E-3</v>
      </c>
      <c r="N129" s="112"/>
      <c r="O129" s="112"/>
      <c r="P129" s="112"/>
      <c r="Q129" s="115" t="s">
        <v>4861</v>
      </c>
      <c r="R129" s="115"/>
      <c r="S129" s="126"/>
      <c r="T129" s="126"/>
      <c r="U129" s="126"/>
      <c r="V129" s="126"/>
      <c r="W129" s="126"/>
      <c r="X129" s="126"/>
      <c r="Y129" s="126"/>
      <c r="Z129" s="126"/>
      <c r="AA129" s="126"/>
      <c r="AB129" s="126"/>
      <c r="AC129" s="503"/>
      <c r="AD129" s="116"/>
      <c r="AE129" s="500"/>
      <c r="AF129" s="494"/>
      <c r="AG129" s="491"/>
      <c r="AH129" s="117"/>
      <c r="AI129" s="118"/>
      <c r="AJ129" s="488"/>
      <c r="AK129" s="119"/>
      <c r="AL129" s="120"/>
      <c r="AM129" s="121">
        <f t="shared" ref="AM129:AW129" si="160">IF(ISERROR(LOOKUP(AM$6,$S129:$AB129,$S$9:$AB$9)),0,(LOOKUP(AM$6,$S129:$AB129,$S$9:$AB$9)))</f>
        <v>0</v>
      </c>
      <c r="AN129" s="122">
        <f t="shared" si="160"/>
        <v>0</v>
      </c>
      <c r="AO129" s="122">
        <f t="shared" si="160"/>
        <v>0</v>
      </c>
      <c r="AP129" s="122">
        <f t="shared" si="160"/>
        <v>0</v>
      </c>
      <c r="AQ129" s="122">
        <f t="shared" si="160"/>
        <v>0</v>
      </c>
      <c r="AR129" s="122">
        <f t="shared" si="160"/>
        <v>0</v>
      </c>
      <c r="AS129" s="122">
        <f t="shared" si="160"/>
        <v>0</v>
      </c>
      <c r="AT129" s="122">
        <f t="shared" si="160"/>
        <v>0</v>
      </c>
      <c r="AU129" s="122">
        <f t="shared" si="160"/>
        <v>0</v>
      </c>
      <c r="AV129" s="122">
        <f t="shared" si="160"/>
        <v>0</v>
      </c>
      <c r="AW129" s="122">
        <f t="shared" ca="1" si="160"/>
        <v>0</v>
      </c>
      <c r="BB129" s="94" t="e">
        <v>#REF!</v>
      </c>
    </row>
    <row r="130" spans="1:54" s="20" customFormat="1" ht="18" customHeight="1">
      <c r="A130" s="513">
        <f>A127+1</f>
        <v>41</v>
      </c>
      <c r="B130" s="79"/>
      <c r="C130" s="507" t="s">
        <v>4855</v>
      </c>
      <c r="D130" s="80" t="s">
        <v>4887</v>
      </c>
      <c r="E130" s="81" t="s">
        <v>4786</v>
      </c>
      <c r="F130" s="82" t="s">
        <v>75</v>
      </c>
      <c r="G130" s="504" t="s">
        <v>4908</v>
      </c>
      <c r="H130" s="82" t="s">
        <v>188</v>
      </c>
      <c r="I130" s="81" t="s">
        <v>8</v>
      </c>
      <c r="J130" s="82"/>
      <c r="K130" s="84">
        <f>M132</f>
        <v>5.0000000000000001E-3</v>
      </c>
      <c r="L130" s="84"/>
      <c r="M130" s="84"/>
      <c r="N130" s="81"/>
      <c r="O130" s="81"/>
      <c r="P130" s="81"/>
      <c r="Q130" s="85" t="s">
        <v>4858</v>
      </c>
      <c r="R130" s="86">
        <f>'Before Award'!U137+5</f>
        <v>46333</v>
      </c>
      <c r="S130" s="86" t="e">
        <f>WORKDAY(R130,INDEX(S$2:S$5,MATCH($I130,$I$2:$I$5,0)),$BB$10:$BB$141)</f>
        <v>#REF!</v>
      </c>
      <c r="T130" s="86" t="e">
        <f>WORKDAY(S130,INDEX(T$2:T$5,MATCH($I130,$I$2:$I$5,0)),$BB$10:$BB$141)</f>
        <v>#REF!</v>
      </c>
      <c r="U130" s="86" t="e">
        <f>T130+30</f>
        <v>#REF!</v>
      </c>
      <c r="V130" s="86"/>
      <c r="W130" s="86">
        <f>AB130-35</f>
        <v>46503</v>
      </c>
      <c r="X130" s="86"/>
      <c r="Y130" s="86"/>
      <c r="Z130" s="86"/>
      <c r="AA130" s="86"/>
      <c r="AB130" s="86">
        <f>'Before Award'!X137</f>
        <v>46538</v>
      </c>
      <c r="AC130" s="501" t="s">
        <v>4859</v>
      </c>
      <c r="AD130" s="87">
        <v>7</v>
      </c>
      <c r="AE130" s="500">
        <f>30*7</f>
        <v>210</v>
      </c>
      <c r="AF130" s="492" t="e">
        <f>AB131</f>
        <v>#REF!</v>
      </c>
      <c r="AG130" s="489">
        <f>WORKDAY(AH130+1,-1,$BA$10:$BA$141)</f>
        <v>46538</v>
      </c>
      <c r="AH130" s="88">
        <v>46538</v>
      </c>
      <c r="AI130" s="89"/>
      <c r="AJ130" s="486" t="e">
        <f>AG130-AF130</f>
        <v>#REF!</v>
      </c>
      <c r="AK130" s="90"/>
      <c r="AL130" s="91"/>
      <c r="AM130" s="92">
        <f t="shared" ref="AM130:AW130" si="161">IF(ISERROR(LOOKUP(AM$6,$S130:$AB130,$S$9:$AB$9)),0,(LOOKUP(AM$6,$S130:$AB130,$S$9:$AB$9)))</f>
        <v>0</v>
      </c>
      <c r="AN130" s="93">
        <f t="shared" si="161"/>
        <v>0</v>
      </c>
      <c r="AO130" s="93">
        <f t="shared" si="161"/>
        <v>0</v>
      </c>
      <c r="AP130" s="93">
        <f t="shared" si="161"/>
        <v>0</v>
      </c>
      <c r="AQ130" s="93">
        <f t="shared" si="161"/>
        <v>0</v>
      </c>
      <c r="AR130" s="93">
        <f t="shared" si="161"/>
        <v>0</v>
      </c>
      <c r="AS130" s="93">
        <f t="shared" si="161"/>
        <v>0</v>
      </c>
      <c r="AT130" s="93">
        <f t="shared" si="161"/>
        <v>0</v>
      </c>
      <c r="AU130" s="93">
        <f t="shared" si="161"/>
        <v>0</v>
      </c>
      <c r="AV130" s="93">
        <f t="shared" si="161"/>
        <v>0</v>
      </c>
      <c r="AW130" s="93">
        <f t="shared" ca="1" si="161"/>
        <v>0</v>
      </c>
      <c r="BB130" s="94" t="e">
        <v>#REF!</v>
      </c>
    </row>
    <row r="131" spans="1:54" s="20" customFormat="1" ht="18" customHeight="1">
      <c r="A131" s="514"/>
      <c r="B131" s="95"/>
      <c r="C131" s="508"/>
      <c r="D131" s="96" t="str">
        <f>D130</f>
        <v>INS</v>
      </c>
      <c r="E131" s="97" t="str">
        <f>E130</f>
        <v>RFQ-041</v>
      </c>
      <c r="F131" s="98" t="str">
        <f>F130</f>
        <v>N</v>
      </c>
      <c r="G131" s="505"/>
      <c r="H131" s="98" t="str">
        <f>H130</f>
        <v>Guided Wave Radar Level Transmitter</v>
      </c>
      <c r="I131" s="97" t="str">
        <f>I130</f>
        <v>LC</v>
      </c>
      <c r="J131" s="98"/>
      <c r="K131" s="100"/>
      <c r="L131" s="100">
        <f>M132</f>
        <v>5.0000000000000001E-3</v>
      </c>
      <c r="M131" s="100"/>
      <c r="N131" s="97"/>
      <c r="O131" s="97"/>
      <c r="P131" s="97"/>
      <c r="Q131" s="101" t="s">
        <v>4860</v>
      </c>
      <c r="R131" s="101"/>
      <c r="S131" s="102" t="e">
        <f>S130</f>
        <v>#REF!</v>
      </c>
      <c r="T131" s="103" t="e">
        <f>T130</f>
        <v>#REF!</v>
      </c>
      <c r="U131" s="103" t="e">
        <f t="shared" ref="U131:Z131" si="162">WORKDAY(IF(T132="",T131,T132),INDEX(U$2:U$5,MATCH($I130,$I$2:$I$5,0)),$BB$10:$BB$141)</f>
        <v>#REF!</v>
      </c>
      <c r="V131" s="103" t="e">
        <f t="shared" si="162"/>
        <v>#REF!</v>
      </c>
      <c r="W131" s="103" t="e">
        <f t="shared" si="162"/>
        <v>#REF!</v>
      </c>
      <c r="X131" s="103" t="e">
        <f t="shared" si="162"/>
        <v>#REF!</v>
      </c>
      <c r="Y131" s="103" t="e">
        <f t="shared" si="162"/>
        <v>#REF!</v>
      </c>
      <c r="Z131" s="103" t="e">
        <f t="shared" si="162"/>
        <v>#REF!</v>
      </c>
      <c r="AA131" s="103" t="e">
        <f>WORKDAY(IF(Z132="",X131,Z132),INDEX(AA$2:AA$5,MATCH($I130,$I$2:$I$5,0)),$BB$10:$BB$141)</f>
        <v>#REF!</v>
      </c>
      <c r="AB131" s="104" t="e">
        <f>WORKDAY(AE130+#REF!,0,'[35]Equipment List and MR List (3)'!$A$2:$A$80)</f>
        <v>#REF!</v>
      </c>
      <c r="AC131" s="502"/>
      <c r="AD131" s="105"/>
      <c r="AE131" s="500"/>
      <c r="AF131" s="493"/>
      <c r="AG131" s="490"/>
      <c r="AH131" s="106"/>
      <c r="AI131" s="107"/>
      <c r="AJ131" s="487"/>
      <c r="AK131" s="108"/>
      <c r="AL131" s="109"/>
      <c r="AM131" s="92">
        <f t="shared" ref="AM131:AW131" si="163">IF(ISERROR(LOOKUP(AM$6,$S131:$AB131,$S$9:$AB$9)),0,(LOOKUP(AM$6,$S131:$AB131,$S$9:$AB$9)))</f>
        <v>0</v>
      </c>
      <c r="AN131" s="93">
        <f t="shared" si="163"/>
        <v>0</v>
      </c>
      <c r="AO131" s="93">
        <f t="shared" si="163"/>
        <v>0</v>
      </c>
      <c r="AP131" s="93">
        <f t="shared" si="163"/>
        <v>0</v>
      </c>
      <c r="AQ131" s="93">
        <f t="shared" si="163"/>
        <v>0</v>
      </c>
      <c r="AR131" s="93">
        <f t="shared" si="163"/>
        <v>0</v>
      </c>
      <c r="AS131" s="93">
        <f t="shared" si="163"/>
        <v>0</v>
      </c>
      <c r="AT131" s="93">
        <f t="shared" si="163"/>
        <v>0</v>
      </c>
      <c r="AU131" s="93">
        <f t="shared" si="163"/>
        <v>0</v>
      </c>
      <c r="AV131" s="93">
        <f t="shared" si="163"/>
        <v>0</v>
      </c>
      <c r="AW131" s="93">
        <f t="shared" ca="1" si="163"/>
        <v>0</v>
      </c>
      <c r="BB131" s="94" t="e">
        <v>#REF!</v>
      </c>
    </row>
    <row r="132" spans="1:54" s="20" customFormat="1" ht="18" customHeight="1">
      <c r="A132" s="515"/>
      <c r="B132" s="110"/>
      <c r="C132" s="509"/>
      <c r="D132" s="111" t="str">
        <f>D130</f>
        <v>INS</v>
      </c>
      <c r="E132" s="112" t="str">
        <f>E130</f>
        <v>RFQ-041</v>
      </c>
      <c r="F132" s="113" t="str">
        <f>F130</f>
        <v>N</v>
      </c>
      <c r="G132" s="506"/>
      <c r="H132" s="113" t="str">
        <f>H130</f>
        <v>Guided Wave Radar Level Transmitter</v>
      </c>
      <c r="I132" s="112" t="str">
        <f>I130</f>
        <v>LC</v>
      </c>
      <c r="J132" s="113"/>
      <c r="K132" s="114"/>
      <c r="L132" s="114"/>
      <c r="M132" s="114">
        <v>5.0000000000000001E-3</v>
      </c>
      <c r="N132" s="112"/>
      <c r="O132" s="112"/>
      <c r="P132" s="112"/>
      <c r="Q132" s="115" t="s">
        <v>4861</v>
      </c>
      <c r="R132" s="115"/>
      <c r="S132" s="126"/>
      <c r="T132" s="126"/>
      <c r="U132" s="126"/>
      <c r="V132" s="126"/>
      <c r="W132" s="126"/>
      <c r="X132" s="126"/>
      <c r="Y132" s="126"/>
      <c r="Z132" s="126"/>
      <c r="AA132" s="126"/>
      <c r="AB132" s="126"/>
      <c r="AC132" s="503"/>
      <c r="AD132" s="116"/>
      <c r="AE132" s="500"/>
      <c r="AF132" s="494"/>
      <c r="AG132" s="491"/>
      <c r="AH132" s="117"/>
      <c r="AI132" s="118"/>
      <c r="AJ132" s="488"/>
      <c r="AK132" s="119"/>
      <c r="AL132" s="120"/>
      <c r="AM132" s="121">
        <f t="shared" ref="AM132:AW132" si="164">IF(ISERROR(LOOKUP(AM$6,$S132:$AB132,$S$9:$AB$9)),0,(LOOKUP(AM$6,$S132:$AB132,$S$9:$AB$9)))</f>
        <v>0</v>
      </c>
      <c r="AN132" s="122">
        <f t="shared" si="164"/>
        <v>0</v>
      </c>
      <c r="AO132" s="122">
        <f t="shared" si="164"/>
        <v>0</v>
      </c>
      <c r="AP132" s="122">
        <f t="shared" si="164"/>
        <v>0</v>
      </c>
      <c r="AQ132" s="122">
        <f t="shared" si="164"/>
        <v>0</v>
      </c>
      <c r="AR132" s="122">
        <f t="shared" si="164"/>
        <v>0</v>
      </c>
      <c r="AS132" s="122">
        <f t="shared" si="164"/>
        <v>0</v>
      </c>
      <c r="AT132" s="122">
        <f t="shared" si="164"/>
        <v>0</v>
      </c>
      <c r="AU132" s="122">
        <f t="shared" si="164"/>
        <v>0</v>
      </c>
      <c r="AV132" s="122">
        <f t="shared" si="164"/>
        <v>0</v>
      </c>
      <c r="AW132" s="122">
        <f t="shared" ca="1" si="164"/>
        <v>0</v>
      </c>
      <c r="BB132" s="94" t="e">
        <v>#REF!</v>
      </c>
    </row>
    <row r="133" spans="1:54" s="20" customFormat="1" ht="18" customHeight="1">
      <c r="A133" s="513">
        <f>A130+1</f>
        <v>42</v>
      </c>
      <c r="B133" s="79"/>
      <c r="C133" s="507" t="s">
        <v>4855</v>
      </c>
      <c r="D133" s="80" t="s">
        <v>4887</v>
      </c>
      <c r="E133" s="81" t="s">
        <v>4787</v>
      </c>
      <c r="F133" s="82" t="s">
        <v>75</v>
      </c>
      <c r="G133" s="504" t="s">
        <v>4909</v>
      </c>
      <c r="H133" s="82" t="s">
        <v>4788</v>
      </c>
      <c r="I133" s="81" t="s">
        <v>8</v>
      </c>
      <c r="J133" s="82"/>
      <c r="K133" s="84">
        <f>M135</f>
        <v>2E-3</v>
      </c>
      <c r="L133" s="84"/>
      <c r="M133" s="84"/>
      <c r="N133" s="81"/>
      <c r="O133" s="81"/>
      <c r="P133" s="81"/>
      <c r="Q133" s="85" t="s">
        <v>4858</v>
      </c>
      <c r="R133" s="86">
        <f>'Before Award'!U140+5</f>
        <v>46375</v>
      </c>
      <c r="S133" s="86" t="e">
        <f>WORKDAY(R133,INDEX(S$2:S$5,MATCH($I133,$I$2:$I$5,0)),$BB$10:$BB$141)</f>
        <v>#REF!</v>
      </c>
      <c r="T133" s="86" t="e">
        <f>WORKDAY(S133,INDEX(T$2:T$5,MATCH($I133,$I$2:$I$5,0)),$BB$10:$BB$141)</f>
        <v>#REF!</v>
      </c>
      <c r="U133" s="86" t="e">
        <f>T133+30</f>
        <v>#REF!</v>
      </c>
      <c r="V133" s="86"/>
      <c r="W133" s="86">
        <f>AB133-35</f>
        <v>46503</v>
      </c>
      <c r="X133" s="86"/>
      <c r="Y133" s="86"/>
      <c r="Z133" s="86"/>
      <c r="AA133" s="86"/>
      <c r="AB133" s="86">
        <f>'Before Award'!X140</f>
        <v>46538</v>
      </c>
      <c r="AC133" s="501" t="s">
        <v>4859</v>
      </c>
      <c r="AD133" s="87">
        <v>7</v>
      </c>
      <c r="AE133" s="500">
        <f>24*7</f>
        <v>168</v>
      </c>
      <c r="AF133" s="492" t="e">
        <f>AB134</f>
        <v>#REF!</v>
      </c>
      <c r="AG133" s="489">
        <f>WORKDAY(AH133+1,-1,$BA$10:$BA$141)</f>
        <v>46538</v>
      </c>
      <c r="AH133" s="88">
        <v>46538</v>
      </c>
      <c r="AI133" s="89"/>
      <c r="AJ133" s="486" t="e">
        <f>AG133-AF133</f>
        <v>#REF!</v>
      </c>
      <c r="AK133" s="90"/>
      <c r="AL133" s="91"/>
      <c r="AM133" s="92">
        <f t="shared" ref="AM133:AW133" si="165">IF(ISERROR(LOOKUP(AM$6,$S133:$AB133,$S$9:$AB$9)),0,(LOOKUP(AM$6,$S133:$AB133,$S$9:$AB$9)))</f>
        <v>0</v>
      </c>
      <c r="AN133" s="93">
        <f t="shared" si="165"/>
        <v>0</v>
      </c>
      <c r="AO133" s="93">
        <f t="shared" si="165"/>
        <v>0</v>
      </c>
      <c r="AP133" s="93">
        <f t="shared" si="165"/>
        <v>0</v>
      </c>
      <c r="AQ133" s="93">
        <f t="shared" si="165"/>
        <v>0</v>
      </c>
      <c r="AR133" s="93">
        <f t="shared" si="165"/>
        <v>0</v>
      </c>
      <c r="AS133" s="93">
        <f t="shared" si="165"/>
        <v>0</v>
      </c>
      <c r="AT133" s="93">
        <f t="shared" si="165"/>
        <v>0</v>
      </c>
      <c r="AU133" s="93">
        <f t="shared" si="165"/>
        <v>0</v>
      </c>
      <c r="AV133" s="93">
        <f t="shared" si="165"/>
        <v>0</v>
      </c>
      <c r="AW133" s="93">
        <f t="shared" ca="1" si="165"/>
        <v>0</v>
      </c>
      <c r="BB133" s="94" t="e">
        <v>#REF!</v>
      </c>
    </row>
    <row r="134" spans="1:54" s="20" customFormat="1" ht="18" customHeight="1">
      <c r="A134" s="514"/>
      <c r="B134" s="95"/>
      <c r="C134" s="508"/>
      <c r="D134" s="96" t="str">
        <f>D133</f>
        <v>INS</v>
      </c>
      <c r="E134" s="97" t="str">
        <f>E133</f>
        <v>RFQ-042</v>
      </c>
      <c r="F134" s="98" t="str">
        <f>F133</f>
        <v>N</v>
      </c>
      <c r="G134" s="505"/>
      <c r="H134" s="98" t="str">
        <f>H133</f>
        <v>Oil in Water Analyzer</v>
      </c>
      <c r="I134" s="97" t="str">
        <f>I133</f>
        <v>LC</v>
      </c>
      <c r="J134" s="98"/>
      <c r="K134" s="100"/>
      <c r="L134" s="100">
        <f>M135</f>
        <v>2E-3</v>
      </c>
      <c r="M134" s="100"/>
      <c r="N134" s="97"/>
      <c r="O134" s="97"/>
      <c r="P134" s="97"/>
      <c r="Q134" s="101" t="s">
        <v>4860</v>
      </c>
      <c r="R134" s="101"/>
      <c r="S134" s="102" t="e">
        <f>S133</f>
        <v>#REF!</v>
      </c>
      <c r="T134" s="103" t="e">
        <f>T133</f>
        <v>#REF!</v>
      </c>
      <c r="U134" s="103" t="e">
        <f t="shared" ref="U134:Z134" si="166">WORKDAY(IF(T135="",T134,T135),INDEX(U$2:U$5,MATCH($I133,$I$2:$I$5,0)),$BB$10:$BB$141)</f>
        <v>#REF!</v>
      </c>
      <c r="V134" s="103" t="e">
        <f t="shared" si="166"/>
        <v>#REF!</v>
      </c>
      <c r="W134" s="103" t="e">
        <f t="shared" si="166"/>
        <v>#REF!</v>
      </c>
      <c r="X134" s="103" t="e">
        <f t="shared" si="166"/>
        <v>#REF!</v>
      </c>
      <c r="Y134" s="103" t="e">
        <f t="shared" si="166"/>
        <v>#REF!</v>
      </c>
      <c r="Z134" s="103" t="e">
        <f t="shared" si="166"/>
        <v>#REF!</v>
      </c>
      <c r="AA134" s="103" t="e">
        <f>WORKDAY(IF(Z135="",X134,Z135),INDEX(AA$2:AA$5,MATCH($I133,$I$2:$I$5,0)),$BB$10:$BB$141)</f>
        <v>#REF!</v>
      </c>
      <c r="AB134" s="104" t="e">
        <f>WORKDAY(AE133+#REF!,0,'[35]Equipment List and MR List (3)'!$A$2:$A$80)</f>
        <v>#REF!</v>
      </c>
      <c r="AC134" s="502"/>
      <c r="AD134" s="105"/>
      <c r="AE134" s="500"/>
      <c r="AF134" s="493"/>
      <c r="AG134" s="490"/>
      <c r="AH134" s="106"/>
      <c r="AI134" s="107"/>
      <c r="AJ134" s="487"/>
      <c r="AK134" s="108"/>
      <c r="AL134" s="109"/>
      <c r="AM134" s="92">
        <f t="shared" ref="AM134:AW134" si="167">IF(ISERROR(LOOKUP(AM$6,$S134:$AB134,$S$9:$AB$9)),0,(LOOKUP(AM$6,$S134:$AB134,$S$9:$AB$9)))</f>
        <v>0</v>
      </c>
      <c r="AN134" s="93">
        <f t="shared" si="167"/>
        <v>0</v>
      </c>
      <c r="AO134" s="93">
        <f t="shared" si="167"/>
        <v>0</v>
      </c>
      <c r="AP134" s="93">
        <f t="shared" si="167"/>
        <v>0</v>
      </c>
      <c r="AQ134" s="93">
        <f t="shared" si="167"/>
        <v>0</v>
      </c>
      <c r="AR134" s="93">
        <f t="shared" si="167"/>
        <v>0</v>
      </c>
      <c r="AS134" s="93">
        <f t="shared" si="167"/>
        <v>0</v>
      </c>
      <c r="AT134" s="93">
        <f t="shared" si="167"/>
        <v>0</v>
      </c>
      <c r="AU134" s="93">
        <f t="shared" si="167"/>
        <v>0</v>
      </c>
      <c r="AV134" s="93">
        <f t="shared" si="167"/>
        <v>0</v>
      </c>
      <c r="AW134" s="93">
        <f t="shared" ca="1" si="167"/>
        <v>0</v>
      </c>
      <c r="BB134" s="94" t="e">
        <v>#REF!</v>
      </c>
    </row>
    <row r="135" spans="1:54" s="20" customFormat="1" ht="18" customHeight="1">
      <c r="A135" s="515"/>
      <c r="B135" s="110"/>
      <c r="C135" s="509"/>
      <c r="D135" s="111" t="str">
        <f>D133</f>
        <v>INS</v>
      </c>
      <c r="E135" s="112" t="str">
        <f>E133</f>
        <v>RFQ-042</v>
      </c>
      <c r="F135" s="113" t="str">
        <f>F133</f>
        <v>N</v>
      </c>
      <c r="G135" s="506"/>
      <c r="H135" s="113" t="str">
        <f>H133</f>
        <v>Oil in Water Analyzer</v>
      </c>
      <c r="I135" s="112" t="str">
        <f>I133</f>
        <v>LC</v>
      </c>
      <c r="J135" s="113"/>
      <c r="K135" s="114"/>
      <c r="L135" s="114"/>
      <c r="M135" s="114">
        <v>2E-3</v>
      </c>
      <c r="N135" s="112"/>
      <c r="O135" s="112"/>
      <c r="P135" s="112"/>
      <c r="Q135" s="115" t="s">
        <v>4861</v>
      </c>
      <c r="R135" s="115"/>
      <c r="S135" s="126"/>
      <c r="T135" s="126"/>
      <c r="U135" s="126"/>
      <c r="V135" s="126"/>
      <c r="W135" s="126"/>
      <c r="X135" s="126"/>
      <c r="Y135" s="126"/>
      <c r="Z135" s="126"/>
      <c r="AA135" s="126"/>
      <c r="AB135" s="126"/>
      <c r="AC135" s="503"/>
      <c r="AD135" s="116"/>
      <c r="AE135" s="500"/>
      <c r="AF135" s="494"/>
      <c r="AG135" s="491"/>
      <c r="AH135" s="117"/>
      <c r="AI135" s="118"/>
      <c r="AJ135" s="488"/>
      <c r="AK135" s="119"/>
      <c r="AL135" s="120"/>
      <c r="AM135" s="121">
        <f t="shared" ref="AM135:AW135" si="168">IF(ISERROR(LOOKUP(AM$6,$S135:$AB135,$S$9:$AB$9)),0,(LOOKUP(AM$6,$S135:$AB135,$S$9:$AB$9)))</f>
        <v>0</v>
      </c>
      <c r="AN135" s="122">
        <f t="shared" si="168"/>
        <v>0</v>
      </c>
      <c r="AO135" s="122">
        <f t="shared" si="168"/>
        <v>0</v>
      </c>
      <c r="AP135" s="122">
        <f t="shared" si="168"/>
        <v>0</v>
      </c>
      <c r="AQ135" s="122">
        <f t="shared" si="168"/>
        <v>0</v>
      </c>
      <c r="AR135" s="122">
        <f t="shared" si="168"/>
        <v>0</v>
      </c>
      <c r="AS135" s="122">
        <f t="shared" si="168"/>
        <v>0</v>
      </c>
      <c r="AT135" s="122">
        <f t="shared" si="168"/>
        <v>0</v>
      </c>
      <c r="AU135" s="122">
        <f t="shared" si="168"/>
        <v>0</v>
      </c>
      <c r="AV135" s="122">
        <f t="shared" si="168"/>
        <v>0</v>
      </c>
      <c r="AW135" s="122">
        <f t="shared" ca="1" si="168"/>
        <v>0</v>
      </c>
      <c r="BB135" s="94" t="e">
        <v>#REF!</v>
      </c>
    </row>
    <row r="136" spans="1:54" s="20" customFormat="1" ht="18" customHeight="1">
      <c r="A136" s="513">
        <f>A133+1</f>
        <v>43</v>
      </c>
      <c r="B136" s="79"/>
      <c r="C136" s="507" t="s">
        <v>4855</v>
      </c>
      <c r="D136" s="80" t="s">
        <v>4887</v>
      </c>
      <c r="E136" s="81" t="s">
        <v>4789</v>
      </c>
      <c r="F136" s="82" t="s">
        <v>75</v>
      </c>
      <c r="G136" s="504" t="s">
        <v>4910</v>
      </c>
      <c r="H136" s="82" t="s">
        <v>193</v>
      </c>
      <c r="I136" s="81" t="s">
        <v>8</v>
      </c>
      <c r="J136" s="82"/>
      <c r="K136" s="84">
        <f>M138</f>
        <v>5.0000000000000001E-3</v>
      </c>
      <c r="L136" s="84"/>
      <c r="M136" s="84"/>
      <c r="N136" s="81"/>
      <c r="O136" s="81"/>
      <c r="P136" s="81"/>
      <c r="Q136" s="85" t="s">
        <v>4858</v>
      </c>
      <c r="R136" s="86">
        <f>'Before Award'!U143+5</f>
        <v>46483</v>
      </c>
      <c r="S136" s="86" t="e">
        <f>WORKDAY(R136,INDEX(S$2:S$5,MATCH($I136,$I$2:$I$5,0)),$BB$10:$BB$141)</f>
        <v>#REF!</v>
      </c>
      <c r="T136" s="86" t="e">
        <f>WORKDAY(S136,INDEX(T$2:T$5,MATCH($I136,$I$2:$I$5,0)),$BB$10:$BB$141)</f>
        <v>#REF!</v>
      </c>
      <c r="U136" s="86" t="e">
        <f>T136+30</f>
        <v>#REF!</v>
      </c>
      <c r="V136" s="86"/>
      <c r="W136" s="86">
        <f>AB136-35</f>
        <v>46503</v>
      </c>
      <c r="X136" s="86"/>
      <c r="Y136" s="86"/>
      <c r="Z136" s="86"/>
      <c r="AA136" s="86"/>
      <c r="AB136" s="86">
        <f>'Before Award'!X143</f>
        <v>46538</v>
      </c>
      <c r="AC136" s="501" t="s">
        <v>4859</v>
      </c>
      <c r="AD136" s="87">
        <v>7</v>
      </c>
      <c r="AE136" s="500">
        <v>60</v>
      </c>
      <c r="AF136" s="492" t="e">
        <f>AB137</f>
        <v>#REF!</v>
      </c>
      <c r="AG136" s="489">
        <f>WORKDAY(AH136+1,-1,$BA$10:$BA$141)</f>
        <v>46538</v>
      </c>
      <c r="AH136" s="88">
        <v>46538</v>
      </c>
      <c r="AI136" s="89"/>
      <c r="AJ136" s="486" t="e">
        <f>AG136-AF136</f>
        <v>#REF!</v>
      </c>
      <c r="AK136" s="90"/>
      <c r="AL136" s="91"/>
      <c r="AM136" s="92">
        <f t="shared" ref="AM136:AW136" si="169">IF(ISERROR(LOOKUP(AM$6,$S136:$AB136,$S$9:$AB$9)),0,(LOOKUP(AM$6,$S136:$AB136,$S$9:$AB$9)))</f>
        <v>0</v>
      </c>
      <c r="AN136" s="93">
        <f t="shared" si="169"/>
        <v>0</v>
      </c>
      <c r="AO136" s="93">
        <f t="shared" si="169"/>
        <v>0</v>
      </c>
      <c r="AP136" s="93">
        <f t="shared" si="169"/>
        <v>0</v>
      </c>
      <c r="AQ136" s="93">
        <f t="shared" si="169"/>
        <v>0</v>
      </c>
      <c r="AR136" s="93">
        <f t="shared" si="169"/>
        <v>0</v>
      </c>
      <c r="AS136" s="93">
        <f t="shared" si="169"/>
        <v>0</v>
      </c>
      <c r="AT136" s="93">
        <f t="shared" si="169"/>
        <v>0</v>
      </c>
      <c r="AU136" s="93">
        <f t="shared" si="169"/>
        <v>0</v>
      </c>
      <c r="AV136" s="93">
        <f t="shared" si="169"/>
        <v>0</v>
      </c>
      <c r="AW136" s="93">
        <f t="shared" ca="1" si="169"/>
        <v>0</v>
      </c>
      <c r="BB136" s="94" t="e">
        <v>#REF!</v>
      </c>
    </row>
    <row r="137" spans="1:54" s="20" customFormat="1" ht="18" customHeight="1">
      <c r="A137" s="514"/>
      <c r="B137" s="95"/>
      <c r="C137" s="508"/>
      <c r="D137" s="96" t="str">
        <f>D136</f>
        <v>INS</v>
      </c>
      <c r="E137" s="97" t="str">
        <f>E136</f>
        <v>RFQ-043</v>
      </c>
      <c r="F137" s="98" t="str">
        <f>F136</f>
        <v>N</v>
      </c>
      <c r="G137" s="505"/>
      <c r="H137" s="98" t="str">
        <f>H136</f>
        <v>Level Switch</v>
      </c>
      <c r="I137" s="97" t="str">
        <f>I136</f>
        <v>LC</v>
      </c>
      <c r="J137" s="98"/>
      <c r="K137" s="100"/>
      <c r="L137" s="100">
        <f>M138</f>
        <v>5.0000000000000001E-3</v>
      </c>
      <c r="M137" s="100"/>
      <c r="N137" s="97"/>
      <c r="O137" s="97"/>
      <c r="P137" s="97"/>
      <c r="Q137" s="101" t="s">
        <v>4860</v>
      </c>
      <c r="R137" s="101"/>
      <c r="S137" s="102" t="e">
        <f>S136</f>
        <v>#REF!</v>
      </c>
      <c r="T137" s="103" t="e">
        <f>T136</f>
        <v>#REF!</v>
      </c>
      <c r="U137" s="103" t="e">
        <f t="shared" ref="U137:Z137" si="170">WORKDAY(IF(T138="",T137,T138),INDEX(U$2:U$5,MATCH($I136,$I$2:$I$5,0)),$BB$10:$BB$141)</f>
        <v>#REF!</v>
      </c>
      <c r="V137" s="103" t="e">
        <f t="shared" si="170"/>
        <v>#REF!</v>
      </c>
      <c r="W137" s="103" t="e">
        <f t="shared" si="170"/>
        <v>#REF!</v>
      </c>
      <c r="X137" s="103" t="e">
        <f t="shared" si="170"/>
        <v>#REF!</v>
      </c>
      <c r="Y137" s="103" t="e">
        <f t="shared" si="170"/>
        <v>#REF!</v>
      </c>
      <c r="Z137" s="103" t="e">
        <f t="shared" si="170"/>
        <v>#REF!</v>
      </c>
      <c r="AA137" s="103" t="e">
        <f>WORKDAY(IF(Z138="",X137,Z138),INDEX(AA$2:AA$5,MATCH($I136,$I$2:$I$5,0)),$BB$10:$BB$141)</f>
        <v>#REF!</v>
      </c>
      <c r="AB137" s="104" t="e">
        <f>WORKDAY(AE136+#REF!,0,'[35]Equipment List and MR List (3)'!$A$2:$A$80)</f>
        <v>#REF!</v>
      </c>
      <c r="AC137" s="502"/>
      <c r="AD137" s="105"/>
      <c r="AE137" s="500"/>
      <c r="AF137" s="493"/>
      <c r="AG137" s="490"/>
      <c r="AH137" s="106"/>
      <c r="AI137" s="107"/>
      <c r="AJ137" s="487"/>
      <c r="AK137" s="108"/>
      <c r="AL137" s="109"/>
      <c r="AM137" s="92">
        <f t="shared" ref="AM137:AW137" si="171">IF(ISERROR(LOOKUP(AM$6,$S137:$AB137,$S$9:$AB$9)),0,(LOOKUP(AM$6,$S137:$AB137,$S$9:$AB$9)))</f>
        <v>0</v>
      </c>
      <c r="AN137" s="93">
        <f t="shared" si="171"/>
        <v>0</v>
      </c>
      <c r="AO137" s="93">
        <f t="shared" si="171"/>
        <v>0</v>
      </c>
      <c r="AP137" s="93">
        <f t="shared" si="171"/>
        <v>0</v>
      </c>
      <c r="AQ137" s="93">
        <f t="shared" si="171"/>
        <v>0</v>
      </c>
      <c r="AR137" s="93">
        <f t="shared" si="171"/>
        <v>0</v>
      </c>
      <c r="AS137" s="93">
        <f t="shared" si="171"/>
        <v>0</v>
      </c>
      <c r="AT137" s="93">
        <f t="shared" si="171"/>
        <v>0</v>
      </c>
      <c r="AU137" s="93">
        <f t="shared" si="171"/>
        <v>0</v>
      </c>
      <c r="AV137" s="93">
        <f t="shared" si="171"/>
        <v>0</v>
      </c>
      <c r="AW137" s="93">
        <f t="shared" ca="1" si="171"/>
        <v>0</v>
      </c>
      <c r="BB137" s="94" t="e">
        <v>#REF!</v>
      </c>
    </row>
    <row r="138" spans="1:54" s="20" customFormat="1" ht="18" customHeight="1">
      <c r="A138" s="515"/>
      <c r="B138" s="110"/>
      <c r="C138" s="509"/>
      <c r="D138" s="111" t="str">
        <f>D136</f>
        <v>INS</v>
      </c>
      <c r="E138" s="112" t="str">
        <f>E136</f>
        <v>RFQ-043</v>
      </c>
      <c r="F138" s="113" t="str">
        <f>F136</f>
        <v>N</v>
      </c>
      <c r="G138" s="506"/>
      <c r="H138" s="113" t="str">
        <f>H136</f>
        <v>Level Switch</v>
      </c>
      <c r="I138" s="112" t="str">
        <f>I136</f>
        <v>LC</v>
      </c>
      <c r="J138" s="113"/>
      <c r="K138" s="114"/>
      <c r="L138" s="114"/>
      <c r="M138" s="114">
        <v>5.0000000000000001E-3</v>
      </c>
      <c r="N138" s="112"/>
      <c r="O138" s="112"/>
      <c r="P138" s="112"/>
      <c r="Q138" s="115" t="s">
        <v>4861</v>
      </c>
      <c r="R138" s="115"/>
      <c r="S138" s="126"/>
      <c r="T138" s="126"/>
      <c r="U138" s="126"/>
      <c r="V138" s="126"/>
      <c r="W138" s="126"/>
      <c r="X138" s="126"/>
      <c r="Y138" s="126"/>
      <c r="Z138" s="126"/>
      <c r="AA138" s="126"/>
      <c r="AB138" s="126"/>
      <c r="AC138" s="503"/>
      <c r="AD138" s="116"/>
      <c r="AE138" s="500"/>
      <c r="AF138" s="494"/>
      <c r="AG138" s="491"/>
      <c r="AH138" s="117"/>
      <c r="AI138" s="118"/>
      <c r="AJ138" s="488"/>
      <c r="AK138" s="119"/>
      <c r="AL138" s="120"/>
      <c r="AM138" s="121">
        <f t="shared" ref="AM138:AW138" si="172">IF(ISERROR(LOOKUP(AM$6,$S138:$AB138,$S$9:$AB$9)),0,(LOOKUP(AM$6,$S138:$AB138,$S$9:$AB$9)))</f>
        <v>0</v>
      </c>
      <c r="AN138" s="122">
        <f t="shared" si="172"/>
        <v>0</v>
      </c>
      <c r="AO138" s="122">
        <f t="shared" si="172"/>
        <v>0</v>
      </c>
      <c r="AP138" s="122">
        <f t="shared" si="172"/>
        <v>0</v>
      </c>
      <c r="AQ138" s="122">
        <f t="shared" si="172"/>
        <v>0</v>
      </c>
      <c r="AR138" s="122">
        <f t="shared" si="172"/>
        <v>0</v>
      </c>
      <c r="AS138" s="122">
        <f t="shared" si="172"/>
        <v>0</v>
      </c>
      <c r="AT138" s="122">
        <f t="shared" si="172"/>
        <v>0</v>
      </c>
      <c r="AU138" s="122">
        <f t="shared" si="172"/>
        <v>0</v>
      </c>
      <c r="AV138" s="122">
        <f t="shared" si="172"/>
        <v>0</v>
      </c>
      <c r="AW138" s="122">
        <f t="shared" ca="1" si="172"/>
        <v>0</v>
      </c>
      <c r="BB138" s="94" t="e">
        <v>#REF!</v>
      </c>
    </row>
    <row r="139" spans="1:54" s="20" customFormat="1" ht="18" customHeight="1">
      <c r="A139" s="513">
        <f>A136+1</f>
        <v>44</v>
      </c>
      <c r="B139" s="79"/>
      <c r="C139" s="507" t="s">
        <v>4855</v>
      </c>
      <c r="D139" s="80" t="s">
        <v>4887</v>
      </c>
      <c r="E139" s="81" t="s">
        <v>4790</v>
      </c>
      <c r="F139" s="82" t="s">
        <v>75</v>
      </c>
      <c r="G139" s="504" t="s">
        <v>4911</v>
      </c>
      <c r="H139" s="82" t="s">
        <v>196</v>
      </c>
      <c r="I139" s="81" t="s">
        <v>8</v>
      </c>
      <c r="J139" s="82"/>
      <c r="K139" s="84">
        <f>M141</f>
        <v>5.0000000000000001E-3</v>
      </c>
      <c r="L139" s="84"/>
      <c r="M139" s="84"/>
      <c r="N139" s="81"/>
      <c r="O139" s="81"/>
      <c r="P139" s="81"/>
      <c r="Q139" s="85" t="s">
        <v>4858</v>
      </c>
      <c r="R139" s="86">
        <f>'Before Award'!U146+5</f>
        <v>46483</v>
      </c>
      <c r="S139" s="86" t="e">
        <f>WORKDAY(R139,INDEX(S$2:S$5,MATCH($I139,$I$2:$I$5,0)),$BB$10:$BB$141)</f>
        <v>#REF!</v>
      </c>
      <c r="T139" s="86" t="e">
        <f>WORKDAY(S139,INDEX(T$2:T$5,MATCH($I139,$I$2:$I$5,0)),$BB$10:$BB$141)</f>
        <v>#REF!</v>
      </c>
      <c r="U139" s="86" t="e">
        <f>T139+30</f>
        <v>#REF!</v>
      </c>
      <c r="V139" s="86"/>
      <c r="W139" s="86">
        <f>AB139-35</f>
        <v>46503</v>
      </c>
      <c r="X139" s="86"/>
      <c r="Y139" s="86"/>
      <c r="Z139" s="86"/>
      <c r="AA139" s="86"/>
      <c r="AB139" s="86">
        <f>'Before Award'!X146</f>
        <v>46538</v>
      </c>
      <c r="AC139" s="501" t="s">
        <v>4859</v>
      </c>
      <c r="AD139" s="87">
        <v>7</v>
      </c>
      <c r="AE139" s="500">
        <v>60</v>
      </c>
      <c r="AF139" s="492" t="e">
        <f>AB140</f>
        <v>#REF!</v>
      </c>
      <c r="AG139" s="489">
        <f>WORKDAY(AH139+1,-1,$BA$10:$BA$141)</f>
        <v>46538</v>
      </c>
      <c r="AH139" s="88">
        <v>46538</v>
      </c>
      <c r="AI139" s="89"/>
      <c r="AJ139" s="486" t="e">
        <f>AG139-AF139</f>
        <v>#REF!</v>
      </c>
      <c r="AK139" s="90"/>
      <c r="AL139" s="91"/>
      <c r="AM139" s="92">
        <f t="shared" ref="AM139:AW139" si="173">IF(ISERROR(LOOKUP(AM$6,$S139:$AB139,$S$9:$AB$9)),0,(LOOKUP(AM$6,$S139:$AB139,$S$9:$AB$9)))</f>
        <v>0</v>
      </c>
      <c r="AN139" s="93">
        <f t="shared" si="173"/>
        <v>0</v>
      </c>
      <c r="AO139" s="93">
        <f t="shared" si="173"/>
        <v>0</v>
      </c>
      <c r="AP139" s="93">
        <f t="shared" si="173"/>
        <v>0</v>
      </c>
      <c r="AQ139" s="93">
        <f t="shared" si="173"/>
        <v>0</v>
      </c>
      <c r="AR139" s="93">
        <f t="shared" si="173"/>
        <v>0</v>
      </c>
      <c r="AS139" s="93">
        <f t="shared" si="173"/>
        <v>0</v>
      </c>
      <c r="AT139" s="93">
        <f t="shared" si="173"/>
        <v>0</v>
      </c>
      <c r="AU139" s="93">
        <f t="shared" si="173"/>
        <v>0</v>
      </c>
      <c r="AV139" s="93">
        <f t="shared" si="173"/>
        <v>0</v>
      </c>
      <c r="AW139" s="93">
        <f t="shared" ca="1" si="173"/>
        <v>0</v>
      </c>
      <c r="BB139" s="94" t="e">
        <v>#REF!</v>
      </c>
    </row>
    <row r="140" spans="1:54" s="20" customFormat="1" ht="18" customHeight="1">
      <c r="A140" s="514"/>
      <c r="B140" s="95"/>
      <c r="C140" s="508"/>
      <c r="D140" s="96" t="str">
        <f>D139</f>
        <v>INS</v>
      </c>
      <c r="E140" s="97" t="str">
        <f>E139</f>
        <v>RFQ-044</v>
      </c>
      <c r="F140" s="98" t="str">
        <f>F139</f>
        <v>N</v>
      </c>
      <c r="G140" s="505"/>
      <c r="H140" s="98" t="str">
        <f>H139</f>
        <v>Flow Switch</v>
      </c>
      <c r="I140" s="97" t="str">
        <f>I139</f>
        <v>LC</v>
      </c>
      <c r="J140" s="98"/>
      <c r="K140" s="100"/>
      <c r="L140" s="100">
        <f>M141</f>
        <v>5.0000000000000001E-3</v>
      </c>
      <c r="M140" s="100"/>
      <c r="N140" s="97"/>
      <c r="O140" s="97"/>
      <c r="P140" s="97"/>
      <c r="Q140" s="101" t="s">
        <v>4860</v>
      </c>
      <c r="R140" s="101"/>
      <c r="S140" s="102" t="e">
        <f>S139</f>
        <v>#REF!</v>
      </c>
      <c r="T140" s="103" t="e">
        <f>T139</f>
        <v>#REF!</v>
      </c>
      <c r="U140" s="103" t="e">
        <f t="shared" ref="U140:Z140" si="174">WORKDAY(IF(T141="",T140,T141),INDEX(U$2:U$5,MATCH($I139,$I$2:$I$5,0)),$BB$10:$BB$141)</f>
        <v>#REF!</v>
      </c>
      <c r="V140" s="103" t="e">
        <f t="shared" si="174"/>
        <v>#REF!</v>
      </c>
      <c r="W140" s="103" t="e">
        <f t="shared" si="174"/>
        <v>#REF!</v>
      </c>
      <c r="X140" s="103" t="e">
        <f t="shared" si="174"/>
        <v>#REF!</v>
      </c>
      <c r="Y140" s="103" t="e">
        <f t="shared" si="174"/>
        <v>#REF!</v>
      </c>
      <c r="Z140" s="103" t="e">
        <f t="shared" si="174"/>
        <v>#REF!</v>
      </c>
      <c r="AA140" s="103" t="e">
        <f>WORKDAY(IF(Z141="",X140,Z141),INDEX(AA$2:AA$5,MATCH($I139,$I$2:$I$5,0)),$BB$10:$BB$141)</f>
        <v>#REF!</v>
      </c>
      <c r="AB140" s="104" t="e">
        <f>WORKDAY(AE139+#REF!,0,'[35]Equipment List and MR List (3)'!$A$2:$A$80)</f>
        <v>#REF!</v>
      </c>
      <c r="AC140" s="502"/>
      <c r="AD140" s="105"/>
      <c r="AE140" s="500"/>
      <c r="AF140" s="493"/>
      <c r="AG140" s="490"/>
      <c r="AH140" s="106"/>
      <c r="AI140" s="107"/>
      <c r="AJ140" s="487"/>
      <c r="AK140" s="108"/>
      <c r="AL140" s="109"/>
      <c r="AM140" s="92">
        <f t="shared" ref="AM140:AW140" si="175">IF(ISERROR(LOOKUP(AM$6,$S140:$AB140,$S$9:$AB$9)),0,(LOOKUP(AM$6,$S140:$AB140,$S$9:$AB$9)))</f>
        <v>0</v>
      </c>
      <c r="AN140" s="93">
        <f t="shared" si="175"/>
        <v>0</v>
      </c>
      <c r="AO140" s="93">
        <f t="shared" si="175"/>
        <v>0</v>
      </c>
      <c r="AP140" s="93">
        <f t="shared" si="175"/>
        <v>0</v>
      </c>
      <c r="AQ140" s="93">
        <f t="shared" si="175"/>
        <v>0</v>
      </c>
      <c r="AR140" s="93">
        <f t="shared" si="175"/>
        <v>0</v>
      </c>
      <c r="AS140" s="93">
        <f t="shared" si="175"/>
        <v>0</v>
      </c>
      <c r="AT140" s="93">
        <f t="shared" si="175"/>
        <v>0</v>
      </c>
      <c r="AU140" s="93">
        <f t="shared" si="175"/>
        <v>0</v>
      </c>
      <c r="AV140" s="93">
        <f t="shared" si="175"/>
        <v>0</v>
      </c>
      <c r="AW140" s="93">
        <f t="shared" ca="1" si="175"/>
        <v>0</v>
      </c>
      <c r="BB140" s="94" t="e">
        <v>#REF!</v>
      </c>
    </row>
    <row r="141" spans="1:54" s="20" customFormat="1" ht="18" customHeight="1">
      <c r="A141" s="515"/>
      <c r="B141" s="110"/>
      <c r="C141" s="509"/>
      <c r="D141" s="111" t="str">
        <f>D139</f>
        <v>INS</v>
      </c>
      <c r="E141" s="112" t="str">
        <f>E139</f>
        <v>RFQ-044</v>
      </c>
      <c r="F141" s="113" t="str">
        <f>F139</f>
        <v>N</v>
      </c>
      <c r="G141" s="506"/>
      <c r="H141" s="113" t="str">
        <f>H139</f>
        <v>Flow Switch</v>
      </c>
      <c r="I141" s="112" t="str">
        <f>I139</f>
        <v>LC</v>
      </c>
      <c r="J141" s="113"/>
      <c r="K141" s="114"/>
      <c r="L141" s="114"/>
      <c r="M141" s="114">
        <v>5.0000000000000001E-3</v>
      </c>
      <c r="N141" s="112"/>
      <c r="O141" s="112"/>
      <c r="P141" s="112"/>
      <c r="Q141" s="115" t="s">
        <v>4861</v>
      </c>
      <c r="R141" s="115"/>
      <c r="S141" s="126"/>
      <c r="T141" s="126"/>
      <c r="U141" s="126"/>
      <c r="V141" s="126"/>
      <c r="W141" s="126"/>
      <c r="X141" s="126"/>
      <c r="Y141" s="126"/>
      <c r="Z141" s="126"/>
      <c r="AA141" s="126"/>
      <c r="AB141" s="126"/>
      <c r="AC141" s="503"/>
      <c r="AD141" s="116"/>
      <c r="AE141" s="500"/>
      <c r="AF141" s="494"/>
      <c r="AG141" s="491"/>
      <c r="AH141" s="117"/>
      <c r="AI141" s="118"/>
      <c r="AJ141" s="488"/>
      <c r="AK141" s="119"/>
      <c r="AL141" s="120"/>
      <c r="AM141" s="121">
        <f t="shared" ref="AM141:AW141" si="176">IF(ISERROR(LOOKUP(AM$6,$S141:$AB141,$S$9:$AB$9)),0,(LOOKUP(AM$6,$S141:$AB141,$S$9:$AB$9)))</f>
        <v>0</v>
      </c>
      <c r="AN141" s="122">
        <f t="shared" si="176"/>
        <v>0</v>
      </c>
      <c r="AO141" s="122">
        <f t="shared" si="176"/>
        <v>0</v>
      </c>
      <c r="AP141" s="122">
        <f t="shared" si="176"/>
        <v>0</v>
      </c>
      <c r="AQ141" s="122">
        <f t="shared" si="176"/>
        <v>0</v>
      </c>
      <c r="AR141" s="122">
        <f t="shared" si="176"/>
        <v>0</v>
      </c>
      <c r="AS141" s="122">
        <f t="shared" si="176"/>
        <v>0</v>
      </c>
      <c r="AT141" s="122">
        <f t="shared" si="176"/>
        <v>0</v>
      </c>
      <c r="AU141" s="122">
        <f t="shared" si="176"/>
        <v>0</v>
      </c>
      <c r="AV141" s="122">
        <f t="shared" si="176"/>
        <v>0</v>
      </c>
      <c r="AW141" s="122">
        <f t="shared" ca="1" si="176"/>
        <v>0</v>
      </c>
      <c r="BB141" s="94" t="e">
        <v>#REF!</v>
      </c>
    </row>
    <row r="142" spans="1:54" s="20" customFormat="1" ht="18" customHeight="1">
      <c r="A142" s="513">
        <f>A139+1</f>
        <v>45</v>
      </c>
      <c r="B142" s="79"/>
      <c r="C142" s="507" t="s">
        <v>4855</v>
      </c>
      <c r="D142" s="80" t="s">
        <v>4887</v>
      </c>
      <c r="E142" s="81" t="s">
        <v>4791</v>
      </c>
      <c r="F142" s="82" t="s">
        <v>75</v>
      </c>
      <c r="G142" s="504" t="s">
        <v>4904</v>
      </c>
      <c r="H142" s="82" t="s">
        <v>198</v>
      </c>
      <c r="I142" s="81" t="s">
        <v>7</v>
      </c>
      <c r="J142" s="82"/>
      <c r="K142" s="84">
        <f>M144</f>
        <v>2E-3</v>
      </c>
      <c r="L142" s="84"/>
      <c r="M142" s="84"/>
      <c r="N142" s="81"/>
      <c r="O142" s="81"/>
      <c r="P142" s="81"/>
      <c r="Q142" s="85" t="s">
        <v>4858</v>
      </c>
      <c r="R142" s="86">
        <f>'Before Award'!U149+5</f>
        <v>46291</v>
      </c>
      <c r="S142" s="86" t="e">
        <f>WORKDAY(R142,INDEX(S$2:S$5,MATCH($I142,$I$2:$I$5,0)),$BB$10:$BB$141)</f>
        <v>#REF!</v>
      </c>
      <c r="T142" s="86" t="e">
        <f>WORKDAY(S142,INDEX(T$2:T$5,MATCH($I142,$I$2:$I$5,0)),$BB$10:$BB$141)</f>
        <v>#REF!</v>
      </c>
      <c r="U142" s="86" t="e">
        <f>T142+30</f>
        <v>#REF!</v>
      </c>
      <c r="V142" s="86"/>
      <c r="W142" s="86">
        <f>AB142-35</f>
        <v>46503</v>
      </c>
      <c r="X142" s="86"/>
      <c r="Y142" s="86"/>
      <c r="Z142" s="86"/>
      <c r="AA142" s="86"/>
      <c r="AB142" s="86">
        <f>'Before Award'!X149</f>
        <v>46538</v>
      </c>
      <c r="AC142" s="501" t="s">
        <v>4859</v>
      </c>
      <c r="AD142" s="87">
        <v>7</v>
      </c>
      <c r="AE142" s="500">
        <f>36*7</f>
        <v>252</v>
      </c>
      <c r="AF142" s="492" t="e">
        <f>AB143</f>
        <v>#REF!</v>
      </c>
      <c r="AG142" s="489">
        <f>WORKDAY(AH142+1,-1,$BA$10:$BA$141)</f>
        <v>46538</v>
      </c>
      <c r="AH142" s="88">
        <v>46538</v>
      </c>
      <c r="AI142" s="89"/>
      <c r="AJ142" s="486" t="e">
        <f>AG142-AF142</f>
        <v>#REF!</v>
      </c>
      <c r="AK142" s="90"/>
      <c r="AL142" s="91"/>
      <c r="AM142" s="92">
        <f t="shared" ref="AM142:AW142" si="177">IF(ISERROR(LOOKUP(AM$6,$S142:$AB142,$S$9:$AB$9)),0,(LOOKUP(AM$6,$S142:$AB142,$S$9:$AB$9)))</f>
        <v>0</v>
      </c>
      <c r="AN142" s="93">
        <f t="shared" si="177"/>
        <v>0</v>
      </c>
      <c r="AO142" s="93">
        <f t="shared" si="177"/>
        <v>0</v>
      </c>
      <c r="AP142" s="93">
        <f t="shared" si="177"/>
        <v>0</v>
      </c>
      <c r="AQ142" s="93">
        <f t="shared" si="177"/>
        <v>0</v>
      </c>
      <c r="AR142" s="93">
        <f t="shared" si="177"/>
        <v>0</v>
      </c>
      <c r="AS142" s="93">
        <f t="shared" si="177"/>
        <v>0</v>
      </c>
      <c r="AT142" s="93">
        <f t="shared" si="177"/>
        <v>0</v>
      </c>
      <c r="AU142" s="93">
        <f t="shared" si="177"/>
        <v>0</v>
      </c>
      <c r="AV142" s="93">
        <f t="shared" si="177"/>
        <v>0</v>
      </c>
      <c r="AW142" s="93">
        <f t="shared" ca="1" si="177"/>
        <v>0</v>
      </c>
      <c r="BB142" s="94" t="e">
        <v>#REF!</v>
      </c>
    </row>
    <row r="143" spans="1:54" s="20" customFormat="1" ht="18" customHeight="1">
      <c r="A143" s="514"/>
      <c r="B143" s="95"/>
      <c r="C143" s="508"/>
      <c r="D143" s="96" t="str">
        <f>D142</f>
        <v>INS</v>
      </c>
      <c r="E143" s="97" t="str">
        <f>E142</f>
        <v>RFQ-045</v>
      </c>
      <c r="F143" s="98" t="str">
        <f>F142</f>
        <v>N</v>
      </c>
      <c r="G143" s="505"/>
      <c r="H143" s="98" t="str">
        <f>H142</f>
        <v>SCADA System</v>
      </c>
      <c r="I143" s="97" t="str">
        <f>I142</f>
        <v>LB</v>
      </c>
      <c r="J143" s="98"/>
      <c r="K143" s="100"/>
      <c r="L143" s="100">
        <f>M144</f>
        <v>2E-3</v>
      </c>
      <c r="M143" s="100"/>
      <c r="N143" s="97"/>
      <c r="O143" s="97"/>
      <c r="P143" s="97"/>
      <c r="Q143" s="101" t="s">
        <v>4860</v>
      </c>
      <c r="R143" s="101"/>
      <c r="S143" s="102" t="e">
        <f>S142</f>
        <v>#REF!</v>
      </c>
      <c r="T143" s="103" t="e">
        <f>T142</f>
        <v>#REF!</v>
      </c>
      <c r="U143" s="103" t="e">
        <f t="shared" ref="U143:Z143" si="178">WORKDAY(IF(T144="",T143,T144),INDEX(U$2:U$5,MATCH($I142,$I$2:$I$5,0)),$BB$10:$BB$141)</f>
        <v>#REF!</v>
      </c>
      <c r="V143" s="103" t="e">
        <f t="shared" si="178"/>
        <v>#REF!</v>
      </c>
      <c r="W143" s="103" t="e">
        <f t="shared" si="178"/>
        <v>#REF!</v>
      </c>
      <c r="X143" s="103" t="e">
        <f t="shared" si="178"/>
        <v>#REF!</v>
      </c>
      <c r="Y143" s="103" t="e">
        <f t="shared" si="178"/>
        <v>#REF!</v>
      </c>
      <c r="Z143" s="103" t="e">
        <f t="shared" si="178"/>
        <v>#REF!</v>
      </c>
      <c r="AA143" s="103" t="e">
        <f>WORKDAY(IF(Z144="",X143,Z144),INDEX(AA$2:AA$5,MATCH($I142,$I$2:$I$5,0)),$BB$10:$BB$141)</f>
        <v>#REF!</v>
      </c>
      <c r="AB143" s="104" t="e">
        <f>WORKDAY(AE142+#REF!,0,'[35]Equipment List and MR List (3)'!$A$2:$A$80)</f>
        <v>#REF!</v>
      </c>
      <c r="AC143" s="502"/>
      <c r="AD143" s="105"/>
      <c r="AE143" s="500"/>
      <c r="AF143" s="493"/>
      <c r="AG143" s="490"/>
      <c r="AH143" s="106"/>
      <c r="AI143" s="107"/>
      <c r="AJ143" s="487"/>
      <c r="AK143" s="108"/>
      <c r="AL143" s="109"/>
      <c r="AM143" s="92">
        <f t="shared" ref="AM143:AW143" si="179">IF(ISERROR(LOOKUP(AM$6,$S143:$AB143,$S$9:$AB$9)),0,(LOOKUP(AM$6,$S143:$AB143,$S$9:$AB$9)))</f>
        <v>0</v>
      </c>
      <c r="AN143" s="93">
        <f t="shared" si="179"/>
        <v>0</v>
      </c>
      <c r="AO143" s="93">
        <f t="shared" si="179"/>
        <v>0</v>
      </c>
      <c r="AP143" s="93">
        <f t="shared" si="179"/>
        <v>0</v>
      </c>
      <c r="AQ143" s="93">
        <f t="shared" si="179"/>
        <v>0</v>
      </c>
      <c r="AR143" s="93">
        <f t="shared" si="179"/>
        <v>0</v>
      </c>
      <c r="AS143" s="93">
        <f t="shared" si="179"/>
        <v>0</v>
      </c>
      <c r="AT143" s="93">
        <f t="shared" si="179"/>
        <v>0</v>
      </c>
      <c r="AU143" s="93">
        <f t="shared" si="179"/>
        <v>0</v>
      </c>
      <c r="AV143" s="93">
        <f t="shared" si="179"/>
        <v>0</v>
      </c>
      <c r="AW143" s="93">
        <f t="shared" ca="1" si="179"/>
        <v>0</v>
      </c>
      <c r="BB143" s="94" t="e">
        <v>#REF!</v>
      </c>
    </row>
    <row r="144" spans="1:54" s="20" customFormat="1" ht="18" customHeight="1">
      <c r="A144" s="515"/>
      <c r="B144" s="110"/>
      <c r="C144" s="509"/>
      <c r="D144" s="111" t="str">
        <f>D142</f>
        <v>INS</v>
      </c>
      <c r="E144" s="112" t="str">
        <f>E142</f>
        <v>RFQ-045</v>
      </c>
      <c r="F144" s="113" t="str">
        <f>F142</f>
        <v>N</v>
      </c>
      <c r="G144" s="506"/>
      <c r="H144" s="113" t="str">
        <f>H142</f>
        <v>SCADA System</v>
      </c>
      <c r="I144" s="112" t="str">
        <f>I142</f>
        <v>LB</v>
      </c>
      <c r="J144" s="113"/>
      <c r="K144" s="114"/>
      <c r="L144" s="114"/>
      <c r="M144" s="114">
        <v>2E-3</v>
      </c>
      <c r="N144" s="112"/>
      <c r="O144" s="112"/>
      <c r="P144" s="112"/>
      <c r="Q144" s="115" t="s">
        <v>4861</v>
      </c>
      <c r="R144" s="115"/>
      <c r="S144" s="126"/>
      <c r="T144" s="126"/>
      <c r="U144" s="126"/>
      <c r="V144" s="126"/>
      <c r="W144" s="126"/>
      <c r="X144" s="126"/>
      <c r="Y144" s="126"/>
      <c r="Z144" s="126"/>
      <c r="AA144" s="126"/>
      <c r="AB144" s="126"/>
      <c r="AC144" s="503"/>
      <c r="AD144" s="116"/>
      <c r="AE144" s="500"/>
      <c r="AF144" s="494"/>
      <c r="AG144" s="491"/>
      <c r="AH144" s="117"/>
      <c r="AI144" s="118"/>
      <c r="AJ144" s="488"/>
      <c r="AK144" s="119"/>
      <c r="AL144" s="120"/>
      <c r="AM144" s="121">
        <f t="shared" ref="AM144:AW144" si="180">IF(ISERROR(LOOKUP(AM$6,$S144:$AB144,$S$9:$AB$9)),0,(LOOKUP(AM$6,$S144:$AB144,$S$9:$AB$9)))</f>
        <v>0</v>
      </c>
      <c r="AN144" s="122">
        <f t="shared" si="180"/>
        <v>0</v>
      </c>
      <c r="AO144" s="122">
        <f t="shared" si="180"/>
        <v>0</v>
      </c>
      <c r="AP144" s="122">
        <f t="shared" si="180"/>
        <v>0</v>
      </c>
      <c r="AQ144" s="122">
        <f t="shared" si="180"/>
        <v>0</v>
      </c>
      <c r="AR144" s="122">
        <f t="shared" si="180"/>
        <v>0</v>
      </c>
      <c r="AS144" s="122">
        <f t="shared" si="180"/>
        <v>0</v>
      </c>
      <c r="AT144" s="122">
        <f t="shared" si="180"/>
        <v>0</v>
      </c>
      <c r="AU144" s="122">
        <f t="shared" si="180"/>
        <v>0</v>
      </c>
      <c r="AV144" s="122">
        <f t="shared" si="180"/>
        <v>0</v>
      </c>
      <c r="AW144" s="122">
        <f t="shared" ca="1" si="180"/>
        <v>0</v>
      </c>
      <c r="BB144" s="94" t="e">
        <v>#REF!</v>
      </c>
    </row>
    <row r="145" spans="1:54" s="20" customFormat="1" ht="18" customHeight="1">
      <c r="A145" s="513">
        <f>A142+1</f>
        <v>46</v>
      </c>
      <c r="B145" s="79"/>
      <c r="C145" s="507" t="s">
        <v>4855</v>
      </c>
      <c r="D145" s="80" t="s">
        <v>4887</v>
      </c>
      <c r="E145" s="81" t="s">
        <v>4792</v>
      </c>
      <c r="F145" s="82" t="s">
        <v>67</v>
      </c>
      <c r="G145" s="504" t="s">
        <v>4912</v>
      </c>
      <c r="H145" s="82" t="s">
        <v>4793</v>
      </c>
      <c r="I145" s="81" t="s">
        <v>8</v>
      </c>
      <c r="J145" s="82"/>
      <c r="K145" s="84">
        <f>M147</f>
        <v>2E-3</v>
      </c>
      <c r="L145" s="84"/>
      <c r="M145" s="84"/>
      <c r="N145" s="81"/>
      <c r="O145" s="81"/>
      <c r="P145" s="81"/>
      <c r="Q145" s="85" t="s">
        <v>4858</v>
      </c>
      <c r="R145" s="86">
        <f>'Before Award'!U152+5</f>
        <v>46249</v>
      </c>
      <c r="S145" s="86" t="e">
        <f>WORKDAY(R145,INDEX(S$2:S$5,MATCH($I145,$I$2:$I$5,0)),$BB$10:$BB$141)</f>
        <v>#REF!</v>
      </c>
      <c r="T145" s="86" t="e">
        <f>WORKDAY(S145,INDEX(T$2:T$5,MATCH($I145,$I$2:$I$5,0)),$BB$10:$BB$141)</f>
        <v>#REF!</v>
      </c>
      <c r="U145" s="86" t="e">
        <f>T145+30</f>
        <v>#REF!</v>
      </c>
      <c r="V145" s="86"/>
      <c r="W145" s="86">
        <f>AB145-35</f>
        <v>46503</v>
      </c>
      <c r="X145" s="86"/>
      <c r="Y145" s="86"/>
      <c r="Z145" s="86"/>
      <c r="AA145" s="86"/>
      <c r="AB145" s="86">
        <f>'Before Award'!X152</f>
        <v>46538</v>
      </c>
      <c r="AC145" s="501" t="s">
        <v>4859</v>
      </c>
      <c r="AD145" s="87">
        <v>7</v>
      </c>
      <c r="AE145" s="500">
        <v>294</v>
      </c>
      <c r="AF145" s="492" t="e">
        <f>AB146</f>
        <v>#REF!</v>
      </c>
      <c r="AG145" s="489">
        <f>WORKDAY(AH145+1,-1,$BA$10:$BA$141)</f>
        <v>46538</v>
      </c>
      <c r="AH145" s="88">
        <v>46538</v>
      </c>
      <c r="AI145" s="89"/>
      <c r="AJ145" s="486" t="e">
        <f>AG145-AF145</f>
        <v>#REF!</v>
      </c>
      <c r="AK145" s="90"/>
      <c r="AL145" s="91"/>
      <c r="AM145" s="92">
        <f t="shared" ref="AM145:AW145" si="181">IF(ISERROR(LOOKUP(AM$6,$S145:$AB145,$S$9:$AB$9)),0,(LOOKUP(AM$6,$S145:$AB145,$S$9:$AB$9)))</f>
        <v>0</v>
      </c>
      <c r="AN145" s="93">
        <f t="shared" si="181"/>
        <v>0</v>
      </c>
      <c r="AO145" s="93">
        <f t="shared" si="181"/>
        <v>0</v>
      </c>
      <c r="AP145" s="93">
        <f t="shared" si="181"/>
        <v>0</v>
      </c>
      <c r="AQ145" s="93">
        <f t="shared" si="181"/>
        <v>0</v>
      </c>
      <c r="AR145" s="93">
        <f t="shared" si="181"/>
        <v>0</v>
      </c>
      <c r="AS145" s="93">
        <f t="shared" si="181"/>
        <v>0</v>
      </c>
      <c r="AT145" s="93">
        <f t="shared" si="181"/>
        <v>0</v>
      </c>
      <c r="AU145" s="93">
        <f t="shared" si="181"/>
        <v>0</v>
      </c>
      <c r="AV145" s="93">
        <f t="shared" si="181"/>
        <v>0</v>
      </c>
      <c r="AW145" s="93">
        <f t="shared" ca="1" si="181"/>
        <v>0</v>
      </c>
      <c r="BB145" s="94" t="e">
        <v>#REF!</v>
      </c>
    </row>
    <row r="146" spans="1:54" s="20" customFormat="1" ht="18" customHeight="1">
      <c r="A146" s="514"/>
      <c r="B146" s="95"/>
      <c r="C146" s="508"/>
      <c r="D146" s="96" t="str">
        <f>D145</f>
        <v>INS</v>
      </c>
      <c r="E146" s="97" t="str">
        <f>E145</f>
        <v>RFQ-046</v>
      </c>
      <c r="F146" s="98" t="str">
        <f>F145</f>
        <v>Y</v>
      </c>
      <c r="G146" s="505"/>
      <c r="H146" s="98" t="str">
        <f>H145</f>
        <v>Telecommunication System (WiMAX, Telephone, Marine Radio)</v>
      </c>
      <c r="I146" s="97" t="str">
        <f>I145</f>
        <v>LC</v>
      </c>
      <c r="J146" s="98"/>
      <c r="K146" s="100"/>
      <c r="L146" s="100">
        <f>M147</f>
        <v>2E-3</v>
      </c>
      <c r="M146" s="100"/>
      <c r="N146" s="97"/>
      <c r="O146" s="97"/>
      <c r="P146" s="97"/>
      <c r="Q146" s="101" t="s">
        <v>4860</v>
      </c>
      <c r="R146" s="101"/>
      <c r="S146" s="102" t="e">
        <f>S145</f>
        <v>#REF!</v>
      </c>
      <c r="T146" s="103" t="e">
        <f>T145</f>
        <v>#REF!</v>
      </c>
      <c r="U146" s="103" t="e">
        <f t="shared" ref="U146:Z146" si="182">WORKDAY(IF(T147="",T146,T147),INDEX(U$2:U$5,MATCH($I145,$I$2:$I$5,0)),$BB$10:$BB$141)</f>
        <v>#REF!</v>
      </c>
      <c r="V146" s="103" t="e">
        <f t="shared" si="182"/>
        <v>#REF!</v>
      </c>
      <c r="W146" s="103" t="e">
        <f t="shared" si="182"/>
        <v>#REF!</v>
      </c>
      <c r="X146" s="103" t="e">
        <f t="shared" si="182"/>
        <v>#REF!</v>
      </c>
      <c r="Y146" s="103" t="e">
        <f t="shared" si="182"/>
        <v>#REF!</v>
      </c>
      <c r="Z146" s="103" t="e">
        <f t="shared" si="182"/>
        <v>#REF!</v>
      </c>
      <c r="AA146" s="103" t="e">
        <f>WORKDAY(IF(Z147="",X146,Z147),INDEX(AA$2:AA$5,MATCH($I145,$I$2:$I$5,0)),$BB$10:$BB$141)</f>
        <v>#REF!</v>
      </c>
      <c r="AB146" s="104" t="e">
        <f>WORKDAY(AE145+#REF!,0,'[35]Equipment List and MR List (3)'!$A$2:$A$80)</f>
        <v>#REF!</v>
      </c>
      <c r="AC146" s="502"/>
      <c r="AD146" s="105"/>
      <c r="AE146" s="500"/>
      <c r="AF146" s="493"/>
      <c r="AG146" s="490"/>
      <c r="AH146" s="106"/>
      <c r="AI146" s="107"/>
      <c r="AJ146" s="487"/>
      <c r="AK146" s="108"/>
      <c r="AL146" s="109"/>
      <c r="AM146" s="92">
        <f t="shared" ref="AM146:AW146" si="183">IF(ISERROR(LOOKUP(AM$6,$S146:$AB146,$S$9:$AB$9)),0,(LOOKUP(AM$6,$S146:$AB146,$S$9:$AB$9)))</f>
        <v>0</v>
      </c>
      <c r="AN146" s="93">
        <f t="shared" si="183"/>
        <v>0</v>
      </c>
      <c r="AO146" s="93">
        <f t="shared" si="183"/>
        <v>0</v>
      </c>
      <c r="AP146" s="93">
        <f t="shared" si="183"/>
        <v>0</v>
      </c>
      <c r="AQ146" s="93">
        <f t="shared" si="183"/>
        <v>0</v>
      </c>
      <c r="AR146" s="93">
        <f t="shared" si="183"/>
        <v>0</v>
      </c>
      <c r="AS146" s="93">
        <f t="shared" si="183"/>
        <v>0</v>
      </c>
      <c r="AT146" s="93">
        <f t="shared" si="183"/>
        <v>0</v>
      </c>
      <c r="AU146" s="93">
        <f t="shared" si="183"/>
        <v>0</v>
      </c>
      <c r="AV146" s="93">
        <f t="shared" si="183"/>
        <v>0</v>
      </c>
      <c r="AW146" s="93">
        <f t="shared" ca="1" si="183"/>
        <v>0</v>
      </c>
      <c r="BB146" s="94" t="e">
        <v>#REF!</v>
      </c>
    </row>
    <row r="147" spans="1:54" s="20" customFormat="1" ht="18" customHeight="1">
      <c r="A147" s="515"/>
      <c r="B147" s="110"/>
      <c r="C147" s="509"/>
      <c r="D147" s="111" t="str">
        <f>D145</f>
        <v>INS</v>
      </c>
      <c r="E147" s="112" t="str">
        <f>E145</f>
        <v>RFQ-046</v>
      </c>
      <c r="F147" s="113" t="str">
        <f>F145</f>
        <v>Y</v>
      </c>
      <c r="G147" s="506"/>
      <c r="H147" s="113" t="str">
        <f>H145</f>
        <v>Telecommunication System (WiMAX, Telephone, Marine Radio)</v>
      </c>
      <c r="I147" s="112" t="str">
        <f>I145</f>
        <v>LC</v>
      </c>
      <c r="J147" s="113"/>
      <c r="K147" s="114"/>
      <c r="L147" s="114"/>
      <c r="M147" s="114">
        <v>2E-3</v>
      </c>
      <c r="N147" s="112"/>
      <c r="O147" s="112"/>
      <c r="P147" s="112"/>
      <c r="Q147" s="115" t="s">
        <v>4861</v>
      </c>
      <c r="R147" s="115"/>
      <c r="S147" s="126"/>
      <c r="T147" s="126"/>
      <c r="U147" s="126"/>
      <c r="V147" s="126"/>
      <c r="W147" s="126"/>
      <c r="X147" s="126"/>
      <c r="Y147" s="126"/>
      <c r="Z147" s="126"/>
      <c r="AA147" s="126"/>
      <c r="AB147" s="126"/>
      <c r="AC147" s="503"/>
      <c r="AD147" s="116"/>
      <c r="AE147" s="500"/>
      <c r="AF147" s="494"/>
      <c r="AG147" s="491"/>
      <c r="AH147" s="117"/>
      <c r="AI147" s="118"/>
      <c r="AJ147" s="488"/>
      <c r="AK147" s="119"/>
      <c r="AL147" s="120"/>
      <c r="AM147" s="121">
        <f t="shared" ref="AM147:AW147" si="184">IF(ISERROR(LOOKUP(AM$6,$S147:$AB147,$S$9:$AB$9)),0,(LOOKUP(AM$6,$S147:$AB147,$S$9:$AB$9)))</f>
        <v>0</v>
      </c>
      <c r="AN147" s="122">
        <f t="shared" si="184"/>
        <v>0</v>
      </c>
      <c r="AO147" s="122">
        <f t="shared" si="184"/>
        <v>0</v>
      </c>
      <c r="AP147" s="122">
        <f t="shared" si="184"/>
        <v>0</v>
      </c>
      <c r="AQ147" s="122">
        <f t="shared" si="184"/>
        <v>0</v>
      </c>
      <c r="AR147" s="122">
        <f t="shared" si="184"/>
        <v>0</v>
      </c>
      <c r="AS147" s="122">
        <f t="shared" si="184"/>
        <v>0</v>
      </c>
      <c r="AT147" s="122">
        <f t="shared" si="184"/>
        <v>0</v>
      </c>
      <c r="AU147" s="122">
        <f t="shared" si="184"/>
        <v>0</v>
      </c>
      <c r="AV147" s="122">
        <f t="shared" si="184"/>
        <v>0</v>
      </c>
      <c r="AW147" s="122">
        <f t="shared" ca="1" si="184"/>
        <v>0</v>
      </c>
      <c r="BB147" s="94" t="e">
        <v>#REF!</v>
      </c>
    </row>
    <row r="148" spans="1:54" s="20" customFormat="1" ht="18" customHeight="1">
      <c r="A148" s="513">
        <f>A145+1</f>
        <v>47</v>
      </c>
      <c r="B148" s="79"/>
      <c r="C148" s="507" t="s">
        <v>4855</v>
      </c>
      <c r="D148" s="80" t="s">
        <v>4887</v>
      </c>
      <c r="E148" s="81" t="s">
        <v>4794</v>
      </c>
      <c r="F148" s="82" t="s">
        <v>75</v>
      </c>
      <c r="G148" s="504" t="s">
        <v>4913</v>
      </c>
      <c r="H148" s="82" t="s">
        <v>4795</v>
      </c>
      <c r="I148" s="81" t="s">
        <v>8</v>
      </c>
      <c r="J148" s="82"/>
      <c r="K148" s="84">
        <f>M150</f>
        <v>1E-3</v>
      </c>
      <c r="L148" s="84"/>
      <c r="M148" s="84"/>
      <c r="N148" s="81"/>
      <c r="O148" s="81"/>
      <c r="P148" s="81"/>
      <c r="Q148" s="85" t="s">
        <v>4858</v>
      </c>
      <c r="R148" s="86">
        <f>'Before Award'!U155+5</f>
        <v>46370</v>
      </c>
      <c r="S148" s="86" t="e">
        <f>WORKDAY(R148,INDEX(S$2:S$5,MATCH($I148,$I$2:$I$5,0)),$BB$10:$BB$141)</f>
        <v>#REF!</v>
      </c>
      <c r="T148" s="86" t="e">
        <f>WORKDAY(S148,INDEX(T$2:T$5,MATCH($I148,$I$2:$I$5,0)),$BB$10:$BB$141)</f>
        <v>#REF!</v>
      </c>
      <c r="U148" s="86" t="e">
        <f>T148+30</f>
        <v>#REF!</v>
      </c>
      <c r="V148" s="86"/>
      <c r="W148" s="86">
        <f>AB148-35</f>
        <v>46442</v>
      </c>
      <c r="X148" s="86"/>
      <c r="Y148" s="86"/>
      <c r="Z148" s="86"/>
      <c r="AA148" s="86"/>
      <c r="AB148" s="86">
        <f>'Before Award'!X155</f>
        <v>46477</v>
      </c>
      <c r="AC148" s="501" t="s">
        <v>4859</v>
      </c>
      <c r="AD148" s="87">
        <v>7</v>
      </c>
      <c r="AE148" s="500">
        <f>16*7</f>
        <v>112</v>
      </c>
      <c r="AF148" s="492" t="e">
        <f>AB149</f>
        <v>#REF!</v>
      </c>
      <c r="AG148" s="489">
        <f>WORKDAY(AH148+1,-1,$BA$10:$BA$141)</f>
        <v>46477</v>
      </c>
      <c r="AH148" s="88">
        <v>46477</v>
      </c>
      <c r="AI148" s="89"/>
      <c r="AJ148" s="486" t="e">
        <f>AG148-AF148</f>
        <v>#REF!</v>
      </c>
      <c r="AK148" s="90"/>
      <c r="AL148" s="91"/>
      <c r="AM148" s="92">
        <f t="shared" ref="AM148:AW148" si="185">IF(ISERROR(LOOKUP(AM$6,$S148:$AB148,$S$9:$AB$9)),0,(LOOKUP(AM$6,$S148:$AB148,$S$9:$AB$9)))</f>
        <v>0</v>
      </c>
      <c r="AN148" s="93">
        <f t="shared" si="185"/>
        <v>0</v>
      </c>
      <c r="AO148" s="93">
        <f t="shared" si="185"/>
        <v>0</v>
      </c>
      <c r="AP148" s="93">
        <f t="shared" si="185"/>
        <v>0</v>
      </c>
      <c r="AQ148" s="93">
        <f t="shared" si="185"/>
        <v>0</v>
      </c>
      <c r="AR148" s="93">
        <f t="shared" si="185"/>
        <v>0</v>
      </c>
      <c r="AS148" s="93">
        <f t="shared" si="185"/>
        <v>0</v>
      </c>
      <c r="AT148" s="93">
        <f t="shared" si="185"/>
        <v>0</v>
      </c>
      <c r="AU148" s="93">
        <f t="shared" si="185"/>
        <v>0</v>
      </c>
      <c r="AV148" s="93">
        <f t="shared" si="185"/>
        <v>0</v>
      </c>
      <c r="AW148" s="93">
        <f t="shared" ca="1" si="185"/>
        <v>0</v>
      </c>
      <c r="BB148" s="94" t="e">
        <v>#REF!</v>
      </c>
    </row>
    <row r="149" spans="1:54" s="20" customFormat="1" ht="18" customHeight="1">
      <c r="A149" s="514"/>
      <c r="B149" s="95"/>
      <c r="C149" s="508"/>
      <c r="D149" s="96" t="str">
        <f>D148</f>
        <v>INS</v>
      </c>
      <c r="E149" s="97" t="str">
        <f>E148</f>
        <v>RFQ-047</v>
      </c>
      <c r="F149" s="98" t="str">
        <f>F148</f>
        <v>N</v>
      </c>
      <c r="G149" s="505"/>
      <c r="H149" s="98" t="s">
        <v>4795</v>
      </c>
      <c r="I149" s="97" t="str">
        <f>I148</f>
        <v>LC</v>
      </c>
      <c r="J149" s="98"/>
      <c r="K149" s="100"/>
      <c r="L149" s="100">
        <f>M150</f>
        <v>1E-3</v>
      </c>
      <c r="M149" s="100"/>
      <c r="N149" s="97"/>
      <c r="O149" s="97"/>
      <c r="P149" s="97"/>
      <c r="Q149" s="101" t="s">
        <v>4860</v>
      </c>
      <c r="R149" s="101"/>
      <c r="S149" s="102" t="e">
        <f>S148</f>
        <v>#REF!</v>
      </c>
      <c r="T149" s="103" t="e">
        <f>T148</f>
        <v>#REF!</v>
      </c>
      <c r="U149" s="103" t="e">
        <f t="shared" ref="U149:Z149" si="186">WORKDAY(IF(T150="",T149,T150),INDEX(U$2:U$5,MATCH($I148,$I$2:$I$5,0)),$BB$10:$BB$141)</f>
        <v>#REF!</v>
      </c>
      <c r="V149" s="103" t="e">
        <f t="shared" si="186"/>
        <v>#REF!</v>
      </c>
      <c r="W149" s="103" t="e">
        <f t="shared" si="186"/>
        <v>#REF!</v>
      </c>
      <c r="X149" s="103" t="e">
        <f t="shared" si="186"/>
        <v>#REF!</v>
      </c>
      <c r="Y149" s="103" t="e">
        <f t="shared" si="186"/>
        <v>#REF!</v>
      </c>
      <c r="Z149" s="103" t="e">
        <f t="shared" si="186"/>
        <v>#REF!</v>
      </c>
      <c r="AA149" s="103" t="e">
        <f>WORKDAY(IF(Z150="",X149,Z150),INDEX(AA$2:AA$5,MATCH($I148,$I$2:$I$5,0)),$BB$10:$BB$141)</f>
        <v>#REF!</v>
      </c>
      <c r="AB149" s="104" t="e">
        <f>WORKDAY(AE148+#REF!,0,'[35]Equipment List and MR List (3)'!$A$2:$A$80)</f>
        <v>#REF!</v>
      </c>
      <c r="AC149" s="502"/>
      <c r="AD149" s="105"/>
      <c r="AE149" s="500"/>
      <c r="AF149" s="493"/>
      <c r="AG149" s="490"/>
      <c r="AH149" s="106"/>
      <c r="AI149" s="107"/>
      <c r="AJ149" s="487"/>
      <c r="AK149" s="108"/>
      <c r="AL149" s="109"/>
      <c r="AM149" s="92">
        <f t="shared" ref="AM149:AW149" si="187">IF(ISERROR(LOOKUP(AM$6,$S149:$AB149,$S$9:$AB$9)),0,(LOOKUP(AM$6,$S149:$AB149,$S$9:$AB$9)))</f>
        <v>0</v>
      </c>
      <c r="AN149" s="93">
        <f t="shared" si="187"/>
        <v>0</v>
      </c>
      <c r="AO149" s="93">
        <f t="shared" si="187"/>
        <v>0</v>
      </c>
      <c r="AP149" s="93">
        <f t="shared" si="187"/>
        <v>0</v>
      </c>
      <c r="AQ149" s="93">
        <f t="shared" si="187"/>
        <v>0</v>
      </c>
      <c r="AR149" s="93">
        <f t="shared" si="187"/>
        <v>0</v>
      </c>
      <c r="AS149" s="93">
        <f t="shared" si="187"/>
        <v>0</v>
      </c>
      <c r="AT149" s="93">
        <f t="shared" si="187"/>
        <v>0</v>
      </c>
      <c r="AU149" s="93">
        <f t="shared" si="187"/>
        <v>0</v>
      </c>
      <c r="AV149" s="93">
        <f t="shared" si="187"/>
        <v>0</v>
      </c>
      <c r="AW149" s="93">
        <f t="shared" ca="1" si="187"/>
        <v>0</v>
      </c>
      <c r="BB149" s="94" t="e">
        <v>#REF!</v>
      </c>
    </row>
    <row r="150" spans="1:54" s="20" customFormat="1" ht="18" customHeight="1">
      <c r="A150" s="515"/>
      <c r="B150" s="110"/>
      <c r="C150" s="509"/>
      <c r="D150" s="111" t="str">
        <f>D148</f>
        <v>INS</v>
      </c>
      <c r="E150" s="112" t="str">
        <f>E148</f>
        <v>RFQ-047</v>
      </c>
      <c r="F150" s="113" t="str">
        <f>F148</f>
        <v>N</v>
      </c>
      <c r="G150" s="506"/>
      <c r="H150" s="113" t="str">
        <f>H148</f>
        <v>Marine Racon</v>
      </c>
      <c r="I150" s="112" t="str">
        <f>I148</f>
        <v>LC</v>
      </c>
      <c r="J150" s="113"/>
      <c r="K150" s="114"/>
      <c r="L150" s="114"/>
      <c r="M150" s="114">
        <v>1E-3</v>
      </c>
      <c r="N150" s="112"/>
      <c r="O150" s="112"/>
      <c r="P150" s="112"/>
      <c r="Q150" s="115" t="s">
        <v>4861</v>
      </c>
      <c r="R150" s="115"/>
      <c r="S150" s="126"/>
      <c r="T150" s="126"/>
      <c r="U150" s="126"/>
      <c r="V150" s="126"/>
      <c r="W150" s="126"/>
      <c r="X150" s="126"/>
      <c r="Y150" s="126"/>
      <c r="Z150" s="126"/>
      <c r="AA150" s="126"/>
      <c r="AB150" s="126"/>
      <c r="AC150" s="503"/>
      <c r="AD150" s="116"/>
      <c r="AE150" s="500"/>
      <c r="AF150" s="494"/>
      <c r="AG150" s="491"/>
      <c r="AH150" s="117"/>
      <c r="AI150" s="118"/>
      <c r="AJ150" s="488"/>
      <c r="AK150" s="119"/>
      <c r="AL150" s="120"/>
      <c r="AM150" s="121">
        <f t="shared" ref="AM150:AW150" si="188">IF(ISERROR(LOOKUP(AM$6,$S150:$AB150,$S$9:$AB$9)),0,(LOOKUP(AM$6,$S150:$AB150,$S$9:$AB$9)))</f>
        <v>0</v>
      </c>
      <c r="AN150" s="122">
        <f t="shared" si="188"/>
        <v>0</v>
      </c>
      <c r="AO150" s="122">
        <f t="shared" si="188"/>
        <v>0</v>
      </c>
      <c r="AP150" s="122">
        <f t="shared" si="188"/>
        <v>0</v>
      </c>
      <c r="AQ150" s="122">
        <f t="shared" si="188"/>
        <v>0</v>
      </c>
      <c r="AR150" s="122">
        <f t="shared" si="188"/>
        <v>0</v>
      </c>
      <c r="AS150" s="122">
        <f t="shared" si="188"/>
        <v>0</v>
      </c>
      <c r="AT150" s="122">
        <f t="shared" si="188"/>
        <v>0</v>
      </c>
      <c r="AU150" s="122">
        <f t="shared" si="188"/>
        <v>0</v>
      </c>
      <c r="AV150" s="122">
        <f t="shared" si="188"/>
        <v>0</v>
      </c>
      <c r="AW150" s="122">
        <f t="shared" ca="1" si="188"/>
        <v>0</v>
      </c>
      <c r="BB150" s="94" t="e">
        <v>#REF!</v>
      </c>
    </row>
    <row r="151" spans="1:54" s="20" customFormat="1" ht="18" customHeight="1">
      <c r="A151" s="513">
        <f>A148+1</f>
        <v>48</v>
      </c>
      <c r="B151" s="79"/>
      <c r="C151" s="507" t="s">
        <v>4855</v>
      </c>
      <c r="D151" s="80" t="s">
        <v>4867</v>
      </c>
      <c r="E151" s="81" t="s">
        <v>4796</v>
      </c>
      <c r="F151" s="82" t="s">
        <v>75</v>
      </c>
      <c r="G151" s="504" t="s">
        <v>4914</v>
      </c>
      <c r="H151" s="82" t="s">
        <v>208</v>
      </c>
      <c r="I151" s="81" t="s">
        <v>8</v>
      </c>
      <c r="J151" s="82"/>
      <c r="K151" s="84">
        <f>M153</f>
        <v>1E-3</v>
      </c>
      <c r="L151" s="84"/>
      <c r="M151" s="84"/>
      <c r="N151" s="81"/>
      <c r="O151" s="81"/>
      <c r="P151" s="81"/>
      <c r="Q151" s="85" t="s">
        <v>4858</v>
      </c>
      <c r="R151" s="86">
        <f>'Before Award'!U158+5</f>
        <v>46269</v>
      </c>
      <c r="S151" s="86" t="e">
        <f>WORKDAY(R151,INDEX(S$2:S$5,MATCH($I151,$I$2:$I$5,0)),$BB$10:$BB$141)</f>
        <v>#REF!</v>
      </c>
      <c r="T151" s="86" t="e">
        <f>WORKDAY(S151,INDEX(T$2:T$5,MATCH($I151,$I$2:$I$5,0)),$BB$10:$BB$141)</f>
        <v>#REF!</v>
      </c>
      <c r="U151" s="86" t="e">
        <f>T151+30</f>
        <v>#REF!</v>
      </c>
      <c r="V151" s="86"/>
      <c r="W151" s="86">
        <f>AB151-35</f>
        <v>46412</v>
      </c>
      <c r="X151" s="86"/>
      <c r="Y151" s="86"/>
      <c r="Z151" s="86"/>
      <c r="AA151" s="86"/>
      <c r="AB151" s="86">
        <f>'Before Award'!X158</f>
        <v>46447</v>
      </c>
      <c r="AC151" s="501" t="s">
        <v>4859</v>
      </c>
      <c r="AD151" s="87">
        <v>7</v>
      </c>
      <c r="AE151" s="498">
        <v>183</v>
      </c>
      <c r="AF151" s="492" t="e">
        <f>AB152</f>
        <v>#REF!</v>
      </c>
      <c r="AG151" s="489">
        <f>WORKDAY(AH151+1,-1,$BA$10:$BA$141)</f>
        <v>46538</v>
      </c>
      <c r="AH151" s="88">
        <v>46538</v>
      </c>
      <c r="AI151" s="89"/>
      <c r="AJ151" s="486" t="e">
        <f>AG151-AF151</f>
        <v>#REF!</v>
      </c>
      <c r="AK151" s="90"/>
      <c r="AL151" s="91"/>
      <c r="AM151" s="92">
        <f t="shared" ref="AM151:AW151" si="189">IF(ISERROR(LOOKUP(AM$6,$S151:$AB151,$S$9:$AB$9)),0,(LOOKUP(AM$6,$S151:$AB151,$S$9:$AB$9)))</f>
        <v>0</v>
      </c>
      <c r="AN151" s="93">
        <f t="shared" si="189"/>
        <v>0</v>
      </c>
      <c r="AO151" s="93">
        <f t="shared" si="189"/>
        <v>0</v>
      </c>
      <c r="AP151" s="93">
        <f t="shared" si="189"/>
        <v>0</v>
      </c>
      <c r="AQ151" s="93">
        <f t="shared" si="189"/>
        <v>0</v>
      </c>
      <c r="AR151" s="93">
        <f t="shared" si="189"/>
        <v>0</v>
      </c>
      <c r="AS151" s="93">
        <f t="shared" si="189"/>
        <v>0</v>
      </c>
      <c r="AT151" s="93">
        <f t="shared" si="189"/>
        <v>0</v>
      </c>
      <c r="AU151" s="93">
        <f t="shared" si="189"/>
        <v>0</v>
      </c>
      <c r="AV151" s="93">
        <f t="shared" si="189"/>
        <v>0</v>
      </c>
      <c r="AW151" s="93">
        <f t="shared" ca="1" si="189"/>
        <v>0</v>
      </c>
      <c r="BB151" s="94" t="e">
        <v>#REF!</v>
      </c>
    </row>
    <row r="152" spans="1:54" s="20" customFormat="1" ht="18" customHeight="1">
      <c r="A152" s="514"/>
      <c r="B152" s="95"/>
      <c r="C152" s="508"/>
      <c r="D152" s="96" t="str">
        <f>D151</f>
        <v>PIP</v>
      </c>
      <c r="E152" s="97" t="str">
        <f>E151</f>
        <v>RFQ-048</v>
      </c>
      <c r="F152" s="98" t="str">
        <f>F151</f>
        <v>N</v>
      </c>
      <c r="G152" s="505"/>
      <c r="H152" s="98" t="str">
        <f>H151</f>
        <v>BALL VALVE (FLANGE END)</v>
      </c>
      <c r="I152" s="97" t="str">
        <f>I151</f>
        <v>LC</v>
      </c>
      <c r="J152" s="98"/>
      <c r="K152" s="100"/>
      <c r="L152" s="100">
        <f>M153</f>
        <v>1E-3</v>
      </c>
      <c r="M152" s="100"/>
      <c r="N152" s="97"/>
      <c r="O152" s="97"/>
      <c r="P152" s="97"/>
      <c r="Q152" s="101" t="s">
        <v>4860</v>
      </c>
      <c r="R152" s="101"/>
      <c r="S152" s="102" t="e">
        <f>S151</f>
        <v>#REF!</v>
      </c>
      <c r="T152" s="103" t="e">
        <f>T151</f>
        <v>#REF!</v>
      </c>
      <c r="U152" s="103" t="e">
        <f t="shared" ref="U152:Z152" si="190">WORKDAY(IF(T153="",T152,T153),INDEX(U$2:U$5,MATCH($I151,$I$2:$I$5,0)),$BB$10:$BB$141)</f>
        <v>#REF!</v>
      </c>
      <c r="V152" s="103" t="e">
        <f t="shared" si="190"/>
        <v>#REF!</v>
      </c>
      <c r="W152" s="103" t="e">
        <f t="shared" si="190"/>
        <v>#REF!</v>
      </c>
      <c r="X152" s="103" t="e">
        <f t="shared" si="190"/>
        <v>#REF!</v>
      </c>
      <c r="Y152" s="103" t="e">
        <f t="shared" si="190"/>
        <v>#REF!</v>
      </c>
      <c r="Z152" s="103" t="e">
        <f t="shared" si="190"/>
        <v>#REF!</v>
      </c>
      <c r="AA152" s="103" t="e">
        <f>WORKDAY(IF(Z153="",X152,Z153),INDEX(AA$2:AA$5,MATCH($I151,$I$2:$I$5,0)),$BB$10:$BB$141)</f>
        <v>#REF!</v>
      </c>
      <c r="AB152" s="104" t="e">
        <f>WORKDAY(AE151+#REF!,0,'[35]Equipment List and MR List (3)'!$A$2:$A$80)</f>
        <v>#REF!</v>
      </c>
      <c r="AC152" s="502"/>
      <c r="AD152" s="105"/>
      <c r="AE152" s="498"/>
      <c r="AF152" s="493"/>
      <c r="AG152" s="490"/>
      <c r="AH152" s="106"/>
      <c r="AI152" s="107"/>
      <c r="AJ152" s="487"/>
      <c r="AK152" s="108"/>
      <c r="AL152" s="109"/>
      <c r="AM152" s="92">
        <f t="shared" ref="AM152:AW152" si="191">IF(ISERROR(LOOKUP(AM$6,$S152:$AB152,$S$9:$AB$9)),0,(LOOKUP(AM$6,$S152:$AB152,$S$9:$AB$9)))</f>
        <v>0</v>
      </c>
      <c r="AN152" s="93">
        <f t="shared" si="191"/>
        <v>0</v>
      </c>
      <c r="AO152" s="93">
        <f t="shared" si="191"/>
        <v>0</v>
      </c>
      <c r="AP152" s="93">
        <f t="shared" si="191"/>
        <v>0</v>
      </c>
      <c r="AQ152" s="93">
        <f t="shared" si="191"/>
        <v>0</v>
      </c>
      <c r="AR152" s="93">
        <f t="shared" si="191"/>
        <v>0</v>
      </c>
      <c r="AS152" s="93">
        <f t="shared" si="191"/>
        <v>0</v>
      </c>
      <c r="AT152" s="93">
        <f t="shared" si="191"/>
        <v>0</v>
      </c>
      <c r="AU152" s="93">
        <f t="shared" si="191"/>
        <v>0</v>
      </c>
      <c r="AV152" s="93">
        <f t="shared" si="191"/>
        <v>0</v>
      </c>
      <c r="AW152" s="93">
        <f t="shared" ca="1" si="191"/>
        <v>0</v>
      </c>
      <c r="BB152" s="94" t="e">
        <v>#REF!</v>
      </c>
    </row>
    <row r="153" spans="1:54" s="20" customFormat="1" ht="18" customHeight="1">
      <c r="A153" s="515"/>
      <c r="B153" s="110"/>
      <c r="C153" s="509"/>
      <c r="D153" s="111" t="str">
        <f>D151</f>
        <v>PIP</v>
      </c>
      <c r="E153" s="112" t="str">
        <f>E151</f>
        <v>RFQ-048</v>
      </c>
      <c r="F153" s="113" t="str">
        <f>F151</f>
        <v>N</v>
      </c>
      <c r="G153" s="506"/>
      <c r="H153" s="113" t="str">
        <f>H151</f>
        <v>BALL VALVE (FLANGE END)</v>
      </c>
      <c r="I153" s="112" t="str">
        <f>I151</f>
        <v>LC</v>
      </c>
      <c r="J153" s="113"/>
      <c r="K153" s="114"/>
      <c r="L153" s="114"/>
      <c r="M153" s="114">
        <v>1E-3</v>
      </c>
      <c r="N153" s="112"/>
      <c r="O153" s="112"/>
      <c r="P153" s="112"/>
      <c r="Q153" s="115" t="s">
        <v>4861</v>
      </c>
      <c r="R153" s="115"/>
      <c r="S153" s="126"/>
      <c r="T153" s="126"/>
      <c r="U153" s="126"/>
      <c r="V153" s="126"/>
      <c r="W153" s="126"/>
      <c r="X153" s="126"/>
      <c r="Y153" s="126"/>
      <c r="Z153" s="126"/>
      <c r="AA153" s="126"/>
      <c r="AB153" s="126"/>
      <c r="AC153" s="503"/>
      <c r="AD153" s="116"/>
      <c r="AE153" s="498"/>
      <c r="AF153" s="494"/>
      <c r="AG153" s="491"/>
      <c r="AH153" s="117"/>
      <c r="AI153" s="118"/>
      <c r="AJ153" s="488"/>
      <c r="AK153" s="119"/>
      <c r="AL153" s="120"/>
      <c r="AM153" s="121">
        <f t="shared" ref="AM153:AW153" si="192">IF(ISERROR(LOOKUP(AM$6,$S153:$AB153,$S$9:$AB$9)),0,(LOOKUP(AM$6,$S153:$AB153,$S$9:$AB$9)))</f>
        <v>0</v>
      </c>
      <c r="AN153" s="122">
        <f t="shared" si="192"/>
        <v>0</v>
      </c>
      <c r="AO153" s="122">
        <f t="shared" si="192"/>
        <v>0</v>
      </c>
      <c r="AP153" s="122">
        <f t="shared" si="192"/>
        <v>0</v>
      </c>
      <c r="AQ153" s="122">
        <f t="shared" si="192"/>
        <v>0</v>
      </c>
      <c r="AR153" s="122">
        <f t="shared" si="192"/>
        <v>0</v>
      </c>
      <c r="AS153" s="122">
        <f t="shared" si="192"/>
        <v>0</v>
      </c>
      <c r="AT153" s="122">
        <f t="shared" si="192"/>
        <v>0</v>
      </c>
      <c r="AU153" s="122">
        <f t="shared" si="192"/>
        <v>0</v>
      </c>
      <c r="AV153" s="122">
        <f t="shared" si="192"/>
        <v>0</v>
      </c>
      <c r="AW153" s="122">
        <f t="shared" ca="1" si="192"/>
        <v>0</v>
      </c>
      <c r="BB153" s="94" t="e">
        <v>#REF!</v>
      </c>
    </row>
    <row r="154" spans="1:54" s="20" customFormat="1" ht="18" customHeight="1">
      <c r="A154" s="513">
        <f>A151+1</f>
        <v>49</v>
      </c>
      <c r="B154" s="79"/>
      <c r="C154" s="507" t="s">
        <v>4855</v>
      </c>
      <c r="D154" s="80" t="s">
        <v>4867</v>
      </c>
      <c r="E154" s="81" t="s">
        <v>4797</v>
      </c>
      <c r="F154" s="82" t="s">
        <v>75</v>
      </c>
      <c r="G154" s="504" t="s">
        <v>4914</v>
      </c>
      <c r="H154" s="82" t="s">
        <v>215</v>
      </c>
      <c r="I154" s="81" t="s">
        <v>8</v>
      </c>
      <c r="J154" s="82"/>
      <c r="K154" s="84">
        <f>M156</f>
        <v>0.01</v>
      </c>
      <c r="L154" s="84"/>
      <c r="M154" s="84"/>
      <c r="N154" s="81"/>
      <c r="O154" s="81"/>
      <c r="P154" s="81"/>
      <c r="Q154" s="85" t="s">
        <v>4858</v>
      </c>
      <c r="R154" s="86">
        <f>'Before Award'!U161+5</f>
        <v>46269</v>
      </c>
      <c r="S154" s="86" t="e">
        <f>WORKDAY(R154,INDEX(S$2:S$5,MATCH($I154,$I$2:$I$5,0)),$BB$10:$BB$141)</f>
        <v>#REF!</v>
      </c>
      <c r="T154" s="86" t="e">
        <f>WORKDAY(S154,INDEX(T$2:T$5,MATCH($I154,$I$2:$I$5,0)),$BB$10:$BB$141)</f>
        <v>#REF!</v>
      </c>
      <c r="U154" s="86" t="e">
        <f>T154+30</f>
        <v>#REF!</v>
      </c>
      <c r="V154" s="86"/>
      <c r="W154" s="86">
        <f>AB154-35</f>
        <v>46412</v>
      </c>
      <c r="X154" s="86"/>
      <c r="Y154" s="86"/>
      <c r="Z154" s="86"/>
      <c r="AA154" s="86"/>
      <c r="AB154" s="86">
        <f>'Before Award'!X161</f>
        <v>46447</v>
      </c>
      <c r="AC154" s="501" t="s">
        <v>4859</v>
      </c>
      <c r="AD154" s="87">
        <v>7</v>
      </c>
      <c r="AE154" s="498">
        <v>183</v>
      </c>
      <c r="AF154" s="492" t="e">
        <f>AB155</f>
        <v>#REF!</v>
      </c>
      <c r="AG154" s="489">
        <f>WORKDAY(AH154+1,-1,$BA$10:$BA$141)</f>
        <v>46538</v>
      </c>
      <c r="AH154" s="88">
        <v>46538</v>
      </c>
      <c r="AI154" s="89"/>
      <c r="AJ154" s="486" t="e">
        <f>AG154-AF154</f>
        <v>#REF!</v>
      </c>
      <c r="AK154" s="90"/>
      <c r="AL154" s="91"/>
      <c r="AM154" s="92">
        <f t="shared" ref="AM154:AW154" si="193">IF(ISERROR(LOOKUP(AM$6,$S154:$AB154,$S$9:$AB$9)),0,(LOOKUP(AM$6,$S154:$AB154,$S$9:$AB$9)))</f>
        <v>0</v>
      </c>
      <c r="AN154" s="93">
        <f t="shared" si="193"/>
        <v>0</v>
      </c>
      <c r="AO154" s="93">
        <f t="shared" si="193"/>
        <v>0</v>
      </c>
      <c r="AP154" s="93">
        <f t="shared" si="193"/>
        <v>0</v>
      </c>
      <c r="AQ154" s="93">
        <f t="shared" si="193"/>
        <v>0</v>
      </c>
      <c r="AR154" s="93">
        <f t="shared" si="193"/>
        <v>0</v>
      </c>
      <c r="AS154" s="93">
        <f t="shared" si="193"/>
        <v>0</v>
      </c>
      <c r="AT154" s="93">
        <f t="shared" si="193"/>
        <v>0</v>
      </c>
      <c r="AU154" s="93">
        <f t="shared" si="193"/>
        <v>0</v>
      </c>
      <c r="AV154" s="93">
        <f t="shared" si="193"/>
        <v>0</v>
      </c>
      <c r="AW154" s="93">
        <f t="shared" ca="1" si="193"/>
        <v>0</v>
      </c>
      <c r="BB154" s="94" t="e">
        <v>#REF!</v>
      </c>
    </row>
    <row r="155" spans="1:54" s="20" customFormat="1" ht="18" customHeight="1">
      <c r="A155" s="514"/>
      <c r="B155" s="95"/>
      <c r="C155" s="508"/>
      <c r="D155" s="96" t="str">
        <f>D154</f>
        <v>PIP</v>
      </c>
      <c r="E155" s="97" t="str">
        <f>E154</f>
        <v>RFQ-049</v>
      </c>
      <c r="F155" s="98" t="str">
        <f>F154</f>
        <v>N</v>
      </c>
      <c r="G155" s="505"/>
      <c r="H155" s="98" t="str">
        <f>H154</f>
        <v>GLOBE VALVE (FLANGE END)</v>
      </c>
      <c r="I155" s="97" t="str">
        <f>I154</f>
        <v>LC</v>
      </c>
      <c r="J155" s="98"/>
      <c r="K155" s="100"/>
      <c r="L155" s="100">
        <f>M156</f>
        <v>0.01</v>
      </c>
      <c r="M155" s="100"/>
      <c r="N155" s="97"/>
      <c r="O155" s="97"/>
      <c r="P155" s="97"/>
      <c r="Q155" s="101" t="s">
        <v>4860</v>
      </c>
      <c r="R155" s="101"/>
      <c r="S155" s="102" t="e">
        <f>S154</f>
        <v>#REF!</v>
      </c>
      <c r="T155" s="103" t="e">
        <f>T154</f>
        <v>#REF!</v>
      </c>
      <c r="U155" s="103" t="e">
        <f t="shared" ref="U155:Z155" si="194">WORKDAY(IF(T156="",T155,T156),INDEX(U$2:U$5,MATCH($I154,$I$2:$I$5,0)),$BB$10:$BB$141)</f>
        <v>#REF!</v>
      </c>
      <c r="V155" s="103" t="e">
        <f t="shared" si="194"/>
        <v>#REF!</v>
      </c>
      <c r="W155" s="103" t="e">
        <f t="shared" si="194"/>
        <v>#REF!</v>
      </c>
      <c r="X155" s="103" t="e">
        <f t="shared" si="194"/>
        <v>#REF!</v>
      </c>
      <c r="Y155" s="103" t="e">
        <f t="shared" si="194"/>
        <v>#REF!</v>
      </c>
      <c r="Z155" s="103" t="e">
        <f t="shared" si="194"/>
        <v>#REF!</v>
      </c>
      <c r="AA155" s="103" t="e">
        <f>WORKDAY(IF(Z156="",X155,Z156),INDEX(AA$2:AA$5,MATCH($I154,$I$2:$I$5,0)),$BB$10:$BB$141)</f>
        <v>#REF!</v>
      </c>
      <c r="AB155" s="104" t="e">
        <f>WORKDAY(AE154+#REF!,0,'[35]Equipment List and MR List (3)'!$A$2:$A$80)</f>
        <v>#REF!</v>
      </c>
      <c r="AC155" s="502"/>
      <c r="AD155" s="105"/>
      <c r="AE155" s="498"/>
      <c r="AF155" s="493"/>
      <c r="AG155" s="490"/>
      <c r="AH155" s="106"/>
      <c r="AI155" s="107"/>
      <c r="AJ155" s="487"/>
      <c r="AK155" s="108"/>
      <c r="AL155" s="109"/>
      <c r="AM155" s="92">
        <f t="shared" ref="AM155:AW155" si="195">IF(ISERROR(LOOKUP(AM$6,$S155:$AB155,$S$9:$AB$9)),0,(LOOKUP(AM$6,$S155:$AB155,$S$9:$AB$9)))</f>
        <v>0</v>
      </c>
      <c r="AN155" s="93">
        <f t="shared" si="195"/>
        <v>0</v>
      </c>
      <c r="AO155" s="93">
        <f t="shared" si="195"/>
        <v>0</v>
      </c>
      <c r="AP155" s="93">
        <f t="shared" si="195"/>
        <v>0</v>
      </c>
      <c r="AQ155" s="93">
        <f t="shared" si="195"/>
        <v>0</v>
      </c>
      <c r="AR155" s="93">
        <f t="shared" si="195"/>
        <v>0</v>
      </c>
      <c r="AS155" s="93">
        <f t="shared" si="195"/>
        <v>0</v>
      </c>
      <c r="AT155" s="93">
        <f t="shared" si="195"/>
        <v>0</v>
      </c>
      <c r="AU155" s="93">
        <f t="shared" si="195"/>
        <v>0</v>
      </c>
      <c r="AV155" s="93">
        <f t="shared" si="195"/>
        <v>0</v>
      </c>
      <c r="AW155" s="93">
        <f t="shared" ca="1" si="195"/>
        <v>0</v>
      </c>
      <c r="BB155" s="94" t="e">
        <v>#REF!</v>
      </c>
    </row>
    <row r="156" spans="1:54" s="20" customFormat="1" ht="18" customHeight="1">
      <c r="A156" s="515"/>
      <c r="B156" s="110"/>
      <c r="C156" s="509"/>
      <c r="D156" s="111" t="str">
        <f>D154</f>
        <v>PIP</v>
      </c>
      <c r="E156" s="112" t="str">
        <f>E154</f>
        <v>RFQ-049</v>
      </c>
      <c r="F156" s="113" t="str">
        <f>F154</f>
        <v>N</v>
      </c>
      <c r="G156" s="506"/>
      <c r="H156" s="113" t="str">
        <f>H154</f>
        <v>GLOBE VALVE (FLANGE END)</v>
      </c>
      <c r="I156" s="112" t="str">
        <f>I154</f>
        <v>LC</v>
      </c>
      <c r="J156" s="113"/>
      <c r="K156" s="114"/>
      <c r="L156" s="114"/>
      <c r="M156" s="114">
        <v>0.01</v>
      </c>
      <c r="N156" s="112"/>
      <c r="O156" s="112"/>
      <c r="P156" s="112"/>
      <c r="Q156" s="115" t="s">
        <v>4861</v>
      </c>
      <c r="R156" s="115"/>
      <c r="S156" s="126"/>
      <c r="T156" s="126"/>
      <c r="U156" s="126"/>
      <c r="V156" s="126"/>
      <c r="W156" s="126"/>
      <c r="X156" s="126"/>
      <c r="Y156" s="126"/>
      <c r="Z156" s="126"/>
      <c r="AA156" s="126"/>
      <c r="AB156" s="126"/>
      <c r="AC156" s="503"/>
      <c r="AD156" s="116"/>
      <c r="AE156" s="498"/>
      <c r="AF156" s="494"/>
      <c r="AG156" s="491"/>
      <c r="AH156" s="117"/>
      <c r="AI156" s="118"/>
      <c r="AJ156" s="488"/>
      <c r="AK156" s="119"/>
      <c r="AL156" s="120"/>
      <c r="AM156" s="121">
        <f t="shared" ref="AM156:AW156" si="196">IF(ISERROR(LOOKUP(AM$6,$S156:$AB156,$S$9:$AB$9)),0,(LOOKUP(AM$6,$S156:$AB156,$S$9:$AB$9)))</f>
        <v>0</v>
      </c>
      <c r="AN156" s="122">
        <f t="shared" si="196"/>
        <v>0</v>
      </c>
      <c r="AO156" s="122">
        <f t="shared" si="196"/>
        <v>0</v>
      </c>
      <c r="AP156" s="122">
        <f t="shared" si="196"/>
        <v>0</v>
      </c>
      <c r="AQ156" s="122">
        <f t="shared" si="196"/>
        <v>0</v>
      </c>
      <c r="AR156" s="122">
        <f t="shared" si="196"/>
        <v>0</v>
      </c>
      <c r="AS156" s="122">
        <f t="shared" si="196"/>
        <v>0</v>
      </c>
      <c r="AT156" s="122">
        <f t="shared" si="196"/>
        <v>0</v>
      </c>
      <c r="AU156" s="122">
        <f t="shared" si="196"/>
        <v>0</v>
      </c>
      <c r="AV156" s="122">
        <f t="shared" si="196"/>
        <v>0</v>
      </c>
      <c r="AW156" s="122">
        <f t="shared" ca="1" si="196"/>
        <v>0</v>
      </c>
      <c r="BB156" s="94" t="e">
        <v>#REF!</v>
      </c>
    </row>
    <row r="157" spans="1:54" s="20" customFormat="1" ht="18" customHeight="1">
      <c r="A157" s="513">
        <f>A154+1</f>
        <v>50</v>
      </c>
      <c r="B157" s="79"/>
      <c r="C157" s="507" t="s">
        <v>4855</v>
      </c>
      <c r="D157" s="80" t="s">
        <v>4867</v>
      </c>
      <c r="E157" s="81" t="s">
        <v>4798</v>
      </c>
      <c r="F157" s="82" t="s">
        <v>75</v>
      </c>
      <c r="G157" s="504" t="s">
        <v>4914</v>
      </c>
      <c r="H157" s="82" t="s">
        <v>217</v>
      </c>
      <c r="I157" s="81" t="s">
        <v>8</v>
      </c>
      <c r="J157" s="82"/>
      <c r="K157" s="84">
        <f>M159</f>
        <v>5.0000000000000001E-4</v>
      </c>
      <c r="L157" s="84"/>
      <c r="M157" s="84"/>
      <c r="N157" s="81"/>
      <c r="O157" s="81"/>
      <c r="P157" s="81"/>
      <c r="Q157" s="85" t="s">
        <v>4858</v>
      </c>
      <c r="R157" s="86">
        <f>'Before Award'!U164+5</f>
        <v>46269</v>
      </c>
      <c r="S157" s="86" t="e">
        <f>WORKDAY(R157,INDEX(S$2:S$5,MATCH($I157,$I$2:$I$5,0)),$BB$10:$BB$141)</f>
        <v>#REF!</v>
      </c>
      <c r="T157" s="86" t="e">
        <f>WORKDAY(S157,INDEX(T$2:T$5,MATCH($I157,$I$2:$I$5,0)),$BB$10:$BB$141)</f>
        <v>#REF!</v>
      </c>
      <c r="U157" s="86" t="e">
        <f>T157+30</f>
        <v>#REF!</v>
      </c>
      <c r="V157" s="86"/>
      <c r="W157" s="86">
        <f>AB157-35</f>
        <v>46412</v>
      </c>
      <c r="X157" s="86"/>
      <c r="Y157" s="86"/>
      <c r="Z157" s="86"/>
      <c r="AA157" s="86"/>
      <c r="AB157" s="86">
        <f>'Before Award'!X164</f>
        <v>46447</v>
      </c>
      <c r="AC157" s="501" t="s">
        <v>4859</v>
      </c>
      <c r="AD157" s="87">
        <v>7</v>
      </c>
      <c r="AE157" s="498">
        <v>183</v>
      </c>
      <c r="AF157" s="492" t="e">
        <f>AB158</f>
        <v>#REF!</v>
      </c>
      <c r="AG157" s="489">
        <f>WORKDAY(AH157+1,-1,$BA$10:$BA$141)</f>
        <v>46538</v>
      </c>
      <c r="AH157" s="88">
        <v>46538</v>
      </c>
      <c r="AI157" s="89"/>
      <c r="AJ157" s="486" t="e">
        <f>AG157-AF157</f>
        <v>#REF!</v>
      </c>
      <c r="AK157" s="90"/>
      <c r="AL157" s="91"/>
      <c r="AM157" s="92">
        <f t="shared" ref="AM157:AW157" si="197">IF(ISERROR(LOOKUP(AM$6,$S157:$AB157,$S$9:$AB$9)),0,(LOOKUP(AM$6,$S157:$AB157,$S$9:$AB$9)))</f>
        <v>0</v>
      </c>
      <c r="AN157" s="93">
        <f t="shared" si="197"/>
        <v>0</v>
      </c>
      <c r="AO157" s="93">
        <f t="shared" si="197"/>
        <v>0</v>
      </c>
      <c r="AP157" s="93">
        <f t="shared" si="197"/>
        <v>0</v>
      </c>
      <c r="AQ157" s="93">
        <f t="shared" si="197"/>
        <v>0</v>
      </c>
      <c r="AR157" s="93">
        <f t="shared" si="197"/>
        <v>0</v>
      </c>
      <c r="AS157" s="93">
        <f t="shared" si="197"/>
        <v>0</v>
      </c>
      <c r="AT157" s="93">
        <f t="shared" si="197"/>
        <v>0</v>
      </c>
      <c r="AU157" s="93">
        <f t="shared" si="197"/>
        <v>0</v>
      </c>
      <c r="AV157" s="93">
        <f t="shared" si="197"/>
        <v>0</v>
      </c>
      <c r="AW157" s="93">
        <f t="shared" ca="1" si="197"/>
        <v>0</v>
      </c>
      <c r="BB157" s="94" t="e">
        <v>#REF!</v>
      </c>
    </row>
    <row r="158" spans="1:54" s="20" customFormat="1" ht="18" customHeight="1">
      <c r="A158" s="514"/>
      <c r="B158" s="95"/>
      <c r="C158" s="508"/>
      <c r="D158" s="96" t="str">
        <f>D157</f>
        <v>PIP</v>
      </c>
      <c r="E158" s="97" t="str">
        <f>E157</f>
        <v>RFQ-050</v>
      </c>
      <c r="F158" s="98" t="str">
        <f>F157</f>
        <v>N</v>
      </c>
      <c r="G158" s="505"/>
      <c r="H158" s="98" t="str">
        <f>H157</f>
        <v>GLOBE VALVE (WELDED END)</v>
      </c>
      <c r="I158" s="97" t="str">
        <f>I157</f>
        <v>LC</v>
      </c>
      <c r="J158" s="98"/>
      <c r="K158" s="100"/>
      <c r="L158" s="100">
        <f>M159</f>
        <v>5.0000000000000001E-4</v>
      </c>
      <c r="M158" s="100"/>
      <c r="N158" s="97"/>
      <c r="O158" s="97"/>
      <c r="P158" s="97"/>
      <c r="Q158" s="101" t="s">
        <v>4860</v>
      </c>
      <c r="R158" s="101"/>
      <c r="S158" s="102" t="e">
        <f>S157</f>
        <v>#REF!</v>
      </c>
      <c r="T158" s="103" t="e">
        <f>T157</f>
        <v>#REF!</v>
      </c>
      <c r="U158" s="103" t="e">
        <f t="shared" ref="U158:Z158" si="198">WORKDAY(IF(T159="",T158,T159),INDEX(U$2:U$5,MATCH($I157,$I$2:$I$5,0)),$BB$10:$BB$141)</f>
        <v>#REF!</v>
      </c>
      <c r="V158" s="103" t="e">
        <f t="shared" si="198"/>
        <v>#REF!</v>
      </c>
      <c r="W158" s="103" t="e">
        <f t="shared" si="198"/>
        <v>#REF!</v>
      </c>
      <c r="X158" s="103" t="e">
        <f t="shared" si="198"/>
        <v>#REF!</v>
      </c>
      <c r="Y158" s="103" t="e">
        <f t="shared" si="198"/>
        <v>#REF!</v>
      </c>
      <c r="Z158" s="103" t="e">
        <f t="shared" si="198"/>
        <v>#REF!</v>
      </c>
      <c r="AA158" s="103" t="e">
        <f>WORKDAY(IF(Z159="",X158,Z159),INDEX(AA$2:AA$5,MATCH($I157,$I$2:$I$5,0)),$BB$10:$BB$141)</f>
        <v>#REF!</v>
      </c>
      <c r="AB158" s="104" t="e">
        <f>WORKDAY(AE157+#REF!,0,'[35]Equipment List and MR List (3)'!$A$2:$A$80)</f>
        <v>#REF!</v>
      </c>
      <c r="AC158" s="502"/>
      <c r="AD158" s="105"/>
      <c r="AE158" s="498"/>
      <c r="AF158" s="493"/>
      <c r="AG158" s="490"/>
      <c r="AH158" s="106"/>
      <c r="AI158" s="107"/>
      <c r="AJ158" s="487"/>
      <c r="AK158" s="108"/>
      <c r="AL158" s="109"/>
      <c r="AM158" s="92">
        <f t="shared" ref="AM158:AW158" si="199">IF(ISERROR(LOOKUP(AM$6,$S158:$AB158,$S$9:$AB$9)),0,(LOOKUP(AM$6,$S158:$AB158,$S$9:$AB$9)))</f>
        <v>0</v>
      </c>
      <c r="AN158" s="93">
        <f t="shared" si="199"/>
        <v>0</v>
      </c>
      <c r="AO158" s="93">
        <f t="shared" si="199"/>
        <v>0</v>
      </c>
      <c r="AP158" s="93">
        <f t="shared" si="199"/>
        <v>0</v>
      </c>
      <c r="AQ158" s="93">
        <f t="shared" si="199"/>
        <v>0</v>
      </c>
      <c r="AR158" s="93">
        <f t="shared" si="199"/>
        <v>0</v>
      </c>
      <c r="AS158" s="93">
        <f t="shared" si="199"/>
        <v>0</v>
      </c>
      <c r="AT158" s="93">
        <f t="shared" si="199"/>
        <v>0</v>
      </c>
      <c r="AU158" s="93">
        <f t="shared" si="199"/>
        <v>0</v>
      </c>
      <c r="AV158" s="93">
        <f t="shared" si="199"/>
        <v>0</v>
      </c>
      <c r="AW158" s="93">
        <f t="shared" ca="1" si="199"/>
        <v>0</v>
      </c>
      <c r="BB158" s="94" t="e">
        <v>#REF!</v>
      </c>
    </row>
    <row r="159" spans="1:54" s="20" customFormat="1" ht="18" customHeight="1">
      <c r="A159" s="515"/>
      <c r="B159" s="110"/>
      <c r="C159" s="509"/>
      <c r="D159" s="111" t="str">
        <f>D157</f>
        <v>PIP</v>
      </c>
      <c r="E159" s="112" t="str">
        <f>E157</f>
        <v>RFQ-050</v>
      </c>
      <c r="F159" s="113" t="str">
        <f>F157</f>
        <v>N</v>
      </c>
      <c r="G159" s="506"/>
      <c r="H159" s="113" t="str">
        <f>H157</f>
        <v>GLOBE VALVE (WELDED END)</v>
      </c>
      <c r="I159" s="112" t="str">
        <f>I157</f>
        <v>LC</v>
      </c>
      <c r="J159" s="113"/>
      <c r="K159" s="114"/>
      <c r="L159" s="114"/>
      <c r="M159" s="114">
        <v>5.0000000000000001E-4</v>
      </c>
      <c r="N159" s="112"/>
      <c r="O159" s="112"/>
      <c r="P159" s="112"/>
      <c r="Q159" s="115" t="s">
        <v>4861</v>
      </c>
      <c r="R159" s="115"/>
      <c r="S159" s="126"/>
      <c r="T159" s="126"/>
      <c r="U159" s="126"/>
      <c r="V159" s="126"/>
      <c r="W159" s="126"/>
      <c r="X159" s="126"/>
      <c r="Y159" s="126"/>
      <c r="Z159" s="126"/>
      <c r="AA159" s="126"/>
      <c r="AB159" s="126"/>
      <c r="AC159" s="503"/>
      <c r="AD159" s="116"/>
      <c r="AE159" s="498"/>
      <c r="AF159" s="494"/>
      <c r="AG159" s="491"/>
      <c r="AH159" s="117"/>
      <c r="AI159" s="118"/>
      <c r="AJ159" s="488"/>
      <c r="AK159" s="119"/>
      <c r="AL159" s="120"/>
      <c r="AM159" s="121">
        <f t="shared" ref="AM159:AW159" si="200">IF(ISERROR(LOOKUP(AM$6,$S159:$AB159,$S$9:$AB$9)),0,(LOOKUP(AM$6,$S159:$AB159,$S$9:$AB$9)))</f>
        <v>0</v>
      </c>
      <c r="AN159" s="122">
        <f t="shared" si="200"/>
        <v>0</v>
      </c>
      <c r="AO159" s="122">
        <f t="shared" si="200"/>
        <v>0</v>
      </c>
      <c r="AP159" s="122">
        <f t="shared" si="200"/>
        <v>0</v>
      </c>
      <c r="AQ159" s="122">
        <f t="shared" si="200"/>
        <v>0</v>
      </c>
      <c r="AR159" s="122">
        <f t="shared" si="200"/>
        <v>0</v>
      </c>
      <c r="AS159" s="122">
        <f t="shared" si="200"/>
        <v>0</v>
      </c>
      <c r="AT159" s="122">
        <f t="shared" si="200"/>
        <v>0</v>
      </c>
      <c r="AU159" s="122">
        <f t="shared" si="200"/>
        <v>0</v>
      </c>
      <c r="AV159" s="122">
        <f t="shared" si="200"/>
        <v>0</v>
      </c>
      <c r="AW159" s="122">
        <f t="shared" ca="1" si="200"/>
        <v>0</v>
      </c>
      <c r="BB159" s="94" t="e">
        <v>#REF!</v>
      </c>
    </row>
    <row r="160" spans="1:54" s="20" customFormat="1" ht="18" customHeight="1">
      <c r="A160" s="513">
        <f>A157+1</f>
        <v>51</v>
      </c>
      <c r="B160" s="79"/>
      <c r="C160" s="507" t="s">
        <v>4855</v>
      </c>
      <c r="D160" s="80" t="s">
        <v>4867</v>
      </c>
      <c r="E160" s="81" t="s">
        <v>4799</v>
      </c>
      <c r="F160" s="82" t="s">
        <v>75</v>
      </c>
      <c r="G160" s="504" t="s">
        <v>4914</v>
      </c>
      <c r="H160" s="82" t="s">
        <v>219</v>
      </c>
      <c r="I160" s="81" t="s">
        <v>8</v>
      </c>
      <c r="J160" s="82"/>
      <c r="K160" s="84">
        <f>M162</f>
        <v>1E-3</v>
      </c>
      <c r="L160" s="84"/>
      <c r="M160" s="84"/>
      <c r="N160" s="81"/>
      <c r="O160" s="81"/>
      <c r="P160" s="81"/>
      <c r="Q160" s="85" t="s">
        <v>4858</v>
      </c>
      <c r="R160" s="86">
        <f>'Before Award'!U167+5</f>
        <v>46269</v>
      </c>
      <c r="S160" s="86" t="e">
        <f>WORKDAY(R160,INDEX(S$2:S$5,MATCH($I160,$I$2:$I$5,0)),$BB$10:$BB$141)</f>
        <v>#REF!</v>
      </c>
      <c r="T160" s="86" t="e">
        <f>WORKDAY(S160,INDEX(T$2:T$5,MATCH($I160,$I$2:$I$5,0)),$BB$10:$BB$141)</f>
        <v>#REF!</v>
      </c>
      <c r="U160" s="86" t="e">
        <f>T160+30</f>
        <v>#REF!</v>
      </c>
      <c r="V160" s="86"/>
      <c r="W160" s="86">
        <f>AB160-35</f>
        <v>46412</v>
      </c>
      <c r="X160" s="86"/>
      <c r="Y160" s="86"/>
      <c r="Z160" s="86"/>
      <c r="AA160" s="86"/>
      <c r="AB160" s="86">
        <f>'Before Award'!X167</f>
        <v>46447</v>
      </c>
      <c r="AC160" s="501" t="s">
        <v>4859</v>
      </c>
      <c r="AD160" s="87">
        <v>7</v>
      </c>
      <c r="AE160" s="498">
        <v>183</v>
      </c>
      <c r="AF160" s="492" t="e">
        <f>AB161</f>
        <v>#REF!</v>
      </c>
      <c r="AG160" s="489">
        <f>WORKDAY(AH160+1,-1,$BA$10:$BA$141)</f>
        <v>46538</v>
      </c>
      <c r="AH160" s="88">
        <v>46538</v>
      </c>
      <c r="AI160" s="89"/>
      <c r="AJ160" s="486" t="e">
        <f>AG160-AF160</f>
        <v>#REF!</v>
      </c>
      <c r="AK160" s="90"/>
      <c r="AL160" s="91"/>
      <c r="AM160" s="92">
        <f t="shared" ref="AM160:AW160" si="201">IF(ISERROR(LOOKUP(AM$6,$S160:$AB160,$S$9:$AB$9)),0,(LOOKUP(AM$6,$S160:$AB160,$S$9:$AB$9)))</f>
        <v>0</v>
      </c>
      <c r="AN160" s="93">
        <f t="shared" si="201"/>
        <v>0</v>
      </c>
      <c r="AO160" s="93">
        <f t="shared" si="201"/>
        <v>0</v>
      </c>
      <c r="AP160" s="93">
        <f t="shared" si="201"/>
        <v>0</v>
      </c>
      <c r="AQ160" s="93">
        <f t="shared" si="201"/>
        <v>0</v>
      </c>
      <c r="AR160" s="93">
        <f t="shared" si="201"/>
        <v>0</v>
      </c>
      <c r="AS160" s="93">
        <f t="shared" si="201"/>
        <v>0</v>
      </c>
      <c r="AT160" s="93">
        <f t="shared" si="201"/>
        <v>0</v>
      </c>
      <c r="AU160" s="93">
        <f t="shared" si="201"/>
        <v>0</v>
      </c>
      <c r="AV160" s="93">
        <f t="shared" si="201"/>
        <v>0</v>
      </c>
      <c r="AW160" s="93">
        <f t="shared" ca="1" si="201"/>
        <v>0</v>
      </c>
      <c r="BB160" s="94" t="e">
        <v>#REF!</v>
      </c>
    </row>
    <row r="161" spans="1:54" s="20" customFormat="1" ht="18" customHeight="1">
      <c r="A161" s="514"/>
      <c r="B161" s="95"/>
      <c r="C161" s="508"/>
      <c r="D161" s="96" t="str">
        <f>D160</f>
        <v>PIP</v>
      </c>
      <c r="E161" s="97" t="str">
        <f>E160</f>
        <v>RFQ-051</v>
      </c>
      <c r="F161" s="98" t="str">
        <f>F160</f>
        <v>N</v>
      </c>
      <c r="G161" s="505"/>
      <c r="H161" s="98" t="str">
        <f>H160</f>
        <v>CHECK VALVE (FLANGE END)</v>
      </c>
      <c r="I161" s="97" t="str">
        <f>I160</f>
        <v>LC</v>
      </c>
      <c r="J161" s="98"/>
      <c r="K161" s="100"/>
      <c r="L161" s="100">
        <f>M162</f>
        <v>1E-3</v>
      </c>
      <c r="M161" s="100"/>
      <c r="N161" s="97"/>
      <c r="O161" s="97"/>
      <c r="P161" s="97"/>
      <c r="Q161" s="101" t="s">
        <v>4860</v>
      </c>
      <c r="R161" s="101"/>
      <c r="S161" s="102" t="e">
        <f>S160</f>
        <v>#REF!</v>
      </c>
      <c r="T161" s="103" t="e">
        <f>T160</f>
        <v>#REF!</v>
      </c>
      <c r="U161" s="103" t="e">
        <f t="shared" ref="U161:Z161" si="202">WORKDAY(IF(T162="",T161,T162),INDEX(U$2:U$5,MATCH($I160,$I$2:$I$5,0)),$BB$10:$BB$141)</f>
        <v>#REF!</v>
      </c>
      <c r="V161" s="103" t="e">
        <f t="shared" si="202"/>
        <v>#REF!</v>
      </c>
      <c r="W161" s="103" t="e">
        <f t="shared" si="202"/>
        <v>#REF!</v>
      </c>
      <c r="X161" s="103" t="e">
        <f t="shared" si="202"/>
        <v>#REF!</v>
      </c>
      <c r="Y161" s="103" t="e">
        <f t="shared" si="202"/>
        <v>#REF!</v>
      </c>
      <c r="Z161" s="103" t="e">
        <f t="shared" si="202"/>
        <v>#REF!</v>
      </c>
      <c r="AA161" s="103" t="e">
        <f>WORKDAY(IF(Z162="",X161,Z162),INDEX(AA$2:AA$5,MATCH($I160,$I$2:$I$5,0)),$BB$10:$BB$141)</f>
        <v>#REF!</v>
      </c>
      <c r="AB161" s="104" t="e">
        <f>WORKDAY(AE160+#REF!,0,'[35]Equipment List and MR List (3)'!$A$2:$A$80)</f>
        <v>#REF!</v>
      </c>
      <c r="AC161" s="502"/>
      <c r="AD161" s="105"/>
      <c r="AE161" s="498"/>
      <c r="AF161" s="493"/>
      <c r="AG161" s="490"/>
      <c r="AH161" s="106"/>
      <c r="AI161" s="107"/>
      <c r="AJ161" s="487"/>
      <c r="AK161" s="108"/>
      <c r="AL161" s="109"/>
      <c r="AM161" s="92">
        <f t="shared" ref="AM161:AW161" si="203">IF(ISERROR(LOOKUP(AM$6,$S161:$AB161,$S$9:$AB$9)),0,(LOOKUP(AM$6,$S161:$AB161,$S$9:$AB$9)))</f>
        <v>0</v>
      </c>
      <c r="AN161" s="93">
        <f t="shared" si="203"/>
        <v>0</v>
      </c>
      <c r="AO161" s="93">
        <f t="shared" si="203"/>
        <v>0</v>
      </c>
      <c r="AP161" s="93">
        <f t="shared" si="203"/>
        <v>0</v>
      </c>
      <c r="AQ161" s="93">
        <f t="shared" si="203"/>
        <v>0</v>
      </c>
      <c r="AR161" s="93">
        <f t="shared" si="203"/>
        <v>0</v>
      </c>
      <c r="AS161" s="93">
        <f t="shared" si="203"/>
        <v>0</v>
      </c>
      <c r="AT161" s="93">
        <f t="shared" si="203"/>
        <v>0</v>
      </c>
      <c r="AU161" s="93">
        <f t="shared" si="203"/>
        <v>0</v>
      </c>
      <c r="AV161" s="93">
        <f t="shared" si="203"/>
        <v>0</v>
      </c>
      <c r="AW161" s="93">
        <f t="shared" ca="1" si="203"/>
        <v>0</v>
      </c>
      <c r="BB161" s="94" t="e">
        <v>#REF!</v>
      </c>
    </row>
    <row r="162" spans="1:54" s="20" customFormat="1" ht="18" customHeight="1">
      <c r="A162" s="515"/>
      <c r="B162" s="110"/>
      <c r="C162" s="509"/>
      <c r="D162" s="111" t="str">
        <f>D160</f>
        <v>PIP</v>
      </c>
      <c r="E162" s="112" t="str">
        <f>E160</f>
        <v>RFQ-051</v>
      </c>
      <c r="F162" s="113" t="str">
        <f>F160</f>
        <v>N</v>
      </c>
      <c r="G162" s="506"/>
      <c r="H162" s="113" t="str">
        <f>H160</f>
        <v>CHECK VALVE (FLANGE END)</v>
      </c>
      <c r="I162" s="112" t="str">
        <f>I160</f>
        <v>LC</v>
      </c>
      <c r="J162" s="113"/>
      <c r="K162" s="114"/>
      <c r="L162" s="114"/>
      <c r="M162" s="114">
        <v>1E-3</v>
      </c>
      <c r="N162" s="112"/>
      <c r="O162" s="112"/>
      <c r="P162" s="112"/>
      <c r="Q162" s="115" t="s">
        <v>4861</v>
      </c>
      <c r="R162" s="115"/>
      <c r="S162" s="126"/>
      <c r="T162" s="126"/>
      <c r="U162" s="126"/>
      <c r="V162" s="126"/>
      <c r="W162" s="126"/>
      <c r="X162" s="126"/>
      <c r="Y162" s="126"/>
      <c r="Z162" s="126"/>
      <c r="AA162" s="126"/>
      <c r="AB162" s="126"/>
      <c r="AC162" s="503"/>
      <c r="AD162" s="116"/>
      <c r="AE162" s="498"/>
      <c r="AF162" s="494"/>
      <c r="AG162" s="491"/>
      <c r="AH162" s="117"/>
      <c r="AI162" s="118"/>
      <c r="AJ162" s="488"/>
      <c r="AK162" s="119"/>
      <c r="AL162" s="120"/>
      <c r="AM162" s="121">
        <f t="shared" ref="AM162:AW162" si="204">IF(ISERROR(LOOKUP(AM$6,$S162:$AB162,$S$9:$AB$9)),0,(LOOKUP(AM$6,$S162:$AB162,$S$9:$AB$9)))</f>
        <v>0</v>
      </c>
      <c r="AN162" s="122">
        <f t="shared" si="204"/>
        <v>0</v>
      </c>
      <c r="AO162" s="122">
        <f t="shared" si="204"/>
        <v>0</v>
      </c>
      <c r="AP162" s="122">
        <f t="shared" si="204"/>
        <v>0</v>
      </c>
      <c r="AQ162" s="122">
        <f t="shared" si="204"/>
        <v>0</v>
      </c>
      <c r="AR162" s="122">
        <f t="shared" si="204"/>
        <v>0</v>
      </c>
      <c r="AS162" s="122">
        <f t="shared" si="204"/>
        <v>0</v>
      </c>
      <c r="AT162" s="122">
        <f t="shared" si="204"/>
        <v>0</v>
      </c>
      <c r="AU162" s="122">
        <f t="shared" si="204"/>
        <v>0</v>
      </c>
      <c r="AV162" s="122">
        <f t="shared" si="204"/>
        <v>0</v>
      </c>
      <c r="AW162" s="122">
        <f t="shared" ca="1" si="204"/>
        <v>0</v>
      </c>
      <c r="BB162" s="94" t="e">
        <v>#REF!</v>
      </c>
    </row>
    <row r="163" spans="1:54" s="20" customFormat="1" ht="18" customHeight="1">
      <c r="A163" s="513">
        <f>A160+1</f>
        <v>52</v>
      </c>
      <c r="B163" s="79"/>
      <c r="C163" s="507" t="s">
        <v>4855</v>
      </c>
      <c r="D163" s="80" t="s">
        <v>4887</v>
      </c>
      <c r="E163" s="81" t="s">
        <v>4800</v>
      </c>
      <c r="F163" s="82" t="s">
        <v>75</v>
      </c>
      <c r="G163" s="504" t="s">
        <v>4914</v>
      </c>
      <c r="H163" s="82" t="s">
        <v>221</v>
      </c>
      <c r="I163" s="81" t="s">
        <v>8</v>
      </c>
      <c r="J163" s="82"/>
      <c r="K163" s="84">
        <f>M165</f>
        <v>1E-3</v>
      </c>
      <c r="L163" s="84"/>
      <c r="M163" s="84"/>
      <c r="N163" s="81"/>
      <c r="O163" s="81"/>
      <c r="P163" s="81"/>
      <c r="Q163" s="85" t="s">
        <v>4858</v>
      </c>
      <c r="R163" s="86">
        <f>'Before Award'!U170+5</f>
        <v>46269</v>
      </c>
      <c r="S163" s="86" t="e">
        <f>WORKDAY(R163,INDEX(S$2:S$5,MATCH($I163,$I$2:$I$5,0)),$BB$10:$BB$141)</f>
        <v>#REF!</v>
      </c>
      <c r="T163" s="86" t="e">
        <f>WORKDAY(S163,INDEX(T$2:T$5,MATCH($I163,$I$2:$I$5,0)),$BB$10:$BB$141)</f>
        <v>#REF!</v>
      </c>
      <c r="U163" s="86" t="e">
        <f>T163+30</f>
        <v>#REF!</v>
      </c>
      <c r="V163" s="86"/>
      <c r="W163" s="86">
        <f>AB163-35</f>
        <v>46412</v>
      </c>
      <c r="X163" s="86"/>
      <c r="Y163" s="86"/>
      <c r="Z163" s="86"/>
      <c r="AA163" s="86"/>
      <c r="AB163" s="86">
        <f>'Before Award'!X170</f>
        <v>46447</v>
      </c>
      <c r="AC163" s="501" t="s">
        <v>4859</v>
      </c>
      <c r="AD163" s="87">
        <v>7</v>
      </c>
      <c r="AE163" s="498">
        <v>183</v>
      </c>
      <c r="AF163" s="492" t="e">
        <f>AB164</f>
        <v>#REF!</v>
      </c>
      <c r="AG163" s="489">
        <f>WORKDAY(AH163+1,-1,$BA$10:$BA$141)</f>
        <v>46538</v>
      </c>
      <c r="AH163" s="88">
        <v>46538</v>
      </c>
      <c r="AI163" s="89"/>
      <c r="AJ163" s="486" t="e">
        <f>AG163-AF163</f>
        <v>#REF!</v>
      </c>
      <c r="AK163" s="90"/>
      <c r="AL163" s="91"/>
      <c r="AM163" s="92">
        <f t="shared" ref="AM163:AW163" si="205">IF(ISERROR(LOOKUP(AM$6,$S163:$AB163,$S$9:$AB$9)),0,(LOOKUP(AM$6,$S163:$AB163,$S$9:$AB$9)))</f>
        <v>0</v>
      </c>
      <c r="AN163" s="93">
        <f t="shared" si="205"/>
        <v>0</v>
      </c>
      <c r="AO163" s="93">
        <f t="shared" si="205"/>
        <v>0</v>
      </c>
      <c r="AP163" s="93">
        <f t="shared" si="205"/>
        <v>0</v>
      </c>
      <c r="AQ163" s="93">
        <f t="shared" si="205"/>
        <v>0</v>
      </c>
      <c r="AR163" s="93">
        <f t="shared" si="205"/>
        <v>0</v>
      </c>
      <c r="AS163" s="93">
        <f t="shared" si="205"/>
        <v>0</v>
      </c>
      <c r="AT163" s="93">
        <f t="shared" si="205"/>
        <v>0</v>
      </c>
      <c r="AU163" s="93">
        <f t="shared" si="205"/>
        <v>0</v>
      </c>
      <c r="AV163" s="93">
        <f t="shared" si="205"/>
        <v>0</v>
      </c>
      <c r="AW163" s="93">
        <f t="shared" ca="1" si="205"/>
        <v>0</v>
      </c>
      <c r="BB163" s="94" t="e">
        <v>#REF!</v>
      </c>
    </row>
    <row r="164" spans="1:54" s="20" customFormat="1" ht="18" customHeight="1">
      <c r="A164" s="514"/>
      <c r="B164" s="95"/>
      <c r="C164" s="508"/>
      <c r="D164" s="96" t="s">
        <v>4867</v>
      </c>
      <c r="E164" s="97" t="str">
        <f>E163</f>
        <v>RFQ-052</v>
      </c>
      <c r="F164" s="98" t="str">
        <f>F163</f>
        <v>N</v>
      </c>
      <c r="G164" s="505"/>
      <c r="H164" s="98" t="str">
        <f>H163</f>
        <v>CHECK VALVE (WELDED END)</v>
      </c>
      <c r="I164" s="97" t="str">
        <f>I163</f>
        <v>LC</v>
      </c>
      <c r="J164" s="98"/>
      <c r="K164" s="100"/>
      <c r="L164" s="100">
        <f>M165</f>
        <v>1E-3</v>
      </c>
      <c r="M164" s="100"/>
      <c r="N164" s="97"/>
      <c r="O164" s="97"/>
      <c r="P164" s="97"/>
      <c r="Q164" s="101" t="s">
        <v>4860</v>
      </c>
      <c r="R164" s="101"/>
      <c r="S164" s="102" t="e">
        <f>S163</f>
        <v>#REF!</v>
      </c>
      <c r="T164" s="103" t="e">
        <f>T163</f>
        <v>#REF!</v>
      </c>
      <c r="U164" s="103" t="e">
        <f t="shared" ref="U164:Z164" si="206">WORKDAY(IF(T165="",T164,T165),INDEX(U$2:U$5,MATCH($I163,$I$2:$I$5,0)),$BB$10:$BB$141)</f>
        <v>#REF!</v>
      </c>
      <c r="V164" s="103" t="e">
        <f t="shared" si="206"/>
        <v>#REF!</v>
      </c>
      <c r="W164" s="103" t="e">
        <f t="shared" si="206"/>
        <v>#REF!</v>
      </c>
      <c r="X164" s="103" t="e">
        <f t="shared" si="206"/>
        <v>#REF!</v>
      </c>
      <c r="Y164" s="103" t="e">
        <f t="shared" si="206"/>
        <v>#REF!</v>
      </c>
      <c r="Z164" s="103" t="e">
        <f t="shared" si="206"/>
        <v>#REF!</v>
      </c>
      <c r="AA164" s="103" t="e">
        <f>WORKDAY(IF(Z165="",X164,Z165),INDEX(AA$2:AA$5,MATCH($I163,$I$2:$I$5,0)),$BB$10:$BB$141)</f>
        <v>#REF!</v>
      </c>
      <c r="AB164" s="104" t="e">
        <f>WORKDAY(AE163+#REF!,0,'[35]Equipment List and MR List (3)'!$A$2:$A$80)</f>
        <v>#REF!</v>
      </c>
      <c r="AC164" s="502"/>
      <c r="AD164" s="105"/>
      <c r="AE164" s="498"/>
      <c r="AF164" s="493"/>
      <c r="AG164" s="490"/>
      <c r="AH164" s="106"/>
      <c r="AI164" s="107"/>
      <c r="AJ164" s="487"/>
      <c r="AK164" s="108"/>
      <c r="AL164" s="109"/>
      <c r="AM164" s="92">
        <f t="shared" ref="AM164:AW164" si="207">IF(ISERROR(LOOKUP(AM$6,$S164:$AB164,$S$9:$AB$9)),0,(LOOKUP(AM$6,$S164:$AB164,$S$9:$AB$9)))</f>
        <v>0</v>
      </c>
      <c r="AN164" s="93">
        <f t="shared" si="207"/>
        <v>0</v>
      </c>
      <c r="AO164" s="93">
        <f t="shared" si="207"/>
        <v>0</v>
      </c>
      <c r="AP164" s="93">
        <f t="shared" si="207"/>
        <v>0</v>
      </c>
      <c r="AQ164" s="93">
        <f t="shared" si="207"/>
        <v>0</v>
      </c>
      <c r="AR164" s="93">
        <f t="shared" si="207"/>
        <v>0</v>
      </c>
      <c r="AS164" s="93">
        <f t="shared" si="207"/>
        <v>0</v>
      </c>
      <c r="AT164" s="93">
        <f t="shared" si="207"/>
        <v>0</v>
      </c>
      <c r="AU164" s="93">
        <f t="shared" si="207"/>
        <v>0</v>
      </c>
      <c r="AV164" s="93">
        <f t="shared" si="207"/>
        <v>0</v>
      </c>
      <c r="AW164" s="93">
        <f t="shared" ca="1" si="207"/>
        <v>0</v>
      </c>
      <c r="BB164" s="94" t="e">
        <v>#REF!</v>
      </c>
    </row>
    <row r="165" spans="1:54" s="20" customFormat="1" ht="18" customHeight="1">
      <c r="A165" s="515"/>
      <c r="B165" s="110"/>
      <c r="C165" s="509"/>
      <c r="D165" s="111" t="str">
        <f>D163</f>
        <v>INS</v>
      </c>
      <c r="E165" s="112" t="str">
        <f>E163</f>
        <v>RFQ-052</v>
      </c>
      <c r="F165" s="113" t="str">
        <f>F163</f>
        <v>N</v>
      </c>
      <c r="G165" s="506"/>
      <c r="H165" s="113" t="str">
        <f>H163</f>
        <v>CHECK VALVE (WELDED END)</v>
      </c>
      <c r="I165" s="112" t="str">
        <f>I163</f>
        <v>LC</v>
      </c>
      <c r="J165" s="113"/>
      <c r="K165" s="114"/>
      <c r="L165" s="114"/>
      <c r="M165" s="114">
        <v>1E-3</v>
      </c>
      <c r="N165" s="112"/>
      <c r="O165" s="112"/>
      <c r="P165" s="112"/>
      <c r="Q165" s="115" t="s">
        <v>4861</v>
      </c>
      <c r="R165" s="115"/>
      <c r="S165" s="126"/>
      <c r="T165" s="126"/>
      <c r="U165" s="126"/>
      <c r="V165" s="126"/>
      <c r="W165" s="126"/>
      <c r="X165" s="126"/>
      <c r="Y165" s="126"/>
      <c r="Z165" s="126"/>
      <c r="AA165" s="126"/>
      <c r="AB165" s="126"/>
      <c r="AC165" s="503"/>
      <c r="AD165" s="116"/>
      <c r="AE165" s="498"/>
      <c r="AF165" s="494"/>
      <c r="AG165" s="491"/>
      <c r="AH165" s="117"/>
      <c r="AI165" s="118"/>
      <c r="AJ165" s="488"/>
      <c r="AK165" s="119"/>
      <c r="AL165" s="120"/>
      <c r="AM165" s="121">
        <f t="shared" ref="AM165:AW165" si="208">IF(ISERROR(LOOKUP(AM$6,$S165:$AB165,$S$9:$AB$9)),0,(LOOKUP(AM$6,$S165:$AB165,$S$9:$AB$9)))</f>
        <v>0</v>
      </c>
      <c r="AN165" s="122">
        <f t="shared" si="208"/>
        <v>0</v>
      </c>
      <c r="AO165" s="122">
        <f t="shared" si="208"/>
        <v>0</v>
      </c>
      <c r="AP165" s="122">
        <f t="shared" si="208"/>
        <v>0</v>
      </c>
      <c r="AQ165" s="122">
        <f t="shared" si="208"/>
        <v>0</v>
      </c>
      <c r="AR165" s="122">
        <f t="shared" si="208"/>
        <v>0</v>
      </c>
      <c r="AS165" s="122">
        <f t="shared" si="208"/>
        <v>0</v>
      </c>
      <c r="AT165" s="122">
        <f t="shared" si="208"/>
        <v>0</v>
      </c>
      <c r="AU165" s="122">
        <f t="shared" si="208"/>
        <v>0</v>
      </c>
      <c r="AV165" s="122">
        <f t="shared" si="208"/>
        <v>0</v>
      </c>
      <c r="AW165" s="122">
        <f t="shared" ca="1" si="208"/>
        <v>0</v>
      </c>
      <c r="BB165" s="94" t="e">
        <v>#REF!</v>
      </c>
    </row>
    <row r="166" spans="1:54" s="20" customFormat="1" ht="18" customHeight="1">
      <c r="A166" s="513">
        <f>A163+1</f>
        <v>53</v>
      </c>
      <c r="B166" s="79"/>
      <c r="C166" s="507" t="s">
        <v>4855</v>
      </c>
      <c r="D166" s="80" t="s">
        <v>4867</v>
      </c>
      <c r="E166" s="81" t="s">
        <v>4801</v>
      </c>
      <c r="F166" s="82" t="s">
        <v>75</v>
      </c>
      <c r="G166" s="504" t="s">
        <v>4914</v>
      </c>
      <c r="H166" s="82" t="s">
        <v>223</v>
      </c>
      <c r="I166" s="81" t="s">
        <v>7</v>
      </c>
      <c r="J166" s="82"/>
      <c r="K166" s="84">
        <f>M168</f>
        <v>1E-3</v>
      </c>
      <c r="L166" s="84"/>
      <c r="M166" s="84"/>
      <c r="N166" s="81"/>
      <c r="O166" s="81"/>
      <c r="P166" s="81"/>
      <c r="Q166" s="85" t="s">
        <v>4858</v>
      </c>
      <c r="R166" s="86">
        <f>'Before Award'!U173+5</f>
        <v>46242</v>
      </c>
      <c r="S166" s="86" t="e">
        <f>WORKDAY(R166,INDEX(S$2:S$5,MATCH($I166,$I$2:$I$5,0)),$BB$10:$BB$141)</f>
        <v>#REF!</v>
      </c>
      <c r="T166" s="86" t="e">
        <f>WORKDAY(S166,INDEX(T$2:T$5,MATCH($I166,$I$2:$I$5,0)),$BB$10:$BB$141)</f>
        <v>#REF!</v>
      </c>
      <c r="U166" s="86" t="e">
        <f>T166+30</f>
        <v>#REF!</v>
      </c>
      <c r="V166" s="86"/>
      <c r="W166" s="86">
        <f>AB166-35</f>
        <v>46412</v>
      </c>
      <c r="X166" s="86"/>
      <c r="Y166" s="86"/>
      <c r="Z166" s="86"/>
      <c r="AA166" s="86"/>
      <c r="AB166" s="86">
        <f>'Before Award'!X173</f>
        <v>46447</v>
      </c>
      <c r="AC166" s="501" t="s">
        <v>4859</v>
      </c>
      <c r="AD166" s="87">
        <v>7</v>
      </c>
      <c r="AE166" s="498">
        <v>183</v>
      </c>
      <c r="AF166" s="492" t="e">
        <f>AB167</f>
        <v>#REF!</v>
      </c>
      <c r="AG166" s="489">
        <f>WORKDAY(AH166+1,-1,$BA$10:$BA$141)</f>
        <v>46538</v>
      </c>
      <c r="AH166" s="88">
        <v>46538</v>
      </c>
      <c r="AI166" s="89"/>
      <c r="AJ166" s="486" t="e">
        <f>AG166-AF166</f>
        <v>#REF!</v>
      </c>
      <c r="AK166" s="90"/>
      <c r="AL166" s="91"/>
      <c r="AM166" s="92">
        <f t="shared" ref="AM166:AW166" si="209">IF(ISERROR(LOOKUP(AM$6,$S166:$AB166,$S$9:$AB$9)),0,(LOOKUP(AM$6,$S166:$AB166,$S$9:$AB$9)))</f>
        <v>0</v>
      </c>
      <c r="AN166" s="93">
        <f t="shared" si="209"/>
        <v>0</v>
      </c>
      <c r="AO166" s="93">
        <f t="shared" si="209"/>
        <v>0</v>
      </c>
      <c r="AP166" s="93">
        <f t="shared" si="209"/>
        <v>0</v>
      </c>
      <c r="AQ166" s="93">
        <f t="shared" si="209"/>
        <v>0</v>
      </c>
      <c r="AR166" s="93">
        <f t="shared" si="209"/>
        <v>0</v>
      </c>
      <c r="AS166" s="93">
        <f t="shared" si="209"/>
        <v>0</v>
      </c>
      <c r="AT166" s="93">
        <f t="shared" si="209"/>
        <v>0</v>
      </c>
      <c r="AU166" s="93">
        <f t="shared" si="209"/>
        <v>0</v>
      </c>
      <c r="AV166" s="93">
        <f t="shared" si="209"/>
        <v>0</v>
      </c>
      <c r="AW166" s="93">
        <f t="shared" ca="1" si="209"/>
        <v>0</v>
      </c>
      <c r="BB166" s="94" t="e">
        <v>#REF!</v>
      </c>
    </row>
    <row r="167" spans="1:54" s="20" customFormat="1" ht="18" customHeight="1">
      <c r="A167" s="514"/>
      <c r="B167" s="95"/>
      <c r="C167" s="508"/>
      <c r="D167" s="96" t="str">
        <f>D166</f>
        <v>PIP</v>
      </c>
      <c r="E167" s="97" t="str">
        <f>E166</f>
        <v>RFQ-053</v>
      </c>
      <c r="F167" s="98" t="str">
        <f>F166</f>
        <v>N</v>
      </c>
      <c r="G167" s="505"/>
      <c r="H167" s="98" t="str">
        <f>H166</f>
        <v>COMPACT CHECK VALVE (WELDED END)</v>
      </c>
      <c r="I167" s="97" t="str">
        <f>I166</f>
        <v>LB</v>
      </c>
      <c r="J167" s="98"/>
      <c r="K167" s="100"/>
      <c r="L167" s="100">
        <f>M168</f>
        <v>1E-3</v>
      </c>
      <c r="M167" s="100"/>
      <c r="N167" s="97"/>
      <c r="O167" s="97"/>
      <c r="P167" s="97"/>
      <c r="Q167" s="101" t="s">
        <v>4860</v>
      </c>
      <c r="R167" s="101"/>
      <c r="S167" s="102" t="e">
        <f>S166</f>
        <v>#REF!</v>
      </c>
      <c r="T167" s="103" t="e">
        <f>T166</f>
        <v>#REF!</v>
      </c>
      <c r="U167" s="103" t="e">
        <f t="shared" ref="U167:Z167" si="210">WORKDAY(IF(T168="",T167,T168),INDEX(U$2:U$5,MATCH($I166,$I$2:$I$5,0)),$BB$10:$BB$141)</f>
        <v>#REF!</v>
      </c>
      <c r="V167" s="103" t="e">
        <f t="shared" si="210"/>
        <v>#REF!</v>
      </c>
      <c r="W167" s="103" t="e">
        <f t="shared" si="210"/>
        <v>#REF!</v>
      </c>
      <c r="X167" s="103" t="e">
        <f t="shared" si="210"/>
        <v>#REF!</v>
      </c>
      <c r="Y167" s="103" t="e">
        <f t="shared" si="210"/>
        <v>#REF!</v>
      </c>
      <c r="Z167" s="103" t="e">
        <f t="shared" si="210"/>
        <v>#REF!</v>
      </c>
      <c r="AA167" s="103" t="e">
        <f>WORKDAY(IF(Z168="",X167,Z168),INDEX(AA$2:AA$5,MATCH($I166,$I$2:$I$5,0)),$BB$10:$BB$141)</f>
        <v>#REF!</v>
      </c>
      <c r="AB167" s="104" t="e">
        <f>WORKDAY(AE166+#REF!,0,'[35]Equipment List and MR List (3)'!$A$2:$A$80)</f>
        <v>#REF!</v>
      </c>
      <c r="AC167" s="502"/>
      <c r="AD167" s="105"/>
      <c r="AE167" s="498"/>
      <c r="AF167" s="493"/>
      <c r="AG167" s="490"/>
      <c r="AH167" s="106"/>
      <c r="AI167" s="107"/>
      <c r="AJ167" s="487"/>
      <c r="AK167" s="108"/>
      <c r="AL167" s="109"/>
      <c r="AM167" s="92">
        <f t="shared" ref="AM167:AW167" si="211">IF(ISERROR(LOOKUP(AM$6,$S167:$AB167,$S$9:$AB$9)),0,(LOOKUP(AM$6,$S167:$AB167,$S$9:$AB$9)))</f>
        <v>0</v>
      </c>
      <c r="AN167" s="93">
        <f t="shared" si="211"/>
        <v>0</v>
      </c>
      <c r="AO167" s="93">
        <f t="shared" si="211"/>
        <v>0</v>
      </c>
      <c r="AP167" s="93">
        <f t="shared" si="211"/>
        <v>0</v>
      </c>
      <c r="AQ167" s="93">
        <f t="shared" si="211"/>
        <v>0</v>
      </c>
      <c r="AR167" s="93">
        <f t="shared" si="211"/>
        <v>0</v>
      </c>
      <c r="AS167" s="93">
        <f t="shared" si="211"/>
        <v>0</v>
      </c>
      <c r="AT167" s="93">
        <f t="shared" si="211"/>
        <v>0</v>
      </c>
      <c r="AU167" s="93">
        <f t="shared" si="211"/>
        <v>0</v>
      </c>
      <c r="AV167" s="93">
        <f t="shared" si="211"/>
        <v>0</v>
      </c>
      <c r="AW167" s="93">
        <f t="shared" ca="1" si="211"/>
        <v>0</v>
      </c>
      <c r="BB167" s="94" t="e">
        <v>#REF!</v>
      </c>
    </row>
    <row r="168" spans="1:54" s="20" customFormat="1" ht="18" customHeight="1">
      <c r="A168" s="515"/>
      <c r="B168" s="110"/>
      <c r="C168" s="509"/>
      <c r="D168" s="111" t="str">
        <f>D166</f>
        <v>PIP</v>
      </c>
      <c r="E168" s="112" t="str">
        <f>E166</f>
        <v>RFQ-053</v>
      </c>
      <c r="F168" s="113" t="str">
        <f>F166</f>
        <v>N</v>
      </c>
      <c r="G168" s="506"/>
      <c r="H168" s="113" t="str">
        <f>H166</f>
        <v>COMPACT CHECK VALVE (WELDED END)</v>
      </c>
      <c r="I168" s="112" t="str">
        <f>I166</f>
        <v>LB</v>
      </c>
      <c r="J168" s="113"/>
      <c r="K168" s="114"/>
      <c r="L168" s="114"/>
      <c r="M168" s="114">
        <v>1E-3</v>
      </c>
      <c r="N168" s="112"/>
      <c r="O168" s="112"/>
      <c r="P168" s="112"/>
      <c r="Q168" s="115" t="s">
        <v>4861</v>
      </c>
      <c r="R168" s="115"/>
      <c r="S168" s="126"/>
      <c r="T168" s="126"/>
      <c r="U168" s="126"/>
      <c r="V168" s="126"/>
      <c r="W168" s="126"/>
      <c r="X168" s="126"/>
      <c r="Y168" s="126"/>
      <c r="Z168" s="126"/>
      <c r="AA168" s="126"/>
      <c r="AB168" s="126"/>
      <c r="AC168" s="503"/>
      <c r="AD168" s="116"/>
      <c r="AE168" s="498"/>
      <c r="AF168" s="494"/>
      <c r="AG168" s="491"/>
      <c r="AH168" s="117"/>
      <c r="AI168" s="118"/>
      <c r="AJ168" s="488"/>
      <c r="AK168" s="119"/>
      <c r="AL168" s="120"/>
      <c r="AM168" s="121">
        <f t="shared" ref="AM168:AW168" si="212">IF(ISERROR(LOOKUP(AM$6,$S168:$AB168,$S$9:$AB$9)),0,(LOOKUP(AM$6,$S168:$AB168,$S$9:$AB$9)))</f>
        <v>0</v>
      </c>
      <c r="AN168" s="122">
        <f t="shared" si="212"/>
        <v>0</v>
      </c>
      <c r="AO168" s="122">
        <f t="shared" si="212"/>
        <v>0</v>
      </c>
      <c r="AP168" s="122">
        <f t="shared" si="212"/>
        <v>0</v>
      </c>
      <c r="AQ168" s="122">
        <f t="shared" si="212"/>
        <v>0</v>
      </c>
      <c r="AR168" s="122">
        <f t="shared" si="212"/>
        <v>0</v>
      </c>
      <c r="AS168" s="122">
        <f t="shared" si="212"/>
        <v>0</v>
      </c>
      <c r="AT168" s="122">
        <f t="shared" si="212"/>
        <v>0</v>
      </c>
      <c r="AU168" s="122">
        <f t="shared" si="212"/>
        <v>0</v>
      </c>
      <c r="AV168" s="122">
        <f t="shared" si="212"/>
        <v>0</v>
      </c>
      <c r="AW168" s="122">
        <f t="shared" ca="1" si="212"/>
        <v>0</v>
      </c>
      <c r="BB168" s="94"/>
    </row>
    <row r="169" spans="1:54" s="20" customFormat="1" ht="18" customHeight="1">
      <c r="A169" s="513">
        <f>A166+1</f>
        <v>54</v>
      </c>
      <c r="B169" s="510" t="s">
        <v>4915</v>
      </c>
      <c r="C169" s="507" t="s">
        <v>4855</v>
      </c>
      <c r="D169" s="80" t="s">
        <v>4916</v>
      </c>
      <c r="E169" s="81" t="s">
        <v>4917</v>
      </c>
      <c r="F169" s="82" t="str">
        <f>IF(_xlfn.XLOOKUP(E169,'[35]Before Award'!D:D,'[35]Before Award'!AV:AV,"N/A")="N/A","N","Y")</f>
        <v>N</v>
      </c>
      <c r="G169" s="504"/>
      <c r="H169" s="123" t="s">
        <v>4802</v>
      </c>
      <c r="I169" s="81" t="s">
        <v>6</v>
      </c>
      <c r="J169" s="82"/>
      <c r="K169" s="84">
        <f>M171</f>
        <v>1E-3</v>
      </c>
      <c r="L169" s="84"/>
      <c r="M169" s="84"/>
      <c r="N169" s="81"/>
      <c r="O169" s="81"/>
      <c r="P169" s="81"/>
      <c r="Q169" s="85" t="s">
        <v>4858</v>
      </c>
      <c r="R169" s="86">
        <f>'Before Award'!U176+5</f>
        <v>46129</v>
      </c>
      <c r="S169" s="86" t="e">
        <f>WORKDAY(R169,INDEX(S$2:S$5,MATCH($I169,$I$2:$I$5,0)),$BB$10:$BB$141)</f>
        <v>#REF!</v>
      </c>
      <c r="T169" s="86" t="e">
        <f>WORKDAY(S169,INDEX(T$2:T$5,MATCH($I169,$I$2:$I$5,0)),$BB$10:$BB$141)</f>
        <v>#REF!</v>
      </c>
      <c r="U169" s="86" t="e">
        <f>T169+10</f>
        <v>#REF!</v>
      </c>
      <c r="V169" s="86"/>
      <c r="W169" s="86">
        <f>AB169-35</f>
        <v>46209</v>
      </c>
      <c r="X169" s="86"/>
      <c r="Y169" s="86"/>
      <c r="Z169" s="86"/>
      <c r="AA169" s="86"/>
      <c r="AB169" s="86">
        <f>'Before Award'!X176</f>
        <v>46244</v>
      </c>
      <c r="AC169" s="501" t="s">
        <v>4859</v>
      </c>
      <c r="AD169" s="87">
        <v>7</v>
      </c>
      <c r="AE169" s="499">
        <v>84</v>
      </c>
      <c r="AF169" s="492" t="e">
        <f>AB170</f>
        <v>#REF!</v>
      </c>
      <c r="AG169" s="489">
        <f>WORKDAY(AH169+1,-1,$BA$10:$BA$141)</f>
        <v>46244</v>
      </c>
      <c r="AH169" s="88">
        <v>46244</v>
      </c>
      <c r="AI169" s="89"/>
      <c r="AJ169" s="486" t="e">
        <f>AG169-AF169</f>
        <v>#REF!</v>
      </c>
      <c r="AK169" s="90"/>
      <c r="AL169" s="91"/>
      <c r="AM169" s="92">
        <f t="shared" ref="AM169:AW169" si="213">IF(ISERROR(LOOKUP(AM$6,$S169:$AB169,$S$9:$AB$9)),0,(LOOKUP(AM$6,$S169:$AB169,$S$9:$AB$9)))</f>
        <v>0</v>
      </c>
      <c r="AN169" s="93">
        <f t="shared" si="213"/>
        <v>0</v>
      </c>
      <c r="AO169" s="93">
        <f t="shared" si="213"/>
        <v>0</v>
      </c>
      <c r="AP169" s="93">
        <f t="shared" si="213"/>
        <v>0</v>
      </c>
      <c r="AQ169" s="93">
        <f t="shared" si="213"/>
        <v>0</v>
      </c>
      <c r="AR169" s="93">
        <f t="shared" si="213"/>
        <v>0</v>
      </c>
      <c r="AS169" s="93">
        <f t="shared" si="213"/>
        <v>0</v>
      </c>
      <c r="AT169" s="93">
        <f t="shared" si="213"/>
        <v>0</v>
      </c>
      <c r="AU169" s="93">
        <f t="shared" si="213"/>
        <v>0</v>
      </c>
      <c r="AV169" s="93">
        <f t="shared" si="213"/>
        <v>0</v>
      </c>
      <c r="AW169" s="93">
        <f t="shared" ca="1" si="213"/>
        <v>0.95</v>
      </c>
      <c r="BB169" s="94"/>
    </row>
    <row r="170" spans="1:54" s="20" customFormat="1" ht="18" customHeight="1">
      <c r="A170" s="514"/>
      <c r="B170" s="511"/>
      <c r="C170" s="508"/>
      <c r="D170" s="96" t="str">
        <f>D169</f>
        <v>STR</v>
      </c>
      <c r="E170" s="97" t="str">
        <f>E169</f>
        <v>RFQ-054</v>
      </c>
      <c r="F170" s="98" t="str">
        <f>F169</f>
        <v>N</v>
      </c>
      <c r="G170" s="505"/>
      <c r="H170" s="124" t="str">
        <f>H169</f>
        <v>Primary Steel - Plate</v>
      </c>
      <c r="I170" s="97" t="str">
        <f>I169</f>
        <v>LA</v>
      </c>
      <c r="J170" s="98"/>
      <c r="K170" s="100"/>
      <c r="L170" s="100">
        <f>M171</f>
        <v>1E-3</v>
      </c>
      <c r="M170" s="100"/>
      <c r="N170" s="97"/>
      <c r="O170" s="97"/>
      <c r="P170" s="97"/>
      <c r="Q170" s="101" t="s">
        <v>4860</v>
      </c>
      <c r="R170" s="101"/>
      <c r="S170" s="102" t="e">
        <f>S169</f>
        <v>#REF!</v>
      </c>
      <c r="T170" s="103" t="e">
        <f>T169</f>
        <v>#REF!</v>
      </c>
      <c r="U170" s="103" t="e">
        <f t="shared" ref="U170:Z170" si="214">WORKDAY(IF(T171="",T170,T171),INDEX(U$2:U$5,MATCH($I169,$I$2:$I$5,0)),$BB$10:$BB$141)</f>
        <v>#REF!</v>
      </c>
      <c r="V170" s="103" t="e">
        <f t="shared" si="214"/>
        <v>#REF!</v>
      </c>
      <c r="W170" s="103" t="e">
        <f t="shared" si="214"/>
        <v>#REF!</v>
      </c>
      <c r="X170" s="103" t="e">
        <f t="shared" si="214"/>
        <v>#REF!</v>
      </c>
      <c r="Y170" s="103" t="e">
        <f t="shared" si="214"/>
        <v>#REF!</v>
      </c>
      <c r="Z170" s="103" t="e">
        <f t="shared" si="214"/>
        <v>#REF!</v>
      </c>
      <c r="AA170" s="103" t="e">
        <f>WORKDAY(IF(Z171="",X170,Z171),INDEX(AA$2:AA$5,MATCH($I169,$I$2:$I$5,0)),$BB$10:$BB$141)</f>
        <v>#REF!</v>
      </c>
      <c r="AB170" s="104" t="e">
        <f>WORKDAY(AE169+#REF!,0,'[35]Equipment List and MR List (3)'!$A$2:$A$80)</f>
        <v>#REF!</v>
      </c>
      <c r="AC170" s="502"/>
      <c r="AD170" s="105"/>
      <c r="AE170" s="499"/>
      <c r="AF170" s="493"/>
      <c r="AG170" s="490"/>
      <c r="AH170" s="106"/>
      <c r="AI170" s="107"/>
      <c r="AJ170" s="487"/>
      <c r="AK170" s="108"/>
      <c r="AL170" s="109"/>
      <c r="AM170" s="92">
        <f t="shared" ref="AM170:AW170" si="215">IF(ISERROR(LOOKUP(AM$6,$S170:$AB170,$S$9:$AB$9)),0,(LOOKUP(AM$6,$S170:$AB170,$S$9:$AB$9)))</f>
        <v>0</v>
      </c>
      <c r="AN170" s="93">
        <f t="shared" si="215"/>
        <v>0</v>
      </c>
      <c r="AO170" s="93">
        <f t="shared" si="215"/>
        <v>0</v>
      </c>
      <c r="AP170" s="93">
        <f t="shared" si="215"/>
        <v>0</v>
      </c>
      <c r="AQ170" s="93">
        <f t="shared" si="215"/>
        <v>0</v>
      </c>
      <c r="AR170" s="93">
        <f t="shared" si="215"/>
        <v>0</v>
      </c>
      <c r="AS170" s="93">
        <f t="shared" si="215"/>
        <v>0</v>
      </c>
      <c r="AT170" s="93">
        <f t="shared" si="215"/>
        <v>0</v>
      </c>
      <c r="AU170" s="93">
        <f t="shared" si="215"/>
        <v>0</v>
      </c>
      <c r="AV170" s="93">
        <f t="shared" si="215"/>
        <v>0</v>
      </c>
      <c r="AW170" s="93">
        <f t="shared" ca="1" si="215"/>
        <v>0</v>
      </c>
      <c r="BB170" s="94"/>
    </row>
    <row r="171" spans="1:54" s="20" customFormat="1" ht="18" customHeight="1">
      <c r="A171" s="515"/>
      <c r="B171" s="512"/>
      <c r="C171" s="509"/>
      <c r="D171" s="111" t="str">
        <f>D169</f>
        <v>STR</v>
      </c>
      <c r="E171" s="112" t="str">
        <f>E169</f>
        <v>RFQ-054</v>
      </c>
      <c r="F171" s="113" t="str">
        <f>F169</f>
        <v>N</v>
      </c>
      <c r="G171" s="506"/>
      <c r="H171" s="124" t="str">
        <f>H169</f>
        <v>Primary Steel - Plate</v>
      </c>
      <c r="I171" s="112" t="str">
        <f>I169</f>
        <v>LA</v>
      </c>
      <c r="J171" s="113"/>
      <c r="K171" s="114"/>
      <c r="L171" s="114"/>
      <c r="M171" s="114">
        <v>1E-3</v>
      </c>
      <c r="N171" s="112"/>
      <c r="O171" s="112"/>
      <c r="P171" s="112"/>
      <c r="Q171" s="115" t="s">
        <v>4861</v>
      </c>
      <c r="R171" s="115"/>
      <c r="S171" s="126"/>
      <c r="T171" s="126"/>
      <c r="U171" s="126"/>
      <c r="V171" s="126"/>
      <c r="W171" s="126"/>
      <c r="X171" s="126"/>
      <c r="Y171" s="126"/>
      <c r="Z171" s="126"/>
      <c r="AA171" s="126"/>
      <c r="AB171" s="126"/>
      <c r="AC171" s="503"/>
      <c r="AD171" s="116"/>
      <c r="AE171" s="499"/>
      <c r="AF171" s="494"/>
      <c r="AG171" s="491"/>
      <c r="AH171" s="117"/>
      <c r="AI171" s="118"/>
      <c r="AJ171" s="488"/>
      <c r="AK171" s="119"/>
      <c r="AL171" s="120"/>
      <c r="AM171" s="121">
        <f t="shared" ref="AM171:AW171" si="216">IF(ISERROR(LOOKUP(AM$6,$S171:$AB171,$S$9:$AB$9)),0,(LOOKUP(AM$6,$S171:$AB171,$S$9:$AB$9)))</f>
        <v>0</v>
      </c>
      <c r="AN171" s="122">
        <f t="shared" si="216"/>
        <v>0</v>
      </c>
      <c r="AO171" s="122">
        <f t="shared" si="216"/>
        <v>0</v>
      </c>
      <c r="AP171" s="122">
        <f t="shared" si="216"/>
        <v>0</v>
      </c>
      <c r="AQ171" s="122">
        <f t="shared" si="216"/>
        <v>0</v>
      </c>
      <c r="AR171" s="122">
        <f t="shared" si="216"/>
        <v>0</v>
      </c>
      <c r="AS171" s="122">
        <f t="shared" si="216"/>
        <v>0</v>
      </c>
      <c r="AT171" s="122">
        <f t="shared" si="216"/>
        <v>0</v>
      </c>
      <c r="AU171" s="122">
        <f t="shared" si="216"/>
        <v>0</v>
      </c>
      <c r="AV171" s="122">
        <f t="shared" si="216"/>
        <v>0</v>
      </c>
      <c r="AW171" s="122">
        <f t="shared" ca="1" si="216"/>
        <v>0</v>
      </c>
      <c r="BB171" s="94"/>
    </row>
    <row r="172" spans="1:54" s="20" customFormat="1" ht="18" customHeight="1">
      <c r="A172" s="513">
        <f>A169+1</f>
        <v>55</v>
      </c>
      <c r="B172" s="510" t="s">
        <v>4915</v>
      </c>
      <c r="C172" s="507" t="s">
        <v>4855</v>
      </c>
      <c r="D172" s="80" t="s">
        <v>4916</v>
      </c>
      <c r="E172" s="81" t="s">
        <v>4917</v>
      </c>
      <c r="F172" s="82" t="str">
        <f>IF(_xlfn.XLOOKUP(E172,'[35]Before Award'!D:D,'[35]Before Award'!AV:AV,"N/A")="N/A","N","Y")</f>
        <v>N</v>
      </c>
      <c r="G172" s="504"/>
      <c r="H172" s="123" t="s">
        <v>4805</v>
      </c>
      <c r="I172" s="81" t="s">
        <v>6</v>
      </c>
      <c r="J172" s="82"/>
      <c r="K172" s="84">
        <f>M174</f>
        <v>1E-3</v>
      </c>
      <c r="L172" s="84"/>
      <c r="M172" s="84"/>
      <c r="N172" s="81"/>
      <c r="O172" s="81"/>
      <c r="P172" s="81"/>
      <c r="Q172" s="85" t="s">
        <v>4858</v>
      </c>
      <c r="R172" s="86">
        <f>'Before Award'!U179+5</f>
        <v>46129</v>
      </c>
      <c r="S172" s="86" t="e">
        <f>WORKDAY(R172,INDEX(S$2:S$5,MATCH($I172,$I$2:$I$5,0)),$BB$10:$BB$141)</f>
        <v>#REF!</v>
      </c>
      <c r="T172" s="86" t="e">
        <f>WORKDAY(S172,INDEX(T$2:T$5,MATCH($I172,$I$2:$I$5,0)),$BB$10:$BB$141)</f>
        <v>#REF!</v>
      </c>
      <c r="U172" s="86" t="e">
        <f>T172+10</f>
        <v>#REF!</v>
      </c>
      <c r="V172" s="86"/>
      <c r="W172" s="86">
        <f>AB172-35</f>
        <v>46209</v>
      </c>
      <c r="X172" s="86"/>
      <c r="Y172" s="86"/>
      <c r="Z172" s="86"/>
      <c r="AA172" s="86"/>
      <c r="AB172" s="86">
        <f>'Before Award'!X179</f>
        <v>46244</v>
      </c>
      <c r="AC172" s="501" t="s">
        <v>4859</v>
      </c>
      <c r="AD172" s="87">
        <v>7</v>
      </c>
      <c r="AE172" s="499">
        <f>19*7</f>
        <v>133</v>
      </c>
      <c r="AF172" s="492" t="e">
        <f>AB173</f>
        <v>#REF!</v>
      </c>
      <c r="AG172" s="489">
        <f>WORKDAY(AH172+1,-1,$BA$10:$BA$141)</f>
        <v>46244</v>
      </c>
      <c r="AH172" s="88">
        <v>46244</v>
      </c>
      <c r="AI172" s="89"/>
      <c r="AJ172" s="486" t="e">
        <f>AG172-AF172</f>
        <v>#REF!</v>
      </c>
      <c r="AK172" s="90"/>
      <c r="AL172" s="91"/>
      <c r="AM172" s="92">
        <f t="shared" ref="AM172:AW172" si="217">IF(ISERROR(LOOKUP(AM$6,$S172:$AB172,$S$9:$AB$9)),0,(LOOKUP(AM$6,$S172:$AB172,$S$9:$AB$9)))</f>
        <v>0</v>
      </c>
      <c r="AN172" s="93">
        <f t="shared" si="217"/>
        <v>0</v>
      </c>
      <c r="AO172" s="93">
        <f t="shared" si="217"/>
        <v>0</v>
      </c>
      <c r="AP172" s="93">
        <f t="shared" si="217"/>
        <v>0</v>
      </c>
      <c r="AQ172" s="93">
        <f t="shared" si="217"/>
        <v>0</v>
      </c>
      <c r="AR172" s="93">
        <f t="shared" si="217"/>
        <v>0</v>
      </c>
      <c r="AS172" s="93">
        <f t="shared" si="217"/>
        <v>0</v>
      </c>
      <c r="AT172" s="93">
        <f t="shared" si="217"/>
        <v>0</v>
      </c>
      <c r="AU172" s="93">
        <f t="shared" si="217"/>
        <v>0</v>
      </c>
      <c r="AV172" s="93">
        <f t="shared" si="217"/>
        <v>0</v>
      </c>
      <c r="AW172" s="93">
        <f t="shared" ca="1" si="217"/>
        <v>0.95</v>
      </c>
      <c r="BB172" s="94"/>
    </row>
    <row r="173" spans="1:54" s="20" customFormat="1" ht="18" customHeight="1">
      <c r="A173" s="514"/>
      <c r="B173" s="511"/>
      <c r="C173" s="508"/>
      <c r="D173" s="96" t="str">
        <f>D172</f>
        <v>STR</v>
      </c>
      <c r="E173" s="97" t="str">
        <f>E172</f>
        <v>RFQ-054</v>
      </c>
      <c r="F173" s="98" t="str">
        <f>F172</f>
        <v>N</v>
      </c>
      <c r="G173" s="505"/>
      <c r="H173" s="124" t="str">
        <f>H172</f>
        <v>Primary Steel - Beam</v>
      </c>
      <c r="I173" s="97" t="str">
        <f>I172</f>
        <v>LA</v>
      </c>
      <c r="J173" s="98"/>
      <c r="K173" s="100"/>
      <c r="L173" s="100">
        <f>M174</f>
        <v>1E-3</v>
      </c>
      <c r="M173" s="100"/>
      <c r="N173" s="97"/>
      <c r="O173" s="97"/>
      <c r="P173" s="97"/>
      <c r="Q173" s="101" t="s">
        <v>4860</v>
      </c>
      <c r="R173" s="101"/>
      <c r="S173" s="102" t="e">
        <f>S172</f>
        <v>#REF!</v>
      </c>
      <c r="T173" s="103" t="e">
        <f>T172</f>
        <v>#REF!</v>
      </c>
      <c r="U173" s="103" t="e">
        <f t="shared" ref="U173:Z173" si="218">WORKDAY(IF(T174="",T173,T174),INDEX(U$2:U$5,MATCH($I172,$I$2:$I$5,0)),$BB$10:$BB$141)</f>
        <v>#REF!</v>
      </c>
      <c r="V173" s="103" t="e">
        <f t="shared" si="218"/>
        <v>#REF!</v>
      </c>
      <c r="W173" s="103" t="e">
        <f t="shared" si="218"/>
        <v>#REF!</v>
      </c>
      <c r="X173" s="103" t="e">
        <f t="shared" si="218"/>
        <v>#REF!</v>
      </c>
      <c r="Y173" s="103" t="e">
        <f t="shared" si="218"/>
        <v>#REF!</v>
      </c>
      <c r="Z173" s="103" t="e">
        <f t="shared" si="218"/>
        <v>#REF!</v>
      </c>
      <c r="AA173" s="103" t="e">
        <f>WORKDAY(IF(Z174="",X173,Z174),INDEX(AA$2:AA$5,MATCH($I172,$I$2:$I$5,0)),$BB$10:$BB$141)</f>
        <v>#REF!</v>
      </c>
      <c r="AB173" s="104" t="e">
        <f>WORKDAY(AE172+#REF!,0,'[35]Equipment List and MR List (3)'!$A$2:$A$80)</f>
        <v>#REF!</v>
      </c>
      <c r="AC173" s="502"/>
      <c r="AD173" s="105"/>
      <c r="AE173" s="499"/>
      <c r="AF173" s="493"/>
      <c r="AG173" s="490"/>
      <c r="AH173" s="106"/>
      <c r="AI173" s="107"/>
      <c r="AJ173" s="487"/>
      <c r="AK173" s="108"/>
      <c r="AL173" s="109"/>
      <c r="AM173" s="92">
        <f t="shared" ref="AM173:AW173" si="219">IF(ISERROR(LOOKUP(AM$6,$S173:$AB173,$S$9:$AB$9)),0,(LOOKUP(AM$6,$S173:$AB173,$S$9:$AB$9)))</f>
        <v>0</v>
      </c>
      <c r="AN173" s="93">
        <f t="shared" si="219"/>
        <v>0</v>
      </c>
      <c r="AO173" s="93">
        <f t="shared" si="219"/>
        <v>0</v>
      </c>
      <c r="AP173" s="93">
        <f t="shared" si="219"/>
        <v>0</v>
      </c>
      <c r="AQ173" s="93">
        <f t="shared" si="219"/>
        <v>0</v>
      </c>
      <c r="AR173" s="93">
        <f t="shared" si="219"/>
        <v>0</v>
      </c>
      <c r="AS173" s="93">
        <f t="shared" si="219"/>
        <v>0</v>
      </c>
      <c r="AT173" s="93">
        <f t="shared" si="219"/>
        <v>0</v>
      </c>
      <c r="AU173" s="93">
        <f t="shared" si="219"/>
        <v>0</v>
      </c>
      <c r="AV173" s="93">
        <f t="shared" si="219"/>
        <v>0</v>
      </c>
      <c r="AW173" s="93">
        <f t="shared" ca="1" si="219"/>
        <v>0</v>
      </c>
      <c r="BB173" s="94"/>
    </row>
    <row r="174" spans="1:54" s="20" customFormat="1" ht="18" customHeight="1">
      <c r="A174" s="515"/>
      <c r="B174" s="512"/>
      <c r="C174" s="509"/>
      <c r="D174" s="111" t="str">
        <f>D172</f>
        <v>STR</v>
      </c>
      <c r="E174" s="112" t="str">
        <f>E172</f>
        <v>RFQ-054</v>
      </c>
      <c r="F174" s="113" t="str">
        <f>F172</f>
        <v>N</v>
      </c>
      <c r="G174" s="506"/>
      <c r="H174" s="124" t="str">
        <f>H172</f>
        <v>Primary Steel - Beam</v>
      </c>
      <c r="I174" s="112" t="str">
        <f>I172</f>
        <v>LA</v>
      </c>
      <c r="J174" s="113"/>
      <c r="K174" s="114"/>
      <c r="L174" s="114"/>
      <c r="M174" s="114">
        <v>1E-3</v>
      </c>
      <c r="N174" s="112"/>
      <c r="O174" s="112"/>
      <c r="P174" s="112"/>
      <c r="Q174" s="115" t="s">
        <v>4861</v>
      </c>
      <c r="R174" s="115"/>
      <c r="S174" s="126"/>
      <c r="T174" s="126"/>
      <c r="U174" s="126"/>
      <c r="V174" s="126"/>
      <c r="W174" s="126"/>
      <c r="X174" s="126"/>
      <c r="Y174" s="126"/>
      <c r="Z174" s="126"/>
      <c r="AA174" s="126"/>
      <c r="AB174" s="126"/>
      <c r="AC174" s="503"/>
      <c r="AD174" s="116"/>
      <c r="AE174" s="499"/>
      <c r="AF174" s="494"/>
      <c r="AG174" s="491"/>
      <c r="AH174" s="117"/>
      <c r="AI174" s="118"/>
      <c r="AJ174" s="488"/>
      <c r="AK174" s="119"/>
      <c r="AL174" s="120"/>
      <c r="AM174" s="121">
        <f t="shared" ref="AM174:AW174" si="220">IF(ISERROR(LOOKUP(AM$6,$S174:$AB174,$S$9:$AB$9)),0,(LOOKUP(AM$6,$S174:$AB174,$S$9:$AB$9)))</f>
        <v>0</v>
      </c>
      <c r="AN174" s="122">
        <f t="shared" si="220"/>
        <v>0</v>
      </c>
      <c r="AO174" s="122">
        <f t="shared" si="220"/>
        <v>0</v>
      </c>
      <c r="AP174" s="122">
        <f t="shared" si="220"/>
        <v>0</v>
      </c>
      <c r="AQ174" s="122">
        <f t="shared" si="220"/>
        <v>0</v>
      </c>
      <c r="AR174" s="122">
        <f t="shared" si="220"/>
        <v>0</v>
      </c>
      <c r="AS174" s="122">
        <f t="shared" si="220"/>
        <v>0</v>
      </c>
      <c r="AT174" s="122">
        <f t="shared" si="220"/>
        <v>0</v>
      </c>
      <c r="AU174" s="122">
        <f t="shared" si="220"/>
        <v>0</v>
      </c>
      <c r="AV174" s="122">
        <f t="shared" si="220"/>
        <v>0</v>
      </c>
      <c r="AW174" s="122">
        <f t="shared" ca="1" si="220"/>
        <v>0</v>
      </c>
      <c r="BB174" s="94"/>
    </row>
    <row r="175" spans="1:54" s="20" customFormat="1" ht="18" customHeight="1">
      <c r="A175" s="513">
        <f>A172+1</f>
        <v>56</v>
      </c>
      <c r="B175" s="510" t="s">
        <v>4915</v>
      </c>
      <c r="C175" s="507" t="s">
        <v>4855</v>
      </c>
      <c r="D175" s="80" t="s">
        <v>4916</v>
      </c>
      <c r="E175" s="81" t="s">
        <v>4917</v>
      </c>
      <c r="F175" s="82" t="str">
        <f>IF(_xlfn.XLOOKUP(E175,'[35]Before Award'!D:D,'[35]Before Award'!AV:AV,"N/A")="N/A","N","Y")</f>
        <v>N</v>
      </c>
      <c r="G175" s="504"/>
      <c r="H175" s="123" t="s">
        <v>4918</v>
      </c>
      <c r="I175" s="81" t="s">
        <v>6</v>
      </c>
      <c r="J175" s="82"/>
      <c r="K175" s="84">
        <f>M177</f>
        <v>1E-3</v>
      </c>
      <c r="L175" s="84"/>
      <c r="M175" s="84"/>
      <c r="N175" s="81"/>
      <c r="O175" s="81"/>
      <c r="P175" s="81"/>
      <c r="Q175" s="85" t="s">
        <v>4858</v>
      </c>
      <c r="R175" s="86">
        <f>'Before Award'!U182+5</f>
        <v>46147</v>
      </c>
      <c r="S175" s="86" t="e">
        <f>WORKDAY(R175,INDEX(S$2:S$5,MATCH($I175,$I$2:$I$5,0)),$BB$10:$BB$141)</f>
        <v>#REF!</v>
      </c>
      <c r="T175" s="86" t="e">
        <f>WORKDAY(S175,INDEX(T$2:T$5,MATCH($I175,$I$2:$I$5,0)),$BB$10:$BB$141)</f>
        <v>#REF!</v>
      </c>
      <c r="U175" s="86" t="e">
        <f>T175+10</f>
        <v>#REF!</v>
      </c>
      <c r="V175" s="86"/>
      <c r="W175" s="86">
        <f>AB175-35</f>
        <v>46240</v>
      </c>
      <c r="X175" s="86"/>
      <c r="Y175" s="86"/>
      <c r="Z175" s="86"/>
      <c r="AA175" s="86"/>
      <c r="AB175" s="86">
        <f>'Before Award'!X182</f>
        <v>46275</v>
      </c>
      <c r="AC175" s="501" t="s">
        <v>4859</v>
      </c>
      <c r="AD175" s="87">
        <v>7</v>
      </c>
      <c r="AE175" s="499">
        <f>24*8</f>
        <v>192</v>
      </c>
      <c r="AF175" s="492" t="e">
        <f>AB176</f>
        <v>#REF!</v>
      </c>
      <c r="AG175" s="489">
        <f>WORKDAY(AH175+1,-1,$BA$10:$BA$141)</f>
        <v>46244</v>
      </c>
      <c r="AH175" s="88">
        <v>46244</v>
      </c>
      <c r="AI175" s="89"/>
      <c r="AJ175" s="486" t="e">
        <f>AG175-AF175</f>
        <v>#REF!</v>
      </c>
      <c r="AK175" s="90"/>
      <c r="AL175" s="91"/>
      <c r="AM175" s="92">
        <f t="shared" ref="AM175:AW175" si="221">IF(ISERROR(LOOKUP(AM$6,$S175:$AB175,$S$9:$AB$9)),0,(LOOKUP(AM$6,$S175:$AB175,$S$9:$AB$9)))</f>
        <v>0</v>
      </c>
      <c r="AN175" s="93">
        <f t="shared" si="221"/>
        <v>0</v>
      </c>
      <c r="AO175" s="93">
        <f t="shared" si="221"/>
        <v>0</v>
      </c>
      <c r="AP175" s="93">
        <f t="shared" si="221"/>
        <v>0</v>
      </c>
      <c r="AQ175" s="93">
        <f t="shared" si="221"/>
        <v>0</v>
      </c>
      <c r="AR175" s="93">
        <f t="shared" si="221"/>
        <v>0</v>
      </c>
      <c r="AS175" s="93">
        <f t="shared" si="221"/>
        <v>0</v>
      </c>
      <c r="AT175" s="93">
        <f t="shared" si="221"/>
        <v>0</v>
      </c>
      <c r="AU175" s="93">
        <f t="shared" si="221"/>
        <v>0</v>
      </c>
      <c r="AV175" s="93">
        <f t="shared" si="221"/>
        <v>0</v>
      </c>
      <c r="AW175" s="93">
        <f t="shared" ca="1" si="221"/>
        <v>0</v>
      </c>
      <c r="BB175" s="94"/>
    </row>
    <row r="176" spans="1:54" s="20" customFormat="1" ht="18" customHeight="1">
      <c r="A176" s="514"/>
      <c r="B176" s="511"/>
      <c r="C176" s="508"/>
      <c r="D176" s="96" t="str">
        <f>D175</f>
        <v>STR</v>
      </c>
      <c r="E176" s="97" t="str">
        <f>E175</f>
        <v>RFQ-054</v>
      </c>
      <c r="F176" s="98" t="str">
        <f>F175</f>
        <v>N</v>
      </c>
      <c r="G176" s="505"/>
      <c r="H176" s="124" t="str">
        <f>H175</f>
        <v>Primary Steel - Seamless</v>
      </c>
      <c r="I176" s="97" t="str">
        <f>I175</f>
        <v>LA</v>
      </c>
      <c r="J176" s="98"/>
      <c r="K176" s="100"/>
      <c r="L176" s="100">
        <f>M177</f>
        <v>1E-3</v>
      </c>
      <c r="M176" s="100"/>
      <c r="N176" s="97"/>
      <c r="O176" s="97"/>
      <c r="P176" s="97"/>
      <c r="Q176" s="101" t="s">
        <v>4860</v>
      </c>
      <c r="R176" s="101"/>
      <c r="S176" s="102" t="e">
        <f>S175</f>
        <v>#REF!</v>
      </c>
      <c r="T176" s="103" t="e">
        <f>T175</f>
        <v>#REF!</v>
      </c>
      <c r="U176" s="103" t="e">
        <f t="shared" ref="U176:Z176" si="222">WORKDAY(IF(T177="",T176,T177),INDEX(U$2:U$5,MATCH($I175,$I$2:$I$5,0)),$BB$10:$BB$141)</f>
        <v>#REF!</v>
      </c>
      <c r="V176" s="103" t="e">
        <f t="shared" si="222"/>
        <v>#REF!</v>
      </c>
      <c r="W176" s="103" t="e">
        <f t="shared" si="222"/>
        <v>#REF!</v>
      </c>
      <c r="X176" s="103" t="e">
        <f t="shared" si="222"/>
        <v>#REF!</v>
      </c>
      <c r="Y176" s="103" t="e">
        <f t="shared" si="222"/>
        <v>#REF!</v>
      </c>
      <c r="Z176" s="103" t="e">
        <f t="shared" si="222"/>
        <v>#REF!</v>
      </c>
      <c r="AA176" s="103" t="e">
        <f>WORKDAY(IF(Z177="",X176,Z177),INDEX(AA$2:AA$5,MATCH($I175,$I$2:$I$5,0)),$BB$10:$BB$141)</f>
        <v>#REF!</v>
      </c>
      <c r="AB176" s="104" t="e">
        <f>WORKDAY(AE175+#REF!,0,'[35]Equipment List and MR List (3)'!$A$2:$A$80)</f>
        <v>#REF!</v>
      </c>
      <c r="AC176" s="502"/>
      <c r="AD176" s="105"/>
      <c r="AE176" s="499"/>
      <c r="AF176" s="493"/>
      <c r="AG176" s="490"/>
      <c r="AH176" s="106"/>
      <c r="AI176" s="107"/>
      <c r="AJ176" s="487"/>
      <c r="AK176" s="108"/>
      <c r="AL176" s="109"/>
      <c r="AM176" s="92">
        <f t="shared" ref="AM176:AW176" si="223">IF(ISERROR(LOOKUP(AM$6,$S176:$AB176,$S$9:$AB$9)),0,(LOOKUP(AM$6,$S176:$AB176,$S$9:$AB$9)))</f>
        <v>0</v>
      </c>
      <c r="AN176" s="93">
        <f t="shared" si="223"/>
        <v>0</v>
      </c>
      <c r="AO176" s="93">
        <f t="shared" si="223"/>
        <v>0</v>
      </c>
      <c r="AP176" s="93">
        <f t="shared" si="223"/>
        <v>0</v>
      </c>
      <c r="AQ176" s="93">
        <f t="shared" si="223"/>
        <v>0</v>
      </c>
      <c r="AR176" s="93">
        <f t="shared" si="223"/>
        <v>0</v>
      </c>
      <c r="AS176" s="93">
        <f t="shared" si="223"/>
        <v>0</v>
      </c>
      <c r="AT176" s="93">
        <f t="shared" si="223"/>
        <v>0</v>
      </c>
      <c r="AU176" s="93">
        <f t="shared" si="223"/>
        <v>0</v>
      </c>
      <c r="AV176" s="93">
        <f t="shared" si="223"/>
        <v>0</v>
      </c>
      <c r="AW176" s="93">
        <f t="shared" ca="1" si="223"/>
        <v>0</v>
      </c>
      <c r="BB176" s="94"/>
    </row>
    <row r="177" spans="1:54" s="20" customFormat="1" ht="18" customHeight="1">
      <c r="A177" s="515"/>
      <c r="B177" s="512"/>
      <c r="C177" s="509"/>
      <c r="D177" s="111" t="str">
        <f>D175</f>
        <v>STR</v>
      </c>
      <c r="E177" s="112" t="str">
        <f>E175</f>
        <v>RFQ-054</v>
      </c>
      <c r="F177" s="113" t="str">
        <f>F175</f>
        <v>N</v>
      </c>
      <c r="G177" s="506"/>
      <c r="H177" s="124" t="str">
        <f>H175</f>
        <v>Primary Steel - Seamless</v>
      </c>
      <c r="I177" s="112" t="str">
        <f>I175</f>
        <v>LA</v>
      </c>
      <c r="J177" s="113"/>
      <c r="K177" s="114"/>
      <c r="L177" s="114"/>
      <c r="M177" s="114">
        <v>1E-3</v>
      </c>
      <c r="N177" s="112"/>
      <c r="O177" s="112"/>
      <c r="P177" s="112"/>
      <c r="Q177" s="115" t="s">
        <v>4861</v>
      </c>
      <c r="R177" s="115"/>
      <c r="S177" s="126"/>
      <c r="T177" s="126"/>
      <c r="U177" s="126"/>
      <c r="V177" s="126"/>
      <c r="W177" s="126"/>
      <c r="X177" s="126"/>
      <c r="Y177" s="126"/>
      <c r="Z177" s="126"/>
      <c r="AA177" s="126"/>
      <c r="AB177" s="126"/>
      <c r="AC177" s="503"/>
      <c r="AD177" s="116"/>
      <c r="AE177" s="499"/>
      <c r="AF177" s="494"/>
      <c r="AG177" s="491"/>
      <c r="AH177" s="117"/>
      <c r="AI177" s="118"/>
      <c r="AJ177" s="488"/>
      <c r="AK177" s="119"/>
      <c r="AL177" s="120"/>
      <c r="AM177" s="121">
        <f t="shared" ref="AM177:AW177" si="224">IF(ISERROR(LOOKUP(AM$6,$S177:$AB177,$S$9:$AB$9)),0,(LOOKUP(AM$6,$S177:$AB177,$S$9:$AB$9)))</f>
        <v>0</v>
      </c>
      <c r="AN177" s="122">
        <f t="shared" si="224"/>
        <v>0</v>
      </c>
      <c r="AO177" s="122">
        <f t="shared" si="224"/>
        <v>0</v>
      </c>
      <c r="AP177" s="122">
        <f t="shared" si="224"/>
        <v>0</v>
      </c>
      <c r="AQ177" s="122">
        <f t="shared" si="224"/>
        <v>0</v>
      </c>
      <c r="AR177" s="122">
        <f t="shared" si="224"/>
        <v>0</v>
      </c>
      <c r="AS177" s="122">
        <f t="shared" si="224"/>
        <v>0</v>
      </c>
      <c r="AT177" s="122">
        <f t="shared" si="224"/>
        <v>0</v>
      </c>
      <c r="AU177" s="122">
        <f t="shared" si="224"/>
        <v>0</v>
      </c>
      <c r="AV177" s="122">
        <f t="shared" si="224"/>
        <v>0</v>
      </c>
      <c r="AW177" s="122">
        <f t="shared" ca="1" si="224"/>
        <v>0</v>
      </c>
      <c r="BB177" s="94"/>
    </row>
    <row r="178" spans="1:54" s="21" customFormat="1" ht="18" customHeight="1">
      <c r="A178" s="513">
        <f>A175+1</f>
        <v>57</v>
      </c>
      <c r="B178" s="510" t="s">
        <v>4915</v>
      </c>
      <c r="C178" s="507" t="s">
        <v>4855</v>
      </c>
      <c r="D178" s="80" t="s">
        <v>4882</v>
      </c>
      <c r="E178" s="127" t="s">
        <v>4917</v>
      </c>
      <c r="F178" s="128" t="s">
        <v>75</v>
      </c>
      <c r="G178" s="504"/>
      <c r="H178" s="123" t="s">
        <v>4919</v>
      </c>
      <c r="I178" s="81" t="s">
        <v>6</v>
      </c>
      <c r="J178" s="128"/>
      <c r="K178" s="129">
        <f>M180</f>
        <v>1E-3</v>
      </c>
      <c r="L178" s="129"/>
      <c r="M178" s="129"/>
      <c r="N178" s="127"/>
      <c r="O178" s="127"/>
      <c r="P178" s="127"/>
      <c r="Q178" s="130" t="s">
        <v>4858</v>
      </c>
      <c r="R178" s="86" t="e">
        <f>'Before Award'!#REF!+5</f>
        <v>#REF!</v>
      </c>
      <c r="S178" s="86" t="e">
        <f>WORKDAY(R178,INDEX(S$2:S$5,MATCH($I178,$I$2:$I$5,0)),$BB$10:$BB$141)</f>
        <v>#REF!</v>
      </c>
      <c r="T178" s="86" t="e">
        <f>WORKDAY(S178,INDEX(T$2:T$5,MATCH($I178,$I$2:$I$5,0)),$BB$10:$BB$141)</f>
        <v>#REF!</v>
      </c>
      <c r="U178" s="86" t="e">
        <f>T178+10</f>
        <v>#REF!</v>
      </c>
      <c r="V178" s="86"/>
      <c r="W178" s="86" t="e">
        <f>AB178-35</f>
        <v>#REF!</v>
      </c>
      <c r="X178" s="86"/>
      <c r="Y178" s="86"/>
      <c r="Z178" s="86"/>
      <c r="AA178" s="86"/>
      <c r="AB178" s="86" t="e">
        <f>'Before Award'!#REF!</f>
        <v>#REF!</v>
      </c>
      <c r="AC178" s="501" t="s">
        <v>4859</v>
      </c>
      <c r="AD178" s="87">
        <v>7</v>
      </c>
      <c r="AE178" s="499">
        <v>141</v>
      </c>
      <c r="AF178" s="492" t="e">
        <f>AB179</f>
        <v>#REF!</v>
      </c>
      <c r="AG178" s="489"/>
      <c r="AH178" s="88"/>
      <c r="AI178" s="89"/>
      <c r="AJ178" s="486" t="e">
        <f>AG178-AF178</f>
        <v>#REF!</v>
      </c>
      <c r="AK178" s="131"/>
      <c r="AL178" s="132"/>
      <c r="AM178" s="133">
        <f t="shared" ref="AM178:AW178" si="225">IF(ISERROR(LOOKUP(AM$6,$S178:$AB178,$S$9:$AB$9)),0,(LOOKUP(AM$6,$S178:$AB178,$S$9:$AB$9)))</f>
        <v>0</v>
      </c>
      <c r="AN178" s="134">
        <f t="shared" si="225"/>
        <v>0</v>
      </c>
      <c r="AO178" s="134">
        <f t="shared" si="225"/>
        <v>0</v>
      </c>
      <c r="AP178" s="134">
        <f t="shared" si="225"/>
        <v>0</v>
      </c>
      <c r="AQ178" s="134">
        <f t="shared" si="225"/>
        <v>0</v>
      </c>
      <c r="AR178" s="134">
        <f t="shared" si="225"/>
        <v>0</v>
      </c>
      <c r="AS178" s="134">
        <f t="shared" si="225"/>
        <v>0</v>
      </c>
      <c r="AT178" s="134">
        <f t="shared" si="225"/>
        <v>0</v>
      </c>
      <c r="AU178" s="134">
        <f t="shared" si="225"/>
        <v>0</v>
      </c>
      <c r="AV178" s="134">
        <f t="shared" si="225"/>
        <v>0</v>
      </c>
      <c r="AW178" s="134">
        <f t="shared" ca="1" si="225"/>
        <v>0</v>
      </c>
      <c r="BB178" s="135"/>
    </row>
    <row r="179" spans="1:54" s="21" customFormat="1" ht="18" customHeight="1">
      <c r="A179" s="514"/>
      <c r="B179" s="511"/>
      <c r="C179" s="508"/>
      <c r="D179" s="96" t="str">
        <f>D178</f>
        <v>ELE</v>
      </c>
      <c r="E179" s="136" t="str">
        <f>E178</f>
        <v>RFQ-054</v>
      </c>
      <c r="F179" s="137" t="str">
        <f>F178</f>
        <v>N</v>
      </c>
      <c r="G179" s="505"/>
      <c r="H179" s="124" t="str">
        <f>H178</f>
        <v>Primary Steel - Welding</v>
      </c>
      <c r="I179" s="97" t="str">
        <f>I178</f>
        <v>LA</v>
      </c>
      <c r="J179" s="137"/>
      <c r="K179" s="138"/>
      <c r="L179" s="138">
        <f>M180</f>
        <v>1E-3</v>
      </c>
      <c r="M179" s="138"/>
      <c r="N179" s="136"/>
      <c r="O179" s="136"/>
      <c r="P179" s="136"/>
      <c r="Q179" s="139" t="s">
        <v>4860</v>
      </c>
      <c r="R179" s="139"/>
      <c r="S179" s="140" t="e">
        <f>S178</f>
        <v>#REF!</v>
      </c>
      <c r="T179" s="141" t="e">
        <f>T178</f>
        <v>#REF!</v>
      </c>
      <c r="U179" s="141" t="e">
        <f>WORKDAY(IF(T180="",T179,T180),INDEX(U$2:U$5,MATCH($I178,$I$2:$I$5,0)),$BB$10:$BB$141)</f>
        <v>#REF!</v>
      </c>
      <c r="V179" s="141" t="e">
        <f>WORKDAY(IF(U180="",U179,U180),INDEX(V$2:V$5,MATCH($I178,$I$2:$I$5,0)),$BB$10:$BB$141)</f>
        <v>#REF!</v>
      </c>
      <c r="W179" s="141" t="e">
        <f>WORKDAY(IF(V180="",V179,V180),INDEX(W$2:W$5,MATCH($I178,$I$2:$I$5,0)),$BB$10:$BB$141)</f>
        <v>#REF!</v>
      </c>
      <c r="X179" s="141" t="e">
        <f>WORKDAY(IF(#REF!="",#REF!,#REF!),INDEX(X$2:X$5,MATCH($I178,$I$2:$I$5,0)),$BB$10:$BB$141)</f>
        <v>#REF!</v>
      </c>
      <c r="Y179" s="141" t="e">
        <f>WORKDAY(IF(X180="",X179,X180),INDEX(Y$2:Y$5,MATCH($I178,$I$2:$I$5,0)),$BB$10:$BB$141)</f>
        <v>#REF!</v>
      </c>
      <c r="Z179" s="141" t="e">
        <f>WORKDAY(IF(Y180="",Y179,Y180),INDEX(Z$2:Z$5,MATCH($I178,$I$2:$I$5,0)),$BB$10:$BB$141)</f>
        <v>#REF!</v>
      </c>
      <c r="AA179" s="141" t="e">
        <f>WORKDAY(IF(Z180="",Z179,Z180),INDEX(AA$2:AA$5,MATCH($I178,$I$2:$I$5,0)),$BB$10:$BB$141)</f>
        <v>#REF!</v>
      </c>
      <c r="AB179" s="142" t="e">
        <f>AE178+#REF!</f>
        <v>#REF!</v>
      </c>
      <c r="AC179" s="502"/>
      <c r="AD179" s="105"/>
      <c r="AE179" s="499"/>
      <c r="AF179" s="493"/>
      <c r="AG179" s="490"/>
      <c r="AH179" s="106"/>
      <c r="AI179" s="107"/>
      <c r="AJ179" s="487"/>
      <c r="AK179" s="143"/>
      <c r="AL179" s="144"/>
      <c r="AM179" s="133">
        <f t="shared" ref="AM179:AW179" si="226">IF(ISERROR(LOOKUP(AM$6,$S179:$AB179,$S$9:$AB$9)),0,(LOOKUP(AM$6,$S179:$AB179,$S$9:$AB$9)))</f>
        <v>0</v>
      </c>
      <c r="AN179" s="134">
        <f t="shared" si="226"/>
        <v>0</v>
      </c>
      <c r="AO179" s="134">
        <f t="shared" si="226"/>
        <v>0</v>
      </c>
      <c r="AP179" s="134">
        <f t="shared" si="226"/>
        <v>0</v>
      </c>
      <c r="AQ179" s="134">
        <f t="shared" si="226"/>
        <v>0</v>
      </c>
      <c r="AR179" s="134">
        <f t="shared" si="226"/>
        <v>0</v>
      </c>
      <c r="AS179" s="134">
        <f t="shared" si="226"/>
        <v>0</v>
      </c>
      <c r="AT179" s="134">
        <f t="shared" si="226"/>
        <v>0</v>
      </c>
      <c r="AU179" s="134">
        <f t="shared" si="226"/>
        <v>0</v>
      </c>
      <c r="AV179" s="134">
        <f t="shared" si="226"/>
        <v>0</v>
      </c>
      <c r="AW179" s="134">
        <f t="shared" ca="1" si="226"/>
        <v>0</v>
      </c>
      <c r="BB179" s="135"/>
    </row>
    <row r="180" spans="1:54" s="21" customFormat="1" ht="18" customHeight="1">
      <c r="A180" s="515"/>
      <c r="B180" s="512"/>
      <c r="C180" s="509"/>
      <c r="D180" s="111" t="str">
        <f>D178</f>
        <v>ELE</v>
      </c>
      <c r="E180" s="145" t="str">
        <f>E178</f>
        <v>RFQ-054</v>
      </c>
      <c r="F180" s="146" t="str">
        <f>F178</f>
        <v>N</v>
      </c>
      <c r="G180" s="506"/>
      <c r="H180" s="124" t="str">
        <f>H178</f>
        <v>Primary Steel - Welding</v>
      </c>
      <c r="I180" s="112" t="str">
        <f>I178</f>
        <v>LA</v>
      </c>
      <c r="J180" s="146"/>
      <c r="K180" s="147"/>
      <c r="L180" s="147"/>
      <c r="M180" s="147">
        <v>1E-3</v>
      </c>
      <c r="N180" s="145"/>
      <c r="O180" s="145"/>
      <c r="P180" s="145"/>
      <c r="Q180" s="148" t="s">
        <v>4861</v>
      </c>
      <c r="R180" s="148"/>
      <c r="S180" s="149"/>
      <c r="T180" s="149"/>
      <c r="U180" s="149"/>
      <c r="V180" s="149"/>
      <c r="W180" s="149"/>
      <c r="X180" s="149"/>
      <c r="Y180" s="149"/>
      <c r="Z180" s="149"/>
      <c r="AA180" s="149"/>
      <c r="AB180" s="149"/>
      <c r="AC180" s="503"/>
      <c r="AD180" s="116"/>
      <c r="AE180" s="499"/>
      <c r="AF180" s="494"/>
      <c r="AG180" s="491"/>
      <c r="AH180" s="117"/>
      <c r="AI180" s="118"/>
      <c r="AJ180" s="488"/>
      <c r="AK180" s="150"/>
      <c r="AL180" s="151"/>
      <c r="AM180" s="152">
        <f t="shared" ref="AM180:AW180" si="227">IF(ISERROR(LOOKUP(AM$6,$S180:$AB180,$S$9:$AB$9)),0,(LOOKUP(AM$6,$S180:$AB180,$S$9:$AB$9)))</f>
        <v>0</v>
      </c>
      <c r="AN180" s="153">
        <f t="shared" si="227"/>
        <v>0</v>
      </c>
      <c r="AO180" s="153">
        <f t="shared" si="227"/>
        <v>0</v>
      </c>
      <c r="AP180" s="153">
        <f t="shared" si="227"/>
        <v>0</v>
      </c>
      <c r="AQ180" s="153">
        <f t="shared" si="227"/>
        <v>0</v>
      </c>
      <c r="AR180" s="153">
        <f t="shared" si="227"/>
        <v>0</v>
      </c>
      <c r="AS180" s="153">
        <f t="shared" si="227"/>
        <v>0</v>
      </c>
      <c r="AT180" s="153">
        <f t="shared" si="227"/>
        <v>0</v>
      </c>
      <c r="AU180" s="153">
        <f t="shared" si="227"/>
        <v>0</v>
      </c>
      <c r="AV180" s="153">
        <f t="shared" si="227"/>
        <v>0</v>
      </c>
      <c r="AW180" s="153">
        <f t="shared" ca="1" si="227"/>
        <v>0</v>
      </c>
      <c r="BB180" s="135"/>
    </row>
    <row r="181" spans="1:54" s="21" customFormat="1" ht="18" customHeight="1">
      <c r="A181" s="513">
        <f>A178+1</f>
        <v>58</v>
      </c>
      <c r="B181" s="154" t="s">
        <v>4920</v>
      </c>
      <c r="C181" s="507" t="s">
        <v>4855</v>
      </c>
      <c r="D181" s="80" t="s">
        <v>4882</v>
      </c>
      <c r="E181" s="127" t="s">
        <v>4917</v>
      </c>
      <c r="F181" s="128" t="s">
        <v>75</v>
      </c>
      <c r="G181" s="504"/>
      <c r="H181" s="82" t="s">
        <v>4921</v>
      </c>
      <c r="I181" s="127" t="s">
        <v>9</v>
      </c>
      <c r="J181" s="128"/>
      <c r="K181" s="129">
        <f>M183</f>
        <v>1E-3</v>
      </c>
      <c r="L181" s="129"/>
      <c r="M181" s="129"/>
      <c r="N181" s="127"/>
      <c r="O181" s="127"/>
      <c r="P181" s="127"/>
      <c r="Q181" s="130" t="s">
        <v>4858</v>
      </c>
      <c r="R181" s="130"/>
      <c r="S181" s="155" t="e">
        <f>WORKDAY(T181,-INDEX(T$2:T$5,MATCH($I181,$I$2:$I$5,0)),'[35]Equipment List and MR List (3)'!$A$2:$A$80)</f>
        <v>#REF!</v>
      </c>
      <c r="T181" s="155" t="e">
        <f>WORKDAY(U181,-INDEX(U$2:U$5,MATCH($I181,$I$2:$I$5,0)),$BB$10:$BB$141)</f>
        <v>#REF!</v>
      </c>
      <c r="U181" s="155" t="e">
        <f>WORKDAY(V181,-INDEX(V$2:V$5,MATCH($I181,$I$2:$I$5,0)),$BB$10:$BB$141)</f>
        <v>#REF!</v>
      </c>
      <c r="V181" s="155" t="e">
        <f>WORKDAY(W181,-INDEX(W$2:W$5,MATCH($I181,$I$2:$I$5,0)),$BB$10:$BB$141)</f>
        <v>#REF!</v>
      </c>
      <c r="W181" s="155" t="e">
        <f>WORKDAY(#REF!,-INDEX(#REF!,MATCH($I181,$I$2:$I$5,0)),$BB$10:$BB$141)</f>
        <v>#REF!</v>
      </c>
      <c r="X181" s="155" t="e">
        <f>WORKDAY(Y181,-INDEX(Y$2:Y$5,MATCH($I181,$I$2:$I$5,0)),$BB$10:$BB$141)</f>
        <v>#REF!</v>
      </c>
      <c r="Y181" s="155" t="e">
        <f>WORKDAY(Z181,-INDEX(Z$2:Z$5,MATCH($I181,$I$2:$I$5,0)),$BB$10:$BB$141)</f>
        <v>#REF!</v>
      </c>
      <c r="Z181" s="155" t="e">
        <f>WORKDAY(AA181,-INDEX(AA$2:AA$5,MATCH($I181,$I$2:$I$5,0)),$BB$10:$BB$141)</f>
        <v>#REF!</v>
      </c>
      <c r="AA181" s="155" t="e">
        <f>WORKDAY(#REF!,-INDEX(#REF!,MATCH($I181,$I$2:$I$5,0)),$BB$10:$BB$141)</f>
        <v>#REF!</v>
      </c>
      <c r="AB181" s="155">
        <f>WORKDAY(AG181,0,'[35]Equipment List and MR List (3)'!$A$2:$A$80)</f>
        <v>0</v>
      </c>
      <c r="AC181" s="501" t="s">
        <v>4859</v>
      </c>
      <c r="AD181" s="87">
        <v>7</v>
      </c>
      <c r="AE181" s="495">
        <v>175</v>
      </c>
      <c r="AF181" s="492" t="e">
        <f>AB182</f>
        <v>#REF!</v>
      </c>
      <c r="AG181" s="489"/>
      <c r="AH181" s="88"/>
      <c r="AI181" s="89"/>
      <c r="AJ181" s="486" t="e">
        <f>AG181-AF181</f>
        <v>#REF!</v>
      </c>
      <c r="AK181" s="131"/>
      <c r="AL181" s="132"/>
      <c r="AM181" s="133">
        <f t="shared" ref="AM181:AW181" si="228">IF(ISERROR(LOOKUP(AM$6,$S181:$AB181,$S$9:$AB$9)),0,(LOOKUP(AM$6,$S181:$AB181,$S$9:$AB$9)))</f>
        <v>0.95</v>
      </c>
      <c r="AN181" s="134">
        <f t="shared" si="228"/>
        <v>0.95</v>
      </c>
      <c r="AO181" s="134">
        <f t="shared" si="228"/>
        <v>0.95</v>
      </c>
      <c r="AP181" s="134">
        <f t="shared" si="228"/>
        <v>0.95</v>
      </c>
      <c r="AQ181" s="134">
        <f t="shared" si="228"/>
        <v>0.95</v>
      </c>
      <c r="AR181" s="134">
        <f t="shared" si="228"/>
        <v>0.95</v>
      </c>
      <c r="AS181" s="134">
        <f t="shared" si="228"/>
        <v>0.95</v>
      </c>
      <c r="AT181" s="134">
        <f t="shared" si="228"/>
        <v>0.95</v>
      </c>
      <c r="AU181" s="134">
        <f t="shared" si="228"/>
        <v>0.95</v>
      </c>
      <c r="AV181" s="134">
        <f t="shared" si="228"/>
        <v>0.95</v>
      </c>
      <c r="AW181" s="134">
        <f t="shared" ca="1" si="228"/>
        <v>0.95</v>
      </c>
      <c r="BB181" s="135"/>
    </row>
    <row r="182" spans="1:54" s="21" customFormat="1" ht="18" customHeight="1">
      <c r="A182" s="514"/>
      <c r="B182" s="156"/>
      <c r="C182" s="508"/>
      <c r="D182" s="96" t="str">
        <f>D181</f>
        <v>ELE</v>
      </c>
      <c r="E182" s="136" t="str">
        <f>E181</f>
        <v>RFQ-054</v>
      </c>
      <c r="F182" s="137" t="str">
        <f>F181</f>
        <v>N</v>
      </c>
      <c r="G182" s="505"/>
      <c r="H182" s="98" t="str">
        <f>H181</f>
        <v>JUNCTION BOX AND RECEPTACLES</v>
      </c>
      <c r="I182" s="136" t="str">
        <f>I181</f>
        <v>LD</v>
      </c>
      <c r="J182" s="137"/>
      <c r="K182" s="138"/>
      <c r="L182" s="138">
        <f>M183</f>
        <v>1E-3</v>
      </c>
      <c r="M182" s="138"/>
      <c r="N182" s="136"/>
      <c r="O182" s="136"/>
      <c r="P182" s="136"/>
      <c r="Q182" s="139" t="s">
        <v>4860</v>
      </c>
      <c r="R182" s="139"/>
      <c r="S182" s="140" t="e">
        <f>S181</f>
        <v>#REF!</v>
      </c>
      <c r="T182" s="141" t="e">
        <f>T181</f>
        <v>#REF!</v>
      </c>
      <c r="U182" s="141" t="e">
        <f>WORKDAY(IF(T183="",T182,T183),INDEX(U$2:U$5,MATCH($I181,$I$2:$I$5,0)),$BB$10:$BB$141)</f>
        <v>#REF!</v>
      </c>
      <c r="V182" s="141" t="e">
        <f>WORKDAY(IF(U183="",U182,U183),INDEX(V$2:V$5,MATCH($I181,$I$2:$I$5,0)),$BB$10:$BB$141)</f>
        <v>#REF!</v>
      </c>
      <c r="W182" s="141" t="e">
        <f>WORKDAY(IF(V183="",V182,V183),INDEX(W$2:W$5,MATCH($I181,$I$2:$I$5,0)),$BB$10:$BB$141)</f>
        <v>#REF!</v>
      </c>
      <c r="X182" s="141" t="e">
        <f>WORKDAY(IF(#REF!="",#REF!,#REF!),INDEX(X$2:X$5,MATCH($I181,$I$2:$I$5,0)),$BB$10:$BB$141)</f>
        <v>#REF!</v>
      </c>
      <c r="Y182" s="141" t="e">
        <f>WORKDAY(IF(X183="",X182,X183),INDEX(Y$2:Y$5,MATCH($I181,$I$2:$I$5,0)),$BB$10:$BB$141)</f>
        <v>#REF!</v>
      </c>
      <c r="Z182" s="141" t="e">
        <f>WORKDAY(IF(Y183="",Y182,Y183),INDEX(Z$2:Z$5,MATCH($I181,$I$2:$I$5,0)),$BB$10:$BB$141)</f>
        <v>#REF!</v>
      </c>
      <c r="AA182" s="141" t="e">
        <f>WORKDAY(IF(Z183="",Z182,Z183),INDEX(AA$2:AA$5,MATCH($I181,$I$2:$I$5,0)),$BB$10:$BB$141)</f>
        <v>#REF!</v>
      </c>
      <c r="AB182" s="142" t="e">
        <f>AE181+#REF!</f>
        <v>#REF!</v>
      </c>
      <c r="AC182" s="502"/>
      <c r="AD182" s="105"/>
      <c r="AE182" s="496"/>
      <c r="AF182" s="493"/>
      <c r="AG182" s="490"/>
      <c r="AH182" s="106"/>
      <c r="AI182" s="107"/>
      <c r="AJ182" s="487"/>
      <c r="AK182" s="143"/>
      <c r="AL182" s="144"/>
      <c r="AM182" s="133">
        <f t="shared" ref="AM182:AW182" si="229">IF(ISERROR(LOOKUP(AM$6,$S182:$AB182,$S$9:$AB$9)),0,(LOOKUP(AM$6,$S182:$AB182,$S$9:$AB$9)))</f>
        <v>0</v>
      </c>
      <c r="AN182" s="134">
        <f t="shared" si="229"/>
        <v>0</v>
      </c>
      <c r="AO182" s="134">
        <f t="shared" si="229"/>
        <v>0</v>
      </c>
      <c r="AP182" s="134">
        <f t="shared" si="229"/>
        <v>0</v>
      </c>
      <c r="AQ182" s="134">
        <f t="shared" si="229"/>
        <v>0</v>
      </c>
      <c r="AR182" s="134">
        <f t="shared" si="229"/>
        <v>0</v>
      </c>
      <c r="AS182" s="134">
        <f t="shared" si="229"/>
        <v>0</v>
      </c>
      <c r="AT182" s="134">
        <f t="shared" si="229"/>
        <v>0</v>
      </c>
      <c r="AU182" s="134">
        <f t="shared" si="229"/>
        <v>0</v>
      </c>
      <c r="AV182" s="134">
        <f t="shared" si="229"/>
        <v>0</v>
      </c>
      <c r="AW182" s="134">
        <f t="shared" ca="1" si="229"/>
        <v>0</v>
      </c>
      <c r="BB182" s="135"/>
    </row>
    <row r="183" spans="1:54" s="21" customFormat="1" ht="18" customHeight="1">
      <c r="A183" s="515"/>
      <c r="B183" s="157"/>
      <c r="C183" s="509"/>
      <c r="D183" s="111" t="str">
        <f>D181</f>
        <v>ELE</v>
      </c>
      <c r="E183" s="145" t="str">
        <f>E181</f>
        <v>RFQ-054</v>
      </c>
      <c r="F183" s="146" t="str">
        <f>F181</f>
        <v>N</v>
      </c>
      <c r="G183" s="506"/>
      <c r="H183" s="113" t="str">
        <f>H181</f>
        <v>JUNCTION BOX AND RECEPTACLES</v>
      </c>
      <c r="I183" s="145" t="str">
        <f>I181</f>
        <v>LD</v>
      </c>
      <c r="J183" s="146"/>
      <c r="K183" s="147"/>
      <c r="L183" s="147"/>
      <c r="M183" s="147">
        <v>1E-3</v>
      </c>
      <c r="N183" s="145"/>
      <c r="O183" s="145"/>
      <c r="P183" s="145"/>
      <c r="Q183" s="148" t="s">
        <v>4861</v>
      </c>
      <c r="R183" s="148"/>
      <c r="S183" s="149"/>
      <c r="T183" s="149"/>
      <c r="U183" s="149"/>
      <c r="V183" s="149"/>
      <c r="W183" s="149"/>
      <c r="X183" s="149"/>
      <c r="Y183" s="149"/>
      <c r="Z183" s="149"/>
      <c r="AA183" s="149"/>
      <c r="AB183" s="149"/>
      <c r="AC183" s="503"/>
      <c r="AD183" s="116"/>
      <c r="AE183" s="497"/>
      <c r="AF183" s="494"/>
      <c r="AG183" s="491"/>
      <c r="AH183" s="117"/>
      <c r="AI183" s="118"/>
      <c r="AJ183" s="488"/>
      <c r="AK183" s="150"/>
      <c r="AL183" s="151"/>
      <c r="AM183" s="152">
        <f t="shared" ref="AM183:AW183" si="230">IF(ISERROR(LOOKUP(AM$6,$S183:$AB183,$S$9:$AB$9)),0,(LOOKUP(AM$6,$S183:$AB183,$S$9:$AB$9)))</f>
        <v>0</v>
      </c>
      <c r="AN183" s="153">
        <f t="shared" si="230"/>
        <v>0</v>
      </c>
      <c r="AO183" s="153">
        <f t="shared" si="230"/>
        <v>0</v>
      </c>
      <c r="AP183" s="153">
        <f t="shared" si="230"/>
        <v>0</v>
      </c>
      <c r="AQ183" s="153">
        <f t="shared" si="230"/>
        <v>0</v>
      </c>
      <c r="AR183" s="153">
        <f t="shared" si="230"/>
        <v>0</v>
      </c>
      <c r="AS183" s="153">
        <f t="shared" si="230"/>
        <v>0</v>
      </c>
      <c r="AT183" s="153">
        <f t="shared" si="230"/>
        <v>0</v>
      </c>
      <c r="AU183" s="153">
        <f t="shared" si="230"/>
        <v>0</v>
      </c>
      <c r="AV183" s="153">
        <f t="shared" si="230"/>
        <v>0</v>
      </c>
      <c r="AW183" s="153">
        <f t="shared" ca="1" si="230"/>
        <v>0</v>
      </c>
      <c r="BB183" s="135"/>
    </row>
    <row r="184" spans="1:54" s="21" customFormat="1" ht="18" customHeight="1">
      <c r="A184" s="513">
        <f>A181+1</f>
        <v>59</v>
      </c>
      <c r="B184" s="154" t="s">
        <v>4920</v>
      </c>
      <c r="C184" s="507" t="s">
        <v>4855</v>
      </c>
      <c r="D184" s="80" t="s">
        <v>4882</v>
      </c>
      <c r="E184" s="127" t="s">
        <v>4917</v>
      </c>
      <c r="F184" s="128" t="s">
        <v>75</v>
      </c>
      <c r="G184" s="504"/>
      <c r="H184" s="82" t="s">
        <v>4922</v>
      </c>
      <c r="I184" s="127" t="s">
        <v>9</v>
      </c>
      <c r="J184" s="128"/>
      <c r="K184" s="129">
        <f>M186</f>
        <v>1E-3</v>
      </c>
      <c r="L184" s="129"/>
      <c r="M184" s="129"/>
      <c r="N184" s="127"/>
      <c r="O184" s="127"/>
      <c r="P184" s="127"/>
      <c r="Q184" s="130" t="s">
        <v>4858</v>
      </c>
      <c r="R184" s="130"/>
      <c r="S184" s="155" t="e">
        <f>WORKDAY(T184,-INDEX(T$2:T$5,MATCH($I184,$I$2:$I$5,0)),'[35]Equipment List and MR List (3)'!$A$2:$A$80)</f>
        <v>#REF!</v>
      </c>
      <c r="T184" s="155" t="e">
        <f>WORKDAY(U184,-INDEX(U$2:U$5,MATCH($I184,$I$2:$I$5,0)),$BB$10:$BB$141)</f>
        <v>#REF!</v>
      </c>
      <c r="U184" s="155" t="e">
        <f>WORKDAY(V184,-INDEX(V$2:V$5,MATCH($I184,$I$2:$I$5,0)),$BB$10:$BB$141)</f>
        <v>#REF!</v>
      </c>
      <c r="V184" s="155" t="e">
        <f>WORKDAY(W184,-INDEX(W$2:W$5,MATCH($I184,$I$2:$I$5,0)),$BB$10:$BB$141)</f>
        <v>#REF!</v>
      </c>
      <c r="W184" s="155" t="e">
        <f>WORKDAY(#REF!,-INDEX(#REF!,MATCH($I184,$I$2:$I$5,0)),$BB$10:$BB$141)</f>
        <v>#REF!</v>
      </c>
      <c r="X184" s="155" t="e">
        <f>WORKDAY(Y184,-INDEX(Y$2:Y$5,MATCH($I184,$I$2:$I$5,0)),$BB$10:$BB$141)</f>
        <v>#REF!</v>
      </c>
      <c r="Y184" s="155" t="e">
        <f>WORKDAY(Z184,-INDEX(Z$2:Z$5,MATCH($I184,$I$2:$I$5,0)),$BB$10:$BB$141)</f>
        <v>#REF!</v>
      </c>
      <c r="Z184" s="155" t="e">
        <f>WORKDAY(AA184,-INDEX(AA$2:AA$5,MATCH($I184,$I$2:$I$5,0)),$BB$10:$BB$141)</f>
        <v>#REF!</v>
      </c>
      <c r="AA184" s="155" t="e">
        <f>WORKDAY(#REF!,-INDEX(#REF!,MATCH($I184,$I$2:$I$5,0)),$BB$10:$BB$141)</f>
        <v>#REF!</v>
      </c>
      <c r="AB184" s="155">
        <f>WORKDAY(AG184,0,'[35]Equipment List and MR List (3)'!$A$2:$A$80)</f>
        <v>0</v>
      </c>
      <c r="AC184" s="501" t="s">
        <v>4859</v>
      </c>
      <c r="AD184" s="87">
        <v>7</v>
      </c>
      <c r="AE184" s="495">
        <v>123</v>
      </c>
      <c r="AF184" s="492" t="e">
        <f>AB185</f>
        <v>#REF!</v>
      </c>
      <c r="AG184" s="489"/>
      <c r="AH184" s="88"/>
      <c r="AI184" s="89"/>
      <c r="AJ184" s="486" t="e">
        <f>AG184-AF184</f>
        <v>#REF!</v>
      </c>
      <c r="AK184" s="131"/>
      <c r="AL184" s="132"/>
      <c r="AM184" s="133">
        <f t="shared" ref="AM184:AW184" si="231">IF(ISERROR(LOOKUP(AM$6,$S184:$AB184,$S$9:$AB$9)),0,(LOOKUP(AM$6,$S184:$AB184,$S$9:$AB$9)))</f>
        <v>0.95</v>
      </c>
      <c r="AN184" s="134">
        <f t="shared" si="231"/>
        <v>0.95</v>
      </c>
      <c r="AO184" s="134">
        <f t="shared" si="231"/>
        <v>0.95</v>
      </c>
      <c r="AP184" s="134">
        <f t="shared" si="231"/>
        <v>0.95</v>
      </c>
      <c r="AQ184" s="134">
        <f t="shared" si="231"/>
        <v>0.95</v>
      </c>
      <c r="AR184" s="134">
        <f t="shared" si="231"/>
        <v>0.95</v>
      </c>
      <c r="AS184" s="134">
        <f t="shared" si="231"/>
        <v>0.95</v>
      </c>
      <c r="AT184" s="134">
        <f t="shared" si="231"/>
        <v>0.95</v>
      </c>
      <c r="AU184" s="134">
        <f t="shared" si="231"/>
        <v>0.95</v>
      </c>
      <c r="AV184" s="134">
        <f t="shared" si="231"/>
        <v>0.95</v>
      </c>
      <c r="AW184" s="134">
        <f t="shared" ca="1" si="231"/>
        <v>0.95</v>
      </c>
      <c r="BB184" s="135"/>
    </row>
    <row r="185" spans="1:54" s="21" customFormat="1" ht="18" customHeight="1">
      <c r="A185" s="514"/>
      <c r="B185" s="156"/>
      <c r="C185" s="508"/>
      <c r="D185" s="96" t="str">
        <f>D184</f>
        <v>ELE</v>
      </c>
      <c r="E185" s="136" t="str">
        <f>E184</f>
        <v>RFQ-054</v>
      </c>
      <c r="F185" s="137" t="str">
        <f>F184</f>
        <v>N</v>
      </c>
      <c r="G185" s="505"/>
      <c r="H185" s="98" t="str">
        <f>H184</f>
        <v>CABLE GLAND</v>
      </c>
      <c r="I185" s="136" t="str">
        <f>I184</f>
        <v>LD</v>
      </c>
      <c r="J185" s="137"/>
      <c r="K185" s="138"/>
      <c r="L185" s="138">
        <f>M186</f>
        <v>1E-3</v>
      </c>
      <c r="M185" s="138"/>
      <c r="N185" s="136"/>
      <c r="O185" s="136"/>
      <c r="P185" s="136"/>
      <c r="Q185" s="139" t="s">
        <v>4860</v>
      </c>
      <c r="R185" s="139"/>
      <c r="S185" s="140" t="e">
        <f>S184</f>
        <v>#REF!</v>
      </c>
      <c r="T185" s="141" t="e">
        <f>T184</f>
        <v>#REF!</v>
      </c>
      <c r="U185" s="141" t="e">
        <f>WORKDAY(IF(T186="",T185,T186),INDEX(U$2:U$5,MATCH($I184,$I$2:$I$5,0)),$BB$10:$BB$141)</f>
        <v>#REF!</v>
      </c>
      <c r="V185" s="141" t="e">
        <f>WORKDAY(IF(U186="",U185,U186),INDEX(V$2:V$5,MATCH($I184,$I$2:$I$5,0)),$BB$10:$BB$141)</f>
        <v>#REF!</v>
      </c>
      <c r="W185" s="141" t="e">
        <f>WORKDAY(IF(V186="",V185,V186),INDEX(W$2:W$5,MATCH($I184,$I$2:$I$5,0)),$BB$10:$BB$141)</f>
        <v>#REF!</v>
      </c>
      <c r="X185" s="141" t="e">
        <f>WORKDAY(IF(#REF!="",#REF!,#REF!),INDEX(X$2:X$5,MATCH($I184,$I$2:$I$5,0)),$BB$10:$BB$141)</f>
        <v>#REF!</v>
      </c>
      <c r="Y185" s="141" t="e">
        <f>WORKDAY(IF(X186="",X185,X186),INDEX(Y$2:Y$5,MATCH($I184,$I$2:$I$5,0)),$BB$10:$BB$141)</f>
        <v>#REF!</v>
      </c>
      <c r="Z185" s="141" t="e">
        <f>WORKDAY(IF(Y186="",Y185,Y186),INDEX(Z$2:Z$5,MATCH($I184,$I$2:$I$5,0)),$BB$10:$BB$141)</f>
        <v>#REF!</v>
      </c>
      <c r="AA185" s="141" t="e">
        <f>WORKDAY(IF(Z186="",Z185,Z186),INDEX(AA$2:AA$5,MATCH($I184,$I$2:$I$5,0)),$BB$10:$BB$141)</f>
        <v>#REF!</v>
      </c>
      <c r="AB185" s="142" t="e">
        <f>AE184+#REF!</f>
        <v>#REF!</v>
      </c>
      <c r="AC185" s="502"/>
      <c r="AD185" s="105"/>
      <c r="AE185" s="496"/>
      <c r="AF185" s="493"/>
      <c r="AG185" s="490"/>
      <c r="AH185" s="106"/>
      <c r="AI185" s="107"/>
      <c r="AJ185" s="487"/>
      <c r="AK185" s="143"/>
      <c r="AL185" s="144"/>
      <c r="AM185" s="133">
        <f t="shared" ref="AM185:AW185" si="232">IF(ISERROR(LOOKUP(AM$6,$S185:$AB185,$S$9:$AB$9)),0,(LOOKUP(AM$6,$S185:$AB185,$S$9:$AB$9)))</f>
        <v>0</v>
      </c>
      <c r="AN185" s="134">
        <f t="shared" si="232"/>
        <v>0</v>
      </c>
      <c r="AO185" s="134">
        <f t="shared" si="232"/>
        <v>0</v>
      </c>
      <c r="AP185" s="134">
        <f t="shared" si="232"/>
        <v>0</v>
      </c>
      <c r="AQ185" s="134">
        <f t="shared" si="232"/>
        <v>0</v>
      </c>
      <c r="AR185" s="134">
        <f t="shared" si="232"/>
        <v>0</v>
      </c>
      <c r="AS185" s="134">
        <f t="shared" si="232"/>
        <v>0</v>
      </c>
      <c r="AT185" s="134">
        <f t="shared" si="232"/>
        <v>0</v>
      </c>
      <c r="AU185" s="134">
        <f t="shared" si="232"/>
        <v>0</v>
      </c>
      <c r="AV185" s="134">
        <f t="shared" si="232"/>
        <v>0</v>
      </c>
      <c r="AW185" s="134">
        <f t="shared" ca="1" si="232"/>
        <v>0</v>
      </c>
      <c r="BB185" s="135"/>
    </row>
    <row r="186" spans="1:54" s="21" customFormat="1" ht="18" customHeight="1">
      <c r="A186" s="515"/>
      <c r="B186" s="157"/>
      <c r="C186" s="509"/>
      <c r="D186" s="111" t="str">
        <f>D184</f>
        <v>ELE</v>
      </c>
      <c r="E186" s="145" t="str">
        <f>E184</f>
        <v>RFQ-054</v>
      </c>
      <c r="F186" s="146" t="str">
        <f>F184</f>
        <v>N</v>
      </c>
      <c r="G186" s="506"/>
      <c r="H186" s="113" t="str">
        <f>H184</f>
        <v>CABLE GLAND</v>
      </c>
      <c r="I186" s="145" t="str">
        <f>I184</f>
        <v>LD</v>
      </c>
      <c r="J186" s="146"/>
      <c r="K186" s="147"/>
      <c r="L186" s="147"/>
      <c r="M186" s="147">
        <v>1E-3</v>
      </c>
      <c r="N186" s="145"/>
      <c r="O186" s="145"/>
      <c r="P186" s="145"/>
      <c r="Q186" s="148" t="s">
        <v>4861</v>
      </c>
      <c r="R186" s="148"/>
      <c r="S186" s="149"/>
      <c r="T186" s="149"/>
      <c r="U186" s="149"/>
      <c r="V186" s="149"/>
      <c r="W186" s="149"/>
      <c r="X186" s="149"/>
      <c r="Y186" s="149"/>
      <c r="Z186" s="149"/>
      <c r="AA186" s="149"/>
      <c r="AB186" s="149"/>
      <c r="AC186" s="503"/>
      <c r="AD186" s="116"/>
      <c r="AE186" s="497"/>
      <c r="AF186" s="494"/>
      <c r="AG186" s="491"/>
      <c r="AH186" s="117"/>
      <c r="AI186" s="118"/>
      <c r="AJ186" s="488"/>
      <c r="AK186" s="150"/>
      <c r="AL186" s="151"/>
      <c r="AM186" s="152">
        <f t="shared" ref="AM186:AW186" si="233">IF(ISERROR(LOOKUP(AM$6,$S186:$AB186,$S$9:$AB$9)),0,(LOOKUP(AM$6,$S186:$AB186,$S$9:$AB$9)))</f>
        <v>0</v>
      </c>
      <c r="AN186" s="153">
        <f t="shared" si="233"/>
        <v>0</v>
      </c>
      <c r="AO186" s="153">
        <f t="shared" si="233"/>
        <v>0</v>
      </c>
      <c r="AP186" s="153">
        <f t="shared" si="233"/>
        <v>0</v>
      </c>
      <c r="AQ186" s="153">
        <f t="shared" si="233"/>
        <v>0</v>
      </c>
      <c r="AR186" s="153">
        <f t="shared" si="233"/>
        <v>0</v>
      </c>
      <c r="AS186" s="153">
        <f t="shared" si="233"/>
        <v>0</v>
      </c>
      <c r="AT186" s="153">
        <f t="shared" si="233"/>
        <v>0</v>
      </c>
      <c r="AU186" s="153">
        <f t="shared" si="233"/>
        <v>0</v>
      </c>
      <c r="AV186" s="153">
        <f t="shared" si="233"/>
        <v>0</v>
      </c>
      <c r="AW186" s="153">
        <f t="shared" ca="1" si="233"/>
        <v>0</v>
      </c>
      <c r="BB186" s="135"/>
    </row>
    <row r="187" spans="1:54" s="21" customFormat="1" ht="18" customHeight="1">
      <c r="A187" s="513">
        <f>A184+1</f>
        <v>60</v>
      </c>
      <c r="B187" s="154" t="s">
        <v>4920</v>
      </c>
      <c r="C187" s="507" t="s">
        <v>4855</v>
      </c>
      <c r="D187" s="80" t="s">
        <v>4882</v>
      </c>
      <c r="E187" s="127" t="s">
        <v>4917</v>
      </c>
      <c r="F187" s="128" t="s">
        <v>75</v>
      </c>
      <c r="G187" s="504"/>
      <c r="H187" s="82" t="s">
        <v>4923</v>
      </c>
      <c r="I187" s="127" t="s">
        <v>9</v>
      </c>
      <c r="J187" s="128"/>
      <c r="K187" s="129">
        <f>M189</f>
        <v>1E-3</v>
      </c>
      <c r="L187" s="129"/>
      <c r="M187" s="129"/>
      <c r="N187" s="127"/>
      <c r="O187" s="127"/>
      <c r="P187" s="127"/>
      <c r="Q187" s="130" t="s">
        <v>4858</v>
      </c>
      <c r="R187" s="130"/>
      <c r="S187" s="155" t="e">
        <f>WORKDAY(T187,-INDEX(T$2:T$5,MATCH($I187,$I$2:$I$5,0)),'[35]Equipment List and MR List (3)'!$A$2:$A$80)</f>
        <v>#REF!</v>
      </c>
      <c r="T187" s="155" t="e">
        <f>WORKDAY(U187,-INDEX(U$2:U$5,MATCH($I187,$I$2:$I$5,0)),$BB$10:$BB$141)</f>
        <v>#REF!</v>
      </c>
      <c r="U187" s="155" t="e">
        <f>WORKDAY(V187,-INDEX(V$2:V$5,MATCH($I187,$I$2:$I$5,0)),$BB$10:$BB$141)</f>
        <v>#REF!</v>
      </c>
      <c r="V187" s="155" t="e">
        <f>WORKDAY(W187,-INDEX(W$2:W$5,MATCH($I187,$I$2:$I$5,0)),$BB$10:$BB$141)</f>
        <v>#REF!</v>
      </c>
      <c r="W187" s="155" t="e">
        <f>WORKDAY(#REF!,-INDEX(#REF!,MATCH($I187,$I$2:$I$5,0)),$BB$10:$BB$141)</f>
        <v>#REF!</v>
      </c>
      <c r="X187" s="155" t="e">
        <f>WORKDAY(Y187,-INDEX(Y$2:Y$5,MATCH($I187,$I$2:$I$5,0)),$BB$10:$BB$141)</f>
        <v>#REF!</v>
      </c>
      <c r="Y187" s="155" t="e">
        <f>WORKDAY(Z187,-INDEX(Z$2:Z$5,MATCH($I187,$I$2:$I$5,0)),$BB$10:$BB$141)</f>
        <v>#REF!</v>
      </c>
      <c r="Z187" s="155" t="e">
        <f>WORKDAY(AA187,-INDEX(AA$2:AA$5,MATCH($I187,$I$2:$I$5,0)),$BB$10:$BB$141)</f>
        <v>#REF!</v>
      </c>
      <c r="AA187" s="155" t="e">
        <f>WORKDAY(#REF!,-INDEX(#REF!,MATCH($I187,$I$2:$I$5,0)),$BB$10:$BB$141)</f>
        <v>#REF!</v>
      </c>
      <c r="AB187" s="155">
        <f>WORKDAY(AG187,0,'[35]Equipment List and MR List (3)'!$A$2:$A$80)</f>
        <v>0</v>
      </c>
      <c r="AC187" s="501" t="s">
        <v>4859</v>
      </c>
      <c r="AD187" s="87">
        <v>7</v>
      </c>
      <c r="AE187" s="495">
        <v>175</v>
      </c>
      <c r="AF187" s="492" t="e">
        <f>AB188</f>
        <v>#REF!</v>
      </c>
      <c r="AG187" s="489"/>
      <c r="AH187" s="88"/>
      <c r="AI187" s="89"/>
      <c r="AJ187" s="486" t="e">
        <f>AG187-AF187</f>
        <v>#REF!</v>
      </c>
      <c r="AK187" s="131"/>
      <c r="AL187" s="132"/>
      <c r="AM187" s="133">
        <f t="shared" ref="AM187:AW187" si="234">IF(ISERROR(LOOKUP(AM$6,$S187:$AB187,$S$9:$AB$9)),0,(LOOKUP(AM$6,$S187:$AB187,$S$9:$AB$9)))</f>
        <v>0.95</v>
      </c>
      <c r="AN187" s="134">
        <f t="shared" si="234"/>
        <v>0.95</v>
      </c>
      <c r="AO187" s="134">
        <f t="shared" si="234"/>
        <v>0.95</v>
      </c>
      <c r="AP187" s="134">
        <f t="shared" si="234"/>
        <v>0.95</v>
      </c>
      <c r="AQ187" s="134">
        <f t="shared" si="234"/>
        <v>0.95</v>
      </c>
      <c r="AR187" s="134">
        <f t="shared" si="234"/>
        <v>0.95</v>
      </c>
      <c r="AS187" s="134">
        <f t="shared" si="234"/>
        <v>0.95</v>
      </c>
      <c r="AT187" s="134">
        <f t="shared" si="234"/>
        <v>0.95</v>
      </c>
      <c r="AU187" s="134">
        <f t="shared" si="234"/>
        <v>0.95</v>
      </c>
      <c r="AV187" s="134">
        <f t="shared" si="234"/>
        <v>0.95</v>
      </c>
      <c r="AW187" s="134">
        <f t="shared" ca="1" si="234"/>
        <v>0.95</v>
      </c>
      <c r="BB187" s="135"/>
    </row>
    <row r="188" spans="1:54" s="21" customFormat="1" ht="18" customHeight="1">
      <c r="A188" s="514"/>
      <c r="B188" s="156"/>
      <c r="C188" s="508"/>
      <c r="D188" s="96" t="str">
        <f>D187</f>
        <v>ELE</v>
      </c>
      <c r="E188" s="136" t="str">
        <f>E187</f>
        <v>RFQ-054</v>
      </c>
      <c r="F188" s="137" t="str">
        <f>F187</f>
        <v>N</v>
      </c>
      <c r="G188" s="505"/>
      <c r="H188" s="98" t="str">
        <f>H187</f>
        <v>ELECTRICAL CABLE LADDER / TRAY</v>
      </c>
      <c r="I188" s="136" t="str">
        <f>I187</f>
        <v>LD</v>
      </c>
      <c r="J188" s="137"/>
      <c r="K188" s="138"/>
      <c r="L188" s="138">
        <f>M189</f>
        <v>1E-3</v>
      </c>
      <c r="M188" s="138"/>
      <c r="N188" s="136"/>
      <c r="O188" s="136"/>
      <c r="P188" s="136"/>
      <c r="Q188" s="139" t="s">
        <v>4860</v>
      </c>
      <c r="R188" s="139"/>
      <c r="S188" s="140" t="e">
        <f>S187</f>
        <v>#REF!</v>
      </c>
      <c r="T188" s="141" t="e">
        <f>T187</f>
        <v>#REF!</v>
      </c>
      <c r="U188" s="141" t="e">
        <f>WORKDAY(IF(T189="",T188,T189),INDEX(U$2:U$5,MATCH($I187,$I$2:$I$5,0)),$BB$10:$BB$141)</f>
        <v>#REF!</v>
      </c>
      <c r="V188" s="141" t="e">
        <f>WORKDAY(IF(U189="",U188,U189),INDEX(V$2:V$5,MATCH($I187,$I$2:$I$5,0)),$BB$10:$BB$141)</f>
        <v>#REF!</v>
      </c>
      <c r="W188" s="141" t="e">
        <f>WORKDAY(IF(V189="",V188,V189),INDEX(W$2:W$5,MATCH($I187,$I$2:$I$5,0)),$BB$10:$BB$141)</f>
        <v>#REF!</v>
      </c>
      <c r="X188" s="141" t="e">
        <f>WORKDAY(IF(#REF!="",#REF!,#REF!),INDEX(X$2:X$5,MATCH($I187,$I$2:$I$5,0)),$BB$10:$BB$141)</f>
        <v>#REF!</v>
      </c>
      <c r="Y188" s="141" t="e">
        <f>WORKDAY(IF(X189="",X188,X189),INDEX(Y$2:Y$5,MATCH($I187,$I$2:$I$5,0)),$BB$10:$BB$141)</f>
        <v>#REF!</v>
      </c>
      <c r="Z188" s="141" t="e">
        <f>WORKDAY(IF(Y189="",Y188,Y189),INDEX(Z$2:Z$5,MATCH($I187,$I$2:$I$5,0)),$BB$10:$BB$141)</f>
        <v>#REF!</v>
      </c>
      <c r="AA188" s="141" t="e">
        <f>WORKDAY(IF(Z189="",Z188,Z189),INDEX(AA$2:AA$5,MATCH($I187,$I$2:$I$5,0)),$BB$10:$BB$141)</f>
        <v>#REF!</v>
      </c>
      <c r="AB188" s="142" t="e">
        <f>AE187+#REF!</f>
        <v>#REF!</v>
      </c>
      <c r="AC188" s="502"/>
      <c r="AD188" s="105"/>
      <c r="AE188" s="496"/>
      <c r="AF188" s="493"/>
      <c r="AG188" s="490"/>
      <c r="AH188" s="106"/>
      <c r="AI188" s="107"/>
      <c r="AJ188" s="487"/>
      <c r="AK188" s="143"/>
      <c r="AL188" s="144"/>
      <c r="AM188" s="133">
        <f t="shared" ref="AM188:AW188" si="235">IF(ISERROR(LOOKUP(AM$6,$S188:$AB188,$S$9:$AB$9)),0,(LOOKUP(AM$6,$S188:$AB188,$S$9:$AB$9)))</f>
        <v>0</v>
      </c>
      <c r="AN188" s="134">
        <f t="shared" si="235"/>
        <v>0</v>
      </c>
      <c r="AO188" s="134">
        <f t="shared" si="235"/>
        <v>0</v>
      </c>
      <c r="AP188" s="134">
        <f t="shared" si="235"/>
        <v>0</v>
      </c>
      <c r="AQ188" s="134">
        <f t="shared" si="235"/>
        <v>0</v>
      </c>
      <c r="AR188" s="134">
        <f t="shared" si="235"/>
        <v>0</v>
      </c>
      <c r="AS188" s="134">
        <f t="shared" si="235"/>
        <v>0</v>
      </c>
      <c r="AT188" s="134">
        <f t="shared" si="235"/>
        <v>0</v>
      </c>
      <c r="AU188" s="134">
        <f t="shared" si="235"/>
        <v>0</v>
      </c>
      <c r="AV188" s="134">
        <f t="shared" si="235"/>
        <v>0</v>
      </c>
      <c r="AW188" s="134">
        <f t="shared" ca="1" si="235"/>
        <v>0</v>
      </c>
      <c r="BB188" s="135"/>
    </row>
    <row r="189" spans="1:54" s="21" customFormat="1" ht="18" customHeight="1">
      <c r="A189" s="515"/>
      <c r="B189" s="157"/>
      <c r="C189" s="509"/>
      <c r="D189" s="111" t="str">
        <f>D187</f>
        <v>ELE</v>
      </c>
      <c r="E189" s="145" t="str">
        <f>E187</f>
        <v>RFQ-054</v>
      </c>
      <c r="F189" s="146" t="str">
        <f>F187</f>
        <v>N</v>
      </c>
      <c r="G189" s="506"/>
      <c r="H189" s="113" t="str">
        <f>H187</f>
        <v>ELECTRICAL CABLE LADDER / TRAY</v>
      </c>
      <c r="I189" s="145" t="str">
        <f>I187</f>
        <v>LD</v>
      </c>
      <c r="J189" s="146"/>
      <c r="K189" s="147"/>
      <c r="L189" s="147"/>
      <c r="M189" s="147">
        <v>1E-3</v>
      </c>
      <c r="N189" s="145"/>
      <c r="O189" s="145"/>
      <c r="P189" s="145"/>
      <c r="Q189" s="148" t="s">
        <v>4861</v>
      </c>
      <c r="R189" s="148"/>
      <c r="S189" s="149"/>
      <c r="T189" s="149"/>
      <c r="U189" s="149"/>
      <c r="V189" s="149"/>
      <c r="W189" s="149"/>
      <c r="X189" s="149"/>
      <c r="Y189" s="149"/>
      <c r="Z189" s="149"/>
      <c r="AA189" s="149"/>
      <c r="AB189" s="149"/>
      <c r="AC189" s="503"/>
      <c r="AD189" s="116"/>
      <c r="AE189" s="497"/>
      <c r="AF189" s="494"/>
      <c r="AG189" s="491"/>
      <c r="AH189" s="117"/>
      <c r="AI189" s="118"/>
      <c r="AJ189" s="488"/>
      <c r="AK189" s="150"/>
      <c r="AL189" s="151"/>
      <c r="AM189" s="152">
        <f t="shared" ref="AM189:AW189" si="236">IF(ISERROR(LOOKUP(AM$6,$S189:$AB189,$S$9:$AB$9)),0,(LOOKUP(AM$6,$S189:$AB189,$S$9:$AB$9)))</f>
        <v>0</v>
      </c>
      <c r="AN189" s="153">
        <f t="shared" si="236"/>
        <v>0</v>
      </c>
      <c r="AO189" s="153">
        <f t="shared" si="236"/>
        <v>0</v>
      </c>
      <c r="AP189" s="153">
        <f t="shared" si="236"/>
        <v>0</v>
      </c>
      <c r="AQ189" s="153">
        <f t="shared" si="236"/>
        <v>0</v>
      </c>
      <c r="AR189" s="153">
        <f t="shared" si="236"/>
        <v>0</v>
      </c>
      <c r="AS189" s="153">
        <f t="shared" si="236"/>
        <v>0</v>
      </c>
      <c r="AT189" s="153">
        <f t="shared" si="236"/>
        <v>0</v>
      </c>
      <c r="AU189" s="153">
        <f t="shared" si="236"/>
        <v>0</v>
      </c>
      <c r="AV189" s="153">
        <f t="shared" si="236"/>
        <v>0</v>
      </c>
      <c r="AW189" s="153">
        <f t="shared" ca="1" si="236"/>
        <v>0</v>
      </c>
      <c r="BB189" s="135"/>
    </row>
    <row r="190" spans="1:54" s="21" customFormat="1" ht="18" customHeight="1">
      <c r="A190" s="513">
        <f>A187+1</f>
        <v>61</v>
      </c>
      <c r="B190" s="154" t="s">
        <v>4920</v>
      </c>
      <c r="C190" s="507" t="s">
        <v>4855</v>
      </c>
      <c r="D190" s="80" t="s">
        <v>4882</v>
      </c>
      <c r="E190" s="127" t="s">
        <v>4917</v>
      </c>
      <c r="F190" s="128" t="s">
        <v>75</v>
      </c>
      <c r="G190" s="504"/>
      <c r="H190" s="82" t="s">
        <v>4924</v>
      </c>
      <c r="I190" s="127" t="s">
        <v>9</v>
      </c>
      <c r="J190" s="128"/>
      <c r="K190" s="129">
        <f>M192</f>
        <v>1E-3</v>
      </c>
      <c r="L190" s="129"/>
      <c r="M190" s="129"/>
      <c r="N190" s="127"/>
      <c r="O190" s="127"/>
      <c r="P190" s="127"/>
      <c r="Q190" s="130" t="s">
        <v>4858</v>
      </c>
      <c r="R190" s="130"/>
      <c r="S190" s="155" t="e">
        <f>WORKDAY(T190,-INDEX(T$2:T$5,MATCH($I190,$I$2:$I$5,0)),'[35]Equipment List and MR List (3)'!$A$2:$A$80)</f>
        <v>#REF!</v>
      </c>
      <c r="T190" s="155" t="e">
        <f>WORKDAY(U190,-INDEX(U$2:U$5,MATCH($I190,$I$2:$I$5,0)),$BB$10:$BB$141)</f>
        <v>#REF!</v>
      </c>
      <c r="U190" s="155" t="e">
        <f>WORKDAY(V190,-INDEX(V$2:V$5,MATCH($I190,$I$2:$I$5,0)),$BB$10:$BB$141)</f>
        <v>#REF!</v>
      </c>
      <c r="V190" s="155" t="e">
        <f>WORKDAY(W190,-INDEX(W$2:W$5,MATCH($I190,$I$2:$I$5,0)),$BB$10:$BB$141)</f>
        <v>#REF!</v>
      </c>
      <c r="W190" s="155" t="e">
        <f>WORKDAY(#REF!,-INDEX(#REF!,MATCH($I190,$I$2:$I$5,0)),$BB$10:$BB$141)</f>
        <v>#REF!</v>
      </c>
      <c r="X190" s="155" t="e">
        <f>WORKDAY(Y190,-INDEX(Y$2:Y$5,MATCH($I190,$I$2:$I$5,0)),$BB$10:$BB$141)</f>
        <v>#REF!</v>
      </c>
      <c r="Y190" s="155" t="e">
        <f>WORKDAY(Z190,-INDEX(Z$2:Z$5,MATCH($I190,$I$2:$I$5,0)),$BB$10:$BB$141)</f>
        <v>#REF!</v>
      </c>
      <c r="Z190" s="155" t="e">
        <f>WORKDAY(AA190,-INDEX(AA$2:AA$5,MATCH($I190,$I$2:$I$5,0)),$BB$10:$BB$141)</f>
        <v>#REF!</v>
      </c>
      <c r="AA190" s="155" t="e">
        <f>WORKDAY(#REF!,-INDEX(#REF!,MATCH($I190,$I$2:$I$5,0)),$BB$10:$BB$141)</f>
        <v>#REF!</v>
      </c>
      <c r="AB190" s="155">
        <f>WORKDAY(AG190,0,'[35]Equipment List and MR List (3)'!$A$2:$A$80)</f>
        <v>0</v>
      </c>
      <c r="AC190" s="501" t="s">
        <v>4859</v>
      </c>
      <c r="AD190" s="87">
        <v>7</v>
      </c>
      <c r="AE190" s="495"/>
      <c r="AF190" s="492" t="e">
        <f>AB191</f>
        <v>#REF!</v>
      </c>
      <c r="AG190" s="489"/>
      <c r="AH190" s="88"/>
      <c r="AI190" s="89"/>
      <c r="AJ190" s="486" t="e">
        <f>AG190-AF190</f>
        <v>#REF!</v>
      </c>
      <c r="AK190" s="131"/>
      <c r="AL190" s="132"/>
      <c r="AM190" s="133">
        <f t="shared" ref="AM190:AW190" si="237">IF(ISERROR(LOOKUP(AM$6,$S190:$AB190,$S$9:$AB$9)),0,(LOOKUP(AM$6,$S190:$AB190,$S$9:$AB$9)))</f>
        <v>0.95</v>
      </c>
      <c r="AN190" s="134">
        <f t="shared" si="237"/>
        <v>0.95</v>
      </c>
      <c r="AO190" s="134">
        <f t="shared" si="237"/>
        <v>0.95</v>
      </c>
      <c r="AP190" s="134">
        <f t="shared" si="237"/>
        <v>0.95</v>
      </c>
      <c r="AQ190" s="134">
        <f t="shared" si="237"/>
        <v>0.95</v>
      </c>
      <c r="AR190" s="134">
        <f t="shared" si="237"/>
        <v>0.95</v>
      </c>
      <c r="AS190" s="134">
        <f t="shared" si="237"/>
        <v>0.95</v>
      </c>
      <c r="AT190" s="134">
        <f t="shared" si="237"/>
        <v>0.95</v>
      </c>
      <c r="AU190" s="134">
        <f t="shared" si="237"/>
        <v>0.95</v>
      </c>
      <c r="AV190" s="134">
        <f t="shared" si="237"/>
        <v>0.95</v>
      </c>
      <c r="AW190" s="134">
        <f t="shared" ca="1" si="237"/>
        <v>0.95</v>
      </c>
      <c r="BB190" s="135"/>
    </row>
    <row r="191" spans="1:54" s="21" customFormat="1" ht="18" customHeight="1">
      <c r="A191" s="514"/>
      <c r="B191" s="156"/>
      <c r="C191" s="508"/>
      <c r="D191" s="96" t="str">
        <f>D190</f>
        <v>ELE</v>
      </c>
      <c r="E191" s="136" t="str">
        <f>E190</f>
        <v>RFQ-054</v>
      </c>
      <c r="F191" s="137" t="str">
        <f>F190</f>
        <v>N</v>
      </c>
      <c r="G191" s="505"/>
      <c r="H191" s="98" t="str">
        <f>H190</f>
        <v>EARTHING SYSTEM</v>
      </c>
      <c r="I191" s="136" t="str">
        <f>I190</f>
        <v>LD</v>
      </c>
      <c r="J191" s="137"/>
      <c r="K191" s="138"/>
      <c r="L191" s="138">
        <f>M192</f>
        <v>1E-3</v>
      </c>
      <c r="M191" s="138"/>
      <c r="N191" s="136"/>
      <c r="O191" s="136"/>
      <c r="P191" s="136"/>
      <c r="Q191" s="139" t="s">
        <v>4860</v>
      </c>
      <c r="R191" s="139"/>
      <c r="S191" s="140" t="e">
        <f>S190</f>
        <v>#REF!</v>
      </c>
      <c r="T191" s="141" t="e">
        <f>T190</f>
        <v>#REF!</v>
      </c>
      <c r="U191" s="141" t="e">
        <f>WORKDAY(IF(T192="",T191,T192),INDEX(U$2:U$5,MATCH($I190,$I$2:$I$5,0)),$BB$10:$BB$141)</f>
        <v>#REF!</v>
      </c>
      <c r="V191" s="141" t="e">
        <f>WORKDAY(IF(U192="",U191,U192),INDEX(V$2:V$5,MATCH($I190,$I$2:$I$5,0)),$BB$10:$BB$141)</f>
        <v>#REF!</v>
      </c>
      <c r="W191" s="141" t="e">
        <f>WORKDAY(IF(V192="",V191,V192),INDEX(W$2:W$5,MATCH($I190,$I$2:$I$5,0)),$BB$10:$BB$141)</f>
        <v>#REF!</v>
      </c>
      <c r="X191" s="141" t="e">
        <f>WORKDAY(IF(#REF!="",#REF!,#REF!),INDEX(X$2:X$5,MATCH($I190,$I$2:$I$5,0)),$BB$10:$BB$141)</f>
        <v>#REF!</v>
      </c>
      <c r="Y191" s="141" t="e">
        <f>WORKDAY(IF(X192="",X191,X192),INDEX(Y$2:Y$5,MATCH($I190,$I$2:$I$5,0)),$BB$10:$BB$141)</f>
        <v>#REF!</v>
      </c>
      <c r="Z191" s="141" t="e">
        <f>WORKDAY(IF(Y192="",Y191,Y192),INDEX(Z$2:Z$5,MATCH($I190,$I$2:$I$5,0)),$BB$10:$BB$141)</f>
        <v>#REF!</v>
      </c>
      <c r="AA191" s="141" t="e">
        <f>WORKDAY(IF(Z192="",Z191,Z192),INDEX(AA$2:AA$5,MATCH($I190,$I$2:$I$5,0)),$BB$10:$BB$141)</f>
        <v>#REF!</v>
      </c>
      <c r="AB191" s="142" t="e">
        <f>AE190+#REF!</f>
        <v>#REF!</v>
      </c>
      <c r="AC191" s="502"/>
      <c r="AD191" s="105"/>
      <c r="AE191" s="496"/>
      <c r="AF191" s="493"/>
      <c r="AG191" s="490"/>
      <c r="AH191" s="106"/>
      <c r="AI191" s="107"/>
      <c r="AJ191" s="487"/>
      <c r="AK191" s="143"/>
      <c r="AL191" s="144"/>
      <c r="AM191" s="133">
        <f t="shared" ref="AM191:AW191" si="238">IF(ISERROR(LOOKUP(AM$6,$S191:$AB191,$S$9:$AB$9)),0,(LOOKUP(AM$6,$S191:$AB191,$S$9:$AB$9)))</f>
        <v>0</v>
      </c>
      <c r="AN191" s="134">
        <f t="shared" si="238"/>
        <v>0</v>
      </c>
      <c r="AO191" s="134">
        <f t="shared" si="238"/>
        <v>0</v>
      </c>
      <c r="AP191" s="134">
        <f t="shared" si="238"/>
        <v>0</v>
      </c>
      <c r="AQ191" s="134">
        <f t="shared" si="238"/>
        <v>0</v>
      </c>
      <c r="AR191" s="134">
        <f t="shared" si="238"/>
        <v>0</v>
      </c>
      <c r="AS191" s="134">
        <f t="shared" si="238"/>
        <v>0</v>
      </c>
      <c r="AT191" s="134">
        <f t="shared" si="238"/>
        <v>0</v>
      </c>
      <c r="AU191" s="134">
        <f t="shared" si="238"/>
        <v>0</v>
      </c>
      <c r="AV191" s="134">
        <f t="shared" si="238"/>
        <v>0</v>
      </c>
      <c r="AW191" s="134">
        <f t="shared" ca="1" si="238"/>
        <v>0</v>
      </c>
      <c r="BB191" s="135"/>
    </row>
    <row r="192" spans="1:54" s="21" customFormat="1" ht="18" customHeight="1">
      <c r="A192" s="515"/>
      <c r="B192" s="157"/>
      <c r="C192" s="509"/>
      <c r="D192" s="111" t="str">
        <f>D190</f>
        <v>ELE</v>
      </c>
      <c r="E192" s="145" t="str">
        <f>E190</f>
        <v>RFQ-054</v>
      </c>
      <c r="F192" s="146" t="str">
        <f>F190</f>
        <v>N</v>
      </c>
      <c r="G192" s="506"/>
      <c r="H192" s="113" t="str">
        <f>H190</f>
        <v>EARTHING SYSTEM</v>
      </c>
      <c r="I192" s="145" t="str">
        <f>I190</f>
        <v>LD</v>
      </c>
      <c r="J192" s="146"/>
      <c r="K192" s="147"/>
      <c r="L192" s="147"/>
      <c r="M192" s="147">
        <v>1E-3</v>
      </c>
      <c r="N192" s="145"/>
      <c r="O192" s="145"/>
      <c r="P192" s="145"/>
      <c r="Q192" s="148" t="s">
        <v>4861</v>
      </c>
      <c r="R192" s="148"/>
      <c r="S192" s="149"/>
      <c r="T192" s="149"/>
      <c r="U192" s="149"/>
      <c r="V192" s="149"/>
      <c r="W192" s="149"/>
      <c r="X192" s="149"/>
      <c r="Y192" s="149"/>
      <c r="Z192" s="149"/>
      <c r="AA192" s="149"/>
      <c r="AB192" s="149"/>
      <c r="AC192" s="503"/>
      <c r="AD192" s="116"/>
      <c r="AE192" s="497"/>
      <c r="AF192" s="494"/>
      <c r="AG192" s="491"/>
      <c r="AH192" s="117"/>
      <c r="AI192" s="118"/>
      <c r="AJ192" s="488"/>
      <c r="AK192" s="150"/>
      <c r="AL192" s="151"/>
      <c r="AM192" s="152">
        <f t="shared" ref="AM192:AW192" si="239">IF(ISERROR(LOOKUP(AM$6,$S192:$AB192,$S$9:$AB$9)),0,(LOOKUP(AM$6,$S192:$AB192,$S$9:$AB$9)))</f>
        <v>0</v>
      </c>
      <c r="AN192" s="153">
        <f t="shared" si="239"/>
        <v>0</v>
      </c>
      <c r="AO192" s="153">
        <f t="shared" si="239"/>
        <v>0</v>
      </c>
      <c r="AP192" s="153">
        <f t="shared" si="239"/>
        <v>0</v>
      </c>
      <c r="AQ192" s="153">
        <f t="shared" si="239"/>
        <v>0</v>
      </c>
      <c r="AR192" s="153">
        <f t="shared" si="239"/>
        <v>0</v>
      </c>
      <c r="AS192" s="153">
        <f t="shared" si="239"/>
        <v>0</v>
      </c>
      <c r="AT192" s="153">
        <f t="shared" si="239"/>
        <v>0</v>
      </c>
      <c r="AU192" s="153">
        <f t="shared" si="239"/>
        <v>0</v>
      </c>
      <c r="AV192" s="153">
        <f t="shared" si="239"/>
        <v>0</v>
      </c>
      <c r="AW192" s="153">
        <f t="shared" ca="1" si="239"/>
        <v>0</v>
      </c>
      <c r="BB192" s="135"/>
    </row>
    <row r="193" spans="1:54" s="21" customFormat="1" ht="18" customHeight="1">
      <c r="A193" s="513">
        <f>A190+1</f>
        <v>62</v>
      </c>
      <c r="B193" s="154" t="s">
        <v>4920</v>
      </c>
      <c r="C193" s="507" t="s">
        <v>4855</v>
      </c>
      <c r="D193" s="80" t="s">
        <v>4882</v>
      </c>
      <c r="E193" s="127" t="s">
        <v>4917</v>
      </c>
      <c r="F193" s="128" t="s">
        <v>75</v>
      </c>
      <c r="G193" s="504"/>
      <c r="H193" s="82" t="s">
        <v>4925</v>
      </c>
      <c r="I193" s="127" t="s">
        <v>9</v>
      </c>
      <c r="J193" s="128"/>
      <c r="K193" s="129">
        <f>M195</f>
        <v>1E-3</v>
      </c>
      <c r="L193" s="129"/>
      <c r="M193" s="129"/>
      <c r="N193" s="127"/>
      <c r="O193" s="127"/>
      <c r="P193" s="127"/>
      <c r="Q193" s="130" t="s">
        <v>4858</v>
      </c>
      <c r="R193" s="130"/>
      <c r="S193" s="155" t="e">
        <f>WORKDAY(T193,-INDEX(T$2:T$5,MATCH($I193,$I$2:$I$5,0)),'[35]Equipment List and MR List (3)'!$A$2:$A$80)</f>
        <v>#REF!</v>
      </c>
      <c r="T193" s="155" t="e">
        <f>WORKDAY(U193,-INDEX(U$2:U$5,MATCH($I193,$I$2:$I$5,0)),$BB$10:$BB$141)</f>
        <v>#REF!</v>
      </c>
      <c r="U193" s="155" t="e">
        <f>WORKDAY(V193,-INDEX(V$2:V$5,MATCH($I193,$I$2:$I$5,0)),$BB$10:$BB$141)</f>
        <v>#REF!</v>
      </c>
      <c r="V193" s="155" t="e">
        <f>WORKDAY(W193,-INDEX(W$2:W$5,MATCH($I193,$I$2:$I$5,0)),$BB$10:$BB$141)</f>
        <v>#REF!</v>
      </c>
      <c r="W193" s="155" t="e">
        <f>WORKDAY(#REF!,-INDEX(#REF!,MATCH($I193,$I$2:$I$5,0)),$BB$10:$BB$141)</f>
        <v>#REF!</v>
      </c>
      <c r="X193" s="155" t="e">
        <f>WORKDAY(Y193,-INDEX(Y$2:Y$5,MATCH($I193,$I$2:$I$5,0)),$BB$10:$BB$141)</f>
        <v>#REF!</v>
      </c>
      <c r="Y193" s="155" t="e">
        <f>WORKDAY(Z193,-INDEX(Z$2:Z$5,MATCH($I193,$I$2:$I$5,0)),$BB$10:$BB$141)</f>
        <v>#REF!</v>
      </c>
      <c r="Z193" s="155" t="e">
        <f>WORKDAY(AA193,-INDEX(AA$2:AA$5,MATCH($I193,$I$2:$I$5,0)),$BB$10:$BB$141)</f>
        <v>#REF!</v>
      </c>
      <c r="AA193" s="155" t="e">
        <f>WORKDAY(#REF!,-INDEX(#REF!,MATCH($I193,$I$2:$I$5,0)),$BB$10:$BB$141)</f>
        <v>#REF!</v>
      </c>
      <c r="AB193" s="155">
        <f>WORKDAY(AG193,0,'[35]Equipment List and MR List (3)'!$A$2:$A$80)</f>
        <v>0</v>
      </c>
      <c r="AC193" s="501" t="s">
        <v>4859</v>
      </c>
      <c r="AD193" s="87">
        <v>7</v>
      </c>
      <c r="AE193" s="495">
        <v>123</v>
      </c>
      <c r="AF193" s="492" t="e">
        <f>AB194</f>
        <v>#REF!</v>
      </c>
      <c r="AG193" s="489"/>
      <c r="AH193" s="88"/>
      <c r="AI193" s="89"/>
      <c r="AJ193" s="486" t="e">
        <f>AG193-AF193</f>
        <v>#REF!</v>
      </c>
      <c r="AK193" s="131"/>
      <c r="AL193" s="132"/>
      <c r="AM193" s="133">
        <f t="shared" ref="AM193:AW193" si="240">IF(ISERROR(LOOKUP(AM$6,$S193:$AB193,$S$9:$AB$9)),0,(LOOKUP(AM$6,$S193:$AB193,$S$9:$AB$9)))</f>
        <v>0.95</v>
      </c>
      <c r="AN193" s="134">
        <f t="shared" si="240"/>
        <v>0.95</v>
      </c>
      <c r="AO193" s="134">
        <f t="shared" si="240"/>
        <v>0.95</v>
      </c>
      <c r="AP193" s="134">
        <f t="shared" si="240"/>
        <v>0.95</v>
      </c>
      <c r="AQ193" s="134">
        <f t="shared" si="240"/>
        <v>0.95</v>
      </c>
      <c r="AR193" s="134">
        <f t="shared" si="240"/>
        <v>0.95</v>
      </c>
      <c r="AS193" s="134">
        <f t="shared" si="240"/>
        <v>0.95</v>
      </c>
      <c r="AT193" s="134">
        <f t="shared" si="240"/>
        <v>0.95</v>
      </c>
      <c r="AU193" s="134">
        <f t="shared" si="240"/>
        <v>0.95</v>
      </c>
      <c r="AV193" s="134">
        <f t="shared" si="240"/>
        <v>0.95</v>
      </c>
      <c r="AW193" s="134">
        <f t="shared" ca="1" si="240"/>
        <v>0.95</v>
      </c>
      <c r="BB193" s="135"/>
    </row>
    <row r="194" spans="1:54" s="21" customFormat="1" ht="18" customHeight="1">
      <c r="A194" s="514"/>
      <c r="B194" s="156"/>
      <c r="C194" s="508"/>
      <c r="D194" s="96" t="str">
        <f>D193</f>
        <v>ELE</v>
      </c>
      <c r="E194" s="136" t="str">
        <f>E193</f>
        <v>RFQ-054</v>
      </c>
      <c r="F194" s="137" t="str">
        <f>F193</f>
        <v>N</v>
      </c>
      <c r="G194" s="505"/>
      <c r="H194" s="98" t="str">
        <f>H193</f>
        <v>MULTI-CABLE TRANSIT (MCT)</v>
      </c>
      <c r="I194" s="136" t="str">
        <f>I193</f>
        <v>LD</v>
      </c>
      <c r="J194" s="137"/>
      <c r="K194" s="138"/>
      <c r="L194" s="138">
        <f>M195</f>
        <v>1E-3</v>
      </c>
      <c r="M194" s="138"/>
      <c r="N194" s="136"/>
      <c r="O194" s="136"/>
      <c r="P194" s="136"/>
      <c r="Q194" s="139" t="s">
        <v>4860</v>
      </c>
      <c r="R194" s="139"/>
      <c r="S194" s="140" t="e">
        <f>S193</f>
        <v>#REF!</v>
      </c>
      <c r="T194" s="141" t="e">
        <f>T193</f>
        <v>#REF!</v>
      </c>
      <c r="U194" s="141" t="e">
        <f>WORKDAY(IF(T195="",T194,T195),INDEX(U$2:U$5,MATCH($I193,$I$2:$I$5,0)),$BB$10:$BB$141)</f>
        <v>#REF!</v>
      </c>
      <c r="V194" s="141" t="e">
        <f>WORKDAY(IF(U195="",U194,U195),INDEX(V$2:V$5,MATCH($I193,$I$2:$I$5,0)),$BB$10:$BB$141)</f>
        <v>#REF!</v>
      </c>
      <c r="W194" s="141" t="e">
        <f>WORKDAY(IF(V195="",V194,V195),INDEX(W$2:W$5,MATCH($I193,$I$2:$I$5,0)),$BB$10:$BB$141)</f>
        <v>#REF!</v>
      </c>
      <c r="X194" s="141" t="e">
        <f>WORKDAY(IF(#REF!="",#REF!,#REF!),INDEX(X$2:X$5,MATCH($I193,$I$2:$I$5,0)),$BB$10:$BB$141)</f>
        <v>#REF!</v>
      </c>
      <c r="Y194" s="141" t="e">
        <f>WORKDAY(IF(X195="",X194,X195),INDEX(Y$2:Y$5,MATCH($I193,$I$2:$I$5,0)),$BB$10:$BB$141)</f>
        <v>#REF!</v>
      </c>
      <c r="Z194" s="141" t="e">
        <f>WORKDAY(IF(Y195="",Y194,Y195),INDEX(Z$2:Z$5,MATCH($I193,$I$2:$I$5,0)),$BB$10:$BB$141)</f>
        <v>#REF!</v>
      </c>
      <c r="AA194" s="141" t="e">
        <f>WORKDAY(IF(Z195="",Z194,Z195),INDEX(AA$2:AA$5,MATCH($I193,$I$2:$I$5,0)),$BB$10:$BB$141)</f>
        <v>#REF!</v>
      </c>
      <c r="AB194" s="142" t="e">
        <f>AE193+#REF!</f>
        <v>#REF!</v>
      </c>
      <c r="AC194" s="502"/>
      <c r="AD194" s="105"/>
      <c r="AE194" s="496"/>
      <c r="AF194" s="493"/>
      <c r="AG194" s="490"/>
      <c r="AH194" s="106"/>
      <c r="AI194" s="107"/>
      <c r="AJ194" s="487"/>
      <c r="AK194" s="143"/>
      <c r="AL194" s="144"/>
      <c r="AM194" s="133">
        <f t="shared" ref="AM194:AW194" si="241">IF(ISERROR(LOOKUP(AM$6,$S194:$AB194,$S$9:$AB$9)),0,(LOOKUP(AM$6,$S194:$AB194,$S$9:$AB$9)))</f>
        <v>0</v>
      </c>
      <c r="AN194" s="134">
        <f t="shared" si="241"/>
        <v>0</v>
      </c>
      <c r="AO194" s="134">
        <f t="shared" si="241"/>
        <v>0</v>
      </c>
      <c r="AP194" s="134">
        <f t="shared" si="241"/>
        <v>0</v>
      </c>
      <c r="AQ194" s="134">
        <f t="shared" si="241"/>
        <v>0</v>
      </c>
      <c r="AR194" s="134">
        <f t="shared" si="241"/>
        <v>0</v>
      </c>
      <c r="AS194" s="134">
        <f t="shared" si="241"/>
        <v>0</v>
      </c>
      <c r="AT194" s="134">
        <f t="shared" si="241"/>
        <v>0</v>
      </c>
      <c r="AU194" s="134">
        <f t="shared" si="241"/>
        <v>0</v>
      </c>
      <c r="AV194" s="134">
        <f t="shared" si="241"/>
        <v>0</v>
      </c>
      <c r="AW194" s="134">
        <f t="shared" ca="1" si="241"/>
        <v>0</v>
      </c>
      <c r="BB194" s="135"/>
    </row>
    <row r="195" spans="1:54" s="21" customFormat="1" ht="18" customHeight="1">
      <c r="A195" s="515"/>
      <c r="B195" s="157"/>
      <c r="C195" s="509"/>
      <c r="D195" s="111" t="str">
        <f>D193</f>
        <v>ELE</v>
      </c>
      <c r="E195" s="145" t="str">
        <f>E193</f>
        <v>RFQ-054</v>
      </c>
      <c r="F195" s="146" t="str">
        <f>F193</f>
        <v>N</v>
      </c>
      <c r="G195" s="506"/>
      <c r="H195" s="113" t="str">
        <f>H193</f>
        <v>MULTI-CABLE TRANSIT (MCT)</v>
      </c>
      <c r="I195" s="145" t="str">
        <f>I193</f>
        <v>LD</v>
      </c>
      <c r="J195" s="146"/>
      <c r="K195" s="147"/>
      <c r="L195" s="147"/>
      <c r="M195" s="147">
        <v>1E-3</v>
      </c>
      <c r="N195" s="145"/>
      <c r="O195" s="145"/>
      <c r="P195" s="145"/>
      <c r="Q195" s="148" t="s">
        <v>4861</v>
      </c>
      <c r="R195" s="148"/>
      <c r="S195" s="149"/>
      <c r="T195" s="149"/>
      <c r="U195" s="149"/>
      <c r="V195" s="149"/>
      <c r="W195" s="149"/>
      <c r="X195" s="149"/>
      <c r="Y195" s="149"/>
      <c r="Z195" s="149"/>
      <c r="AA195" s="149"/>
      <c r="AB195" s="149"/>
      <c r="AC195" s="503"/>
      <c r="AD195" s="116"/>
      <c r="AE195" s="497"/>
      <c r="AF195" s="494"/>
      <c r="AG195" s="491"/>
      <c r="AH195" s="117"/>
      <c r="AI195" s="118"/>
      <c r="AJ195" s="488"/>
      <c r="AK195" s="150"/>
      <c r="AL195" s="151"/>
      <c r="AM195" s="152">
        <f t="shared" ref="AM195:AW195" si="242">IF(ISERROR(LOOKUP(AM$6,$S195:$AB195,$S$9:$AB$9)),0,(LOOKUP(AM$6,$S195:$AB195,$S$9:$AB$9)))</f>
        <v>0</v>
      </c>
      <c r="AN195" s="153">
        <f t="shared" si="242"/>
        <v>0</v>
      </c>
      <c r="AO195" s="153">
        <f t="shared" si="242"/>
        <v>0</v>
      </c>
      <c r="AP195" s="153">
        <f t="shared" si="242"/>
        <v>0</v>
      </c>
      <c r="AQ195" s="153">
        <f t="shared" si="242"/>
        <v>0</v>
      </c>
      <c r="AR195" s="153">
        <f t="shared" si="242"/>
        <v>0</v>
      </c>
      <c r="AS195" s="153">
        <f t="shared" si="242"/>
        <v>0</v>
      </c>
      <c r="AT195" s="153">
        <f t="shared" si="242"/>
        <v>0</v>
      </c>
      <c r="AU195" s="153">
        <f t="shared" si="242"/>
        <v>0</v>
      </c>
      <c r="AV195" s="153">
        <f t="shared" si="242"/>
        <v>0</v>
      </c>
      <c r="AW195" s="153">
        <f t="shared" ca="1" si="242"/>
        <v>0</v>
      </c>
      <c r="BB195" s="135"/>
    </row>
    <row r="196" spans="1:54" s="21" customFormat="1" ht="18" customHeight="1">
      <c r="A196" s="513">
        <f>A193+1</f>
        <v>63</v>
      </c>
      <c r="B196" s="154" t="s">
        <v>4920</v>
      </c>
      <c r="C196" s="507" t="s">
        <v>4855</v>
      </c>
      <c r="D196" s="80" t="s">
        <v>4882</v>
      </c>
      <c r="E196" s="127" t="s">
        <v>4917</v>
      </c>
      <c r="F196" s="128" t="s">
        <v>75</v>
      </c>
      <c r="G196" s="504"/>
      <c r="H196" s="82" t="s">
        <v>4926</v>
      </c>
      <c r="I196" s="127" t="s">
        <v>9</v>
      </c>
      <c r="J196" s="128"/>
      <c r="K196" s="129">
        <f>M198</f>
        <v>1E-3</v>
      </c>
      <c r="L196" s="129"/>
      <c r="M196" s="129"/>
      <c r="N196" s="127"/>
      <c r="O196" s="127"/>
      <c r="P196" s="127"/>
      <c r="Q196" s="130" t="s">
        <v>4858</v>
      </c>
      <c r="R196" s="130"/>
      <c r="S196" s="155" t="e">
        <f>WORKDAY(T196,-INDEX(T$2:T$5,MATCH($I196,$I$2:$I$5,0)),'[35]Equipment List and MR List (3)'!$A$2:$A$80)</f>
        <v>#REF!</v>
      </c>
      <c r="T196" s="155" t="e">
        <f>WORKDAY(U196,-INDEX(U$2:U$5,MATCH($I196,$I$2:$I$5,0)),$BB$10:$BB$141)</f>
        <v>#REF!</v>
      </c>
      <c r="U196" s="155" t="e">
        <f>WORKDAY(V196,-INDEX(V$2:V$5,MATCH($I196,$I$2:$I$5,0)),$BB$10:$BB$141)</f>
        <v>#REF!</v>
      </c>
      <c r="V196" s="155" t="e">
        <f>WORKDAY(W196,-INDEX(W$2:W$5,MATCH($I196,$I$2:$I$5,0)),$BB$10:$BB$141)</f>
        <v>#REF!</v>
      </c>
      <c r="W196" s="155" t="e">
        <f>WORKDAY(#REF!,-INDEX(#REF!,MATCH($I196,$I$2:$I$5,0)),$BB$10:$BB$141)</f>
        <v>#REF!</v>
      </c>
      <c r="X196" s="155" t="e">
        <f>WORKDAY(Y196,-INDEX(Y$2:Y$5,MATCH($I196,$I$2:$I$5,0)),$BB$10:$BB$141)</f>
        <v>#REF!</v>
      </c>
      <c r="Y196" s="155" t="e">
        <f>WORKDAY(Z196,-INDEX(Z$2:Z$5,MATCH($I196,$I$2:$I$5,0)),$BB$10:$BB$141)</f>
        <v>#REF!</v>
      </c>
      <c r="Z196" s="155" t="e">
        <f>WORKDAY(AA196,-INDEX(AA$2:AA$5,MATCH($I196,$I$2:$I$5,0)),$BB$10:$BB$141)</f>
        <v>#REF!</v>
      </c>
      <c r="AA196" s="155" t="e">
        <f>WORKDAY(#REF!,-INDEX(#REF!,MATCH($I196,$I$2:$I$5,0)),$BB$10:$BB$141)</f>
        <v>#REF!</v>
      </c>
      <c r="AB196" s="155">
        <f>WORKDAY(AG196,0,'[35]Equipment List and MR List (3)'!$A$2:$A$80)</f>
        <v>0</v>
      </c>
      <c r="AC196" s="501" t="s">
        <v>4859</v>
      </c>
      <c r="AD196" s="87">
        <v>7</v>
      </c>
      <c r="AE196" s="495">
        <v>104</v>
      </c>
      <c r="AF196" s="492" t="e">
        <f>AB197</f>
        <v>#REF!</v>
      </c>
      <c r="AG196" s="489"/>
      <c r="AH196" s="88"/>
      <c r="AI196" s="89"/>
      <c r="AJ196" s="486" t="e">
        <f>AG196-AF196</f>
        <v>#REF!</v>
      </c>
      <c r="AK196" s="131"/>
      <c r="AL196" s="132"/>
      <c r="AM196" s="133">
        <f t="shared" ref="AM196:AW196" si="243">IF(ISERROR(LOOKUP(AM$6,$S196:$AB196,$S$9:$AB$9)),0,(LOOKUP(AM$6,$S196:$AB196,$S$9:$AB$9)))</f>
        <v>0.95</v>
      </c>
      <c r="AN196" s="134">
        <f t="shared" si="243"/>
        <v>0.95</v>
      </c>
      <c r="AO196" s="134">
        <f t="shared" si="243"/>
        <v>0.95</v>
      </c>
      <c r="AP196" s="134">
        <f t="shared" si="243"/>
        <v>0.95</v>
      </c>
      <c r="AQ196" s="134">
        <f t="shared" si="243"/>
        <v>0.95</v>
      </c>
      <c r="AR196" s="134">
        <f t="shared" si="243"/>
        <v>0.95</v>
      </c>
      <c r="AS196" s="134">
        <f t="shared" si="243"/>
        <v>0.95</v>
      </c>
      <c r="AT196" s="134">
        <f t="shared" si="243"/>
        <v>0.95</v>
      </c>
      <c r="AU196" s="134">
        <f t="shared" si="243"/>
        <v>0.95</v>
      </c>
      <c r="AV196" s="134">
        <f t="shared" si="243"/>
        <v>0.95</v>
      </c>
      <c r="AW196" s="134">
        <f t="shared" ca="1" si="243"/>
        <v>0.95</v>
      </c>
      <c r="BB196" s="135"/>
    </row>
    <row r="197" spans="1:54" s="21" customFormat="1" ht="18" customHeight="1">
      <c r="A197" s="514"/>
      <c r="B197" s="156"/>
      <c r="C197" s="508"/>
      <c r="D197" s="96" t="str">
        <f>D196</f>
        <v>ELE</v>
      </c>
      <c r="E197" s="136" t="str">
        <f>E196</f>
        <v>RFQ-054</v>
      </c>
      <c r="F197" s="137" t="str">
        <f>F196</f>
        <v>N</v>
      </c>
      <c r="G197" s="505"/>
      <c r="H197" s="98" t="str">
        <f>H196</f>
        <v>ELECTRICAL CABLE</v>
      </c>
      <c r="I197" s="136" t="str">
        <f>I196</f>
        <v>LD</v>
      </c>
      <c r="J197" s="137"/>
      <c r="K197" s="138"/>
      <c r="L197" s="138">
        <f>M198</f>
        <v>1E-3</v>
      </c>
      <c r="M197" s="138"/>
      <c r="N197" s="136"/>
      <c r="O197" s="136"/>
      <c r="P197" s="136"/>
      <c r="Q197" s="139" t="s">
        <v>4860</v>
      </c>
      <c r="R197" s="139"/>
      <c r="S197" s="140" t="e">
        <f>S196</f>
        <v>#REF!</v>
      </c>
      <c r="T197" s="141" t="e">
        <f>T196</f>
        <v>#REF!</v>
      </c>
      <c r="U197" s="141" t="e">
        <f>WORKDAY(IF(T198="",T197,T198),INDEX(U$2:U$5,MATCH($I196,$I$2:$I$5,0)),$BB$10:$BB$141)</f>
        <v>#REF!</v>
      </c>
      <c r="V197" s="141" t="e">
        <f>WORKDAY(IF(U198="",U197,U198),INDEX(V$2:V$5,MATCH($I196,$I$2:$I$5,0)),$BB$10:$BB$141)</f>
        <v>#REF!</v>
      </c>
      <c r="W197" s="141" t="e">
        <f>WORKDAY(IF(V198="",V197,V198),INDEX(W$2:W$5,MATCH($I196,$I$2:$I$5,0)),$BB$10:$BB$141)</f>
        <v>#REF!</v>
      </c>
      <c r="X197" s="141" t="e">
        <f>WORKDAY(IF(#REF!="",#REF!,#REF!),INDEX(X$2:X$5,MATCH($I196,$I$2:$I$5,0)),$BB$10:$BB$141)</f>
        <v>#REF!</v>
      </c>
      <c r="Y197" s="141" t="e">
        <f>WORKDAY(IF(X198="",X197,X198),INDEX(Y$2:Y$5,MATCH($I196,$I$2:$I$5,0)),$BB$10:$BB$141)</f>
        <v>#REF!</v>
      </c>
      <c r="Z197" s="141" t="e">
        <f>WORKDAY(IF(Y198="",Y197,Y198),INDEX(Z$2:Z$5,MATCH($I196,$I$2:$I$5,0)),$BB$10:$BB$141)</f>
        <v>#REF!</v>
      </c>
      <c r="AA197" s="141" t="e">
        <f>WORKDAY(IF(Z198="",Z197,Z198),INDEX(AA$2:AA$5,MATCH($I196,$I$2:$I$5,0)),$BB$10:$BB$141)</f>
        <v>#REF!</v>
      </c>
      <c r="AB197" s="142" t="e">
        <f>AE196+#REF!</f>
        <v>#REF!</v>
      </c>
      <c r="AC197" s="502"/>
      <c r="AD197" s="105"/>
      <c r="AE197" s="496"/>
      <c r="AF197" s="493"/>
      <c r="AG197" s="490"/>
      <c r="AH197" s="106"/>
      <c r="AI197" s="107"/>
      <c r="AJ197" s="487"/>
      <c r="AK197" s="143"/>
      <c r="AL197" s="144"/>
      <c r="AM197" s="133">
        <f t="shared" ref="AM197:AW197" si="244">IF(ISERROR(LOOKUP(AM$6,$S197:$AB197,$S$9:$AB$9)),0,(LOOKUP(AM$6,$S197:$AB197,$S$9:$AB$9)))</f>
        <v>0</v>
      </c>
      <c r="AN197" s="134">
        <f t="shared" si="244"/>
        <v>0</v>
      </c>
      <c r="AO197" s="134">
        <f t="shared" si="244"/>
        <v>0</v>
      </c>
      <c r="AP197" s="134">
        <f t="shared" si="244"/>
        <v>0</v>
      </c>
      <c r="AQ197" s="134">
        <f t="shared" si="244"/>
        <v>0</v>
      </c>
      <c r="AR197" s="134">
        <f t="shared" si="244"/>
        <v>0</v>
      </c>
      <c r="AS197" s="134">
        <f t="shared" si="244"/>
        <v>0</v>
      </c>
      <c r="AT197" s="134">
        <f t="shared" si="244"/>
        <v>0</v>
      </c>
      <c r="AU197" s="134">
        <f t="shared" si="244"/>
        <v>0</v>
      </c>
      <c r="AV197" s="134">
        <f t="shared" si="244"/>
        <v>0</v>
      </c>
      <c r="AW197" s="134">
        <f t="shared" ca="1" si="244"/>
        <v>0</v>
      </c>
      <c r="BB197" s="135"/>
    </row>
    <row r="198" spans="1:54" s="21" customFormat="1" ht="18" customHeight="1">
      <c r="A198" s="515"/>
      <c r="B198" s="157"/>
      <c r="C198" s="509"/>
      <c r="D198" s="111" t="str">
        <f>D196</f>
        <v>ELE</v>
      </c>
      <c r="E198" s="145" t="str">
        <f>E196</f>
        <v>RFQ-054</v>
      </c>
      <c r="F198" s="146" t="str">
        <f>F196</f>
        <v>N</v>
      </c>
      <c r="G198" s="506"/>
      <c r="H198" s="113" t="str">
        <f>H196</f>
        <v>ELECTRICAL CABLE</v>
      </c>
      <c r="I198" s="145" t="str">
        <f>I196</f>
        <v>LD</v>
      </c>
      <c r="J198" s="146"/>
      <c r="K198" s="147"/>
      <c r="L198" s="147"/>
      <c r="M198" s="147">
        <v>1E-3</v>
      </c>
      <c r="N198" s="145"/>
      <c r="O198" s="145"/>
      <c r="P198" s="145"/>
      <c r="Q198" s="148" t="s">
        <v>4861</v>
      </c>
      <c r="R198" s="148"/>
      <c r="S198" s="149"/>
      <c r="T198" s="149"/>
      <c r="U198" s="149"/>
      <c r="V198" s="149"/>
      <c r="W198" s="149"/>
      <c r="X198" s="149"/>
      <c r="Y198" s="149"/>
      <c r="Z198" s="149"/>
      <c r="AA198" s="149"/>
      <c r="AB198" s="149"/>
      <c r="AC198" s="503"/>
      <c r="AD198" s="116"/>
      <c r="AE198" s="497"/>
      <c r="AF198" s="494"/>
      <c r="AG198" s="491"/>
      <c r="AH198" s="117"/>
      <c r="AI198" s="118"/>
      <c r="AJ198" s="488"/>
      <c r="AK198" s="150"/>
      <c r="AL198" s="151"/>
      <c r="AM198" s="152">
        <f t="shared" ref="AM198:AW198" si="245">IF(ISERROR(LOOKUP(AM$6,$S198:$AB198,$S$9:$AB$9)),0,(LOOKUP(AM$6,$S198:$AB198,$S$9:$AB$9)))</f>
        <v>0</v>
      </c>
      <c r="AN198" s="153">
        <f t="shared" si="245"/>
        <v>0</v>
      </c>
      <c r="AO198" s="153">
        <f t="shared" si="245"/>
        <v>0</v>
      </c>
      <c r="AP198" s="153">
        <f t="shared" si="245"/>
        <v>0</v>
      </c>
      <c r="AQ198" s="153">
        <f t="shared" si="245"/>
        <v>0</v>
      </c>
      <c r="AR198" s="153">
        <f t="shared" si="245"/>
        <v>0</v>
      </c>
      <c r="AS198" s="153">
        <f t="shared" si="245"/>
        <v>0</v>
      </c>
      <c r="AT198" s="153">
        <f t="shared" si="245"/>
        <v>0</v>
      </c>
      <c r="AU198" s="153">
        <f t="shared" si="245"/>
        <v>0</v>
      </c>
      <c r="AV198" s="153">
        <f t="shared" si="245"/>
        <v>0</v>
      </c>
      <c r="AW198" s="153">
        <f t="shared" ca="1" si="245"/>
        <v>0</v>
      </c>
      <c r="BB198" s="135"/>
    </row>
    <row r="199" spans="1:54" s="21" customFormat="1" ht="18" customHeight="1">
      <c r="A199" s="513">
        <f>A196+1</f>
        <v>64</v>
      </c>
      <c r="B199" s="154" t="s">
        <v>4920</v>
      </c>
      <c r="C199" s="507" t="s">
        <v>4855</v>
      </c>
      <c r="D199" s="80" t="s">
        <v>4882</v>
      </c>
      <c r="E199" s="127" t="s">
        <v>4917</v>
      </c>
      <c r="F199" s="128" t="s">
        <v>75</v>
      </c>
      <c r="G199" s="504"/>
      <c r="H199" s="82" t="s">
        <v>4927</v>
      </c>
      <c r="I199" s="127" t="s">
        <v>9</v>
      </c>
      <c r="J199" s="128"/>
      <c r="K199" s="129">
        <f>M201</f>
        <v>1E-3</v>
      </c>
      <c r="L199" s="129"/>
      <c r="M199" s="129"/>
      <c r="N199" s="127"/>
      <c r="O199" s="127"/>
      <c r="P199" s="127"/>
      <c r="Q199" s="130" t="s">
        <v>4858</v>
      </c>
      <c r="R199" s="130"/>
      <c r="S199" s="155" t="e">
        <f>WORKDAY(T199,-INDEX(T$2:T$5,MATCH($I199,$I$2:$I$5,0)),'[35]Equipment List and MR List (3)'!$A$2:$A$80)</f>
        <v>#REF!</v>
      </c>
      <c r="T199" s="155" t="e">
        <f>WORKDAY(U199,-INDEX(U$2:U$5,MATCH($I199,$I$2:$I$5,0)),$BB$10:$BB$141)</f>
        <v>#REF!</v>
      </c>
      <c r="U199" s="155" t="e">
        <f>WORKDAY(V199,-INDEX(V$2:V$5,MATCH($I199,$I$2:$I$5,0)),$BB$10:$BB$141)</f>
        <v>#REF!</v>
      </c>
      <c r="V199" s="155" t="e">
        <f>WORKDAY(W199,-INDEX(W$2:W$5,MATCH($I199,$I$2:$I$5,0)),$BB$10:$BB$141)</f>
        <v>#REF!</v>
      </c>
      <c r="W199" s="155" t="e">
        <f>WORKDAY(#REF!,-INDEX(#REF!,MATCH($I199,$I$2:$I$5,0)),$BB$10:$BB$141)</f>
        <v>#REF!</v>
      </c>
      <c r="X199" s="155" t="e">
        <f>WORKDAY(Y199,-INDEX(Y$2:Y$5,MATCH($I199,$I$2:$I$5,0)),$BB$10:$BB$141)</f>
        <v>#REF!</v>
      </c>
      <c r="Y199" s="155" t="e">
        <f>WORKDAY(Z199,-INDEX(Z$2:Z$5,MATCH($I199,$I$2:$I$5,0)),$BB$10:$BB$141)</f>
        <v>#REF!</v>
      </c>
      <c r="Z199" s="155" t="e">
        <f>WORKDAY(AA199,-INDEX(AA$2:AA$5,MATCH($I199,$I$2:$I$5,0)),$BB$10:$BB$141)</f>
        <v>#REF!</v>
      </c>
      <c r="AA199" s="155" t="e">
        <f>WORKDAY(#REF!,-INDEX(#REF!,MATCH($I199,$I$2:$I$5,0)),$BB$10:$BB$141)</f>
        <v>#REF!</v>
      </c>
      <c r="AB199" s="155">
        <f>WORKDAY(AG199,0,'[35]Equipment List and MR List (3)'!$A$2:$A$80)</f>
        <v>0</v>
      </c>
      <c r="AC199" s="501" t="s">
        <v>4859</v>
      </c>
      <c r="AD199" s="87">
        <v>7</v>
      </c>
      <c r="AE199" s="495"/>
      <c r="AF199" s="492" t="e">
        <f>AB200</f>
        <v>#REF!</v>
      </c>
      <c r="AG199" s="489"/>
      <c r="AH199" s="88"/>
      <c r="AI199" s="89"/>
      <c r="AJ199" s="486" t="e">
        <f>AG199-AF199</f>
        <v>#REF!</v>
      </c>
      <c r="AK199" s="131"/>
      <c r="AL199" s="132"/>
      <c r="AM199" s="133">
        <f t="shared" ref="AM199:AW199" si="246">IF(ISERROR(LOOKUP(AM$6,$S199:$AB199,$S$9:$AB$9)),0,(LOOKUP(AM$6,$S199:$AB199,$S$9:$AB$9)))</f>
        <v>0.95</v>
      </c>
      <c r="AN199" s="134">
        <f t="shared" si="246"/>
        <v>0.95</v>
      </c>
      <c r="AO199" s="134">
        <f t="shared" si="246"/>
        <v>0.95</v>
      </c>
      <c r="AP199" s="134">
        <f t="shared" si="246"/>
        <v>0.95</v>
      </c>
      <c r="AQ199" s="134">
        <f t="shared" si="246"/>
        <v>0.95</v>
      </c>
      <c r="AR199" s="134">
        <f t="shared" si="246"/>
        <v>0.95</v>
      </c>
      <c r="AS199" s="134">
        <f t="shared" si="246"/>
        <v>0.95</v>
      </c>
      <c r="AT199" s="134">
        <f t="shared" si="246"/>
        <v>0.95</v>
      </c>
      <c r="AU199" s="134">
        <f t="shared" si="246"/>
        <v>0.95</v>
      </c>
      <c r="AV199" s="134">
        <f t="shared" si="246"/>
        <v>0.95</v>
      </c>
      <c r="AW199" s="134">
        <f t="shared" ca="1" si="246"/>
        <v>0.95</v>
      </c>
      <c r="BB199" s="135"/>
    </row>
    <row r="200" spans="1:54" s="21" customFormat="1" ht="18" customHeight="1">
      <c r="A200" s="514"/>
      <c r="B200" s="156"/>
      <c r="C200" s="508"/>
      <c r="D200" s="96" t="str">
        <f>D199</f>
        <v>ELE</v>
      </c>
      <c r="E200" s="136" t="str">
        <f>E199</f>
        <v>RFQ-054</v>
      </c>
      <c r="F200" s="137" t="str">
        <f>F199</f>
        <v>N</v>
      </c>
      <c r="G200" s="505"/>
      <c r="H200" s="98" t="str">
        <f>H199</f>
        <v>NAVIGATIONAL AIDS LANTERN AND FOG HORN</v>
      </c>
      <c r="I200" s="136" t="str">
        <f>I199</f>
        <v>LD</v>
      </c>
      <c r="J200" s="137"/>
      <c r="K200" s="138"/>
      <c r="L200" s="138">
        <f>M201</f>
        <v>1E-3</v>
      </c>
      <c r="M200" s="138"/>
      <c r="N200" s="136"/>
      <c r="O200" s="136"/>
      <c r="P200" s="136"/>
      <c r="Q200" s="139" t="s">
        <v>4860</v>
      </c>
      <c r="R200" s="139"/>
      <c r="S200" s="140" t="e">
        <f>S199</f>
        <v>#REF!</v>
      </c>
      <c r="T200" s="141" t="e">
        <f>T199</f>
        <v>#REF!</v>
      </c>
      <c r="U200" s="141" t="e">
        <f>WORKDAY(IF(T201="",T200,T201),INDEX(U$2:U$5,MATCH($I199,$I$2:$I$5,0)),$BB$10:$BB$141)</f>
        <v>#REF!</v>
      </c>
      <c r="V200" s="141" t="e">
        <f>WORKDAY(IF(U201="",U200,U201),INDEX(V$2:V$5,MATCH($I199,$I$2:$I$5,0)),$BB$10:$BB$141)</f>
        <v>#REF!</v>
      </c>
      <c r="W200" s="141" t="e">
        <f>WORKDAY(IF(V201="",V200,V201),INDEX(W$2:W$5,MATCH($I199,$I$2:$I$5,0)),$BB$10:$BB$141)</f>
        <v>#REF!</v>
      </c>
      <c r="X200" s="141" t="e">
        <f>WORKDAY(IF(#REF!="",#REF!,#REF!),INDEX(X$2:X$5,MATCH($I199,$I$2:$I$5,0)),$BB$10:$BB$141)</f>
        <v>#REF!</v>
      </c>
      <c r="Y200" s="141" t="e">
        <f>WORKDAY(IF(X201="",X200,X201),INDEX(Y$2:Y$5,MATCH($I199,$I$2:$I$5,0)),$BB$10:$BB$141)</f>
        <v>#REF!</v>
      </c>
      <c r="Z200" s="141" t="e">
        <f>WORKDAY(IF(Y201="",Y200,Y201),INDEX(Z$2:Z$5,MATCH($I199,$I$2:$I$5,0)),$BB$10:$BB$141)</f>
        <v>#REF!</v>
      </c>
      <c r="AA200" s="141" t="e">
        <f>WORKDAY(IF(Z201="",Z200,Z201),INDEX(AA$2:AA$5,MATCH($I199,$I$2:$I$5,0)),$BB$10:$BB$141)</f>
        <v>#REF!</v>
      </c>
      <c r="AB200" s="142" t="e">
        <f>AE199+#REF!</f>
        <v>#REF!</v>
      </c>
      <c r="AC200" s="502"/>
      <c r="AD200" s="105"/>
      <c r="AE200" s="496"/>
      <c r="AF200" s="493"/>
      <c r="AG200" s="490"/>
      <c r="AH200" s="106"/>
      <c r="AI200" s="107"/>
      <c r="AJ200" s="487"/>
      <c r="AK200" s="143"/>
      <c r="AL200" s="144"/>
      <c r="AM200" s="133">
        <f t="shared" ref="AM200:AW200" si="247">IF(ISERROR(LOOKUP(AM$6,$S200:$AB200,$S$9:$AB$9)),0,(LOOKUP(AM$6,$S200:$AB200,$S$9:$AB$9)))</f>
        <v>0</v>
      </c>
      <c r="AN200" s="134">
        <f t="shared" si="247"/>
        <v>0</v>
      </c>
      <c r="AO200" s="134">
        <f t="shared" si="247"/>
        <v>0</v>
      </c>
      <c r="AP200" s="134">
        <f t="shared" si="247"/>
        <v>0</v>
      </c>
      <c r="AQ200" s="134">
        <f t="shared" si="247"/>
        <v>0</v>
      </c>
      <c r="AR200" s="134">
        <f t="shared" si="247"/>
        <v>0</v>
      </c>
      <c r="AS200" s="134">
        <f t="shared" si="247"/>
        <v>0</v>
      </c>
      <c r="AT200" s="134">
        <f t="shared" si="247"/>
        <v>0</v>
      </c>
      <c r="AU200" s="134">
        <f t="shared" si="247"/>
        <v>0</v>
      </c>
      <c r="AV200" s="134">
        <f t="shared" si="247"/>
        <v>0</v>
      </c>
      <c r="AW200" s="134">
        <f t="shared" ca="1" si="247"/>
        <v>0</v>
      </c>
      <c r="BB200" s="135"/>
    </row>
    <row r="201" spans="1:54" s="21" customFormat="1" ht="18" customHeight="1">
      <c r="A201" s="515"/>
      <c r="B201" s="157"/>
      <c r="C201" s="509"/>
      <c r="D201" s="111" t="str">
        <f>D199</f>
        <v>ELE</v>
      </c>
      <c r="E201" s="145" t="str">
        <f>E199</f>
        <v>RFQ-054</v>
      </c>
      <c r="F201" s="146" t="str">
        <f>F199</f>
        <v>N</v>
      </c>
      <c r="G201" s="506"/>
      <c r="H201" s="113" t="str">
        <f>H199</f>
        <v>NAVIGATIONAL AIDS LANTERN AND FOG HORN</v>
      </c>
      <c r="I201" s="145" t="str">
        <f>I199</f>
        <v>LD</v>
      </c>
      <c r="J201" s="146"/>
      <c r="K201" s="147"/>
      <c r="L201" s="147"/>
      <c r="M201" s="147">
        <v>1E-3</v>
      </c>
      <c r="N201" s="145"/>
      <c r="O201" s="145"/>
      <c r="P201" s="145"/>
      <c r="Q201" s="148" t="s">
        <v>4861</v>
      </c>
      <c r="R201" s="148"/>
      <c r="S201" s="149"/>
      <c r="T201" s="149"/>
      <c r="U201" s="149"/>
      <c r="V201" s="149"/>
      <c r="W201" s="149"/>
      <c r="X201" s="149"/>
      <c r="Y201" s="149"/>
      <c r="Z201" s="149"/>
      <c r="AA201" s="149"/>
      <c r="AB201" s="149"/>
      <c r="AC201" s="503"/>
      <c r="AD201" s="116"/>
      <c r="AE201" s="497"/>
      <c r="AF201" s="494"/>
      <c r="AG201" s="491"/>
      <c r="AH201" s="117"/>
      <c r="AI201" s="118"/>
      <c r="AJ201" s="488"/>
      <c r="AK201" s="150"/>
      <c r="AL201" s="151"/>
      <c r="AM201" s="152">
        <f t="shared" ref="AM201:AW201" si="248">IF(ISERROR(LOOKUP(AM$6,$S201:$AB201,$S$9:$AB$9)),0,(LOOKUP(AM$6,$S201:$AB201,$S$9:$AB$9)))</f>
        <v>0</v>
      </c>
      <c r="AN201" s="153">
        <f t="shared" si="248"/>
        <v>0</v>
      </c>
      <c r="AO201" s="153">
        <f t="shared" si="248"/>
        <v>0</v>
      </c>
      <c r="AP201" s="153">
        <f t="shared" si="248"/>
        <v>0</v>
      </c>
      <c r="AQ201" s="153">
        <f t="shared" si="248"/>
        <v>0</v>
      </c>
      <c r="AR201" s="153">
        <f t="shared" si="248"/>
        <v>0</v>
      </c>
      <c r="AS201" s="153">
        <f t="shared" si="248"/>
        <v>0</v>
      </c>
      <c r="AT201" s="153">
        <f t="shared" si="248"/>
        <v>0</v>
      </c>
      <c r="AU201" s="153">
        <f t="shared" si="248"/>
        <v>0</v>
      </c>
      <c r="AV201" s="153">
        <f t="shared" si="248"/>
        <v>0</v>
      </c>
      <c r="AW201" s="153">
        <f t="shared" ca="1" si="248"/>
        <v>0</v>
      </c>
      <c r="BB201" s="135"/>
    </row>
    <row r="202" spans="1:54" s="21" customFormat="1" ht="18" customHeight="1">
      <c r="A202" s="513">
        <f>A199+1</f>
        <v>65</v>
      </c>
      <c r="B202" s="154" t="s">
        <v>4920</v>
      </c>
      <c r="C202" s="507" t="s">
        <v>4855</v>
      </c>
      <c r="D202" s="80" t="s">
        <v>4882</v>
      </c>
      <c r="E202" s="127" t="s">
        <v>4917</v>
      </c>
      <c r="F202" s="128" t="s">
        <v>75</v>
      </c>
      <c r="G202" s="504"/>
      <c r="H202" s="82" t="s">
        <v>4928</v>
      </c>
      <c r="I202" s="127" t="s">
        <v>9</v>
      </c>
      <c r="J202" s="128"/>
      <c r="K202" s="129">
        <f>M204</f>
        <v>1E-3</v>
      </c>
      <c r="L202" s="129"/>
      <c r="M202" s="129"/>
      <c r="N202" s="127"/>
      <c r="O202" s="127"/>
      <c r="P202" s="127"/>
      <c r="Q202" s="130" t="s">
        <v>4858</v>
      </c>
      <c r="R202" s="130"/>
      <c r="S202" s="155" t="e">
        <f>WORKDAY(T202,-INDEX(T$2:T$5,MATCH($I202,$I$2:$I$5,0)),'[35]Equipment List and MR List (3)'!$A$2:$A$80)</f>
        <v>#REF!</v>
      </c>
      <c r="T202" s="155" t="e">
        <f>WORKDAY(U202,-INDEX(U$2:U$5,MATCH($I202,$I$2:$I$5,0)),$BB$10:$BB$141)</f>
        <v>#REF!</v>
      </c>
      <c r="U202" s="155" t="e">
        <f>WORKDAY(V202,-INDEX(V$2:V$5,MATCH($I202,$I$2:$I$5,0)),$BB$10:$BB$141)</f>
        <v>#REF!</v>
      </c>
      <c r="V202" s="155" t="e">
        <f>WORKDAY(W202,-INDEX(W$2:W$5,MATCH($I202,$I$2:$I$5,0)),$BB$10:$BB$141)</f>
        <v>#REF!</v>
      </c>
      <c r="W202" s="155" t="e">
        <f>WORKDAY(#REF!,-INDEX(#REF!,MATCH($I202,$I$2:$I$5,0)),$BB$10:$BB$141)</f>
        <v>#REF!</v>
      </c>
      <c r="X202" s="155" t="e">
        <f>WORKDAY(Y202,-INDEX(Y$2:Y$5,MATCH($I202,$I$2:$I$5,0)),$BB$10:$BB$141)</f>
        <v>#REF!</v>
      </c>
      <c r="Y202" s="155" t="e">
        <f>WORKDAY(Z202,-INDEX(Z$2:Z$5,MATCH($I202,$I$2:$I$5,0)),$BB$10:$BB$141)</f>
        <v>#REF!</v>
      </c>
      <c r="Z202" s="155" t="e">
        <f>WORKDAY(AA202,-INDEX(AA$2:AA$5,MATCH($I202,$I$2:$I$5,0)),$BB$10:$BB$141)</f>
        <v>#REF!</v>
      </c>
      <c r="AA202" s="155" t="e">
        <f>WORKDAY(#REF!,-INDEX(#REF!,MATCH($I202,$I$2:$I$5,0)),$BB$10:$BB$141)</f>
        <v>#REF!</v>
      </c>
      <c r="AB202" s="155">
        <f>WORKDAY(AG202,0,'[35]Equipment List and MR List (3)'!$A$2:$A$80)</f>
        <v>0</v>
      </c>
      <c r="AC202" s="501" t="s">
        <v>4859</v>
      </c>
      <c r="AD202" s="87">
        <v>7</v>
      </c>
      <c r="AE202" s="495"/>
      <c r="AF202" s="492" t="e">
        <f>AB203</f>
        <v>#REF!</v>
      </c>
      <c r="AG202" s="489"/>
      <c r="AH202" s="88"/>
      <c r="AI202" s="89"/>
      <c r="AJ202" s="486" t="e">
        <f>AG202-AF202</f>
        <v>#REF!</v>
      </c>
      <c r="AK202" s="131"/>
      <c r="AL202" s="132"/>
      <c r="AM202" s="133">
        <f t="shared" ref="AM202:AW202" si="249">IF(ISERROR(LOOKUP(AM$6,$S202:$AB202,$S$9:$AB$9)),0,(LOOKUP(AM$6,$S202:$AB202,$S$9:$AB$9)))</f>
        <v>0.95</v>
      </c>
      <c r="AN202" s="134">
        <f t="shared" si="249"/>
        <v>0.95</v>
      </c>
      <c r="AO202" s="134">
        <f t="shared" si="249"/>
        <v>0.95</v>
      </c>
      <c r="AP202" s="134">
        <f t="shared" si="249"/>
        <v>0.95</v>
      </c>
      <c r="AQ202" s="134">
        <f t="shared" si="249"/>
        <v>0.95</v>
      </c>
      <c r="AR202" s="134">
        <f t="shared" si="249"/>
        <v>0.95</v>
      </c>
      <c r="AS202" s="134">
        <f t="shared" si="249"/>
        <v>0.95</v>
      </c>
      <c r="AT202" s="134">
        <f t="shared" si="249"/>
        <v>0.95</v>
      </c>
      <c r="AU202" s="134">
        <f t="shared" si="249"/>
        <v>0.95</v>
      </c>
      <c r="AV202" s="134">
        <f t="shared" si="249"/>
        <v>0.95</v>
      </c>
      <c r="AW202" s="134">
        <f t="shared" ca="1" si="249"/>
        <v>0.95</v>
      </c>
      <c r="BB202" s="135"/>
    </row>
    <row r="203" spans="1:54" s="21" customFormat="1" ht="18" customHeight="1">
      <c r="A203" s="514"/>
      <c r="B203" s="156"/>
      <c r="C203" s="508"/>
      <c r="D203" s="96" t="str">
        <f>D202</f>
        <v>ELE</v>
      </c>
      <c r="E203" s="136" t="str">
        <f>E202</f>
        <v>RFQ-054</v>
      </c>
      <c r="F203" s="137" t="str">
        <f>F202</f>
        <v>N</v>
      </c>
      <c r="G203" s="505"/>
      <c r="H203" s="98" t="str">
        <f>H202</f>
        <v>FLASHING BEACON AND WARNING SIREN</v>
      </c>
      <c r="I203" s="136" t="str">
        <f>I202</f>
        <v>LD</v>
      </c>
      <c r="J203" s="137"/>
      <c r="K203" s="138"/>
      <c r="L203" s="138">
        <f>M204</f>
        <v>1E-3</v>
      </c>
      <c r="M203" s="138"/>
      <c r="N203" s="136"/>
      <c r="O203" s="136"/>
      <c r="P203" s="136"/>
      <c r="Q203" s="139" t="s">
        <v>4860</v>
      </c>
      <c r="R203" s="139"/>
      <c r="S203" s="140" t="e">
        <f>S202</f>
        <v>#REF!</v>
      </c>
      <c r="T203" s="141" t="e">
        <f>T202</f>
        <v>#REF!</v>
      </c>
      <c r="U203" s="141" t="e">
        <f>WORKDAY(IF(T204="",T203,T204),INDEX(U$2:U$5,MATCH($I202,$I$2:$I$5,0)),$BB$10:$BB$141)</f>
        <v>#REF!</v>
      </c>
      <c r="V203" s="141" t="e">
        <f>WORKDAY(IF(U204="",U203,U204),INDEX(V$2:V$5,MATCH($I202,$I$2:$I$5,0)),$BB$10:$BB$141)</f>
        <v>#REF!</v>
      </c>
      <c r="W203" s="141" t="e">
        <f>WORKDAY(IF(V204="",V203,V204),INDEX(W$2:W$5,MATCH($I202,$I$2:$I$5,0)),$BB$10:$BB$141)</f>
        <v>#REF!</v>
      </c>
      <c r="X203" s="141" t="e">
        <f>WORKDAY(IF(#REF!="",#REF!,#REF!),INDEX(X$2:X$5,MATCH($I202,$I$2:$I$5,0)),$BB$10:$BB$141)</f>
        <v>#REF!</v>
      </c>
      <c r="Y203" s="141" t="e">
        <f>WORKDAY(IF(X204="",X203,X204),INDEX(Y$2:Y$5,MATCH($I202,$I$2:$I$5,0)),$BB$10:$BB$141)</f>
        <v>#REF!</v>
      </c>
      <c r="Z203" s="141" t="e">
        <f>WORKDAY(IF(Y204="",Y203,Y204),INDEX(Z$2:Z$5,MATCH($I202,$I$2:$I$5,0)),$BB$10:$BB$141)</f>
        <v>#REF!</v>
      </c>
      <c r="AA203" s="141" t="e">
        <f>WORKDAY(IF(Z204="",Z203,Z204),INDEX(AA$2:AA$5,MATCH($I202,$I$2:$I$5,0)),$BB$10:$BB$141)</f>
        <v>#REF!</v>
      </c>
      <c r="AB203" s="142" t="e">
        <f>AE202+#REF!</f>
        <v>#REF!</v>
      </c>
      <c r="AC203" s="502"/>
      <c r="AD203" s="105"/>
      <c r="AE203" s="496"/>
      <c r="AF203" s="493"/>
      <c r="AG203" s="490"/>
      <c r="AH203" s="106"/>
      <c r="AI203" s="107"/>
      <c r="AJ203" s="487"/>
      <c r="AK203" s="143"/>
      <c r="AL203" s="144"/>
      <c r="AM203" s="133">
        <f t="shared" ref="AM203:AW203" si="250">IF(ISERROR(LOOKUP(AM$6,$S203:$AB203,$S$9:$AB$9)),0,(LOOKUP(AM$6,$S203:$AB203,$S$9:$AB$9)))</f>
        <v>0</v>
      </c>
      <c r="AN203" s="134">
        <f t="shared" si="250"/>
        <v>0</v>
      </c>
      <c r="AO203" s="134">
        <f t="shared" si="250"/>
        <v>0</v>
      </c>
      <c r="AP203" s="134">
        <f t="shared" si="250"/>
        <v>0</v>
      </c>
      <c r="AQ203" s="134">
        <f t="shared" si="250"/>
        <v>0</v>
      </c>
      <c r="AR203" s="134">
        <f t="shared" si="250"/>
        <v>0</v>
      </c>
      <c r="AS203" s="134">
        <f t="shared" si="250"/>
        <v>0</v>
      </c>
      <c r="AT203" s="134">
        <f t="shared" si="250"/>
        <v>0</v>
      </c>
      <c r="AU203" s="134">
        <f t="shared" si="250"/>
        <v>0</v>
      </c>
      <c r="AV203" s="134">
        <f t="shared" si="250"/>
        <v>0</v>
      </c>
      <c r="AW203" s="134">
        <f t="shared" ca="1" si="250"/>
        <v>0</v>
      </c>
      <c r="BB203" s="135"/>
    </row>
    <row r="204" spans="1:54" s="21" customFormat="1" ht="18" customHeight="1">
      <c r="A204" s="515"/>
      <c r="B204" s="157"/>
      <c r="C204" s="509"/>
      <c r="D204" s="111" t="str">
        <f>D202</f>
        <v>ELE</v>
      </c>
      <c r="E204" s="145" t="str">
        <f>E202</f>
        <v>RFQ-054</v>
      </c>
      <c r="F204" s="146" t="str">
        <f>F202</f>
        <v>N</v>
      </c>
      <c r="G204" s="506"/>
      <c r="H204" s="113" t="str">
        <f>H202</f>
        <v>FLASHING BEACON AND WARNING SIREN</v>
      </c>
      <c r="I204" s="145" t="str">
        <f>I202</f>
        <v>LD</v>
      </c>
      <c r="J204" s="146"/>
      <c r="K204" s="147"/>
      <c r="L204" s="147"/>
      <c r="M204" s="147">
        <v>1E-3</v>
      </c>
      <c r="N204" s="145"/>
      <c r="O204" s="145"/>
      <c r="P204" s="145"/>
      <c r="Q204" s="148" t="s">
        <v>4861</v>
      </c>
      <c r="R204" s="148"/>
      <c r="S204" s="149"/>
      <c r="T204" s="149"/>
      <c r="U204" s="149"/>
      <c r="V204" s="149"/>
      <c r="W204" s="149"/>
      <c r="X204" s="149"/>
      <c r="Y204" s="149"/>
      <c r="Z204" s="149"/>
      <c r="AA204" s="149"/>
      <c r="AB204" s="149"/>
      <c r="AC204" s="503"/>
      <c r="AD204" s="116"/>
      <c r="AE204" s="497"/>
      <c r="AF204" s="494"/>
      <c r="AG204" s="491"/>
      <c r="AH204" s="117"/>
      <c r="AI204" s="118"/>
      <c r="AJ204" s="488"/>
      <c r="AK204" s="150"/>
      <c r="AL204" s="151"/>
      <c r="AM204" s="152">
        <f t="shared" ref="AM204:AW204" si="251">IF(ISERROR(LOOKUP(AM$6,$S204:$AB204,$S$9:$AB$9)),0,(LOOKUP(AM$6,$S204:$AB204,$S$9:$AB$9)))</f>
        <v>0</v>
      </c>
      <c r="AN204" s="153">
        <f t="shared" si="251"/>
        <v>0</v>
      </c>
      <c r="AO204" s="153">
        <f t="shared" si="251"/>
        <v>0</v>
      </c>
      <c r="AP204" s="153">
        <f t="shared" si="251"/>
        <v>0</v>
      </c>
      <c r="AQ204" s="153">
        <f t="shared" si="251"/>
        <v>0</v>
      </c>
      <c r="AR204" s="153">
        <f t="shared" si="251"/>
        <v>0</v>
      </c>
      <c r="AS204" s="153">
        <f t="shared" si="251"/>
        <v>0</v>
      </c>
      <c r="AT204" s="153">
        <f t="shared" si="251"/>
        <v>0</v>
      </c>
      <c r="AU204" s="153">
        <f t="shared" si="251"/>
        <v>0</v>
      </c>
      <c r="AV204" s="153">
        <f t="shared" si="251"/>
        <v>0</v>
      </c>
      <c r="AW204" s="153">
        <f t="shared" ca="1" si="251"/>
        <v>0</v>
      </c>
      <c r="BB204" s="135"/>
    </row>
    <row r="205" spans="1:54" s="21" customFormat="1" ht="18" customHeight="1">
      <c r="A205" s="513">
        <f>A202+1</f>
        <v>66</v>
      </c>
      <c r="B205" s="154" t="s">
        <v>4920</v>
      </c>
      <c r="C205" s="507" t="s">
        <v>4855</v>
      </c>
      <c r="D205" s="80" t="s">
        <v>4882</v>
      </c>
      <c r="E205" s="127" t="s">
        <v>4917</v>
      </c>
      <c r="F205" s="128" t="s">
        <v>75</v>
      </c>
      <c r="G205" s="504"/>
      <c r="H205" s="82" t="s">
        <v>4929</v>
      </c>
      <c r="I205" s="127" t="s">
        <v>9</v>
      </c>
      <c r="J205" s="128"/>
      <c r="K205" s="129">
        <f>M207</f>
        <v>1E-3</v>
      </c>
      <c r="L205" s="129"/>
      <c r="M205" s="129"/>
      <c r="N205" s="127"/>
      <c r="O205" s="127"/>
      <c r="P205" s="127"/>
      <c r="Q205" s="130" t="s">
        <v>4858</v>
      </c>
      <c r="R205" s="130"/>
      <c r="S205" s="155" t="e">
        <f>WORKDAY(T205,-INDEX(T$2:T$5,MATCH($I205,$I$2:$I$5,0)),'[35]Equipment List and MR List (3)'!$A$2:$A$80)</f>
        <v>#REF!</v>
      </c>
      <c r="T205" s="155" t="e">
        <f>WORKDAY(U205,-INDEX(U$2:U$5,MATCH($I205,$I$2:$I$5,0)),$BB$10:$BB$141)</f>
        <v>#REF!</v>
      </c>
      <c r="U205" s="155" t="e">
        <f>WORKDAY(V205,-INDEX(V$2:V$5,MATCH($I205,$I$2:$I$5,0)),$BB$10:$BB$141)</f>
        <v>#REF!</v>
      </c>
      <c r="V205" s="155" t="e">
        <f>WORKDAY(W205,-INDEX(W$2:W$5,MATCH($I205,$I$2:$I$5,0)),$BB$10:$BB$141)</f>
        <v>#REF!</v>
      </c>
      <c r="W205" s="155" t="e">
        <f>WORKDAY(#REF!,-INDEX(#REF!,MATCH($I205,$I$2:$I$5,0)),$BB$10:$BB$141)</f>
        <v>#REF!</v>
      </c>
      <c r="X205" s="155" t="e">
        <f>WORKDAY(Y205,-INDEX(Y$2:Y$5,MATCH($I205,$I$2:$I$5,0)),$BB$10:$BB$141)</f>
        <v>#REF!</v>
      </c>
      <c r="Y205" s="155" t="e">
        <f>WORKDAY(Z205,-INDEX(Z$2:Z$5,MATCH($I205,$I$2:$I$5,0)),$BB$10:$BB$141)</f>
        <v>#REF!</v>
      </c>
      <c r="Z205" s="155" t="e">
        <f>WORKDAY(AA205,-INDEX(AA$2:AA$5,MATCH($I205,$I$2:$I$5,0)),$BB$10:$BB$141)</f>
        <v>#REF!</v>
      </c>
      <c r="AA205" s="155" t="e">
        <f>WORKDAY(#REF!,-INDEX(#REF!,MATCH($I205,$I$2:$I$5,0)),$BB$10:$BB$141)</f>
        <v>#REF!</v>
      </c>
      <c r="AB205" s="155">
        <f>WORKDAY(AG205,0,'[35]Equipment List and MR List (3)'!$A$2:$A$80)</f>
        <v>0</v>
      </c>
      <c r="AC205" s="501" t="s">
        <v>4859</v>
      </c>
      <c r="AD205" s="87">
        <v>7</v>
      </c>
      <c r="AE205" s="495"/>
      <c r="AF205" s="492" t="e">
        <f>AB206</f>
        <v>#REF!</v>
      </c>
      <c r="AG205" s="489"/>
      <c r="AH205" s="88"/>
      <c r="AI205" s="89"/>
      <c r="AJ205" s="486" t="e">
        <f>AG205-AF205</f>
        <v>#REF!</v>
      </c>
      <c r="AK205" s="131"/>
      <c r="AL205" s="132"/>
      <c r="AM205" s="133">
        <f t="shared" ref="AM205:AW205" si="252">IF(ISERROR(LOOKUP(AM$6,$S205:$AB205,$S$9:$AB$9)),0,(LOOKUP(AM$6,$S205:$AB205,$S$9:$AB$9)))</f>
        <v>0.95</v>
      </c>
      <c r="AN205" s="134">
        <f t="shared" si="252"/>
        <v>0.95</v>
      </c>
      <c r="AO205" s="134">
        <f t="shared" si="252"/>
        <v>0.95</v>
      </c>
      <c r="AP205" s="134">
        <f t="shared" si="252"/>
        <v>0.95</v>
      </c>
      <c r="AQ205" s="134">
        <f t="shared" si="252"/>
        <v>0.95</v>
      </c>
      <c r="AR205" s="134">
        <f t="shared" si="252"/>
        <v>0.95</v>
      </c>
      <c r="AS205" s="134">
        <f t="shared" si="252"/>
        <v>0.95</v>
      </c>
      <c r="AT205" s="134">
        <f t="shared" si="252"/>
        <v>0.95</v>
      </c>
      <c r="AU205" s="134">
        <f t="shared" si="252"/>
        <v>0.95</v>
      </c>
      <c r="AV205" s="134">
        <f t="shared" si="252"/>
        <v>0.95</v>
      </c>
      <c r="AW205" s="134">
        <f t="shared" ca="1" si="252"/>
        <v>0.95</v>
      </c>
      <c r="BB205" s="135"/>
    </row>
    <row r="206" spans="1:54" s="21" customFormat="1" ht="18" customHeight="1">
      <c r="A206" s="514"/>
      <c r="B206" s="156"/>
      <c r="C206" s="508"/>
      <c r="D206" s="96" t="str">
        <f>D205</f>
        <v>ELE</v>
      </c>
      <c r="E206" s="136" t="str">
        <f>E205</f>
        <v>RFQ-054</v>
      </c>
      <c r="F206" s="137" t="str">
        <f>F205</f>
        <v>N</v>
      </c>
      <c r="G206" s="505"/>
      <c r="H206" s="98" t="str">
        <f>H205</f>
        <v>PRESERVATION AND SEA-FASTENING MATERIAL</v>
      </c>
      <c r="I206" s="136" t="str">
        <f>I205</f>
        <v>LD</v>
      </c>
      <c r="J206" s="137"/>
      <c r="K206" s="138"/>
      <c r="L206" s="138">
        <f>M207</f>
        <v>1E-3</v>
      </c>
      <c r="M206" s="138"/>
      <c r="N206" s="136"/>
      <c r="O206" s="136"/>
      <c r="P206" s="136"/>
      <c r="Q206" s="139" t="s">
        <v>4860</v>
      </c>
      <c r="R206" s="139"/>
      <c r="S206" s="140" t="e">
        <f>S205</f>
        <v>#REF!</v>
      </c>
      <c r="T206" s="141" t="e">
        <f>T205</f>
        <v>#REF!</v>
      </c>
      <c r="U206" s="141" t="e">
        <f>WORKDAY(IF(T207="",T206,T207),INDEX(U$2:U$5,MATCH($I205,$I$2:$I$5,0)),$BB$10:$BB$141)</f>
        <v>#REF!</v>
      </c>
      <c r="V206" s="141" t="e">
        <f>WORKDAY(IF(U207="",U206,U207),INDEX(V$2:V$5,MATCH($I205,$I$2:$I$5,0)),$BB$10:$BB$141)</f>
        <v>#REF!</v>
      </c>
      <c r="W206" s="141" t="e">
        <f>WORKDAY(IF(V207="",V206,V207),INDEX(W$2:W$5,MATCH($I205,$I$2:$I$5,0)),$BB$10:$BB$141)</f>
        <v>#REF!</v>
      </c>
      <c r="X206" s="141" t="e">
        <f>WORKDAY(IF(#REF!="",#REF!,#REF!),INDEX(X$2:X$5,MATCH($I205,$I$2:$I$5,0)),$BB$10:$BB$141)</f>
        <v>#REF!</v>
      </c>
      <c r="Y206" s="141" t="e">
        <f>WORKDAY(IF(X207="",X206,X207),INDEX(Y$2:Y$5,MATCH($I205,$I$2:$I$5,0)),$BB$10:$BB$141)</f>
        <v>#REF!</v>
      </c>
      <c r="Z206" s="141" t="e">
        <f>WORKDAY(IF(Y207="",Y206,Y207),INDEX(Z$2:Z$5,MATCH($I205,$I$2:$I$5,0)),$BB$10:$BB$141)</f>
        <v>#REF!</v>
      </c>
      <c r="AA206" s="141" t="e">
        <f>WORKDAY(IF(Z207="",Z206,Z207),INDEX(AA$2:AA$5,MATCH($I205,$I$2:$I$5,0)),$BB$10:$BB$141)</f>
        <v>#REF!</v>
      </c>
      <c r="AB206" s="142" t="e">
        <f>AE205+#REF!</f>
        <v>#REF!</v>
      </c>
      <c r="AC206" s="502"/>
      <c r="AD206" s="105"/>
      <c r="AE206" s="496"/>
      <c r="AF206" s="493"/>
      <c r="AG206" s="490"/>
      <c r="AH206" s="106"/>
      <c r="AI206" s="107"/>
      <c r="AJ206" s="487"/>
      <c r="AK206" s="143"/>
      <c r="AL206" s="144"/>
      <c r="AM206" s="133">
        <f t="shared" ref="AM206:AW206" si="253">IF(ISERROR(LOOKUP(AM$6,$S206:$AB206,$S$9:$AB$9)),0,(LOOKUP(AM$6,$S206:$AB206,$S$9:$AB$9)))</f>
        <v>0</v>
      </c>
      <c r="AN206" s="134">
        <f t="shared" si="253"/>
        <v>0</v>
      </c>
      <c r="AO206" s="134">
        <f t="shared" si="253"/>
        <v>0</v>
      </c>
      <c r="AP206" s="134">
        <f t="shared" si="253"/>
        <v>0</v>
      </c>
      <c r="AQ206" s="134">
        <f t="shared" si="253"/>
        <v>0</v>
      </c>
      <c r="AR206" s="134">
        <f t="shared" si="253"/>
        <v>0</v>
      </c>
      <c r="AS206" s="134">
        <f t="shared" si="253"/>
        <v>0</v>
      </c>
      <c r="AT206" s="134">
        <f t="shared" si="253"/>
        <v>0</v>
      </c>
      <c r="AU206" s="134">
        <f t="shared" si="253"/>
        <v>0</v>
      </c>
      <c r="AV206" s="134">
        <f t="shared" si="253"/>
        <v>0</v>
      </c>
      <c r="AW206" s="134">
        <f t="shared" ca="1" si="253"/>
        <v>0</v>
      </c>
      <c r="BB206" s="135"/>
    </row>
    <row r="207" spans="1:54" s="21" customFormat="1" ht="18" customHeight="1">
      <c r="A207" s="515"/>
      <c r="B207" s="157"/>
      <c r="C207" s="509"/>
      <c r="D207" s="111" t="str">
        <f>D205</f>
        <v>ELE</v>
      </c>
      <c r="E207" s="145" t="str">
        <f>E205</f>
        <v>RFQ-054</v>
      </c>
      <c r="F207" s="146" t="str">
        <f>F205</f>
        <v>N</v>
      </c>
      <c r="G207" s="506"/>
      <c r="H207" s="113" t="str">
        <f>H205</f>
        <v>PRESERVATION AND SEA-FASTENING MATERIAL</v>
      </c>
      <c r="I207" s="145" t="str">
        <f>I205</f>
        <v>LD</v>
      </c>
      <c r="J207" s="146"/>
      <c r="K207" s="147"/>
      <c r="L207" s="147"/>
      <c r="M207" s="147">
        <v>1E-3</v>
      </c>
      <c r="N207" s="145"/>
      <c r="O207" s="145"/>
      <c r="P207" s="145"/>
      <c r="Q207" s="148" t="s">
        <v>4861</v>
      </c>
      <c r="R207" s="148"/>
      <c r="S207" s="149"/>
      <c r="T207" s="149"/>
      <c r="U207" s="149"/>
      <c r="V207" s="149"/>
      <c r="W207" s="149"/>
      <c r="X207" s="149"/>
      <c r="Y207" s="149"/>
      <c r="Z207" s="149"/>
      <c r="AA207" s="149"/>
      <c r="AB207" s="149"/>
      <c r="AC207" s="503"/>
      <c r="AD207" s="116"/>
      <c r="AE207" s="497"/>
      <c r="AF207" s="494"/>
      <c r="AG207" s="491"/>
      <c r="AH207" s="117"/>
      <c r="AI207" s="118"/>
      <c r="AJ207" s="488"/>
      <c r="AK207" s="150"/>
      <c r="AL207" s="151"/>
      <c r="AM207" s="152">
        <f t="shared" ref="AM207:AW207" si="254">IF(ISERROR(LOOKUP(AM$6,$S207:$AB207,$S$9:$AB$9)),0,(LOOKUP(AM$6,$S207:$AB207,$S$9:$AB$9)))</f>
        <v>0</v>
      </c>
      <c r="AN207" s="153">
        <f t="shared" si="254"/>
        <v>0</v>
      </c>
      <c r="AO207" s="153">
        <f t="shared" si="254"/>
        <v>0</v>
      </c>
      <c r="AP207" s="153">
        <f t="shared" si="254"/>
        <v>0</v>
      </c>
      <c r="AQ207" s="153">
        <f t="shared" si="254"/>
        <v>0</v>
      </c>
      <c r="AR207" s="153">
        <f t="shared" si="254"/>
        <v>0</v>
      </c>
      <c r="AS207" s="153">
        <f t="shared" si="254"/>
        <v>0</v>
      </c>
      <c r="AT207" s="153">
        <f t="shared" si="254"/>
        <v>0</v>
      </c>
      <c r="AU207" s="153">
        <f t="shared" si="254"/>
        <v>0</v>
      </c>
      <c r="AV207" s="153">
        <f t="shared" si="254"/>
        <v>0</v>
      </c>
      <c r="AW207" s="153">
        <f t="shared" ca="1" si="254"/>
        <v>0</v>
      </c>
      <c r="BB207" s="135"/>
    </row>
    <row r="208" spans="1:54" s="21" customFormat="1" ht="18" customHeight="1">
      <c r="A208" s="513">
        <f>A205+1</f>
        <v>67</v>
      </c>
      <c r="B208" s="154" t="s">
        <v>4920</v>
      </c>
      <c r="C208" s="507" t="s">
        <v>4855</v>
      </c>
      <c r="D208" s="80" t="s">
        <v>4867</v>
      </c>
      <c r="E208" s="127" t="s">
        <v>4917</v>
      </c>
      <c r="F208" s="128" t="s">
        <v>75</v>
      </c>
      <c r="G208" s="158"/>
      <c r="H208" s="98" t="s">
        <v>4930</v>
      </c>
      <c r="I208" s="127" t="s">
        <v>9</v>
      </c>
      <c r="J208" s="128"/>
      <c r="K208" s="129">
        <f>M210</f>
        <v>1E-3</v>
      </c>
      <c r="L208" s="129"/>
      <c r="M208" s="129"/>
      <c r="N208" s="127"/>
      <c r="O208" s="127"/>
      <c r="P208" s="127"/>
      <c r="Q208" s="130" t="s">
        <v>4858</v>
      </c>
      <c r="R208" s="130"/>
      <c r="S208" s="155" t="e">
        <f>WORKDAY(T208,-INDEX(T$2:T$5,MATCH($I208,$I$2:$I$5,0)),'[35]Equipment List and MR List (3)'!$A$2:$A$80)</f>
        <v>#REF!</v>
      </c>
      <c r="T208" s="155" t="e">
        <f>WORKDAY(U208,-INDEX(U$2:U$5,MATCH($I208,$I$2:$I$5,0)),$BB$10:$BB$141)</f>
        <v>#REF!</v>
      </c>
      <c r="U208" s="155" t="e">
        <f>WORKDAY(V208,-INDEX(V$2:V$5,MATCH($I208,$I$2:$I$5,0)),$BB$10:$BB$141)</f>
        <v>#REF!</v>
      </c>
      <c r="V208" s="155" t="e">
        <f>WORKDAY(W208,-INDEX(W$2:W$5,MATCH($I208,$I$2:$I$5,0)),$BB$10:$BB$141)</f>
        <v>#REF!</v>
      </c>
      <c r="W208" s="155" t="e">
        <f>WORKDAY(#REF!,-INDEX(#REF!,MATCH($I208,$I$2:$I$5,0)),$BB$10:$BB$141)</f>
        <v>#REF!</v>
      </c>
      <c r="X208" s="155" t="e">
        <f>WORKDAY(Y208,-INDEX(Y$2:Y$5,MATCH($I208,$I$2:$I$5,0)),$BB$10:$BB$141)</f>
        <v>#REF!</v>
      </c>
      <c r="Y208" s="155" t="e">
        <f>WORKDAY(Z208,-INDEX(Z$2:Z$5,MATCH($I208,$I$2:$I$5,0)),$BB$10:$BB$141)</f>
        <v>#REF!</v>
      </c>
      <c r="Z208" s="155" t="e">
        <f>WORKDAY(AA208,-INDEX(AA$2:AA$5,MATCH($I208,$I$2:$I$5,0)),$BB$10:$BB$141)</f>
        <v>#REF!</v>
      </c>
      <c r="AA208" s="155" t="e">
        <f>WORKDAY(#REF!,-INDEX(#REF!,MATCH($I208,$I$2:$I$5,0)),$BB$10:$BB$141)</f>
        <v>#REF!</v>
      </c>
      <c r="AB208" s="155">
        <f>WORKDAY(AG208,0,'[35]Equipment List and MR List (3)'!$A$2:$A$80)</f>
        <v>0</v>
      </c>
      <c r="AC208" s="501" t="s">
        <v>4859</v>
      </c>
      <c r="AD208" s="87">
        <v>7</v>
      </c>
      <c r="AE208" s="495">
        <v>69</v>
      </c>
      <c r="AF208" s="492" t="e">
        <f>AB209</f>
        <v>#REF!</v>
      </c>
      <c r="AG208" s="489"/>
      <c r="AH208" s="88"/>
      <c r="AI208" s="89"/>
      <c r="AJ208" s="486" t="e">
        <f>AG208-AF208</f>
        <v>#REF!</v>
      </c>
      <c r="AK208" s="131"/>
      <c r="AL208" s="132"/>
      <c r="AM208" s="133">
        <f t="shared" ref="AM208:AW208" si="255">IF(ISERROR(LOOKUP(AM$6,$S208:$AB208,$S$9:$AB$9)),0,(LOOKUP(AM$6,$S208:$AB208,$S$9:$AB$9)))</f>
        <v>0.95</v>
      </c>
      <c r="AN208" s="134">
        <f t="shared" si="255"/>
        <v>0.95</v>
      </c>
      <c r="AO208" s="134">
        <f t="shared" si="255"/>
        <v>0.95</v>
      </c>
      <c r="AP208" s="134">
        <f t="shared" si="255"/>
        <v>0.95</v>
      </c>
      <c r="AQ208" s="134">
        <f t="shared" si="255"/>
        <v>0.95</v>
      </c>
      <c r="AR208" s="134">
        <f t="shared" si="255"/>
        <v>0.95</v>
      </c>
      <c r="AS208" s="134">
        <f t="shared" si="255"/>
        <v>0.95</v>
      </c>
      <c r="AT208" s="134">
        <f t="shared" si="255"/>
        <v>0.95</v>
      </c>
      <c r="AU208" s="134">
        <f t="shared" si="255"/>
        <v>0.95</v>
      </c>
      <c r="AV208" s="134">
        <f t="shared" si="255"/>
        <v>0.95</v>
      </c>
      <c r="AW208" s="134">
        <f t="shared" ca="1" si="255"/>
        <v>0.95</v>
      </c>
      <c r="BB208" s="135"/>
    </row>
    <row r="209" spans="1:54" s="21" customFormat="1" ht="18" customHeight="1">
      <c r="A209" s="514"/>
      <c r="B209" s="156"/>
      <c r="C209" s="508"/>
      <c r="D209" s="96" t="str">
        <f>D208</f>
        <v>PIP</v>
      </c>
      <c r="E209" s="136" t="str">
        <f>E208</f>
        <v>RFQ-054</v>
      </c>
      <c r="F209" s="137" t="str">
        <f>F208</f>
        <v>N</v>
      </c>
      <c r="G209" s="159"/>
      <c r="H209" s="98" t="str">
        <f>H208</f>
        <v>PIPING SURPPORT</v>
      </c>
      <c r="I209" s="136" t="str">
        <f>I208</f>
        <v>LD</v>
      </c>
      <c r="J209" s="137"/>
      <c r="K209" s="138"/>
      <c r="L209" s="138">
        <f>M210</f>
        <v>1E-3</v>
      </c>
      <c r="M209" s="138"/>
      <c r="N209" s="136"/>
      <c r="O209" s="136"/>
      <c r="P209" s="136"/>
      <c r="Q209" s="139" t="s">
        <v>4860</v>
      </c>
      <c r="R209" s="139"/>
      <c r="S209" s="140" t="e">
        <f>S208</f>
        <v>#REF!</v>
      </c>
      <c r="T209" s="141" t="e">
        <f>T208</f>
        <v>#REF!</v>
      </c>
      <c r="U209" s="141" t="e">
        <f>WORKDAY(IF(T210="",T209,T210),INDEX(U$2:U$5,MATCH($I208,$I$2:$I$5,0)),$BB$10:$BB$141)</f>
        <v>#REF!</v>
      </c>
      <c r="V209" s="141" t="e">
        <f>WORKDAY(IF(U210="",U209,U210),INDEX(V$2:V$5,MATCH($I208,$I$2:$I$5,0)),$BB$10:$BB$141)</f>
        <v>#REF!</v>
      </c>
      <c r="W209" s="141" t="e">
        <f>WORKDAY(IF(V210="",V209,V210),INDEX(W$2:W$5,MATCH($I208,$I$2:$I$5,0)),$BB$10:$BB$141)</f>
        <v>#REF!</v>
      </c>
      <c r="X209" s="141" t="e">
        <f>WORKDAY(IF(#REF!="",#REF!,#REF!),INDEX(X$2:X$5,MATCH($I208,$I$2:$I$5,0)),$BB$10:$BB$141)</f>
        <v>#REF!</v>
      </c>
      <c r="Y209" s="141" t="e">
        <f>WORKDAY(IF(X210="",X209,X210),INDEX(Y$2:Y$5,MATCH($I208,$I$2:$I$5,0)),$BB$10:$BB$141)</f>
        <v>#REF!</v>
      </c>
      <c r="Z209" s="141" t="e">
        <f>WORKDAY(IF(Y210="",Y209,Y210),INDEX(Z$2:Z$5,MATCH($I208,$I$2:$I$5,0)),$BB$10:$BB$141)</f>
        <v>#REF!</v>
      </c>
      <c r="AA209" s="141" t="e">
        <f>WORKDAY(IF(Z210="",Z209,Z210),INDEX(AA$2:AA$5,MATCH($I208,$I$2:$I$5,0)),$BB$10:$BB$141)</f>
        <v>#REF!</v>
      </c>
      <c r="AB209" s="142" t="e">
        <f>AE208+#REF!</f>
        <v>#REF!</v>
      </c>
      <c r="AC209" s="502"/>
      <c r="AD209" s="105"/>
      <c r="AE209" s="496"/>
      <c r="AF209" s="493"/>
      <c r="AG209" s="490"/>
      <c r="AH209" s="106"/>
      <c r="AI209" s="107"/>
      <c r="AJ209" s="487"/>
      <c r="AK209" s="143"/>
      <c r="AL209" s="144"/>
      <c r="AM209" s="133">
        <f t="shared" ref="AM209:AW209" si="256">IF(ISERROR(LOOKUP(AM$6,$S209:$AB209,$S$9:$AB$9)),0,(LOOKUP(AM$6,$S209:$AB209,$S$9:$AB$9)))</f>
        <v>0</v>
      </c>
      <c r="AN209" s="134">
        <f t="shared" si="256"/>
        <v>0</v>
      </c>
      <c r="AO209" s="134">
        <f t="shared" si="256"/>
        <v>0</v>
      </c>
      <c r="AP209" s="134">
        <f t="shared" si="256"/>
        <v>0</v>
      </c>
      <c r="AQ209" s="134">
        <f t="shared" si="256"/>
        <v>0</v>
      </c>
      <c r="AR209" s="134">
        <f t="shared" si="256"/>
        <v>0</v>
      </c>
      <c r="AS209" s="134">
        <f t="shared" si="256"/>
        <v>0</v>
      </c>
      <c r="AT209" s="134">
        <f t="shared" si="256"/>
        <v>0</v>
      </c>
      <c r="AU209" s="134">
        <f t="shared" si="256"/>
        <v>0</v>
      </c>
      <c r="AV209" s="134">
        <f t="shared" si="256"/>
        <v>0</v>
      </c>
      <c r="AW209" s="134">
        <f t="shared" ca="1" si="256"/>
        <v>0</v>
      </c>
      <c r="BB209" s="135"/>
    </row>
    <row r="210" spans="1:54" s="21" customFormat="1" ht="18" customHeight="1">
      <c r="A210" s="515"/>
      <c r="B210" s="157"/>
      <c r="C210" s="509"/>
      <c r="D210" s="111" t="str">
        <f>D208</f>
        <v>PIP</v>
      </c>
      <c r="E210" s="145" t="str">
        <f>E208</f>
        <v>RFQ-054</v>
      </c>
      <c r="F210" s="146" t="str">
        <f>F208</f>
        <v>N</v>
      </c>
      <c r="G210" s="160"/>
      <c r="H210" s="98" t="str">
        <f>H208</f>
        <v>PIPING SURPPORT</v>
      </c>
      <c r="I210" s="145" t="str">
        <f>I208</f>
        <v>LD</v>
      </c>
      <c r="J210" s="146"/>
      <c r="K210" s="147"/>
      <c r="L210" s="147"/>
      <c r="M210" s="147">
        <v>1E-3</v>
      </c>
      <c r="N210" s="145"/>
      <c r="O210" s="145"/>
      <c r="P210" s="145"/>
      <c r="Q210" s="148" t="s">
        <v>4861</v>
      </c>
      <c r="R210" s="148"/>
      <c r="S210" s="149"/>
      <c r="T210" s="149"/>
      <c r="U210" s="149"/>
      <c r="V210" s="149"/>
      <c r="W210" s="149"/>
      <c r="X210" s="149"/>
      <c r="Y210" s="149"/>
      <c r="Z210" s="149"/>
      <c r="AA210" s="149"/>
      <c r="AB210" s="149"/>
      <c r="AC210" s="503"/>
      <c r="AD210" s="116"/>
      <c r="AE210" s="497"/>
      <c r="AF210" s="494"/>
      <c r="AG210" s="491"/>
      <c r="AH210" s="117"/>
      <c r="AI210" s="118"/>
      <c r="AJ210" s="488"/>
      <c r="AK210" s="150"/>
      <c r="AL210" s="151"/>
      <c r="AM210" s="152">
        <f t="shared" ref="AM210:AW210" si="257">IF(ISERROR(LOOKUP(AM$6,$S210:$AB210,$S$9:$AB$9)),0,(LOOKUP(AM$6,$S210:$AB210,$S$9:$AB$9)))</f>
        <v>0</v>
      </c>
      <c r="AN210" s="153">
        <f t="shared" si="257"/>
        <v>0</v>
      </c>
      <c r="AO210" s="153">
        <f t="shared" si="257"/>
        <v>0</v>
      </c>
      <c r="AP210" s="153">
        <f t="shared" si="257"/>
        <v>0</v>
      </c>
      <c r="AQ210" s="153">
        <f t="shared" si="257"/>
        <v>0</v>
      </c>
      <c r="AR210" s="153">
        <f t="shared" si="257"/>
        <v>0</v>
      </c>
      <c r="AS210" s="153">
        <f t="shared" si="257"/>
        <v>0</v>
      </c>
      <c r="AT210" s="153">
        <f t="shared" si="257"/>
        <v>0</v>
      </c>
      <c r="AU210" s="153">
        <f t="shared" si="257"/>
        <v>0</v>
      </c>
      <c r="AV210" s="153">
        <f t="shared" si="257"/>
        <v>0</v>
      </c>
      <c r="AW210" s="153">
        <f t="shared" ca="1" si="257"/>
        <v>0</v>
      </c>
      <c r="BB210" s="135"/>
    </row>
    <row r="211" spans="1:54" s="21" customFormat="1" ht="18" customHeight="1">
      <c r="A211" s="513">
        <f>A208+1</f>
        <v>68</v>
      </c>
      <c r="B211" s="154" t="s">
        <v>4920</v>
      </c>
      <c r="C211" s="507" t="s">
        <v>4855</v>
      </c>
      <c r="D211" s="80" t="s">
        <v>4867</v>
      </c>
      <c r="E211" s="127" t="s">
        <v>4917</v>
      </c>
      <c r="F211" s="128" t="s">
        <v>75</v>
      </c>
      <c r="G211" s="158"/>
      <c r="H211" s="161" t="s">
        <v>4931</v>
      </c>
      <c r="I211" s="127" t="s">
        <v>9</v>
      </c>
      <c r="J211" s="128"/>
      <c r="K211" s="129">
        <f>M213</f>
        <v>1E-3</v>
      </c>
      <c r="L211" s="129"/>
      <c r="M211" s="129"/>
      <c r="N211" s="127"/>
      <c r="O211" s="127"/>
      <c r="P211" s="127"/>
      <c r="Q211" s="130" t="s">
        <v>4858</v>
      </c>
      <c r="R211" s="130"/>
      <c r="S211" s="155" t="e">
        <f>WORKDAY(T211,-INDEX(T$2:T$5,MATCH($I211,$I$2:$I$5,0)),'[35]Equipment List and MR List (3)'!$A$2:$A$80)</f>
        <v>#REF!</v>
      </c>
      <c r="T211" s="155" t="e">
        <f>WORKDAY(U211,-INDEX(U$2:U$5,MATCH($I211,$I$2:$I$5,0)),$BB$10:$BB$141)</f>
        <v>#REF!</v>
      </c>
      <c r="U211" s="155" t="e">
        <f>WORKDAY(V211,-INDEX(V$2:V$5,MATCH($I211,$I$2:$I$5,0)),$BB$10:$BB$141)</f>
        <v>#REF!</v>
      </c>
      <c r="V211" s="155" t="e">
        <f>WORKDAY(W211,-INDEX(W$2:W$5,MATCH($I211,$I$2:$I$5,0)),$BB$10:$BB$141)</f>
        <v>#REF!</v>
      </c>
      <c r="W211" s="155" t="e">
        <f>WORKDAY(#REF!,-INDEX(#REF!,MATCH($I211,$I$2:$I$5,0)),$BB$10:$BB$141)</f>
        <v>#REF!</v>
      </c>
      <c r="X211" s="155" t="e">
        <f>WORKDAY(Y211,-INDEX(Y$2:Y$5,MATCH($I211,$I$2:$I$5,0)),$BB$10:$BB$141)</f>
        <v>#REF!</v>
      </c>
      <c r="Y211" s="155" t="e">
        <f>WORKDAY(Z211,-INDEX(Z$2:Z$5,MATCH($I211,$I$2:$I$5,0)),$BB$10:$BB$141)</f>
        <v>#REF!</v>
      </c>
      <c r="Z211" s="155" t="e">
        <f>WORKDAY(AA211,-INDEX(AA$2:AA$5,MATCH($I211,$I$2:$I$5,0)),$BB$10:$BB$141)</f>
        <v>#REF!</v>
      </c>
      <c r="AA211" s="155" t="e">
        <f>WORKDAY(#REF!,-INDEX(#REF!,MATCH($I211,$I$2:$I$5,0)),$BB$10:$BB$141)</f>
        <v>#REF!</v>
      </c>
      <c r="AB211" s="155">
        <f>WORKDAY(AG211,0,'[35]Equipment List and MR List (3)'!$A$2:$A$80)</f>
        <v>0</v>
      </c>
      <c r="AC211" s="501" t="s">
        <v>4859</v>
      </c>
      <c r="AD211" s="87">
        <v>7</v>
      </c>
      <c r="AE211" s="495">
        <v>151</v>
      </c>
      <c r="AF211" s="492" t="e">
        <f>AB212</f>
        <v>#REF!</v>
      </c>
      <c r="AG211" s="489"/>
      <c r="AH211" s="88"/>
      <c r="AI211" s="89"/>
      <c r="AJ211" s="486" t="e">
        <f>AG211-AF211</f>
        <v>#REF!</v>
      </c>
      <c r="AK211" s="131"/>
      <c r="AL211" s="132"/>
      <c r="AM211" s="133">
        <f t="shared" ref="AM211:AW211" si="258">IF(ISERROR(LOOKUP(AM$6,$S211:$AB211,$S$9:$AB$9)),0,(LOOKUP(AM$6,$S211:$AB211,$S$9:$AB$9)))</f>
        <v>0.95</v>
      </c>
      <c r="AN211" s="134">
        <f t="shared" si="258"/>
        <v>0.95</v>
      </c>
      <c r="AO211" s="134">
        <f t="shared" si="258"/>
        <v>0.95</v>
      </c>
      <c r="AP211" s="134">
        <f t="shared" si="258"/>
        <v>0.95</v>
      </c>
      <c r="AQ211" s="134">
        <f t="shared" si="258"/>
        <v>0.95</v>
      </c>
      <c r="AR211" s="134">
        <f t="shared" si="258"/>
        <v>0.95</v>
      </c>
      <c r="AS211" s="134">
        <f t="shared" si="258"/>
        <v>0.95</v>
      </c>
      <c r="AT211" s="134">
        <f t="shared" si="258"/>
        <v>0.95</v>
      </c>
      <c r="AU211" s="134">
        <f t="shared" si="258"/>
        <v>0.95</v>
      </c>
      <c r="AV211" s="134">
        <f t="shared" si="258"/>
        <v>0.95</v>
      </c>
      <c r="AW211" s="134">
        <f t="shared" ca="1" si="258"/>
        <v>0.95</v>
      </c>
      <c r="BB211" s="135"/>
    </row>
    <row r="212" spans="1:54" s="21" customFormat="1" ht="18" customHeight="1">
      <c r="A212" s="514"/>
      <c r="B212" s="156"/>
      <c r="C212" s="508"/>
      <c r="D212" s="96" t="str">
        <f>D211</f>
        <v>PIP</v>
      </c>
      <c r="E212" s="136" t="str">
        <f>E211</f>
        <v>RFQ-054</v>
      </c>
      <c r="F212" s="137" t="str">
        <f>F211</f>
        <v>N</v>
      </c>
      <c r="G212" s="159"/>
      <c r="H212" s="162" t="str">
        <f>H211</f>
        <v>Strainer</v>
      </c>
      <c r="I212" s="136" t="str">
        <f>I211</f>
        <v>LD</v>
      </c>
      <c r="J212" s="137"/>
      <c r="K212" s="138"/>
      <c r="L212" s="138">
        <f>M213</f>
        <v>1E-3</v>
      </c>
      <c r="M212" s="138"/>
      <c r="N212" s="136"/>
      <c r="O212" s="136"/>
      <c r="P212" s="136"/>
      <c r="Q212" s="139" t="s">
        <v>4860</v>
      </c>
      <c r="R212" s="139"/>
      <c r="S212" s="140" t="e">
        <f>S211</f>
        <v>#REF!</v>
      </c>
      <c r="T212" s="141" t="e">
        <f>T211</f>
        <v>#REF!</v>
      </c>
      <c r="U212" s="141" t="e">
        <f>WORKDAY(IF(T213="",T212,T213),INDEX(U$2:U$5,MATCH($I211,$I$2:$I$5,0)),$BB$10:$BB$141)</f>
        <v>#REF!</v>
      </c>
      <c r="V212" s="141" t="e">
        <f>WORKDAY(IF(U213="",U212,U213),INDEX(V$2:V$5,MATCH($I211,$I$2:$I$5,0)),$BB$10:$BB$141)</f>
        <v>#REF!</v>
      </c>
      <c r="W212" s="141" t="e">
        <f>WORKDAY(IF(V213="",V212,V213),INDEX(W$2:W$5,MATCH($I211,$I$2:$I$5,0)),$BB$10:$BB$141)</f>
        <v>#REF!</v>
      </c>
      <c r="X212" s="141" t="e">
        <f>WORKDAY(IF(#REF!="",#REF!,#REF!),INDEX(X$2:X$5,MATCH($I211,$I$2:$I$5,0)),$BB$10:$BB$141)</f>
        <v>#REF!</v>
      </c>
      <c r="Y212" s="141" t="e">
        <f>WORKDAY(IF(X213="",X212,X213),INDEX(Y$2:Y$5,MATCH($I211,$I$2:$I$5,0)),$BB$10:$BB$141)</f>
        <v>#REF!</v>
      </c>
      <c r="Z212" s="141" t="e">
        <f>WORKDAY(IF(Y213="",Y212,Y213),INDEX(Z$2:Z$5,MATCH($I211,$I$2:$I$5,0)),$BB$10:$BB$141)</f>
        <v>#REF!</v>
      </c>
      <c r="AA212" s="141" t="e">
        <f>WORKDAY(IF(Z213="",Z212,Z213),INDEX(AA$2:AA$5,MATCH($I211,$I$2:$I$5,0)),$BB$10:$BB$141)</f>
        <v>#REF!</v>
      </c>
      <c r="AB212" s="142" t="e">
        <f>AE211+#REF!</f>
        <v>#REF!</v>
      </c>
      <c r="AC212" s="502"/>
      <c r="AD212" s="105"/>
      <c r="AE212" s="496"/>
      <c r="AF212" s="493"/>
      <c r="AG212" s="490"/>
      <c r="AH212" s="106"/>
      <c r="AI212" s="107"/>
      <c r="AJ212" s="487"/>
      <c r="AK212" s="143"/>
      <c r="AL212" s="144"/>
      <c r="AM212" s="133">
        <f t="shared" ref="AM212:AW212" si="259">IF(ISERROR(LOOKUP(AM$6,$S212:$AB212,$S$9:$AB$9)),0,(LOOKUP(AM$6,$S212:$AB212,$S$9:$AB$9)))</f>
        <v>0</v>
      </c>
      <c r="AN212" s="134">
        <f t="shared" si="259"/>
        <v>0</v>
      </c>
      <c r="AO212" s="134">
        <f t="shared" si="259"/>
        <v>0</v>
      </c>
      <c r="AP212" s="134">
        <f t="shared" si="259"/>
        <v>0</v>
      </c>
      <c r="AQ212" s="134">
        <f t="shared" si="259"/>
        <v>0</v>
      </c>
      <c r="AR212" s="134">
        <f t="shared" si="259"/>
        <v>0</v>
      </c>
      <c r="AS212" s="134">
        <f t="shared" si="259"/>
        <v>0</v>
      </c>
      <c r="AT212" s="134">
        <f t="shared" si="259"/>
        <v>0</v>
      </c>
      <c r="AU212" s="134">
        <f t="shared" si="259"/>
        <v>0</v>
      </c>
      <c r="AV212" s="134">
        <f t="shared" si="259"/>
        <v>0</v>
      </c>
      <c r="AW212" s="134">
        <f t="shared" ca="1" si="259"/>
        <v>0</v>
      </c>
      <c r="BB212" s="135"/>
    </row>
    <row r="213" spans="1:54" s="21" customFormat="1" ht="18" customHeight="1">
      <c r="A213" s="515"/>
      <c r="B213" s="157"/>
      <c r="C213" s="509"/>
      <c r="D213" s="111" t="str">
        <f>D211</f>
        <v>PIP</v>
      </c>
      <c r="E213" s="145" t="str">
        <f>E211</f>
        <v>RFQ-054</v>
      </c>
      <c r="F213" s="146" t="str">
        <f>F211</f>
        <v>N</v>
      </c>
      <c r="G213" s="160"/>
      <c r="H213" s="163" t="str">
        <f>H211</f>
        <v>Strainer</v>
      </c>
      <c r="I213" s="145" t="str">
        <f>I211</f>
        <v>LD</v>
      </c>
      <c r="J213" s="146"/>
      <c r="K213" s="147"/>
      <c r="L213" s="147"/>
      <c r="M213" s="147">
        <v>1E-3</v>
      </c>
      <c r="N213" s="145"/>
      <c r="O213" s="145"/>
      <c r="P213" s="145"/>
      <c r="Q213" s="148" t="s">
        <v>4861</v>
      </c>
      <c r="R213" s="148"/>
      <c r="S213" s="149"/>
      <c r="T213" s="149"/>
      <c r="U213" s="149"/>
      <c r="V213" s="149"/>
      <c r="W213" s="149"/>
      <c r="X213" s="149"/>
      <c r="Y213" s="149"/>
      <c r="Z213" s="149"/>
      <c r="AA213" s="149"/>
      <c r="AB213" s="149"/>
      <c r="AC213" s="503"/>
      <c r="AD213" s="116"/>
      <c r="AE213" s="497"/>
      <c r="AF213" s="494"/>
      <c r="AG213" s="491"/>
      <c r="AH213" s="117"/>
      <c r="AI213" s="118"/>
      <c r="AJ213" s="488"/>
      <c r="AK213" s="150"/>
      <c r="AL213" s="151"/>
      <c r="AM213" s="152">
        <f t="shared" ref="AM213:AW213" si="260">IF(ISERROR(LOOKUP(AM$6,$S213:$AB213,$S$9:$AB$9)),0,(LOOKUP(AM$6,$S213:$AB213,$S$9:$AB$9)))</f>
        <v>0</v>
      </c>
      <c r="AN213" s="153">
        <f t="shared" si="260"/>
        <v>0</v>
      </c>
      <c r="AO213" s="153">
        <f t="shared" si="260"/>
        <v>0</v>
      </c>
      <c r="AP213" s="153">
        <f t="shared" si="260"/>
        <v>0</v>
      </c>
      <c r="AQ213" s="153">
        <f t="shared" si="260"/>
        <v>0</v>
      </c>
      <c r="AR213" s="153">
        <f t="shared" si="260"/>
        <v>0</v>
      </c>
      <c r="AS213" s="153">
        <f t="shared" si="260"/>
        <v>0</v>
      </c>
      <c r="AT213" s="153">
        <f t="shared" si="260"/>
        <v>0</v>
      </c>
      <c r="AU213" s="153">
        <f t="shared" si="260"/>
        <v>0</v>
      </c>
      <c r="AV213" s="153">
        <f t="shared" si="260"/>
        <v>0</v>
      </c>
      <c r="AW213" s="153">
        <f t="shared" ca="1" si="260"/>
        <v>0</v>
      </c>
      <c r="BB213" s="135"/>
    </row>
    <row r="214" spans="1:54" s="21" customFormat="1" ht="18" customHeight="1">
      <c r="A214" s="513">
        <f>A211+1</f>
        <v>69</v>
      </c>
      <c r="B214" s="154" t="s">
        <v>4920</v>
      </c>
      <c r="C214" s="507" t="s">
        <v>4855</v>
      </c>
      <c r="D214" s="80" t="s">
        <v>4867</v>
      </c>
      <c r="E214" s="127" t="s">
        <v>4917</v>
      </c>
      <c r="F214" s="128" t="s">
        <v>75</v>
      </c>
      <c r="G214" s="158"/>
      <c r="H214" s="161" t="s">
        <v>4932</v>
      </c>
      <c r="I214" s="127" t="s">
        <v>9</v>
      </c>
      <c r="J214" s="128"/>
      <c r="K214" s="129">
        <f>M216</f>
        <v>1E-3</v>
      </c>
      <c r="L214" s="129"/>
      <c r="M214" s="129"/>
      <c r="N214" s="127"/>
      <c r="O214" s="127"/>
      <c r="P214" s="127"/>
      <c r="Q214" s="130" t="s">
        <v>4858</v>
      </c>
      <c r="R214" s="130"/>
      <c r="S214" s="155" t="e">
        <f>WORKDAY(T214,-INDEX(T$2:T$5,MATCH($I214,$I$2:$I$5,0)),'[35]Equipment List and MR List (3)'!$A$2:$A$80)</f>
        <v>#REF!</v>
      </c>
      <c r="T214" s="155" t="e">
        <f>WORKDAY(U214,-INDEX(U$2:U$5,MATCH($I214,$I$2:$I$5,0)),$BB$10:$BB$141)</f>
        <v>#REF!</v>
      </c>
      <c r="U214" s="155" t="e">
        <f>WORKDAY(V214,-INDEX(V$2:V$5,MATCH($I214,$I$2:$I$5,0)),$BB$10:$BB$141)</f>
        <v>#REF!</v>
      </c>
      <c r="V214" s="155" t="e">
        <f>WORKDAY(W214,-INDEX(W$2:W$5,MATCH($I214,$I$2:$I$5,0)),$BB$10:$BB$141)</f>
        <v>#REF!</v>
      </c>
      <c r="W214" s="155" t="e">
        <f>WORKDAY(#REF!,-INDEX(#REF!,MATCH($I214,$I$2:$I$5,0)),$BB$10:$BB$141)</f>
        <v>#REF!</v>
      </c>
      <c r="X214" s="155" t="e">
        <f>WORKDAY(Y214,-INDEX(Y$2:Y$5,MATCH($I214,$I$2:$I$5,0)),$BB$10:$BB$141)</f>
        <v>#REF!</v>
      </c>
      <c r="Y214" s="155" t="e">
        <f>WORKDAY(Z214,-INDEX(Z$2:Z$5,MATCH($I214,$I$2:$I$5,0)),$BB$10:$BB$141)</f>
        <v>#REF!</v>
      </c>
      <c r="Z214" s="155" t="e">
        <f>WORKDAY(AA214,-INDEX(AA$2:AA$5,MATCH($I214,$I$2:$I$5,0)),$BB$10:$BB$141)</f>
        <v>#REF!</v>
      </c>
      <c r="AA214" s="155" t="e">
        <f>WORKDAY(#REF!,-INDEX(#REF!,MATCH($I214,$I$2:$I$5,0)),$BB$10:$BB$141)</f>
        <v>#REF!</v>
      </c>
      <c r="AB214" s="155">
        <f>WORKDAY(AG214,0,'[35]Equipment List and MR List (3)'!$A$2:$A$80)</f>
        <v>0</v>
      </c>
      <c r="AC214" s="501" t="s">
        <v>4859</v>
      </c>
      <c r="AD214" s="87">
        <v>7</v>
      </c>
      <c r="AE214" s="495">
        <v>100</v>
      </c>
      <c r="AF214" s="492" t="e">
        <f>AB215</f>
        <v>#REF!</v>
      </c>
      <c r="AG214" s="489"/>
      <c r="AH214" s="88"/>
      <c r="AI214" s="89"/>
      <c r="AJ214" s="486" t="e">
        <f>AG214-AF214</f>
        <v>#REF!</v>
      </c>
      <c r="AK214" s="131"/>
      <c r="AL214" s="132"/>
      <c r="AM214" s="133">
        <f t="shared" ref="AM214:AW214" si="261">IF(ISERROR(LOOKUP(AM$6,$S214:$AB214,$S$9:$AB$9)),0,(LOOKUP(AM$6,$S214:$AB214,$S$9:$AB$9)))</f>
        <v>0.95</v>
      </c>
      <c r="AN214" s="134">
        <f t="shared" si="261"/>
        <v>0.95</v>
      </c>
      <c r="AO214" s="134">
        <f t="shared" si="261"/>
        <v>0.95</v>
      </c>
      <c r="AP214" s="134">
        <f t="shared" si="261"/>
        <v>0.95</v>
      </c>
      <c r="AQ214" s="134">
        <f t="shared" si="261"/>
        <v>0.95</v>
      </c>
      <c r="AR214" s="134">
        <f t="shared" si="261"/>
        <v>0.95</v>
      </c>
      <c r="AS214" s="134">
        <f t="shared" si="261"/>
        <v>0.95</v>
      </c>
      <c r="AT214" s="134">
        <f t="shared" si="261"/>
        <v>0.95</v>
      </c>
      <c r="AU214" s="134">
        <f t="shared" si="261"/>
        <v>0.95</v>
      </c>
      <c r="AV214" s="134">
        <f t="shared" si="261"/>
        <v>0.95</v>
      </c>
      <c r="AW214" s="134">
        <f t="shared" ca="1" si="261"/>
        <v>0.95</v>
      </c>
      <c r="BB214" s="135"/>
    </row>
    <row r="215" spans="1:54" s="21" customFormat="1" ht="18" customHeight="1">
      <c r="A215" s="514"/>
      <c r="B215" s="156"/>
      <c r="C215" s="508"/>
      <c r="D215" s="96" t="str">
        <f>D214</f>
        <v>PIP</v>
      </c>
      <c r="E215" s="136" t="str">
        <f>E214</f>
        <v>RFQ-054</v>
      </c>
      <c r="F215" s="137" t="str">
        <f>F214</f>
        <v>N</v>
      </c>
      <c r="G215" s="159"/>
      <c r="H215" s="162" t="str">
        <f>H214</f>
        <v>BOLT &amp; NUTS</v>
      </c>
      <c r="I215" s="136" t="str">
        <f>I214</f>
        <v>LD</v>
      </c>
      <c r="J215" s="137"/>
      <c r="K215" s="138"/>
      <c r="L215" s="138">
        <f>M216</f>
        <v>1E-3</v>
      </c>
      <c r="M215" s="138"/>
      <c r="N215" s="136"/>
      <c r="O215" s="136"/>
      <c r="P215" s="136"/>
      <c r="Q215" s="139" t="s">
        <v>4860</v>
      </c>
      <c r="R215" s="139"/>
      <c r="S215" s="140" t="e">
        <f>S214</f>
        <v>#REF!</v>
      </c>
      <c r="T215" s="141" t="e">
        <f>T214</f>
        <v>#REF!</v>
      </c>
      <c r="U215" s="141" t="e">
        <f>WORKDAY(IF(T216="",T215,T216),INDEX(U$2:U$5,MATCH($I214,$I$2:$I$5,0)),$BB$10:$BB$141)</f>
        <v>#REF!</v>
      </c>
      <c r="V215" s="141" t="e">
        <f>WORKDAY(IF(U216="",U215,U216),INDEX(V$2:V$5,MATCH($I214,$I$2:$I$5,0)),$BB$10:$BB$141)</f>
        <v>#REF!</v>
      </c>
      <c r="W215" s="141" t="e">
        <f>WORKDAY(IF(V216="",V215,V216),INDEX(W$2:W$5,MATCH($I214,$I$2:$I$5,0)),$BB$10:$BB$141)</f>
        <v>#REF!</v>
      </c>
      <c r="X215" s="141" t="e">
        <f>WORKDAY(IF(#REF!="",#REF!,#REF!),INDEX(X$2:X$5,MATCH($I214,$I$2:$I$5,0)),$BB$10:$BB$141)</f>
        <v>#REF!</v>
      </c>
      <c r="Y215" s="141" t="e">
        <f>WORKDAY(IF(X216="",X215,X216),INDEX(Y$2:Y$5,MATCH($I214,$I$2:$I$5,0)),$BB$10:$BB$141)</f>
        <v>#REF!</v>
      </c>
      <c r="Z215" s="141" t="e">
        <f>WORKDAY(IF(Y216="",Y215,Y216),INDEX(Z$2:Z$5,MATCH($I214,$I$2:$I$5,0)),$BB$10:$BB$141)</f>
        <v>#REF!</v>
      </c>
      <c r="AA215" s="141" t="e">
        <f>WORKDAY(IF(Z216="",Z215,Z216),INDEX(AA$2:AA$5,MATCH($I214,$I$2:$I$5,0)),$BB$10:$BB$141)</f>
        <v>#REF!</v>
      </c>
      <c r="AB215" s="142" t="e">
        <f>AE214+#REF!</f>
        <v>#REF!</v>
      </c>
      <c r="AC215" s="502"/>
      <c r="AD215" s="105"/>
      <c r="AE215" s="496"/>
      <c r="AF215" s="493"/>
      <c r="AG215" s="490"/>
      <c r="AH215" s="106"/>
      <c r="AI215" s="107"/>
      <c r="AJ215" s="487"/>
      <c r="AK215" s="143"/>
      <c r="AL215" s="144"/>
      <c r="AM215" s="133">
        <f t="shared" ref="AM215:AW215" si="262">IF(ISERROR(LOOKUP(AM$6,$S215:$AB215,$S$9:$AB$9)),0,(LOOKUP(AM$6,$S215:$AB215,$S$9:$AB$9)))</f>
        <v>0</v>
      </c>
      <c r="AN215" s="134">
        <f t="shared" si="262"/>
        <v>0</v>
      </c>
      <c r="AO215" s="134">
        <f t="shared" si="262"/>
        <v>0</v>
      </c>
      <c r="AP215" s="134">
        <f t="shared" si="262"/>
        <v>0</v>
      </c>
      <c r="AQ215" s="134">
        <f t="shared" si="262"/>
        <v>0</v>
      </c>
      <c r="AR215" s="134">
        <f t="shared" si="262"/>
        <v>0</v>
      </c>
      <c r="AS215" s="134">
        <f t="shared" si="262"/>
        <v>0</v>
      </c>
      <c r="AT215" s="134">
        <f t="shared" si="262"/>
        <v>0</v>
      </c>
      <c r="AU215" s="134">
        <f t="shared" si="262"/>
        <v>0</v>
      </c>
      <c r="AV215" s="134">
        <f t="shared" si="262"/>
        <v>0</v>
      </c>
      <c r="AW215" s="134">
        <f t="shared" ca="1" si="262"/>
        <v>0</v>
      </c>
      <c r="BB215" s="135"/>
    </row>
    <row r="216" spans="1:54" s="21" customFormat="1" ht="18" customHeight="1">
      <c r="A216" s="515"/>
      <c r="B216" s="157"/>
      <c r="C216" s="509"/>
      <c r="D216" s="111" t="str">
        <f>D214</f>
        <v>PIP</v>
      </c>
      <c r="E216" s="145" t="str">
        <f>E214</f>
        <v>RFQ-054</v>
      </c>
      <c r="F216" s="146" t="str">
        <f>F214</f>
        <v>N</v>
      </c>
      <c r="G216" s="160"/>
      <c r="H216" s="163" t="str">
        <f>H214</f>
        <v>BOLT &amp; NUTS</v>
      </c>
      <c r="I216" s="145" t="str">
        <f>I214</f>
        <v>LD</v>
      </c>
      <c r="J216" s="146"/>
      <c r="K216" s="147"/>
      <c r="L216" s="147"/>
      <c r="M216" s="147">
        <v>1E-3</v>
      </c>
      <c r="N216" s="145"/>
      <c r="O216" s="145"/>
      <c r="P216" s="145"/>
      <c r="Q216" s="148" t="s">
        <v>4861</v>
      </c>
      <c r="R216" s="148"/>
      <c r="S216" s="149"/>
      <c r="T216" s="149"/>
      <c r="U216" s="149"/>
      <c r="V216" s="149"/>
      <c r="W216" s="149"/>
      <c r="X216" s="149"/>
      <c r="Y216" s="149"/>
      <c r="Z216" s="149"/>
      <c r="AA216" s="149"/>
      <c r="AB216" s="149"/>
      <c r="AC216" s="503"/>
      <c r="AD216" s="116"/>
      <c r="AE216" s="497"/>
      <c r="AF216" s="494"/>
      <c r="AG216" s="491"/>
      <c r="AH216" s="117"/>
      <c r="AI216" s="118"/>
      <c r="AJ216" s="488"/>
      <c r="AK216" s="150"/>
      <c r="AL216" s="151"/>
      <c r="AM216" s="152">
        <f t="shared" ref="AM216:AW216" si="263">IF(ISERROR(LOOKUP(AM$6,$S216:$AB216,$S$9:$AB$9)),0,(LOOKUP(AM$6,$S216:$AB216,$S$9:$AB$9)))</f>
        <v>0</v>
      </c>
      <c r="AN216" s="153">
        <f t="shared" si="263"/>
        <v>0</v>
      </c>
      <c r="AO216" s="153">
        <f t="shared" si="263"/>
        <v>0</v>
      </c>
      <c r="AP216" s="153">
        <f t="shared" si="263"/>
        <v>0</v>
      </c>
      <c r="AQ216" s="153">
        <f t="shared" si="263"/>
        <v>0</v>
      </c>
      <c r="AR216" s="153">
        <f t="shared" si="263"/>
        <v>0</v>
      </c>
      <c r="AS216" s="153">
        <f t="shared" si="263"/>
        <v>0</v>
      </c>
      <c r="AT216" s="153">
        <f t="shared" si="263"/>
        <v>0</v>
      </c>
      <c r="AU216" s="153">
        <f t="shared" si="263"/>
        <v>0</v>
      </c>
      <c r="AV216" s="153">
        <f t="shared" si="263"/>
        <v>0</v>
      </c>
      <c r="AW216" s="153">
        <f t="shared" ca="1" si="263"/>
        <v>0</v>
      </c>
      <c r="BB216" s="135"/>
    </row>
    <row r="217" spans="1:54" s="21" customFormat="1" ht="18" customHeight="1">
      <c r="A217" s="513">
        <f>A214+1</f>
        <v>70</v>
      </c>
      <c r="B217" s="154" t="s">
        <v>4920</v>
      </c>
      <c r="C217" s="507" t="s">
        <v>4855</v>
      </c>
      <c r="D217" s="80" t="s">
        <v>4867</v>
      </c>
      <c r="E217" s="127" t="s">
        <v>4917</v>
      </c>
      <c r="F217" s="128" t="s">
        <v>75</v>
      </c>
      <c r="G217" s="158"/>
      <c r="H217" s="161" t="s">
        <v>4933</v>
      </c>
      <c r="I217" s="127" t="s">
        <v>9</v>
      </c>
      <c r="J217" s="128"/>
      <c r="K217" s="129">
        <f>M219</f>
        <v>1E-3</v>
      </c>
      <c r="L217" s="129"/>
      <c r="M217" s="129"/>
      <c r="N217" s="127"/>
      <c r="O217" s="127"/>
      <c r="P217" s="127"/>
      <c r="Q217" s="130" t="s">
        <v>4858</v>
      </c>
      <c r="R217" s="130"/>
      <c r="S217" s="155" t="e">
        <f>WORKDAY(T217,-INDEX(T$2:T$5,MATCH($I217,$I$2:$I$5,0)),'[35]Equipment List and MR List (3)'!$A$2:$A$80)</f>
        <v>#REF!</v>
      </c>
      <c r="T217" s="155" t="e">
        <f>WORKDAY(U217,-INDEX(U$2:U$5,MATCH($I217,$I$2:$I$5,0)),$BB$10:$BB$141)</f>
        <v>#REF!</v>
      </c>
      <c r="U217" s="155" t="e">
        <f>WORKDAY(V217,-INDEX(V$2:V$5,MATCH($I217,$I$2:$I$5,0)),$BB$10:$BB$141)</f>
        <v>#REF!</v>
      </c>
      <c r="V217" s="155" t="e">
        <f>WORKDAY(W217,-INDEX(W$2:W$5,MATCH($I217,$I$2:$I$5,0)),$BB$10:$BB$141)</f>
        <v>#REF!</v>
      </c>
      <c r="W217" s="155" t="e">
        <f>WORKDAY(#REF!,-INDEX(#REF!,MATCH($I217,$I$2:$I$5,0)),$BB$10:$BB$141)</f>
        <v>#REF!</v>
      </c>
      <c r="X217" s="155" t="e">
        <f>WORKDAY(Y217,-INDEX(Y$2:Y$5,MATCH($I217,$I$2:$I$5,0)),$BB$10:$BB$141)</f>
        <v>#REF!</v>
      </c>
      <c r="Y217" s="155" t="e">
        <f>WORKDAY(Z217,-INDEX(Z$2:Z$5,MATCH($I217,$I$2:$I$5,0)),$BB$10:$BB$141)</f>
        <v>#REF!</v>
      </c>
      <c r="Z217" s="155" t="e">
        <f>WORKDAY(AA217,-INDEX(AA$2:AA$5,MATCH($I217,$I$2:$I$5,0)),$BB$10:$BB$141)</f>
        <v>#REF!</v>
      </c>
      <c r="AA217" s="155" t="e">
        <f>WORKDAY(#REF!,-INDEX(#REF!,MATCH($I217,$I$2:$I$5,0)),$BB$10:$BB$141)</f>
        <v>#REF!</v>
      </c>
      <c r="AB217" s="155">
        <f>WORKDAY(AG217,0,'[35]Equipment List and MR List (3)'!$A$2:$A$80)</f>
        <v>0</v>
      </c>
      <c r="AC217" s="501" t="s">
        <v>4859</v>
      </c>
      <c r="AD217" s="87">
        <v>7</v>
      </c>
      <c r="AE217" s="495">
        <v>100</v>
      </c>
      <c r="AF217" s="492" t="e">
        <f>AB218</f>
        <v>#REF!</v>
      </c>
      <c r="AG217" s="489"/>
      <c r="AH217" s="88"/>
      <c r="AI217" s="89"/>
      <c r="AJ217" s="486" t="e">
        <f>AG217-AF217</f>
        <v>#REF!</v>
      </c>
      <c r="AK217" s="131"/>
      <c r="AL217" s="132"/>
      <c r="AM217" s="133">
        <f t="shared" ref="AM217:AW217" si="264">IF(ISERROR(LOOKUP(AM$6,$S217:$AB217,$S$9:$AB$9)),0,(LOOKUP(AM$6,$S217:$AB217,$S$9:$AB$9)))</f>
        <v>0.95</v>
      </c>
      <c r="AN217" s="134">
        <f t="shared" si="264"/>
        <v>0.95</v>
      </c>
      <c r="AO217" s="134">
        <f t="shared" si="264"/>
        <v>0.95</v>
      </c>
      <c r="AP217" s="134">
        <f t="shared" si="264"/>
        <v>0.95</v>
      </c>
      <c r="AQ217" s="134">
        <f t="shared" si="264"/>
        <v>0.95</v>
      </c>
      <c r="AR217" s="134">
        <f t="shared" si="264"/>
        <v>0.95</v>
      </c>
      <c r="AS217" s="134">
        <f t="shared" si="264"/>
        <v>0.95</v>
      </c>
      <c r="AT217" s="134">
        <f t="shared" si="264"/>
        <v>0.95</v>
      </c>
      <c r="AU217" s="134">
        <f t="shared" si="264"/>
        <v>0.95</v>
      </c>
      <c r="AV217" s="134">
        <f t="shared" si="264"/>
        <v>0.95</v>
      </c>
      <c r="AW217" s="134">
        <f t="shared" ca="1" si="264"/>
        <v>0.95</v>
      </c>
      <c r="BB217" s="135"/>
    </row>
    <row r="218" spans="1:54" s="21" customFormat="1" ht="18" customHeight="1">
      <c r="A218" s="514"/>
      <c r="B218" s="156"/>
      <c r="C218" s="508"/>
      <c r="D218" s="96" t="str">
        <f>D217</f>
        <v>PIP</v>
      </c>
      <c r="E218" s="136" t="str">
        <f>E217</f>
        <v>RFQ-054</v>
      </c>
      <c r="F218" s="137" t="str">
        <f>F217</f>
        <v>N</v>
      </c>
      <c r="G218" s="159"/>
      <c r="H218" s="162" t="str">
        <f>H217</f>
        <v>CS FITTING</v>
      </c>
      <c r="I218" s="136" t="str">
        <f>I217</f>
        <v>LD</v>
      </c>
      <c r="J218" s="137"/>
      <c r="K218" s="138"/>
      <c r="L218" s="138">
        <f>M219</f>
        <v>1E-3</v>
      </c>
      <c r="M218" s="138"/>
      <c r="N218" s="136"/>
      <c r="O218" s="136"/>
      <c r="P218" s="136"/>
      <c r="Q218" s="139" t="s">
        <v>4860</v>
      </c>
      <c r="R218" s="139"/>
      <c r="S218" s="140" t="e">
        <f>S217</f>
        <v>#REF!</v>
      </c>
      <c r="T218" s="141" t="e">
        <f>T217</f>
        <v>#REF!</v>
      </c>
      <c r="U218" s="141" t="e">
        <f>WORKDAY(IF(T219="",T218,T219),INDEX(U$2:U$5,MATCH($I217,$I$2:$I$5,0)),$BB$10:$BB$141)</f>
        <v>#REF!</v>
      </c>
      <c r="V218" s="141" t="e">
        <f>WORKDAY(IF(U219="",U218,U219),INDEX(V$2:V$5,MATCH($I217,$I$2:$I$5,0)),$BB$10:$BB$141)</f>
        <v>#REF!</v>
      </c>
      <c r="W218" s="141" t="e">
        <f>WORKDAY(IF(V219="",V218,V219),INDEX(W$2:W$5,MATCH($I217,$I$2:$I$5,0)),$BB$10:$BB$141)</f>
        <v>#REF!</v>
      </c>
      <c r="X218" s="141" t="e">
        <f>WORKDAY(IF(#REF!="",#REF!,#REF!),INDEX(X$2:X$5,MATCH($I217,$I$2:$I$5,0)),$BB$10:$BB$141)</f>
        <v>#REF!</v>
      </c>
      <c r="Y218" s="141" t="e">
        <f>WORKDAY(IF(X219="",X218,X219),INDEX(Y$2:Y$5,MATCH($I217,$I$2:$I$5,0)),$BB$10:$BB$141)</f>
        <v>#REF!</v>
      </c>
      <c r="Z218" s="141" t="e">
        <f>WORKDAY(IF(Y219="",Y218,Y219),INDEX(Z$2:Z$5,MATCH($I217,$I$2:$I$5,0)),$BB$10:$BB$141)</f>
        <v>#REF!</v>
      </c>
      <c r="AA218" s="141" t="e">
        <f>WORKDAY(IF(Z219="",Z218,Z219),INDEX(AA$2:AA$5,MATCH($I217,$I$2:$I$5,0)),$BB$10:$BB$141)</f>
        <v>#REF!</v>
      </c>
      <c r="AB218" s="142" t="e">
        <f>AE217+#REF!</f>
        <v>#REF!</v>
      </c>
      <c r="AC218" s="502"/>
      <c r="AD218" s="105"/>
      <c r="AE218" s="496"/>
      <c r="AF218" s="493"/>
      <c r="AG218" s="490"/>
      <c r="AH218" s="106"/>
      <c r="AI218" s="107"/>
      <c r="AJ218" s="487"/>
      <c r="AK218" s="143"/>
      <c r="AL218" s="144"/>
      <c r="AM218" s="133">
        <f t="shared" ref="AM218:AW218" si="265">IF(ISERROR(LOOKUP(AM$6,$S218:$AB218,$S$9:$AB$9)),0,(LOOKUP(AM$6,$S218:$AB218,$S$9:$AB$9)))</f>
        <v>0</v>
      </c>
      <c r="AN218" s="134">
        <f t="shared" si="265"/>
        <v>0</v>
      </c>
      <c r="AO218" s="134">
        <f t="shared" si="265"/>
        <v>0</v>
      </c>
      <c r="AP218" s="134">
        <f t="shared" si="265"/>
        <v>0</v>
      </c>
      <c r="AQ218" s="134">
        <f t="shared" si="265"/>
        <v>0</v>
      </c>
      <c r="AR218" s="134">
        <f t="shared" si="265"/>
        <v>0</v>
      </c>
      <c r="AS218" s="134">
        <f t="shared" si="265"/>
        <v>0</v>
      </c>
      <c r="AT218" s="134">
        <f t="shared" si="265"/>
        <v>0</v>
      </c>
      <c r="AU218" s="134">
        <f t="shared" si="265"/>
        <v>0</v>
      </c>
      <c r="AV218" s="134">
        <f t="shared" si="265"/>
        <v>0</v>
      </c>
      <c r="AW218" s="134">
        <f t="shared" ca="1" si="265"/>
        <v>0</v>
      </c>
      <c r="BB218" s="135"/>
    </row>
    <row r="219" spans="1:54" s="21" customFormat="1" ht="18" customHeight="1">
      <c r="A219" s="515"/>
      <c r="B219" s="157"/>
      <c r="C219" s="509"/>
      <c r="D219" s="111" t="str">
        <f>D217</f>
        <v>PIP</v>
      </c>
      <c r="E219" s="145" t="str">
        <f>E217</f>
        <v>RFQ-054</v>
      </c>
      <c r="F219" s="146" t="str">
        <f>F217</f>
        <v>N</v>
      </c>
      <c r="G219" s="160"/>
      <c r="H219" s="163" t="str">
        <f>H217</f>
        <v>CS FITTING</v>
      </c>
      <c r="I219" s="145" t="str">
        <f>I217</f>
        <v>LD</v>
      </c>
      <c r="J219" s="146"/>
      <c r="K219" s="147"/>
      <c r="L219" s="147"/>
      <c r="M219" s="147">
        <v>1E-3</v>
      </c>
      <c r="N219" s="145"/>
      <c r="O219" s="145"/>
      <c r="P219" s="145"/>
      <c r="Q219" s="148" t="s">
        <v>4861</v>
      </c>
      <c r="R219" s="148"/>
      <c r="S219" s="149"/>
      <c r="T219" s="149"/>
      <c r="U219" s="149"/>
      <c r="V219" s="149"/>
      <c r="W219" s="149"/>
      <c r="X219" s="149"/>
      <c r="Y219" s="149"/>
      <c r="Z219" s="149"/>
      <c r="AA219" s="149"/>
      <c r="AB219" s="149"/>
      <c r="AC219" s="503"/>
      <c r="AD219" s="116"/>
      <c r="AE219" s="497"/>
      <c r="AF219" s="494"/>
      <c r="AG219" s="491"/>
      <c r="AH219" s="117"/>
      <c r="AI219" s="118"/>
      <c r="AJ219" s="488"/>
      <c r="AK219" s="150"/>
      <c r="AL219" s="151"/>
      <c r="AM219" s="152">
        <f t="shared" ref="AM219:AW219" si="266">IF(ISERROR(LOOKUP(AM$6,$S219:$AB219,$S$9:$AB$9)),0,(LOOKUP(AM$6,$S219:$AB219,$S$9:$AB$9)))</f>
        <v>0</v>
      </c>
      <c r="AN219" s="153">
        <f t="shared" si="266"/>
        <v>0</v>
      </c>
      <c r="AO219" s="153">
        <f t="shared" si="266"/>
        <v>0</v>
      </c>
      <c r="AP219" s="153">
        <f t="shared" si="266"/>
        <v>0</v>
      </c>
      <c r="AQ219" s="153">
        <f t="shared" si="266"/>
        <v>0</v>
      </c>
      <c r="AR219" s="153">
        <f t="shared" si="266"/>
        <v>0</v>
      </c>
      <c r="AS219" s="153">
        <f t="shared" si="266"/>
        <v>0</v>
      </c>
      <c r="AT219" s="153">
        <f t="shared" si="266"/>
        <v>0</v>
      </c>
      <c r="AU219" s="153">
        <f t="shared" si="266"/>
        <v>0</v>
      </c>
      <c r="AV219" s="153">
        <f t="shared" si="266"/>
        <v>0</v>
      </c>
      <c r="AW219" s="153">
        <f t="shared" ca="1" si="266"/>
        <v>0</v>
      </c>
      <c r="BB219" s="135"/>
    </row>
    <row r="220" spans="1:54" s="21" customFormat="1" ht="18" customHeight="1">
      <c r="A220" s="513">
        <f>A217+1</f>
        <v>71</v>
      </c>
      <c r="B220" s="154" t="s">
        <v>4920</v>
      </c>
      <c r="C220" s="507" t="s">
        <v>4855</v>
      </c>
      <c r="D220" s="80" t="s">
        <v>4867</v>
      </c>
      <c r="E220" s="127" t="s">
        <v>4917</v>
      </c>
      <c r="F220" s="128" t="s">
        <v>75</v>
      </c>
      <c r="G220" s="158"/>
      <c r="H220" s="161" t="s">
        <v>4934</v>
      </c>
      <c r="I220" s="127" t="s">
        <v>9</v>
      </c>
      <c r="J220" s="128"/>
      <c r="K220" s="129">
        <f>M222</f>
        <v>1E-3</v>
      </c>
      <c r="L220" s="129"/>
      <c r="M220" s="129"/>
      <c r="N220" s="127"/>
      <c r="O220" s="127"/>
      <c r="P220" s="127"/>
      <c r="Q220" s="130" t="s">
        <v>4858</v>
      </c>
      <c r="R220" s="130"/>
      <c r="S220" s="155" t="e">
        <f>WORKDAY(T220,-INDEX(T$2:T$5,MATCH($I220,$I$2:$I$5,0)),'[35]Equipment List and MR List (3)'!$A$2:$A$80)</f>
        <v>#REF!</v>
      </c>
      <c r="T220" s="155" t="e">
        <f>WORKDAY(U220,-INDEX(U$2:U$5,MATCH($I220,$I$2:$I$5,0)),$BB$10:$BB$141)</f>
        <v>#REF!</v>
      </c>
      <c r="U220" s="155" t="e">
        <f>WORKDAY(V220,-INDEX(V$2:V$5,MATCH($I220,$I$2:$I$5,0)),$BB$10:$BB$141)</f>
        <v>#REF!</v>
      </c>
      <c r="V220" s="155" t="e">
        <f>WORKDAY(W220,-INDEX(W$2:W$5,MATCH($I220,$I$2:$I$5,0)),$BB$10:$BB$141)</f>
        <v>#REF!</v>
      </c>
      <c r="W220" s="155" t="e">
        <f>WORKDAY(#REF!,-INDEX(#REF!,MATCH($I220,$I$2:$I$5,0)),$BB$10:$BB$141)</f>
        <v>#REF!</v>
      </c>
      <c r="X220" s="155" t="e">
        <f>WORKDAY(Y220,-INDEX(Y$2:Y$5,MATCH($I220,$I$2:$I$5,0)),$BB$10:$BB$141)</f>
        <v>#REF!</v>
      </c>
      <c r="Y220" s="155" t="e">
        <f>WORKDAY(Z220,-INDEX(Z$2:Z$5,MATCH($I220,$I$2:$I$5,0)),$BB$10:$BB$141)</f>
        <v>#REF!</v>
      </c>
      <c r="Z220" s="155" t="e">
        <f>WORKDAY(AA220,-INDEX(AA$2:AA$5,MATCH($I220,$I$2:$I$5,0)),$BB$10:$BB$141)</f>
        <v>#REF!</v>
      </c>
      <c r="AA220" s="155" t="e">
        <f>WORKDAY(#REF!,-INDEX(#REF!,MATCH($I220,$I$2:$I$5,0)),$BB$10:$BB$141)</f>
        <v>#REF!</v>
      </c>
      <c r="AB220" s="155">
        <f>WORKDAY(AG220,0,'[35]Equipment List and MR List (3)'!$A$2:$A$80)</f>
        <v>0</v>
      </c>
      <c r="AC220" s="501" t="s">
        <v>4859</v>
      </c>
      <c r="AD220" s="87">
        <v>7</v>
      </c>
      <c r="AE220" s="495">
        <v>100</v>
      </c>
      <c r="AF220" s="492" t="e">
        <f>AB221</f>
        <v>#REF!</v>
      </c>
      <c r="AG220" s="489"/>
      <c r="AH220" s="88"/>
      <c r="AI220" s="89"/>
      <c r="AJ220" s="486" t="e">
        <f>AG220-AF220</f>
        <v>#REF!</v>
      </c>
      <c r="AK220" s="131"/>
      <c r="AL220" s="132"/>
      <c r="AM220" s="133">
        <f t="shared" ref="AM220:AW220" si="267">IF(ISERROR(LOOKUP(AM$6,$S220:$AB220,$S$9:$AB$9)),0,(LOOKUP(AM$6,$S220:$AB220,$S$9:$AB$9)))</f>
        <v>0.95</v>
      </c>
      <c r="AN220" s="134">
        <f t="shared" si="267"/>
        <v>0.95</v>
      </c>
      <c r="AO220" s="134">
        <f t="shared" si="267"/>
        <v>0.95</v>
      </c>
      <c r="AP220" s="134">
        <f t="shared" si="267"/>
        <v>0.95</v>
      </c>
      <c r="AQ220" s="134">
        <f t="shared" si="267"/>
        <v>0.95</v>
      </c>
      <c r="AR220" s="134">
        <f t="shared" si="267"/>
        <v>0.95</v>
      </c>
      <c r="AS220" s="134">
        <f t="shared" si="267"/>
        <v>0.95</v>
      </c>
      <c r="AT220" s="134">
        <f t="shared" si="267"/>
        <v>0.95</v>
      </c>
      <c r="AU220" s="134">
        <f t="shared" si="267"/>
        <v>0.95</v>
      </c>
      <c r="AV220" s="134">
        <f t="shared" si="267"/>
        <v>0.95</v>
      </c>
      <c r="AW220" s="134">
        <f t="shared" ca="1" si="267"/>
        <v>0.95</v>
      </c>
      <c r="BB220" s="135"/>
    </row>
    <row r="221" spans="1:54" s="21" customFormat="1" ht="18" customHeight="1">
      <c r="A221" s="514"/>
      <c r="B221" s="156"/>
      <c r="C221" s="508"/>
      <c r="D221" s="96" t="str">
        <f>D220</f>
        <v>PIP</v>
      </c>
      <c r="E221" s="136" t="str">
        <f>E220</f>
        <v>RFQ-054</v>
      </c>
      <c r="F221" s="137" t="str">
        <f>F220</f>
        <v>N</v>
      </c>
      <c r="G221" s="159"/>
      <c r="H221" s="162" t="str">
        <f>H220</f>
        <v>SS &amp; DSS FITTING</v>
      </c>
      <c r="I221" s="136" t="str">
        <f>I220</f>
        <v>LD</v>
      </c>
      <c r="J221" s="137"/>
      <c r="K221" s="138"/>
      <c r="L221" s="138">
        <f>M222</f>
        <v>1E-3</v>
      </c>
      <c r="M221" s="138"/>
      <c r="N221" s="136"/>
      <c r="O221" s="136"/>
      <c r="P221" s="136"/>
      <c r="Q221" s="139" t="s">
        <v>4860</v>
      </c>
      <c r="R221" s="139"/>
      <c r="S221" s="140" t="e">
        <f>S220</f>
        <v>#REF!</v>
      </c>
      <c r="T221" s="141" t="e">
        <f>T220</f>
        <v>#REF!</v>
      </c>
      <c r="U221" s="141" t="e">
        <f>WORKDAY(IF(T222="",T221,T222),INDEX(U$2:U$5,MATCH($I220,$I$2:$I$5,0)),$BB$10:$BB$141)</f>
        <v>#REF!</v>
      </c>
      <c r="V221" s="141" t="e">
        <f>WORKDAY(IF(U222="",U221,U222),INDEX(V$2:V$5,MATCH($I220,$I$2:$I$5,0)),$BB$10:$BB$141)</f>
        <v>#REF!</v>
      </c>
      <c r="W221" s="141" t="e">
        <f>WORKDAY(IF(V222="",V221,V222),INDEX(W$2:W$5,MATCH($I220,$I$2:$I$5,0)),$BB$10:$BB$141)</f>
        <v>#REF!</v>
      </c>
      <c r="X221" s="141" t="e">
        <f>WORKDAY(IF(#REF!="",#REF!,#REF!),INDEX(X$2:X$5,MATCH($I220,$I$2:$I$5,0)),$BB$10:$BB$141)</f>
        <v>#REF!</v>
      </c>
      <c r="Y221" s="141" t="e">
        <f>WORKDAY(IF(X222="",X221,X222),INDEX(Y$2:Y$5,MATCH($I220,$I$2:$I$5,0)),$BB$10:$BB$141)</f>
        <v>#REF!</v>
      </c>
      <c r="Z221" s="141" t="e">
        <f>WORKDAY(IF(Y222="",Y221,Y222),INDEX(Z$2:Z$5,MATCH($I220,$I$2:$I$5,0)),$BB$10:$BB$141)</f>
        <v>#REF!</v>
      </c>
      <c r="AA221" s="141" t="e">
        <f>WORKDAY(IF(Z222="",Z221,Z222),INDEX(AA$2:AA$5,MATCH($I220,$I$2:$I$5,0)),$BB$10:$BB$141)</f>
        <v>#REF!</v>
      </c>
      <c r="AB221" s="142" t="e">
        <f>AE220+#REF!</f>
        <v>#REF!</v>
      </c>
      <c r="AC221" s="502"/>
      <c r="AD221" s="105"/>
      <c r="AE221" s="496"/>
      <c r="AF221" s="493"/>
      <c r="AG221" s="490"/>
      <c r="AH221" s="106"/>
      <c r="AI221" s="107"/>
      <c r="AJ221" s="487"/>
      <c r="AK221" s="143"/>
      <c r="AL221" s="144"/>
      <c r="AM221" s="133">
        <f t="shared" ref="AM221:AW221" si="268">IF(ISERROR(LOOKUP(AM$6,$S221:$AB221,$S$9:$AB$9)),0,(LOOKUP(AM$6,$S221:$AB221,$S$9:$AB$9)))</f>
        <v>0</v>
      </c>
      <c r="AN221" s="134">
        <f t="shared" si="268"/>
        <v>0</v>
      </c>
      <c r="AO221" s="134">
        <f t="shared" si="268"/>
        <v>0</v>
      </c>
      <c r="AP221" s="134">
        <f t="shared" si="268"/>
        <v>0</v>
      </c>
      <c r="AQ221" s="134">
        <f t="shared" si="268"/>
        <v>0</v>
      </c>
      <c r="AR221" s="134">
        <f t="shared" si="268"/>
        <v>0</v>
      </c>
      <c r="AS221" s="134">
        <f t="shared" si="268"/>
        <v>0</v>
      </c>
      <c r="AT221" s="134">
        <f t="shared" si="268"/>
        <v>0</v>
      </c>
      <c r="AU221" s="134">
        <f t="shared" si="268"/>
        <v>0</v>
      </c>
      <c r="AV221" s="134">
        <f t="shared" si="268"/>
        <v>0</v>
      </c>
      <c r="AW221" s="134">
        <f t="shared" ca="1" si="268"/>
        <v>0</v>
      </c>
      <c r="BB221" s="135"/>
    </row>
    <row r="222" spans="1:54" s="21" customFormat="1" ht="18" customHeight="1">
      <c r="A222" s="515"/>
      <c r="B222" s="157"/>
      <c r="C222" s="509"/>
      <c r="D222" s="111" t="str">
        <f>D220</f>
        <v>PIP</v>
      </c>
      <c r="E222" s="145" t="str">
        <f>E220</f>
        <v>RFQ-054</v>
      </c>
      <c r="F222" s="146" t="str">
        <f>F220</f>
        <v>N</v>
      </c>
      <c r="G222" s="160"/>
      <c r="H222" s="163" t="str">
        <f>H220</f>
        <v>SS &amp; DSS FITTING</v>
      </c>
      <c r="I222" s="145" t="str">
        <f>I220</f>
        <v>LD</v>
      </c>
      <c r="J222" s="146"/>
      <c r="K222" s="147"/>
      <c r="L222" s="147"/>
      <c r="M222" s="147">
        <v>1E-3</v>
      </c>
      <c r="N222" s="145"/>
      <c r="O222" s="145"/>
      <c r="P222" s="145"/>
      <c r="Q222" s="148" t="s">
        <v>4861</v>
      </c>
      <c r="R222" s="148"/>
      <c r="S222" s="149"/>
      <c r="T222" s="149"/>
      <c r="U222" s="149"/>
      <c r="V222" s="149"/>
      <c r="W222" s="149"/>
      <c r="X222" s="149"/>
      <c r="Y222" s="149"/>
      <c r="Z222" s="149"/>
      <c r="AA222" s="149"/>
      <c r="AB222" s="149"/>
      <c r="AC222" s="503"/>
      <c r="AD222" s="116"/>
      <c r="AE222" s="497"/>
      <c r="AF222" s="494"/>
      <c r="AG222" s="491"/>
      <c r="AH222" s="117"/>
      <c r="AI222" s="118"/>
      <c r="AJ222" s="488"/>
      <c r="AK222" s="150"/>
      <c r="AL222" s="151"/>
      <c r="AM222" s="152">
        <f t="shared" ref="AM222:AW222" si="269">IF(ISERROR(LOOKUP(AM$6,$S222:$AB222,$S$9:$AB$9)),0,(LOOKUP(AM$6,$S222:$AB222,$S$9:$AB$9)))</f>
        <v>0</v>
      </c>
      <c r="AN222" s="153">
        <f t="shared" si="269"/>
        <v>0</v>
      </c>
      <c r="AO222" s="153">
        <f t="shared" si="269"/>
        <v>0</v>
      </c>
      <c r="AP222" s="153">
        <f t="shared" si="269"/>
        <v>0</v>
      </c>
      <c r="AQ222" s="153">
        <f t="shared" si="269"/>
        <v>0</v>
      </c>
      <c r="AR222" s="153">
        <f t="shared" si="269"/>
        <v>0</v>
      </c>
      <c r="AS222" s="153">
        <f t="shared" si="269"/>
        <v>0</v>
      </c>
      <c r="AT222" s="153">
        <f t="shared" si="269"/>
        <v>0</v>
      </c>
      <c r="AU222" s="153">
        <f t="shared" si="269"/>
        <v>0</v>
      </c>
      <c r="AV222" s="153">
        <f t="shared" si="269"/>
        <v>0</v>
      </c>
      <c r="AW222" s="153">
        <f t="shared" ca="1" si="269"/>
        <v>0</v>
      </c>
      <c r="BB222" s="135"/>
    </row>
    <row r="223" spans="1:54" s="21" customFormat="1" ht="18" customHeight="1">
      <c r="A223" s="513">
        <f>A220+1</f>
        <v>72</v>
      </c>
      <c r="B223" s="154" t="s">
        <v>4920</v>
      </c>
      <c r="C223" s="507" t="s">
        <v>4855</v>
      </c>
      <c r="D223" s="80" t="s">
        <v>4882</v>
      </c>
      <c r="E223" s="127" t="s">
        <v>4917</v>
      </c>
      <c r="F223" s="128" t="s">
        <v>75</v>
      </c>
      <c r="G223" s="158"/>
      <c r="H223" s="82" t="s">
        <v>4935</v>
      </c>
      <c r="I223" s="127" t="s">
        <v>9</v>
      </c>
      <c r="J223" s="128"/>
      <c r="K223" s="129">
        <f>M225</f>
        <v>1E-3</v>
      </c>
      <c r="L223" s="129"/>
      <c r="M223" s="129"/>
      <c r="N223" s="127"/>
      <c r="O223" s="127"/>
      <c r="P223" s="127"/>
      <c r="Q223" s="130" t="s">
        <v>4858</v>
      </c>
      <c r="R223" s="130"/>
      <c r="S223" s="155" t="e">
        <f>WORKDAY(T223,-INDEX(T$2:T$5,MATCH($I223,$I$2:$I$5,0)),'[35]Equipment List and MR List (3)'!$A$2:$A$80)</f>
        <v>#REF!</v>
      </c>
      <c r="T223" s="155" t="e">
        <f>WORKDAY(U223,-INDEX(U$2:U$5,MATCH($I223,$I$2:$I$5,0)),$BB$10:$BB$141)</f>
        <v>#REF!</v>
      </c>
      <c r="U223" s="155" t="e">
        <f>WORKDAY(V223,-INDEX(V$2:V$5,MATCH($I223,$I$2:$I$5,0)),$BB$10:$BB$141)</f>
        <v>#REF!</v>
      </c>
      <c r="V223" s="155" t="e">
        <f>WORKDAY(W223,-INDEX(W$2:W$5,MATCH($I223,$I$2:$I$5,0)),$BB$10:$BB$141)</f>
        <v>#REF!</v>
      </c>
      <c r="W223" s="155" t="e">
        <f>WORKDAY(#REF!,-INDEX(#REF!,MATCH($I223,$I$2:$I$5,0)),$BB$10:$BB$141)</f>
        <v>#REF!</v>
      </c>
      <c r="X223" s="155" t="e">
        <f>WORKDAY(Y223,-INDEX(Y$2:Y$5,MATCH($I223,$I$2:$I$5,0)),$BB$10:$BB$141)</f>
        <v>#REF!</v>
      </c>
      <c r="Y223" s="155" t="e">
        <f>WORKDAY(Z223,-INDEX(Z$2:Z$5,MATCH($I223,$I$2:$I$5,0)),$BB$10:$BB$141)</f>
        <v>#REF!</v>
      </c>
      <c r="Z223" s="155" t="e">
        <f>WORKDAY(AA223,-INDEX(AA$2:AA$5,MATCH($I223,$I$2:$I$5,0)),$BB$10:$BB$141)</f>
        <v>#REF!</v>
      </c>
      <c r="AA223" s="155" t="e">
        <f>WORKDAY(#REF!,-INDEX(#REF!,MATCH($I223,$I$2:$I$5,0)),$BB$10:$BB$141)</f>
        <v>#REF!</v>
      </c>
      <c r="AB223" s="155">
        <f>WORKDAY(AG223,0,'[35]Equipment List and MR List (3)'!$A$2:$A$80)</f>
        <v>0</v>
      </c>
      <c r="AC223" s="501" t="s">
        <v>4859</v>
      </c>
      <c r="AD223" s="87">
        <v>7</v>
      </c>
      <c r="AE223" s="495"/>
      <c r="AF223" s="492" t="e">
        <f>AB224</f>
        <v>#REF!</v>
      </c>
      <c r="AG223" s="489"/>
      <c r="AH223" s="88"/>
      <c r="AI223" s="89"/>
      <c r="AJ223" s="486" t="e">
        <f>AG223-AF223</f>
        <v>#REF!</v>
      </c>
      <c r="AK223" s="131"/>
      <c r="AL223" s="132"/>
      <c r="AM223" s="133">
        <f t="shared" ref="AM223:AW223" si="270">IF(ISERROR(LOOKUP(AM$6,$S223:$AB223,$S$9:$AB$9)),0,(LOOKUP(AM$6,$S223:$AB223,$S$9:$AB$9)))</f>
        <v>0.95</v>
      </c>
      <c r="AN223" s="134">
        <f t="shared" si="270"/>
        <v>0.95</v>
      </c>
      <c r="AO223" s="134">
        <f t="shared" si="270"/>
        <v>0.95</v>
      </c>
      <c r="AP223" s="134">
        <f t="shared" si="270"/>
        <v>0.95</v>
      </c>
      <c r="AQ223" s="134">
        <f t="shared" si="270"/>
        <v>0.95</v>
      </c>
      <c r="AR223" s="134">
        <f t="shared" si="270"/>
        <v>0.95</v>
      </c>
      <c r="AS223" s="134">
        <f t="shared" si="270"/>
        <v>0.95</v>
      </c>
      <c r="AT223" s="134">
        <f t="shared" si="270"/>
        <v>0.95</v>
      </c>
      <c r="AU223" s="134">
        <f t="shared" si="270"/>
        <v>0.95</v>
      </c>
      <c r="AV223" s="134">
        <f t="shared" si="270"/>
        <v>0.95</v>
      </c>
      <c r="AW223" s="134">
        <f t="shared" ca="1" si="270"/>
        <v>0.95</v>
      </c>
      <c r="BB223" s="135"/>
    </row>
    <row r="224" spans="1:54" s="21" customFormat="1" ht="18" customHeight="1">
      <c r="A224" s="514"/>
      <c r="B224" s="156"/>
      <c r="C224" s="508"/>
      <c r="D224" s="96" t="str">
        <f>D223</f>
        <v>ELE</v>
      </c>
      <c r="E224" s="136" t="str">
        <f>E223</f>
        <v>RFQ-054</v>
      </c>
      <c r="F224" s="137" t="str">
        <f>F223</f>
        <v>N</v>
      </c>
      <c r="G224" s="159"/>
      <c r="H224" s="98" t="str">
        <f>H223</f>
        <v>Welding Electrode</v>
      </c>
      <c r="I224" s="136" t="str">
        <f>I223</f>
        <v>LD</v>
      </c>
      <c r="J224" s="137"/>
      <c r="K224" s="138"/>
      <c r="L224" s="138">
        <f>M225</f>
        <v>1E-3</v>
      </c>
      <c r="M224" s="138"/>
      <c r="N224" s="136"/>
      <c r="O224" s="136"/>
      <c r="P224" s="136"/>
      <c r="Q224" s="139" t="s">
        <v>4860</v>
      </c>
      <c r="R224" s="139"/>
      <c r="S224" s="140" t="e">
        <f>S223</f>
        <v>#REF!</v>
      </c>
      <c r="T224" s="141" t="e">
        <f>T223</f>
        <v>#REF!</v>
      </c>
      <c r="U224" s="141" t="e">
        <f>WORKDAY(IF(T225="",T224,T225),INDEX(U$2:U$5,MATCH($I223,$I$2:$I$5,0)),$BB$10:$BB$141)</f>
        <v>#REF!</v>
      </c>
      <c r="V224" s="141" t="e">
        <f>WORKDAY(IF(U225="",U224,U225),INDEX(V$2:V$5,MATCH($I223,$I$2:$I$5,0)),$BB$10:$BB$141)</f>
        <v>#REF!</v>
      </c>
      <c r="W224" s="141" t="e">
        <f>WORKDAY(IF(V225="",V224,V225),INDEX(W$2:W$5,MATCH($I223,$I$2:$I$5,0)),$BB$10:$BB$141)</f>
        <v>#REF!</v>
      </c>
      <c r="X224" s="141" t="e">
        <f>WORKDAY(IF(#REF!="",#REF!,#REF!),INDEX(X$2:X$5,MATCH($I223,$I$2:$I$5,0)),$BB$10:$BB$141)</f>
        <v>#REF!</v>
      </c>
      <c r="Y224" s="141" t="e">
        <f>WORKDAY(IF(X225="",X224,X225),INDEX(Y$2:Y$5,MATCH($I223,$I$2:$I$5,0)),$BB$10:$BB$141)</f>
        <v>#REF!</v>
      </c>
      <c r="Z224" s="141" t="e">
        <f>WORKDAY(IF(Y225="",Y224,Y225),INDEX(Z$2:Z$5,MATCH($I223,$I$2:$I$5,0)),$BB$10:$BB$141)</f>
        <v>#REF!</v>
      </c>
      <c r="AA224" s="141" t="e">
        <f>WORKDAY(IF(Z225="",Z224,Z225),INDEX(AA$2:AA$5,MATCH($I223,$I$2:$I$5,0)),$BB$10:$BB$141)</f>
        <v>#REF!</v>
      </c>
      <c r="AB224" s="142" t="e">
        <f>AE223+#REF!</f>
        <v>#REF!</v>
      </c>
      <c r="AC224" s="502"/>
      <c r="AD224" s="105"/>
      <c r="AE224" s="496"/>
      <c r="AF224" s="493"/>
      <c r="AG224" s="490"/>
      <c r="AH224" s="106"/>
      <c r="AI224" s="107"/>
      <c r="AJ224" s="487"/>
      <c r="AK224" s="143"/>
      <c r="AL224" s="144"/>
      <c r="AM224" s="133">
        <f t="shared" ref="AM224:AW224" si="271">IF(ISERROR(LOOKUP(AM$6,$S224:$AB224,$S$9:$AB$9)),0,(LOOKUP(AM$6,$S224:$AB224,$S$9:$AB$9)))</f>
        <v>0</v>
      </c>
      <c r="AN224" s="134">
        <f t="shared" si="271"/>
        <v>0</v>
      </c>
      <c r="AO224" s="134">
        <f t="shared" si="271"/>
        <v>0</v>
      </c>
      <c r="AP224" s="134">
        <f t="shared" si="271"/>
        <v>0</v>
      </c>
      <c r="AQ224" s="134">
        <f t="shared" si="271"/>
        <v>0</v>
      </c>
      <c r="AR224" s="134">
        <f t="shared" si="271"/>
        <v>0</v>
      </c>
      <c r="AS224" s="134">
        <f t="shared" si="271"/>
        <v>0</v>
      </c>
      <c r="AT224" s="134">
        <f t="shared" si="271"/>
        <v>0</v>
      </c>
      <c r="AU224" s="134">
        <f t="shared" si="271"/>
        <v>0</v>
      </c>
      <c r="AV224" s="134">
        <f t="shared" si="271"/>
        <v>0</v>
      </c>
      <c r="AW224" s="134">
        <f t="shared" ca="1" si="271"/>
        <v>0</v>
      </c>
      <c r="BB224" s="135"/>
    </row>
    <row r="225" spans="1:54" s="21" customFormat="1" ht="18" customHeight="1">
      <c r="A225" s="515"/>
      <c r="B225" s="157"/>
      <c r="C225" s="509"/>
      <c r="D225" s="111" t="str">
        <f>D223</f>
        <v>ELE</v>
      </c>
      <c r="E225" s="145" t="str">
        <f>E223</f>
        <v>RFQ-054</v>
      </c>
      <c r="F225" s="146" t="str">
        <f>F223</f>
        <v>N</v>
      </c>
      <c r="G225" s="160"/>
      <c r="H225" s="113" t="str">
        <f>H223</f>
        <v>Welding Electrode</v>
      </c>
      <c r="I225" s="145" t="str">
        <f>I223</f>
        <v>LD</v>
      </c>
      <c r="J225" s="146"/>
      <c r="K225" s="147"/>
      <c r="L225" s="147"/>
      <c r="M225" s="147">
        <v>1E-3</v>
      </c>
      <c r="N225" s="145"/>
      <c r="O225" s="145"/>
      <c r="P225" s="145"/>
      <c r="Q225" s="148" t="s">
        <v>4861</v>
      </c>
      <c r="R225" s="148"/>
      <c r="S225" s="149"/>
      <c r="T225" s="149"/>
      <c r="U225" s="149"/>
      <c r="V225" s="149"/>
      <c r="W225" s="149"/>
      <c r="X225" s="149"/>
      <c r="Y225" s="149"/>
      <c r="Z225" s="149"/>
      <c r="AA225" s="149"/>
      <c r="AB225" s="149"/>
      <c r="AC225" s="503"/>
      <c r="AD225" s="116"/>
      <c r="AE225" s="497"/>
      <c r="AF225" s="494"/>
      <c r="AG225" s="491"/>
      <c r="AH225" s="117"/>
      <c r="AI225" s="118"/>
      <c r="AJ225" s="488"/>
      <c r="AK225" s="150"/>
      <c r="AL225" s="151"/>
      <c r="AM225" s="152">
        <f t="shared" ref="AM225:AW225" si="272">IF(ISERROR(LOOKUP(AM$6,$S225:$AB225,$S$9:$AB$9)),0,(LOOKUP(AM$6,$S225:$AB225,$S$9:$AB$9)))</f>
        <v>0</v>
      </c>
      <c r="AN225" s="153">
        <f t="shared" si="272"/>
        <v>0</v>
      </c>
      <c r="AO225" s="153">
        <f t="shared" si="272"/>
        <v>0</v>
      </c>
      <c r="AP225" s="153">
        <f t="shared" si="272"/>
        <v>0</v>
      </c>
      <c r="AQ225" s="153">
        <f t="shared" si="272"/>
        <v>0</v>
      </c>
      <c r="AR225" s="153">
        <f t="shared" si="272"/>
        <v>0</v>
      </c>
      <c r="AS225" s="153">
        <f t="shared" si="272"/>
        <v>0</v>
      </c>
      <c r="AT225" s="153">
        <f t="shared" si="272"/>
        <v>0</v>
      </c>
      <c r="AU225" s="153">
        <f t="shared" si="272"/>
        <v>0</v>
      </c>
      <c r="AV225" s="153">
        <f t="shared" si="272"/>
        <v>0</v>
      </c>
      <c r="AW225" s="153">
        <f t="shared" ca="1" si="272"/>
        <v>0</v>
      </c>
      <c r="BB225" s="135"/>
    </row>
    <row r="226" spans="1:54" s="21" customFormat="1" ht="18" customHeight="1">
      <c r="A226" s="513">
        <f>A223+1</f>
        <v>73</v>
      </c>
      <c r="B226" s="154" t="s">
        <v>4920</v>
      </c>
      <c r="C226" s="507" t="s">
        <v>4855</v>
      </c>
      <c r="D226" s="80" t="s">
        <v>4882</v>
      </c>
      <c r="E226" s="127" t="s">
        <v>4917</v>
      </c>
      <c r="F226" s="128" t="s">
        <v>75</v>
      </c>
      <c r="G226" s="158"/>
      <c r="H226" s="82" t="s">
        <v>4936</v>
      </c>
      <c r="I226" s="127" t="s">
        <v>9</v>
      </c>
      <c r="J226" s="128"/>
      <c r="K226" s="129">
        <f>M228</f>
        <v>1E-3</v>
      </c>
      <c r="L226" s="129"/>
      <c r="M226" s="129"/>
      <c r="N226" s="127"/>
      <c r="O226" s="127"/>
      <c r="P226" s="127"/>
      <c r="Q226" s="130" t="s">
        <v>4858</v>
      </c>
      <c r="R226" s="130"/>
      <c r="S226" s="155" t="e">
        <f>WORKDAY(T226,-INDEX(T$2:T$5,MATCH($I226,$I$2:$I$5,0)),'[35]Equipment List and MR List (3)'!$A$2:$A$80)</f>
        <v>#REF!</v>
      </c>
      <c r="T226" s="155" t="e">
        <f>WORKDAY(U226,-INDEX(U$2:U$5,MATCH($I226,$I$2:$I$5,0)),$BB$10:$BB$141)</f>
        <v>#REF!</v>
      </c>
      <c r="U226" s="155" t="e">
        <f>WORKDAY(V226,-INDEX(V$2:V$5,MATCH($I226,$I$2:$I$5,0)),$BB$10:$BB$141)</f>
        <v>#REF!</v>
      </c>
      <c r="V226" s="155" t="e">
        <f>WORKDAY(W226,-INDEX(W$2:W$5,MATCH($I226,$I$2:$I$5,0)),$BB$10:$BB$141)</f>
        <v>#REF!</v>
      </c>
      <c r="W226" s="155" t="e">
        <f>WORKDAY(#REF!,-INDEX(#REF!,MATCH($I226,$I$2:$I$5,0)),$BB$10:$BB$141)</f>
        <v>#REF!</v>
      </c>
      <c r="X226" s="155" t="e">
        <f>WORKDAY(Y226,-INDEX(Y$2:Y$5,MATCH($I226,$I$2:$I$5,0)),$BB$10:$BB$141)</f>
        <v>#REF!</v>
      </c>
      <c r="Y226" s="155" t="e">
        <f>WORKDAY(Z226,-INDEX(Z$2:Z$5,MATCH($I226,$I$2:$I$5,0)),$BB$10:$BB$141)</f>
        <v>#REF!</v>
      </c>
      <c r="Z226" s="155" t="e">
        <f>WORKDAY(AA226,-INDEX(AA$2:AA$5,MATCH($I226,$I$2:$I$5,0)),$BB$10:$BB$141)</f>
        <v>#REF!</v>
      </c>
      <c r="AA226" s="155" t="e">
        <f>WORKDAY(#REF!,-INDEX(#REF!,MATCH($I226,$I$2:$I$5,0)),$BB$10:$BB$141)</f>
        <v>#REF!</v>
      </c>
      <c r="AB226" s="155">
        <f>WORKDAY(AG226,0,'[35]Equipment List and MR List (3)'!$A$2:$A$80)</f>
        <v>0</v>
      </c>
      <c r="AC226" s="501" t="s">
        <v>4859</v>
      </c>
      <c r="AD226" s="87">
        <v>7</v>
      </c>
      <c r="AE226" s="495"/>
      <c r="AF226" s="492" t="e">
        <f>AB227</f>
        <v>#REF!</v>
      </c>
      <c r="AG226" s="489"/>
      <c r="AH226" s="88"/>
      <c r="AI226" s="89"/>
      <c r="AJ226" s="486" t="e">
        <f>AG226-AF226</f>
        <v>#REF!</v>
      </c>
      <c r="AK226" s="131"/>
      <c r="AL226" s="132"/>
      <c r="AM226" s="133">
        <f t="shared" ref="AM226:AW226" si="273">IF(ISERROR(LOOKUP(AM$6,$S226:$AB226,$S$9:$AB$9)),0,(LOOKUP(AM$6,$S226:$AB226,$S$9:$AB$9)))</f>
        <v>0.95</v>
      </c>
      <c r="AN226" s="134">
        <f t="shared" si="273"/>
        <v>0.95</v>
      </c>
      <c r="AO226" s="134">
        <f t="shared" si="273"/>
        <v>0.95</v>
      </c>
      <c r="AP226" s="134">
        <f t="shared" si="273"/>
        <v>0.95</v>
      </c>
      <c r="AQ226" s="134">
        <f t="shared" si="273"/>
        <v>0.95</v>
      </c>
      <c r="AR226" s="134">
        <f t="shared" si="273"/>
        <v>0.95</v>
      </c>
      <c r="AS226" s="134">
        <f t="shared" si="273"/>
        <v>0.95</v>
      </c>
      <c r="AT226" s="134">
        <f t="shared" si="273"/>
        <v>0.95</v>
      </c>
      <c r="AU226" s="134">
        <f t="shared" si="273"/>
        <v>0.95</v>
      </c>
      <c r="AV226" s="134">
        <f t="shared" si="273"/>
        <v>0.95</v>
      </c>
      <c r="AW226" s="134">
        <f t="shared" ca="1" si="273"/>
        <v>0.95</v>
      </c>
      <c r="BB226" s="135"/>
    </row>
    <row r="227" spans="1:54" s="21" customFormat="1" ht="18" customHeight="1">
      <c r="A227" s="514"/>
      <c r="B227" s="156"/>
      <c r="C227" s="508"/>
      <c r="D227" s="96" t="str">
        <f>D226</f>
        <v>ELE</v>
      </c>
      <c r="E227" s="136" t="str">
        <f>E226</f>
        <v>RFQ-054</v>
      </c>
      <c r="F227" s="137" t="str">
        <f>F226</f>
        <v>N</v>
      </c>
      <c r="G227" s="159"/>
      <c r="H227" s="98" t="str">
        <f>H226</f>
        <v>Cable Ladder/Tray-GRP</v>
      </c>
      <c r="I227" s="136" t="str">
        <f>I226</f>
        <v>LD</v>
      </c>
      <c r="J227" s="137"/>
      <c r="K227" s="138"/>
      <c r="L227" s="138">
        <f>M228</f>
        <v>1E-3</v>
      </c>
      <c r="M227" s="138"/>
      <c r="N227" s="136"/>
      <c r="O227" s="136"/>
      <c r="P227" s="136"/>
      <c r="Q227" s="139" t="s">
        <v>4860</v>
      </c>
      <c r="R227" s="139"/>
      <c r="S227" s="140" t="e">
        <f>S226</f>
        <v>#REF!</v>
      </c>
      <c r="T227" s="141" t="e">
        <f>T226</f>
        <v>#REF!</v>
      </c>
      <c r="U227" s="141" t="e">
        <f>WORKDAY(IF(T228="",T227,T228),INDEX(U$2:U$5,MATCH($I226,$I$2:$I$5,0)),$BB$10:$BB$141)</f>
        <v>#REF!</v>
      </c>
      <c r="V227" s="141" t="e">
        <f>WORKDAY(IF(U228="",U227,U228),INDEX(V$2:V$5,MATCH($I226,$I$2:$I$5,0)),$BB$10:$BB$141)</f>
        <v>#REF!</v>
      </c>
      <c r="W227" s="141" t="e">
        <f>WORKDAY(IF(V228="",V227,V228),INDEX(W$2:W$5,MATCH($I226,$I$2:$I$5,0)),$BB$10:$BB$141)</f>
        <v>#REF!</v>
      </c>
      <c r="X227" s="141" t="e">
        <f>WORKDAY(IF(#REF!="",#REF!,#REF!),INDEX(X$2:X$5,MATCH($I226,$I$2:$I$5,0)),$BB$10:$BB$141)</f>
        <v>#REF!</v>
      </c>
      <c r="Y227" s="141" t="e">
        <f>WORKDAY(IF(X228="",X227,X228),INDEX(Y$2:Y$5,MATCH($I226,$I$2:$I$5,0)),$BB$10:$BB$141)</f>
        <v>#REF!</v>
      </c>
      <c r="Z227" s="141" t="e">
        <f>WORKDAY(IF(Y228="",Y227,Y228),INDEX(Z$2:Z$5,MATCH($I226,$I$2:$I$5,0)),$BB$10:$BB$141)</f>
        <v>#REF!</v>
      </c>
      <c r="AA227" s="141" t="e">
        <f>WORKDAY(IF(Z228="",Z227,Z228),INDEX(AA$2:AA$5,MATCH($I226,$I$2:$I$5,0)),$BB$10:$BB$141)</f>
        <v>#REF!</v>
      </c>
      <c r="AB227" s="142" t="e">
        <f>AE226+#REF!</f>
        <v>#REF!</v>
      </c>
      <c r="AC227" s="502"/>
      <c r="AD227" s="105"/>
      <c r="AE227" s="496"/>
      <c r="AF227" s="493"/>
      <c r="AG227" s="490"/>
      <c r="AH227" s="106"/>
      <c r="AI227" s="107"/>
      <c r="AJ227" s="487"/>
      <c r="AK227" s="143"/>
      <c r="AL227" s="144"/>
      <c r="AM227" s="133">
        <f t="shared" ref="AM227:AW227" si="274">IF(ISERROR(LOOKUP(AM$6,$S227:$AB227,$S$9:$AB$9)),0,(LOOKUP(AM$6,$S227:$AB227,$S$9:$AB$9)))</f>
        <v>0</v>
      </c>
      <c r="AN227" s="134">
        <f t="shared" si="274"/>
        <v>0</v>
      </c>
      <c r="AO227" s="134">
        <f t="shared" si="274"/>
        <v>0</v>
      </c>
      <c r="AP227" s="134">
        <f t="shared" si="274"/>
        <v>0</v>
      </c>
      <c r="AQ227" s="134">
        <f t="shared" si="274"/>
        <v>0</v>
      </c>
      <c r="AR227" s="134">
        <f t="shared" si="274"/>
        <v>0</v>
      </c>
      <c r="AS227" s="134">
        <f t="shared" si="274"/>
        <v>0</v>
      </c>
      <c r="AT227" s="134">
        <f t="shared" si="274"/>
        <v>0</v>
      </c>
      <c r="AU227" s="134">
        <f t="shared" si="274"/>
        <v>0</v>
      </c>
      <c r="AV227" s="134">
        <f t="shared" si="274"/>
        <v>0</v>
      </c>
      <c r="AW227" s="134">
        <f t="shared" ca="1" si="274"/>
        <v>0</v>
      </c>
      <c r="BB227" s="135"/>
    </row>
    <row r="228" spans="1:54" s="21" customFormat="1" ht="18" customHeight="1">
      <c r="A228" s="515"/>
      <c r="B228" s="157"/>
      <c r="C228" s="509"/>
      <c r="D228" s="111" t="str">
        <f>D226</f>
        <v>ELE</v>
      </c>
      <c r="E228" s="145" t="str">
        <f>E226</f>
        <v>RFQ-054</v>
      </c>
      <c r="F228" s="146" t="str">
        <f>F226</f>
        <v>N</v>
      </c>
      <c r="G228" s="160"/>
      <c r="H228" s="113" t="str">
        <f>H226</f>
        <v>Cable Ladder/Tray-GRP</v>
      </c>
      <c r="I228" s="145" t="str">
        <f>I226</f>
        <v>LD</v>
      </c>
      <c r="J228" s="146"/>
      <c r="K228" s="147"/>
      <c r="L228" s="147"/>
      <c r="M228" s="147">
        <v>1E-3</v>
      </c>
      <c r="N228" s="145"/>
      <c r="O228" s="145"/>
      <c r="P228" s="145"/>
      <c r="Q228" s="148" t="s">
        <v>4861</v>
      </c>
      <c r="R228" s="148"/>
      <c r="S228" s="149"/>
      <c r="T228" s="149"/>
      <c r="U228" s="149"/>
      <c r="V228" s="149"/>
      <c r="W228" s="149"/>
      <c r="X228" s="149"/>
      <c r="Y228" s="149"/>
      <c r="Z228" s="149"/>
      <c r="AA228" s="149"/>
      <c r="AB228" s="149"/>
      <c r="AC228" s="503"/>
      <c r="AD228" s="116"/>
      <c r="AE228" s="497"/>
      <c r="AF228" s="494"/>
      <c r="AG228" s="491"/>
      <c r="AH228" s="117"/>
      <c r="AI228" s="118"/>
      <c r="AJ228" s="488"/>
      <c r="AK228" s="150"/>
      <c r="AL228" s="151"/>
      <c r="AM228" s="152">
        <f t="shared" ref="AM228:AW228" si="275">IF(ISERROR(LOOKUP(AM$6,$S228:$AB228,$S$9:$AB$9)),0,(LOOKUP(AM$6,$S228:$AB228,$S$9:$AB$9)))</f>
        <v>0</v>
      </c>
      <c r="AN228" s="153">
        <f t="shared" si="275"/>
        <v>0</v>
      </c>
      <c r="AO228" s="153">
        <f t="shared" si="275"/>
        <v>0</v>
      </c>
      <c r="AP228" s="153">
        <f t="shared" si="275"/>
        <v>0</v>
      </c>
      <c r="AQ228" s="153">
        <f t="shared" si="275"/>
        <v>0</v>
      </c>
      <c r="AR228" s="153">
        <f t="shared" si="275"/>
        <v>0</v>
      </c>
      <c r="AS228" s="153">
        <f t="shared" si="275"/>
        <v>0</v>
      </c>
      <c r="AT228" s="153">
        <f t="shared" si="275"/>
        <v>0</v>
      </c>
      <c r="AU228" s="153">
        <f t="shared" si="275"/>
        <v>0</v>
      </c>
      <c r="AV228" s="153">
        <f t="shared" si="275"/>
        <v>0</v>
      </c>
      <c r="AW228" s="153">
        <f t="shared" ca="1" si="275"/>
        <v>0</v>
      </c>
      <c r="BB228" s="135"/>
    </row>
    <row r="229" spans="1:54" s="21" customFormat="1" ht="18" customHeight="1">
      <c r="A229" s="513">
        <f>A226+1</f>
        <v>74</v>
      </c>
      <c r="B229" s="154" t="s">
        <v>4920</v>
      </c>
      <c r="C229" s="507" t="s">
        <v>4855</v>
      </c>
      <c r="D229" s="80" t="s">
        <v>4882</v>
      </c>
      <c r="E229" s="127" t="s">
        <v>4917</v>
      </c>
      <c r="F229" s="128" t="s">
        <v>75</v>
      </c>
      <c r="G229" s="158"/>
      <c r="H229" s="82" t="s">
        <v>4937</v>
      </c>
      <c r="I229" s="127" t="s">
        <v>9</v>
      </c>
      <c r="J229" s="128"/>
      <c r="K229" s="129">
        <f>M231</f>
        <v>1E-3</v>
      </c>
      <c r="L229" s="129"/>
      <c r="M229" s="129"/>
      <c r="N229" s="127"/>
      <c r="O229" s="127"/>
      <c r="P229" s="127"/>
      <c r="Q229" s="130" t="s">
        <v>4858</v>
      </c>
      <c r="R229" s="130"/>
      <c r="S229" s="155" t="e">
        <f>WORKDAY(T229,-INDEX(T$2:T$5,MATCH($I229,$I$2:$I$5,0)),'[35]Equipment List and MR List (3)'!$A$2:$A$80)</f>
        <v>#REF!</v>
      </c>
      <c r="T229" s="155" t="e">
        <f>WORKDAY(U229,-INDEX(U$2:U$5,MATCH($I229,$I$2:$I$5,0)),$BB$10:$BB$141)</f>
        <v>#REF!</v>
      </c>
      <c r="U229" s="155" t="e">
        <f>WORKDAY(V229,-INDEX(V$2:V$5,MATCH($I229,$I$2:$I$5,0)),$BB$10:$BB$141)</f>
        <v>#REF!</v>
      </c>
      <c r="V229" s="155" t="e">
        <f>WORKDAY(W229,-INDEX(W$2:W$5,MATCH($I229,$I$2:$I$5,0)),$BB$10:$BB$141)</f>
        <v>#REF!</v>
      </c>
      <c r="W229" s="155" t="e">
        <f>WORKDAY(#REF!,-INDEX(#REF!,MATCH($I229,$I$2:$I$5,0)),$BB$10:$BB$141)</f>
        <v>#REF!</v>
      </c>
      <c r="X229" s="155" t="e">
        <f>WORKDAY(Y229,-INDEX(Y$2:Y$5,MATCH($I229,$I$2:$I$5,0)),$BB$10:$BB$141)</f>
        <v>#REF!</v>
      </c>
      <c r="Y229" s="155" t="e">
        <f>WORKDAY(Z229,-INDEX(Z$2:Z$5,MATCH($I229,$I$2:$I$5,0)),$BB$10:$BB$141)</f>
        <v>#REF!</v>
      </c>
      <c r="Z229" s="155" t="e">
        <f>WORKDAY(AA229,-INDEX(AA$2:AA$5,MATCH($I229,$I$2:$I$5,0)),$BB$10:$BB$141)</f>
        <v>#REF!</v>
      </c>
      <c r="AA229" s="155" t="e">
        <f>WORKDAY(#REF!,-INDEX(#REF!,MATCH($I229,$I$2:$I$5,0)),$BB$10:$BB$141)</f>
        <v>#REF!</v>
      </c>
      <c r="AB229" s="155">
        <f>WORKDAY(AG229,0,'[35]Equipment List and MR List (3)'!$A$2:$A$80)</f>
        <v>0</v>
      </c>
      <c r="AC229" s="501" t="s">
        <v>4859</v>
      </c>
      <c r="AD229" s="87">
        <v>7</v>
      </c>
      <c r="AE229" s="495"/>
      <c r="AF229" s="492" t="e">
        <f>AB230</f>
        <v>#REF!</v>
      </c>
      <c r="AG229" s="489"/>
      <c r="AH229" s="88"/>
      <c r="AI229" s="89"/>
      <c r="AJ229" s="486" t="e">
        <f>AG229-AF229</f>
        <v>#REF!</v>
      </c>
      <c r="AK229" s="131"/>
      <c r="AL229" s="132"/>
      <c r="AM229" s="133">
        <f t="shared" ref="AM229:AW229" si="276">IF(ISERROR(LOOKUP(AM$6,$S229:$AB229,$S$9:$AB$9)),0,(LOOKUP(AM$6,$S229:$AB229,$S$9:$AB$9)))</f>
        <v>0.95</v>
      </c>
      <c r="AN229" s="134">
        <f t="shared" si="276"/>
        <v>0.95</v>
      </c>
      <c r="AO229" s="134">
        <f t="shared" si="276"/>
        <v>0.95</v>
      </c>
      <c r="AP229" s="134">
        <f t="shared" si="276"/>
        <v>0.95</v>
      </c>
      <c r="AQ229" s="134">
        <f t="shared" si="276"/>
        <v>0.95</v>
      </c>
      <c r="AR229" s="134">
        <f t="shared" si="276"/>
        <v>0.95</v>
      </c>
      <c r="AS229" s="134">
        <f t="shared" si="276"/>
        <v>0.95</v>
      </c>
      <c r="AT229" s="134">
        <f t="shared" si="276"/>
        <v>0.95</v>
      </c>
      <c r="AU229" s="134">
        <f t="shared" si="276"/>
        <v>0.95</v>
      </c>
      <c r="AV229" s="134">
        <f t="shared" si="276"/>
        <v>0.95</v>
      </c>
      <c r="AW229" s="134">
        <f t="shared" ca="1" si="276"/>
        <v>0.95</v>
      </c>
      <c r="BB229" s="135"/>
    </row>
    <row r="230" spans="1:54" s="21" customFormat="1" ht="18" customHeight="1">
      <c r="A230" s="514"/>
      <c r="B230" s="156"/>
      <c r="C230" s="508"/>
      <c r="D230" s="96" t="str">
        <f>D229</f>
        <v>ELE</v>
      </c>
      <c r="E230" s="136" t="str">
        <f>E229</f>
        <v>RFQ-054</v>
      </c>
      <c r="F230" s="137" t="str">
        <f>F229</f>
        <v>N</v>
      </c>
      <c r="G230" s="159"/>
      <c r="H230" s="98" t="str">
        <f>H229</f>
        <v>Flameproof Enclosure (Ex'd)</v>
      </c>
      <c r="I230" s="136" t="str">
        <f>I229</f>
        <v>LD</v>
      </c>
      <c r="J230" s="137"/>
      <c r="K230" s="138"/>
      <c r="L230" s="138">
        <f>M231</f>
        <v>1E-3</v>
      </c>
      <c r="M230" s="138"/>
      <c r="N230" s="136"/>
      <c r="O230" s="136"/>
      <c r="P230" s="136"/>
      <c r="Q230" s="139" t="s">
        <v>4860</v>
      </c>
      <c r="R230" s="139"/>
      <c r="S230" s="140" t="e">
        <f>S229</f>
        <v>#REF!</v>
      </c>
      <c r="T230" s="141" t="e">
        <f>T229</f>
        <v>#REF!</v>
      </c>
      <c r="U230" s="141" t="e">
        <f>WORKDAY(IF(T231="",T230,T231),INDEX(U$2:U$5,MATCH($I229,$I$2:$I$5,0)),$BB$10:$BB$141)</f>
        <v>#REF!</v>
      </c>
      <c r="V230" s="141" t="e">
        <f>WORKDAY(IF(U231="",U230,U231),INDEX(V$2:V$5,MATCH($I229,$I$2:$I$5,0)),$BB$10:$BB$141)</f>
        <v>#REF!</v>
      </c>
      <c r="W230" s="141" t="e">
        <f>WORKDAY(IF(V231="",V230,V231),INDEX(W$2:W$5,MATCH($I229,$I$2:$I$5,0)),$BB$10:$BB$141)</f>
        <v>#REF!</v>
      </c>
      <c r="X230" s="141" t="e">
        <f>WORKDAY(IF(#REF!="",#REF!,#REF!),INDEX(X$2:X$5,MATCH($I229,$I$2:$I$5,0)),$BB$10:$BB$141)</f>
        <v>#REF!</v>
      </c>
      <c r="Y230" s="141" t="e">
        <f>WORKDAY(IF(X231="",X230,X231),INDEX(Y$2:Y$5,MATCH($I229,$I$2:$I$5,0)),$BB$10:$BB$141)</f>
        <v>#REF!</v>
      </c>
      <c r="Z230" s="141" t="e">
        <f>WORKDAY(IF(Y231="",Y230,Y231),INDEX(Z$2:Z$5,MATCH($I229,$I$2:$I$5,0)),$BB$10:$BB$141)</f>
        <v>#REF!</v>
      </c>
      <c r="AA230" s="141" t="e">
        <f>WORKDAY(IF(Z231="",Z230,Z231),INDEX(AA$2:AA$5,MATCH($I229,$I$2:$I$5,0)),$BB$10:$BB$141)</f>
        <v>#REF!</v>
      </c>
      <c r="AB230" s="142" t="e">
        <f>AE229+#REF!</f>
        <v>#REF!</v>
      </c>
      <c r="AC230" s="502"/>
      <c r="AD230" s="105"/>
      <c r="AE230" s="496"/>
      <c r="AF230" s="493"/>
      <c r="AG230" s="490"/>
      <c r="AH230" s="106"/>
      <c r="AI230" s="107"/>
      <c r="AJ230" s="487"/>
      <c r="AK230" s="143"/>
      <c r="AL230" s="144"/>
      <c r="AM230" s="133">
        <f t="shared" ref="AM230:AW230" si="277">IF(ISERROR(LOOKUP(AM$6,$S230:$AB230,$S$9:$AB$9)),0,(LOOKUP(AM$6,$S230:$AB230,$S$9:$AB$9)))</f>
        <v>0</v>
      </c>
      <c r="AN230" s="134">
        <f t="shared" si="277"/>
        <v>0</v>
      </c>
      <c r="AO230" s="134">
        <f t="shared" si="277"/>
        <v>0</v>
      </c>
      <c r="AP230" s="134">
        <f t="shared" si="277"/>
        <v>0</v>
      </c>
      <c r="AQ230" s="134">
        <f t="shared" si="277"/>
        <v>0</v>
      </c>
      <c r="AR230" s="134">
        <f t="shared" si="277"/>
        <v>0</v>
      </c>
      <c r="AS230" s="134">
        <f t="shared" si="277"/>
        <v>0</v>
      </c>
      <c r="AT230" s="134">
        <f t="shared" si="277"/>
        <v>0</v>
      </c>
      <c r="AU230" s="134">
        <f t="shared" si="277"/>
        <v>0</v>
      </c>
      <c r="AV230" s="134">
        <f t="shared" si="277"/>
        <v>0</v>
      </c>
      <c r="AW230" s="134">
        <f t="shared" ca="1" si="277"/>
        <v>0</v>
      </c>
      <c r="BB230" s="135"/>
    </row>
    <row r="231" spans="1:54" s="21" customFormat="1" ht="18" customHeight="1">
      <c r="A231" s="515"/>
      <c r="B231" s="157"/>
      <c r="C231" s="509"/>
      <c r="D231" s="111" t="str">
        <f>D229</f>
        <v>ELE</v>
      </c>
      <c r="E231" s="145" t="str">
        <f>E229</f>
        <v>RFQ-054</v>
      </c>
      <c r="F231" s="146" t="str">
        <f>F229</f>
        <v>N</v>
      </c>
      <c r="G231" s="160"/>
      <c r="H231" s="113" t="str">
        <f>H229</f>
        <v>Flameproof Enclosure (Ex'd)</v>
      </c>
      <c r="I231" s="145" t="str">
        <f>I229</f>
        <v>LD</v>
      </c>
      <c r="J231" s="146"/>
      <c r="K231" s="147"/>
      <c r="L231" s="147"/>
      <c r="M231" s="147">
        <v>1E-3</v>
      </c>
      <c r="N231" s="145"/>
      <c r="O231" s="145"/>
      <c r="P231" s="145"/>
      <c r="Q231" s="148" t="s">
        <v>4861</v>
      </c>
      <c r="R231" s="148"/>
      <c r="S231" s="149"/>
      <c r="T231" s="149"/>
      <c r="U231" s="149"/>
      <c r="V231" s="149"/>
      <c r="W231" s="149"/>
      <c r="X231" s="149"/>
      <c r="Y231" s="149"/>
      <c r="Z231" s="149"/>
      <c r="AA231" s="149"/>
      <c r="AB231" s="149"/>
      <c r="AC231" s="503"/>
      <c r="AD231" s="116"/>
      <c r="AE231" s="497"/>
      <c r="AF231" s="494"/>
      <c r="AG231" s="491"/>
      <c r="AH231" s="117"/>
      <c r="AI231" s="118"/>
      <c r="AJ231" s="488"/>
      <c r="AK231" s="150"/>
      <c r="AL231" s="151"/>
      <c r="AM231" s="152">
        <f t="shared" ref="AM231:AW231" si="278">IF(ISERROR(LOOKUP(AM$6,$S231:$AB231,$S$9:$AB$9)),0,(LOOKUP(AM$6,$S231:$AB231,$S$9:$AB$9)))</f>
        <v>0</v>
      </c>
      <c r="AN231" s="153">
        <f t="shared" si="278"/>
        <v>0</v>
      </c>
      <c r="AO231" s="153">
        <f t="shared" si="278"/>
        <v>0</v>
      </c>
      <c r="AP231" s="153">
        <f t="shared" si="278"/>
        <v>0</v>
      </c>
      <c r="AQ231" s="153">
        <f t="shared" si="278"/>
        <v>0</v>
      </c>
      <c r="AR231" s="153">
        <f t="shared" si="278"/>
        <v>0</v>
      </c>
      <c r="AS231" s="153">
        <f t="shared" si="278"/>
        <v>0</v>
      </c>
      <c r="AT231" s="153">
        <f t="shared" si="278"/>
        <v>0</v>
      </c>
      <c r="AU231" s="153">
        <f t="shared" si="278"/>
        <v>0</v>
      </c>
      <c r="AV231" s="153">
        <f t="shared" si="278"/>
        <v>0</v>
      </c>
      <c r="AW231" s="153">
        <f t="shared" ca="1" si="278"/>
        <v>0</v>
      </c>
      <c r="BB231" s="135"/>
    </row>
    <row r="232" spans="1:54" s="21" customFormat="1" ht="18" customHeight="1">
      <c r="A232" s="513">
        <f>A229+1</f>
        <v>75</v>
      </c>
      <c r="B232" s="154" t="s">
        <v>4920</v>
      </c>
      <c r="C232" s="507" t="s">
        <v>4855</v>
      </c>
      <c r="D232" s="80" t="s">
        <v>4882</v>
      </c>
      <c r="E232" s="127" t="s">
        <v>4917</v>
      </c>
      <c r="F232" s="128" t="s">
        <v>75</v>
      </c>
      <c r="G232" s="158"/>
      <c r="H232" s="82" t="s">
        <v>4938</v>
      </c>
      <c r="I232" s="127" t="s">
        <v>9</v>
      </c>
      <c r="J232" s="128"/>
      <c r="K232" s="129">
        <f>M234</f>
        <v>1E-3</v>
      </c>
      <c r="L232" s="129"/>
      <c r="M232" s="129"/>
      <c r="N232" s="127"/>
      <c r="O232" s="127"/>
      <c r="P232" s="127"/>
      <c r="Q232" s="130" t="s">
        <v>4858</v>
      </c>
      <c r="R232" s="130"/>
      <c r="S232" s="155" t="e">
        <f>WORKDAY(T232,-INDEX(T$2:T$5,MATCH($I232,$I$2:$I$5,0)),'[35]Equipment List and MR List (3)'!$A$2:$A$80)</f>
        <v>#REF!</v>
      </c>
      <c r="T232" s="155" t="e">
        <f>WORKDAY(U232,-INDEX(U$2:U$5,MATCH($I232,$I$2:$I$5,0)),$BB$10:$BB$141)</f>
        <v>#REF!</v>
      </c>
      <c r="U232" s="155" t="e">
        <f>WORKDAY(V232,-INDEX(V$2:V$5,MATCH($I232,$I$2:$I$5,0)),$BB$10:$BB$141)</f>
        <v>#REF!</v>
      </c>
      <c r="V232" s="155" t="e">
        <f>WORKDAY(W232,-INDEX(W$2:W$5,MATCH($I232,$I$2:$I$5,0)),$BB$10:$BB$141)</f>
        <v>#REF!</v>
      </c>
      <c r="W232" s="155" t="e">
        <f>WORKDAY(#REF!,-INDEX(#REF!,MATCH($I232,$I$2:$I$5,0)),$BB$10:$BB$141)</f>
        <v>#REF!</v>
      </c>
      <c r="X232" s="155" t="e">
        <f>WORKDAY(Y232,-INDEX(Y$2:Y$5,MATCH($I232,$I$2:$I$5,0)),$BB$10:$BB$141)</f>
        <v>#REF!</v>
      </c>
      <c r="Y232" s="155" t="e">
        <f>WORKDAY(Z232,-INDEX(Z$2:Z$5,MATCH($I232,$I$2:$I$5,0)),$BB$10:$BB$141)</f>
        <v>#REF!</v>
      </c>
      <c r="Z232" s="155" t="e">
        <f>WORKDAY(AA232,-INDEX(AA$2:AA$5,MATCH($I232,$I$2:$I$5,0)),$BB$10:$BB$141)</f>
        <v>#REF!</v>
      </c>
      <c r="AA232" s="155" t="e">
        <f>WORKDAY(#REF!,-INDEX(#REF!,MATCH($I232,$I$2:$I$5,0)),$BB$10:$BB$141)</f>
        <v>#REF!</v>
      </c>
      <c r="AB232" s="155">
        <f>WORKDAY(AG232,0,'[35]Equipment List and MR List (3)'!$A$2:$A$80)</f>
        <v>0</v>
      </c>
      <c r="AC232" s="501" t="s">
        <v>4859</v>
      </c>
      <c r="AD232" s="87">
        <v>7</v>
      </c>
      <c r="AE232" s="495"/>
      <c r="AF232" s="492" t="e">
        <f>AB233</f>
        <v>#REF!</v>
      </c>
      <c r="AG232" s="489"/>
      <c r="AH232" s="88"/>
      <c r="AI232" s="89"/>
      <c r="AJ232" s="486" t="e">
        <f>AG232-AF232</f>
        <v>#REF!</v>
      </c>
      <c r="AK232" s="131"/>
      <c r="AL232" s="132"/>
      <c r="AM232" s="133">
        <f t="shared" ref="AM232:AW232" si="279">IF(ISERROR(LOOKUP(AM$6,$S232:$AB232,$S$9:$AB$9)),0,(LOOKUP(AM$6,$S232:$AB232,$S$9:$AB$9)))</f>
        <v>0.95</v>
      </c>
      <c r="AN232" s="134">
        <f t="shared" si="279"/>
        <v>0.95</v>
      </c>
      <c r="AO232" s="134">
        <f t="shared" si="279"/>
        <v>0.95</v>
      </c>
      <c r="AP232" s="134">
        <f t="shared" si="279"/>
        <v>0.95</v>
      </c>
      <c r="AQ232" s="134">
        <f t="shared" si="279"/>
        <v>0.95</v>
      </c>
      <c r="AR232" s="134">
        <f t="shared" si="279"/>
        <v>0.95</v>
      </c>
      <c r="AS232" s="134">
        <f t="shared" si="279"/>
        <v>0.95</v>
      </c>
      <c r="AT232" s="134">
        <f t="shared" si="279"/>
        <v>0.95</v>
      </c>
      <c r="AU232" s="134">
        <f t="shared" si="279"/>
        <v>0.95</v>
      </c>
      <c r="AV232" s="134">
        <f t="shared" si="279"/>
        <v>0.95</v>
      </c>
      <c r="AW232" s="134">
        <f t="shared" ca="1" si="279"/>
        <v>0.95</v>
      </c>
      <c r="BB232" s="135"/>
    </row>
    <row r="233" spans="1:54" s="21" customFormat="1" ht="18" customHeight="1">
      <c r="A233" s="514"/>
      <c r="B233" s="156"/>
      <c r="C233" s="508"/>
      <c r="D233" s="96" t="str">
        <f>D232</f>
        <v>ELE</v>
      </c>
      <c r="E233" s="136" t="str">
        <f>E232</f>
        <v>RFQ-054</v>
      </c>
      <c r="F233" s="137" t="str">
        <f>F232</f>
        <v>N</v>
      </c>
      <c r="G233" s="159"/>
      <c r="H233" s="98" t="str">
        <f>H232</f>
        <v>Pushbutton</v>
      </c>
      <c r="I233" s="136" t="str">
        <f>I232</f>
        <v>LD</v>
      </c>
      <c r="J233" s="137"/>
      <c r="K233" s="138"/>
      <c r="L233" s="138">
        <f>M234</f>
        <v>1E-3</v>
      </c>
      <c r="M233" s="138"/>
      <c r="N233" s="136"/>
      <c r="O233" s="136"/>
      <c r="P233" s="136"/>
      <c r="Q233" s="139" t="s">
        <v>4860</v>
      </c>
      <c r="R233" s="139"/>
      <c r="S233" s="140" t="e">
        <f>S232</f>
        <v>#REF!</v>
      </c>
      <c r="T233" s="141" t="e">
        <f>T232</f>
        <v>#REF!</v>
      </c>
      <c r="U233" s="141" t="e">
        <f>WORKDAY(IF(T234="",T233,T234),INDEX(U$2:U$5,MATCH($I232,$I$2:$I$5,0)),$BB$10:$BB$141)</f>
        <v>#REF!</v>
      </c>
      <c r="V233" s="141" t="e">
        <f>WORKDAY(IF(U234="",U233,U234),INDEX(V$2:V$5,MATCH($I232,$I$2:$I$5,0)),$BB$10:$BB$141)</f>
        <v>#REF!</v>
      </c>
      <c r="W233" s="141" t="e">
        <f>WORKDAY(IF(V234="",V233,V234),INDEX(W$2:W$5,MATCH($I232,$I$2:$I$5,0)),$BB$10:$BB$141)</f>
        <v>#REF!</v>
      </c>
      <c r="X233" s="141" t="e">
        <f>WORKDAY(IF(#REF!="",#REF!,#REF!),INDEX(X$2:X$5,MATCH($I232,$I$2:$I$5,0)),$BB$10:$BB$141)</f>
        <v>#REF!</v>
      </c>
      <c r="Y233" s="141" t="e">
        <f>WORKDAY(IF(X234="",X233,X234),INDEX(Y$2:Y$5,MATCH($I232,$I$2:$I$5,0)),$BB$10:$BB$141)</f>
        <v>#REF!</v>
      </c>
      <c r="Z233" s="141" t="e">
        <f>WORKDAY(IF(Y234="",Y233,Y234),INDEX(Z$2:Z$5,MATCH($I232,$I$2:$I$5,0)),$BB$10:$BB$141)</f>
        <v>#REF!</v>
      </c>
      <c r="AA233" s="141" t="e">
        <f>WORKDAY(IF(Z234="",Z233,Z234),INDEX(AA$2:AA$5,MATCH($I232,$I$2:$I$5,0)),$BB$10:$BB$141)</f>
        <v>#REF!</v>
      </c>
      <c r="AB233" s="142" t="e">
        <f>AE232+#REF!</f>
        <v>#REF!</v>
      </c>
      <c r="AC233" s="502"/>
      <c r="AD233" s="105"/>
      <c r="AE233" s="496"/>
      <c r="AF233" s="493"/>
      <c r="AG233" s="490"/>
      <c r="AH233" s="106"/>
      <c r="AI233" s="107"/>
      <c r="AJ233" s="487"/>
      <c r="AK233" s="143"/>
      <c r="AL233" s="144"/>
      <c r="AM233" s="133">
        <f t="shared" ref="AM233:AW233" si="280">IF(ISERROR(LOOKUP(AM$6,$S233:$AB233,$S$9:$AB$9)),0,(LOOKUP(AM$6,$S233:$AB233,$S$9:$AB$9)))</f>
        <v>0</v>
      </c>
      <c r="AN233" s="134">
        <f t="shared" si="280"/>
        <v>0</v>
      </c>
      <c r="AO233" s="134">
        <f t="shared" si="280"/>
        <v>0</v>
      </c>
      <c r="AP233" s="134">
        <f t="shared" si="280"/>
        <v>0</v>
      </c>
      <c r="AQ233" s="134">
        <f t="shared" si="280"/>
        <v>0</v>
      </c>
      <c r="AR233" s="134">
        <f t="shared" si="280"/>
        <v>0</v>
      </c>
      <c r="AS233" s="134">
        <f t="shared" si="280"/>
        <v>0</v>
      </c>
      <c r="AT233" s="134">
        <f t="shared" si="280"/>
        <v>0</v>
      </c>
      <c r="AU233" s="134">
        <f t="shared" si="280"/>
        <v>0</v>
      </c>
      <c r="AV233" s="134">
        <f t="shared" si="280"/>
        <v>0</v>
      </c>
      <c r="AW233" s="134">
        <f t="shared" ca="1" si="280"/>
        <v>0</v>
      </c>
      <c r="BB233" s="135"/>
    </row>
    <row r="234" spans="1:54" s="21" customFormat="1" ht="18" customHeight="1">
      <c r="A234" s="515"/>
      <c r="B234" s="157"/>
      <c r="C234" s="509"/>
      <c r="D234" s="111" t="str">
        <f>D232</f>
        <v>ELE</v>
      </c>
      <c r="E234" s="145" t="str">
        <f>E232</f>
        <v>RFQ-054</v>
      </c>
      <c r="F234" s="146" t="str">
        <f>F232</f>
        <v>N</v>
      </c>
      <c r="G234" s="160"/>
      <c r="H234" s="113" t="str">
        <f>H232</f>
        <v>Pushbutton</v>
      </c>
      <c r="I234" s="145" t="str">
        <f>I232</f>
        <v>LD</v>
      </c>
      <c r="J234" s="146"/>
      <c r="K234" s="147"/>
      <c r="L234" s="147"/>
      <c r="M234" s="147">
        <v>1E-3</v>
      </c>
      <c r="N234" s="145"/>
      <c r="O234" s="145"/>
      <c r="P234" s="145"/>
      <c r="Q234" s="148" t="s">
        <v>4861</v>
      </c>
      <c r="R234" s="148"/>
      <c r="S234" s="149"/>
      <c r="T234" s="149"/>
      <c r="U234" s="149"/>
      <c r="V234" s="149"/>
      <c r="W234" s="149"/>
      <c r="X234" s="149"/>
      <c r="Y234" s="149"/>
      <c r="Z234" s="149"/>
      <c r="AA234" s="149"/>
      <c r="AB234" s="149"/>
      <c r="AC234" s="503"/>
      <c r="AD234" s="116"/>
      <c r="AE234" s="497"/>
      <c r="AF234" s="494"/>
      <c r="AG234" s="491"/>
      <c r="AH234" s="117"/>
      <c r="AI234" s="118"/>
      <c r="AJ234" s="488"/>
      <c r="AK234" s="150"/>
      <c r="AL234" s="151"/>
      <c r="AM234" s="152">
        <f t="shared" ref="AM234:AW234" si="281">IF(ISERROR(LOOKUP(AM$6,$S234:$AB234,$S$9:$AB$9)),0,(LOOKUP(AM$6,$S234:$AB234,$S$9:$AB$9)))</f>
        <v>0</v>
      </c>
      <c r="AN234" s="153">
        <f t="shared" si="281"/>
        <v>0</v>
      </c>
      <c r="AO234" s="153">
        <f t="shared" si="281"/>
        <v>0</v>
      </c>
      <c r="AP234" s="153">
        <f t="shared" si="281"/>
        <v>0</v>
      </c>
      <c r="AQ234" s="153">
        <f t="shared" si="281"/>
        <v>0</v>
      </c>
      <c r="AR234" s="153">
        <f t="shared" si="281"/>
        <v>0</v>
      </c>
      <c r="AS234" s="153">
        <f t="shared" si="281"/>
        <v>0</v>
      </c>
      <c r="AT234" s="153">
        <f t="shared" si="281"/>
        <v>0</v>
      </c>
      <c r="AU234" s="153">
        <f t="shared" si="281"/>
        <v>0</v>
      </c>
      <c r="AV234" s="153">
        <f t="shared" si="281"/>
        <v>0</v>
      </c>
      <c r="AW234" s="153">
        <f t="shared" ca="1" si="281"/>
        <v>0</v>
      </c>
      <c r="BB234" s="135"/>
    </row>
    <row r="235" spans="1:54" s="21" customFormat="1" ht="18" customHeight="1">
      <c r="A235" s="513">
        <f>A232+1</f>
        <v>76</v>
      </c>
      <c r="B235" s="154" t="s">
        <v>4920</v>
      </c>
      <c r="C235" s="507" t="s">
        <v>4855</v>
      </c>
      <c r="D235" s="80" t="s">
        <v>4939</v>
      </c>
      <c r="E235" s="127" t="s">
        <v>4917</v>
      </c>
      <c r="F235" s="128" t="s">
        <v>75</v>
      </c>
      <c r="G235" s="158"/>
      <c r="H235" s="82" t="s">
        <v>4940</v>
      </c>
      <c r="I235" s="127" t="s">
        <v>9</v>
      </c>
      <c r="J235" s="128"/>
      <c r="K235" s="129">
        <f>M237</f>
        <v>1E-3</v>
      </c>
      <c r="L235" s="129"/>
      <c r="M235" s="129"/>
      <c r="N235" s="127"/>
      <c r="O235" s="127"/>
      <c r="P235" s="127"/>
      <c r="Q235" s="130" t="s">
        <v>4858</v>
      </c>
      <c r="R235" s="130"/>
      <c r="S235" s="155" t="e">
        <f>WORKDAY(T235,-INDEX(T$2:T$5,MATCH($I235,$I$2:$I$5,0)),'[35]Equipment List and MR List (3)'!$A$2:$A$80)</f>
        <v>#REF!</v>
      </c>
      <c r="T235" s="155" t="e">
        <f>WORKDAY(U235,-INDEX(U$2:U$5,MATCH($I235,$I$2:$I$5,0)),$BB$10:$BB$141)</f>
        <v>#REF!</v>
      </c>
      <c r="U235" s="155" t="e">
        <f>WORKDAY(V235,-INDEX(V$2:V$5,MATCH($I235,$I$2:$I$5,0)),$BB$10:$BB$141)</f>
        <v>#REF!</v>
      </c>
      <c r="V235" s="155" t="e">
        <f>WORKDAY(W235,-INDEX(W$2:W$5,MATCH($I235,$I$2:$I$5,0)),$BB$10:$BB$141)</f>
        <v>#REF!</v>
      </c>
      <c r="W235" s="155" t="e">
        <f>WORKDAY(#REF!,-INDEX(#REF!,MATCH($I235,$I$2:$I$5,0)),$BB$10:$BB$141)</f>
        <v>#REF!</v>
      </c>
      <c r="X235" s="155" t="e">
        <f>WORKDAY(Y235,-INDEX(Y$2:Y$5,MATCH($I235,$I$2:$I$5,0)),$BB$10:$BB$141)</f>
        <v>#REF!</v>
      </c>
      <c r="Y235" s="155" t="e">
        <f>WORKDAY(Z235,-INDEX(Z$2:Z$5,MATCH($I235,$I$2:$I$5,0)),$BB$10:$BB$141)</f>
        <v>#REF!</v>
      </c>
      <c r="Z235" s="155" t="e">
        <f>WORKDAY(AA235,-INDEX(AA$2:AA$5,MATCH($I235,$I$2:$I$5,0)),$BB$10:$BB$141)</f>
        <v>#REF!</v>
      </c>
      <c r="AA235" s="155" t="e">
        <f>WORKDAY(#REF!,-INDEX(#REF!,MATCH($I235,$I$2:$I$5,0)),$BB$10:$BB$141)</f>
        <v>#REF!</v>
      </c>
      <c r="AB235" s="155">
        <f>WORKDAY(AG235,0,'[35]Equipment List and MR List (3)'!$A$2:$A$80)</f>
        <v>0</v>
      </c>
      <c r="AC235" s="501" t="s">
        <v>4859</v>
      </c>
      <c r="AD235" s="87">
        <v>7</v>
      </c>
      <c r="AE235" s="495"/>
      <c r="AF235" s="492" t="e">
        <f>AB236</f>
        <v>#REF!</v>
      </c>
      <c r="AG235" s="489"/>
      <c r="AH235" s="88"/>
      <c r="AI235" s="89"/>
      <c r="AJ235" s="486" t="e">
        <f>AG235-AF235</f>
        <v>#REF!</v>
      </c>
      <c r="AK235" s="131"/>
      <c r="AL235" s="132"/>
      <c r="AM235" s="133">
        <f t="shared" ref="AM235:AW235" si="282">IF(ISERROR(LOOKUP(AM$6,$S235:$AB235,$S$9:$AB$9)),0,(LOOKUP(AM$6,$S235:$AB235,$S$9:$AB$9)))</f>
        <v>0.95</v>
      </c>
      <c r="AN235" s="134">
        <f t="shared" si="282"/>
        <v>0.95</v>
      </c>
      <c r="AO235" s="134">
        <f t="shared" si="282"/>
        <v>0.95</v>
      </c>
      <c r="AP235" s="134">
        <f t="shared" si="282"/>
        <v>0.95</v>
      </c>
      <c r="AQ235" s="134">
        <f t="shared" si="282"/>
        <v>0.95</v>
      </c>
      <c r="AR235" s="134">
        <f t="shared" si="282"/>
        <v>0.95</v>
      </c>
      <c r="AS235" s="134">
        <f t="shared" si="282"/>
        <v>0.95</v>
      </c>
      <c r="AT235" s="134">
        <f t="shared" si="282"/>
        <v>0.95</v>
      </c>
      <c r="AU235" s="134">
        <f t="shared" si="282"/>
        <v>0.95</v>
      </c>
      <c r="AV235" s="134">
        <f t="shared" si="282"/>
        <v>0.95</v>
      </c>
      <c r="AW235" s="134">
        <f t="shared" ca="1" si="282"/>
        <v>0.95</v>
      </c>
      <c r="BB235" s="135"/>
    </row>
    <row r="236" spans="1:54" s="21" customFormat="1" ht="18" customHeight="1">
      <c r="A236" s="514"/>
      <c r="B236" s="156"/>
      <c r="C236" s="508"/>
      <c r="D236" s="96" t="str">
        <f>D235</f>
        <v>INT</v>
      </c>
      <c r="E236" s="136" t="str">
        <f>E235</f>
        <v>RFQ-054</v>
      </c>
      <c r="F236" s="137" t="str">
        <f>F235</f>
        <v>N</v>
      </c>
      <c r="G236" s="159"/>
      <c r="H236" s="98" t="str">
        <f>H235</f>
        <v>ESD Button / Station</v>
      </c>
      <c r="I236" s="136" t="str">
        <f>I235</f>
        <v>LD</v>
      </c>
      <c r="J236" s="137"/>
      <c r="K236" s="138"/>
      <c r="L236" s="138">
        <f>M237</f>
        <v>1E-3</v>
      </c>
      <c r="M236" s="138"/>
      <c r="N236" s="136"/>
      <c r="O236" s="136"/>
      <c r="P236" s="136"/>
      <c r="Q236" s="139" t="s">
        <v>4860</v>
      </c>
      <c r="R236" s="139"/>
      <c r="S236" s="140" t="e">
        <f>S235</f>
        <v>#REF!</v>
      </c>
      <c r="T236" s="141" t="e">
        <f>T235</f>
        <v>#REF!</v>
      </c>
      <c r="U236" s="141" t="e">
        <f>WORKDAY(IF(T237="",T236,T237),INDEX(U$2:U$5,MATCH($I235,$I$2:$I$5,0)),$BB$10:$BB$141)</f>
        <v>#REF!</v>
      </c>
      <c r="V236" s="141" t="e">
        <f>WORKDAY(IF(U237="",U236,U237),INDEX(V$2:V$5,MATCH($I235,$I$2:$I$5,0)),$BB$10:$BB$141)</f>
        <v>#REF!</v>
      </c>
      <c r="W236" s="141" t="e">
        <f>WORKDAY(IF(V237="",V236,V237),INDEX(W$2:W$5,MATCH($I235,$I$2:$I$5,0)),$BB$10:$BB$141)</f>
        <v>#REF!</v>
      </c>
      <c r="X236" s="141" t="e">
        <f>WORKDAY(IF(#REF!="",#REF!,#REF!),INDEX(X$2:X$5,MATCH($I235,$I$2:$I$5,0)),$BB$10:$BB$141)</f>
        <v>#REF!</v>
      </c>
      <c r="Y236" s="141" t="e">
        <f>WORKDAY(IF(X237="",X236,X237),INDEX(Y$2:Y$5,MATCH($I235,$I$2:$I$5,0)),$BB$10:$BB$141)</f>
        <v>#REF!</v>
      </c>
      <c r="Z236" s="141" t="e">
        <f>WORKDAY(IF(Y237="",Y236,Y237),INDEX(Z$2:Z$5,MATCH($I235,$I$2:$I$5,0)),$BB$10:$BB$141)</f>
        <v>#REF!</v>
      </c>
      <c r="AA236" s="141" t="e">
        <f>WORKDAY(IF(Z237="",Z236,Z237),INDEX(AA$2:AA$5,MATCH($I235,$I$2:$I$5,0)),$BB$10:$BB$141)</f>
        <v>#REF!</v>
      </c>
      <c r="AB236" s="142" t="e">
        <f>AE235+#REF!</f>
        <v>#REF!</v>
      </c>
      <c r="AC236" s="502"/>
      <c r="AD236" s="105"/>
      <c r="AE236" s="496"/>
      <c r="AF236" s="493"/>
      <c r="AG236" s="490"/>
      <c r="AH236" s="106"/>
      <c r="AI236" s="107"/>
      <c r="AJ236" s="487"/>
      <c r="AK236" s="143"/>
      <c r="AL236" s="144"/>
      <c r="AM236" s="133">
        <f t="shared" ref="AM236:AW236" si="283">IF(ISERROR(LOOKUP(AM$6,$S236:$AB236,$S$9:$AB$9)),0,(LOOKUP(AM$6,$S236:$AB236,$S$9:$AB$9)))</f>
        <v>0</v>
      </c>
      <c r="AN236" s="134">
        <f t="shared" si="283"/>
        <v>0</v>
      </c>
      <c r="AO236" s="134">
        <f t="shared" si="283"/>
        <v>0</v>
      </c>
      <c r="AP236" s="134">
        <f t="shared" si="283"/>
        <v>0</v>
      </c>
      <c r="AQ236" s="134">
        <f t="shared" si="283"/>
        <v>0</v>
      </c>
      <c r="AR236" s="134">
        <f t="shared" si="283"/>
        <v>0</v>
      </c>
      <c r="AS236" s="134">
        <f t="shared" si="283"/>
        <v>0</v>
      </c>
      <c r="AT236" s="134">
        <f t="shared" si="283"/>
        <v>0</v>
      </c>
      <c r="AU236" s="134">
        <f t="shared" si="283"/>
        <v>0</v>
      </c>
      <c r="AV236" s="134">
        <f t="shared" si="283"/>
        <v>0</v>
      </c>
      <c r="AW236" s="134">
        <f t="shared" ca="1" si="283"/>
        <v>0</v>
      </c>
      <c r="BB236" s="135"/>
    </row>
    <row r="237" spans="1:54" s="21" customFormat="1" ht="18" customHeight="1">
      <c r="A237" s="515"/>
      <c r="B237" s="157"/>
      <c r="C237" s="509"/>
      <c r="D237" s="111" t="str">
        <f>D235</f>
        <v>INT</v>
      </c>
      <c r="E237" s="145" t="str">
        <f>E235</f>
        <v>RFQ-054</v>
      </c>
      <c r="F237" s="146" t="str">
        <f>F235</f>
        <v>N</v>
      </c>
      <c r="G237" s="160"/>
      <c r="H237" s="113" t="str">
        <f>H235</f>
        <v>ESD Button / Station</v>
      </c>
      <c r="I237" s="145" t="str">
        <f>I235</f>
        <v>LD</v>
      </c>
      <c r="J237" s="146"/>
      <c r="K237" s="147"/>
      <c r="L237" s="147"/>
      <c r="M237" s="147">
        <v>1E-3</v>
      </c>
      <c r="N237" s="145"/>
      <c r="O237" s="145"/>
      <c r="P237" s="145"/>
      <c r="Q237" s="148" t="s">
        <v>4861</v>
      </c>
      <c r="R237" s="148"/>
      <c r="S237" s="149"/>
      <c r="T237" s="149"/>
      <c r="U237" s="149"/>
      <c r="V237" s="149"/>
      <c r="W237" s="149"/>
      <c r="X237" s="149"/>
      <c r="Y237" s="149"/>
      <c r="Z237" s="149"/>
      <c r="AA237" s="149"/>
      <c r="AB237" s="149"/>
      <c r="AC237" s="503"/>
      <c r="AD237" s="116"/>
      <c r="AE237" s="497"/>
      <c r="AF237" s="494"/>
      <c r="AG237" s="491"/>
      <c r="AH237" s="117"/>
      <c r="AI237" s="118"/>
      <c r="AJ237" s="488"/>
      <c r="AK237" s="150"/>
      <c r="AL237" s="151"/>
      <c r="AM237" s="152">
        <f t="shared" ref="AM237:AW237" si="284">IF(ISERROR(LOOKUP(AM$6,$S237:$AB237,$S$9:$AB$9)),0,(LOOKUP(AM$6,$S237:$AB237,$S$9:$AB$9)))</f>
        <v>0</v>
      </c>
      <c r="AN237" s="153">
        <f t="shared" si="284"/>
        <v>0</v>
      </c>
      <c r="AO237" s="153">
        <f t="shared" si="284"/>
        <v>0</v>
      </c>
      <c r="AP237" s="153">
        <f t="shared" si="284"/>
        <v>0</v>
      </c>
      <c r="AQ237" s="153">
        <f t="shared" si="284"/>
        <v>0</v>
      </c>
      <c r="AR237" s="153">
        <f t="shared" si="284"/>
        <v>0</v>
      </c>
      <c r="AS237" s="153">
        <f t="shared" si="284"/>
        <v>0</v>
      </c>
      <c r="AT237" s="153">
        <f t="shared" si="284"/>
        <v>0</v>
      </c>
      <c r="AU237" s="153">
        <f t="shared" si="284"/>
        <v>0</v>
      </c>
      <c r="AV237" s="153">
        <f t="shared" si="284"/>
        <v>0</v>
      </c>
      <c r="AW237" s="153">
        <f t="shared" ca="1" si="284"/>
        <v>0</v>
      </c>
      <c r="BB237" s="135"/>
    </row>
    <row r="238" spans="1:54" s="21" customFormat="1" ht="18" customHeight="1">
      <c r="A238" s="513">
        <f>A235+1</f>
        <v>77</v>
      </c>
      <c r="B238" s="154" t="s">
        <v>4920</v>
      </c>
      <c r="C238" s="507" t="s">
        <v>4855</v>
      </c>
      <c r="D238" s="80" t="s">
        <v>4939</v>
      </c>
      <c r="E238" s="127" t="s">
        <v>4917</v>
      </c>
      <c r="F238" s="128" t="s">
        <v>75</v>
      </c>
      <c r="G238" s="158"/>
      <c r="H238" s="82" t="s">
        <v>4941</v>
      </c>
      <c r="I238" s="127" t="s">
        <v>9</v>
      </c>
      <c r="J238" s="128"/>
      <c r="K238" s="129">
        <f>M240</f>
        <v>1E-3</v>
      </c>
      <c r="L238" s="129"/>
      <c r="M238" s="129"/>
      <c r="N238" s="127"/>
      <c r="O238" s="127"/>
      <c r="P238" s="127"/>
      <c r="Q238" s="130" t="s">
        <v>4858</v>
      </c>
      <c r="R238" s="130"/>
      <c r="S238" s="155" t="e">
        <f>WORKDAY(T238,-INDEX(T$2:T$5,MATCH($I238,$I$2:$I$5,0)),'[35]Equipment List and MR List (3)'!$A$2:$A$80)</f>
        <v>#REF!</v>
      </c>
      <c r="T238" s="155" t="e">
        <f>WORKDAY(U238,-INDEX(U$2:U$5,MATCH($I238,$I$2:$I$5,0)),$BB$10:$BB$141)</f>
        <v>#REF!</v>
      </c>
      <c r="U238" s="155" t="e">
        <f>WORKDAY(V238,-INDEX(V$2:V$5,MATCH($I238,$I$2:$I$5,0)),$BB$10:$BB$141)</f>
        <v>#REF!</v>
      </c>
      <c r="V238" s="155" t="e">
        <f>WORKDAY(W238,-INDEX(W$2:W$5,MATCH($I238,$I$2:$I$5,0)),$BB$10:$BB$141)</f>
        <v>#REF!</v>
      </c>
      <c r="W238" s="155" t="e">
        <f>WORKDAY(#REF!,-INDEX(#REF!,MATCH($I238,$I$2:$I$5,0)),$BB$10:$BB$141)</f>
        <v>#REF!</v>
      </c>
      <c r="X238" s="155" t="e">
        <f>WORKDAY(Y238,-INDEX(Y$2:Y$5,MATCH($I238,$I$2:$I$5,0)),$BB$10:$BB$141)</f>
        <v>#REF!</v>
      </c>
      <c r="Y238" s="155" t="e">
        <f>WORKDAY(Z238,-INDEX(Z$2:Z$5,MATCH($I238,$I$2:$I$5,0)),$BB$10:$BB$141)</f>
        <v>#REF!</v>
      </c>
      <c r="Z238" s="155" t="e">
        <f>WORKDAY(AA238,-INDEX(AA$2:AA$5,MATCH($I238,$I$2:$I$5,0)),$BB$10:$BB$141)</f>
        <v>#REF!</v>
      </c>
      <c r="AA238" s="155" t="e">
        <f>WORKDAY(#REF!,-INDEX(#REF!,MATCH($I238,$I$2:$I$5,0)),$BB$10:$BB$141)</f>
        <v>#REF!</v>
      </c>
      <c r="AB238" s="155">
        <f>WORKDAY(AG238,0,'[35]Equipment List and MR List (3)'!$A$2:$A$80)</f>
        <v>0</v>
      </c>
      <c r="AC238" s="501" t="s">
        <v>4859</v>
      </c>
      <c r="AD238" s="87">
        <v>7</v>
      </c>
      <c r="AE238" s="495">
        <v>121</v>
      </c>
      <c r="AF238" s="492" t="e">
        <f>AB239</f>
        <v>#REF!</v>
      </c>
      <c r="AG238" s="489"/>
      <c r="AH238" s="88"/>
      <c r="AI238" s="89"/>
      <c r="AJ238" s="486" t="e">
        <f>AG238-AF238</f>
        <v>#REF!</v>
      </c>
      <c r="AK238" s="131"/>
      <c r="AL238" s="132"/>
      <c r="AM238" s="133">
        <f t="shared" ref="AM238:AW238" si="285">IF(ISERROR(LOOKUP(AM$6,$S238:$AB238,$S$9:$AB$9)),0,(LOOKUP(AM$6,$S238:$AB238,$S$9:$AB$9)))</f>
        <v>0.95</v>
      </c>
      <c r="AN238" s="134">
        <f t="shared" si="285"/>
        <v>0.95</v>
      </c>
      <c r="AO238" s="134">
        <f t="shared" si="285"/>
        <v>0.95</v>
      </c>
      <c r="AP238" s="134">
        <f t="shared" si="285"/>
        <v>0.95</v>
      </c>
      <c r="AQ238" s="134">
        <f t="shared" si="285"/>
        <v>0.95</v>
      </c>
      <c r="AR238" s="134">
        <f t="shared" si="285"/>
        <v>0.95</v>
      </c>
      <c r="AS238" s="134">
        <f t="shared" si="285"/>
        <v>0.95</v>
      </c>
      <c r="AT238" s="134">
        <f t="shared" si="285"/>
        <v>0.95</v>
      </c>
      <c r="AU238" s="134">
        <f t="shared" si="285"/>
        <v>0.95</v>
      </c>
      <c r="AV238" s="134">
        <f t="shared" si="285"/>
        <v>0.95</v>
      </c>
      <c r="AW238" s="134">
        <f t="shared" ca="1" si="285"/>
        <v>0.95</v>
      </c>
      <c r="BB238" s="135"/>
    </row>
    <row r="239" spans="1:54" s="21" customFormat="1" ht="18" customHeight="1">
      <c r="A239" s="514"/>
      <c r="B239" s="156"/>
      <c r="C239" s="508"/>
      <c r="D239" s="96" t="str">
        <f>D238</f>
        <v>INT</v>
      </c>
      <c r="E239" s="136" t="str">
        <f>E238</f>
        <v>RFQ-054</v>
      </c>
      <c r="F239" s="137" t="str">
        <f>F238</f>
        <v>N</v>
      </c>
      <c r="G239" s="159"/>
      <c r="H239" s="98" t="str">
        <f>H238</f>
        <v>Tube Clamp (Anti Corrosion Type)</v>
      </c>
      <c r="I239" s="136" t="str">
        <f>I238</f>
        <v>LD</v>
      </c>
      <c r="J239" s="137"/>
      <c r="K239" s="138"/>
      <c r="L239" s="138">
        <f>M240</f>
        <v>1E-3</v>
      </c>
      <c r="M239" s="138"/>
      <c r="N239" s="136"/>
      <c r="O239" s="136"/>
      <c r="P239" s="136"/>
      <c r="Q239" s="139" t="s">
        <v>4860</v>
      </c>
      <c r="R239" s="139"/>
      <c r="S239" s="140" t="e">
        <f>S238</f>
        <v>#REF!</v>
      </c>
      <c r="T239" s="141" t="e">
        <f>T238</f>
        <v>#REF!</v>
      </c>
      <c r="U239" s="141" t="e">
        <f>WORKDAY(IF(T240="",T239,T240),INDEX(U$2:U$5,MATCH($I238,$I$2:$I$5,0)),$BB$10:$BB$141)</f>
        <v>#REF!</v>
      </c>
      <c r="V239" s="141" t="e">
        <f>WORKDAY(IF(U240="",U239,U240),INDEX(V$2:V$5,MATCH($I238,$I$2:$I$5,0)),$BB$10:$BB$141)</f>
        <v>#REF!</v>
      </c>
      <c r="W239" s="141" t="e">
        <f>WORKDAY(IF(V240="",V239,V240),INDEX(W$2:W$5,MATCH($I238,$I$2:$I$5,0)),$BB$10:$BB$141)</f>
        <v>#REF!</v>
      </c>
      <c r="X239" s="141" t="e">
        <f>WORKDAY(IF(#REF!="",#REF!,#REF!),INDEX(X$2:X$5,MATCH($I238,$I$2:$I$5,0)),$BB$10:$BB$141)</f>
        <v>#REF!</v>
      </c>
      <c r="Y239" s="141" t="e">
        <f>WORKDAY(IF(X240="",X239,X240),INDEX(Y$2:Y$5,MATCH($I238,$I$2:$I$5,0)),$BB$10:$BB$141)</f>
        <v>#REF!</v>
      </c>
      <c r="Z239" s="141" t="e">
        <f>WORKDAY(IF(Y240="",Y239,Y240),INDEX(Z$2:Z$5,MATCH($I238,$I$2:$I$5,0)),$BB$10:$BB$141)</f>
        <v>#REF!</v>
      </c>
      <c r="AA239" s="141" t="e">
        <f>WORKDAY(IF(Z240="",Z239,Z240),INDEX(AA$2:AA$5,MATCH($I238,$I$2:$I$5,0)),$BB$10:$BB$141)</f>
        <v>#REF!</v>
      </c>
      <c r="AB239" s="142" t="e">
        <f>AE238+#REF!</f>
        <v>#REF!</v>
      </c>
      <c r="AC239" s="502"/>
      <c r="AD239" s="105"/>
      <c r="AE239" s="496"/>
      <c r="AF239" s="493"/>
      <c r="AG239" s="490"/>
      <c r="AH239" s="106"/>
      <c r="AI239" s="107"/>
      <c r="AJ239" s="487"/>
      <c r="AK239" s="143"/>
      <c r="AL239" s="144"/>
      <c r="AM239" s="133">
        <f t="shared" ref="AM239:AW239" si="286">IF(ISERROR(LOOKUP(AM$6,$S239:$AB239,$S$9:$AB$9)),0,(LOOKUP(AM$6,$S239:$AB239,$S$9:$AB$9)))</f>
        <v>0</v>
      </c>
      <c r="AN239" s="134">
        <f t="shared" si="286"/>
        <v>0</v>
      </c>
      <c r="AO239" s="134">
        <f t="shared" si="286"/>
        <v>0</v>
      </c>
      <c r="AP239" s="134">
        <f t="shared" si="286"/>
        <v>0</v>
      </c>
      <c r="AQ239" s="134">
        <f t="shared" si="286"/>
        <v>0</v>
      </c>
      <c r="AR239" s="134">
        <f t="shared" si="286"/>
        <v>0</v>
      </c>
      <c r="AS239" s="134">
        <f t="shared" si="286"/>
        <v>0</v>
      </c>
      <c r="AT239" s="134">
        <f t="shared" si="286"/>
        <v>0</v>
      </c>
      <c r="AU239" s="134">
        <f t="shared" si="286"/>
        <v>0</v>
      </c>
      <c r="AV239" s="134">
        <f t="shared" si="286"/>
        <v>0</v>
      </c>
      <c r="AW239" s="134">
        <f t="shared" ca="1" si="286"/>
        <v>0</v>
      </c>
      <c r="BB239" s="135"/>
    </row>
    <row r="240" spans="1:54" s="21" customFormat="1" ht="18" customHeight="1">
      <c r="A240" s="515"/>
      <c r="B240" s="157"/>
      <c r="C240" s="509"/>
      <c r="D240" s="111" t="str">
        <f>D238</f>
        <v>INT</v>
      </c>
      <c r="E240" s="145" t="str">
        <f>E238</f>
        <v>RFQ-054</v>
      </c>
      <c r="F240" s="146" t="str">
        <f>F238</f>
        <v>N</v>
      </c>
      <c r="G240" s="160"/>
      <c r="H240" s="113" t="str">
        <f>H238</f>
        <v>Tube Clamp (Anti Corrosion Type)</v>
      </c>
      <c r="I240" s="145" t="str">
        <f>I238</f>
        <v>LD</v>
      </c>
      <c r="J240" s="146"/>
      <c r="K240" s="147"/>
      <c r="L240" s="147"/>
      <c r="M240" s="147">
        <v>1E-3</v>
      </c>
      <c r="N240" s="145"/>
      <c r="O240" s="145"/>
      <c r="P240" s="145"/>
      <c r="Q240" s="148" t="s">
        <v>4861</v>
      </c>
      <c r="R240" s="148"/>
      <c r="S240" s="149"/>
      <c r="T240" s="149"/>
      <c r="U240" s="149"/>
      <c r="V240" s="149"/>
      <c r="W240" s="149"/>
      <c r="X240" s="149"/>
      <c r="Y240" s="149"/>
      <c r="Z240" s="149"/>
      <c r="AA240" s="149"/>
      <c r="AB240" s="149"/>
      <c r="AC240" s="503"/>
      <c r="AD240" s="116"/>
      <c r="AE240" s="497"/>
      <c r="AF240" s="494"/>
      <c r="AG240" s="491"/>
      <c r="AH240" s="117"/>
      <c r="AI240" s="118"/>
      <c r="AJ240" s="488"/>
      <c r="AK240" s="150"/>
      <c r="AL240" s="151"/>
      <c r="AM240" s="152">
        <f t="shared" ref="AM240:AW240" si="287">IF(ISERROR(LOOKUP(AM$6,$S240:$AB240,$S$9:$AB$9)),0,(LOOKUP(AM$6,$S240:$AB240,$S$9:$AB$9)))</f>
        <v>0</v>
      </c>
      <c r="AN240" s="153">
        <f t="shared" si="287"/>
        <v>0</v>
      </c>
      <c r="AO240" s="153">
        <f t="shared" si="287"/>
        <v>0</v>
      </c>
      <c r="AP240" s="153">
        <f t="shared" si="287"/>
        <v>0</v>
      </c>
      <c r="AQ240" s="153">
        <f t="shared" si="287"/>
        <v>0</v>
      </c>
      <c r="AR240" s="153">
        <f t="shared" si="287"/>
        <v>0</v>
      </c>
      <c r="AS240" s="153">
        <f t="shared" si="287"/>
        <v>0</v>
      </c>
      <c r="AT240" s="153">
        <f t="shared" si="287"/>
        <v>0</v>
      </c>
      <c r="AU240" s="153">
        <f t="shared" si="287"/>
        <v>0</v>
      </c>
      <c r="AV240" s="153">
        <f t="shared" si="287"/>
        <v>0</v>
      </c>
      <c r="AW240" s="153">
        <f t="shared" ca="1" si="287"/>
        <v>0</v>
      </c>
      <c r="BB240" s="135"/>
    </row>
    <row r="241" spans="1:54" s="21" customFormat="1" ht="18" customHeight="1">
      <c r="A241" s="513">
        <f>A238+1</f>
        <v>78</v>
      </c>
      <c r="B241" s="154" t="s">
        <v>4920</v>
      </c>
      <c r="C241" s="507" t="s">
        <v>4855</v>
      </c>
      <c r="D241" s="80" t="s">
        <v>4939</v>
      </c>
      <c r="E241" s="127" t="s">
        <v>4917</v>
      </c>
      <c r="F241" s="128" t="s">
        <v>75</v>
      </c>
      <c r="G241" s="158"/>
      <c r="H241" s="82" t="s">
        <v>4942</v>
      </c>
      <c r="I241" s="127" t="s">
        <v>9</v>
      </c>
      <c r="J241" s="128"/>
      <c r="K241" s="129">
        <f>M243</f>
        <v>1E-3</v>
      </c>
      <c r="L241" s="129"/>
      <c r="M241" s="129"/>
      <c r="N241" s="127"/>
      <c r="O241" s="127"/>
      <c r="P241" s="127"/>
      <c r="Q241" s="130" t="s">
        <v>4858</v>
      </c>
      <c r="R241" s="130"/>
      <c r="S241" s="155" t="e">
        <f>WORKDAY(T241,-INDEX(T$2:T$5,MATCH($I241,$I$2:$I$5,0)),'[35]Equipment List and MR List (3)'!$A$2:$A$80)</f>
        <v>#REF!</v>
      </c>
      <c r="T241" s="155" t="e">
        <f>WORKDAY(U241,-INDEX(U$2:U$5,MATCH($I241,$I$2:$I$5,0)),$BB$10:$BB$141)</f>
        <v>#REF!</v>
      </c>
      <c r="U241" s="155" t="e">
        <f>WORKDAY(V241,-INDEX(V$2:V$5,MATCH($I241,$I$2:$I$5,0)),$BB$10:$BB$141)</f>
        <v>#REF!</v>
      </c>
      <c r="V241" s="155" t="e">
        <f>WORKDAY(W241,-INDEX(W$2:W$5,MATCH($I241,$I$2:$I$5,0)),$BB$10:$BB$141)</f>
        <v>#REF!</v>
      </c>
      <c r="W241" s="155" t="e">
        <f>WORKDAY(#REF!,-INDEX(#REF!,MATCH($I241,$I$2:$I$5,0)),$BB$10:$BB$141)</f>
        <v>#REF!</v>
      </c>
      <c r="X241" s="155" t="e">
        <f>WORKDAY(Y241,-INDEX(Y$2:Y$5,MATCH($I241,$I$2:$I$5,0)),$BB$10:$BB$141)</f>
        <v>#REF!</v>
      </c>
      <c r="Y241" s="155" t="e">
        <f>WORKDAY(Z241,-INDEX(Z$2:Z$5,MATCH($I241,$I$2:$I$5,0)),$BB$10:$BB$141)</f>
        <v>#REF!</v>
      </c>
      <c r="Z241" s="155" t="e">
        <f>WORKDAY(AA241,-INDEX(AA$2:AA$5,MATCH($I241,$I$2:$I$5,0)),$BB$10:$BB$141)</f>
        <v>#REF!</v>
      </c>
      <c r="AA241" s="155" t="e">
        <f>WORKDAY(#REF!,-INDEX(#REF!,MATCH($I241,$I$2:$I$5,0)),$BB$10:$BB$141)</f>
        <v>#REF!</v>
      </c>
      <c r="AB241" s="155">
        <f>WORKDAY(AG241,0,'[35]Equipment List and MR List (3)'!$A$2:$A$80)</f>
        <v>0</v>
      </c>
      <c r="AC241" s="501" t="s">
        <v>4859</v>
      </c>
      <c r="AD241" s="87">
        <v>7</v>
      </c>
      <c r="AE241" s="495">
        <v>121</v>
      </c>
      <c r="AF241" s="492" t="e">
        <f>AB242</f>
        <v>#REF!</v>
      </c>
      <c r="AG241" s="489"/>
      <c r="AH241" s="88"/>
      <c r="AI241" s="89"/>
      <c r="AJ241" s="486" t="e">
        <f>AG241-AF241</f>
        <v>#REF!</v>
      </c>
      <c r="AK241" s="131"/>
      <c r="AL241" s="132"/>
      <c r="AM241" s="133">
        <f t="shared" ref="AM241:AW241" si="288">IF(ISERROR(LOOKUP(AM$6,$S241:$AB241,$S$9:$AB$9)),0,(LOOKUP(AM$6,$S241:$AB241,$S$9:$AB$9)))</f>
        <v>0.95</v>
      </c>
      <c r="AN241" s="134">
        <f t="shared" si="288"/>
        <v>0.95</v>
      </c>
      <c r="AO241" s="134">
        <f t="shared" si="288"/>
        <v>0.95</v>
      </c>
      <c r="AP241" s="134">
        <f t="shared" si="288"/>
        <v>0.95</v>
      </c>
      <c r="AQ241" s="134">
        <f t="shared" si="288"/>
        <v>0.95</v>
      </c>
      <c r="AR241" s="134">
        <f t="shared" si="288"/>
        <v>0.95</v>
      </c>
      <c r="AS241" s="134">
        <f t="shared" si="288"/>
        <v>0.95</v>
      </c>
      <c r="AT241" s="134">
        <f t="shared" si="288"/>
        <v>0.95</v>
      </c>
      <c r="AU241" s="134">
        <f t="shared" si="288"/>
        <v>0.95</v>
      </c>
      <c r="AV241" s="134">
        <f t="shared" si="288"/>
        <v>0.95</v>
      </c>
      <c r="AW241" s="134">
        <f t="shared" ca="1" si="288"/>
        <v>0.95</v>
      </c>
      <c r="BB241" s="135"/>
    </row>
    <row r="242" spans="1:54" s="21" customFormat="1" ht="18" customHeight="1">
      <c r="A242" s="514"/>
      <c r="B242" s="156"/>
      <c r="C242" s="508"/>
      <c r="D242" s="96" t="str">
        <f>D241</f>
        <v>INT</v>
      </c>
      <c r="E242" s="136" t="str">
        <f>E241</f>
        <v>RFQ-054</v>
      </c>
      <c r="F242" s="137" t="str">
        <f>F241</f>
        <v>N</v>
      </c>
      <c r="G242" s="159"/>
      <c r="H242" s="98" t="str">
        <f>H241</f>
        <v>TUBE</v>
      </c>
      <c r="I242" s="136" t="str">
        <f>I241</f>
        <v>LD</v>
      </c>
      <c r="J242" s="137"/>
      <c r="K242" s="138"/>
      <c r="L242" s="138">
        <f>M243</f>
        <v>1E-3</v>
      </c>
      <c r="M242" s="138"/>
      <c r="N242" s="136"/>
      <c r="O242" s="136"/>
      <c r="P242" s="136"/>
      <c r="Q242" s="139" t="s">
        <v>4860</v>
      </c>
      <c r="R242" s="139"/>
      <c r="S242" s="140" t="e">
        <f>S241</f>
        <v>#REF!</v>
      </c>
      <c r="T242" s="141" t="e">
        <f>T241</f>
        <v>#REF!</v>
      </c>
      <c r="U242" s="141" t="e">
        <f>WORKDAY(IF(T243="",T242,T243),INDEX(U$2:U$5,MATCH($I241,$I$2:$I$5,0)),$BB$10:$BB$141)</f>
        <v>#REF!</v>
      </c>
      <c r="V242" s="141" t="e">
        <f>WORKDAY(IF(U243="",U242,U243),INDEX(V$2:V$5,MATCH($I241,$I$2:$I$5,0)),$BB$10:$BB$141)</f>
        <v>#REF!</v>
      </c>
      <c r="W242" s="141" t="e">
        <f>WORKDAY(IF(V243="",V242,V243),INDEX(W$2:W$5,MATCH($I241,$I$2:$I$5,0)),$BB$10:$BB$141)</f>
        <v>#REF!</v>
      </c>
      <c r="X242" s="141" t="e">
        <f>WORKDAY(IF(#REF!="",#REF!,#REF!),INDEX(X$2:X$5,MATCH($I241,$I$2:$I$5,0)),$BB$10:$BB$141)</f>
        <v>#REF!</v>
      </c>
      <c r="Y242" s="141" t="e">
        <f>WORKDAY(IF(X243="",X242,X243),INDEX(Y$2:Y$5,MATCH($I241,$I$2:$I$5,0)),$BB$10:$BB$141)</f>
        <v>#REF!</v>
      </c>
      <c r="Z242" s="141" t="e">
        <f>WORKDAY(IF(Y243="",Y242,Y243),INDEX(Z$2:Z$5,MATCH($I241,$I$2:$I$5,0)),$BB$10:$BB$141)</f>
        <v>#REF!</v>
      </c>
      <c r="AA242" s="141" t="e">
        <f>WORKDAY(IF(Z243="",Z242,Z243),INDEX(AA$2:AA$5,MATCH($I241,$I$2:$I$5,0)),$BB$10:$BB$141)</f>
        <v>#REF!</v>
      </c>
      <c r="AB242" s="142" t="e">
        <f>AE241+#REF!</f>
        <v>#REF!</v>
      </c>
      <c r="AC242" s="502"/>
      <c r="AD242" s="105"/>
      <c r="AE242" s="496"/>
      <c r="AF242" s="493"/>
      <c r="AG242" s="490"/>
      <c r="AH242" s="106"/>
      <c r="AI242" s="107"/>
      <c r="AJ242" s="487"/>
      <c r="AK242" s="143"/>
      <c r="AL242" s="144"/>
      <c r="AM242" s="133">
        <f t="shared" ref="AM242:AW242" si="289">IF(ISERROR(LOOKUP(AM$6,$S242:$AB242,$S$9:$AB$9)),0,(LOOKUP(AM$6,$S242:$AB242,$S$9:$AB$9)))</f>
        <v>0</v>
      </c>
      <c r="AN242" s="134">
        <f t="shared" si="289"/>
        <v>0</v>
      </c>
      <c r="AO242" s="134">
        <f t="shared" si="289"/>
        <v>0</v>
      </c>
      <c r="AP242" s="134">
        <f t="shared" si="289"/>
        <v>0</v>
      </c>
      <c r="AQ242" s="134">
        <f t="shared" si="289"/>
        <v>0</v>
      </c>
      <c r="AR242" s="134">
        <f t="shared" si="289"/>
        <v>0</v>
      </c>
      <c r="AS242" s="134">
        <f t="shared" si="289"/>
        <v>0</v>
      </c>
      <c r="AT242" s="134">
        <f t="shared" si="289"/>
        <v>0</v>
      </c>
      <c r="AU242" s="134">
        <f t="shared" si="289"/>
        <v>0</v>
      </c>
      <c r="AV242" s="134">
        <f t="shared" si="289"/>
        <v>0</v>
      </c>
      <c r="AW242" s="134">
        <f t="shared" ca="1" si="289"/>
        <v>0</v>
      </c>
      <c r="BB242" s="135"/>
    </row>
    <row r="243" spans="1:54" s="21" customFormat="1" ht="18" customHeight="1">
      <c r="A243" s="515"/>
      <c r="B243" s="157"/>
      <c r="C243" s="509"/>
      <c r="D243" s="111" t="str">
        <f>D241</f>
        <v>INT</v>
      </c>
      <c r="E243" s="145" t="str">
        <f>E241</f>
        <v>RFQ-054</v>
      </c>
      <c r="F243" s="146" t="str">
        <f>F241</f>
        <v>N</v>
      </c>
      <c r="G243" s="160"/>
      <c r="H243" s="113" t="str">
        <f>H241</f>
        <v>TUBE</v>
      </c>
      <c r="I243" s="145" t="str">
        <f>I241</f>
        <v>LD</v>
      </c>
      <c r="J243" s="146"/>
      <c r="K243" s="147"/>
      <c r="L243" s="147"/>
      <c r="M243" s="147">
        <v>1E-3</v>
      </c>
      <c r="N243" s="145"/>
      <c r="O243" s="145"/>
      <c r="P243" s="145"/>
      <c r="Q243" s="148" t="s">
        <v>4861</v>
      </c>
      <c r="R243" s="148"/>
      <c r="S243" s="149"/>
      <c r="T243" s="149"/>
      <c r="U243" s="149"/>
      <c r="V243" s="149"/>
      <c r="W243" s="149"/>
      <c r="X243" s="149"/>
      <c r="Y243" s="149"/>
      <c r="Z243" s="149"/>
      <c r="AA243" s="149"/>
      <c r="AB243" s="149"/>
      <c r="AC243" s="503"/>
      <c r="AD243" s="116"/>
      <c r="AE243" s="497"/>
      <c r="AF243" s="494"/>
      <c r="AG243" s="491"/>
      <c r="AH243" s="117"/>
      <c r="AI243" s="118"/>
      <c r="AJ243" s="488"/>
      <c r="AK243" s="150"/>
      <c r="AL243" s="151"/>
      <c r="AM243" s="152">
        <f t="shared" ref="AM243:AW243" si="290">IF(ISERROR(LOOKUP(AM$6,$S243:$AB243,$S$9:$AB$9)),0,(LOOKUP(AM$6,$S243:$AB243,$S$9:$AB$9)))</f>
        <v>0</v>
      </c>
      <c r="AN243" s="153">
        <f t="shared" si="290"/>
        <v>0</v>
      </c>
      <c r="AO243" s="153">
        <f t="shared" si="290"/>
        <v>0</v>
      </c>
      <c r="AP243" s="153">
        <f t="shared" si="290"/>
        <v>0</v>
      </c>
      <c r="AQ243" s="153">
        <f t="shared" si="290"/>
        <v>0</v>
      </c>
      <c r="AR243" s="153">
        <f t="shared" si="290"/>
        <v>0</v>
      </c>
      <c r="AS243" s="153">
        <f t="shared" si="290"/>
        <v>0</v>
      </c>
      <c r="AT243" s="153">
        <f t="shared" si="290"/>
        <v>0</v>
      </c>
      <c r="AU243" s="153">
        <f t="shared" si="290"/>
        <v>0</v>
      </c>
      <c r="AV243" s="153">
        <f t="shared" si="290"/>
        <v>0</v>
      </c>
      <c r="AW243" s="153">
        <f t="shared" ca="1" si="290"/>
        <v>0</v>
      </c>
      <c r="BB243" s="135"/>
    </row>
    <row r="244" spans="1:54" s="21" customFormat="1" ht="18" customHeight="1">
      <c r="A244" s="513">
        <f>A241+1</f>
        <v>79</v>
      </c>
      <c r="B244" s="154" t="s">
        <v>4920</v>
      </c>
      <c r="C244" s="507" t="s">
        <v>4855</v>
      </c>
      <c r="D244" s="80" t="s">
        <v>4939</v>
      </c>
      <c r="E244" s="127" t="s">
        <v>4917</v>
      </c>
      <c r="F244" s="128" t="s">
        <v>75</v>
      </c>
      <c r="G244" s="158"/>
      <c r="H244" s="82" t="s">
        <v>4943</v>
      </c>
      <c r="I244" s="127" t="s">
        <v>9</v>
      </c>
      <c r="J244" s="128"/>
      <c r="K244" s="129">
        <f>M246</f>
        <v>1E-3</v>
      </c>
      <c r="L244" s="129"/>
      <c r="M244" s="129"/>
      <c r="N244" s="127"/>
      <c r="O244" s="127"/>
      <c r="P244" s="127"/>
      <c r="Q244" s="130" t="s">
        <v>4858</v>
      </c>
      <c r="R244" s="130"/>
      <c r="S244" s="155" t="e">
        <f>WORKDAY(T244,-INDEX(T$2:T$5,MATCH($I244,$I$2:$I$5,0)),'[35]Equipment List and MR List (3)'!$A$2:$A$80)</f>
        <v>#REF!</v>
      </c>
      <c r="T244" s="155" t="e">
        <f>WORKDAY(U244,-INDEX(U$2:U$5,MATCH($I244,$I$2:$I$5,0)),$BB$10:$BB$141)</f>
        <v>#REF!</v>
      </c>
      <c r="U244" s="155" t="e">
        <f>WORKDAY(V244,-INDEX(V$2:V$5,MATCH($I244,$I$2:$I$5,0)),$BB$10:$BB$141)</f>
        <v>#REF!</v>
      </c>
      <c r="V244" s="155" t="e">
        <f>WORKDAY(W244,-INDEX(W$2:W$5,MATCH($I244,$I$2:$I$5,0)),$BB$10:$BB$141)</f>
        <v>#REF!</v>
      </c>
      <c r="W244" s="155" t="e">
        <f>WORKDAY(#REF!,-INDEX(#REF!,MATCH($I244,$I$2:$I$5,0)),$BB$10:$BB$141)</f>
        <v>#REF!</v>
      </c>
      <c r="X244" s="155" t="e">
        <f>WORKDAY(Y244,-INDEX(Y$2:Y$5,MATCH($I244,$I$2:$I$5,0)),$BB$10:$BB$141)</f>
        <v>#REF!</v>
      </c>
      <c r="Y244" s="155" t="e">
        <f>WORKDAY(Z244,-INDEX(Z$2:Z$5,MATCH($I244,$I$2:$I$5,0)),$BB$10:$BB$141)</f>
        <v>#REF!</v>
      </c>
      <c r="Z244" s="155" t="e">
        <f>WORKDAY(AA244,-INDEX(AA$2:AA$5,MATCH($I244,$I$2:$I$5,0)),$BB$10:$BB$141)</f>
        <v>#REF!</v>
      </c>
      <c r="AA244" s="155" t="e">
        <f>WORKDAY(#REF!,-INDEX(#REF!,MATCH($I244,$I$2:$I$5,0)),$BB$10:$BB$141)</f>
        <v>#REF!</v>
      </c>
      <c r="AB244" s="155">
        <f>WORKDAY(AG244,0,'[35]Equipment List and MR List (3)'!$A$2:$A$80)</f>
        <v>0</v>
      </c>
      <c r="AC244" s="501" t="s">
        <v>4859</v>
      </c>
      <c r="AD244" s="87">
        <v>7</v>
      </c>
      <c r="AE244" s="495">
        <v>121</v>
      </c>
      <c r="AF244" s="492" t="e">
        <f>AB245</f>
        <v>#REF!</v>
      </c>
      <c r="AG244" s="489"/>
      <c r="AH244" s="88"/>
      <c r="AI244" s="89"/>
      <c r="AJ244" s="486" t="e">
        <f>AG244-AF244</f>
        <v>#REF!</v>
      </c>
      <c r="AK244" s="131"/>
      <c r="AL244" s="132"/>
      <c r="AM244" s="133">
        <f t="shared" ref="AM244:AW244" si="291">IF(ISERROR(LOOKUP(AM$6,$S244:$AB244,$S$9:$AB$9)),0,(LOOKUP(AM$6,$S244:$AB244,$S$9:$AB$9)))</f>
        <v>0.95</v>
      </c>
      <c r="AN244" s="134">
        <f t="shared" si="291"/>
        <v>0.95</v>
      </c>
      <c r="AO244" s="134">
        <f t="shared" si="291"/>
        <v>0.95</v>
      </c>
      <c r="AP244" s="134">
        <f t="shared" si="291"/>
        <v>0.95</v>
      </c>
      <c r="AQ244" s="134">
        <f t="shared" si="291"/>
        <v>0.95</v>
      </c>
      <c r="AR244" s="134">
        <f t="shared" si="291"/>
        <v>0.95</v>
      </c>
      <c r="AS244" s="134">
        <f t="shared" si="291"/>
        <v>0.95</v>
      </c>
      <c r="AT244" s="134">
        <f t="shared" si="291"/>
        <v>0.95</v>
      </c>
      <c r="AU244" s="134">
        <f t="shared" si="291"/>
        <v>0.95</v>
      </c>
      <c r="AV244" s="134">
        <f t="shared" si="291"/>
        <v>0.95</v>
      </c>
      <c r="AW244" s="134">
        <f t="shared" ca="1" si="291"/>
        <v>0.95</v>
      </c>
      <c r="BB244" s="135"/>
    </row>
    <row r="245" spans="1:54" s="21" customFormat="1" ht="18" customHeight="1">
      <c r="A245" s="514"/>
      <c r="B245" s="156"/>
      <c r="C245" s="508"/>
      <c r="D245" s="96" t="str">
        <f>D244</f>
        <v>INT</v>
      </c>
      <c r="E245" s="136" t="str">
        <f>E244</f>
        <v>RFQ-054</v>
      </c>
      <c r="F245" s="137" t="str">
        <f>F244</f>
        <v>N</v>
      </c>
      <c r="G245" s="159"/>
      <c r="H245" s="98" t="str">
        <f>H244</f>
        <v>Instrument Cable Glands</v>
      </c>
      <c r="I245" s="136" t="str">
        <f>I244</f>
        <v>LD</v>
      </c>
      <c r="J245" s="137"/>
      <c r="K245" s="138"/>
      <c r="L245" s="138">
        <f>M246</f>
        <v>1E-3</v>
      </c>
      <c r="M245" s="138"/>
      <c r="N245" s="136"/>
      <c r="O245" s="136"/>
      <c r="P245" s="136"/>
      <c r="Q245" s="139" t="s">
        <v>4860</v>
      </c>
      <c r="R245" s="139"/>
      <c r="S245" s="140" t="e">
        <f>S244</f>
        <v>#REF!</v>
      </c>
      <c r="T245" s="141" t="e">
        <f>T244</f>
        <v>#REF!</v>
      </c>
      <c r="U245" s="141" t="e">
        <f>WORKDAY(IF(T246="",T245,T246),INDEX(U$2:U$5,MATCH($I244,$I$2:$I$5,0)),$BB$10:$BB$141)</f>
        <v>#REF!</v>
      </c>
      <c r="V245" s="141" t="e">
        <f>WORKDAY(IF(U246="",U245,U246),INDEX(V$2:V$5,MATCH($I244,$I$2:$I$5,0)),$BB$10:$BB$141)</f>
        <v>#REF!</v>
      </c>
      <c r="W245" s="141" t="e">
        <f>WORKDAY(IF(V246="",V245,V246),INDEX(W$2:W$5,MATCH($I244,$I$2:$I$5,0)),$BB$10:$BB$141)</f>
        <v>#REF!</v>
      </c>
      <c r="X245" s="141" t="e">
        <f>WORKDAY(IF(#REF!="",#REF!,#REF!),INDEX(X$2:X$5,MATCH($I244,$I$2:$I$5,0)),$BB$10:$BB$141)</f>
        <v>#REF!</v>
      </c>
      <c r="Y245" s="141" t="e">
        <f>WORKDAY(IF(X246="",X245,X246),INDEX(Y$2:Y$5,MATCH($I244,$I$2:$I$5,0)),$BB$10:$BB$141)</f>
        <v>#REF!</v>
      </c>
      <c r="Z245" s="141" t="e">
        <f>WORKDAY(IF(Y246="",Y245,Y246),INDEX(Z$2:Z$5,MATCH($I244,$I$2:$I$5,0)),$BB$10:$BB$141)</f>
        <v>#REF!</v>
      </c>
      <c r="AA245" s="141" t="e">
        <f>WORKDAY(IF(Z246="",Z245,Z246),INDEX(AA$2:AA$5,MATCH($I244,$I$2:$I$5,0)),$BB$10:$BB$141)</f>
        <v>#REF!</v>
      </c>
      <c r="AB245" s="142" t="e">
        <f>AE244+#REF!</f>
        <v>#REF!</v>
      </c>
      <c r="AC245" s="502"/>
      <c r="AD245" s="105"/>
      <c r="AE245" s="496"/>
      <c r="AF245" s="493"/>
      <c r="AG245" s="490"/>
      <c r="AH245" s="106"/>
      <c r="AI245" s="107"/>
      <c r="AJ245" s="487"/>
      <c r="AK245" s="143"/>
      <c r="AL245" s="144"/>
      <c r="AM245" s="133">
        <f t="shared" ref="AM245:AW245" si="292">IF(ISERROR(LOOKUP(AM$6,$S245:$AB245,$S$9:$AB$9)),0,(LOOKUP(AM$6,$S245:$AB245,$S$9:$AB$9)))</f>
        <v>0</v>
      </c>
      <c r="AN245" s="134">
        <f t="shared" si="292"/>
        <v>0</v>
      </c>
      <c r="AO245" s="134">
        <f t="shared" si="292"/>
        <v>0</v>
      </c>
      <c r="AP245" s="134">
        <f t="shared" si="292"/>
        <v>0</v>
      </c>
      <c r="AQ245" s="134">
        <f t="shared" si="292"/>
        <v>0</v>
      </c>
      <c r="AR245" s="134">
        <f t="shared" si="292"/>
        <v>0</v>
      </c>
      <c r="AS245" s="134">
        <f t="shared" si="292"/>
        <v>0</v>
      </c>
      <c r="AT245" s="134">
        <f t="shared" si="292"/>
        <v>0</v>
      </c>
      <c r="AU245" s="134">
        <f t="shared" si="292"/>
        <v>0</v>
      </c>
      <c r="AV245" s="134">
        <f t="shared" si="292"/>
        <v>0</v>
      </c>
      <c r="AW245" s="134">
        <f t="shared" ca="1" si="292"/>
        <v>0</v>
      </c>
      <c r="BB245" s="135"/>
    </row>
    <row r="246" spans="1:54" s="21" customFormat="1" ht="18" customHeight="1">
      <c r="A246" s="515"/>
      <c r="B246" s="157"/>
      <c r="C246" s="509"/>
      <c r="D246" s="111" t="str">
        <f>D244</f>
        <v>INT</v>
      </c>
      <c r="E246" s="145" t="str">
        <f>E244</f>
        <v>RFQ-054</v>
      </c>
      <c r="F246" s="146" t="str">
        <f>F244</f>
        <v>N</v>
      </c>
      <c r="G246" s="160"/>
      <c r="H246" s="113" t="str">
        <f>H244</f>
        <v>Instrument Cable Glands</v>
      </c>
      <c r="I246" s="145" t="str">
        <f>I244</f>
        <v>LD</v>
      </c>
      <c r="J246" s="146"/>
      <c r="K246" s="147"/>
      <c r="L246" s="147"/>
      <c r="M246" s="147">
        <v>1E-3</v>
      </c>
      <c r="N246" s="145"/>
      <c r="O246" s="145"/>
      <c r="P246" s="145"/>
      <c r="Q246" s="148" t="s">
        <v>4861</v>
      </c>
      <c r="R246" s="148"/>
      <c r="S246" s="149"/>
      <c r="T246" s="149"/>
      <c r="U246" s="149"/>
      <c r="V246" s="149"/>
      <c r="W246" s="149"/>
      <c r="X246" s="149"/>
      <c r="Y246" s="149"/>
      <c r="Z246" s="149"/>
      <c r="AA246" s="149"/>
      <c r="AB246" s="149"/>
      <c r="AC246" s="503"/>
      <c r="AD246" s="116"/>
      <c r="AE246" s="497"/>
      <c r="AF246" s="494"/>
      <c r="AG246" s="491"/>
      <c r="AH246" s="117"/>
      <c r="AI246" s="118"/>
      <c r="AJ246" s="488"/>
      <c r="AK246" s="150"/>
      <c r="AL246" s="151"/>
      <c r="AM246" s="152">
        <f t="shared" ref="AM246:AW246" si="293">IF(ISERROR(LOOKUP(AM$6,$S246:$AB246,$S$9:$AB$9)),0,(LOOKUP(AM$6,$S246:$AB246,$S$9:$AB$9)))</f>
        <v>0</v>
      </c>
      <c r="AN246" s="153">
        <f t="shared" si="293"/>
        <v>0</v>
      </c>
      <c r="AO246" s="153">
        <f t="shared" si="293"/>
        <v>0</v>
      </c>
      <c r="AP246" s="153">
        <f t="shared" si="293"/>
        <v>0</v>
      </c>
      <c r="AQ246" s="153">
        <f t="shared" si="293"/>
        <v>0</v>
      </c>
      <c r="AR246" s="153">
        <f t="shared" si="293"/>
        <v>0</v>
      </c>
      <c r="AS246" s="153">
        <f t="shared" si="293"/>
        <v>0</v>
      </c>
      <c r="AT246" s="153">
        <f t="shared" si="293"/>
        <v>0</v>
      </c>
      <c r="AU246" s="153">
        <f t="shared" si="293"/>
        <v>0</v>
      </c>
      <c r="AV246" s="153">
        <f t="shared" si="293"/>
        <v>0</v>
      </c>
      <c r="AW246" s="153">
        <f t="shared" ca="1" si="293"/>
        <v>0</v>
      </c>
      <c r="BB246" s="135"/>
    </row>
    <row r="247" spans="1:54" s="21" customFormat="1" ht="18" customHeight="1">
      <c r="A247" s="513">
        <f>A244+1</f>
        <v>80</v>
      </c>
      <c r="B247" s="154" t="s">
        <v>4920</v>
      </c>
      <c r="C247" s="507" t="s">
        <v>4855</v>
      </c>
      <c r="D247" s="80" t="s">
        <v>4939</v>
      </c>
      <c r="E247" s="127" t="s">
        <v>4917</v>
      </c>
      <c r="F247" s="128" t="s">
        <v>75</v>
      </c>
      <c r="G247" s="158"/>
      <c r="H247" s="82" t="s">
        <v>4944</v>
      </c>
      <c r="I247" s="127" t="s">
        <v>9</v>
      </c>
      <c r="J247" s="128"/>
      <c r="K247" s="129">
        <f>M249</f>
        <v>1E-3</v>
      </c>
      <c r="L247" s="129"/>
      <c r="M247" s="129"/>
      <c r="N247" s="127"/>
      <c r="O247" s="127"/>
      <c r="P247" s="127"/>
      <c r="Q247" s="130" t="s">
        <v>4858</v>
      </c>
      <c r="R247" s="130"/>
      <c r="S247" s="155" t="e">
        <f>WORKDAY(T247,-INDEX(T$2:T$5,MATCH($I247,$I$2:$I$5,0)),'[35]Equipment List and MR List (3)'!$A$2:$A$80)</f>
        <v>#REF!</v>
      </c>
      <c r="T247" s="155" t="e">
        <f>WORKDAY(U247,-INDEX(U$2:U$5,MATCH($I247,$I$2:$I$5,0)),$BB$10:$BB$141)</f>
        <v>#REF!</v>
      </c>
      <c r="U247" s="155" t="e">
        <f>WORKDAY(V247,-INDEX(V$2:V$5,MATCH($I247,$I$2:$I$5,0)),$BB$10:$BB$141)</f>
        <v>#REF!</v>
      </c>
      <c r="V247" s="155" t="e">
        <f>WORKDAY(W247,-INDEX(W$2:W$5,MATCH($I247,$I$2:$I$5,0)),$BB$10:$BB$141)</f>
        <v>#REF!</v>
      </c>
      <c r="W247" s="155" t="e">
        <f>WORKDAY(#REF!,-INDEX(#REF!,MATCH($I247,$I$2:$I$5,0)),$BB$10:$BB$141)</f>
        <v>#REF!</v>
      </c>
      <c r="X247" s="155" t="e">
        <f>WORKDAY(Y247,-INDEX(Y$2:Y$5,MATCH($I247,$I$2:$I$5,0)),$BB$10:$BB$141)</f>
        <v>#REF!</v>
      </c>
      <c r="Y247" s="155" t="e">
        <f>WORKDAY(Z247,-INDEX(Z$2:Z$5,MATCH($I247,$I$2:$I$5,0)),$BB$10:$BB$141)</f>
        <v>#REF!</v>
      </c>
      <c r="Z247" s="155" t="e">
        <f>WORKDAY(AA247,-INDEX(AA$2:AA$5,MATCH($I247,$I$2:$I$5,0)),$BB$10:$BB$141)</f>
        <v>#REF!</v>
      </c>
      <c r="AA247" s="155" t="e">
        <f>WORKDAY(#REF!,-INDEX(#REF!,MATCH($I247,$I$2:$I$5,0)),$BB$10:$BB$141)</f>
        <v>#REF!</v>
      </c>
      <c r="AB247" s="155">
        <f>WORKDAY(AG247,0,'[35]Equipment List and MR List (3)'!$A$2:$A$80)</f>
        <v>0</v>
      </c>
      <c r="AC247" s="501" t="s">
        <v>4859</v>
      </c>
      <c r="AD247" s="87">
        <v>7</v>
      </c>
      <c r="AE247" s="495">
        <v>121</v>
      </c>
      <c r="AF247" s="492" t="e">
        <f>AB248</f>
        <v>#REF!</v>
      </c>
      <c r="AG247" s="489"/>
      <c r="AH247" s="88"/>
      <c r="AI247" s="89"/>
      <c r="AJ247" s="486" t="e">
        <f>AG247-AF247</f>
        <v>#REF!</v>
      </c>
      <c r="AK247" s="131"/>
      <c r="AL247" s="132"/>
      <c r="AM247" s="133">
        <f t="shared" ref="AM247:AW247" si="294">IF(ISERROR(LOOKUP(AM$6,$S247:$AB247,$S$9:$AB$9)),0,(LOOKUP(AM$6,$S247:$AB247,$S$9:$AB$9)))</f>
        <v>0.95</v>
      </c>
      <c r="AN247" s="134">
        <f t="shared" si="294"/>
        <v>0.95</v>
      </c>
      <c r="AO247" s="134">
        <f t="shared" si="294"/>
        <v>0.95</v>
      </c>
      <c r="AP247" s="134">
        <f t="shared" si="294"/>
        <v>0.95</v>
      </c>
      <c r="AQ247" s="134">
        <f t="shared" si="294"/>
        <v>0.95</v>
      </c>
      <c r="AR247" s="134">
        <f t="shared" si="294"/>
        <v>0.95</v>
      </c>
      <c r="AS247" s="134">
        <f t="shared" si="294"/>
        <v>0.95</v>
      </c>
      <c r="AT247" s="134">
        <f t="shared" si="294"/>
        <v>0.95</v>
      </c>
      <c r="AU247" s="134">
        <f t="shared" si="294"/>
        <v>0.95</v>
      </c>
      <c r="AV247" s="134">
        <f t="shared" si="294"/>
        <v>0.95</v>
      </c>
      <c r="AW247" s="134">
        <f t="shared" ca="1" si="294"/>
        <v>0.95</v>
      </c>
      <c r="BB247" s="135"/>
    </row>
    <row r="248" spans="1:54" s="21" customFormat="1" ht="18" customHeight="1">
      <c r="A248" s="514"/>
      <c r="B248" s="156"/>
      <c r="C248" s="508"/>
      <c r="D248" s="96" t="str">
        <f>D247</f>
        <v>INT</v>
      </c>
      <c r="E248" s="136" t="str">
        <f>E247</f>
        <v>RFQ-054</v>
      </c>
      <c r="F248" s="137" t="str">
        <f>F247</f>
        <v>N</v>
      </c>
      <c r="G248" s="159"/>
      <c r="H248" s="98" t="str">
        <f>H247</f>
        <v>Instrument cables</v>
      </c>
      <c r="I248" s="136" t="str">
        <f>I247</f>
        <v>LD</v>
      </c>
      <c r="J248" s="137"/>
      <c r="K248" s="138"/>
      <c r="L248" s="138">
        <f>M249</f>
        <v>1E-3</v>
      </c>
      <c r="M248" s="138"/>
      <c r="N248" s="136"/>
      <c r="O248" s="136"/>
      <c r="P248" s="136"/>
      <c r="Q248" s="139" t="s">
        <v>4860</v>
      </c>
      <c r="R248" s="139"/>
      <c r="S248" s="140" t="e">
        <f>S247</f>
        <v>#REF!</v>
      </c>
      <c r="T248" s="141" t="e">
        <f>T247</f>
        <v>#REF!</v>
      </c>
      <c r="U248" s="141" t="e">
        <f>WORKDAY(IF(T249="",T248,T249),INDEX(U$2:U$5,MATCH($I247,$I$2:$I$5,0)),$BB$10:$BB$141)</f>
        <v>#REF!</v>
      </c>
      <c r="V248" s="141" t="e">
        <f>WORKDAY(IF(U249="",U248,U249),INDEX(V$2:V$5,MATCH($I247,$I$2:$I$5,0)),$BB$10:$BB$141)</f>
        <v>#REF!</v>
      </c>
      <c r="W248" s="141" t="e">
        <f>WORKDAY(IF(V249="",V248,V249),INDEX(W$2:W$5,MATCH($I247,$I$2:$I$5,0)),$BB$10:$BB$141)</f>
        <v>#REF!</v>
      </c>
      <c r="X248" s="141" t="e">
        <f>WORKDAY(IF(#REF!="",#REF!,#REF!),INDEX(X$2:X$5,MATCH($I247,$I$2:$I$5,0)),$BB$10:$BB$141)</f>
        <v>#REF!</v>
      </c>
      <c r="Y248" s="141" t="e">
        <f>WORKDAY(IF(X249="",X248,X249),INDEX(Y$2:Y$5,MATCH($I247,$I$2:$I$5,0)),$BB$10:$BB$141)</f>
        <v>#REF!</v>
      </c>
      <c r="Z248" s="141" t="e">
        <f>WORKDAY(IF(Y249="",Y248,Y249),INDEX(Z$2:Z$5,MATCH($I247,$I$2:$I$5,0)),$BB$10:$BB$141)</f>
        <v>#REF!</v>
      </c>
      <c r="AA248" s="141" t="e">
        <f>WORKDAY(IF(Z249="",Z248,Z249),INDEX(AA$2:AA$5,MATCH($I247,$I$2:$I$5,0)),$BB$10:$BB$141)</f>
        <v>#REF!</v>
      </c>
      <c r="AB248" s="142" t="e">
        <f>AE247+#REF!</f>
        <v>#REF!</v>
      </c>
      <c r="AC248" s="502"/>
      <c r="AD248" s="105"/>
      <c r="AE248" s="496"/>
      <c r="AF248" s="493"/>
      <c r="AG248" s="490"/>
      <c r="AH248" s="106"/>
      <c r="AI248" s="107"/>
      <c r="AJ248" s="487"/>
      <c r="AK248" s="143"/>
      <c r="AL248" s="144"/>
      <c r="AM248" s="133">
        <f t="shared" ref="AM248:AW248" si="295">IF(ISERROR(LOOKUP(AM$6,$S248:$AB248,$S$9:$AB$9)),0,(LOOKUP(AM$6,$S248:$AB248,$S$9:$AB$9)))</f>
        <v>0</v>
      </c>
      <c r="AN248" s="134">
        <f t="shared" si="295"/>
        <v>0</v>
      </c>
      <c r="AO248" s="134">
        <f t="shared" si="295"/>
        <v>0</v>
      </c>
      <c r="AP248" s="134">
        <f t="shared" si="295"/>
        <v>0</v>
      </c>
      <c r="AQ248" s="134">
        <f t="shared" si="295"/>
        <v>0</v>
      </c>
      <c r="AR248" s="134">
        <f t="shared" si="295"/>
        <v>0</v>
      </c>
      <c r="AS248" s="134">
        <f t="shared" si="295"/>
        <v>0</v>
      </c>
      <c r="AT248" s="134">
        <f t="shared" si="295"/>
        <v>0</v>
      </c>
      <c r="AU248" s="134">
        <f t="shared" si="295"/>
        <v>0</v>
      </c>
      <c r="AV248" s="134">
        <f t="shared" si="295"/>
        <v>0</v>
      </c>
      <c r="AW248" s="134">
        <f t="shared" ca="1" si="295"/>
        <v>0</v>
      </c>
      <c r="BB248" s="135"/>
    </row>
    <row r="249" spans="1:54" s="21" customFormat="1" ht="18" customHeight="1">
      <c r="A249" s="515"/>
      <c r="B249" s="157"/>
      <c r="C249" s="509"/>
      <c r="D249" s="111" t="str">
        <f>D247</f>
        <v>INT</v>
      </c>
      <c r="E249" s="145" t="str">
        <f>E247</f>
        <v>RFQ-054</v>
      </c>
      <c r="F249" s="146" t="str">
        <f>F247</f>
        <v>N</v>
      </c>
      <c r="G249" s="160"/>
      <c r="H249" s="113" t="str">
        <f>H247</f>
        <v>Instrument cables</v>
      </c>
      <c r="I249" s="145" t="str">
        <f>I247</f>
        <v>LD</v>
      </c>
      <c r="J249" s="146"/>
      <c r="K249" s="147"/>
      <c r="L249" s="147"/>
      <c r="M249" s="147">
        <v>1E-3</v>
      </c>
      <c r="N249" s="145"/>
      <c r="O249" s="145"/>
      <c r="P249" s="145"/>
      <c r="Q249" s="148" t="s">
        <v>4861</v>
      </c>
      <c r="R249" s="148"/>
      <c r="S249" s="149"/>
      <c r="T249" s="149"/>
      <c r="U249" s="149"/>
      <c r="V249" s="149"/>
      <c r="W249" s="149"/>
      <c r="X249" s="149"/>
      <c r="Y249" s="149"/>
      <c r="Z249" s="149"/>
      <c r="AA249" s="149"/>
      <c r="AB249" s="149"/>
      <c r="AC249" s="503"/>
      <c r="AD249" s="116"/>
      <c r="AE249" s="497"/>
      <c r="AF249" s="494"/>
      <c r="AG249" s="491"/>
      <c r="AH249" s="117"/>
      <c r="AI249" s="118"/>
      <c r="AJ249" s="488"/>
      <c r="AK249" s="150"/>
      <c r="AL249" s="151"/>
      <c r="AM249" s="152">
        <f t="shared" ref="AM249:AW249" si="296">IF(ISERROR(LOOKUP(AM$6,$S249:$AB249,$S$9:$AB$9)),0,(LOOKUP(AM$6,$S249:$AB249,$S$9:$AB$9)))</f>
        <v>0</v>
      </c>
      <c r="AN249" s="153">
        <f t="shared" si="296"/>
        <v>0</v>
      </c>
      <c r="AO249" s="153">
        <f t="shared" si="296"/>
        <v>0</v>
      </c>
      <c r="AP249" s="153">
        <f t="shared" si="296"/>
        <v>0</v>
      </c>
      <c r="AQ249" s="153">
        <f t="shared" si="296"/>
        <v>0</v>
      </c>
      <c r="AR249" s="153">
        <f t="shared" si="296"/>
        <v>0</v>
      </c>
      <c r="AS249" s="153">
        <f t="shared" si="296"/>
        <v>0</v>
      </c>
      <c r="AT249" s="153">
        <f t="shared" si="296"/>
        <v>0</v>
      </c>
      <c r="AU249" s="153">
        <f t="shared" si="296"/>
        <v>0</v>
      </c>
      <c r="AV249" s="153">
        <f t="shared" si="296"/>
        <v>0</v>
      </c>
      <c r="AW249" s="153">
        <f t="shared" ca="1" si="296"/>
        <v>0</v>
      </c>
      <c r="BB249" s="135"/>
    </row>
    <row r="250" spans="1:54" s="21" customFormat="1" ht="18" customHeight="1">
      <c r="A250" s="513">
        <f>A247+1</f>
        <v>81</v>
      </c>
      <c r="B250" s="154" t="s">
        <v>4920</v>
      </c>
      <c r="C250" s="507" t="s">
        <v>4855</v>
      </c>
      <c r="D250" s="80" t="s">
        <v>4882</v>
      </c>
      <c r="E250" s="127" t="s">
        <v>4917</v>
      </c>
      <c r="F250" s="128" t="s">
        <v>75</v>
      </c>
      <c r="G250" s="158"/>
      <c r="H250" s="161" t="s">
        <v>4945</v>
      </c>
      <c r="I250" s="127" t="s">
        <v>9</v>
      </c>
      <c r="J250" s="128"/>
      <c r="K250" s="129">
        <f>M252</f>
        <v>1E-3</v>
      </c>
      <c r="L250" s="129"/>
      <c r="M250" s="129"/>
      <c r="N250" s="127"/>
      <c r="O250" s="127"/>
      <c r="P250" s="127"/>
      <c r="Q250" s="130" t="s">
        <v>4858</v>
      </c>
      <c r="R250" s="130"/>
      <c r="S250" s="155" t="e">
        <f>WORKDAY(T250,-INDEX(T$2:T$5,MATCH($I250,$I$2:$I$5,0)),'[35]Equipment List and MR List (3)'!$A$2:$A$80)</f>
        <v>#REF!</v>
      </c>
      <c r="T250" s="155" t="e">
        <f>WORKDAY(U250,-INDEX(U$2:U$5,MATCH($I250,$I$2:$I$5,0)),$BB$10:$BB$141)</f>
        <v>#REF!</v>
      </c>
      <c r="U250" s="155" t="e">
        <f>WORKDAY(V250,-INDEX(V$2:V$5,MATCH($I250,$I$2:$I$5,0)),$BB$10:$BB$141)</f>
        <v>#REF!</v>
      </c>
      <c r="V250" s="155" t="e">
        <f>WORKDAY(W250,-INDEX(W$2:W$5,MATCH($I250,$I$2:$I$5,0)),$BB$10:$BB$141)</f>
        <v>#REF!</v>
      </c>
      <c r="W250" s="155" t="e">
        <f>WORKDAY(#REF!,-INDEX(#REF!,MATCH($I250,$I$2:$I$5,0)),$BB$10:$BB$141)</f>
        <v>#REF!</v>
      </c>
      <c r="X250" s="155" t="e">
        <f>WORKDAY(Y250,-INDEX(Y$2:Y$5,MATCH($I250,$I$2:$I$5,0)),$BB$10:$BB$141)</f>
        <v>#REF!</v>
      </c>
      <c r="Y250" s="155" t="e">
        <f>WORKDAY(Z250,-INDEX(Z$2:Z$5,MATCH($I250,$I$2:$I$5,0)),$BB$10:$BB$141)</f>
        <v>#REF!</v>
      </c>
      <c r="Z250" s="155" t="e">
        <f>WORKDAY(AA250,-INDEX(AA$2:AA$5,MATCH($I250,$I$2:$I$5,0)),$BB$10:$BB$141)</f>
        <v>#REF!</v>
      </c>
      <c r="AA250" s="155" t="e">
        <f>WORKDAY(#REF!,-INDEX(#REF!,MATCH($I250,$I$2:$I$5,0)),$BB$10:$BB$141)</f>
        <v>#REF!</v>
      </c>
      <c r="AB250" s="155">
        <f>WORKDAY(AG250,0,'[35]Equipment List and MR List (3)'!$A$2:$A$80)</f>
        <v>0</v>
      </c>
      <c r="AC250" s="501" t="s">
        <v>4859</v>
      </c>
      <c r="AD250" s="87">
        <v>7</v>
      </c>
      <c r="AE250" s="495">
        <v>100</v>
      </c>
      <c r="AF250" s="492" t="e">
        <f>AB251</f>
        <v>#REF!</v>
      </c>
      <c r="AG250" s="489"/>
      <c r="AH250" s="88"/>
      <c r="AI250" s="89"/>
      <c r="AJ250" s="486" t="e">
        <f>AG250-AF250</f>
        <v>#REF!</v>
      </c>
      <c r="AK250" s="131"/>
      <c r="AL250" s="132"/>
      <c r="AM250" s="133">
        <f t="shared" ref="AM250:AW250" si="297">IF(ISERROR(LOOKUP(AM$6,$S250:$AB250,$S$9:$AB$9)),0,(LOOKUP(AM$6,$S250:$AB250,$S$9:$AB$9)))</f>
        <v>0.95</v>
      </c>
      <c r="AN250" s="134">
        <f t="shared" si="297"/>
        <v>0.95</v>
      </c>
      <c r="AO250" s="134">
        <f t="shared" si="297"/>
        <v>0.95</v>
      </c>
      <c r="AP250" s="134">
        <f t="shared" si="297"/>
        <v>0.95</v>
      </c>
      <c r="AQ250" s="134">
        <f t="shared" si="297"/>
        <v>0.95</v>
      </c>
      <c r="AR250" s="134">
        <f t="shared" si="297"/>
        <v>0.95</v>
      </c>
      <c r="AS250" s="134">
        <f t="shared" si="297"/>
        <v>0.95</v>
      </c>
      <c r="AT250" s="134">
        <f t="shared" si="297"/>
        <v>0.95</v>
      </c>
      <c r="AU250" s="134">
        <f t="shared" si="297"/>
        <v>0.95</v>
      </c>
      <c r="AV250" s="134">
        <f t="shared" si="297"/>
        <v>0.95</v>
      </c>
      <c r="AW250" s="134">
        <f t="shared" ca="1" si="297"/>
        <v>0.95</v>
      </c>
      <c r="BB250" s="135"/>
    </row>
    <row r="251" spans="1:54" s="21" customFormat="1" ht="18" customHeight="1">
      <c r="A251" s="514"/>
      <c r="B251" s="156"/>
      <c r="C251" s="508"/>
      <c r="D251" s="96" t="str">
        <f>D250</f>
        <v>ELE</v>
      </c>
      <c r="E251" s="136" t="str">
        <f>E250</f>
        <v>RFQ-054</v>
      </c>
      <c r="F251" s="137" t="str">
        <f>F250</f>
        <v>N</v>
      </c>
      <c r="G251" s="159"/>
      <c r="H251" s="162" t="str">
        <f>H250</f>
        <v>AC Distribution Pane</v>
      </c>
      <c r="I251" s="136" t="str">
        <f>I250</f>
        <v>LD</v>
      </c>
      <c r="J251" s="137"/>
      <c r="K251" s="138"/>
      <c r="L251" s="138">
        <f>M252</f>
        <v>1E-3</v>
      </c>
      <c r="M251" s="138"/>
      <c r="N251" s="136"/>
      <c r="O251" s="136"/>
      <c r="P251" s="136"/>
      <c r="Q251" s="139" t="s">
        <v>4860</v>
      </c>
      <c r="R251" s="139"/>
      <c r="S251" s="140" t="e">
        <f>S250</f>
        <v>#REF!</v>
      </c>
      <c r="T251" s="141" t="e">
        <f>T250</f>
        <v>#REF!</v>
      </c>
      <c r="U251" s="141" t="e">
        <f>WORKDAY(IF(T252="",T251,T252),INDEX(U$2:U$5,MATCH($I250,$I$2:$I$5,0)),$BB$10:$BB$141)</f>
        <v>#REF!</v>
      </c>
      <c r="V251" s="141" t="e">
        <f>WORKDAY(IF(U252="",U251,U252),INDEX(V$2:V$5,MATCH($I250,$I$2:$I$5,0)),$BB$10:$BB$141)</f>
        <v>#REF!</v>
      </c>
      <c r="W251" s="141" t="e">
        <f>WORKDAY(IF(V252="",V251,V252),INDEX(W$2:W$5,MATCH($I250,$I$2:$I$5,0)),$BB$10:$BB$141)</f>
        <v>#REF!</v>
      </c>
      <c r="X251" s="141" t="e">
        <f>WORKDAY(IF(#REF!="",#REF!,#REF!),INDEX(X$2:X$5,MATCH($I250,$I$2:$I$5,0)),$BB$10:$BB$141)</f>
        <v>#REF!</v>
      </c>
      <c r="Y251" s="141" t="e">
        <f>WORKDAY(IF(X252="",X251,X252),INDEX(Y$2:Y$5,MATCH($I250,$I$2:$I$5,0)),$BB$10:$BB$141)</f>
        <v>#REF!</v>
      </c>
      <c r="Z251" s="141" t="e">
        <f>WORKDAY(IF(Y252="",Y251,Y252),INDEX(Z$2:Z$5,MATCH($I250,$I$2:$I$5,0)),$BB$10:$BB$141)</f>
        <v>#REF!</v>
      </c>
      <c r="AA251" s="141" t="e">
        <f>WORKDAY(IF(Z252="",Z251,Z252),INDEX(AA$2:AA$5,MATCH($I250,$I$2:$I$5,0)),$BB$10:$BB$141)</f>
        <v>#REF!</v>
      </c>
      <c r="AB251" s="142" t="e">
        <f>AE250+#REF!</f>
        <v>#REF!</v>
      </c>
      <c r="AC251" s="502"/>
      <c r="AD251" s="105"/>
      <c r="AE251" s="496"/>
      <c r="AF251" s="493"/>
      <c r="AG251" s="490"/>
      <c r="AH251" s="106"/>
      <c r="AI251" s="107"/>
      <c r="AJ251" s="487"/>
      <c r="AK251" s="143"/>
      <c r="AL251" s="144"/>
      <c r="AM251" s="133">
        <f t="shared" ref="AM251:AW251" si="298">IF(ISERROR(LOOKUP(AM$6,$S251:$AB251,$S$9:$AB$9)),0,(LOOKUP(AM$6,$S251:$AB251,$S$9:$AB$9)))</f>
        <v>0</v>
      </c>
      <c r="AN251" s="134">
        <f t="shared" si="298"/>
        <v>0</v>
      </c>
      <c r="AO251" s="134">
        <f t="shared" si="298"/>
        <v>0</v>
      </c>
      <c r="AP251" s="134">
        <f t="shared" si="298"/>
        <v>0</v>
      </c>
      <c r="AQ251" s="134">
        <f t="shared" si="298"/>
        <v>0</v>
      </c>
      <c r="AR251" s="134">
        <f t="shared" si="298"/>
        <v>0</v>
      </c>
      <c r="AS251" s="134">
        <f t="shared" si="298"/>
        <v>0</v>
      </c>
      <c r="AT251" s="134">
        <f t="shared" si="298"/>
        <v>0</v>
      </c>
      <c r="AU251" s="134">
        <f t="shared" si="298"/>
        <v>0</v>
      </c>
      <c r="AV251" s="134">
        <f t="shared" si="298"/>
        <v>0</v>
      </c>
      <c r="AW251" s="134">
        <f t="shared" ca="1" si="298"/>
        <v>0</v>
      </c>
      <c r="BB251" s="135"/>
    </row>
    <row r="252" spans="1:54" s="21" customFormat="1" ht="18" customHeight="1">
      <c r="A252" s="515"/>
      <c r="B252" s="157"/>
      <c r="C252" s="509"/>
      <c r="D252" s="111" t="str">
        <f>D250</f>
        <v>ELE</v>
      </c>
      <c r="E252" s="145" t="str">
        <f>E250</f>
        <v>RFQ-054</v>
      </c>
      <c r="F252" s="146" t="str">
        <f>F250</f>
        <v>N</v>
      </c>
      <c r="G252" s="160"/>
      <c r="H252" s="163" t="str">
        <f>H250</f>
        <v>AC Distribution Pane</v>
      </c>
      <c r="I252" s="145" t="str">
        <f>I250</f>
        <v>LD</v>
      </c>
      <c r="J252" s="146"/>
      <c r="K252" s="147"/>
      <c r="L252" s="147"/>
      <c r="M252" s="147">
        <v>1E-3</v>
      </c>
      <c r="N252" s="145"/>
      <c r="O252" s="145"/>
      <c r="P252" s="145"/>
      <c r="Q252" s="148" t="s">
        <v>4861</v>
      </c>
      <c r="R252" s="148"/>
      <c r="S252" s="149"/>
      <c r="T252" s="149"/>
      <c r="U252" s="149"/>
      <c r="V252" s="149"/>
      <c r="W252" s="149"/>
      <c r="X252" s="149"/>
      <c r="Y252" s="149"/>
      <c r="Z252" s="149"/>
      <c r="AA252" s="149"/>
      <c r="AB252" s="149"/>
      <c r="AC252" s="503"/>
      <c r="AD252" s="116"/>
      <c r="AE252" s="497"/>
      <c r="AF252" s="494"/>
      <c r="AG252" s="491"/>
      <c r="AH252" s="117"/>
      <c r="AI252" s="118"/>
      <c r="AJ252" s="488"/>
      <c r="AK252" s="150"/>
      <c r="AL252" s="151"/>
      <c r="AM252" s="152">
        <f t="shared" ref="AM252:AW252" si="299">IF(ISERROR(LOOKUP(AM$6,$S252:$AB252,$S$9:$AB$9)),0,(LOOKUP(AM$6,$S252:$AB252,$S$9:$AB$9)))</f>
        <v>0</v>
      </c>
      <c r="AN252" s="153">
        <f t="shared" si="299"/>
        <v>0</v>
      </c>
      <c r="AO252" s="153">
        <f t="shared" si="299"/>
        <v>0</v>
      </c>
      <c r="AP252" s="153">
        <f t="shared" si="299"/>
        <v>0</v>
      </c>
      <c r="AQ252" s="153">
        <f t="shared" si="299"/>
        <v>0</v>
      </c>
      <c r="AR252" s="153">
        <f t="shared" si="299"/>
        <v>0</v>
      </c>
      <c r="AS252" s="153">
        <f t="shared" si="299"/>
        <v>0</v>
      </c>
      <c r="AT252" s="153">
        <f t="shared" si="299"/>
        <v>0</v>
      </c>
      <c r="AU252" s="153">
        <f t="shared" si="299"/>
        <v>0</v>
      </c>
      <c r="AV252" s="153">
        <f t="shared" si="299"/>
        <v>0</v>
      </c>
      <c r="AW252" s="153">
        <f t="shared" ca="1" si="299"/>
        <v>0</v>
      </c>
      <c r="BB252" s="135"/>
    </row>
    <row r="253" spans="1:54" s="21" customFormat="1" ht="18" customHeight="1">
      <c r="A253" s="513">
        <f>A250+1</f>
        <v>82</v>
      </c>
      <c r="B253" s="154" t="s">
        <v>4920</v>
      </c>
      <c r="C253" s="507" t="s">
        <v>4855</v>
      </c>
      <c r="D253" s="80" t="s">
        <v>4867</v>
      </c>
      <c r="E253" s="127" t="s">
        <v>4917</v>
      </c>
      <c r="F253" s="128" t="s">
        <v>75</v>
      </c>
      <c r="G253" s="158"/>
      <c r="H253" s="161" t="s">
        <v>4934</v>
      </c>
      <c r="I253" s="127" t="s">
        <v>9</v>
      </c>
      <c r="J253" s="128"/>
      <c r="K253" s="129">
        <f>M255</f>
        <v>1E-3</v>
      </c>
      <c r="L253" s="129"/>
      <c r="M253" s="129"/>
      <c r="N253" s="127"/>
      <c r="O253" s="127"/>
      <c r="P253" s="127"/>
      <c r="Q253" s="130" t="s">
        <v>4858</v>
      </c>
      <c r="R253" s="130"/>
      <c r="S253" s="155" t="e">
        <f>WORKDAY(T253,-INDEX(T$2:T$5,MATCH($I253,$I$2:$I$5,0)),'[35]Equipment List and MR List (3)'!$A$2:$A$80)</f>
        <v>#REF!</v>
      </c>
      <c r="T253" s="155" t="e">
        <f>WORKDAY(U253,-INDEX(U$2:U$5,MATCH($I253,$I$2:$I$5,0)),$BB$10:$BB$141)</f>
        <v>#REF!</v>
      </c>
      <c r="U253" s="155" t="e">
        <f>WORKDAY(V253,-INDEX(V$2:V$5,MATCH($I253,$I$2:$I$5,0)),$BB$10:$BB$141)</f>
        <v>#REF!</v>
      </c>
      <c r="V253" s="155" t="e">
        <f>WORKDAY(W253,-INDEX(W$2:W$5,MATCH($I253,$I$2:$I$5,0)),$BB$10:$BB$141)</f>
        <v>#REF!</v>
      </c>
      <c r="W253" s="155" t="e">
        <f>WORKDAY(#REF!,-INDEX(#REF!,MATCH($I253,$I$2:$I$5,0)),$BB$10:$BB$141)</f>
        <v>#REF!</v>
      </c>
      <c r="X253" s="155" t="e">
        <f>WORKDAY(Y253,-INDEX(Y$2:Y$5,MATCH($I253,$I$2:$I$5,0)),$BB$10:$BB$141)</f>
        <v>#REF!</v>
      </c>
      <c r="Y253" s="155" t="e">
        <f>WORKDAY(Z253,-INDEX(Z$2:Z$5,MATCH($I253,$I$2:$I$5,0)),$BB$10:$BB$141)</f>
        <v>#REF!</v>
      </c>
      <c r="Z253" s="155" t="e">
        <f>WORKDAY(AA253,-INDEX(AA$2:AA$5,MATCH($I253,$I$2:$I$5,0)),$BB$10:$BB$141)</f>
        <v>#REF!</v>
      </c>
      <c r="AA253" s="155" t="e">
        <f>WORKDAY(#REF!,-INDEX(#REF!,MATCH($I253,$I$2:$I$5,0)),$BB$10:$BB$141)</f>
        <v>#REF!</v>
      </c>
      <c r="AB253" s="155">
        <f>WORKDAY(AG253,0,'[35]Equipment List and MR List (3)'!$A$2:$A$80)</f>
        <v>0</v>
      </c>
      <c r="AC253" s="501" t="s">
        <v>4859</v>
      </c>
      <c r="AD253" s="87">
        <v>7</v>
      </c>
      <c r="AE253" s="495">
        <v>100</v>
      </c>
      <c r="AF253" s="492" t="e">
        <f>AB254</f>
        <v>#REF!</v>
      </c>
      <c r="AG253" s="489"/>
      <c r="AH253" s="88"/>
      <c r="AI253" s="89"/>
      <c r="AJ253" s="486" t="e">
        <f>AG253-AF253</f>
        <v>#REF!</v>
      </c>
      <c r="AK253" s="131"/>
      <c r="AL253" s="132"/>
      <c r="AM253" s="133">
        <f t="shared" ref="AM253:AW253" si="300">IF(ISERROR(LOOKUP(AM$6,$S253:$AB253,$S$9:$AB$9)),0,(LOOKUP(AM$6,$S253:$AB253,$S$9:$AB$9)))</f>
        <v>0.95</v>
      </c>
      <c r="AN253" s="134">
        <f t="shared" si="300"/>
        <v>0.95</v>
      </c>
      <c r="AO253" s="134">
        <f t="shared" si="300"/>
        <v>0.95</v>
      </c>
      <c r="AP253" s="134">
        <f t="shared" si="300"/>
        <v>0.95</v>
      </c>
      <c r="AQ253" s="134">
        <f t="shared" si="300"/>
        <v>0.95</v>
      </c>
      <c r="AR253" s="134">
        <f t="shared" si="300"/>
        <v>0.95</v>
      </c>
      <c r="AS253" s="134">
        <f t="shared" si="300"/>
        <v>0.95</v>
      </c>
      <c r="AT253" s="134">
        <f t="shared" si="300"/>
        <v>0.95</v>
      </c>
      <c r="AU253" s="134">
        <f t="shared" si="300"/>
        <v>0.95</v>
      </c>
      <c r="AV253" s="134">
        <f t="shared" si="300"/>
        <v>0.95</v>
      </c>
      <c r="AW253" s="134">
        <f t="shared" ca="1" si="300"/>
        <v>0.95</v>
      </c>
      <c r="BB253" s="135"/>
    </row>
    <row r="254" spans="1:54" s="21" customFormat="1" ht="18" customHeight="1">
      <c r="A254" s="514"/>
      <c r="B254" s="156"/>
      <c r="C254" s="508"/>
      <c r="D254" s="96" t="str">
        <f>D253</f>
        <v>PIP</v>
      </c>
      <c r="E254" s="136" t="str">
        <f>E253</f>
        <v>RFQ-054</v>
      </c>
      <c r="F254" s="137" t="str">
        <f>F253</f>
        <v>N</v>
      </c>
      <c r="G254" s="159"/>
      <c r="H254" s="162" t="str">
        <f>H253</f>
        <v>SS &amp; DSS FITTING</v>
      </c>
      <c r="I254" s="136" t="str">
        <f>I253</f>
        <v>LD</v>
      </c>
      <c r="J254" s="137"/>
      <c r="K254" s="138"/>
      <c r="L254" s="138">
        <f>M255</f>
        <v>1E-3</v>
      </c>
      <c r="M254" s="138"/>
      <c r="N254" s="136"/>
      <c r="O254" s="136"/>
      <c r="P254" s="136"/>
      <c r="Q254" s="139" t="s">
        <v>4860</v>
      </c>
      <c r="R254" s="139"/>
      <c r="S254" s="140" t="e">
        <f>S253</f>
        <v>#REF!</v>
      </c>
      <c r="T254" s="141" t="e">
        <f>T253</f>
        <v>#REF!</v>
      </c>
      <c r="U254" s="141" t="e">
        <f>WORKDAY(IF(T255="",T254,T255),INDEX(U$2:U$5,MATCH($I253,$I$2:$I$5,0)),$BB$10:$BB$141)</f>
        <v>#REF!</v>
      </c>
      <c r="V254" s="141" t="e">
        <f>WORKDAY(IF(U255="",U254,U255),INDEX(V$2:V$5,MATCH($I253,$I$2:$I$5,0)),$BB$10:$BB$141)</f>
        <v>#REF!</v>
      </c>
      <c r="W254" s="141" t="e">
        <f>WORKDAY(IF(V255="",V254,V255),INDEX(W$2:W$5,MATCH($I253,$I$2:$I$5,0)),$BB$10:$BB$141)</f>
        <v>#REF!</v>
      </c>
      <c r="X254" s="141" t="e">
        <f>WORKDAY(IF(#REF!="",#REF!,#REF!),INDEX(X$2:X$5,MATCH($I253,$I$2:$I$5,0)),$BB$10:$BB$141)</f>
        <v>#REF!</v>
      </c>
      <c r="Y254" s="141" t="e">
        <f>WORKDAY(IF(X255="",X254,X255),INDEX(Y$2:Y$5,MATCH($I253,$I$2:$I$5,0)),$BB$10:$BB$141)</f>
        <v>#REF!</v>
      </c>
      <c r="Z254" s="141" t="e">
        <f>WORKDAY(IF(Y255="",Y254,Y255),INDEX(Z$2:Z$5,MATCH($I253,$I$2:$I$5,0)),$BB$10:$BB$141)</f>
        <v>#REF!</v>
      </c>
      <c r="AA254" s="141" t="e">
        <f>WORKDAY(IF(Z255="",Z254,Z255),INDEX(AA$2:AA$5,MATCH($I253,$I$2:$I$5,0)),$BB$10:$BB$141)</f>
        <v>#REF!</v>
      </c>
      <c r="AB254" s="142" t="e">
        <f>AE253+#REF!</f>
        <v>#REF!</v>
      </c>
      <c r="AC254" s="502"/>
      <c r="AD254" s="105"/>
      <c r="AE254" s="496"/>
      <c r="AF254" s="493"/>
      <c r="AG254" s="490"/>
      <c r="AH254" s="106"/>
      <c r="AI254" s="107"/>
      <c r="AJ254" s="487"/>
      <c r="AK254" s="143"/>
      <c r="AL254" s="144"/>
      <c r="AM254" s="133">
        <f t="shared" ref="AM254:AW254" si="301">IF(ISERROR(LOOKUP(AM$6,$S254:$AB254,$S$9:$AB$9)),0,(LOOKUP(AM$6,$S254:$AB254,$S$9:$AB$9)))</f>
        <v>0</v>
      </c>
      <c r="AN254" s="134">
        <f t="shared" si="301"/>
        <v>0</v>
      </c>
      <c r="AO254" s="134">
        <f t="shared" si="301"/>
        <v>0</v>
      </c>
      <c r="AP254" s="134">
        <f t="shared" si="301"/>
        <v>0</v>
      </c>
      <c r="AQ254" s="134">
        <f t="shared" si="301"/>
        <v>0</v>
      </c>
      <c r="AR254" s="134">
        <f t="shared" si="301"/>
        <v>0</v>
      </c>
      <c r="AS254" s="134">
        <f t="shared" si="301"/>
        <v>0</v>
      </c>
      <c r="AT254" s="134">
        <f t="shared" si="301"/>
        <v>0</v>
      </c>
      <c r="AU254" s="134">
        <f t="shared" si="301"/>
        <v>0</v>
      </c>
      <c r="AV254" s="134">
        <f t="shared" si="301"/>
        <v>0</v>
      </c>
      <c r="AW254" s="134">
        <f t="shared" ca="1" si="301"/>
        <v>0</v>
      </c>
      <c r="BB254" s="135"/>
    </row>
    <row r="255" spans="1:54" s="21" customFormat="1" ht="18" customHeight="1">
      <c r="A255" s="515"/>
      <c r="B255" s="157"/>
      <c r="C255" s="509"/>
      <c r="D255" s="111" t="str">
        <f>D253</f>
        <v>PIP</v>
      </c>
      <c r="E255" s="145" t="str">
        <f>E253</f>
        <v>RFQ-054</v>
      </c>
      <c r="F255" s="146" t="str">
        <f>F253</f>
        <v>N</v>
      </c>
      <c r="G255" s="160"/>
      <c r="H255" s="163" t="str">
        <f>H253</f>
        <v>SS &amp; DSS FITTING</v>
      </c>
      <c r="I255" s="145" t="str">
        <f>I253</f>
        <v>LD</v>
      </c>
      <c r="J255" s="146"/>
      <c r="K255" s="147"/>
      <c r="L255" s="147"/>
      <c r="M255" s="147">
        <v>1E-3</v>
      </c>
      <c r="N255" s="145"/>
      <c r="O255" s="145"/>
      <c r="P255" s="145"/>
      <c r="Q255" s="148" t="s">
        <v>4861</v>
      </c>
      <c r="R255" s="148"/>
      <c r="S255" s="149"/>
      <c r="T255" s="149"/>
      <c r="U255" s="149"/>
      <c r="V255" s="149"/>
      <c r="W255" s="149"/>
      <c r="X255" s="149"/>
      <c r="Y255" s="149"/>
      <c r="Z255" s="149"/>
      <c r="AA255" s="149"/>
      <c r="AB255" s="149"/>
      <c r="AC255" s="503"/>
      <c r="AD255" s="116"/>
      <c r="AE255" s="497"/>
      <c r="AF255" s="494"/>
      <c r="AG255" s="491"/>
      <c r="AH255" s="117"/>
      <c r="AI255" s="118"/>
      <c r="AJ255" s="488"/>
      <c r="AK255" s="150"/>
      <c r="AL255" s="151"/>
      <c r="AM255" s="152">
        <f t="shared" ref="AM255:AW255" si="302">IF(ISERROR(LOOKUP(AM$6,$S255:$AB255,$S$9:$AB$9)),0,(LOOKUP(AM$6,$S255:$AB255,$S$9:$AB$9)))</f>
        <v>0</v>
      </c>
      <c r="AN255" s="153">
        <f t="shared" si="302"/>
        <v>0</v>
      </c>
      <c r="AO255" s="153">
        <f t="shared" si="302"/>
        <v>0</v>
      </c>
      <c r="AP255" s="153">
        <f t="shared" si="302"/>
        <v>0</v>
      </c>
      <c r="AQ255" s="153">
        <f t="shared" si="302"/>
        <v>0</v>
      </c>
      <c r="AR255" s="153">
        <f t="shared" si="302"/>
        <v>0</v>
      </c>
      <c r="AS255" s="153">
        <f t="shared" si="302"/>
        <v>0</v>
      </c>
      <c r="AT255" s="153">
        <f t="shared" si="302"/>
        <v>0</v>
      </c>
      <c r="AU255" s="153">
        <f t="shared" si="302"/>
        <v>0</v>
      </c>
      <c r="AV255" s="153">
        <f t="shared" si="302"/>
        <v>0</v>
      </c>
      <c r="AW255" s="153">
        <f t="shared" ca="1" si="302"/>
        <v>0</v>
      </c>
      <c r="BB255" s="135"/>
    </row>
    <row r="256" spans="1:54" s="21" customFormat="1" ht="18" customHeight="1">
      <c r="A256" s="513">
        <f>A253+1</f>
        <v>83</v>
      </c>
      <c r="B256" s="154" t="s">
        <v>4920</v>
      </c>
      <c r="C256" s="507" t="s">
        <v>4855</v>
      </c>
      <c r="D256" s="80" t="s">
        <v>4867</v>
      </c>
      <c r="E256" s="127" t="s">
        <v>4917</v>
      </c>
      <c r="F256" s="128" t="s">
        <v>75</v>
      </c>
      <c r="G256" s="158"/>
      <c r="H256" s="161" t="s">
        <v>4814</v>
      </c>
      <c r="I256" s="127" t="s">
        <v>9</v>
      </c>
      <c r="J256" s="128"/>
      <c r="K256" s="129">
        <f>M258</f>
        <v>1E-3</v>
      </c>
      <c r="L256" s="129"/>
      <c r="M256" s="129"/>
      <c r="N256" s="127"/>
      <c r="O256" s="127"/>
      <c r="P256" s="127"/>
      <c r="Q256" s="130" t="s">
        <v>4858</v>
      </c>
      <c r="R256" s="130"/>
      <c r="S256" s="155" t="e">
        <f>WORKDAY(T256,-INDEX(T$2:T$5,MATCH($I256,$I$2:$I$5,0)),'[35]Equipment List and MR List (3)'!$A$2:$A$80)</f>
        <v>#REF!</v>
      </c>
      <c r="T256" s="155" t="e">
        <f>WORKDAY(U256,-INDEX(U$2:U$5,MATCH($I256,$I$2:$I$5,0)),$BB$10:$BB$141)</f>
        <v>#REF!</v>
      </c>
      <c r="U256" s="155" t="e">
        <f>WORKDAY(V256,-INDEX(V$2:V$5,MATCH($I256,$I$2:$I$5,0)),$BB$10:$BB$141)</f>
        <v>#REF!</v>
      </c>
      <c r="V256" s="155" t="e">
        <f>WORKDAY(W256,-INDEX(W$2:W$5,MATCH($I256,$I$2:$I$5,0)),$BB$10:$BB$141)</f>
        <v>#REF!</v>
      </c>
      <c r="W256" s="155" t="e">
        <f>WORKDAY(#REF!,-INDEX(#REF!,MATCH($I256,$I$2:$I$5,0)),$BB$10:$BB$141)</f>
        <v>#REF!</v>
      </c>
      <c r="X256" s="155" t="e">
        <f>WORKDAY(Y256,-INDEX(Y$2:Y$5,MATCH($I256,$I$2:$I$5,0)),$BB$10:$BB$141)</f>
        <v>#REF!</v>
      </c>
      <c r="Y256" s="155" t="e">
        <f>WORKDAY(Z256,-INDEX(Z$2:Z$5,MATCH($I256,$I$2:$I$5,0)),$BB$10:$BB$141)</f>
        <v>#REF!</v>
      </c>
      <c r="Z256" s="155" t="e">
        <f>WORKDAY(AA256,-INDEX(AA$2:AA$5,MATCH($I256,$I$2:$I$5,0)),$BB$10:$BB$141)</f>
        <v>#REF!</v>
      </c>
      <c r="AA256" s="155" t="e">
        <f>WORKDAY(#REF!,-INDEX(#REF!,MATCH($I256,$I$2:$I$5,0)),$BB$10:$BB$141)</f>
        <v>#REF!</v>
      </c>
      <c r="AB256" s="155">
        <f>WORKDAY(AG256,0,'[35]Equipment List and MR List (3)'!$A$2:$A$80)</f>
        <v>0</v>
      </c>
      <c r="AC256" s="501" t="s">
        <v>4859</v>
      </c>
      <c r="AD256" s="87">
        <v>7</v>
      </c>
      <c r="AE256" s="495">
        <v>100</v>
      </c>
      <c r="AF256" s="492" t="e">
        <f>AB257</f>
        <v>#REF!</v>
      </c>
      <c r="AG256" s="489"/>
      <c r="AH256" s="88"/>
      <c r="AI256" s="89"/>
      <c r="AJ256" s="486" t="e">
        <f>AG256-AF256</f>
        <v>#REF!</v>
      </c>
      <c r="AK256" s="131"/>
      <c r="AL256" s="132"/>
      <c r="AM256" s="133">
        <f t="shared" ref="AM256:AW256" si="303">IF(ISERROR(LOOKUP(AM$6,$S256:$AB256,$S$9:$AB$9)),0,(LOOKUP(AM$6,$S256:$AB256,$S$9:$AB$9)))</f>
        <v>0.95</v>
      </c>
      <c r="AN256" s="134">
        <f t="shared" si="303"/>
        <v>0.95</v>
      </c>
      <c r="AO256" s="134">
        <f t="shared" si="303"/>
        <v>0.95</v>
      </c>
      <c r="AP256" s="134">
        <f t="shared" si="303"/>
        <v>0.95</v>
      </c>
      <c r="AQ256" s="134">
        <f t="shared" si="303"/>
        <v>0.95</v>
      </c>
      <c r="AR256" s="134">
        <f t="shared" si="303"/>
        <v>0.95</v>
      </c>
      <c r="AS256" s="134">
        <f t="shared" si="303"/>
        <v>0.95</v>
      </c>
      <c r="AT256" s="134">
        <f t="shared" si="303"/>
        <v>0.95</v>
      </c>
      <c r="AU256" s="134">
        <f t="shared" si="303"/>
        <v>0.95</v>
      </c>
      <c r="AV256" s="134">
        <f t="shared" si="303"/>
        <v>0.95</v>
      </c>
      <c r="AW256" s="134">
        <f t="shared" ca="1" si="303"/>
        <v>0.95</v>
      </c>
      <c r="BB256" s="135"/>
    </row>
    <row r="257" spans="1:54" s="21" customFormat="1" ht="18" customHeight="1">
      <c r="A257" s="514"/>
      <c r="B257" s="156"/>
      <c r="C257" s="508"/>
      <c r="D257" s="96" t="str">
        <f>D256</f>
        <v>PIP</v>
      </c>
      <c r="E257" s="136" t="str">
        <f>E256</f>
        <v>RFQ-054</v>
      </c>
      <c r="F257" s="137" t="str">
        <f>F256</f>
        <v>N</v>
      </c>
      <c r="G257" s="159"/>
      <c r="H257" s="162" t="str">
        <f>H256</f>
        <v>SS &amp; DSS Fitting</v>
      </c>
      <c r="I257" s="136" t="str">
        <f>I256</f>
        <v>LD</v>
      </c>
      <c r="J257" s="137"/>
      <c r="K257" s="138"/>
      <c r="L257" s="138">
        <f>M258</f>
        <v>1E-3</v>
      </c>
      <c r="M257" s="138"/>
      <c r="N257" s="136"/>
      <c r="O257" s="136"/>
      <c r="P257" s="136"/>
      <c r="Q257" s="139" t="s">
        <v>4860</v>
      </c>
      <c r="R257" s="139"/>
      <c r="S257" s="140" t="e">
        <f>S256</f>
        <v>#REF!</v>
      </c>
      <c r="T257" s="141" t="e">
        <f>T256</f>
        <v>#REF!</v>
      </c>
      <c r="U257" s="141" t="e">
        <f>WORKDAY(IF(T258="",T257,T258),INDEX(U$2:U$5,MATCH($I256,$I$2:$I$5,0)),$BB$10:$BB$141)</f>
        <v>#REF!</v>
      </c>
      <c r="V257" s="141" t="e">
        <f>WORKDAY(IF(U258="",U257,U258),INDEX(V$2:V$5,MATCH($I256,$I$2:$I$5,0)),$BB$10:$BB$141)</f>
        <v>#REF!</v>
      </c>
      <c r="W257" s="141" t="e">
        <f>WORKDAY(IF(V258="",V257,V258),INDEX(W$2:W$5,MATCH($I256,$I$2:$I$5,0)),$BB$10:$BB$141)</f>
        <v>#REF!</v>
      </c>
      <c r="X257" s="141" t="e">
        <f>WORKDAY(IF(#REF!="",#REF!,#REF!),INDEX(X$2:X$5,MATCH($I256,$I$2:$I$5,0)),$BB$10:$BB$141)</f>
        <v>#REF!</v>
      </c>
      <c r="Y257" s="141" t="e">
        <f>WORKDAY(IF(X258="",X257,X258),INDEX(Y$2:Y$5,MATCH($I256,$I$2:$I$5,0)),$BB$10:$BB$141)</f>
        <v>#REF!</v>
      </c>
      <c r="Z257" s="141" t="e">
        <f>WORKDAY(IF(Y258="",Y257,Y258),INDEX(Z$2:Z$5,MATCH($I256,$I$2:$I$5,0)),$BB$10:$BB$141)</f>
        <v>#REF!</v>
      </c>
      <c r="AA257" s="141" t="e">
        <f>WORKDAY(IF(Z258="",Z257,Z258),INDEX(AA$2:AA$5,MATCH($I256,$I$2:$I$5,0)),$BB$10:$BB$141)</f>
        <v>#REF!</v>
      </c>
      <c r="AB257" s="142" t="e">
        <f>AE256+#REF!</f>
        <v>#REF!</v>
      </c>
      <c r="AC257" s="502"/>
      <c r="AD257" s="105"/>
      <c r="AE257" s="496"/>
      <c r="AF257" s="493"/>
      <c r="AG257" s="490"/>
      <c r="AH257" s="106"/>
      <c r="AI257" s="107"/>
      <c r="AJ257" s="487"/>
      <c r="AK257" s="143"/>
      <c r="AL257" s="144"/>
      <c r="AM257" s="133">
        <f t="shared" ref="AM257:AW257" si="304">IF(ISERROR(LOOKUP(AM$6,$S257:$AB257,$S$9:$AB$9)),0,(LOOKUP(AM$6,$S257:$AB257,$S$9:$AB$9)))</f>
        <v>0</v>
      </c>
      <c r="AN257" s="134">
        <f t="shared" si="304"/>
        <v>0</v>
      </c>
      <c r="AO257" s="134">
        <f t="shared" si="304"/>
        <v>0</v>
      </c>
      <c r="AP257" s="134">
        <f t="shared" si="304"/>
        <v>0</v>
      </c>
      <c r="AQ257" s="134">
        <f t="shared" si="304"/>
        <v>0</v>
      </c>
      <c r="AR257" s="134">
        <f t="shared" si="304"/>
        <v>0</v>
      </c>
      <c r="AS257" s="134">
        <f t="shared" si="304"/>
        <v>0</v>
      </c>
      <c r="AT257" s="134">
        <f t="shared" si="304"/>
        <v>0</v>
      </c>
      <c r="AU257" s="134">
        <f t="shared" si="304"/>
        <v>0</v>
      </c>
      <c r="AV257" s="134">
        <f t="shared" si="304"/>
        <v>0</v>
      </c>
      <c r="AW257" s="134">
        <f t="shared" ca="1" si="304"/>
        <v>0</v>
      </c>
      <c r="BB257" s="135"/>
    </row>
    <row r="258" spans="1:54" s="21" customFormat="1" ht="18" customHeight="1">
      <c r="A258" s="515"/>
      <c r="B258" s="157"/>
      <c r="C258" s="509"/>
      <c r="D258" s="111" t="str">
        <f>D256</f>
        <v>PIP</v>
      </c>
      <c r="E258" s="145" t="str">
        <f>E256</f>
        <v>RFQ-054</v>
      </c>
      <c r="F258" s="146" t="str">
        <f>F256</f>
        <v>N</v>
      </c>
      <c r="G258" s="160"/>
      <c r="H258" s="163" t="str">
        <f>H256</f>
        <v>SS &amp; DSS Fitting</v>
      </c>
      <c r="I258" s="145" t="str">
        <f>I256</f>
        <v>LD</v>
      </c>
      <c r="J258" s="146"/>
      <c r="K258" s="147"/>
      <c r="L258" s="147"/>
      <c r="M258" s="147">
        <v>1E-3</v>
      </c>
      <c r="N258" s="145"/>
      <c r="O258" s="145"/>
      <c r="P258" s="145"/>
      <c r="Q258" s="148" t="s">
        <v>4861</v>
      </c>
      <c r="R258" s="148"/>
      <c r="S258" s="149"/>
      <c r="T258" s="149"/>
      <c r="U258" s="149"/>
      <c r="V258" s="149"/>
      <c r="W258" s="149"/>
      <c r="X258" s="149"/>
      <c r="Y258" s="149"/>
      <c r="Z258" s="149"/>
      <c r="AA258" s="149"/>
      <c r="AB258" s="149"/>
      <c r="AC258" s="503"/>
      <c r="AD258" s="116"/>
      <c r="AE258" s="497"/>
      <c r="AF258" s="494"/>
      <c r="AG258" s="491"/>
      <c r="AH258" s="117"/>
      <c r="AI258" s="118"/>
      <c r="AJ258" s="488"/>
      <c r="AK258" s="150"/>
      <c r="AL258" s="151"/>
      <c r="AM258" s="152">
        <f t="shared" ref="AM258:AW258" si="305">IF(ISERROR(LOOKUP(AM$6,$S258:$AB258,$S$9:$AB$9)),0,(LOOKUP(AM$6,$S258:$AB258,$S$9:$AB$9)))</f>
        <v>0</v>
      </c>
      <c r="AN258" s="153">
        <f t="shared" si="305"/>
        <v>0</v>
      </c>
      <c r="AO258" s="153">
        <f t="shared" si="305"/>
        <v>0</v>
      </c>
      <c r="AP258" s="153">
        <f t="shared" si="305"/>
        <v>0</v>
      </c>
      <c r="AQ258" s="153">
        <f t="shared" si="305"/>
        <v>0</v>
      </c>
      <c r="AR258" s="153">
        <f t="shared" si="305"/>
        <v>0</v>
      </c>
      <c r="AS258" s="153">
        <f t="shared" si="305"/>
        <v>0</v>
      </c>
      <c r="AT258" s="153">
        <f t="shared" si="305"/>
        <v>0</v>
      </c>
      <c r="AU258" s="153">
        <f t="shared" si="305"/>
        <v>0</v>
      </c>
      <c r="AV258" s="153">
        <f t="shared" si="305"/>
        <v>0</v>
      </c>
      <c r="AW258" s="153">
        <f t="shared" ca="1" si="305"/>
        <v>0</v>
      </c>
      <c r="BB258" s="135"/>
    </row>
    <row r="259" spans="1:54" s="21" customFormat="1" ht="18" customHeight="1">
      <c r="A259" s="513">
        <f>A256+1</f>
        <v>84</v>
      </c>
      <c r="B259" s="154" t="s">
        <v>4920</v>
      </c>
      <c r="C259" s="507" t="s">
        <v>4855</v>
      </c>
      <c r="D259" s="80" t="s">
        <v>4867</v>
      </c>
      <c r="E259" s="127" t="s">
        <v>4917</v>
      </c>
      <c r="F259" s="128" t="s">
        <v>75</v>
      </c>
      <c r="G259" s="158"/>
      <c r="H259" s="161" t="s">
        <v>4946</v>
      </c>
      <c r="I259" s="127" t="s">
        <v>9</v>
      </c>
      <c r="J259" s="128"/>
      <c r="K259" s="129">
        <f>M261</f>
        <v>1E-3</v>
      </c>
      <c r="L259" s="129"/>
      <c r="M259" s="129"/>
      <c r="N259" s="127"/>
      <c r="O259" s="127"/>
      <c r="P259" s="127"/>
      <c r="Q259" s="130" t="s">
        <v>4858</v>
      </c>
      <c r="R259" s="130"/>
      <c r="S259" s="155" t="e">
        <f>WORKDAY(T259,-INDEX(T$2:T$5,MATCH($I259,$I$2:$I$5,0)),'[35]Equipment List and MR List (3)'!$A$2:$A$80)</f>
        <v>#REF!</v>
      </c>
      <c r="T259" s="155" t="e">
        <f>WORKDAY(U259,-INDEX(U$2:U$5,MATCH($I259,$I$2:$I$5,0)),$BB$10:$BB$141)</f>
        <v>#REF!</v>
      </c>
      <c r="U259" s="155" t="e">
        <f>WORKDAY(V259,-INDEX(V$2:V$5,MATCH($I259,$I$2:$I$5,0)),$BB$10:$BB$141)</f>
        <v>#REF!</v>
      </c>
      <c r="V259" s="155" t="e">
        <f>WORKDAY(W259,-INDEX(W$2:W$5,MATCH($I259,$I$2:$I$5,0)),$BB$10:$BB$141)</f>
        <v>#REF!</v>
      </c>
      <c r="W259" s="155" t="e">
        <f>WORKDAY(#REF!,-INDEX(#REF!,MATCH($I259,$I$2:$I$5,0)),$BB$10:$BB$141)</f>
        <v>#REF!</v>
      </c>
      <c r="X259" s="155" t="e">
        <f>WORKDAY(Y259,-INDEX(Y$2:Y$5,MATCH($I259,$I$2:$I$5,0)),$BB$10:$BB$141)</f>
        <v>#REF!</v>
      </c>
      <c r="Y259" s="155" t="e">
        <f>WORKDAY(Z259,-INDEX(Z$2:Z$5,MATCH($I259,$I$2:$I$5,0)),$BB$10:$BB$141)</f>
        <v>#REF!</v>
      </c>
      <c r="Z259" s="155" t="e">
        <f>WORKDAY(AA259,-INDEX(AA$2:AA$5,MATCH($I259,$I$2:$I$5,0)),$BB$10:$BB$141)</f>
        <v>#REF!</v>
      </c>
      <c r="AA259" s="155" t="e">
        <f>WORKDAY(#REF!,-INDEX(#REF!,MATCH($I259,$I$2:$I$5,0)),$BB$10:$BB$141)</f>
        <v>#REF!</v>
      </c>
      <c r="AB259" s="155">
        <f>WORKDAY(AG259,0,'[35]Equipment List and MR List (3)'!$A$2:$A$80)</f>
        <v>0</v>
      </c>
      <c r="AC259" s="501" t="s">
        <v>4859</v>
      </c>
      <c r="AD259" s="87">
        <v>7</v>
      </c>
      <c r="AE259" s="495">
        <v>100</v>
      </c>
      <c r="AF259" s="492" t="e">
        <f>AB260</f>
        <v>#REF!</v>
      </c>
      <c r="AG259" s="489"/>
      <c r="AH259" s="88"/>
      <c r="AI259" s="89"/>
      <c r="AJ259" s="486" t="e">
        <f>AG259-AF259</f>
        <v>#REF!</v>
      </c>
      <c r="AK259" s="131"/>
      <c r="AL259" s="132"/>
      <c r="AM259" s="133">
        <f t="shared" ref="AM259:AW259" si="306">IF(ISERROR(LOOKUP(AM$6,$S259:$AB259,$S$9:$AB$9)),0,(LOOKUP(AM$6,$S259:$AB259,$S$9:$AB$9)))</f>
        <v>0.95</v>
      </c>
      <c r="AN259" s="134">
        <f t="shared" si="306"/>
        <v>0.95</v>
      </c>
      <c r="AO259" s="134">
        <f t="shared" si="306"/>
        <v>0.95</v>
      </c>
      <c r="AP259" s="134">
        <f t="shared" si="306"/>
        <v>0.95</v>
      </c>
      <c r="AQ259" s="134">
        <f t="shared" si="306"/>
        <v>0.95</v>
      </c>
      <c r="AR259" s="134">
        <f t="shared" si="306"/>
        <v>0.95</v>
      </c>
      <c r="AS259" s="134">
        <f t="shared" si="306"/>
        <v>0.95</v>
      </c>
      <c r="AT259" s="134">
        <f t="shared" si="306"/>
        <v>0.95</v>
      </c>
      <c r="AU259" s="134">
        <f t="shared" si="306"/>
        <v>0.95</v>
      </c>
      <c r="AV259" s="134">
        <f t="shared" si="306"/>
        <v>0.95</v>
      </c>
      <c r="AW259" s="134">
        <f t="shared" ca="1" si="306"/>
        <v>0.95</v>
      </c>
      <c r="BB259" s="135"/>
    </row>
    <row r="260" spans="1:54" s="21" customFormat="1" ht="18" customHeight="1">
      <c r="A260" s="514"/>
      <c r="B260" s="156"/>
      <c r="C260" s="508"/>
      <c r="D260" s="96" t="str">
        <f>D259</f>
        <v>PIP</v>
      </c>
      <c r="E260" s="136" t="str">
        <f>E259</f>
        <v>RFQ-054</v>
      </c>
      <c r="F260" s="137" t="str">
        <f>F259</f>
        <v>N</v>
      </c>
      <c r="G260" s="159"/>
      <c r="H260" s="162" t="str">
        <f>H259</f>
        <v>CS FLANGES</v>
      </c>
      <c r="I260" s="136" t="str">
        <f>I259</f>
        <v>LD</v>
      </c>
      <c r="J260" s="137"/>
      <c r="K260" s="138"/>
      <c r="L260" s="138">
        <f>M261</f>
        <v>1E-3</v>
      </c>
      <c r="M260" s="138"/>
      <c r="N260" s="136"/>
      <c r="O260" s="136"/>
      <c r="P260" s="136"/>
      <c r="Q260" s="139" t="s">
        <v>4860</v>
      </c>
      <c r="R260" s="139"/>
      <c r="S260" s="140" t="e">
        <f>S259</f>
        <v>#REF!</v>
      </c>
      <c r="T260" s="141" t="e">
        <f>T259</f>
        <v>#REF!</v>
      </c>
      <c r="U260" s="141" t="e">
        <f>WORKDAY(IF(T261="",T260,T261),INDEX(U$2:U$5,MATCH($I259,$I$2:$I$5,0)),$BB$10:$BB$141)</f>
        <v>#REF!</v>
      </c>
      <c r="V260" s="141" t="e">
        <f>WORKDAY(IF(U261="",U260,U261),INDEX(V$2:V$5,MATCH($I259,$I$2:$I$5,0)),$BB$10:$BB$141)</f>
        <v>#REF!</v>
      </c>
      <c r="W260" s="141" t="e">
        <f>WORKDAY(IF(V261="",V260,V261),INDEX(W$2:W$5,MATCH($I259,$I$2:$I$5,0)),$BB$10:$BB$141)</f>
        <v>#REF!</v>
      </c>
      <c r="X260" s="141" t="e">
        <f>WORKDAY(IF(#REF!="",#REF!,#REF!),INDEX(X$2:X$5,MATCH($I259,$I$2:$I$5,0)),$BB$10:$BB$141)</f>
        <v>#REF!</v>
      </c>
      <c r="Y260" s="141" t="e">
        <f>WORKDAY(IF(X261="",X260,X261),INDEX(Y$2:Y$5,MATCH($I259,$I$2:$I$5,0)),$BB$10:$BB$141)</f>
        <v>#REF!</v>
      </c>
      <c r="Z260" s="141" t="e">
        <f>WORKDAY(IF(Y261="",Y260,Y261),INDEX(Z$2:Z$5,MATCH($I259,$I$2:$I$5,0)),$BB$10:$BB$141)</f>
        <v>#REF!</v>
      </c>
      <c r="AA260" s="141" t="e">
        <f>WORKDAY(IF(Z261="",Z260,Z261),INDEX(AA$2:AA$5,MATCH($I259,$I$2:$I$5,0)),$BB$10:$BB$141)</f>
        <v>#REF!</v>
      </c>
      <c r="AB260" s="142" t="e">
        <f>AE259+#REF!</f>
        <v>#REF!</v>
      </c>
      <c r="AC260" s="502"/>
      <c r="AD260" s="105"/>
      <c r="AE260" s="496"/>
      <c r="AF260" s="493"/>
      <c r="AG260" s="490"/>
      <c r="AH260" s="106"/>
      <c r="AI260" s="107"/>
      <c r="AJ260" s="487"/>
      <c r="AK260" s="143"/>
      <c r="AL260" s="144"/>
      <c r="AM260" s="133">
        <f t="shared" ref="AM260:AW260" si="307">IF(ISERROR(LOOKUP(AM$6,$S260:$AB260,$S$9:$AB$9)),0,(LOOKUP(AM$6,$S260:$AB260,$S$9:$AB$9)))</f>
        <v>0</v>
      </c>
      <c r="AN260" s="134">
        <f t="shared" si="307"/>
        <v>0</v>
      </c>
      <c r="AO260" s="134">
        <f t="shared" si="307"/>
        <v>0</v>
      </c>
      <c r="AP260" s="134">
        <f t="shared" si="307"/>
        <v>0</v>
      </c>
      <c r="AQ260" s="134">
        <f t="shared" si="307"/>
        <v>0</v>
      </c>
      <c r="AR260" s="134">
        <f t="shared" si="307"/>
        <v>0</v>
      </c>
      <c r="AS260" s="134">
        <f t="shared" si="307"/>
        <v>0</v>
      </c>
      <c r="AT260" s="134">
        <f t="shared" si="307"/>
        <v>0</v>
      </c>
      <c r="AU260" s="134">
        <f t="shared" si="307"/>
        <v>0</v>
      </c>
      <c r="AV260" s="134">
        <f t="shared" si="307"/>
        <v>0</v>
      </c>
      <c r="AW260" s="134">
        <f t="shared" ca="1" si="307"/>
        <v>0</v>
      </c>
      <c r="BB260" s="135"/>
    </row>
    <row r="261" spans="1:54" s="21" customFormat="1" ht="18" customHeight="1">
      <c r="A261" s="515"/>
      <c r="B261" s="157"/>
      <c r="C261" s="509"/>
      <c r="D261" s="111" t="str">
        <f>D259</f>
        <v>PIP</v>
      </c>
      <c r="E261" s="145" t="str">
        <f>E259</f>
        <v>RFQ-054</v>
      </c>
      <c r="F261" s="146" t="str">
        <f>F259</f>
        <v>N</v>
      </c>
      <c r="G261" s="160"/>
      <c r="H261" s="163" t="str">
        <f>H259</f>
        <v>CS FLANGES</v>
      </c>
      <c r="I261" s="145" t="str">
        <f>I259</f>
        <v>LD</v>
      </c>
      <c r="J261" s="146"/>
      <c r="K261" s="147"/>
      <c r="L261" s="147"/>
      <c r="M261" s="147">
        <v>1E-3</v>
      </c>
      <c r="N261" s="145"/>
      <c r="O261" s="145"/>
      <c r="P261" s="145"/>
      <c r="Q261" s="148" t="s">
        <v>4861</v>
      </c>
      <c r="R261" s="148"/>
      <c r="S261" s="149"/>
      <c r="T261" s="149"/>
      <c r="U261" s="149"/>
      <c r="V261" s="149"/>
      <c r="W261" s="149"/>
      <c r="X261" s="149"/>
      <c r="Y261" s="149"/>
      <c r="Z261" s="149"/>
      <c r="AA261" s="149"/>
      <c r="AB261" s="149"/>
      <c r="AC261" s="503"/>
      <c r="AD261" s="116"/>
      <c r="AE261" s="497"/>
      <c r="AF261" s="494"/>
      <c r="AG261" s="491"/>
      <c r="AH261" s="117"/>
      <c r="AI261" s="118"/>
      <c r="AJ261" s="488"/>
      <c r="AK261" s="150"/>
      <c r="AL261" s="151"/>
      <c r="AM261" s="152">
        <f t="shared" ref="AM261:AW261" si="308">IF(ISERROR(LOOKUP(AM$6,$S261:$AB261,$S$9:$AB$9)),0,(LOOKUP(AM$6,$S261:$AB261,$S$9:$AB$9)))</f>
        <v>0</v>
      </c>
      <c r="AN261" s="153">
        <f t="shared" si="308"/>
        <v>0</v>
      </c>
      <c r="AO261" s="153">
        <f t="shared" si="308"/>
        <v>0</v>
      </c>
      <c r="AP261" s="153">
        <f t="shared" si="308"/>
        <v>0</v>
      </c>
      <c r="AQ261" s="153">
        <f t="shared" si="308"/>
        <v>0</v>
      </c>
      <c r="AR261" s="153">
        <f t="shared" si="308"/>
        <v>0</v>
      </c>
      <c r="AS261" s="153">
        <f t="shared" si="308"/>
        <v>0</v>
      </c>
      <c r="AT261" s="153">
        <f t="shared" si="308"/>
        <v>0</v>
      </c>
      <c r="AU261" s="153">
        <f t="shared" si="308"/>
        <v>0</v>
      </c>
      <c r="AV261" s="153">
        <f t="shared" si="308"/>
        <v>0</v>
      </c>
      <c r="AW261" s="153">
        <f t="shared" ca="1" si="308"/>
        <v>0</v>
      </c>
      <c r="BB261" s="135"/>
    </row>
    <row r="262" spans="1:54" s="21" customFormat="1" ht="18" customHeight="1">
      <c r="A262" s="513">
        <f>A259+1</f>
        <v>85</v>
      </c>
      <c r="B262" s="154" t="s">
        <v>4920</v>
      </c>
      <c r="C262" s="507" t="s">
        <v>4855</v>
      </c>
      <c r="D262" s="80" t="s">
        <v>4867</v>
      </c>
      <c r="E262" s="127" t="s">
        <v>4917</v>
      </c>
      <c r="F262" s="128" t="s">
        <v>75</v>
      </c>
      <c r="G262" s="158"/>
      <c r="H262" s="161" t="s">
        <v>4947</v>
      </c>
      <c r="I262" s="127" t="s">
        <v>9</v>
      </c>
      <c r="J262" s="128"/>
      <c r="K262" s="129">
        <f>M264</f>
        <v>1E-3</v>
      </c>
      <c r="L262" s="129"/>
      <c r="M262" s="129"/>
      <c r="N262" s="127"/>
      <c r="O262" s="127"/>
      <c r="P262" s="127"/>
      <c r="Q262" s="130" t="s">
        <v>4858</v>
      </c>
      <c r="R262" s="130"/>
      <c r="S262" s="155" t="e">
        <f>WORKDAY(T262,-INDEX(T$2:T$5,MATCH($I262,$I$2:$I$5,0)),'[35]Equipment List and MR List (3)'!$A$2:$A$80)</f>
        <v>#REF!</v>
      </c>
      <c r="T262" s="155" t="e">
        <f>WORKDAY(U262,-INDEX(U$2:U$5,MATCH($I262,$I$2:$I$5,0)),$BB$10:$BB$141)</f>
        <v>#REF!</v>
      </c>
      <c r="U262" s="155" t="e">
        <f>WORKDAY(V262,-INDEX(V$2:V$5,MATCH($I262,$I$2:$I$5,0)),$BB$10:$BB$141)</f>
        <v>#REF!</v>
      </c>
      <c r="V262" s="155" t="e">
        <f>WORKDAY(W262,-INDEX(W$2:W$5,MATCH($I262,$I$2:$I$5,0)),$BB$10:$BB$141)</f>
        <v>#REF!</v>
      </c>
      <c r="W262" s="155" t="e">
        <f>WORKDAY(#REF!,-INDEX(#REF!,MATCH($I262,$I$2:$I$5,0)),$BB$10:$BB$141)</f>
        <v>#REF!</v>
      </c>
      <c r="X262" s="155" t="e">
        <f>WORKDAY(Y262,-INDEX(Y$2:Y$5,MATCH($I262,$I$2:$I$5,0)),$BB$10:$BB$141)</f>
        <v>#REF!</v>
      </c>
      <c r="Y262" s="155" t="e">
        <f>WORKDAY(Z262,-INDEX(Z$2:Z$5,MATCH($I262,$I$2:$I$5,0)),$BB$10:$BB$141)</f>
        <v>#REF!</v>
      </c>
      <c r="Z262" s="155" t="e">
        <f>WORKDAY(AA262,-INDEX(AA$2:AA$5,MATCH($I262,$I$2:$I$5,0)),$BB$10:$BB$141)</f>
        <v>#REF!</v>
      </c>
      <c r="AA262" s="155" t="e">
        <f>WORKDAY(#REF!,-INDEX(#REF!,MATCH($I262,$I$2:$I$5,0)),$BB$10:$BB$141)</f>
        <v>#REF!</v>
      </c>
      <c r="AB262" s="155">
        <f>WORKDAY(AG262,0,'[35]Equipment List and MR List (3)'!$A$2:$A$80)</f>
        <v>0</v>
      </c>
      <c r="AC262" s="501" t="s">
        <v>4859</v>
      </c>
      <c r="AD262" s="87">
        <v>7</v>
      </c>
      <c r="AE262" s="495">
        <v>100</v>
      </c>
      <c r="AF262" s="492" t="e">
        <f>AB263</f>
        <v>#REF!</v>
      </c>
      <c r="AG262" s="489"/>
      <c r="AH262" s="88"/>
      <c r="AI262" s="89"/>
      <c r="AJ262" s="486" t="e">
        <f>AG262-AF262</f>
        <v>#REF!</v>
      </c>
      <c r="AK262" s="131"/>
      <c r="AL262" s="132"/>
      <c r="AM262" s="133">
        <f t="shared" ref="AM262:AW262" si="309">IF(ISERROR(LOOKUP(AM$6,$S262:$AB262,$S$9:$AB$9)),0,(LOOKUP(AM$6,$S262:$AB262,$S$9:$AB$9)))</f>
        <v>0.95</v>
      </c>
      <c r="AN262" s="134">
        <f t="shared" si="309"/>
        <v>0.95</v>
      </c>
      <c r="AO262" s="134">
        <f t="shared" si="309"/>
        <v>0.95</v>
      </c>
      <c r="AP262" s="134">
        <f t="shared" si="309"/>
        <v>0.95</v>
      </c>
      <c r="AQ262" s="134">
        <f t="shared" si="309"/>
        <v>0.95</v>
      </c>
      <c r="AR262" s="134">
        <f t="shared" si="309"/>
        <v>0.95</v>
      </c>
      <c r="AS262" s="134">
        <f t="shared" si="309"/>
        <v>0.95</v>
      </c>
      <c r="AT262" s="134">
        <f t="shared" si="309"/>
        <v>0.95</v>
      </c>
      <c r="AU262" s="134">
        <f t="shared" si="309"/>
        <v>0.95</v>
      </c>
      <c r="AV262" s="134">
        <f t="shared" si="309"/>
        <v>0.95</v>
      </c>
      <c r="AW262" s="134">
        <f t="shared" ca="1" si="309"/>
        <v>0.95</v>
      </c>
      <c r="BB262" s="135"/>
    </row>
    <row r="263" spans="1:54" s="21" customFormat="1" ht="18" customHeight="1">
      <c r="A263" s="514"/>
      <c r="B263" s="156"/>
      <c r="C263" s="508"/>
      <c r="D263" s="96" t="str">
        <f>D262</f>
        <v>PIP</v>
      </c>
      <c r="E263" s="136" t="str">
        <f>E262</f>
        <v>RFQ-054</v>
      </c>
      <c r="F263" s="137" t="str">
        <f>F262</f>
        <v>N</v>
      </c>
      <c r="G263" s="159"/>
      <c r="H263" s="162" t="str">
        <f>H262</f>
        <v>DSS &amp; SS FLANGES</v>
      </c>
      <c r="I263" s="136" t="str">
        <f>I262</f>
        <v>LD</v>
      </c>
      <c r="J263" s="137"/>
      <c r="K263" s="138"/>
      <c r="L263" s="138">
        <f>M264</f>
        <v>1E-3</v>
      </c>
      <c r="M263" s="138"/>
      <c r="N263" s="136"/>
      <c r="O263" s="136"/>
      <c r="P263" s="136"/>
      <c r="Q263" s="139" t="s">
        <v>4860</v>
      </c>
      <c r="R263" s="139"/>
      <c r="S263" s="140" t="e">
        <f>S262</f>
        <v>#REF!</v>
      </c>
      <c r="T263" s="141" t="e">
        <f>T262</f>
        <v>#REF!</v>
      </c>
      <c r="U263" s="141" t="e">
        <f>WORKDAY(IF(T264="",T263,T264),INDEX(U$2:U$5,MATCH($I262,$I$2:$I$5,0)),$BB$10:$BB$141)</f>
        <v>#REF!</v>
      </c>
      <c r="V263" s="141" t="e">
        <f>WORKDAY(IF(U264="",U263,U264),INDEX(V$2:V$5,MATCH($I262,$I$2:$I$5,0)),$BB$10:$BB$141)</f>
        <v>#REF!</v>
      </c>
      <c r="W263" s="141" t="e">
        <f>WORKDAY(IF(V264="",V263,V264),INDEX(W$2:W$5,MATCH($I262,$I$2:$I$5,0)),$BB$10:$BB$141)</f>
        <v>#REF!</v>
      </c>
      <c r="X263" s="141" t="e">
        <f>WORKDAY(IF(#REF!="",#REF!,#REF!),INDEX(X$2:X$5,MATCH($I262,$I$2:$I$5,0)),$BB$10:$BB$141)</f>
        <v>#REF!</v>
      </c>
      <c r="Y263" s="141" t="e">
        <f>WORKDAY(IF(X264="",X263,X264),INDEX(Y$2:Y$5,MATCH($I262,$I$2:$I$5,0)),$BB$10:$BB$141)</f>
        <v>#REF!</v>
      </c>
      <c r="Z263" s="141" t="e">
        <f>WORKDAY(IF(Y264="",Y263,Y264),INDEX(Z$2:Z$5,MATCH($I262,$I$2:$I$5,0)),$BB$10:$BB$141)</f>
        <v>#REF!</v>
      </c>
      <c r="AA263" s="141" t="e">
        <f>WORKDAY(IF(Z264="",Z263,Z264),INDEX(AA$2:AA$5,MATCH($I262,$I$2:$I$5,0)),$BB$10:$BB$141)</f>
        <v>#REF!</v>
      </c>
      <c r="AB263" s="142" t="e">
        <f>AE262+#REF!</f>
        <v>#REF!</v>
      </c>
      <c r="AC263" s="502"/>
      <c r="AD263" s="105"/>
      <c r="AE263" s="496"/>
      <c r="AF263" s="493"/>
      <c r="AG263" s="490"/>
      <c r="AH263" s="106"/>
      <c r="AI263" s="107"/>
      <c r="AJ263" s="487"/>
      <c r="AK263" s="143"/>
      <c r="AL263" s="144"/>
      <c r="AM263" s="133">
        <f t="shared" ref="AM263:AW263" si="310">IF(ISERROR(LOOKUP(AM$6,$S263:$AB263,$S$9:$AB$9)),0,(LOOKUP(AM$6,$S263:$AB263,$S$9:$AB$9)))</f>
        <v>0</v>
      </c>
      <c r="AN263" s="134">
        <f t="shared" si="310"/>
        <v>0</v>
      </c>
      <c r="AO263" s="134">
        <f t="shared" si="310"/>
        <v>0</v>
      </c>
      <c r="AP263" s="134">
        <f t="shared" si="310"/>
        <v>0</v>
      </c>
      <c r="AQ263" s="134">
        <f t="shared" si="310"/>
        <v>0</v>
      </c>
      <c r="AR263" s="134">
        <f t="shared" si="310"/>
        <v>0</v>
      </c>
      <c r="AS263" s="134">
        <f t="shared" si="310"/>
        <v>0</v>
      </c>
      <c r="AT263" s="134">
        <f t="shared" si="310"/>
        <v>0</v>
      </c>
      <c r="AU263" s="134">
        <f t="shared" si="310"/>
        <v>0</v>
      </c>
      <c r="AV263" s="134">
        <f t="shared" si="310"/>
        <v>0</v>
      </c>
      <c r="AW263" s="134">
        <f t="shared" ca="1" si="310"/>
        <v>0</v>
      </c>
      <c r="BB263" s="135"/>
    </row>
    <row r="264" spans="1:54" s="21" customFormat="1" ht="18" customHeight="1">
      <c r="A264" s="515"/>
      <c r="B264" s="157"/>
      <c r="C264" s="509"/>
      <c r="D264" s="111" t="str">
        <f>D262</f>
        <v>PIP</v>
      </c>
      <c r="E264" s="145" t="str">
        <f>E262</f>
        <v>RFQ-054</v>
      </c>
      <c r="F264" s="146" t="str">
        <f>F262</f>
        <v>N</v>
      </c>
      <c r="G264" s="160"/>
      <c r="H264" s="163" t="str">
        <f>H262</f>
        <v>DSS &amp; SS FLANGES</v>
      </c>
      <c r="I264" s="145" t="str">
        <f>I262</f>
        <v>LD</v>
      </c>
      <c r="J264" s="146"/>
      <c r="K264" s="147"/>
      <c r="L264" s="147"/>
      <c r="M264" s="147">
        <v>1E-3</v>
      </c>
      <c r="N264" s="145"/>
      <c r="O264" s="145"/>
      <c r="P264" s="145"/>
      <c r="Q264" s="148" t="s">
        <v>4861</v>
      </c>
      <c r="R264" s="148"/>
      <c r="S264" s="149"/>
      <c r="T264" s="149"/>
      <c r="U264" s="149"/>
      <c r="V264" s="149"/>
      <c r="W264" s="149"/>
      <c r="X264" s="149"/>
      <c r="Y264" s="149"/>
      <c r="Z264" s="149"/>
      <c r="AA264" s="149"/>
      <c r="AB264" s="149"/>
      <c r="AC264" s="503"/>
      <c r="AD264" s="116"/>
      <c r="AE264" s="497"/>
      <c r="AF264" s="494"/>
      <c r="AG264" s="491"/>
      <c r="AH264" s="117"/>
      <c r="AI264" s="118"/>
      <c r="AJ264" s="488"/>
      <c r="AK264" s="150"/>
      <c r="AL264" s="151"/>
      <c r="AM264" s="152">
        <f t="shared" ref="AM264:AW264" si="311">IF(ISERROR(LOOKUP(AM$6,$S264:$AB264,$S$9:$AB$9)),0,(LOOKUP(AM$6,$S264:$AB264,$S$9:$AB$9)))</f>
        <v>0</v>
      </c>
      <c r="AN264" s="153">
        <f t="shared" si="311"/>
        <v>0</v>
      </c>
      <c r="AO264" s="153">
        <f t="shared" si="311"/>
        <v>0</v>
      </c>
      <c r="AP264" s="153">
        <f t="shared" si="311"/>
        <v>0</v>
      </c>
      <c r="AQ264" s="153">
        <f t="shared" si="311"/>
        <v>0</v>
      </c>
      <c r="AR264" s="153">
        <f t="shared" si="311"/>
        <v>0</v>
      </c>
      <c r="AS264" s="153">
        <f t="shared" si="311"/>
        <v>0</v>
      </c>
      <c r="AT264" s="153">
        <f t="shared" si="311"/>
        <v>0</v>
      </c>
      <c r="AU264" s="153">
        <f t="shared" si="311"/>
        <v>0</v>
      </c>
      <c r="AV264" s="153">
        <f t="shared" si="311"/>
        <v>0</v>
      </c>
      <c r="AW264" s="153">
        <f t="shared" ca="1" si="311"/>
        <v>0</v>
      </c>
      <c r="BB264" s="135"/>
    </row>
    <row r="265" spans="1:54" s="21" customFormat="1" ht="18" customHeight="1">
      <c r="A265" s="513">
        <f>A262+1</f>
        <v>86</v>
      </c>
      <c r="B265" s="154" t="s">
        <v>4920</v>
      </c>
      <c r="C265" s="507" t="s">
        <v>4855</v>
      </c>
      <c r="D265" s="80" t="s">
        <v>4867</v>
      </c>
      <c r="E265" s="127" t="s">
        <v>4917</v>
      </c>
      <c r="F265" s="128" t="s">
        <v>75</v>
      </c>
      <c r="G265" s="158"/>
      <c r="H265" s="161" t="s">
        <v>4948</v>
      </c>
      <c r="I265" s="127" t="s">
        <v>9</v>
      </c>
      <c r="J265" s="128"/>
      <c r="K265" s="129">
        <f>M267</f>
        <v>1E-3</v>
      </c>
      <c r="L265" s="129"/>
      <c r="M265" s="129"/>
      <c r="N265" s="127"/>
      <c r="O265" s="127"/>
      <c r="P265" s="127"/>
      <c r="Q265" s="130" t="s">
        <v>4858</v>
      </c>
      <c r="R265" s="130"/>
      <c r="S265" s="155" t="e">
        <f>WORKDAY(T265,-INDEX(T$2:T$5,MATCH($I265,$I$2:$I$5,0)),'[35]Equipment List and MR List (3)'!$A$2:$A$80)</f>
        <v>#REF!</v>
      </c>
      <c r="T265" s="155" t="e">
        <f>WORKDAY(U265,-INDEX(U$2:U$5,MATCH($I265,$I$2:$I$5,0)),$BB$10:$BB$141)</f>
        <v>#REF!</v>
      </c>
      <c r="U265" s="155" t="e">
        <f>WORKDAY(V265,-INDEX(V$2:V$5,MATCH($I265,$I$2:$I$5,0)),$BB$10:$BB$141)</f>
        <v>#REF!</v>
      </c>
      <c r="V265" s="155" t="e">
        <f>WORKDAY(W265,-INDEX(W$2:W$5,MATCH($I265,$I$2:$I$5,0)),$BB$10:$BB$141)</f>
        <v>#REF!</v>
      </c>
      <c r="W265" s="155" t="e">
        <f>WORKDAY(#REF!,-INDEX(#REF!,MATCH($I265,$I$2:$I$5,0)),$BB$10:$BB$141)</f>
        <v>#REF!</v>
      </c>
      <c r="X265" s="155" t="e">
        <f>WORKDAY(Y265,-INDEX(Y$2:Y$5,MATCH($I265,$I$2:$I$5,0)),$BB$10:$BB$141)</f>
        <v>#REF!</v>
      </c>
      <c r="Y265" s="155" t="e">
        <f>WORKDAY(Z265,-INDEX(Z$2:Z$5,MATCH($I265,$I$2:$I$5,0)),$BB$10:$BB$141)</f>
        <v>#REF!</v>
      </c>
      <c r="Z265" s="155" t="e">
        <f>WORKDAY(AA265,-INDEX(AA$2:AA$5,MATCH($I265,$I$2:$I$5,0)),$BB$10:$BB$141)</f>
        <v>#REF!</v>
      </c>
      <c r="AA265" s="155" t="e">
        <f>WORKDAY(#REF!,-INDEX(#REF!,MATCH($I265,$I$2:$I$5,0)),$BB$10:$BB$141)</f>
        <v>#REF!</v>
      </c>
      <c r="AB265" s="155">
        <f>WORKDAY(AG265,0,'[35]Equipment List and MR List (3)'!$A$2:$A$80)</f>
        <v>0</v>
      </c>
      <c r="AC265" s="501" t="s">
        <v>4859</v>
      </c>
      <c r="AD265" s="87">
        <v>7</v>
      </c>
      <c r="AE265" s="495">
        <v>100</v>
      </c>
      <c r="AF265" s="492" t="e">
        <f>AB266</f>
        <v>#REF!</v>
      </c>
      <c r="AG265" s="489"/>
      <c r="AH265" s="88"/>
      <c r="AI265" s="89"/>
      <c r="AJ265" s="486" t="e">
        <f>AG265-AF265</f>
        <v>#REF!</v>
      </c>
      <c r="AK265" s="131"/>
      <c r="AL265" s="132"/>
      <c r="AM265" s="133">
        <f t="shared" ref="AM265:AW265" si="312">IF(ISERROR(LOOKUP(AM$6,$S265:$AB265,$S$9:$AB$9)),0,(LOOKUP(AM$6,$S265:$AB265,$S$9:$AB$9)))</f>
        <v>0.95</v>
      </c>
      <c r="AN265" s="134">
        <f t="shared" si="312"/>
        <v>0.95</v>
      </c>
      <c r="AO265" s="134">
        <f t="shared" si="312"/>
        <v>0.95</v>
      </c>
      <c r="AP265" s="134">
        <f t="shared" si="312"/>
        <v>0.95</v>
      </c>
      <c r="AQ265" s="134">
        <f t="shared" si="312"/>
        <v>0.95</v>
      </c>
      <c r="AR265" s="134">
        <f t="shared" si="312"/>
        <v>0.95</v>
      </c>
      <c r="AS265" s="134">
        <f t="shared" si="312"/>
        <v>0.95</v>
      </c>
      <c r="AT265" s="134">
        <f t="shared" si="312"/>
        <v>0.95</v>
      </c>
      <c r="AU265" s="134">
        <f t="shared" si="312"/>
        <v>0.95</v>
      </c>
      <c r="AV265" s="134">
        <f t="shared" si="312"/>
        <v>0.95</v>
      </c>
      <c r="AW265" s="134">
        <f t="shared" ca="1" si="312"/>
        <v>0.95</v>
      </c>
      <c r="BB265" s="135"/>
    </row>
    <row r="266" spans="1:54" s="21" customFormat="1" ht="18" customHeight="1">
      <c r="A266" s="514"/>
      <c r="B266" s="156"/>
      <c r="C266" s="508"/>
      <c r="D266" s="96" t="str">
        <f>D265</f>
        <v>PIP</v>
      </c>
      <c r="E266" s="136" t="str">
        <f>E265</f>
        <v>RFQ-054</v>
      </c>
      <c r="F266" s="137" t="str">
        <f>F265</f>
        <v>N</v>
      </c>
      <c r="G266" s="159"/>
      <c r="H266" s="162" t="str">
        <f>H265</f>
        <v>GASKETS</v>
      </c>
      <c r="I266" s="136" t="str">
        <f>I265</f>
        <v>LD</v>
      </c>
      <c r="J266" s="137"/>
      <c r="K266" s="138"/>
      <c r="L266" s="138">
        <f>M267</f>
        <v>1E-3</v>
      </c>
      <c r="M266" s="138"/>
      <c r="N266" s="136"/>
      <c r="O266" s="136"/>
      <c r="P266" s="136"/>
      <c r="Q266" s="139" t="s">
        <v>4860</v>
      </c>
      <c r="R266" s="139"/>
      <c r="S266" s="140" t="e">
        <f>S265</f>
        <v>#REF!</v>
      </c>
      <c r="T266" s="141" t="e">
        <f>T265</f>
        <v>#REF!</v>
      </c>
      <c r="U266" s="141" t="e">
        <f>WORKDAY(IF(T267="",T266,T267),INDEX(U$2:U$5,MATCH($I265,$I$2:$I$5,0)),$BB$10:$BB$141)</f>
        <v>#REF!</v>
      </c>
      <c r="V266" s="141" t="e">
        <f>WORKDAY(IF(U267="",U266,U267),INDEX(V$2:V$5,MATCH($I265,$I$2:$I$5,0)),$BB$10:$BB$141)</f>
        <v>#REF!</v>
      </c>
      <c r="W266" s="141" t="e">
        <f>WORKDAY(IF(V267="",V266,V267),INDEX(W$2:W$5,MATCH($I265,$I$2:$I$5,0)),$BB$10:$BB$141)</f>
        <v>#REF!</v>
      </c>
      <c r="X266" s="141" t="e">
        <f>WORKDAY(IF(#REF!="",#REF!,#REF!),INDEX(X$2:X$5,MATCH($I265,$I$2:$I$5,0)),$BB$10:$BB$141)</f>
        <v>#REF!</v>
      </c>
      <c r="Y266" s="141" t="e">
        <f>WORKDAY(IF(X267="",X266,X267),INDEX(Y$2:Y$5,MATCH($I265,$I$2:$I$5,0)),$BB$10:$BB$141)</f>
        <v>#REF!</v>
      </c>
      <c r="Z266" s="141" t="e">
        <f>WORKDAY(IF(Y267="",Y266,Y267),INDEX(Z$2:Z$5,MATCH($I265,$I$2:$I$5,0)),$BB$10:$BB$141)</f>
        <v>#REF!</v>
      </c>
      <c r="AA266" s="141" t="e">
        <f>WORKDAY(IF(Z267="",Z266,Z267),INDEX(AA$2:AA$5,MATCH($I265,$I$2:$I$5,0)),$BB$10:$BB$141)</f>
        <v>#REF!</v>
      </c>
      <c r="AB266" s="142" t="e">
        <f>AE265+#REF!</f>
        <v>#REF!</v>
      </c>
      <c r="AC266" s="502"/>
      <c r="AD266" s="105"/>
      <c r="AE266" s="496"/>
      <c r="AF266" s="493"/>
      <c r="AG266" s="490"/>
      <c r="AH266" s="106"/>
      <c r="AI266" s="107"/>
      <c r="AJ266" s="487"/>
      <c r="AK266" s="143"/>
      <c r="AL266" s="144"/>
      <c r="AM266" s="133">
        <f t="shared" ref="AM266:AW266" si="313">IF(ISERROR(LOOKUP(AM$6,$S266:$AB266,$S$9:$AB$9)),0,(LOOKUP(AM$6,$S266:$AB266,$S$9:$AB$9)))</f>
        <v>0</v>
      </c>
      <c r="AN266" s="134">
        <f t="shared" si="313"/>
        <v>0</v>
      </c>
      <c r="AO266" s="134">
        <f t="shared" si="313"/>
        <v>0</v>
      </c>
      <c r="AP266" s="134">
        <f t="shared" si="313"/>
        <v>0</v>
      </c>
      <c r="AQ266" s="134">
        <f t="shared" si="313"/>
        <v>0</v>
      </c>
      <c r="AR266" s="134">
        <f t="shared" si="313"/>
        <v>0</v>
      </c>
      <c r="AS266" s="134">
        <f t="shared" si="313"/>
        <v>0</v>
      </c>
      <c r="AT266" s="134">
        <f t="shared" si="313"/>
        <v>0</v>
      </c>
      <c r="AU266" s="134">
        <f t="shared" si="313"/>
        <v>0</v>
      </c>
      <c r="AV266" s="134">
        <f t="shared" si="313"/>
        <v>0</v>
      </c>
      <c r="AW266" s="134">
        <f t="shared" ca="1" si="313"/>
        <v>0</v>
      </c>
      <c r="BB266" s="135"/>
    </row>
    <row r="267" spans="1:54" s="21" customFormat="1" ht="18" customHeight="1">
      <c r="A267" s="515"/>
      <c r="B267" s="157"/>
      <c r="C267" s="509"/>
      <c r="D267" s="111" t="str">
        <f>D265</f>
        <v>PIP</v>
      </c>
      <c r="E267" s="145" t="str">
        <f>E265</f>
        <v>RFQ-054</v>
      </c>
      <c r="F267" s="146" t="str">
        <f>F265</f>
        <v>N</v>
      </c>
      <c r="G267" s="160"/>
      <c r="H267" s="163" t="str">
        <f>H265</f>
        <v>GASKETS</v>
      </c>
      <c r="I267" s="145" t="str">
        <f>I265</f>
        <v>LD</v>
      </c>
      <c r="J267" s="146"/>
      <c r="K267" s="147"/>
      <c r="L267" s="147"/>
      <c r="M267" s="147">
        <v>1E-3</v>
      </c>
      <c r="N267" s="145"/>
      <c r="O267" s="145"/>
      <c r="P267" s="145"/>
      <c r="Q267" s="148" t="s">
        <v>4861</v>
      </c>
      <c r="R267" s="148"/>
      <c r="S267" s="149"/>
      <c r="T267" s="149"/>
      <c r="U267" s="149"/>
      <c r="V267" s="149"/>
      <c r="W267" s="149"/>
      <c r="X267" s="149"/>
      <c r="Y267" s="149"/>
      <c r="Z267" s="149"/>
      <c r="AA267" s="149"/>
      <c r="AB267" s="149"/>
      <c r="AC267" s="503"/>
      <c r="AD267" s="116"/>
      <c r="AE267" s="497"/>
      <c r="AF267" s="494"/>
      <c r="AG267" s="491"/>
      <c r="AH267" s="117"/>
      <c r="AI267" s="118"/>
      <c r="AJ267" s="488"/>
      <c r="AK267" s="150"/>
      <c r="AL267" s="151"/>
      <c r="AM267" s="152">
        <f t="shared" ref="AM267:AW267" si="314">IF(ISERROR(LOOKUP(AM$6,$S267:$AB267,$S$9:$AB$9)),0,(LOOKUP(AM$6,$S267:$AB267,$S$9:$AB$9)))</f>
        <v>0</v>
      </c>
      <c r="AN267" s="153">
        <f t="shared" si="314"/>
        <v>0</v>
      </c>
      <c r="AO267" s="153">
        <f t="shared" si="314"/>
        <v>0</v>
      </c>
      <c r="AP267" s="153">
        <f t="shared" si="314"/>
        <v>0</v>
      </c>
      <c r="AQ267" s="153">
        <f t="shared" si="314"/>
        <v>0</v>
      </c>
      <c r="AR267" s="153">
        <f t="shared" si="314"/>
        <v>0</v>
      </c>
      <c r="AS267" s="153">
        <f t="shared" si="314"/>
        <v>0</v>
      </c>
      <c r="AT267" s="153">
        <f t="shared" si="314"/>
        <v>0</v>
      </c>
      <c r="AU267" s="153">
        <f t="shared" si="314"/>
        <v>0</v>
      </c>
      <c r="AV267" s="153">
        <f t="shared" si="314"/>
        <v>0</v>
      </c>
      <c r="AW267" s="153">
        <f t="shared" ca="1" si="314"/>
        <v>0</v>
      </c>
      <c r="BB267" s="135"/>
    </row>
    <row r="268" spans="1:54" s="21" customFormat="1" ht="18" customHeight="1">
      <c r="A268" s="513">
        <f>A265+1</f>
        <v>87</v>
      </c>
      <c r="B268" s="154" t="s">
        <v>4920</v>
      </c>
      <c r="C268" s="507" t="s">
        <v>4855</v>
      </c>
      <c r="D268" s="80" t="s">
        <v>4867</v>
      </c>
      <c r="E268" s="127" t="s">
        <v>4917</v>
      </c>
      <c r="F268" s="128" t="s">
        <v>75</v>
      </c>
      <c r="G268" s="158"/>
      <c r="H268" s="161" t="s">
        <v>4949</v>
      </c>
      <c r="I268" s="127" t="s">
        <v>9</v>
      </c>
      <c r="J268" s="128"/>
      <c r="K268" s="129">
        <f>M270</f>
        <v>1E-3</v>
      </c>
      <c r="L268" s="129"/>
      <c r="M268" s="129"/>
      <c r="N268" s="127"/>
      <c r="O268" s="127"/>
      <c r="P268" s="127"/>
      <c r="Q268" s="130" t="s">
        <v>4858</v>
      </c>
      <c r="R268" s="130"/>
      <c r="S268" s="155" t="e">
        <f>WORKDAY(T268,-INDEX(T$2:T$5,MATCH($I268,$I$2:$I$5,0)),'[35]Equipment List and MR List (3)'!$A$2:$A$80)</f>
        <v>#REF!</v>
      </c>
      <c r="T268" s="155" t="e">
        <f>WORKDAY(U268,-INDEX(U$2:U$5,MATCH($I268,$I$2:$I$5,0)),$BB$10:$BB$141)</f>
        <v>#REF!</v>
      </c>
      <c r="U268" s="155" t="e">
        <f>WORKDAY(V268,-INDEX(V$2:V$5,MATCH($I268,$I$2:$I$5,0)),$BB$10:$BB$141)</f>
        <v>#REF!</v>
      </c>
      <c r="V268" s="155" t="e">
        <f>WORKDAY(W268,-INDEX(W$2:W$5,MATCH($I268,$I$2:$I$5,0)),$BB$10:$BB$141)</f>
        <v>#REF!</v>
      </c>
      <c r="W268" s="155" t="e">
        <f>WORKDAY(#REF!,-INDEX(#REF!,MATCH($I268,$I$2:$I$5,0)),$BB$10:$BB$141)</f>
        <v>#REF!</v>
      </c>
      <c r="X268" s="155" t="e">
        <f>WORKDAY(Y268,-INDEX(Y$2:Y$5,MATCH($I268,$I$2:$I$5,0)),$BB$10:$BB$141)</f>
        <v>#REF!</v>
      </c>
      <c r="Y268" s="155" t="e">
        <f>WORKDAY(Z268,-INDEX(Z$2:Z$5,MATCH($I268,$I$2:$I$5,0)),$BB$10:$BB$141)</f>
        <v>#REF!</v>
      </c>
      <c r="Z268" s="155" t="e">
        <f>WORKDAY(AA268,-INDEX(AA$2:AA$5,MATCH($I268,$I$2:$I$5,0)),$BB$10:$BB$141)</f>
        <v>#REF!</v>
      </c>
      <c r="AA268" s="155" t="e">
        <f>WORKDAY(#REF!,-INDEX(#REF!,MATCH($I268,$I$2:$I$5,0)),$BB$10:$BB$141)</f>
        <v>#REF!</v>
      </c>
      <c r="AB268" s="155">
        <f>WORKDAY(AG268,0,'[35]Equipment List and MR List (3)'!$A$2:$A$80)</f>
        <v>0</v>
      </c>
      <c r="AC268" s="501" t="s">
        <v>4859</v>
      </c>
      <c r="AD268" s="87">
        <v>7</v>
      </c>
      <c r="AE268" s="495">
        <v>100</v>
      </c>
      <c r="AF268" s="492" t="e">
        <f>AB269</f>
        <v>#REF!</v>
      </c>
      <c r="AG268" s="489"/>
      <c r="AH268" s="88"/>
      <c r="AI268" s="89"/>
      <c r="AJ268" s="486" t="e">
        <f>AG268-AF268</f>
        <v>#REF!</v>
      </c>
      <c r="AK268" s="131"/>
      <c r="AL268" s="132"/>
      <c r="AM268" s="133">
        <f t="shared" ref="AM268:AW268" si="315">IF(ISERROR(LOOKUP(AM$6,$S268:$AB268,$S$9:$AB$9)),0,(LOOKUP(AM$6,$S268:$AB268,$S$9:$AB$9)))</f>
        <v>0.95</v>
      </c>
      <c r="AN268" s="134">
        <f t="shared" si="315"/>
        <v>0.95</v>
      </c>
      <c r="AO268" s="134">
        <f t="shared" si="315"/>
        <v>0.95</v>
      </c>
      <c r="AP268" s="134">
        <f t="shared" si="315"/>
        <v>0.95</v>
      </c>
      <c r="AQ268" s="134">
        <f t="shared" si="315"/>
        <v>0.95</v>
      </c>
      <c r="AR268" s="134">
        <f t="shared" si="315"/>
        <v>0.95</v>
      </c>
      <c r="AS268" s="134">
        <f t="shared" si="315"/>
        <v>0.95</v>
      </c>
      <c r="AT268" s="134">
        <f t="shared" si="315"/>
        <v>0.95</v>
      </c>
      <c r="AU268" s="134">
        <f t="shared" si="315"/>
        <v>0.95</v>
      </c>
      <c r="AV268" s="134">
        <f t="shared" si="315"/>
        <v>0.95</v>
      </c>
      <c r="AW268" s="134">
        <f t="shared" ca="1" si="315"/>
        <v>0.95</v>
      </c>
      <c r="BB268" s="135"/>
    </row>
    <row r="269" spans="1:54" s="21" customFormat="1" ht="18" customHeight="1">
      <c r="A269" s="514"/>
      <c r="B269" s="156"/>
      <c r="C269" s="508"/>
      <c r="D269" s="96" t="str">
        <f>D268</f>
        <v>PIP</v>
      </c>
      <c r="E269" s="136" t="str">
        <f>E268</f>
        <v>RFQ-054</v>
      </c>
      <c r="F269" s="137" t="str">
        <f>F268</f>
        <v>N</v>
      </c>
      <c r="G269" s="159"/>
      <c r="H269" s="162" t="str">
        <f>H268</f>
        <v>SEAMLESS CS PIPE</v>
      </c>
      <c r="I269" s="136" t="str">
        <f>I268</f>
        <v>LD</v>
      </c>
      <c r="J269" s="137"/>
      <c r="K269" s="138"/>
      <c r="L269" s="138">
        <f>M270</f>
        <v>1E-3</v>
      </c>
      <c r="M269" s="138"/>
      <c r="N269" s="136"/>
      <c r="O269" s="136"/>
      <c r="P269" s="136"/>
      <c r="Q269" s="139" t="s">
        <v>4860</v>
      </c>
      <c r="R269" s="139"/>
      <c r="S269" s="140" t="e">
        <f>S268</f>
        <v>#REF!</v>
      </c>
      <c r="T269" s="141" t="e">
        <f>T268</f>
        <v>#REF!</v>
      </c>
      <c r="U269" s="141" t="e">
        <f>WORKDAY(IF(T270="",T269,T270),INDEX(U$2:U$5,MATCH($I268,$I$2:$I$5,0)),$BB$10:$BB$141)</f>
        <v>#REF!</v>
      </c>
      <c r="V269" s="141" t="e">
        <f>WORKDAY(IF(U270="",U269,U270),INDEX(V$2:V$5,MATCH($I268,$I$2:$I$5,0)),$BB$10:$BB$141)</f>
        <v>#REF!</v>
      </c>
      <c r="W269" s="141" t="e">
        <f>WORKDAY(IF(V270="",V269,V270),INDEX(W$2:W$5,MATCH($I268,$I$2:$I$5,0)),$BB$10:$BB$141)</f>
        <v>#REF!</v>
      </c>
      <c r="X269" s="141" t="e">
        <f>WORKDAY(IF(#REF!="",#REF!,#REF!),INDEX(X$2:X$5,MATCH($I268,$I$2:$I$5,0)),$BB$10:$BB$141)</f>
        <v>#REF!</v>
      </c>
      <c r="Y269" s="141" t="e">
        <f>WORKDAY(IF(X270="",X269,X270),INDEX(Y$2:Y$5,MATCH($I268,$I$2:$I$5,0)),$BB$10:$BB$141)</f>
        <v>#REF!</v>
      </c>
      <c r="Z269" s="141" t="e">
        <f>WORKDAY(IF(Y270="",Y269,Y270),INDEX(Z$2:Z$5,MATCH($I268,$I$2:$I$5,0)),$BB$10:$BB$141)</f>
        <v>#REF!</v>
      </c>
      <c r="AA269" s="141" t="e">
        <f>WORKDAY(IF(Z270="",Z269,Z270),INDEX(AA$2:AA$5,MATCH($I268,$I$2:$I$5,0)),$BB$10:$BB$141)</f>
        <v>#REF!</v>
      </c>
      <c r="AB269" s="142" t="e">
        <f>AE268+#REF!</f>
        <v>#REF!</v>
      </c>
      <c r="AC269" s="502"/>
      <c r="AD269" s="105"/>
      <c r="AE269" s="496"/>
      <c r="AF269" s="493"/>
      <c r="AG269" s="490"/>
      <c r="AH269" s="106"/>
      <c r="AI269" s="107"/>
      <c r="AJ269" s="487"/>
      <c r="AK269" s="143"/>
      <c r="AL269" s="144"/>
      <c r="AM269" s="133">
        <f t="shared" ref="AM269:AW269" si="316">IF(ISERROR(LOOKUP(AM$6,$S269:$AB269,$S$9:$AB$9)),0,(LOOKUP(AM$6,$S269:$AB269,$S$9:$AB$9)))</f>
        <v>0</v>
      </c>
      <c r="AN269" s="134">
        <f t="shared" si="316"/>
        <v>0</v>
      </c>
      <c r="AO269" s="134">
        <f t="shared" si="316"/>
        <v>0</v>
      </c>
      <c r="AP269" s="134">
        <f t="shared" si="316"/>
        <v>0</v>
      </c>
      <c r="AQ269" s="134">
        <f t="shared" si="316"/>
        <v>0</v>
      </c>
      <c r="AR269" s="134">
        <f t="shared" si="316"/>
        <v>0</v>
      </c>
      <c r="AS269" s="134">
        <f t="shared" si="316"/>
        <v>0</v>
      </c>
      <c r="AT269" s="134">
        <f t="shared" si="316"/>
        <v>0</v>
      </c>
      <c r="AU269" s="134">
        <f t="shared" si="316"/>
        <v>0</v>
      </c>
      <c r="AV269" s="134">
        <f t="shared" si="316"/>
        <v>0</v>
      </c>
      <c r="AW269" s="134">
        <f t="shared" ca="1" si="316"/>
        <v>0</v>
      </c>
      <c r="BB269" s="135"/>
    </row>
    <row r="270" spans="1:54" s="21" customFormat="1" ht="18" customHeight="1">
      <c r="A270" s="515"/>
      <c r="B270" s="157"/>
      <c r="C270" s="509"/>
      <c r="D270" s="111" t="str">
        <f>D268</f>
        <v>PIP</v>
      </c>
      <c r="E270" s="145" t="str">
        <f>E268</f>
        <v>RFQ-054</v>
      </c>
      <c r="F270" s="146" t="str">
        <f>F268</f>
        <v>N</v>
      </c>
      <c r="G270" s="160"/>
      <c r="H270" s="163" t="str">
        <f>H268</f>
        <v>SEAMLESS CS PIPE</v>
      </c>
      <c r="I270" s="145" t="str">
        <f>I268</f>
        <v>LD</v>
      </c>
      <c r="J270" s="146"/>
      <c r="K270" s="147"/>
      <c r="L270" s="147"/>
      <c r="M270" s="147">
        <v>1E-3</v>
      </c>
      <c r="N270" s="145"/>
      <c r="O270" s="145"/>
      <c r="P270" s="145"/>
      <c r="Q270" s="148" t="s">
        <v>4861</v>
      </c>
      <c r="R270" s="148"/>
      <c r="S270" s="149"/>
      <c r="T270" s="149"/>
      <c r="U270" s="149"/>
      <c r="V270" s="149"/>
      <c r="W270" s="149"/>
      <c r="X270" s="149"/>
      <c r="Y270" s="149"/>
      <c r="Z270" s="149"/>
      <c r="AA270" s="149"/>
      <c r="AB270" s="149"/>
      <c r="AC270" s="503"/>
      <c r="AD270" s="116"/>
      <c r="AE270" s="497"/>
      <c r="AF270" s="494"/>
      <c r="AG270" s="491"/>
      <c r="AH270" s="117"/>
      <c r="AI270" s="118"/>
      <c r="AJ270" s="488"/>
      <c r="AK270" s="150"/>
      <c r="AL270" s="151"/>
      <c r="AM270" s="152">
        <f t="shared" ref="AM270:AW270" si="317">IF(ISERROR(LOOKUP(AM$6,$S270:$AB270,$S$9:$AB$9)),0,(LOOKUP(AM$6,$S270:$AB270,$S$9:$AB$9)))</f>
        <v>0</v>
      </c>
      <c r="AN270" s="153">
        <f t="shared" si="317"/>
        <v>0</v>
      </c>
      <c r="AO270" s="153">
        <f t="shared" si="317"/>
        <v>0</v>
      </c>
      <c r="AP270" s="153">
        <f t="shared" si="317"/>
        <v>0</v>
      </c>
      <c r="AQ270" s="153">
        <f t="shared" si="317"/>
        <v>0</v>
      </c>
      <c r="AR270" s="153">
        <f t="shared" si="317"/>
        <v>0</v>
      </c>
      <c r="AS270" s="153">
        <f t="shared" si="317"/>
        <v>0</v>
      </c>
      <c r="AT270" s="153">
        <f t="shared" si="317"/>
        <v>0</v>
      </c>
      <c r="AU270" s="153">
        <f t="shared" si="317"/>
        <v>0</v>
      </c>
      <c r="AV270" s="153">
        <f t="shared" si="317"/>
        <v>0</v>
      </c>
      <c r="AW270" s="153">
        <f t="shared" ca="1" si="317"/>
        <v>0</v>
      </c>
      <c r="BB270" s="135"/>
    </row>
    <row r="271" spans="1:54" s="21" customFormat="1" ht="18" customHeight="1">
      <c r="A271" s="513">
        <f>A268+1</f>
        <v>88</v>
      </c>
      <c r="B271" s="154" t="s">
        <v>4920</v>
      </c>
      <c r="C271" s="507" t="s">
        <v>4855</v>
      </c>
      <c r="D271" s="80" t="s">
        <v>4867</v>
      </c>
      <c r="E271" s="127" t="s">
        <v>4917</v>
      </c>
      <c r="F271" s="128" t="s">
        <v>75</v>
      </c>
      <c r="G271" s="158"/>
      <c r="H271" s="161" t="s">
        <v>4950</v>
      </c>
      <c r="I271" s="127" t="s">
        <v>9</v>
      </c>
      <c r="J271" s="128"/>
      <c r="K271" s="129">
        <f>M273</f>
        <v>1E-3</v>
      </c>
      <c r="L271" s="129"/>
      <c r="M271" s="129"/>
      <c r="N271" s="127"/>
      <c r="O271" s="127"/>
      <c r="P271" s="127"/>
      <c r="Q271" s="130" t="s">
        <v>4858</v>
      </c>
      <c r="R271" s="130"/>
      <c r="S271" s="155" t="e">
        <f>WORKDAY(T271,-INDEX(T$2:T$5,MATCH($I271,$I$2:$I$5,0)),'[35]Equipment List and MR List (3)'!$A$2:$A$80)</f>
        <v>#REF!</v>
      </c>
      <c r="T271" s="155" t="e">
        <f>WORKDAY(U271,-INDEX(U$2:U$5,MATCH($I271,$I$2:$I$5,0)),$BB$10:$BB$141)</f>
        <v>#REF!</v>
      </c>
      <c r="U271" s="155" t="e">
        <f>WORKDAY(V271,-INDEX(V$2:V$5,MATCH($I271,$I$2:$I$5,0)),$BB$10:$BB$141)</f>
        <v>#REF!</v>
      </c>
      <c r="V271" s="155" t="e">
        <f>WORKDAY(W271,-INDEX(W$2:W$5,MATCH($I271,$I$2:$I$5,0)),$BB$10:$BB$141)</f>
        <v>#REF!</v>
      </c>
      <c r="W271" s="155" t="e">
        <f>WORKDAY(#REF!,-INDEX(#REF!,MATCH($I271,$I$2:$I$5,0)),$BB$10:$BB$141)</f>
        <v>#REF!</v>
      </c>
      <c r="X271" s="155" t="e">
        <f>WORKDAY(Y271,-INDEX(Y$2:Y$5,MATCH($I271,$I$2:$I$5,0)),$BB$10:$BB$141)</f>
        <v>#REF!</v>
      </c>
      <c r="Y271" s="155" t="e">
        <f>WORKDAY(Z271,-INDEX(Z$2:Z$5,MATCH($I271,$I$2:$I$5,0)),$BB$10:$BB$141)</f>
        <v>#REF!</v>
      </c>
      <c r="Z271" s="155" t="e">
        <f>WORKDAY(AA271,-INDEX(AA$2:AA$5,MATCH($I271,$I$2:$I$5,0)),$BB$10:$BB$141)</f>
        <v>#REF!</v>
      </c>
      <c r="AA271" s="155" t="e">
        <f>WORKDAY(#REF!,-INDEX(#REF!,MATCH($I271,$I$2:$I$5,0)),$BB$10:$BB$141)</f>
        <v>#REF!</v>
      </c>
      <c r="AB271" s="155">
        <f>WORKDAY(AG271,0,'[35]Equipment List and MR List (3)'!$A$2:$A$80)</f>
        <v>0</v>
      </c>
      <c r="AC271" s="501" t="s">
        <v>4859</v>
      </c>
      <c r="AD271" s="87">
        <v>7</v>
      </c>
      <c r="AE271" s="495">
        <v>100</v>
      </c>
      <c r="AF271" s="492" t="e">
        <f>AB272</f>
        <v>#REF!</v>
      </c>
      <c r="AG271" s="489"/>
      <c r="AH271" s="88"/>
      <c r="AI271" s="89"/>
      <c r="AJ271" s="486" t="e">
        <f>AG271-AF271</f>
        <v>#REF!</v>
      </c>
      <c r="AK271" s="131"/>
      <c r="AL271" s="132"/>
      <c r="AM271" s="133">
        <f t="shared" ref="AM271:AW271" si="318">IF(ISERROR(LOOKUP(AM$6,$S271:$AB271,$S$9:$AB$9)),0,(LOOKUP(AM$6,$S271:$AB271,$S$9:$AB$9)))</f>
        <v>0.95</v>
      </c>
      <c r="AN271" s="134">
        <f t="shared" si="318"/>
        <v>0.95</v>
      </c>
      <c r="AO271" s="134">
        <f t="shared" si="318"/>
        <v>0.95</v>
      </c>
      <c r="AP271" s="134">
        <f t="shared" si="318"/>
        <v>0.95</v>
      </c>
      <c r="AQ271" s="134">
        <f t="shared" si="318"/>
        <v>0.95</v>
      </c>
      <c r="AR271" s="134">
        <f t="shared" si="318"/>
        <v>0.95</v>
      </c>
      <c r="AS271" s="134">
        <f t="shared" si="318"/>
        <v>0.95</v>
      </c>
      <c r="AT271" s="134">
        <f t="shared" si="318"/>
        <v>0.95</v>
      </c>
      <c r="AU271" s="134">
        <f t="shared" si="318"/>
        <v>0.95</v>
      </c>
      <c r="AV271" s="134">
        <f t="shared" si="318"/>
        <v>0.95</v>
      </c>
      <c r="AW271" s="134">
        <f t="shared" ca="1" si="318"/>
        <v>0.95</v>
      </c>
      <c r="BB271" s="135"/>
    </row>
    <row r="272" spans="1:54" s="21" customFormat="1" ht="18" customHeight="1">
      <c r="A272" s="514"/>
      <c r="B272" s="156"/>
      <c r="C272" s="508"/>
      <c r="D272" s="96" t="str">
        <f>D271</f>
        <v>PIP</v>
      </c>
      <c r="E272" s="136" t="str">
        <f>E271</f>
        <v>RFQ-054</v>
      </c>
      <c r="F272" s="137" t="str">
        <f>F271</f>
        <v>N</v>
      </c>
      <c r="G272" s="159"/>
      <c r="H272" s="162" t="str">
        <f>H271</f>
        <v>SEAMLESS SS &amp; DSS STEEL</v>
      </c>
      <c r="I272" s="136" t="str">
        <f>I271</f>
        <v>LD</v>
      </c>
      <c r="J272" s="137"/>
      <c r="K272" s="138"/>
      <c r="L272" s="138">
        <f>M273</f>
        <v>1E-3</v>
      </c>
      <c r="M272" s="138"/>
      <c r="N272" s="136"/>
      <c r="O272" s="136"/>
      <c r="P272" s="136"/>
      <c r="Q272" s="139" t="s">
        <v>4860</v>
      </c>
      <c r="R272" s="139"/>
      <c r="S272" s="140" t="e">
        <f>S271</f>
        <v>#REF!</v>
      </c>
      <c r="T272" s="141" t="e">
        <f>T271</f>
        <v>#REF!</v>
      </c>
      <c r="U272" s="141" t="e">
        <f>WORKDAY(IF(T273="",T272,T273),INDEX(U$2:U$5,MATCH($I271,$I$2:$I$5,0)),$BB$10:$BB$141)</f>
        <v>#REF!</v>
      </c>
      <c r="V272" s="141" t="e">
        <f>WORKDAY(IF(U273="",U272,U273),INDEX(V$2:V$5,MATCH($I271,$I$2:$I$5,0)),$BB$10:$BB$141)</f>
        <v>#REF!</v>
      </c>
      <c r="W272" s="141" t="e">
        <f>WORKDAY(IF(V273="",V272,V273),INDEX(W$2:W$5,MATCH($I271,$I$2:$I$5,0)),$BB$10:$BB$141)</f>
        <v>#REF!</v>
      </c>
      <c r="X272" s="141" t="e">
        <f>WORKDAY(IF(#REF!="",#REF!,#REF!),INDEX(X$2:X$5,MATCH($I271,$I$2:$I$5,0)),$BB$10:$BB$141)</f>
        <v>#REF!</v>
      </c>
      <c r="Y272" s="141" t="e">
        <f>WORKDAY(IF(X273="",X272,X273),INDEX(Y$2:Y$5,MATCH($I271,$I$2:$I$5,0)),$BB$10:$BB$141)</f>
        <v>#REF!</v>
      </c>
      <c r="Z272" s="141" t="e">
        <f>WORKDAY(IF(Y273="",Y272,Y273),INDEX(Z$2:Z$5,MATCH($I271,$I$2:$I$5,0)),$BB$10:$BB$141)</f>
        <v>#REF!</v>
      </c>
      <c r="AA272" s="141" t="e">
        <f>WORKDAY(IF(Z273="",Z272,Z273),INDEX(AA$2:AA$5,MATCH($I271,$I$2:$I$5,0)),$BB$10:$BB$141)</f>
        <v>#REF!</v>
      </c>
      <c r="AB272" s="142" t="e">
        <f>AE271+#REF!</f>
        <v>#REF!</v>
      </c>
      <c r="AC272" s="502"/>
      <c r="AD272" s="105"/>
      <c r="AE272" s="496"/>
      <c r="AF272" s="493"/>
      <c r="AG272" s="490"/>
      <c r="AH272" s="106"/>
      <c r="AI272" s="107"/>
      <c r="AJ272" s="487"/>
      <c r="AK272" s="143"/>
      <c r="AL272" s="144"/>
      <c r="AM272" s="133">
        <f t="shared" ref="AM272:AW272" si="319">IF(ISERROR(LOOKUP(AM$6,$S272:$AB272,$S$9:$AB$9)),0,(LOOKUP(AM$6,$S272:$AB272,$S$9:$AB$9)))</f>
        <v>0</v>
      </c>
      <c r="AN272" s="134">
        <f t="shared" si="319"/>
        <v>0</v>
      </c>
      <c r="AO272" s="134">
        <f t="shared" si="319"/>
        <v>0</v>
      </c>
      <c r="AP272" s="134">
        <f t="shared" si="319"/>
        <v>0</v>
      </c>
      <c r="AQ272" s="134">
        <f t="shared" si="319"/>
        <v>0</v>
      </c>
      <c r="AR272" s="134">
        <f t="shared" si="319"/>
        <v>0</v>
      </c>
      <c r="AS272" s="134">
        <f t="shared" si="319"/>
        <v>0</v>
      </c>
      <c r="AT272" s="134">
        <f t="shared" si="319"/>
        <v>0</v>
      </c>
      <c r="AU272" s="134">
        <f t="shared" si="319"/>
        <v>0</v>
      </c>
      <c r="AV272" s="134">
        <f t="shared" si="319"/>
        <v>0</v>
      </c>
      <c r="AW272" s="134">
        <f t="shared" ca="1" si="319"/>
        <v>0</v>
      </c>
      <c r="BB272" s="135"/>
    </row>
    <row r="273" spans="1:54" s="21" customFormat="1" ht="18" customHeight="1">
      <c r="A273" s="515"/>
      <c r="B273" s="157"/>
      <c r="C273" s="509"/>
      <c r="D273" s="111" t="str">
        <f>D271</f>
        <v>PIP</v>
      </c>
      <c r="E273" s="145" t="str">
        <f>E271</f>
        <v>RFQ-054</v>
      </c>
      <c r="F273" s="146" t="str">
        <f>F271</f>
        <v>N</v>
      </c>
      <c r="G273" s="160"/>
      <c r="H273" s="163" t="str">
        <f>H271</f>
        <v>SEAMLESS SS &amp; DSS STEEL</v>
      </c>
      <c r="I273" s="145" t="str">
        <f>I271</f>
        <v>LD</v>
      </c>
      <c r="J273" s="146"/>
      <c r="K273" s="147"/>
      <c r="L273" s="147"/>
      <c r="M273" s="147">
        <v>1E-3</v>
      </c>
      <c r="N273" s="145"/>
      <c r="O273" s="145"/>
      <c r="P273" s="145"/>
      <c r="Q273" s="148" t="s">
        <v>4861</v>
      </c>
      <c r="R273" s="148"/>
      <c r="S273" s="149"/>
      <c r="T273" s="149"/>
      <c r="U273" s="149"/>
      <c r="V273" s="149"/>
      <c r="W273" s="149"/>
      <c r="X273" s="149"/>
      <c r="Y273" s="149"/>
      <c r="Z273" s="149"/>
      <c r="AA273" s="149"/>
      <c r="AB273" s="149"/>
      <c r="AC273" s="503"/>
      <c r="AD273" s="116"/>
      <c r="AE273" s="497"/>
      <c r="AF273" s="494"/>
      <c r="AG273" s="491"/>
      <c r="AH273" s="117"/>
      <c r="AI273" s="118"/>
      <c r="AJ273" s="488"/>
      <c r="AK273" s="150"/>
      <c r="AL273" s="151"/>
      <c r="AM273" s="152">
        <f t="shared" ref="AM273:AW273" si="320">IF(ISERROR(LOOKUP(AM$6,$S273:$AB273,$S$9:$AB$9)),0,(LOOKUP(AM$6,$S273:$AB273,$S$9:$AB$9)))</f>
        <v>0</v>
      </c>
      <c r="AN273" s="153">
        <f t="shared" si="320"/>
        <v>0</v>
      </c>
      <c r="AO273" s="153">
        <f t="shared" si="320"/>
        <v>0</v>
      </c>
      <c r="AP273" s="153">
        <f t="shared" si="320"/>
        <v>0</v>
      </c>
      <c r="AQ273" s="153">
        <f t="shared" si="320"/>
        <v>0</v>
      </c>
      <c r="AR273" s="153">
        <f t="shared" si="320"/>
        <v>0</v>
      </c>
      <c r="AS273" s="153">
        <f t="shared" si="320"/>
        <v>0</v>
      </c>
      <c r="AT273" s="153">
        <f t="shared" si="320"/>
        <v>0</v>
      </c>
      <c r="AU273" s="153">
        <f t="shared" si="320"/>
        <v>0</v>
      </c>
      <c r="AV273" s="153">
        <f t="shared" si="320"/>
        <v>0</v>
      </c>
      <c r="AW273" s="153">
        <f t="shared" ca="1" si="320"/>
        <v>0</v>
      </c>
      <c r="BB273" s="135"/>
    </row>
    <row r="274" spans="1:54" s="21" customFormat="1" ht="18" customHeight="1">
      <c r="A274" s="513">
        <f>A271+1</f>
        <v>89</v>
      </c>
      <c r="B274" s="154" t="s">
        <v>4920</v>
      </c>
      <c r="C274" s="507" t="s">
        <v>4855</v>
      </c>
      <c r="D274" s="80" t="s">
        <v>4867</v>
      </c>
      <c r="E274" s="127" t="s">
        <v>4917</v>
      </c>
      <c r="F274" s="128" t="s">
        <v>75</v>
      </c>
      <c r="G274" s="158"/>
      <c r="H274" s="161" t="s">
        <v>4951</v>
      </c>
      <c r="I274" s="127" t="s">
        <v>9</v>
      </c>
      <c r="J274" s="128"/>
      <c r="K274" s="129">
        <f>M276</f>
        <v>1E-3</v>
      </c>
      <c r="L274" s="129"/>
      <c r="M274" s="129"/>
      <c r="N274" s="127"/>
      <c r="O274" s="127"/>
      <c r="P274" s="127"/>
      <c r="Q274" s="130" t="s">
        <v>4858</v>
      </c>
      <c r="R274" s="130"/>
      <c r="S274" s="155" t="e">
        <f>WORKDAY(T274,-INDEX(T$2:T$5,MATCH($I274,$I$2:$I$5,0)),'[35]Equipment List and MR List (3)'!$A$2:$A$80)</f>
        <v>#REF!</v>
      </c>
      <c r="T274" s="155" t="e">
        <f>WORKDAY(U274,-INDEX(U$2:U$5,MATCH($I274,$I$2:$I$5,0)),$BB$10:$BB$141)</f>
        <v>#REF!</v>
      </c>
      <c r="U274" s="155" t="e">
        <f>WORKDAY(V274,-INDEX(V$2:V$5,MATCH($I274,$I$2:$I$5,0)),$BB$10:$BB$141)</f>
        <v>#REF!</v>
      </c>
      <c r="V274" s="155" t="e">
        <f>WORKDAY(W274,-INDEX(W$2:W$5,MATCH($I274,$I$2:$I$5,0)),$BB$10:$BB$141)</f>
        <v>#REF!</v>
      </c>
      <c r="W274" s="155" t="e">
        <f>WORKDAY(#REF!,-INDEX(#REF!,MATCH($I274,$I$2:$I$5,0)),$BB$10:$BB$141)</f>
        <v>#REF!</v>
      </c>
      <c r="X274" s="155" t="e">
        <f>WORKDAY(Y274,-INDEX(Y$2:Y$5,MATCH($I274,$I$2:$I$5,0)),$BB$10:$BB$141)</f>
        <v>#REF!</v>
      </c>
      <c r="Y274" s="155" t="e">
        <f>WORKDAY(Z274,-INDEX(Z$2:Z$5,MATCH($I274,$I$2:$I$5,0)),$BB$10:$BB$141)</f>
        <v>#REF!</v>
      </c>
      <c r="Z274" s="155" t="e">
        <f>WORKDAY(AA274,-INDEX(AA$2:AA$5,MATCH($I274,$I$2:$I$5,0)),$BB$10:$BB$141)</f>
        <v>#REF!</v>
      </c>
      <c r="AA274" s="155" t="e">
        <f>WORKDAY(#REF!,-INDEX(#REF!,MATCH($I274,$I$2:$I$5,0)),$BB$10:$BB$141)</f>
        <v>#REF!</v>
      </c>
      <c r="AB274" s="155">
        <f>WORKDAY(AG274,0,'[35]Equipment List and MR List (3)'!$A$2:$A$80)</f>
        <v>0</v>
      </c>
      <c r="AC274" s="501" t="s">
        <v>4859</v>
      </c>
      <c r="AD274" s="87">
        <v>7</v>
      </c>
      <c r="AE274" s="495">
        <v>121</v>
      </c>
      <c r="AF274" s="492" t="e">
        <f>AB275</f>
        <v>#REF!</v>
      </c>
      <c r="AG274" s="489"/>
      <c r="AH274" s="88"/>
      <c r="AI274" s="89"/>
      <c r="AJ274" s="486" t="e">
        <f>AG274-AF274</f>
        <v>#REF!</v>
      </c>
      <c r="AK274" s="131"/>
      <c r="AL274" s="132"/>
      <c r="AM274" s="133">
        <f t="shared" ref="AM274:AW274" si="321">IF(ISERROR(LOOKUP(AM$6,$S274:$AB274,$S$9:$AB$9)),0,(LOOKUP(AM$6,$S274:$AB274,$S$9:$AB$9)))</f>
        <v>0.95</v>
      </c>
      <c r="AN274" s="134">
        <f t="shared" si="321"/>
        <v>0.95</v>
      </c>
      <c r="AO274" s="134">
        <f t="shared" si="321"/>
        <v>0.95</v>
      </c>
      <c r="AP274" s="134">
        <f t="shared" si="321"/>
        <v>0.95</v>
      </c>
      <c r="AQ274" s="134">
        <f t="shared" si="321"/>
        <v>0.95</v>
      </c>
      <c r="AR274" s="134">
        <f t="shared" si="321"/>
        <v>0.95</v>
      </c>
      <c r="AS274" s="134">
        <f t="shared" si="321"/>
        <v>0.95</v>
      </c>
      <c r="AT274" s="134">
        <f t="shared" si="321"/>
        <v>0.95</v>
      </c>
      <c r="AU274" s="134">
        <f t="shared" si="321"/>
        <v>0.95</v>
      </c>
      <c r="AV274" s="134">
        <f t="shared" si="321"/>
        <v>0.95</v>
      </c>
      <c r="AW274" s="134">
        <f t="shared" ca="1" si="321"/>
        <v>0.95</v>
      </c>
      <c r="BB274" s="135"/>
    </row>
    <row r="275" spans="1:54" s="21" customFormat="1" ht="18" customHeight="1">
      <c r="A275" s="514"/>
      <c r="B275" s="156"/>
      <c r="C275" s="508"/>
      <c r="D275" s="96" t="str">
        <f>D274</f>
        <v>PIP</v>
      </c>
      <c r="E275" s="136" t="str">
        <f>E274</f>
        <v>RFQ-054</v>
      </c>
      <c r="F275" s="137" t="str">
        <f>F274</f>
        <v>N</v>
      </c>
      <c r="G275" s="159"/>
      <c r="H275" s="162" t="str">
        <f>H274</f>
        <v>CLAMP Type Connectors</v>
      </c>
      <c r="I275" s="136" t="str">
        <f>I274</f>
        <v>LD</v>
      </c>
      <c r="J275" s="137"/>
      <c r="K275" s="138"/>
      <c r="L275" s="138">
        <f>M276</f>
        <v>1E-3</v>
      </c>
      <c r="M275" s="138"/>
      <c r="N275" s="136"/>
      <c r="O275" s="136"/>
      <c r="P275" s="136"/>
      <c r="Q275" s="139" t="s">
        <v>4860</v>
      </c>
      <c r="R275" s="139"/>
      <c r="S275" s="140" t="e">
        <f>S274</f>
        <v>#REF!</v>
      </c>
      <c r="T275" s="141" t="e">
        <f>T274</f>
        <v>#REF!</v>
      </c>
      <c r="U275" s="141" t="e">
        <f>WORKDAY(IF(T276="",T275,T276),INDEX(U$2:U$5,MATCH($I274,$I$2:$I$5,0)),$BB$10:$BB$141)</f>
        <v>#REF!</v>
      </c>
      <c r="V275" s="141" t="e">
        <f>WORKDAY(IF(U276="",U275,U276),INDEX(V$2:V$5,MATCH($I274,$I$2:$I$5,0)),$BB$10:$BB$141)</f>
        <v>#REF!</v>
      </c>
      <c r="W275" s="141" t="e">
        <f>WORKDAY(IF(V276="",V275,V276),INDEX(W$2:W$5,MATCH($I274,$I$2:$I$5,0)),$BB$10:$BB$141)</f>
        <v>#REF!</v>
      </c>
      <c r="X275" s="141" t="e">
        <f>WORKDAY(IF(#REF!="",#REF!,#REF!),INDEX(X$2:X$5,MATCH($I274,$I$2:$I$5,0)),$BB$10:$BB$141)</f>
        <v>#REF!</v>
      </c>
      <c r="Y275" s="141" t="e">
        <f>WORKDAY(IF(X276="",X275,X276),INDEX(Y$2:Y$5,MATCH($I274,$I$2:$I$5,0)),$BB$10:$BB$141)</f>
        <v>#REF!</v>
      </c>
      <c r="Z275" s="141" t="e">
        <f>WORKDAY(IF(Y276="",Y275,Y276),INDEX(Z$2:Z$5,MATCH($I274,$I$2:$I$5,0)),$BB$10:$BB$141)</f>
        <v>#REF!</v>
      </c>
      <c r="AA275" s="141" t="e">
        <f>WORKDAY(IF(Z276="",Z275,Z276),INDEX(AA$2:AA$5,MATCH($I274,$I$2:$I$5,0)),$BB$10:$BB$141)</f>
        <v>#REF!</v>
      </c>
      <c r="AB275" s="142" t="e">
        <f>AE274+#REF!</f>
        <v>#REF!</v>
      </c>
      <c r="AC275" s="502"/>
      <c r="AD275" s="105"/>
      <c r="AE275" s="496"/>
      <c r="AF275" s="493"/>
      <c r="AG275" s="490"/>
      <c r="AH275" s="106"/>
      <c r="AI275" s="107"/>
      <c r="AJ275" s="487"/>
      <c r="AK275" s="143"/>
      <c r="AL275" s="144"/>
      <c r="AM275" s="133">
        <f t="shared" ref="AM275:AW275" si="322">IF(ISERROR(LOOKUP(AM$6,$S275:$AB275,$S$9:$AB$9)),0,(LOOKUP(AM$6,$S275:$AB275,$S$9:$AB$9)))</f>
        <v>0</v>
      </c>
      <c r="AN275" s="134">
        <f t="shared" si="322"/>
        <v>0</v>
      </c>
      <c r="AO275" s="134">
        <f t="shared" si="322"/>
        <v>0</v>
      </c>
      <c r="AP275" s="134">
        <f t="shared" si="322"/>
        <v>0</v>
      </c>
      <c r="AQ275" s="134">
        <f t="shared" si="322"/>
        <v>0</v>
      </c>
      <c r="AR275" s="134">
        <f t="shared" si="322"/>
        <v>0</v>
      </c>
      <c r="AS275" s="134">
        <f t="shared" si="322"/>
        <v>0</v>
      </c>
      <c r="AT275" s="134">
        <f t="shared" si="322"/>
        <v>0</v>
      </c>
      <c r="AU275" s="134">
        <f t="shared" si="322"/>
        <v>0</v>
      </c>
      <c r="AV275" s="134">
        <f t="shared" si="322"/>
        <v>0</v>
      </c>
      <c r="AW275" s="134">
        <f t="shared" ca="1" si="322"/>
        <v>0</v>
      </c>
      <c r="BB275" s="135"/>
    </row>
    <row r="276" spans="1:54" s="21" customFormat="1" ht="18" customHeight="1">
      <c r="A276" s="515"/>
      <c r="B276" s="157"/>
      <c r="C276" s="509"/>
      <c r="D276" s="111" t="str">
        <f>D274</f>
        <v>PIP</v>
      </c>
      <c r="E276" s="145" t="str">
        <f>E274</f>
        <v>RFQ-054</v>
      </c>
      <c r="F276" s="146" t="str">
        <f>F274</f>
        <v>N</v>
      </c>
      <c r="G276" s="160"/>
      <c r="H276" s="163" t="str">
        <f>H274</f>
        <v>CLAMP Type Connectors</v>
      </c>
      <c r="I276" s="145" t="str">
        <f>I274</f>
        <v>LD</v>
      </c>
      <c r="J276" s="146"/>
      <c r="K276" s="147"/>
      <c r="L276" s="147"/>
      <c r="M276" s="147">
        <v>1E-3</v>
      </c>
      <c r="N276" s="145"/>
      <c r="O276" s="145"/>
      <c r="P276" s="145"/>
      <c r="Q276" s="148" t="s">
        <v>4861</v>
      </c>
      <c r="R276" s="148"/>
      <c r="S276" s="149"/>
      <c r="T276" s="149"/>
      <c r="U276" s="149"/>
      <c r="V276" s="149"/>
      <c r="W276" s="149"/>
      <c r="X276" s="149"/>
      <c r="Y276" s="149"/>
      <c r="Z276" s="149"/>
      <c r="AA276" s="149"/>
      <c r="AB276" s="149"/>
      <c r="AC276" s="503"/>
      <c r="AD276" s="116"/>
      <c r="AE276" s="497"/>
      <c r="AF276" s="494"/>
      <c r="AG276" s="491"/>
      <c r="AH276" s="117"/>
      <c r="AI276" s="118"/>
      <c r="AJ276" s="488"/>
      <c r="AK276" s="150"/>
      <c r="AL276" s="151"/>
      <c r="AM276" s="152">
        <f t="shared" ref="AM276:AW276" si="323">IF(ISERROR(LOOKUP(AM$6,$S276:$AB276,$S$9:$AB$9)),0,(LOOKUP(AM$6,$S276:$AB276,$S$9:$AB$9)))</f>
        <v>0</v>
      </c>
      <c r="AN276" s="153">
        <f t="shared" si="323"/>
        <v>0</v>
      </c>
      <c r="AO276" s="153">
        <f t="shared" si="323"/>
        <v>0</v>
      </c>
      <c r="AP276" s="153">
        <f t="shared" si="323"/>
        <v>0</v>
      </c>
      <c r="AQ276" s="153">
        <f t="shared" si="323"/>
        <v>0</v>
      </c>
      <c r="AR276" s="153">
        <f t="shared" si="323"/>
        <v>0</v>
      </c>
      <c r="AS276" s="153">
        <f t="shared" si="323"/>
        <v>0</v>
      </c>
      <c r="AT276" s="153">
        <f t="shared" si="323"/>
        <v>0</v>
      </c>
      <c r="AU276" s="153">
        <f t="shared" si="323"/>
        <v>0</v>
      </c>
      <c r="AV276" s="153">
        <f t="shared" si="323"/>
        <v>0</v>
      </c>
      <c r="AW276" s="153">
        <f t="shared" ca="1" si="323"/>
        <v>0</v>
      </c>
      <c r="BB276" s="135"/>
    </row>
    <row r="277" spans="1:54" s="21" customFormat="1" ht="18" customHeight="1">
      <c r="A277" s="513">
        <f>A274+1</f>
        <v>90</v>
      </c>
      <c r="B277" s="154" t="s">
        <v>4920</v>
      </c>
      <c r="C277" s="507" t="s">
        <v>4855</v>
      </c>
      <c r="D277" s="80" t="s">
        <v>4916</v>
      </c>
      <c r="E277" s="127" t="s">
        <v>4917</v>
      </c>
      <c r="F277" s="128" t="s">
        <v>75</v>
      </c>
      <c r="G277" s="158"/>
      <c r="H277" s="161" t="s">
        <v>4952</v>
      </c>
      <c r="I277" s="127" t="s">
        <v>9</v>
      </c>
      <c r="J277" s="128"/>
      <c r="K277" s="129">
        <f>M279</f>
        <v>1E-3</v>
      </c>
      <c r="L277" s="129"/>
      <c r="M277" s="129"/>
      <c r="N277" s="127"/>
      <c r="O277" s="127"/>
      <c r="P277" s="127"/>
      <c r="Q277" s="130" t="s">
        <v>4858</v>
      </c>
      <c r="R277" s="130"/>
      <c r="S277" s="155" t="e">
        <f>WORKDAY(T277,-INDEX(T$2:T$5,MATCH($I277,$I$2:$I$5,0)),'[35]Equipment List and MR List (3)'!$A$2:$A$80)</f>
        <v>#REF!</v>
      </c>
      <c r="T277" s="155" t="e">
        <f>WORKDAY(U277,-INDEX(U$2:U$5,MATCH($I277,$I$2:$I$5,0)),$BB$10:$BB$141)</f>
        <v>#REF!</v>
      </c>
      <c r="U277" s="155" t="e">
        <f>WORKDAY(V277,-INDEX(V$2:V$5,MATCH($I277,$I$2:$I$5,0)),$BB$10:$BB$141)</f>
        <v>#REF!</v>
      </c>
      <c r="V277" s="155" t="e">
        <f>WORKDAY(W277,-INDEX(W$2:W$5,MATCH($I277,$I$2:$I$5,0)),$BB$10:$BB$141)</f>
        <v>#REF!</v>
      </c>
      <c r="W277" s="155" t="e">
        <f>WORKDAY(#REF!,-INDEX(#REF!,MATCH($I277,$I$2:$I$5,0)),$BB$10:$BB$141)</f>
        <v>#REF!</v>
      </c>
      <c r="X277" s="155" t="e">
        <f>WORKDAY(Y277,-INDEX(Y$2:Y$5,MATCH($I277,$I$2:$I$5,0)),$BB$10:$BB$141)</f>
        <v>#REF!</v>
      </c>
      <c r="Y277" s="155" t="e">
        <f>WORKDAY(Z277,-INDEX(Z$2:Z$5,MATCH($I277,$I$2:$I$5,0)),$BB$10:$BB$141)</f>
        <v>#REF!</v>
      </c>
      <c r="Z277" s="155" t="e">
        <f>WORKDAY(AA277,-INDEX(AA$2:AA$5,MATCH($I277,$I$2:$I$5,0)),$BB$10:$BB$141)</f>
        <v>#REF!</v>
      </c>
      <c r="AA277" s="155" t="e">
        <f>WORKDAY(#REF!,-INDEX(#REF!,MATCH($I277,$I$2:$I$5,0)),$BB$10:$BB$141)</f>
        <v>#REF!</v>
      </c>
      <c r="AB277" s="155">
        <f>WORKDAY(AG277,0,'[35]Equipment List and MR List (3)'!$A$2:$A$80)</f>
        <v>0</v>
      </c>
      <c r="AC277" s="501" t="s">
        <v>4859</v>
      </c>
      <c r="AD277" s="87">
        <v>7</v>
      </c>
      <c r="AE277" s="495">
        <v>75</v>
      </c>
      <c r="AF277" s="492" t="e">
        <f>AB278</f>
        <v>#REF!</v>
      </c>
      <c r="AG277" s="489"/>
      <c r="AH277" s="88"/>
      <c r="AI277" s="89"/>
      <c r="AJ277" s="486" t="e">
        <f>AG277-AF277</f>
        <v>#REF!</v>
      </c>
      <c r="AK277" s="131"/>
      <c r="AL277" s="132"/>
      <c r="AM277" s="133">
        <f t="shared" ref="AM277:AW277" si="324">IF(ISERROR(LOOKUP(AM$6,$S277:$AB277,$S$9:$AB$9)),0,(LOOKUP(AM$6,$S277:$AB277,$S$9:$AB$9)))</f>
        <v>0.95</v>
      </c>
      <c r="AN277" s="134">
        <f t="shared" si="324"/>
        <v>0.95</v>
      </c>
      <c r="AO277" s="134">
        <f t="shared" si="324"/>
        <v>0.95</v>
      </c>
      <c r="AP277" s="134">
        <f t="shared" si="324"/>
        <v>0.95</v>
      </c>
      <c r="AQ277" s="134">
        <f t="shared" si="324"/>
        <v>0.95</v>
      </c>
      <c r="AR277" s="134">
        <f t="shared" si="324"/>
        <v>0.95</v>
      </c>
      <c r="AS277" s="134">
        <f t="shared" si="324"/>
        <v>0.95</v>
      </c>
      <c r="AT277" s="134">
        <f t="shared" si="324"/>
        <v>0.95</v>
      </c>
      <c r="AU277" s="134">
        <f t="shared" si="324"/>
        <v>0.95</v>
      </c>
      <c r="AV277" s="134">
        <f t="shared" si="324"/>
        <v>0.95</v>
      </c>
      <c r="AW277" s="134">
        <f t="shared" ca="1" si="324"/>
        <v>0.95</v>
      </c>
      <c r="BB277" s="135"/>
    </row>
    <row r="278" spans="1:54" s="21" customFormat="1" ht="18" customHeight="1">
      <c r="A278" s="514"/>
      <c r="B278" s="156"/>
      <c r="C278" s="508"/>
      <c r="D278" s="96" t="str">
        <f>D277</f>
        <v>STR</v>
      </c>
      <c r="E278" s="136" t="str">
        <f>E277</f>
        <v>RFQ-054</v>
      </c>
      <c r="F278" s="137" t="str">
        <f>F277</f>
        <v>N</v>
      </c>
      <c r="G278" s="159"/>
      <c r="H278" s="162" t="str">
        <f>H277</f>
        <v>Painting</v>
      </c>
      <c r="I278" s="136" t="str">
        <f>I277</f>
        <v>LD</v>
      </c>
      <c r="J278" s="137"/>
      <c r="K278" s="138"/>
      <c r="L278" s="138">
        <f>M279</f>
        <v>1E-3</v>
      </c>
      <c r="M278" s="138"/>
      <c r="N278" s="136"/>
      <c r="O278" s="136"/>
      <c r="P278" s="136"/>
      <c r="Q278" s="139" t="s">
        <v>4860</v>
      </c>
      <c r="R278" s="139"/>
      <c r="S278" s="140" t="e">
        <f>S277</f>
        <v>#REF!</v>
      </c>
      <c r="T278" s="141" t="e">
        <f>T277</f>
        <v>#REF!</v>
      </c>
      <c r="U278" s="141" t="e">
        <f>WORKDAY(IF(T279="",T278,T279),INDEX(U$2:U$5,MATCH($I277,$I$2:$I$5,0)),$BB$10:$BB$141)</f>
        <v>#REF!</v>
      </c>
      <c r="V278" s="141" t="e">
        <f>WORKDAY(IF(U279="",U278,U279),INDEX(V$2:V$5,MATCH($I277,$I$2:$I$5,0)),$BB$10:$BB$141)</f>
        <v>#REF!</v>
      </c>
      <c r="W278" s="141" t="e">
        <f>WORKDAY(IF(V279="",V278,V279),INDEX(W$2:W$5,MATCH($I277,$I$2:$I$5,0)),$BB$10:$BB$141)</f>
        <v>#REF!</v>
      </c>
      <c r="X278" s="141" t="e">
        <f>WORKDAY(IF(#REF!="",#REF!,#REF!),INDEX(X$2:X$5,MATCH($I277,$I$2:$I$5,0)),$BB$10:$BB$141)</f>
        <v>#REF!</v>
      </c>
      <c r="Y278" s="141" t="e">
        <f>WORKDAY(IF(X279="",X278,X279),INDEX(Y$2:Y$5,MATCH($I277,$I$2:$I$5,0)),$BB$10:$BB$141)</f>
        <v>#REF!</v>
      </c>
      <c r="Z278" s="141" t="e">
        <f>WORKDAY(IF(Y279="",Y278,Y279),INDEX(Z$2:Z$5,MATCH($I277,$I$2:$I$5,0)),$BB$10:$BB$141)</f>
        <v>#REF!</v>
      </c>
      <c r="AA278" s="141" t="e">
        <f>WORKDAY(IF(Z279="",Z278,Z279),INDEX(AA$2:AA$5,MATCH($I277,$I$2:$I$5,0)),$BB$10:$BB$141)</f>
        <v>#REF!</v>
      </c>
      <c r="AB278" s="142" t="e">
        <f>AE277+#REF!</f>
        <v>#REF!</v>
      </c>
      <c r="AC278" s="502"/>
      <c r="AD278" s="105"/>
      <c r="AE278" s="496"/>
      <c r="AF278" s="493"/>
      <c r="AG278" s="490"/>
      <c r="AH278" s="106"/>
      <c r="AI278" s="107"/>
      <c r="AJ278" s="487"/>
      <c r="AK278" s="143"/>
      <c r="AL278" s="144"/>
      <c r="AM278" s="133">
        <f t="shared" ref="AM278:AW278" si="325">IF(ISERROR(LOOKUP(AM$6,$S278:$AB278,$S$9:$AB$9)),0,(LOOKUP(AM$6,$S278:$AB278,$S$9:$AB$9)))</f>
        <v>0</v>
      </c>
      <c r="AN278" s="134">
        <f t="shared" si="325"/>
        <v>0</v>
      </c>
      <c r="AO278" s="134">
        <f t="shared" si="325"/>
        <v>0</v>
      </c>
      <c r="AP278" s="134">
        <f t="shared" si="325"/>
        <v>0</v>
      </c>
      <c r="AQ278" s="134">
        <f t="shared" si="325"/>
        <v>0</v>
      </c>
      <c r="AR278" s="134">
        <f t="shared" si="325"/>
        <v>0</v>
      </c>
      <c r="AS278" s="134">
        <f t="shared" si="325"/>
        <v>0</v>
      </c>
      <c r="AT278" s="134">
        <f t="shared" si="325"/>
        <v>0</v>
      </c>
      <c r="AU278" s="134">
        <f t="shared" si="325"/>
        <v>0</v>
      </c>
      <c r="AV278" s="134">
        <f t="shared" si="325"/>
        <v>0</v>
      </c>
      <c r="AW278" s="134">
        <f t="shared" ca="1" si="325"/>
        <v>0</v>
      </c>
      <c r="BB278" s="135"/>
    </row>
    <row r="279" spans="1:54" s="21" customFormat="1" ht="18" customHeight="1">
      <c r="A279" s="515"/>
      <c r="B279" s="157"/>
      <c r="C279" s="509"/>
      <c r="D279" s="111" t="str">
        <f>D277</f>
        <v>STR</v>
      </c>
      <c r="E279" s="145" t="str">
        <f>E277</f>
        <v>RFQ-054</v>
      </c>
      <c r="F279" s="146" t="str">
        <f>F277</f>
        <v>N</v>
      </c>
      <c r="G279" s="160"/>
      <c r="H279" s="163" t="str">
        <f>H277</f>
        <v>Painting</v>
      </c>
      <c r="I279" s="145" t="str">
        <f>I277</f>
        <v>LD</v>
      </c>
      <c r="J279" s="146"/>
      <c r="K279" s="147"/>
      <c r="L279" s="147"/>
      <c r="M279" s="147">
        <v>1E-3</v>
      </c>
      <c r="N279" s="145"/>
      <c r="O279" s="145"/>
      <c r="P279" s="145"/>
      <c r="Q279" s="148" t="s">
        <v>4861</v>
      </c>
      <c r="R279" s="148"/>
      <c r="S279" s="149"/>
      <c r="T279" s="149"/>
      <c r="U279" s="149"/>
      <c r="V279" s="149"/>
      <c r="W279" s="149"/>
      <c r="X279" s="149"/>
      <c r="Y279" s="149"/>
      <c r="Z279" s="149"/>
      <c r="AA279" s="149"/>
      <c r="AB279" s="149"/>
      <c r="AC279" s="503"/>
      <c r="AD279" s="116"/>
      <c r="AE279" s="497"/>
      <c r="AF279" s="494"/>
      <c r="AG279" s="491"/>
      <c r="AH279" s="117"/>
      <c r="AI279" s="118"/>
      <c r="AJ279" s="488"/>
      <c r="AK279" s="150"/>
      <c r="AL279" s="151"/>
      <c r="AM279" s="152">
        <f t="shared" ref="AM279:AW279" si="326">IF(ISERROR(LOOKUP(AM$6,$S279:$AB279,$S$9:$AB$9)),0,(LOOKUP(AM$6,$S279:$AB279,$S$9:$AB$9)))</f>
        <v>0</v>
      </c>
      <c r="AN279" s="153">
        <f t="shared" si="326"/>
        <v>0</v>
      </c>
      <c r="AO279" s="153">
        <f t="shared" si="326"/>
        <v>0</v>
      </c>
      <c r="AP279" s="153">
        <f t="shared" si="326"/>
        <v>0</v>
      </c>
      <c r="AQ279" s="153">
        <f t="shared" si="326"/>
        <v>0</v>
      </c>
      <c r="AR279" s="153">
        <f t="shared" si="326"/>
        <v>0</v>
      </c>
      <c r="AS279" s="153">
        <f t="shared" si="326"/>
        <v>0</v>
      </c>
      <c r="AT279" s="153">
        <f t="shared" si="326"/>
        <v>0</v>
      </c>
      <c r="AU279" s="153">
        <f t="shared" si="326"/>
        <v>0</v>
      </c>
      <c r="AV279" s="153">
        <f t="shared" si="326"/>
        <v>0</v>
      </c>
      <c r="AW279" s="153">
        <f t="shared" ca="1" si="326"/>
        <v>0</v>
      </c>
      <c r="BB279" s="135"/>
    </row>
    <row r="280" spans="1:54" s="21" customFormat="1" ht="18" customHeight="1">
      <c r="A280" s="513">
        <f>A277+1</f>
        <v>91</v>
      </c>
      <c r="B280" s="154" t="s">
        <v>4920</v>
      </c>
      <c r="C280" s="507" t="s">
        <v>4855</v>
      </c>
      <c r="D280" s="80" t="s">
        <v>4867</v>
      </c>
      <c r="E280" s="127" t="s">
        <v>4917</v>
      </c>
      <c r="F280" s="128" t="s">
        <v>75</v>
      </c>
      <c r="G280" s="158"/>
      <c r="H280" s="161" t="s">
        <v>4953</v>
      </c>
      <c r="I280" s="127" t="s">
        <v>9</v>
      </c>
      <c r="J280" s="128"/>
      <c r="K280" s="129">
        <f>M282</f>
        <v>1E-3</v>
      </c>
      <c r="L280" s="129"/>
      <c r="M280" s="129"/>
      <c r="N280" s="127"/>
      <c r="O280" s="127"/>
      <c r="P280" s="127"/>
      <c r="Q280" s="130" t="s">
        <v>4858</v>
      </c>
      <c r="R280" s="130"/>
      <c r="S280" s="155" t="e">
        <f>WORKDAY(T280,-INDEX(T$2:T$5,MATCH($I280,$I$2:$I$5,0)),'[35]Equipment List and MR List (3)'!$A$2:$A$80)</f>
        <v>#REF!</v>
      </c>
      <c r="T280" s="155" t="e">
        <f>WORKDAY(U280,-INDEX(U$2:U$5,MATCH($I280,$I$2:$I$5,0)),$BB$10:$BB$141)</f>
        <v>#REF!</v>
      </c>
      <c r="U280" s="155" t="e">
        <f>WORKDAY(V280,-INDEX(V$2:V$5,MATCH($I280,$I$2:$I$5,0)),$BB$10:$BB$141)</f>
        <v>#REF!</v>
      </c>
      <c r="V280" s="155" t="e">
        <f>WORKDAY(W280,-INDEX(W$2:W$5,MATCH($I280,$I$2:$I$5,0)),$BB$10:$BB$141)</f>
        <v>#REF!</v>
      </c>
      <c r="W280" s="155" t="e">
        <f>WORKDAY(#REF!,-INDEX(#REF!,MATCH($I280,$I$2:$I$5,0)),$BB$10:$BB$141)</f>
        <v>#REF!</v>
      </c>
      <c r="X280" s="155" t="e">
        <f>WORKDAY(Y280,-INDEX(Y$2:Y$5,MATCH($I280,$I$2:$I$5,0)),$BB$10:$BB$141)</f>
        <v>#REF!</v>
      </c>
      <c r="Y280" s="155" t="e">
        <f>WORKDAY(Z280,-INDEX(Z$2:Z$5,MATCH($I280,$I$2:$I$5,0)),$BB$10:$BB$141)</f>
        <v>#REF!</v>
      </c>
      <c r="Z280" s="155" t="e">
        <f>WORKDAY(AA280,-INDEX(AA$2:AA$5,MATCH($I280,$I$2:$I$5,0)),$BB$10:$BB$141)</f>
        <v>#REF!</v>
      </c>
      <c r="AA280" s="155" t="e">
        <f>WORKDAY(#REF!,-INDEX(#REF!,MATCH($I280,$I$2:$I$5,0)),$BB$10:$BB$141)</f>
        <v>#REF!</v>
      </c>
      <c r="AB280" s="155">
        <f>WORKDAY(AG280,0,'[35]Equipment List and MR List (3)'!$A$2:$A$80)</f>
        <v>0</v>
      </c>
      <c r="AC280" s="501" t="s">
        <v>4859</v>
      </c>
      <c r="AD280" s="87">
        <v>7</v>
      </c>
      <c r="AE280" s="495">
        <v>121</v>
      </c>
      <c r="AF280" s="492" t="e">
        <f>AB281</f>
        <v>#REF!</v>
      </c>
      <c r="AG280" s="489"/>
      <c r="AH280" s="88"/>
      <c r="AI280" s="89"/>
      <c r="AJ280" s="486" t="e">
        <f>AG280-AF280</f>
        <v>#REF!</v>
      </c>
      <c r="AK280" s="131"/>
      <c r="AL280" s="132"/>
      <c r="AM280" s="133">
        <f t="shared" ref="AM280:AW280" si="327">IF(ISERROR(LOOKUP(AM$6,$S280:$AB280,$S$9:$AB$9)),0,(LOOKUP(AM$6,$S280:$AB280,$S$9:$AB$9)))</f>
        <v>0.95</v>
      </c>
      <c r="AN280" s="134">
        <f t="shared" si="327"/>
        <v>0.95</v>
      </c>
      <c r="AO280" s="134">
        <f t="shared" si="327"/>
        <v>0.95</v>
      </c>
      <c r="AP280" s="134">
        <f t="shared" si="327"/>
        <v>0.95</v>
      </c>
      <c r="AQ280" s="134">
        <f t="shared" si="327"/>
        <v>0.95</v>
      </c>
      <c r="AR280" s="134">
        <f t="shared" si="327"/>
        <v>0.95</v>
      </c>
      <c r="AS280" s="134">
        <f t="shared" si="327"/>
        <v>0.95</v>
      </c>
      <c r="AT280" s="134">
        <f t="shared" si="327"/>
        <v>0.95</v>
      </c>
      <c r="AU280" s="134">
        <f t="shared" si="327"/>
        <v>0.95</v>
      </c>
      <c r="AV280" s="134">
        <f t="shared" si="327"/>
        <v>0.95</v>
      </c>
      <c r="AW280" s="134">
        <f t="shared" ca="1" si="327"/>
        <v>0.95</v>
      </c>
      <c r="BB280" s="135"/>
    </row>
    <row r="281" spans="1:54" s="21" customFormat="1" ht="18" customHeight="1">
      <c r="A281" s="514"/>
      <c r="B281" s="156"/>
      <c r="C281" s="508"/>
      <c r="D281" s="96" t="str">
        <f>D280</f>
        <v>PIP</v>
      </c>
      <c r="E281" s="136" t="str">
        <f>E280</f>
        <v>RFQ-054</v>
      </c>
      <c r="F281" s="137" t="str">
        <f>F280</f>
        <v>N</v>
      </c>
      <c r="G281" s="159"/>
      <c r="H281" s="162" t="str">
        <f>H280</f>
        <v>Fire fighting</v>
      </c>
      <c r="I281" s="136" t="str">
        <f>I280</f>
        <v>LD</v>
      </c>
      <c r="J281" s="137"/>
      <c r="K281" s="138"/>
      <c r="L281" s="138">
        <f>M282</f>
        <v>1E-3</v>
      </c>
      <c r="M281" s="138"/>
      <c r="N281" s="136"/>
      <c r="O281" s="136"/>
      <c r="P281" s="136"/>
      <c r="Q281" s="139" t="s">
        <v>4860</v>
      </c>
      <c r="R281" s="139"/>
      <c r="S281" s="140" t="e">
        <f>S280</f>
        <v>#REF!</v>
      </c>
      <c r="T281" s="141" t="e">
        <f>T280</f>
        <v>#REF!</v>
      </c>
      <c r="U281" s="141" t="e">
        <f>WORKDAY(IF(T282="",T281,T282),INDEX(U$2:U$5,MATCH($I280,$I$2:$I$5,0)),$BB$10:$BB$141)</f>
        <v>#REF!</v>
      </c>
      <c r="V281" s="141" t="e">
        <f>WORKDAY(IF(U282="",U281,U282),INDEX(V$2:V$5,MATCH($I280,$I$2:$I$5,0)),$BB$10:$BB$141)</f>
        <v>#REF!</v>
      </c>
      <c r="W281" s="141" t="e">
        <f>WORKDAY(IF(V282="",V281,V282),INDEX(W$2:W$5,MATCH($I280,$I$2:$I$5,0)),$BB$10:$BB$141)</f>
        <v>#REF!</v>
      </c>
      <c r="X281" s="141" t="e">
        <f>WORKDAY(IF(#REF!="",#REF!,#REF!),INDEX(X$2:X$5,MATCH($I280,$I$2:$I$5,0)),$BB$10:$BB$141)</f>
        <v>#REF!</v>
      </c>
      <c r="Y281" s="141" t="e">
        <f>WORKDAY(IF(X282="",X281,X282),INDEX(Y$2:Y$5,MATCH($I280,$I$2:$I$5,0)),$BB$10:$BB$141)</f>
        <v>#REF!</v>
      </c>
      <c r="Z281" s="141" t="e">
        <f>WORKDAY(IF(Y282="",Y281,Y282),INDEX(Z$2:Z$5,MATCH($I280,$I$2:$I$5,0)),$BB$10:$BB$141)</f>
        <v>#REF!</v>
      </c>
      <c r="AA281" s="141" t="e">
        <f>WORKDAY(IF(Z282="",Z281,Z282),INDEX(AA$2:AA$5,MATCH($I280,$I$2:$I$5,0)),$BB$10:$BB$141)</f>
        <v>#REF!</v>
      </c>
      <c r="AB281" s="142" t="e">
        <f>AE280+#REF!</f>
        <v>#REF!</v>
      </c>
      <c r="AC281" s="502"/>
      <c r="AD281" s="105"/>
      <c r="AE281" s="496"/>
      <c r="AF281" s="493"/>
      <c r="AG281" s="490"/>
      <c r="AH281" s="106"/>
      <c r="AI281" s="107"/>
      <c r="AJ281" s="487"/>
      <c r="AK281" s="143"/>
      <c r="AL281" s="144"/>
      <c r="AM281" s="133">
        <f t="shared" ref="AM281:AW281" si="328">IF(ISERROR(LOOKUP(AM$6,$S281:$AB281,$S$9:$AB$9)),0,(LOOKUP(AM$6,$S281:$AB281,$S$9:$AB$9)))</f>
        <v>0</v>
      </c>
      <c r="AN281" s="134">
        <f t="shared" si="328"/>
        <v>0</v>
      </c>
      <c r="AO281" s="134">
        <f t="shared" si="328"/>
        <v>0</v>
      </c>
      <c r="AP281" s="134">
        <f t="shared" si="328"/>
        <v>0</v>
      </c>
      <c r="AQ281" s="134">
        <f t="shared" si="328"/>
        <v>0</v>
      </c>
      <c r="AR281" s="134">
        <f t="shared" si="328"/>
        <v>0</v>
      </c>
      <c r="AS281" s="134">
        <f t="shared" si="328"/>
        <v>0</v>
      </c>
      <c r="AT281" s="134">
        <f t="shared" si="328"/>
        <v>0</v>
      </c>
      <c r="AU281" s="134">
        <f t="shared" si="328"/>
        <v>0</v>
      </c>
      <c r="AV281" s="134">
        <f t="shared" si="328"/>
        <v>0</v>
      </c>
      <c r="AW281" s="134">
        <f t="shared" ca="1" si="328"/>
        <v>0</v>
      </c>
      <c r="BB281" s="135"/>
    </row>
    <row r="282" spans="1:54" s="21" customFormat="1" ht="18" customHeight="1">
      <c r="A282" s="515"/>
      <c r="B282" s="157"/>
      <c r="C282" s="509"/>
      <c r="D282" s="111" t="str">
        <f>D280</f>
        <v>PIP</v>
      </c>
      <c r="E282" s="145" t="str">
        <f>E280</f>
        <v>RFQ-054</v>
      </c>
      <c r="F282" s="146" t="str">
        <f>F280</f>
        <v>N</v>
      </c>
      <c r="G282" s="160"/>
      <c r="H282" s="163" t="str">
        <f>H280</f>
        <v>Fire fighting</v>
      </c>
      <c r="I282" s="145" t="str">
        <f>I280</f>
        <v>LD</v>
      </c>
      <c r="J282" s="146"/>
      <c r="K282" s="147"/>
      <c r="L282" s="147"/>
      <c r="M282" s="147">
        <v>1E-3</v>
      </c>
      <c r="N282" s="145"/>
      <c r="O282" s="145"/>
      <c r="P282" s="145"/>
      <c r="Q282" s="148" t="s">
        <v>4861</v>
      </c>
      <c r="R282" s="148"/>
      <c r="S282" s="149"/>
      <c r="T282" s="149"/>
      <c r="U282" s="149"/>
      <c r="V282" s="149"/>
      <c r="W282" s="149"/>
      <c r="X282" s="149"/>
      <c r="Y282" s="149"/>
      <c r="Z282" s="149"/>
      <c r="AA282" s="149"/>
      <c r="AB282" s="149"/>
      <c r="AC282" s="503"/>
      <c r="AD282" s="116"/>
      <c r="AE282" s="497"/>
      <c r="AF282" s="494"/>
      <c r="AG282" s="491"/>
      <c r="AH282" s="117"/>
      <c r="AI282" s="118"/>
      <c r="AJ282" s="488"/>
      <c r="AK282" s="150"/>
      <c r="AL282" s="151"/>
      <c r="AM282" s="152">
        <f t="shared" ref="AM282:AW282" si="329">IF(ISERROR(LOOKUP(AM$6,$S282:$AB282,$S$9:$AB$9)),0,(LOOKUP(AM$6,$S282:$AB282,$S$9:$AB$9)))</f>
        <v>0</v>
      </c>
      <c r="AN282" s="153">
        <f t="shared" si="329"/>
        <v>0</v>
      </c>
      <c r="AO282" s="153">
        <f t="shared" si="329"/>
        <v>0</v>
      </c>
      <c r="AP282" s="153">
        <f t="shared" si="329"/>
        <v>0</v>
      </c>
      <c r="AQ282" s="153">
        <f t="shared" si="329"/>
        <v>0</v>
      </c>
      <c r="AR282" s="153">
        <f t="shared" si="329"/>
        <v>0</v>
      </c>
      <c r="AS282" s="153">
        <f t="shared" si="329"/>
        <v>0</v>
      </c>
      <c r="AT282" s="153">
        <f t="shared" si="329"/>
        <v>0</v>
      </c>
      <c r="AU282" s="153">
        <f t="shared" si="329"/>
        <v>0</v>
      </c>
      <c r="AV282" s="153">
        <f t="shared" si="329"/>
        <v>0</v>
      </c>
      <c r="AW282" s="153">
        <f t="shared" ca="1" si="329"/>
        <v>0</v>
      </c>
      <c r="BB282" s="135"/>
    </row>
    <row r="283" spans="1:54" s="21" customFormat="1" ht="18" customHeight="1">
      <c r="A283" s="513">
        <f>A280+1</f>
        <v>92</v>
      </c>
      <c r="B283" s="154" t="s">
        <v>4920</v>
      </c>
      <c r="C283" s="507" t="s">
        <v>4855</v>
      </c>
      <c r="D283" s="80" t="s">
        <v>4867</v>
      </c>
      <c r="E283" s="127" t="s">
        <v>4917</v>
      </c>
      <c r="F283" s="128" t="s">
        <v>75</v>
      </c>
      <c r="G283" s="158"/>
      <c r="H283" s="161" t="s">
        <v>4954</v>
      </c>
      <c r="I283" s="127" t="s">
        <v>9</v>
      </c>
      <c r="J283" s="128"/>
      <c r="K283" s="129">
        <f>M285</f>
        <v>1E-3</v>
      </c>
      <c r="L283" s="129"/>
      <c r="M283" s="129"/>
      <c r="N283" s="127"/>
      <c r="O283" s="127"/>
      <c r="P283" s="127"/>
      <c r="Q283" s="130" t="s">
        <v>4858</v>
      </c>
      <c r="R283" s="130"/>
      <c r="S283" s="155" t="e">
        <f>WORKDAY(T283,-INDEX(T$2:T$5,MATCH($I283,$I$2:$I$5,0)),'[35]Equipment List and MR List (3)'!$A$2:$A$80)</f>
        <v>#REF!</v>
      </c>
      <c r="T283" s="155" t="e">
        <f>WORKDAY(U283,-INDEX(U$2:U$5,MATCH($I283,$I$2:$I$5,0)),$BB$10:$BB$141)</f>
        <v>#REF!</v>
      </c>
      <c r="U283" s="155" t="e">
        <f>WORKDAY(V283,-INDEX(V$2:V$5,MATCH($I283,$I$2:$I$5,0)),$BB$10:$BB$141)</f>
        <v>#REF!</v>
      </c>
      <c r="V283" s="155" t="e">
        <f>WORKDAY(W283,-INDEX(W$2:W$5,MATCH($I283,$I$2:$I$5,0)),$BB$10:$BB$141)</f>
        <v>#REF!</v>
      </c>
      <c r="W283" s="155" t="e">
        <f>WORKDAY(#REF!,-INDEX(#REF!,MATCH($I283,$I$2:$I$5,0)),$BB$10:$BB$141)</f>
        <v>#REF!</v>
      </c>
      <c r="X283" s="155" t="e">
        <f>WORKDAY(Y283,-INDEX(Y$2:Y$5,MATCH($I283,$I$2:$I$5,0)),$BB$10:$BB$141)</f>
        <v>#REF!</v>
      </c>
      <c r="Y283" s="155" t="e">
        <f>WORKDAY(Z283,-INDEX(Z$2:Z$5,MATCH($I283,$I$2:$I$5,0)),$BB$10:$BB$141)</f>
        <v>#REF!</v>
      </c>
      <c r="Z283" s="155" t="e">
        <f>WORKDAY(AA283,-INDEX(AA$2:AA$5,MATCH($I283,$I$2:$I$5,0)),$BB$10:$BB$141)</f>
        <v>#REF!</v>
      </c>
      <c r="AA283" s="155" t="e">
        <f>WORKDAY(#REF!,-INDEX(#REF!,MATCH($I283,$I$2:$I$5,0)),$BB$10:$BB$141)</f>
        <v>#REF!</v>
      </c>
      <c r="AB283" s="155">
        <f>WORKDAY(AG283,0,'[35]Equipment List and MR List (3)'!$A$2:$A$80)</f>
        <v>0</v>
      </c>
      <c r="AC283" s="501" t="s">
        <v>4859</v>
      </c>
      <c r="AD283" s="87">
        <v>7</v>
      </c>
      <c r="AE283" s="495">
        <v>121</v>
      </c>
      <c r="AF283" s="492" t="e">
        <f>AB284</f>
        <v>#REF!</v>
      </c>
      <c r="AG283" s="489"/>
      <c r="AH283" s="88"/>
      <c r="AI283" s="89"/>
      <c r="AJ283" s="486" t="e">
        <f>AG283-AF283</f>
        <v>#REF!</v>
      </c>
      <c r="AK283" s="131"/>
      <c r="AL283" s="132"/>
      <c r="AM283" s="133">
        <f t="shared" ref="AM283:AW283" si="330">IF(ISERROR(LOOKUP(AM$6,$S283:$AB283,$S$9:$AB$9)),0,(LOOKUP(AM$6,$S283:$AB283,$S$9:$AB$9)))</f>
        <v>0.95</v>
      </c>
      <c r="AN283" s="134">
        <f t="shared" si="330"/>
        <v>0.95</v>
      </c>
      <c r="AO283" s="134">
        <f t="shared" si="330"/>
        <v>0.95</v>
      </c>
      <c r="AP283" s="134">
        <f t="shared" si="330"/>
        <v>0.95</v>
      </c>
      <c r="AQ283" s="134">
        <f t="shared" si="330"/>
        <v>0.95</v>
      </c>
      <c r="AR283" s="134">
        <f t="shared" si="330"/>
        <v>0.95</v>
      </c>
      <c r="AS283" s="134">
        <f t="shared" si="330"/>
        <v>0.95</v>
      </c>
      <c r="AT283" s="134">
        <f t="shared" si="330"/>
        <v>0.95</v>
      </c>
      <c r="AU283" s="134">
        <f t="shared" si="330"/>
        <v>0.95</v>
      </c>
      <c r="AV283" s="134">
        <f t="shared" si="330"/>
        <v>0.95</v>
      </c>
      <c r="AW283" s="134">
        <f t="shared" ca="1" si="330"/>
        <v>0.95</v>
      </c>
      <c r="BB283" s="135"/>
    </row>
    <row r="284" spans="1:54" s="21" customFormat="1" ht="18" customHeight="1">
      <c r="A284" s="514"/>
      <c r="B284" s="156"/>
      <c r="C284" s="508"/>
      <c r="D284" s="96" t="str">
        <f>D283</f>
        <v>PIP</v>
      </c>
      <c r="E284" s="136" t="str">
        <f>E283</f>
        <v>RFQ-054</v>
      </c>
      <c r="F284" s="137" t="str">
        <f>F283</f>
        <v>N</v>
      </c>
      <c r="G284" s="159"/>
      <c r="H284" s="162" t="str">
        <f>H283</f>
        <v>Life saving</v>
      </c>
      <c r="I284" s="136" t="str">
        <f>I283</f>
        <v>LD</v>
      </c>
      <c r="J284" s="137"/>
      <c r="K284" s="138"/>
      <c r="L284" s="138">
        <f>M285</f>
        <v>1E-3</v>
      </c>
      <c r="M284" s="138"/>
      <c r="N284" s="136"/>
      <c r="O284" s="136"/>
      <c r="P284" s="136"/>
      <c r="Q284" s="139" t="s">
        <v>4860</v>
      </c>
      <c r="R284" s="139"/>
      <c r="S284" s="140" t="e">
        <f>S283</f>
        <v>#REF!</v>
      </c>
      <c r="T284" s="141" t="e">
        <f>T283</f>
        <v>#REF!</v>
      </c>
      <c r="U284" s="141" t="e">
        <f>WORKDAY(IF(T285="",T284,T285),INDEX(U$2:U$5,MATCH($I283,$I$2:$I$5,0)),$BB$10:$BB$141)</f>
        <v>#REF!</v>
      </c>
      <c r="V284" s="141" t="e">
        <f>WORKDAY(IF(U285="",U284,U285),INDEX(V$2:V$5,MATCH($I283,$I$2:$I$5,0)),$BB$10:$BB$141)</f>
        <v>#REF!</v>
      </c>
      <c r="W284" s="141" t="e">
        <f>WORKDAY(IF(V285="",V284,V285),INDEX(W$2:W$5,MATCH($I283,$I$2:$I$5,0)),$BB$10:$BB$141)</f>
        <v>#REF!</v>
      </c>
      <c r="X284" s="141" t="e">
        <f>WORKDAY(IF(#REF!="",#REF!,#REF!),INDEX(X$2:X$5,MATCH($I283,$I$2:$I$5,0)),$BB$10:$BB$141)</f>
        <v>#REF!</v>
      </c>
      <c r="Y284" s="141" t="e">
        <f>WORKDAY(IF(X285="",X284,X285),INDEX(Y$2:Y$5,MATCH($I283,$I$2:$I$5,0)),$BB$10:$BB$141)</f>
        <v>#REF!</v>
      </c>
      <c r="Z284" s="141" t="e">
        <f>WORKDAY(IF(Y285="",Y284,Y285),INDEX(Z$2:Z$5,MATCH($I283,$I$2:$I$5,0)),$BB$10:$BB$141)</f>
        <v>#REF!</v>
      </c>
      <c r="AA284" s="141" t="e">
        <f>WORKDAY(IF(Z285="",Z284,Z285),INDEX(AA$2:AA$5,MATCH($I283,$I$2:$I$5,0)),$BB$10:$BB$141)</f>
        <v>#REF!</v>
      </c>
      <c r="AB284" s="142" t="e">
        <f>AE283+#REF!</f>
        <v>#REF!</v>
      </c>
      <c r="AC284" s="502"/>
      <c r="AD284" s="105"/>
      <c r="AE284" s="496"/>
      <c r="AF284" s="493"/>
      <c r="AG284" s="490"/>
      <c r="AH284" s="106"/>
      <c r="AI284" s="107"/>
      <c r="AJ284" s="487"/>
      <c r="AK284" s="143"/>
      <c r="AL284" s="144"/>
      <c r="AM284" s="133">
        <f t="shared" ref="AM284:AW284" si="331">IF(ISERROR(LOOKUP(AM$6,$S284:$AB284,$S$9:$AB$9)),0,(LOOKUP(AM$6,$S284:$AB284,$S$9:$AB$9)))</f>
        <v>0</v>
      </c>
      <c r="AN284" s="134">
        <f t="shared" si="331"/>
        <v>0</v>
      </c>
      <c r="AO284" s="134">
        <f t="shared" si="331"/>
        <v>0</v>
      </c>
      <c r="AP284" s="134">
        <f t="shared" si="331"/>
        <v>0</v>
      </c>
      <c r="AQ284" s="134">
        <f t="shared" si="331"/>
        <v>0</v>
      </c>
      <c r="AR284" s="134">
        <f t="shared" si="331"/>
        <v>0</v>
      </c>
      <c r="AS284" s="134">
        <f t="shared" si="331"/>
        <v>0</v>
      </c>
      <c r="AT284" s="134">
        <f t="shared" si="331"/>
        <v>0</v>
      </c>
      <c r="AU284" s="134">
        <f t="shared" si="331"/>
        <v>0</v>
      </c>
      <c r="AV284" s="134">
        <f t="shared" si="331"/>
        <v>0</v>
      </c>
      <c r="AW284" s="134">
        <f t="shared" ca="1" si="331"/>
        <v>0</v>
      </c>
      <c r="BB284" s="135"/>
    </row>
    <row r="285" spans="1:54" s="21" customFormat="1" ht="18" customHeight="1">
      <c r="A285" s="515"/>
      <c r="B285" s="157"/>
      <c r="C285" s="509"/>
      <c r="D285" s="111" t="str">
        <f>D283</f>
        <v>PIP</v>
      </c>
      <c r="E285" s="145" t="str">
        <f>E283</f>
        <v>RFQ-054</v>
      </c>
      <c r="F285" s="146" t="str">
        <f>F283</f>
        <v>N</v>
      </c>
      <c r="G285" s="160"/>
      <c r="H285" s="163" t="str">
        <f>H283</f>
        <v>Life saving</v>
      </c>
      <c r="I285" s="145" t="str">
        <f>I283</f>
        <v>LD</v>
      </c>
      <c r="J285" s="146"/>
      <c r="K285" s="147"/>
      <c r="L285" s="147"/>
      <c r="M285" s="147">
        <v>1E-3</v>
      </c>
      <c r="N285" s="145"/>
      <c r="O285" s="145"/>
      <c r="P285" s="145"/>
      <c r="Q285" s="148" t="s">
        <v>4861</v>
      </c>
      <c r="R285" s="148"/>
      <c r="S285" s="149"/>
      <c r="T285" s="149"/>
      <c r="U285" s="149"/>
      <c r="V285" s="149"/>
      <c r="W285" s="149"/>
      <c r="X285" s="149"/>
      <c r="Y285" s="149"/>
      <c r="Z285" s="149"/>
      <c r="AA285" s="149"/>
      <c r="AB285" s="149"/>
      <c r="AC285" s="503"/>
      <c r="AD285" s="116"/>
      <c r="AE285" s="497"/>
      <c r="AF285" s="494"/>
      <c r="AG285" s="491"/>
      <c r="AH285" s="117"/>
      <c r="AI285" s="118"/>
      <c r="AJ285" s="488"/>
      <c r="AK285" s="150"/>
      <c r="AL285" s="151"/>
      <c r="AM285" s="152">
        <f t="shared" ref="AM285:AW285" si="332">IF(ISERROR(LOOKUP(AM$6,$S285:$AB285,$S$9:$AB$9)),0,(LOOKUP(AM$6,$S285:$AB285,$S$9:$AB$9)))</f>
        <v>0</v>
      </c>
      <c r="AN285" s="153">
        <f t="shared" si="332"/>
        <v>0</v>
      </c>
      <c r="AO285" s="153">
        <f t="shared" si="332"/>
        <v>0</v>
      </c>
      <c r="AP285" s="153">
        <f t="shared" si="332"/>
        <v>0</v>
      </c>
      <c r="AQ285" s="153">
        <f t="shared" si="332"/>
        <v>0</v>
      </c>
      <c r="AR285" s="153">
        <f t="shared" si="332"/>
        <v>0</v>
      </c>
      <c r="AS285" s="153">
        <f t="shared" si="332"/>
        <v>0</v>
      </c>
      <c r="AT285" s="153">
        <f t="shared" si="332"/>
        <v>0</v>
      </c>
      <c r="AU285" s="153">
        <f t="shared" si="332"/>
        <v>0</v>
      </c>
      <c r="AV285" s="153">
        <f t="shared" si="332"/>
        <v>0</v>
      </c>
      <c r="AW285" s="153">
        <f t="shared" ca="1" si="332"/>
        <v>0</v>
      </c>
      <c r="BB285" s="135"/>
    </row>
    <row r="286" spans="1:54" s="21" customFormat="1" ht="18" customHeight="1">
      <c r="A286" s="513">
        <f>A283+1</f>
        <v>93</v>
      </c>
      <c r="B286" s="154" t="s">
        <v>4920</v>
      </c>
      <c r="C286" s="507" t="s">
        <v>4855</v>
      </c>
      <c r="D286" s="80" t="s">
        <v>4867</v>
      </c>
      <c r="E286" s="127" t="s">
        <v>4917</v>
      </c>
      <c r="F286" s="128" t="s">
        <v>75</v>
      </c>
      <c r="G286" s="158"/>
      <c r="H286" s="161" t="s">
        <v>295</v>
      </c>
      <c r="I286" s="127" t="s">
        <v>9</v>
      </c>
      <c r="J286" s="128"/>
      <c r="K286" s="129">
        <f>M288</f>
        <v>1E-3</v>
      </c>
      <c r="L286" s="129"/>
      <c r="M286" s="129"/>
      <c r="N286" s="127"/>
      <c r="O286" s="127"/>
      <c r="P286" s="127"/>
      <c r="Q286" s="130" t="s">
        <v>4858</v>
      </c>
      <c r="R286" s="130"/>
      <c r="S286" s="155" t="e">
        <f>WORKDAY(T286,-INDEX(T$2:T$5,MATCH($I286,$I$2:$I$5,0)),'[35]Equipment List and MR List (3)'!$A$2:$A$80)</f>
        <v>#REF!</v>
      </c>
      <c r="T286" s="155" t="e">
        <f>WORKDAY(U286,-INDEX(U$2:U$5,MATCH($I286,$I$2:$I$5,0)),$BB$10:$BB$141)</f>
        <v>#REF!</v>
      </c>
      <c r="U286" s="155" t="e">
        <f>WORKDAY(V286,-INDEX(V$2:V$5,MATCH($I286,$I$2:$I$5,0)),$BB$10:$BB$141)</f>
        <v>#REF!</v>
      </c>
      <c r="V286" s="155" t="e">
        <f>WORKDAY(W286,-INDEX(W$2:W$5,MATCH($I286,$I$2:$I$5,0)),$BB$10:$BB$141)</f>
        <v>#REF!</v>
      </c>
      <c r="W286" s="155" t="e">
        <f>WORKDAY(#REF!,-INDEX(#REF!,MATCH($I286,$I$2:$I$5,0)),$BB$10:$BB$141)</f>
        <v>#REF!</v>
      </c>
      <c r="X286" s="155" t="e">
        <f>WORKDAY(Y286,-INDEX(Y$2:Y$5,MATCH($I286,$I$2:$I$5,0)),$BB$10:$BB$141)</f>
        <v>#REF!</v>
      </c>
      <c r="Y286" s="155" t="e">
        <f>WORKDAY(Z286,-INDEX(Z$2:Z$5,MATCH($I286,$I$2:$I$5,0)),$BB$10:$BB$141)</f>
        <v>#REF!</v>
      </c>
      <c r="Z286" s="155" t="e">
        <f>WORKDAY(AA286,-INDEX(AA$2:AA$5,MATCH($I286,$I$2:$I$5,0)),$BB$10:$BB$141)</f>
        <v>#REF!</v>
      </c>
      <c r="AA286" s="155" t="e">
        <f>WORKDAY(#REF!,-INDEX(#REF!,MATCH($I286,$I$2:$I$5,0)),$BB$10:$BB$141)</f>
        <v>#REF!</v>
      </c>
      <c r="AB286" s="155">
        <f>WORKDAY(AG286,0,'[35]Equipment List and MR List (3)'!$A$2:$A$80)</f>
        <v>0</v>
      </c>
      <c r="AC286" s="501" t="s">
        <v>4859</v>
      </c>
      <c r="AD286" s="87">
        <v>7</v>
      </c>
      <c r="AE286" s="495">
        <v>121</v>
      </c>
      <c r="AF286" s="492" t="e">
        <f>AB287</f>
        <v>#REF!</v>
      </c>
      <c r="AG286" s="489"/>
      <c r="AH286" s="88"/>
      <c r="AI286" s="89"/>
      <c r="AJ286" s="486" t="e">
        <f>AG286-AF286</f>
        <v>#REF!</v>
      </c>
      <c r="AK286" s="131"/>
      <c r="AL286" s="132"/>
      <c r="AM286" s="133">
        <f t="shared" ref="AM286:AW286" si="333">IF(ISERROR(LOOKUP(AM$6,$S286:$AB286,$S$9:$AB$9)),0,(LOOKUP(AM$6,$S286:$AB286,$S$9:$AB$9)))</f>
        <v>0.95</v>
      </c>
      <c r="AN286" s="134">
        <f t="shared" si="333"/>
        <v>0.95</v>
      </c>
      <c r="AO286" s="134">
        <f t="shared" si="333"/>
        <v>0.95</v>
      </c>
      <c r="AP286" s="134">
        <f t="shared" si="333"/>
        <v>0.95</v>
      </c>
      <c r="AQ286" s="134">
        <f t="shared" si="333"/>
        <v>0.95</v>
      </c>
      <c r="AR286" s="134">
        <f t="shared" si="333"/>
        <v>0.95</v>
      </c>
      <c r="AS286" s="134">
        <f t="shared" si="333"/>
        <v>0.95</v>
      </c>
      <c r="AT286" s="134">
        <f t="shared" si="333"/>
        <v>0.95</v>
      </c>
      <c r="AU286" s="134">
        <f t="shared" si="333"/>
        <v>0.95</v>
      </c>
      <c r="AV286" s="134">
        <f t="shared" si="333"/>
        <v>0.95</v>
      </c>
      <c r="AW286" s="134">
        <f t="shared" ca="1" si="333"/>
        <v>0.95</v>
      </c>
      <c r="BB286" s="135"/>
    </row>
    <row r="287" spans="1:54" s="21" customFormat="1" ht="18" customHeight="1">
      <c r="A287" s="514"/>
      <c r="B287" s="156"/>
      <c r="C287" s="508"/>
      <c r="D287" s="96" t="str">
        <f>D286</f>
        <v>PIP</v>
      </c>
      <c r="E287" s="136" t="str">
        <f>E286</f>
        <v>RFQ-054</v>
      </c>
      <c r="F287" s="137" t="str">
        <f>F286</f>
        <v>N</v>
      </c>
      <c r="G287" s="159"/>
      <c r="H287" s="162" t="str">
        <f>H286</f>
        <v>SAFETY SIGNS</v>
      </c>
      <c r="I287" s="136" t="str">
        <f>I286</f>
        <v>LD</v>
      </c>
      <c r="J287" s="137"/>
      <c r="K287" s="138"/>
      <c r="L287" s="138">
        <f>M288</f>
        <v>1E-3</v>
      </c>
      <c r="M287" s="138"/>
      <c r="N287" s="136"/>
      <c r="O287" s="136"/>
      <c r="P287" s="136"/>
      <c r="Q287" s="139" t="s">
        <v>4860</v>
      </c>
      <c r="R287" s="139"/>
      <c r="S287" s="140" t="e">
        <f>S286</f>
        <v>#REF!</v>
      </c>
      <c r="T287" s="141" t="e">
        <f>T286</f>
        <v>#REF!</v>
      </c>
      <c r="U287" s="141" t="e">
        <f>WORKDAY(IF(T288="",T287,T288),INDEX(U$2:U$5,MATCH($I286,$I$2:$I$5,0)),$BB$10:$BB$141)</f>
        <v>#REF!</v>
      </c>
      <c r="V287" s="141" t="e">
        <f>WORKDAY(IF(U288="",U287,U288),INDEX(V$2:V$5,MATCH($I286,$I$2:$I$5,0)),$BB$10:$BB$141)</f>
        <v>#REF!</v>
      </c>
      <c r="W287" s="141" t="e">
        <f>WORKDAY(IF(V288="",V287,V288),INDEX(W$2:W$5,MATCH($I286,$I$2:$I$5,0)),$BB$10:$BB$141)</f>
        <v>#REF!</v>
      </c>
      <c r="X287" s="141" t="e">
        <f>WORKDAY(IF(#REF!="",#REF!,#REF!),INDEX(X$2:X$5,MATCH($I286,$I$2:$I$5,0)),$BB$10:$BB$141)</f>
        <v>#REF!</v>
      </c>
      <c r="Y287" s="141" t="e">
        <f>WORKDAY(IF(X288="",X287,X288),INDEX(Y$2:Y$5,MATCH($I286,$I$2:$I$5,0)),$BB$10:$BB$141)</f>
        <v>#REF!</v>
      </c>
      <c r="Z287" s="141" t="e">
        <f>WORKDAY(IF(Y288="",Y287,Y288),INDEX(Z$2:Z$5,MATCH($I286,$I$2:$I$5,0)),$BB$10:$BB$141)</f>
        <v>#REF!</v>
      </c>
      <c r="AA287" s="141" t="e">
        <f>WORKDAY(IF(Z288="",Z287,Z288),INDEX(AA$2:AA$5,MATCH($I286,$I$2:$I$5,0)),$BB$10:$BB$141)</f>
        <v>#REF!</v>
      </c>
      <c r="AB287" s="142" t="e">
        <f>AE286+#REF!</f>
        <v>#REF!</v>
      </c>
      <c r="AC287" s="502"/>
      <c r="AD287" s="105"/>
      <c r="AE287" s="496"/>
      <c r="AF287" s="493"/>
      <c r="AG287" s="490"/>
      <c r="AH287" s="106"/>
      <c r="AI287" s="107"/>
      <c r="AJ287" s="487"/>
      <c r="AK287" s="143"/>
      <c r="AL287" s="144"/>
      <c r="AM287" s="133">
        <f t="shared" ref="AM287:AW287" si="334">IF(ISERROR(LOOKUP(AM$6,$S287:$AB287,$S$9:$AB$9)),0,(LOOKUP(AM$6,$S287:$AB287,$S$9:$AB$9)))</f>
        <v>0</v>
      </c>
      <c r="AN287" s="134">
        <f t="shared" si="334"/>
        <v>0</v>
      </c>
      <c r="AO287" s="134">
        <f t="shared" si="334"/>
        <v>0</v>
      </c>
      <c r="AP287" s="134">
        <f t="shared" si="334"/>
        <v>0</v>
      </c>
      <c r="AQ287" s="134">
        <f t="shared" si="334"/>
        <v>0</v>
      </c>
      <c r="AR287" s="134">
        <f t="shared" si="334"/>
        <v>0</v>
      </c>
      <c r="AS287" s="134">
        <f t="shared" si="334"/>
        <v>0</v>
      </c>
      <c r="AT287" s="134">
        <f t="shared" si="334"/>
        <v>0</v>
      </c>
      <c r="AU287" s="134">
        <f t="shared" si="334"/>
        <v>0</v>
      </c>
      <c r="AV287" s="134">
        <f t="shared" si="334"/>
        <v>0</v>
      </c>
      <c r="AW287" s="134">
        <f t="shared" ca="1" si="334"/>
        <v>0</v>
      </c>
      <c r="BB287" s="135"/>
    </row>
    <row r="288" spans="1:54" s="21" customFormat="1" ht="18" customHeight="1">
      <c r="A288" s="515"/>
      <c r="B288" s="157"/>
      <c r="C288" s="509"/>
      <c r="D288" s="111" t="str">
        <f>D286</f>
        <v>PIP</v>
      </c>
      <c r="E288" s="145" t="str">
        <f>E286</f>
        <v>RFQ-054</v>
      </c>
      <c r="F288" s="146" t="str">
        <f>F286</f>
        <v>N</v>
      </c>
      <c r="G288" s="160"/>
      <c r="H288" s="163" t="str">
        <f>H286</f>
        <v>SAFETY SIGNS</v>
      </c>
      <c r="I288" s="145" t="str">
        <f>I286</f>
        <v>LD</v>
      </c>
      <c r="J288" s="146"/>
      <c r="K288" s="147"/>
      <c r="L288" s="147"/>
      <c r="M288" s="147">
        <v>1E-3</v>
      </c>
      <c r="N288" s="145"/>
      <c r="O288" s="145"/>
      <c r="P288" s="145"/>
      <c r="Q288" s="148" t="s">
        <v>4861</v>
      </c>
      <c r="R288" s="148"/>
      <c r="S288" s="149"/>
      <c r="T288" s="149"/>
      <c r="U288" s="149"/>
      <c r="V288" s="149"/>
      <c r="W288" s="149"/>
      <c r="X288" s="149"/>
      <c r="Y288" s="149"/>
      <c r="Z288" s="149"/>
      <c r="AA288" s="149"/>
      <c r="AB288" s="149"/>
      <c r="AC288" s="503"/>
      <c r="AD288" s="116"/>
      <c r="AE288" s="497"/>
      <c r="AF288" s="494"/>
      <c r="AG288" s="491"/>
      <c r="AH288" s="117"/>
      <c r="AI288" s="118"/>
      <c r="AJ288" s="488"/>
      <c r="AK288" s="150"/>
      <c r="AL288" s="151"/>
      <c r="AM288" s="152">
        <f t="shared" ref="AM288:AW288" si="335">IF(ISERROR(LOOKUP(AM$6,$S288:$AB288,$S$9:$AB$9)),0,(LOOKUP(AM$6,$S288:$AB288,$S$9:$AB$9)))</f>
        <v>0</v>
      </c>
      <c r="AN288" s="153">
        <f t="shared" si="335"/>
        <v>0</v>
      </c>
      <c r="AO288" s="153">
        <f t="shared" si="335"/>
        <v>0</v>
      </c>
      <c r="AP288" s="153">
        <f t="shared" si="335"/>
        <v>0</v>
      </c>
      <c r="AQ288" s="153">
        <f t="shared" si="335"/>
        <v>0</v>
      </c>
      <c r="AR288" s="153">
        <f t="shared" si="335"/>
        <v>0</v>
      </c>
      <c r="AS288" s="153">
        <f t="shared" si="335"/>
        <v>0</v>
      </c>
      <c r="AT288" s="153">
        <f t="shared" si="335"/>
        <v>0</v>
      </c>
      <c r="AU288" s="153">
        <f t="shared" si="335"/>
        <v>0</v>
      </c>
      <c r="AV288" s="153">
        <f t="shared" si="335"/>
        <v>0</v>
      </c>
      <c r="AW288" s="153">
        <f t="shared" ca="1" si="335"/>
        <v>0</v>
      </c>
      <c r="BB288" s="135"/>
    </row>
    <row r="289" spans="1:54" s="21" customFormat="1" ht="18" customHeight="1">
      <c r="A289" s="513">
        <f>A286+1</f>
        <v>94</v>
      </c>
      <c r="B289" s="154" t="s">
        <v>4920</v>
      </c>
      <c r="C289" s="507" t="s">
        <v>4855</v>
      </c>
      <c r="D289" s="80" t="s">
        <v>4916</v>
      </c>
      <c r="E289" s="127" t="s">
        <v>4917</v>
      </c>
      <c r="F289" s="128" t="s">
        <v>75</v>
      </c>
      <c r="G289" s="158"/>
      <c r="H289" s="82" t="s">
        <v>4955</v>
      </c>
      <c r="I289" s="127" t="s">
        <v>9</v>
      </c>
      <c r="J289" s="128"/>
      <c r="K289" s="129">
        <f>M291</f>
        <v>1E-3</v>
      </c>
      <c r="L289" s="129"/>
      <c r="M289" s="129"/>
      <c r="N289" s="127"/>
      <c r="O289" s="127"/>
      <c r="P289" s="127"/>
      <c r="Q289" s="130" t="s">
        <v>4858</v>
      </c>
      <c r="R289" s="130"/>
      <c r="S289" s="155" t="e">
        <f>WORKDAY(T289,-INDEX(T$2:T$5,MATCH($I289,$I$2:$I$5,0)),'[35]Equipment List and MR List (3)'!$A$2:$A$80)</f>
        <v>#REF!</v>
      </c>
      <c r="T289" s="155" t="e">
        <f>WORKDAY(U289,-INDEX(U$2:U$5,MATCH($I289,$I$2:$I$5,0)),$BB$10:$BB$141)</f>
        <v>#REF!</v>
      </c>
      <c r="U289" s="155" t="e">
        <f>WORKDAY(V289,-INDEX(V$2:V$5,MATCH($I289,$I$2:$I$5,0)),$BB$10:$BB$141)</f>
        <v>#REF!</v>
      </c>
      <c r="V289" s="155" t="e">
        <f>WORKDAY(W289,-INDEX(W$2:W$5,MATCH($I289,$I$2:$I$5,0)),$BB$10:$BB$141)</f>
        <v>#REF!</v>
      </c>
      <c r="W289" s="155" t="e">
        <f>WORKDAY(#REF!,-INDEX(#REF!,MATCH($I289,$I$2:$I$5,0)),$BB$10:$BB$141)</f>
        <v>#REF!</v>
      </c>
      <c r="X289" s="155" t="e">
        <f>WORKDAY(Y289,-INDEX(Y$2:Y$5,MATCH($I289,$I$2:$I$5,0)),$BB$10:$BB$141)</f>
        <v>#REF!</v>
      </c>
      <c r="Y289" s="155" t="e">
        <f>WORKDAY(Z289,-INDEX(Z$2:Z$5,MATCH($I289,$I$2:$I$5,0)),$BB$10:$BB$141)</f>
        <v>#REF!</v>
      </c>
      <c r="Z289" s="155" t="e">
        <f>WORKDAY(AA289,-INDEX(AA$2:AA$5,MATCH($I289,$I$2:$I$5,0)),$BB$10:$BB$141)</f>
        <v>#REF!</v>
      </c>
      <c r="AA289" s="155" t="e">
        <f>WORKDAY(#REF!,-INDEX(#REF!,MATCH($I289,$I$2:$I$5,0)),$BB$10:$BB$141)</f>
        <v>#REF!</v>
      </c>
      <c r="AB289" s="155">
        <f>WORKDAY(AG289,0,'[35]Equipment List and MR List (3)'!$A$2:$A$80)</f>
        <v>0</v>
      </c>
      <c r="AC289" s="501" t="s">
        <v>4859</v>
      </c>
      <c r="AD289" s="87">
        <v>7</v>
      </c>
      <c r="AE289" s="495"/>
      <c r="AF289" s="492" t="e">
        <f>AB290</f>
        <v>#REF!</v>
      </c>
      <c r="AG289" s="489"/>
      <c r="AH289" s="88"/>
      <c r="AI289" s="89"/>
      <c r="AJ289" s="486" t="e">
        <f>AG289-AF289</f>
        <v>#REF!</v>
      </c>
      <c r="AK289" s="131"/>
      <c r="AL289" s="132"/>
      <c r="AM289" s="133">
        <f t="shared" ref="AM289:AW289" si="336">IF(ISERROR(LOOKUP(AM$6,$S289:$AB289,$S$9:$AB$9)),0,(LOOKUP(AM$6,$S289:$AB289,$S$9:$AB$9)))</f>
        <v>0.95</v>
      </c>
      <c r="AN289" s="134">
        <f t="shared" si="336"/>
        <v>0.95</v>
      </c>
      <c r="AO289" s="134">
        <f t="shared" si="336"/>
        <v>0.95</v>
      </c>
      <c r="AP289" s="134">
        <f t="shared" si="336"/>
        <v>0.95</v>
      </c>
      <c r="AQ289" s="134">
        <f t="shared" si="336"/>
        <v>0.95</v>
      </c>
      <c r="AR289" s="134">
        <f t="shared" si="336"/>
        <v>0.95</v>
      </c>
      <c r="AS289" s="134">
        <f t="shared" si="336"/>
        <v>0.95</v>
      </c>
      <c r="AT289" s="134">
        <f t="shared" si="336"/>
        <v>0.95</v>
      </c>
      <c r="AU289" s="134">
        <f t="shared" si="336"/>
        <v>0.95</v>
      </c>
      <c r="AV289" s="134">
        <f t="shared" si="336"/>
        <v>0.95</v>
      </c>
      <c r="AW289" s="134">
        <f t="shared" ca="1" si="336"/>
        <v>0.95</v>
      </c>
      <c r="BB289" s="135"/>
    </row>
    <row r="290" spans="1:54" s="21" customFormat="1" ht="18" customHeight="1">
      <c r="A290" s="514"/>
      <c r="B290" s="156"/>
      <c r="C290" s="508"/>
      <c r="D290" s="96" t="str">
        <f>D289</f>
        <v>STR</v>
      </c>
      <c r="E290" s="136" t="str">
        <f>E289</f>
        <v>RFQ-054</v>
      </c>
      <c r="F290" s="137" t="str">
        <f>F289</f>
        <v>N</v>
      </c>
      <c r="G290" s="159"/>
      <c r="H290" s="98" t="str">
        <f>H289</f>
        <v>Jacket Anode</v>
      </c>
      <c r="I290" s="136" t="str">
        <f>I289</f>
        <v>LD</v>
      </c>
      <c r="J290" s="137"/>
      <c r="K290" s="138"/>
      <c r="L290" s="138">
        <f>M291</f>
        <v>1E-3</v>
      </c>
      <c r="M290" s="138"/>
      <c r="N290" s="136"/>
      <c r="O290" s="136"/>
      <c r="P290" s="136"/>
      <c r="Q290" s="139" t="s">
        <v>4860</v>
      </c>
      <c r="R290" s="139"/>
      <c r="S290" s="140" t="e">
        <f>S289</f>
        <v>#REF!</v>
      </c>
      <c r="T290" s="141" t="e">
        <f>T289</f>
        <v>#REF!</v>
      </c>
      <c r="U290" s="141" t="e">
        <f>WORKDAY(IF(T291="",T290,T291),INDEX(U$2:U$5,MATCH($I289,$I$2:$I$5,0)),$BB$10:$BB$141)</f>
        <v>#REF!</v>
      </c>
      <c r="V290" s="141" t="e">
        <f>WORKDAY(IF(U291="",U290,U291),INDEX(V$2:V$5,MATCH($I289,$I$2:$I$5,0)),$BB$10:$BB$141)</f>
        <v>#REF!</v>
      </c>
      <c r="W290" s="141" t="e">
        <f>WORKDAY(IF(V291="",V290,V291),INDEX(W$2:W$5,MATCH($I289,$I$2:$I$5,0)),$BB$10:$BB$141)</f>
        <v>#REF!</v>
      </c>
      <c r="X290" s="141" t="e">
        <f>WORKDAY(IF(#REF!="",#REF!,#REF!),INDEX(X$2:X$5,MATCH($I289,$I$2:$I$5,0)),$BB$10:$BB$141)</f>
        <v>#REF!</v>
      </c>
      <c r="Y290" s="141" t="e">
        <f>WORKDAY(IF(X291="",X290,X291),INDEX(Y$2:Y$5,MATCH($I289,$I$2:$I$5,0)),$BB$10:$BB$141)</f>
        <v>#REF!</v>
      </c>
      <c r="Z290" s="141" t="e">
        <f>WORKDAY(IF(Y291="",Y290,Y291),INDEX(Z$2:Z$5,MATCH($I289,$I$2:$I$5,0)),$BB$10:$BB$141)</f>
        <v>#REF!</v>
      </c>
      <c r="AA290" s="141" t="e">
        <f>WORKDAY(IF(Z291="",Z290,Z291),INDEX(AA$2:AA$5,MATCH($I289,$I$2:$I$5,0)),$BB$10:$BB$141)</f>
        <v>#REF!</v>
      </c>
      <c r="AB290" s="142" t="e">
        <f>AE289+#REF!</f>
        <v>#REF!</v>
      </c>
      <c r="AC290" s="502"/>
      <c r="AD290" s="105"/>
      <c r="AE290" s="496"/>
      <c r="AF290" s="493"/>
      <c r="AG290" s="490"/>
      <c r="AH290" s="106"/>
      <c r="AI290" s="107"/>
      <c r="AJ290" s="487"/>
      <c r="AK290" s="143"/>
      <c r="AL290" s="144"/>
      <c r="AM290" s="133">
        <f t="shared" ref="AM290:AW290" si="337">IF(ISERROR(LOOKUP(AM$6,$S290:$AB290,$S$9:$AB$9)),0,(LOOKUP(AM$6,$S290:$AB290,$S$9:$AB$9)))</f>
        <v>0</v>
      </c>
      <c r="AN290" s="134">
        <f t="shared" si="337"/>
        <v>0</v>
      </c>
      <c r="AO290" s="134">
        <f t="shared" si="337"/>
        <v>0</v>
      </c>
      <c r="AP290" s="134">
        <f t="shared" si="337"/>
        <v>0</v>
      </c>
      <c r="AQ290" s="134">
        <f t="shared" si="337"/>
        <v>0</v>
      </c>
      <c r="AR290" s="134">
        <f t="shared" si="337"/>
        <v>0</v>
      </c>
      <c r="AS290" s="134">
        <f t="shared" si="337"/>
        <v>0</v>
      </c>
      <c r="AT290" s="134">
        <f t="shared" si="337"/>
        <v>0</v>
      </c>
      <c r="AU290" s="134">
        <f t="shared" si="337"/>
        <v>0</v>
      </c>
      <c r="AV290" s="134">
        <f t="shared" si="337"/>
        <v>0</v>
      </c>
      <c r="AW290" s="134">
        <f t="shared" ca="1" si="337"/>
        <v>0</v>
      </c>
      <c r="BB290" s="135"/>
    </row>
    <row r="291" spans="1:54" s="21" customFormat="1" ht="18" customHeight="1">
      <c r="A291" s="515"/>
      <c r="B291" s="157"/>
      <c r="C291" s="509"/>
      <c r="D291" s="111" t="str">
        <f>D289</f>
        <v>STR</v>
      </c>
      <c r="E291" s="145" t="str">
        <f>E289</f>
        <v>RFQ-054</v>
      </c>
      <c r="F291" s="146" t="str">
        <f>F289</f>
        <v>N</v>
      </c>
      <c r="G291" s="160"/>
      <c r="H291" s="113" t="str">
        <f>H289</f>
        <v>Jacket Anode</v>
      </c>
      <c r="I291" s="145" t="str">
        <f>I289</f>
        <v>LD</v>
      </c>
      <c r="J291" s="146"/>
      <c r="K291" s="147"/>
      <c r="L291" s="147"/>
      <c r="M291" s="147">
        <v>1E-3</v>
      </c>
      <c r="N291" s="145"/>
      <c r="O291" s="145"/>
      <c r="P291" s="145"/>
      <c r="Q291" s="148" t="s">
        <v>4861</v>
      </c>
      <c r="R291" s="148"/>
      <c r="S291" s="149"/>
      <c r="T291" s="149"/>
      <c r="U291" s="149"/>
      <c r="V291" s="149"/>
      <c r="W291" s="149"/>
      <c r="X291" s="149"/>
      <c r="Y291" s="149"/>
      <c r="Z291" s="149"/>
      <c r="AA291" s="149"/>
      <c r="AB291" s="149"/>
      <c r="AC291" s="503"/>
      <c r="AD291" s="116"/>
      <c r="AE291" s="497"/>
      <c r="AF291" s="494"/>
      <c r="AG291" s="491"/>
      <c r="AH291" s="117"/>
      <c r="AI291" s="118"/>
      <c r="AJ291" s="488"/>
      <c r="AK291" s="150"/>
      <c r="AL291" s="151"/>
      <c r="AM291" s="152">
        <f t="shared" ref="AM291:AW291" si="338">IF(ISERROR(LOOKUP(AM$6,$S291:$AB291,$S$9:$AB$9)),0,(LOOKUP(AM$6,$S291:$AB291,$S$9:$AB$9)))</f>
        <v>0</v>
      </c>
      <c r="AN291" s="153">
        <f t="shared" si="338"/>
        <v>0</v>
      </c>
      <c r="AO291" s="153">
        <f t="shared" si="338"/>
        <v>0</v>
      </c>
      <c r="AP291" s="153">
        <f t="shared" si="338"/>
        <v>0</v>
      </c>
      <c r="AQ291" s="153">
        <f t="shared" si="338"/>
        <v>0</v>
      </c>
      <c r="AR291" s="153">
        <f t="shared" si="338"/>
        <v>0</v>
      </c>
      <c r="AS291" s="153">
        <f t="shared" si="338"/>
        <v>0</v>
      </c>
      <c r="AT291" s="153">
        <f t="shared" si="338"/>
        <v>0</v>
      </c>
      <c r="AU291" s="153">
        <f t="shared" si="338"/>
        <v>0</v>
      </c>
      <c r="AV291" s="153">
        <f t="shared" si="338"/>
        <v>0</v>
      </c>
      <c r="AW291" s="153">
        <f t="shared" ca="1" si="338"/>
        <v>0</v>
      </c>
      <c r="BB291" s="135"/>
    </row>
    <row r="292" spans="1:54" s="21" customFormat="1" ht="18" customHeight="1">
      <c r="A292" s="513">
        <f>A289+1</f>
        <v>95</v>
      </c>
      <c r="B292" s="154" t="s">
        <v>4920</v>
      </c>
      <c r="C292" s="507" t="s">
        <v>4855</v>
      </c>
      <c r="D292" s="80" t="s">
        <v>4916</v>
      </c>
      <c r="E292" s="127" t="s">
        <v>4917</v>
      </c>
      <c r="F292" s="128" t="s">
        <v>75</v>
      </c>
      <c r="G292" s="158"/>
      <c r="H292" s="82" t="s">
        <v>4956</v>
      </c>
      <c r="I292" s="127" t="s">
        <v>9</v>
      </c>
      <c r="J292" s="128"/>
      <c r="K292" s="129">
        <f>M294</f>
        <v>1E-3</v>
      </c>
      <c r="L292" s="129"/>
      <c r="M292" s="129"/>
      <c r="N292" s="127"/>
      <c r="O292" s="127"/>
      <c r="P292" s="127"/>
      <c r="Q292" s="130" t="s">
        <v>4858</v>
      </c>
      <c r="R292" s="130"/>
      <c r="S292" s="155" t="e">
        <f>WORKDAY(T292,-INDEX(T$2:T$5,MATCH($I292,$I$2:$I$5,0)),'[35]Equipment List and MR List (3)'!$A$2:$A$80)</f>
        <v>#REF!</v>
      </c>
      <c r="T292" s="155" t="e">
        <f>WORKDAY(U292,-INDEX(U$2:U$5,MATCH($I292,$I$2:$I$5,0)),$BB$10:$BB$141)</f>
        <v>#REF!</v>
      </c>
      <c r="U292" s="155" t="e">
        <f>WORKDAY(V292,-INDEX(V$2:V$5,MATCH($I292,$I$2:$I$5,0)),$BB$10:$BB$141)</f>
        <v>#REF!</v>
      </c>
      <c r="V292" s="155" t="e">
        <f>WORKDAY(W292,-INDEX(W$2:W$5,MATCH($I292,$I$2:$I$5,0)),$BB$10:$BB$141)</f>
        <v>#REF!</v>
      </c>
      <c r="W292" s="155" t="e">
        <f>WORKDAY(#REF!,-INDEX(#REF!,MATCH($I292,$I$2:$I$5,0)),$BB$10:$BB$141)</f>
        <v>#REF!</v>
      </c>
      <c r="X292" s="155" t="e">
        <f>WORKDAY(Y292,-INDEX(Y$2:Y$5,MATCH($I292,$I$2:$I$5,0)),$BB$10:$BB$141)</f>
        <v>#REF!</v>
      </c>
      <c r="Y292" s="155" t="e">
        <f>WORKDAY(Z292,-INDEX(Z$2:Z$5,MATCH($I292,$I$2:$I$5,0)),$BB$10:$BB$141)</f>
        <v>#REF!</v>
      </c>
      <c r="Z292" s="155" t="e">
        <f>WORKDAY(AA292,-INDEX(AA$2:AA$5,MATCH($I292,$I$2:$I$5,0)),$BB$10:$BB$141)</f>
        <v>#REF!</v>
      </c>
      <c r="AA292" s="155" t="e">
        <f>WORKDAY(#REF!,-INDEX(#REF!,MATCH($I292,$I$2:$I$5,0)),$BB$10:$BB$141)</f>
        <v>#REF!</v>
      </c>
      <c r="AB292" s="155">
        <f>WORKDAY(AG292,0,'[35]Equipment List and MR List (3)'!$A$2:$A$80)</f>
        <v>0</v>
      </c>
      <c r="AC292" s="501" t="s">
        <v>4859</v>
      </c>
      <c r="AD292" s="87">
        <v>7</v>
      </c>
      <c r="AE292" s="495"/>
      <c r="AF292" s="492" t="e">
        <f>AB293</f>
        <v>#REF!</v>
      </c>
      <c r="AG292" s="489"/>
      <c r="AH292" s="88"/>
      <c r="AI292" s="89"/>
      <c r="AJ292" s="486" t="e">
        <f>AG292-AF292</f>
        <v>#REF!</v>
      </c>
      <c r="AK292" s="131"/>
      <c r="AL292" s="132"/>
      <c r="AM292" s="133">
        <f t="shared" ref="AM292:AW292" si="339">IF(ISERROR(LOOKUP(AM$6,$S292:$AB292,$S$9:$AB$9)),0,(LOOKUP(AM$6,$S292:$AB292,$S$9:$AB$9)))</f>
        <v>0.95</v>
      </c>
      <c r="AN292" s="134">
        <f t="shared" si="339"/>
        <v>0.95</v>
      </c>
      <c r="AO292" s="134">
        <f t="shared" si="339"/>
        <v>0.95</v>
      </c>
      <c r="AP292" s="134">
        <f t="shared" si="339"/>
        <v>0.95</v>
      </c>
      <c r="AQ292" s="134">
        <f t="shared" si="339"/>
        <v>0.95</v>
      </c>
      <c r="AR292" s="134">
        <f t="shared" si="339"/>
        <v>0.95</v>
      </c>
      <c r="AS292" s="134">
        <f t="shared" si="339"/>
        <v>0.95</v>
      </c>
      <c r="AT292" s="134">
        <f t="shared" si="339"/>
        <v>0.95</v>
      </c>
      <c r="AU292" s="134">
        <f t="shared" si="339"/>
        <v>0.95</v>
      </c>
      <c r="AV292" s="134">
        <f t="shared" si="339"/>
        <v>0.95</v>
      </c>
      <c r="AW292" s="134">
        <f t="shared" ca="1" si="339"/>
        <v>0.95</v>
      </c>
      <c r="BB292" s="135"/>
    </row>
    <row r="293" spans="1:54" s="21" customFormat="1" ht="18" customHeight="1">
      <c r="A293" s="514"/>
      <c r="B293" s="156"/>
      <c r="C293" s="508"/>
      <c r="D293" s="96" t="str">
        <f>D292</f>
        <v>STR</v>
      </c>
      <c r="E293" s="136" t="str">
        <f>E292</f>
        <v>RFQ-054</v>
      </c>
      <c r="F293" s="137" t="str">
        <f>F292</f>
        <v>N</v>
      </c>
      <c r="G293" s="159"/>
      <c r="H293" s="98" t="str">
        <f>H292</f>
        <v>Steel Grating</v>
      </c>
      <c r="I293" s="136" t="str">
        <f>I292</f>
        <v>LD</v>
      </c>
      <c r="J293" s="137"/>
      <c r="K293" s="138"/>
      <c r="L293" s="138">
        <f>M294</f>
        <v>1E-3</v>
      </c>
      <c r="M293" s="138"/>
      <c r="N293" s="136"/>
      <c r="O293" s="136"/>
      <c r="P293" s="136"/>
      <c r="Q293" s="139" t="s">
        <v>4860</v>
      </c>
      <c r="R293" s="139"/>
      <c r="S293" s="140" t="e">
        <f>S292</f>
        <v>#REF!</v>
      </c>
      <c r="T293" s="141" t="e">
        <f>T292</f>
        <v>#REF!</v>
      </c>
      <c r="U293" s="141" t="e">
        <f>WORKDAY(IF(T294="",T293,T294),INDEX(U$2:U$5,MATCH($I292,$I$2:$I$5,0)),$BB$10:$BB$141)</f>
        <v>#REF!</v>
      </c>
      <c r="V293" s="141" t="e">
        <f>WORKDAY(IF(U294="",U293,U294),INDEX(V$2:V$5,MATCH($I292,$I$2:$I$5,0)),$BB$10:$BB$141)</f>
        <v>#REF!</v>
      </c>
      <c r="W293" s="141" t="e">
        <f>WORKDAY(IF(V294="",V293,V294),INDEX(W$2:W$5,MATCH($I292,$I$2:$I$5,0)),$BB$10:$BB$141)</f>
        <v>#REF!</v>
      </c>
      <c r="X293" s="141" t="e">
        <f>WORKDAY(IF(#REF!="",#REF!,#REF!),INDEX(X$2:X$5,MATCH($I292,$I$2:$I$5,0)),$BB$10:$BB$141)</f>
        <v>#REF!</v>
      </c>
      <c r="Y293" s="141" t="e">
        <f>WORKDAY(IF(X294="",X293,X294),INDEX(Y$2:Y$5,MATCH($I292,$I$2:$I$5,0)),$BB$10:$BB$141)</f>
        <v>#REF!</v>
      </c>
      <c r="Z293" s="141" t="e">
        <f>WORKDAY(IF(Y294="",Y293,Y294),INDEX(Z$2:Z$5,MATCH($I292,$I$2:$I$5,0)),$BB$10:$BB$141)</f>
        <v>#REF!</v>
      </c>
      <c r="AA293" s="141" t="e">
        <f>WORKDAY(IF(Z294="",Z293,Z294),INDEX(AA$2:AA$5,MATCH($I292,$I$2:$I$5,0)),$BB$10:$BB$141)</f>
        <v>#REF!</v>
      </c>
      <c r="AB293" s="142" t="e">
        <f>AE292+#REF!</f>
        <v>#REF!</v>
      </c>
      <c r="AC293" s="502"/>
      <c r="AD293" s="105"/>
      <c r="AE293" s="496"/>
      <c r="AF293" s="493"/>
      <c r="AG293" s="490"/>
      <c r="AH293" s="106"/>
      <c r="AI293" s="107"/>
      <c r="AJ293" s="487"/>
      <c r="AK293" s="143"/>
      <c r="AL293" s="144"/>
      <c r="AM293" s="133">
        <f t="shared" ref="AM293:AW293" si="340">IF(ISERROR(LOOKUP(AM$6,$S293:$AB293,$S$9:$AB$9)),0,(LOOKUP(AM$6,$S293:$AB293,$S$9:$AB$9)))</f>
        <v>0</v>
      </c>
      <c r="AN293" s="134">
        <f t="shared" si="340"/>
        <v>0</v>
      </c>
      <c r="AO293" s="134">
        <f t="shared" si="340"/>
        <v>0</v>
      </c>
      <c r="AP293" s="134">
        <f t="shared" si="340"/>
        <v>0</v>
      </c>
      <c r="AQ293" s="134">
        <f t="shared" si="340"/>
        <v>0</v>
      </c>
      <c r="AR293" s="134">
        <f t="shared" si="340"/>
        <v>0</v>
      </c>
      <c r="AS293" s="134">
        <f t="shared" si="340"/>
        <v>0</v>
      </c>
      <c r="AT293" s="134">
        <f t="shared" si="340"/>
        <v>0</v>
      </c>
      <c r="AU293" s="134">
        <f t="shared" si="340"/>
        <v>0</v>
      </c>
      <c r="AV293" s="134">
        <f t="shared" si="340"/>
        <v>0</v>
      </c>
      <c r="AW293" s="134">
        <f t="shared" ca="1" si="340"/>
        <v>0</v>
      </c>
      <c r="BB293" s="135"/>
    </row>
    <row r="294" spans="1:54" s="21" customFormat="1" ht="18" customHeight="1">
      <c r="A294" s="515"/>
      <c r="B294" s="157"/>
      <c r="C294" s="509"/>
      <c r="D294" s="111" t="str">
        <f>D292</f>
        <v>STR</v>
      </c>
      <c r="E294" s="145" t="str">
        <f>E292</f>
        <v>RFQ-054</v>
      </c>
      <c r="F294" s="146" t="str">
        <f>F292</f>
        <v>N</v>
      </c>
      <c r="G294" s="160"/>
      <c r="H294" s="113" t="str">
        <f>H292</f>
        <v>Steel Grating</v>
      </c>
      <c r="I294" s="145" t="str">
        <f>I292</f>
        <v>LD</v>
      </c>
      <c r="J294" s="146"/>
      <c r="K294" s="147"/>
      <c r="L294" s="147"/>
      <c r="M294" s="147">
        <v>1E-3</v>
      </c>
      <c r="N294" s="145"/>
      <c r="O294" s="145"/>
      <c r="P294" s="145"/>
      <c r="Q294" s="148" t="s">
        <v>4861</v>
      </c>
      <c r="R294" s="148"/>
      <c r="S294" s="149"/>
      <c r="T294" s="149"/>
      <c r="U294" s="149"/>
      <c r="V294" s="149"/>
      <c r="W294" s="149"/>
      <c r="X294" s="149"/>
      <c r="Y294" s="149"/>
      <c r="Z294" s="149"/>
      <c r="AA294" s="149"/>
      <c r="AB294" s="149"/>
      <c r="AC294" s="503"/>
      <c r="AD294" s="116"/>
      <c r="AE294" s="497"/>
      <c r="AF294" s="494"/>
      <c r="AG294" s="491"/>
      <c r="AH294" s="117"/>
      <c r="AI294" s="118"/>
      <c r="AJ294" s="488"/>
      <c r="AK294" s="150"/>
      <c r="AL294" s="151"/>
      <c r="AM294" s="152">
        <f t="shared" ref="AM294:AW294" si="341">IF(ISERROR(LOOKUP(AM$6,$S294:$AB294,$S$9:$AB$9)),0,(LOOKUP(AM$6,$S294:$AB294,$S$9:$AB$9)))</f>
        <v>0</v>
      </c>
      <c r="AN294" s="153">
        <f t="shared" si="341"/>
        <v>0</v>
      </c>
      <c r="AO294" s="153">
        <f t="shared" si="341"/>
        <v>0</v>
      </c>
      <c r="AP294" s="153">
        <f t="shared" si="341"/>
        <v>0</v>
      </c>
      <c r="AQ294" s="153">
        <f t="shared" si="341"/>
        <v>0</v>
      </c>
      <c r="AR294" s="153">
        <f t="shared" si="341"/>
        <v>0</v>
      </c>
      <c r="AS294" s="153">
        <f t="shared" si="341"/>
        <v>0</v>
      </c>
      <c r="AT294" s="153">
        <f t="shared" si="341"/>
        <v>0</v>
      </c>
      <c r="AU294" s="153">
        <f t="shared" si="341"/>
        <v>0</v>
      </c>
      <c r="AV294" s="153">
        <f t="shared" si="341"/>
        <v>0</v>
      </c>
      <c r="AW294" s="153">
        <f t="shared" ca="1" si="341"/>
        <v>0</v>
      </c>
      <c r="BB294" s="135"/>
    </row>
    <row r="295" spans="1:54" s="21" customFormat="1" ht="18" customHeight="1">
      <c r="A295" s="513">
        <f>A292+1</f>
        <v>96</v>
      </c>
      <c r="B295" s="154" t="s">
        <v>4920</v>
      </c>
      <c r="C295" s="507" t="s">
        <v>4855</v>
      </c>
      <c r="D295" s="80" t="s">
        <v>4957</v>
      </c>
      <c r="E295" s="127" t="s">
        <v>4917</v>
      </c>
      <c r="F295" s="128" t="s">
        <v>75</v>
      </c>
      <c r="G295" s="158"/>
      <c r="H295" s="82" t="s">
        <v>4935</v>
      </c>
      <c r="I295" s="127" t="s">
        <v>9</v>
      </c>
      <c r="J295" s="128"/>
      <c r="K295" s="129">
        <f>M297</f>
        <v>1E-3</v>
      </c>
      <c r="L295" s="129"/>
      <c r="M295" s="129"/>
      <c r="N295" s="127"/>
      <c r="O295" s="127"/>
      <c r="P295" s="127"/>
      <c r="Q295" s="130" t="s">
        <v>4858</v>
      </c>
      <c r="R295" s="130"/>
      <c r="S295" s="155" t="e">
        <f>WORKDAY(T295,-INDEX(T$2:T$5,MATCH($I295,$I$2:$I$5,0)),'[35]Equipment List and MR List (3)'!$A$2:$A$80)</f>
        <v>#REF!</v>
      </c>
      <c r="T295" s="155" t="e">
        <f>WORKDAY(U295,-INDEX(U$2:U$5,MATCH($I295,$I$2:$I$5,0)),$BB$10:$BB$141)</f>
        <v>#REF!</v>
      </c>
      <c r="U295" s="155" t="e">
        <f>WORKDAY(V295,-INDEX(V$2:V$5,MATCH($I295,$I$2:$I$5,0)),$BB$10:$BB$141)</f>
        <v>#REF!</v>
      </c>
      <c r="V295" s="155" t="e">
        <f>WORKDAY(W295,-INDEX(W$2:W$5,MATCH($I295,$I$2:$I$5,0)),$BB$10:$BB$141)</f>
        <v>#REF!</v>
      </c>
      <c r="W295" s="155" t="e">
        <f>WORKDAY(#REF!,-INDEX(#REF!,MATCH($I295,$I$2:$I$5,0)),$BB$10:$BB$141)</f>
        <v>#REF!</v>
      </c>
      <c r="X295" s="155" t="e">
        <f>WORKDAY(Y295,-INDEX(Y$2:Y$5,MATCH($I295,$I$2:$I$5,0)),$BB$10:$BB$141)</f>
        <v>#REF!</v>
      </c>
      <c r="Y295" s="155" t="e">
        <f>WORKDAY(Z295,-INDEX(Z$2:Z$5,MATCH($I295,$I$2:$I$5,0)),$BB$10:$BB$141)</f>
        <v>#REF!</v>
      </c>
      <c r="Z295" s="155" t="e">
        <f>WORKDAY(AA295,-INDEX(AA$2:AA$5,MATCH($I295,$I$2:$I$5,0)),$BB$10:$BB$141)</f>
        <v>#REF!</v>
      </c>
      <c r="AA295" s="155" t="e">
        <f>WORKDAY(#REF!,-INDEX(#REF!,MATCH($I295,$I$2:$I$5,0)),$BB$10:$BB$141)</f>
        <v>#REF!</v>
      </c>
      <c r="AB295" s="155">
        <f>WORKDAY(AG295,0,'[35]Equipment List and MR List (3)'!$A$2:$A$80)</f>
        <v>0</v>
      </c>
      <c r="AC295" s="501" t="s">
        <v>4859</v>
      </c>
      <c r="AD295" s="87">
        <v>7</v>
      </c>
      <c r="AE295" s="495"/>
      <c r="AF295" s="492" t="e">
        <f>AB296</f>
        <v>#REF!</v>
      </c>
      <c r="AG295" s="489"/>
      <c r="AH295" s="88"/>
      <c r="AI295" s="89"/>
      <c r="AJ295" s="486" t="e">
        <f>AG295-AF295</f>
        <v>#REF!</v>
      </c>
      <c r="AK295" s="131"/>
      <c r="AL295" s="132"/>
      <c r="AM295" s="133">
        <f t="shared" ref="AM295:AW295" si="342">IF(ISERROR(LOOKUP(AM$6,$S295:$AB295,$S$9:$AB$9)),0,(LOOKUP(AM$6,$S295:$AB295,$S$9:$AB$9)))</f>
        <v>0.95</v>
      </c>
      <c r="AN295" s="134">
        <f t="shared" si="342"/>
        <v>0.95</v>
      </c>
      <c r="AO295" s="134">
        <f t="shared" si="342"/>
        <v>0.95</v>
      </c>
      <c r="AP295" s="134">
        <f t="shared" si="342"/>
        <v>0.95</v>
      </c>
      <c r="AQ295" s="134">
        <f t="shared" si="342"/>
        <v>0.95</v>
      </c>
      <c r="AR295" s="134">
        <f t="shared" si="342"/>
        <v>0.95</v>
      </c>
      <c r="AS295" s="134">
        <f t="shared" si="342"/>
        <v>0.95</v>
      </c>
      <c r="AT295" s="134">
        <f t="shared" si="342"/>
        <v>0.95</v>
      </c>
      <c r="AU295" s="134">
        <f t="shared" si="342"/>
        <v>0.95</v>
      </c>
      <c r="AV295" s="134">
        <f t="shared" si="342"/>
        <v>0.95</v>
      </c>
      <c r="AW295" s="134">
        <f t="shared" ca="1" si="342"/>
        <v>0.95</v>
      </c>
      <c r="BB295" s="135"/>
    </row>
    <row r="296" spans="1:54" s="21" customFormat="1" ht="18" customHeight="1">
      <c r="A296" s="514"/>
      <c r="B296" s="156"/>
      <c r="C296" s="508"/>
      <c r="D296" s="96" t="str">
        <f>D295</f>
        <v>MIS</v>
      </c>
      <c r="E296" s="136" t="str">
        <f>E295</f>
        <v>RFQ-054</v>
      </c>
      <c r="F296" s="137" t="str">
        <f>F295</f>
        <v>N</v>
      </c>
      <c r="G296" s="159"/>
      <c r="H296" s="98" t="str">
        <f>H295</f>
        <v>Welding Electrode</v>
      </c>
      <c r="I296" s="136" t="str">
        <f>I295</f>
        <v>LD</v>
      </c>
      <c r="J296" s="137"/>
      <c r="K296" s="138"/>
      <c r="L296" s="138">
        <f>M297</f>
        <v>1E-3</v>
      </c>
      <c r="M296" s="138"/>
      <c r="N296" s="136"/>
      <c r="O296" s="136"/>
      <c r="P296" s="136"/>
      <c r="Q296" s="139" t="s">
        <v>4860</v>
      </c>
      <c r="R296" s="139"/>
      <c r="S296" s="140" t="e">
        <f>S295</f>
        <v>#REF!</v>
      </c>
      <c r="T296" s="141" t="e">
        <f>T295</f>
        <v>#REF!</v>
      </c>
      <c r="U296" s="141" t="e">
        <f>WORKDAY(IF(T297="",T296,T297),INDEX(U$2:U$5,MATCH($I295,$I$2:$I$5,0)),$BB$10:$BB$141)</f>
        <v>#REF!</v>
      </c>
      <c r="V296" s="141" t="e">
        <f>WORKDAY(IF(U297="",U296,U297),INDEX(V$2:V$5,MATCH($I295,$I$2:$I$5,0)),$BB$10:$BB$141)</f>
        <v>#REF!</v>
      </c>
      <c r="W296" s="141" t="e">
        <f>WORKDAY(IF(V297="",V296,V297),INDEX(W$2:W$5,MATCH($I295,$I$2:$I$5,0)),$BB$10:$BB$141)</f>
        <v>#REF!</v>
      </c>
      <c r="X296" s="141" t="e">
        <f>WORKDAY(IF(#REF!="",#REF!,#REF!),INDEX(X$2:X$5,MATCH($I295,$I$2:$I$5,0)),$BB$10:$BB$141)</f>
        <v>#REF!</v>
      </c>
      <c r="Y296" s="141" t="e">
        <f>WORKDAY(IF(X297="",X296,X297),INDEX(Y$2:Y$5,MATCH($I295,$I$2:$I$5,0)),$BB$10:$BB$141)</f>
        <v>#REF!</v>
      </c>
      <c r="Z296" s="141" t="e">
        <f>WORKDAY(IF(Y297="",Y296,Y297),INDEX(Z$2:Z$5,MATCH($I295,$I$2:$I$5,0)),$BB$10:$BB$141)</f>
        <v>#REF!</v>
      </c>
      <c r="AA296" s="141" t="e">
        <f>WORKDAY(IF(Z297="",Z296,Z297),INDEX(AA$2:AA$5,MATCH($I295,$I$2:$I$5,0)),$BB$10:$BB$141)</f>
        <v>#REF!</v>
      </c>
      <c r="AB296" s="142" t="e">
        <f>AE295+#REF!</f>
        <v>#REF!</v>
      </c>
      <c r="AC296" s="502"/>
      <c r="AD296" s="105"/>
      <c r="AE296" s="496"/>
      <c r="AF296" s="493"/>
      <c r="AG296" s="490"/>
      <c r="AH296" s="106"/>
      <c r="AI296" s="107"/>
      <c r="AJ296" s="487"/>
      <c r="AK296" s="143"/>
      <c r="AL296" s="144"/>
      <c r="AM296" s="133">
        <f t="shared" ref="AM296:AW296" si="343">IF(ISERROR(LOOKUP(AM$6,$S296:$AB296,$S$9:$AB$9)),0,(LOOKUP(AM$6,$S296:$AB296,$S$9:$AB$9)))</f>
        <v>0</v>
      </c>
      <c r="AN296" s="134">
        <f t="shared" si="343"/>
        <v>0</v>
      </c>
      <c r="AO296" s="134">
        <f t="shared" si="343"/>
        <v>0</v>
      </c>
      <c r="AP296" s="134">
        <f t="shared" si="343"/>
        <v>0</v>
      </c>
      <c r="AQ296" s="134">
        <f t="shared" si="343"/>
        <v>0</v>
      </c>
      <c r="AR296" s="134">
        <f t="shared" si="343"/>
        <v>0</v>
      </c>
      <c r="AS296" s="134">
        <f t="shared" si="343"/>
        <v>0</v>
      </c>
      <c r="AT296" s="134">
        <f t="shared" si="343"/>
        <v>0</v>
      </c>
      <c r="AU296" s="134">
        <f t="shared" si="343"/>
        <v>0</v>
      </c>
      <c r="AV296" s="134">
        <f t="shared" si="343"/>
        <v>0</v>
      </c>
      <c r="AW296" s="134">
        <f t="shared" ca="1" si="343"/>
        <v>0</v>
      </c>
      <c r="BB296" s="135"/>
    </row>
    <row r="297" spans="1:54" s="21" customFormat="1" ht="18" customHeight="1">
      <c r="A297" s="515"/>
      <c r="B297" s="157"/>
      <c r="C297" s="509"/>
      <c r="D297" s="111" t="str">
        <f>D295</f>
        <v>MIS</v>
      </c>
      <c r="E297" s="145" t="str">
        <f>E295</f>
        <v>RFQ-054</v>
      </c>
      <c r="F297" s="146" t="str">
        <f>F295</f>
        <v>N</v>
      </c>
      <c r="G297" s="160"/>
      <c r="H297" s="113" t="str">
        <f>H295</f>
        <v>Welding Electrode</v>
      </c>
      <c r="I297" s="145" t="str">
        <f>I295</f>
        <v>LD</v>
      </c>
      <c r="J297" s="146"/>
      <c r="K297" s="147"/>
      <c r="L297" s="147"/>
      <c r="M297" s="147">
        <v>1E-3</v>
      </c>
      <c r="N297" s="145"/>
      <c r="O297" s="145"/>
      <c r="P297" s="145"/>
      <c r="Q297" s="148" t="s">
        <v>4861</v>
      </c>
      <c r="R297" s="148"/>
      <c r="S297" s="149"/>
      <c r="T297" s="149"/>
      <c r="U297" s="149"/>
      <c r="V297" s="149"/>
      <c r="W297" s="149"/>
      <c r="X297" s="149"/>
      <c r="Y297" s="149"/>
      <c r="Z297" s="149"/>
      <c r="AA297" s="149"/>
      <c r="AB297" s="149"/>
      <c r="AC297" s="503"/>
      <c r="AD297" s="116"/>
      <c r="AE297" s="497"/>
      <c r="AF297" s="494"/>
      <c r="AG297" s="491"/>
      <c r="AH297" s="117"/>
      <c r="AI297" s="118"/>
      <c r="AJ297" s="488"/>
      <c r="AK297" s="150"/>
      <c r="AL297" s="151"/>
      <c r="AM297" s="152">
        <f t="shared" ref="AM297:AW297" si="344">IF(ISERROR(LOOKUP(AM$6,$S297:$AB297,$S$9:$AB$9)),0,(LOOKUP(AM$6,$S297:$AB297,$S$9:$AB$9)))</f>
        <v>0</v>
      </c>
      <c r="AN297" s="153">
        <f t="shared" si="344"/>
        <v>0</v>
      </c>
      <c r="AO297" s="153">
        <f t="shared" si="344"/>
        <v>0</v>
      </c>
      <c r="AP297" s="153">
        <f t="shared" si="344"/>
        <v>0</v>
      </c>
      <c r="AQ297" s="153">
        <f t="shared" si="344"/>
        <v>0</v>
      </c>
      <c r="AR297" s="153">
        <f t="shared" si="344"/>
        <v>0</v>
      </c>
      <c r="AS297" s="153">
        <f t="shared" si="344"/>
        <v>0</v>
      </c>
      <c r="AT297" s="153">
        <f t="shared" si="344"/>
        <v>0</v>
      </c>
      <c r="AU297" s="153">
        <f t="shared" si="344"/>
        <v>0</v>
      </c>
      <c r="AV297" s="153">
        <f t="shared" si="344"/>
        <v>0</v>
      </c>
      <c r="AW297" s="153">
        <f t="shared" ca="1" si="344"/>
        <v>0</v>
      </c>
      <c r="BB297" s="135"/>
    </row>
    <row r="298" spans="1:54" s="21" customFormat="1" ht="18" customHeight="1">
      <c r="A298" s="513">
        <f>A229+1</f>
        <v>75</v>
      </c>
      <c r="B298" s="154"/>
      <c r="C298" s="507" t="s">
        <v>4855</v>
      </c>
      <c r="D298" s="80"/>
      <c r="E298" s="127" t="s">
        <v>4917</v>
      </c>
      <c r="F298" s="128" t="s">
        <v>75</v>
      </c>
      <c r="G298" s="158"/>
      <c r="H298" s="82"/>
      <c r="I298" s="127" t="s">
        <v>9</v>
      </c>
      <c r="J298" s="128"/>
      <c r="K298" s="129">
        <f>M300</f>
        <v>1E-3</v>
      </c>
      <c r="L298" s="129"/>
      <c r="M298" s="129"/>
      <c r="N298" s="127"/>
      <c r="O298" s="127"/>
      <c r="P298" s="127"/>
      <c r="Q298" s="130" t="s">
        <v>4858</v>
      </c>
      <c r="R298" s="130"/>
      <c r="S298" s="155" t="e">
        <f>WORKDAY(T298,-INDEX(T$2:T$5,MATCH($I298,$I$2:$I$5,0)),'[35]Equipment List and MR List (3)'!$A$2:$A$80)</f>
        <v>#REF!</v>
      </c>
      <c r="T298" s="155" t="e">
        <f>WORKDAY(U298,-INDEX(U$2:U$5,MATCH($I298,$I$2:$I$5,0)),$BB$10:$BB$141)</f>
        <v>#REF!</v>
      </c>
      <c r="U298" s="155" t="e">
        <f>WORKDAY(V298,-INDEX(V$2:V$5,MATCH($I298,$I$2:$I$5,0)),$BB$10:$BB$141)</f>
        <v>#REF!</v>
      </c>
      <c r="V298" s="155" t="e">
        <f>WORKDAY(W298,-INDEX(W$2:W$5,MATCH($I298,$I$2:$I$5,0)),$BB$10:$BB$141)</f>
        <v>#REF!</v>
      </c>
      <c r="W298" s="155" t="e">
        <f>WORKDAY(#REF!,-INDEX(#REF!,MATCH($I298,$I$2:$I$5,0)),$BB$10:$BB$141)</f>
        <v>#REF!</v>
      </c>
      <c r="X298" s="155" t="e">
        <f>WORKDAY(Y298,-INDEX(Y$2:Y$5,MATCH($I298,$I$2:$I$5,0)),$BB$10:$BB$141)</f>
        <v>#REF!</v>
      </c>
      <c r="Y298" s="155" t="e">
        <f>WORKDAY(Z298,-INDEX(Z$2:Z$5,MATCH($I298,$I$2:$I$5,0)),$BB$10:$BB$141)</f>
        <v>#REF!</v>
      </c>
      <c r="Z298" s="155" t="e">
        <f>WORKDAY(AA298,-INDEX(AA$2:AA$5,MATCH($I298,$I$2:$I$5,0)),$BB$10:$BB$141)</f>
        <v>#REF!</v>
      </c>
      <c r="AA298" s="155" t="e">
        <f>WORKDAY(#REF!,-INDEX(#REF!,MATCH($I298,$I$2:$I$5,0)),$BB$10:$BB$141)</f>
        <v>#REF!</v>
      </c>
      <c r="AB298" s="155">
        <f>WORKDAY(AG298,0,'[35]Equipment List and MR List (3)'!$A$2:$A$80)</f>
        <v>0</v>
      </c>
      <c r="AC298" s="501" t="s">
        <v>4859</v>
      </c>
      <c r="AD298" s="87">
        <v>7</v>
      </c>
      <c r="AE298" s="495"/>
      <c r="AF298" s="492" t="e">
        <f>AB299</f>
        <v>#REF!</v>
      </c>
      <c r="AG298" s="489"/>
      <c r="AH298" s="88"/>
      <c r="AI298" s="89"/>
      <c r="AJ298" s="486" t="e">
        <f>AG298-AF298</f>
        <v>#REF!</v>
      </c>
      <c r="AK298" s="131"/>
      <c r="AL298" s="132"/>
      <c r="AM298" s="133">
        <f t="shared" ref="AM298:AW298" si="345">IF(ISERROR(LOOKUP(AM$6,$S298:$AB298,$S$9:$AB$9)),0,(LOOKUP(AM$6,$S298:$AB298,$S$9:$AB$9)))</f>
        <v>0.95</v>
      </c>
      <c r="AN298" s="134">
        <f t="shared" si="345"/>
        <v>0.95</v>
      </c>
      <c r="AO298" s="134">
        <f t="shared" si="345"/>
        <v>0.95</v>
      </c>
      <c r="AP298" s="134">
        <f t="shared" si="345"/>
        <v>0.95</v>
      </c>
      <c r="AQ298" s="134">
        <f t="shared" si="345"/>
        <v>0.95</v>
      </c>
      <c r="AR298" s="134">
        <f t="shared" si="345"/>
        <v>0.95</v>
      </c>
      <c r="AS298" s="134">
        <f t="shared" si="345"/>
        <v>0.95</v>
      </c>
      <c r="AT298" s="134">
        <f t="shared" si="345"/>
        <v>0.95</v>
      </c>
      <c r="AU298" s="134">
        <f t="shared" si="345"/>
        <v>0.95</v>
      </c>
      <c r="AV298" s="134">
        <f t="shared" si="345"/>
        <v>0.95</v>
      </c>
      <c r="AW298" s="134">
        <f t="shared" ca="1" si="345"/>
        <v>0.95</v>
      </c>
      <c r="BB298" s="135"/>
    </row>
    <row r="299" spans="1:54" s="21" customFormat="1" ht="18" customHeight="1">
      <c r="A299" s="514"/>
      <c r="B299" s="156"/>
      <c r="C299" s="508"/>
      <c r="D299" s="96"/>
      <c r="E299" s="136" t="str">
        <f>E298</f>
        <v>RFQ-054</v>
      </c>
      <c r="F299" s="137" t="str">
        <f>F298</f>
        <v>N</v>
      </c>
      <c r="G299" s="159"/>
      <c r="H299" s="98"/>
      <c r="I299" s="136" t="str">
        <f>I298</f>
        <v>LD</v>
      </c>
      <c r="J299" s="137"/>
      <c r="K299" s="138"/>
      <c r="L299" s="138">
        <f>M300</f>
        <v>1E-3</v>
      </c>
      <c r="M299" s="138"/>
      <c r="N299" s="136"/>
      <c r="O299" s="136"/>
      <c r="P299" s="136"/>
      <c r="Q299" s="139" t="s">
        <v>4860</v>
      </c>
      <c r="R299" s="139"/>
      <c r="S299" s="140" t="e">
        <f>S298</f>
        <v>#REF!</v>
      </c>
      <c r="T299" s="141" t="e">
        <f>T298</f>
        <v>#REF!</v>
      </c>
      <c r="U299" s="141" t="e">
        <f>WORKDAY(IF(T300="",T299,T300),INDEX(U$2:U$5,MATCH($I298,$I$2:$I$5,0)),$BB$10:$BB$141)</f>
        <v>#REF!</v>
      </c>
      <c r="V299" s="141" t="e">
        <f>WORKDAY(IF(U300="",U299,U300),INDEX(V$2:V$5,MATCH($I298,$I$2:$I$5,0)),$BB$10:$BB$141)</f>
        <v>#REF!</v>
      </c>
      <c r="W299" s="141" t="e">
        <f>WORKDAY(IF(V300="",V299,V300),INDEX(W$2:W$5,MATCH($I298,$I$2:$I$5,0)),$BB$10:$BB$141)</f>
        <v>#REF!</v>
      </c>
      <c r="X299" s="141" t="e">
        <f>WORKDAY(IF(#REF!="",#REF!,#REF!),INDEX(X$2:X$5,MATCH($I298,$I$2:$I$5,0)),$BB$10:$BB$141)</f>
        <v>#REF!</v>
      </c>
      <c r="Y299" s="141" t="e">
        <f>WORKDAY(IF(X300="",X299,X300),INDEX(Y$2:Y$5,MATCH($I298,$I$2:$I$5,0)),$BB$10:$BB$141)</f>
        <v>#REF!</v>
      </c>
      <c r="Z299" s="141" t="e">
        <f>WORKDAY(IF(Y300="",Y299,Y300),INDEX(Z$2:Z$5,MATCH($I298,$I$2:$I$5,0)),$BB$10:$BB$141)</f>
        <v>#REF!</v>
      </c>
      <c r="AA299" s="141" t="e">
        <f>WORKDAY(IF(Z300="",Z299,Z300),INDEX(AA$2:AA$5,MATCH($I298,$I$2:$I$5,0)),$BB$10:$BB$141)</f>
        <v>#REF!</v>
      </c>
      <c r="AB299" s="142" t="e">
        <f>AE298+#REF!</f>
        <v>#REF!</v>
      </c>
      <c r="AC299" s="502"/>
      <c r="AD299" s="105"/>
      <c r="AE299" s="496"/>
      <c r="AF299" s="493"/>
      <c r="AG299" s="490"/>
      <c r="AH299" s="106"/>
      <c r="AI299" s="107"/>
      <c r="AJ299" s="487"/>
      <c r="AK299" s="143"/>
      <c r="AL299" s="144"/>
      <c r="AM299" s="133">
        <f t="shared" ref="AM299:AW299" si="346">IF(ISERROR(LOOKUP(AM$6,$S299:$AB299,$S$9:$AB$9)),0,(LOOKUP(AM$6,$S299:$AB299,$S$9:$AB$9)))</f>
        <v>0</v>
      </c>
      <c r="AN299" s="134">
        <f t="shared" si="346"/>
        <v>0</v>
      </c>
      <c r="AO299" s="134">
        <f t="shared" si="346"/>
        <v>0</v>
      </c>
      <c r="AP299" s="134">
        <f t="shared" si="346"/>
        <v>0</v>
      </c>
      <c r="AQ299" s="134">
        <f t="shared" si="346"/>
        <v>0</v>
      </c>
      <c r="AR299" s="134">
        <f t="shared" si="346"/>
        <v>0</v>
      </c>
      <c r="AS299" s="134">
        <f t="shared" si="346"/>
        <v>0</v>
      </c>
      <c r="AT299" s="134">
        <f t="shared" si="346"/>
        <v>0</v>
      </c>
      <c r="AU299" s="134">
        <f t="shared" si="346"/>
        <v>0</v>
      </c>
      <c r="AV299" s="134">
        <f t="shared" si="346"/>
        <v>0</v>
      </c>
      <c r="AW299" s="134">
        <f t="shared" ca="1" si="346"/>
        <v>0</v>
      </c>
      <c r="BB299" s="135"/>
    </row>
    <row r="300" spans="1:54" s="21" customFormat="1" ht="18" customHeight="1">
      <c r="A300" s="515"/>
      <c r="B300" s="157"/>
      <c r="C300" s="509"/>
      <c r="D300" s="111"/>
      <c r="E300" s="145" t="str">
        <f>E298</f>
        <v>RFQ-054</v>
      </c>
      <c r="F300" s="146" t="str">
        <f>F298</f>
        <v>N</v>
      </c>
      <c r="G300" s="160"/>
      <c r="H300" s="113"/>
      <c r="I300" s="145" t="str">
        <f>I298</f>
        <v>LD</v>
      </c>
      <c r="J300" s="146"/>
      <c r="K300" s="147"/>
      <c r="L300" s="147"/>
      <c r="M300" s="147">
        <v>1E-3</v>
      </c>
      <c r="N300" s="145"/>
      <c r="O300" s="145"/>
      <c r="P300" s="145"/>
      <c r="Q300" s="148" t="s">
        <v>4861</v>
      </c>
      <c r="R300" s="148"/>
      <c r="S300" s="149"/>
      <c r="T300" s="149"/>
      <c r="U300" s="149"/>
      <c r="V300" s="149"/>
      <c r="W300" s="149"/>
      <c r="X300" s="149"/>
      <c r="Y300" s="149"/>
      <c r="Z300" s="149"/>
      <c r="AA300" s="149"/>
      <c r="AB300" s="149"/>
      <c r="AC300" s="503"/>
      <c r="AD300" s="116"/>
      <c r="AE300" s="497"/>
      <c r="AF300" s="494"/>
      <c r="AG300" s="491"/>
      <c r="AH300" s="117"/>
      <c r="AI300" s="118"/>
      <c r="AJ300" s="488"/>
      <c r="AK300" s="150"/>
      <c r="AL300" s="151"/>
      <c r="AM300" s="152">
        <f t="shared" ref="AM300:AW300" si="347">IF(ISERROR(LOOKUP(AM$6,$S300:$AB300,$S$9:$AB$9)),0,(LOOKUP(AM$6,$S300:$AB300,$S$9:$AB$9)))</f>
        <v>0</v>
      </c>
      <c r="AN300" s="153">
        <f t="shared" si="347"/>
        <v>0</v>
      </c>
      <c r="AO300" s="153">
        <f t="shared" si="347"/>
        <v>0</v>
      </c>
      <c r="AP300" s="153">
        <f t="shared" si="347"/>
        <v>0</v>
      </c>
      <c r="AQ300" s="153">
        <f t="shared" si="347"/>
        <v>0</v>
      </c>
      <c r="AR300" s="153">
        <f t="shared" si="347"/>
        <v>0</v>
      </c>
      <c r="AS300" s="153">
        <f t="shared" si="347"/>
        <v>0</v>
      </c>
      <c r="AT300" s="153">
        <f t="shared" si="347"/>
        <v>0</v>
      </c>
      <c r="AU300" s="153">
        <f t="shared" si="347"/>
        <v>0</v>
      </c>
      <c r="AV300" s="153">
        <f t="shared" si="347"/>
        <v>0</v>
      </c>
      <c r="AW300" s="153">
        <f t="shared" ca="1" si="347"/>
        <v>0</v>
      </c>
      <c r="BB300" s="135"/>
    </row>
    <row r="301" spans="1:54" ht="20.100000000000001" customHeight="1">
      <c r="E301" s="29"/>
    </row>
    <row r="303" spans="1:54" ht="20.100000000000001" customHeight="1">
      <c r="AH303" s="32" t="s">
        <v>4958</v>
      </c>
    </row>
  </sheetData>
  <protectedRanges>
    <protectedRange password="C5A1" sqref="H5 AD5:AK5" name="区域1"/>
  </protectedRanges>
  <mergeCells count="794">
    <mergeCell ref="A6:A7"/>
    <mergeCell ref="A10:A12"/>
    <mergeCell ref="A13:A15"/>
    <mergeCell ref="A16:A18"/>
    <mergeCell ref="A19:A21"/>
    <mergeCell ref="A22:A24"/>
    <mergeCell ref="A25:A27"/>
    <mergeCell ref="A28:A30"/>
    <mergeCell ref="A31:A33"/>
    <mergeCell ref="A34:A36"/>
    <mergeCell ref="A37:A39"/>
    <mergeCell ref="A40:A42"/>
    <mergeCell ref="A43:A45"/>
    <mergeCell ref="A46:A48"/>
    <mergeCell ref="A49:A51"/>
    <mergeCell ref="A52:A54"/>
    <mergeCell ref="A55:A57"/>
    <mergeCell ref="A58:A60"/>
    <mergeCell ref="A61:A63"/>
    <mergeCell ref="A64:A66"/>
    <mergeCell ref="A67:A69"/>
    <mergeCell ref="A70:A72"/>
    <mergeCell ref="A73:A75"/>
    <mergeCell ref="A76:A78"/>
    <mergeCell ref="A79:A81"/>
    <mergeCell ref="A82:A84"/>
    <mergeCell ref="A85:A87"/>
    <mergeCell ref="A88:A90"/>
    <mergeCell ref="A91:A93"/>
    <mergeCell ref="A94:A96"/>
    <mergeCell ref="A97:A99"/>
    <mergeCell ref="A100:A102"/>
    <mergeCell ref="A103:A105"/>
    <mergeCell ref="A106:A108"/>
    <mergeCell ref="A109:A111"/>
    <mergeCell ref="A112:A114"/>
    <mergeCell ref="A115:A117"/>
    <mergeCell ref="A118:A120"/>
    <mergeCell ref="A121:A123"/>
    <mergeCell ref="A124:A126"/>
    <mergeCell ref="A127:A129"/>
    <mergeCell ref="A130:A132"/>
    <mergeCell ref="A133:A135"/>
    <mergeCell ref="A136:A138"/>
    <mergeCell ref="A139:A141"/>
    <mergeCell ref="A142:A144"/>
    <mergeCell ref="A145:A147"/>
    <mergeCell ref="A148:A150"/>
    <mergeCell ref="A151:A153"/>
    <mergeCell ref="A154:A156"/>
    <mergeCell ref="A157:A159"/>
    <mergeCell ref="A160:A162"/>
    <mergeCell ref="A163:A165"/>
    <mergeCell ref="A166:A168"/>
    <mergeCell ref="A169:A171"/>
    <mergeCell ref="A172:A174"/>
    <mergeCell ref="A175:A177"/>
    <mergeCell ref="A178:A180"/>
    <mergeCell ref="A181:A183"/>
    <mergeCell ref="A184:A186"/>
    <mergeCell ref="A187:A189"/>
    <mergeCell ref="A190:A192"/>
    <mergeCell ref="A193:A195"/>
    <mergeCell ref="A196:A198"/>
    <mergeCell ref="A199:A201"/>
    <mergeCell ref="A202:A204"/>
    <mergeCell ref="A205:A207"/>
    <mergeCell ref="A208:A210"/>
    <mergeCell ref="A211:A213"/>
    <mergeCell ref="A214:A216"/>
    <mergeCell ref="A217:A219"/>
    <mergeCell ref="A220:A222"/>
    <mergeCell ref="A223:A225"/>
    <mergeCell ref="A226:A228"/>
    <mergeCell ref="A229:A231"/>
    <mergeCell ref="A232:A234"/>
    <mergeCell ref="A235:A237"/>
    <mergeCell ref="A238:A240"/>
    <mergeCell ref="A241:A243"/>
    <mergeCell ref="A244:A246"/>
    <mergeCell ref="A247:A249"/>
    <mergeCell ref="A250:A252"/>
    <mergeCell ref="A253:A255"/>
    <mergeCell ref="A256:A258"/>
    <mergeCell ref="A259:A261"/>
    <mergeCell ref="A262:A264"/>
    <mergeCell ref="A265:A267"/>
    <mergeCell ref="A268:A270"/>
    <mergeCell ref="A271:A273"/>
    <mergeCell ref="A274:A276"/>
    <mergeCell ref="A277:A279"/>
    <mergeCell ref="A280:A282"/>
    <mergeCell ref="A283:A285"/>
    <mergeCell ref="A286:A288"/>
    <mergeCell ref="A289:A291"/>
    <mergeCell ref="A292:A294"/>
    <mergeCell ref="A295:A297"/>
    <mergeCell ref="A298:A300"/>
    <mergeCell ref="B6:B7"/>
    <mergeCell ref="B10:B12"/>
    <mergeCell ref="B16:B18"/>
    <mergeCell ref="B19:B21"/>
    <mergeCell ref="B22:B24"/>
    <mergeCell ref="B25:B27"/>
    <mergeCell ref="B31:B33"/>
    <mergeCell ref="B34:B36"/>
    <mergeCell ref="B37:B39"/>
    <mergeCell ref="B40:B42"/>
    <mergeCell ref="B43:B45"/>
    <mergeCell ref="B46:B48"/>
    <mergeCell ref="B49:B51"/>
    <mergeCell ref="B61:B63"/>
    <mergeCell ref="B91:B93"/>
    <mergeCell ref="B169:B171"/>
    <mergeCell ref="B172:B174"/>
    <mergeCell ref="B175:B177"/>
    <mergeCell ref="B178:B180"/>
    <mergeCell ref="C6:C7"/>
    <mergeCell ref="C10:C12"/>
    <mergeCell ref="C13:C15"/>
    <mergeCell ref="C16:C18"/>
    <mergeCell ref="C19:C21"/>
    <mergeCell ref="C22:C24"/>
    <mergeCell ref="C25:C27"/>
    <mergeCell ref="C28:C30"/>
    <mergeCell ref="C31:C33"/>
    <mergeCell ref="C34:C36"/>
    <mergeCell ref="C37:C39"/>
    <mergeCell ref="C40:C42"/>
    <mergeCell ref="C43:C45"/>
    <mergeCell ref="C46:C48"/>
    <mergeCell ref="C49:C51"/>
    <mergeCell ref="C52:C54"/>
    <mergeCell ref="C55:C57"/>
    <mergeCell ref="C58:C60"/>
    <mergeCell ref="C61:C63"/>
    <mergeCell ref="C64:C66"/>
    <mergeCell ref="C67:C69"/>
    <mergeCell ref="C70:C72"/>
    <mergeCell ref="C73:C75"/>
    <mergeCell ref="C76:C78"/>
    <mergeCell ref="C79:C81"/>
    <mergeCell ref="C82:C84"/>
    <mergeCell ref="C85:C87"/>
    <mergeCell ref="C88:C90"/>
    <mergeCell ref="C91:C93"/>
    <mergeCell ref="C94:C96"/>
    <mergeCell ref="C97:C99"/>
    <mergeCell ref="C100:C102"/>
    <mergeCell ref="C103:C105"/>
    <mergeCell ref="C106:C108"/>
    <mergeCell ref="C109:C111"/>
    <mergeCell ref="C112:C114"/>
    <mergeCell ref="C115:C117"/>
    <mergeCell ref="C118:C120"/>
    <mergeCell ref="C121:C123"/>
    <mergeCell ref="C124:C126"/>
    <mergeCell ref="C127:C129"/>
    <mergeCell ref="C130:C132"/>
    <mergeCell ref="C133:C135"/>
    <mergeCell ref="C136:C138"/>
    <mergeCell ref="C139:C141"/>
    <mergeCell ref="C142:C144"/>
    <mergeCell ref="C145:C147"/>
    <mergeCell ref="C148:C150"/>
    <mergeCell ref="C151:C153"/>
    <mergeCell ref="C154:C156"/>
    <mergeCell ref="C157:C159"/>
    <mergeCell ref="C160:C162"/>
    <mergeCell ref="C163:C165"/>
    <mergeCell ref="C166:C168"/>
    <mergeCell ref="C169:C171"/>
    <mergeCell ref="C172:C174"/>
    <mergeCell ref="C175:C177"/>
    <mergeCell ref="C178:C180"/>
    <mergeCell ref="C181:C183"/>
    <mergeCell ref="C184:C186"/>
    <mergeCell ref="C187:C189"/>
    <mergeCell ref="C190:C192"/>
    <mergeCell ref="C193:C195"/>
    <mergeCell ref="C196:C198"/>
    <mergeCell ref="C199:C201"/>
    <mergeCell ref="C202:C204"/>
    <mergeCell ref="C205:C207"/>
    <mergeCell ref="C208:C210"/>
    <mergeCell ref="C211:C213"/>
    <mergeCell ref="C214:C216"/>
    <mergeCell ref="C217:C219"/>
    <mergeCell ref="C220:C222"/>
    <mergeCell ref="C223:C225"/>
    <mergeCell ref="C226:C228"/>
    <mergeCell ref="C229:C231"/>
    <mergeCell ref="C232:C234"/>
    <mergeCell ref="C235:C237"/>
    <mergeCell ref="C238:C240"/>
    <mergeCell ref="C241:C243"/>
    <mergeCell ref="C244:C246"/>
    <mergeCell ref="C247:C249"/>
    <mergeCell ref="C250:C252"/>
    <mergeCell ref="C253:C255"/>
    <mergeCell ref="C256:C258"/>
    <mergeCell ref="C259:C261"/>
    <mergeCell ref="C262:C264"/>
    <mergeCell ref="C265:C267"/>
    <mergeCell ref="C268:C270"/>
    <mergeCell ref="C271:C273"/>
    <mergeCell ref="C274:C276"/>
    <mergeCell ref="C277:C279"/>
    <mergeCell ref="C280:C282"/>
    <mergeCell ref="C283:C285"/>
    <mergeCell ref="C286:C288"/>
    <mergeCell ref="C289:C291"/>
    <mergeCell ref="C292:C294"/>
    <mergeCell ref="C295:C297"/>
    <mergeCell ref="C298:C300"/>
    <mergeCell ref="D6:D7"/>
    <mergeCell ref="E6:E7"/>
    <mergeCell ref="G6:G7"/>
    <mergeCell ref="G10:G12"/>
    <mergeCell ref="G13:G15"/>
    <mergeCell ref="G16:G18"/>
    <mergeCell ref="G19:G21"/>
    <mergeCell ref="G22:G24"/>
    <mergeCell ref="G25:G27"/>
    <mergeCell ref="G28:G30"/>
    <mergeCell ref="G31:G33"/>
    <mergeCell ref="G34:G36"/>
    <mergeCell ref="G37:G39"/>
    <mergeCell ref="G40:G42"/>
    <mergeCell ref="G43:G45"/>
    <mergeCell ref="G46:G48"/>
    <mergeCell ref="G49:G51"/>
    <mergeCell ref="G52:G54"/>
    <mergeCell ref="G55:G57"/>
    <mergeCell ref="G58:G60"/>
    <mergeCell ref="G61:G63"/>
    <mergeCell ref="G64:G66"/>
    <mergeCell ref="G67:G69"/>
    <mergeCell ref="G70:G72"/>
    <mergeCell ref="G73:G75"/>
    <mergeCell ref="G76:G78"/>
    <mergeCell ref="G79:G81"/>
    <mergeCell ref="G82:G84"/>
    <mergeCell ref="G85:G87"/>
    <mergeCell ref="G88:G90"/>
    <mergeCell ref="G91:G93"/>
    <mergeCell ref="G94:G96"/>
    <mergeCell ref="G97:G99"/>
    <mergeCell ref="G100:G102"/>
    <mergeCell ref="G103:G105"/>
    <mergeCell ref="G106:G108"/>
    <mergeCell ref="G109:G111"/>
    <mergeCell ref="G157:G159"/>
    <mergeCell ref="G160:G162"/>
    <mergeCell ref="G163:G165"/>
    <mergeCell ref="G112:G114"/>
    <mergeCell ref="G115:G117"/>
    <mergeCell ref="G118:G120"/>
    <mergeCell ref="G121:G123"/>
    <mergeCell ref="G124:G126"/>
    <mergeCell ref="G127:G129"/>
    <mergeCell ref="G130:G132"/>
    <mergeCell ref="G133:G135"/>
    <mergeCell ref="G136:G138"/>
    <mergeCell ref="G193:G195"/>
    <mergeCell ref="G196:G198"/>
    <mergeCell ref="G199:G201"/>
    <mergeCell ref="G202:G204"/>
    <mergeCell ref="G205:G207"/>
    <mergeCell ref="H6:H7"/>
    <mergeCell ref="I6:I7"/>
    <mergeCell ref="J6:J7"/>
    <mergeCell ref="Q6:Q7"/>
    <mergeCell ref="G166:G168"/>
    <mergeCell ref="G169:G171"/>
    <mergeCell ref="G172:G174"/>
    <mergeCell ref="G175:G177"/>
    <mergeCell ref="G178:G180"/>
    <mergeCell ref="G181:G183"/>
    <mergeCell ref="G184:G186"/>
    <mergeCell ref="G187:G189"/>
    <mergeCell ref="G190:G192"/>
    <mergeCell ref="G139:G141"/>
    <mergeCell ref="G142:G144"/>
    <mergeCell ref="G145:G147"/>
    <mergeCell ref="G148:G150"/>
    <mergeCell ref="G151:G153"/>
    <mergeCell ref="G154:G156"/>
    <mergeCell ref="R6:R7"/>
    <mergeCell ref="S6:S7"/>
    <mergeCell ref="T6:T7"/>
    <mergeCell ref="U6:U7"/>
    <mergeCell ref="V6:V7"/>
    <mergeCell ref="W6:W7"/>
    <mergeCell ref="X6:X7"/>
    <mergeCell ref="Y6:Y7"/>
    <mergeCell ref="Z6:Z7"/>
    <mergeCell ref="AA6:AA7"/>
    <mergeCell ref="AB6:AB7"/>
    <mergeCell ref="AC6:AC7"/>
    <mergeCell ref="AC10:AC12"/>
    <mergeCell ref="AC13:AC15"/>
    <mergeCell ref="AC16:AC18"/>
    <mergeCell ref="AC19:AC21"/>
    <mergeCell ref="AC22:AC24"/>
    <mergeCell ref="AC25:AC27"/>
    <mergeCell ref="AC28:AC30"/>
    <mergeCell ref="AC31:AC33"/>
    <mergeCell ref="AC34:AC36"/>
    <mergeCell ref="AC37:AC39"/>
    <mergeCell ref="AC40:AC42"/>
    <mergeCell ref="AC43:AC45"/>
    <mergeCell ref="AC46:AC48"/>
    <mergeCell ref="AC49:AC51"/>
    <mergeCell ref="AC52:AC54"/>
    <mergeCell ref="AC55:AC57"/>
    <mergeCell ref="AC58:AC60"/>
    <mergeCell ref="AC61:AC63"/>
    <mergeCell ref="AC64:AC66"/>
    <mergeCell ref="AC67:AC69"/>
    <mergeCell ref="AC70:AC72"/>
    <mergeCell ref="AC73:AC75"/>
    <mergeCell ref="AC76:AC78"/>
    <mergeCell ref="AC79:AC81"/>
    <mergeCell ref="AC82:AC84"/>
    <mergeCell ref="AC85:AC87"/>
    <mergeCell ref="AC88:AC90"/>
    <mergeCell ref="AC91:AC93"/>
    <mergeCell ref="AC94:AC96"/>
    <mergeCell ref="AC97:AC99"/>
    <mergeCell ref="AC100:AC102"/>
    <mergeCell ref="AC103:AC105"/>
    <mergeCell ref="AC106:AC108"/>
    <mergeCell ref="AC109:AC111"/>
    <mergeCell ref="AC112:AC114"/>
    <mergeCell ref="AC115:AC117"/>
    <mergeCell ref="AC118:AC120"/>
    <mergeCell ref="AC121:AC123"/>
    <mergeCell ref="AC124:AC126"/>
    <mergeCell ref="AC127:AC129"/>
    <mergeCell ref="AC130:AC132"/>
    <mergeCell ref="AC133:AC135"/>
    <mergeCell ref="AC136:AC138"/>
    <mergeCell ref="AC139:AC141"/>
    <mergeCell ref="AC142:AC144"/>
    <mergeCell ref="AC145:AC147"/>
    <mergeCell ref="AC148:AC150"/>
    <mergeCell ref="AC151:AC153"/>
    <mergeCell ref="AC154:AC156"/>
    <mergeCell ref="AC157:AC159"/>
    <mergeCell ref="AC160:AC162"/>
    <mergeCell ref="AC163:AC165"/>
    <mergeCell ref="AC166:AC168"/>
    <mergeCell ref="AC169:AC171"/>
    <mergeCell ref="AC172:AC174"/>
    <mergeCell ref="AC175:AC177"/>
    <mergeCell ref="AC178:AC180"/>
    <mergeCell ref="AC181:AC183"/>
    <mergeCell ref="AC184:AC186"/>
    <mergeCell ref="AC187:AC189"/>
    <mergeCell ref="AC190:AC192"/>
    <mergeCell ref="AC193:AC195"/>
    <mergeCell ref="AC196:AC198"/>
    <mergeCell ref="AC199:AC201"/>
    <mergeCell ref="AC202:AC204"/>
    <mergeCell ref="AC205:AC207"/>
    <mergeCell ref="AC208:AC210"/>
    <mergeCell ref="AC211:AC213"/>
    <mergeCell ref="AC214:AC216"/>
    <mergeCell ref="AC217:AC219"/>
    <mergeCell ref="AC220:AC222"/>
    <mergeCell ref="AC223:AC225"/>
    <mergeCell ref="AC226:AC228"/>
    <mergeCell ref="AC229:AC231"/>
    <mergeCell ref="AC232:AC234"/>
    <mergeCell ref="AC235:AC237"/>
    <mergeCell ref="AC238:AC240"/>
    <mergeCell ref="AC241:AC243"/>
    <mergeCell ref="AC244:AC246"/>
    <mergeCell ref="AC247:AC249"/>
    <mergeCell ref="AC250:AC252"/>
    <mergeCell ref="AC253:AC255"/>
    <mergeCell ref="AC256:AC258"/>
    <mergeCell ref="AC259:AC261"/>
    <mergeCell ref="AC262:AC264"/>
    <mergeCell ref="AC265:AC267"/>
    <mergeCell ref="AC268:AC270"/>
    <mergeCell ref="AC271:AC273"/>
    <mergeCell ref="AC274:AC276"/>
    <mergeCell ref="AC277:AC279"/>
    <mergeCell ref="AC280:AC282"/>
    <mergeCell ref="AC283:AC285"/>
    <mergeCell ref="AC286:AC288"/>
    <mergeCell ref="AC289:AC291"/>
    <mergeCell ref="AC292:AC294"/>
    <mergeCell ref="AC295:AC297"/>
    <mergeCell ref="AC298:AC300"/>
    <mergeCell ref="AD6:AD7"/>
    <mergeCell ref="AE6:AE7"/>
    <mergeCell ref="AE10:AE12"/>
    <mergeCell ref="AE13:AE15"/>
    <mergeCell ref="AE16:AE18"/>
    <mergeCell ref="AE19:AE21"/>
    <mergeCell ref="AE22:AE24"/>
    <mergeCell ref="AE25:AE27"/>
    <mergeCell ref="AE28:AE30"/>
    <mergeCell ref="AE31:AE33"/>
    <mergeCell ref="AE34:AE36"/>
    <mergeCell ref="AE37:AE39"/>
    <mergeCell ref="AE40:AE42"/>
    <mergeCell ref="AE43:AE45"/>
    <mergeCell ref="AE46:AE48"/>
    <mergeCell ref="AE49:AE51"/>
    <mergeCell ref="AE52:AE54"/>
    <mergeCell ref="AE55:AE57"/>
    <mergeCell ref="AE58:AE60"/>
    <mergeCell ref="AE61:AE63"/>
    <mergeCell ref="AE64:AE66"/>
    <mergeCell ref="AE67:AE69"/>
    <mergeCell ref="AE70:AE72"/>
    <mergeCell ref="AE73:AE75"/>
    <mergeCell ref="AE76:AE78"/>
    <mergeCell ref="AE79:AE81"/>
    <mergeCell ref="AE82:AE84"/>
    <mergeCell ref="AE85:AE87"/>
    <mergeCell ref="AE88:AE90"/>
    <mergeCell ref="AE91:AE93"/>
    <mergeCell ref="AE94:AE96"/>
    <mergeCell ref="AE97:AE99"/>
    <mergeCell ref="AE100:AE102"/>
    <mergeCell ref="AE103:AE105"/>
    <mergeCell ref="AE106:AE108"/>
    <mergeCell ref="AE109:AE111"/>
    <mergeCell ref="AE112:AE114"/>
    <mergeCell ref="AE115:AE117"/>
    <mergeCell ref="AE118:AE120"/>
    <mergeCell ref="AE121:AE123"/>
    <mergeCell ref="AE124:AE126"/>
    <mergeCell ref="AE127:AE129"/>
    <mergeCell ref="AE130:AE132"/>
    <mergeCell ref="AE133:AE135"/>
    <mergeCell ref="AE136:AE138"/>
    <mergeCell ref="AE139:AE141"/>
    <mergeCell ref="AE142:AE144"/>
    <mergeCell ref="AE145:AE147"/>
    <mergeCell ref="AE148:AE150"/>
    <mergeCell ref="AE151:AE153"/>
    <mergeCell ref="AE154:AE156"/>
    <mergeCell ref="AE157:AE159"/>
    <mergeCell ref="AE160:AE162"/>
    <mergeCell ref="AE163:AE165"/>
    <mergeCell ref="AE166:AE168"/>
    <mergeCell ref="AE169:AE171"/>
    <mergeCell ref="AE172:AE174"/>
    <mergeCell ref="AE175:AE177"/>
    <mergeCell ref="AE178:AE180"/>
    <mergeCell ref="AE181:AE183"/>
    <mergeCell ref="AE184:AE186"/>
    <mergeCell ref="AE187:AE189"/>
    <mergeCell ref="AE190:AE192"/>
    <mergeCell ref="AE193:AE195"/>
    <mergeCell ref="AE196:AE198"/>
    <mergeCell ref="AE199:AE201"/>
    <mergeCell ref="AE202:AE204"/>
    <mergeCell ref="AE205:AE207"/>
    <mergeCell ref="AE208:AE210"/>
    <mergeCell ref="AE211:AE213"/>
    <mergeCell ref="AE214:AE216"/>
    <mergeCell ref="AE217:AE219"/>
    <mergeCell ref="AE220:AE222"/>
    <mergeCell ref="AE223:AE225"/>
    <mergeCell ref="AE226:AE228"/>
    <mergeCell ref="AE229:AE231"/>
    <mergeCell ref="AE232:AE234"/>
    <mergeCell ref="AE235:AE237"/>
    <mergeCell ref="AE238:AE240"/>
    <mergeCell ref="AE241:AE243"/>
    <mergeCell ref="AE244:AE246"/>
    <mergeCell ref="AE247:AE249"/>
    <mergeCell ref="AE250:AE252"/>
    <mergeCell ref="AE253:AE255"/>
    <mergeCell ref="AE256:AE258"/>
    <mergeCell ref="AE259:AE261"/>
    <mergeCell ref="AE262:AE264"/>
    <mergeCell ref="AE265:AE267"/>
    <mergeCell ref="AE268:AE270"/>
    <mergeCell ref="AE271:AE273"/>
    <mergeCell ref="AE274:AE276"/>
    <mergeCell ref="AE277:AE279"/>
    <mergeCell ref="AE280:AE282"/>
    <mergeCell ref="AE283:AE285"/>
    <mergeCell ref="AE286:AE288"/>
    <mergeCell ref="AE289:AE291"/>
    <mergeCell ref="AE292:AE294"/>
    <mergeCell ref="AE295:AE297"/>
    <mergeCell ref="AE298:AE300"/>
    <mergeCell ref="AF6:AF7"/>
    <mergeCell ref="AF10:AF12"/>
    <mergeCell ref="AF13:AF15"/>
    <mergeCell ref="AF16:AF18"/>
    <mergeCell ref="AF19:AF21"/>
    <mergeCell ref="AF22:AF24"/>
    <mergeCell ref="AF25:AF27"/>
    <mergeCell ref="AF28:AF30"/>
    <mergeCell ref="AF31:AF33"/>
    <mergeCell ref="AF34:AF36"/>
    <mergeCell ref="AF37:AF39"/>
    <mergeCell ref="AF40:AF42"/>
    <mergeCell ref="AF43:AF45"/>
    <mergeCell ref="AF46:AF48"/>
    <mergeCell ref="AF49:AF51"/>
    <mergeCell ref="AF52:AF54"/>
    <mergeCell ref="AF55:AF57"/>
    <mergeCell ref="AF58:AF60"/>
    <mergeCell ref="AF61:AF63"/>
    <mergeCell ref="AF64:AF66"/>
    <mergeCell ref="AF67:AF69"/>
    <mergeCell ref="AF70:AF72"/>
    <mergeCell ref="AF73:AF75"/>
    <mergeCell ref="AF76:AF78"/>
    <mergeCell ref="AF79:AF81"/>
    <mergeCell ref="AF82:AF84"/>
    <mergeCell ref="AF85:AF87"/>
    <mergeCell ref="AF88:AF90"/>
    <mergeCell ref="AF91:AF93"/>
    <mergeCell ref="AF94:AF96"/>
    <mergeCell ref="AF97:AF99"/>
    <mergeCell ref="AF100:AF102"/>
    <mergeCell ref="AF103:AF105"/>
    <mergeCell ref="AF106:AF108"/>
    <mergeCell ref="AF109:AF111"/>
    <mergeCell ref="AF112:AF114"/>
    <mergeCell ref="AF115:AF117"/>
    <mergeCell ref="AF118:AF120"/>
    <mergeCell ref="AF121:AF123"/>
    <mergeCell ref="AF124:AF126"/>
    <mergeCell ref="AF127:AF129"/>
    <mergeCell ref="AF130:AF132"/>
    <mergeCell ref="AF133:AF135"/>
    <mergeCell ref="AF136:AF138"/>
    <mergeCell ref="AF139:AF141"/>
    <mergeCell ref="AF142:AF144"/>
    <mergeCell ref="AF145:AF147"/>
    <mergeCell ref="AF148:AF150"/>
    <mergeCell ref="AF151:AF153"/>
    <mergeCell ref="AF154:AF156"/>
    <mergeCell ref="AF157:AF159"/>
    <mergeCell ref="AF160:AF162"/>
    <mergeCell ref="AF163:AF165"/>
    <mergeCell ref="AF166:AF168"/>
    <mergeCell ref="AF169:AF171"/>
    <mergeCell ref="AF172:AF174"/>
    <mergeCell ref="AF175:AF177"/>
    <mergeCell ref="AF178:AF180"/>
    <mergeCell ref="AF181:AF183"/>
    <mergeCell ref="AF184:AF186"/>
    <mergeCell ref="AF187:AF189"/>
    <mergeCell ref="AF190:AF192"/>
    <mergeCell ref="AF193:AF195"/>
    <mergeCell ref="AF196:AF198"/>
    <mergeCell ref="AF199:AF201"/>
    <mergeCell ref="AF202:AF204"/>
    <mergeCell ref="AF205:AF207"/>
    <mergeCell ref="AF208:AF210"/>
    <mergeCell ref="AF211:AF213"/>
    <mergeCell ref="AF214:AF216"/>
    <mergeCell ref="AF217:AF219"/>
    <mergeCell ref="AF220:AF222"/>
    <mergeCell ref="AF223:AF225"/>
    <mergeCell ref="AF226:AF228"/>
    <mergeCell ref="AF229:AF231"/>
    <mergeCell ref="AF232:AF234"/>
    <mergeCell ref="AF235:AF237"/>
    <mergeCell ref="AF238:AF240"/>
    <mergeCell ref="AF241:AF243"/>
    <mergeCell ref="AF244:AF246"/>
    <mergeCell ref="AF247:AF249"/>
    <mergeCell ref="AF250:AF252"/>
    <mergeCell ref="AF253:AF255"/>
    <mergeCell ref="AF256:AF258"/>
    <mergeCell ref="AF259:AF261"/>
    <mergeCell ref="AF262:AF264"/>
    <mergeCell ref="AF265:AF267"/>
    <mergeCell ref="AF268:AF270"/>
    <mergeCell ref="AF271:AF273"/>
    <mergeCell ref="AF274:AF276"/>
    <mergeCell ref="AF277:AF279"/>
    <mergeCell ref="AF280:AF282"/>
    <mergeCell ref="AF283:AF285"/>
    <mergeCell ref="AF286:AF288"/>
    <mergeCell ref="AF289:AF291"/>
    <mergeCell ref="AF292:AF294"/>
    <mergeCell ref="AF295:AF297"/>
    <mergeCell ref="AF298:AF300"/>
    <mergeCell ref="AG6:AG7"/>
    <mergeCell ref="AG10:AG12"/>
    <mergeCell ref="AG13:AG15"/>
    <mergeCell ref="AG16:AG18"/>
    <mergeCell ref="AG19:AG21"/>
    <mergeCell ref="AG22:AG24"/>
    <mergeCell ref="AG25:AG27"/>
    <mergeCell ref="AG28:AG30"/>
    <mergeCell ref="AG31:AG33"/>
    <mergeCell ref="AG34:AG36"/>
    <mergeCell ref="AG37:AG39"/>
    <mergeCell ref="AG40:AG42"/>
    <mergeCell ref="AG43:AG45"/>
    <mergeCell ref="AG46:AG48"/>
    <mergeCell ref="AG49:AG51"/>
    <mergeCell ref="AG52:AG54"/>
    <mergeCell ref="AG55:AG57"/>
    <mergeCell ref="AG58:AG60"/>
    <mergeCell ref="AG61:AG63"/>
    <mergeCell ref="AG64:AG66"/>
    <mergeCell ref="AG67:AG69"/>
    <mergeCell ref="AG70:AG72"/>
    <mergeCell ref="AG73:AG75"/>
    <mergeCell ref="AG76:AG78"/>
    <mergeCell ref="AG79:AG81"/>
    <mergeCell ref="AG82:AG84"/>
    <mergeCell ref="AG85:AG87"/>
    <mergeCell ref="AG88:AG90"/>
    <mergeCell ref="AG91:AG93"/>
    <mergeCell ref="AG94:AG96"/>
    <mergeCell ref="AG97:AG99"/>
    <mergeCell ref="AG100:AG102"/>
    <mergeCell ref="AG103:AG105"/>
    <mergeCell ref="AG106:AG108"/>
    <mergeCell ref="AG109:AG111"/>
    <mergeCell ref="AG112:AG114"/>
    <mergeCell ref="AG115:AG117"/>
    <mergeCell ref="AG118:AG120"/>
    <mergeCell ref="AG121:AG123"/>
    <mergeCell ref="AG124:AG126"/>
    <mergeCell ref="AG127:AG129"/>
    <mergeCell ref="AG130:AG132"/>
    <mergeCell ref="AG133:AG135"/>
    <mergeCell ref="AG136:AG138"/>
    <mergeCell ref="AG139:AG141"/>
    <mergeCell ref="AG142:AG144"/>
    <mergeCell ref="AG145:AG147"/>
    <mergeCell ref="AG148:AG150"/>
    <mergeCell ref="AG151:AG153"/>
    <mergeCell ref="AG154:AG156"/>
    <mergeCell ref="AG157:AG159"/>
    <mergeCell ref="AG160:AG162"/>
    <mergeCell ref="AG163:AG165"/>
    <mergeCell ref="AG166:AG168"/>
    <mergeCell ref="AG169:AG171"/>
    <mergeCell ref="AG172:AG174"/>
    <mergeCell ref="AG175:AG177"/>
    <mergeCell ref="AG178:AG180"/>
    <mergeCell ref="AG181:AG183"/>
    <mergeCell ref="AG184:AG186"/>
    <mergeCell ref="AG187:AG189"/>
    <mergeCell ref="AG190:AG192"/>
    <mergeCell ref="AG193:AG195"/>
    <mergeCell ref="AG241:AG243"/>
    <mergeCell ref="AG244:AG246"/>
    <mergeCell ref="AG247:AG249"/>
    <mergeCell ref="AG196:AG198"/>
    <mergeCell ref="AG199:AG201"/>
    <mergeCell ref="AG202:AG204"/>
    <mergeCell ref="AG205:AG207"/>
    <mergeCell ref="AG208:AG210"/>
    <mergeCell ref="AG211:AG213"/>
    <mergeCell ref="AG214:AG216"/>
    <mergeCell ref="AG217:AG219"/>
    <mergeCell ref="AG220:AG222"/>
    <mergeCell ref="AG277:AG279"/>
    <mergeCell ref="AG280:AG282"/>
    <mergeCell ref="AG283:AG285"/>
    <mergeCell ref="AG286:AG288"/>
    <mergeCell ref="AG289:AG291"/>
    <mergeCell ref="AG292:AG294"/>
    <mergeCell ref="AG295:AG297"/>
    <mergeCell ref="AG298:AG300"/>
    <mergeCell ref="AH6:AH7"/>
    <mergeCell ref="AG250:AG252"/>
    <mergeCell ref="AG253:AG255"/>
    <mergeCell ref="AG256:AG258"/>
    <mergeCell ref="AG259:AG261"/>
    <mergeCell ref="AG262:AG264"/>
    <mergeCell ref="AG265:AG267"/>
    <mergeCell ref="AG268:AG270"/>
    <mergeCell ref="AG271:AG273"/>
    <mergeCell ref="AG274:AG276"/>
    <mergeCell ref="AG223:AG225"/>
    <mergeCell ref="AG226:AG228"/>
    <mergeCell ref="AG229:AG231"/>
    <mergeCell ref="AG232:AG234"/>
    <mergeCell ref="AG235:AG237"/>
    <mergeCell ref="AG238:AG240"/>
    <mergeCell ref="AI6:AI7"/>
    <mergeCell ref="AJ6:AJ7"/>
    <mergeCell ref="AJ10:AJ12"/>
    <mergeCell ref="AJ13:AJ15"/>
    <mergeCell ref="AJ16:AJ18"/>
    <mergeCell ref="AJ19:AJ21"/>
    <mergeCell ref="AJ22:AJ24"/>
    <mergeCell ref="AJ25:AJ27"/>
    <mergeCell ref="AJ28:AJ30"/>
    <mergeCell ref="AJ31:AJ33"/>
    <mergeCell ref="AJ34:AJ36"/>
    <mergeCell ref="AJ37:AJ39"/>
    <mergeCell ref="AJ40:AJ42"/>
    <mergeCell ref="AJ43:AJ45"/>
    <mergeCell ref="AJ46:AJ48"/>
    <mergeCell ref="AJ49:AJ51"/>
    <mergeCell ref="AJ52:AJ54"/>
    <mergeCell ref="AJ55:AJ57"/>
    <mergeCell ref="AJ58:AJ60"/>
    <mergeCell ref="AJ61:AJ63"/>
    <mergeCell ref="AJ64:AJ66"/>
    <mergeCell ref="AJ67:AJ69"/>
    <mergeCell ref="AJ70:AJ72"/>
    <mergeCell ref="AJ73:AJ75"/>
    <mergeCell ref="AJ76:AJ78"/>
    <mergeCell ref="AJ79:AJ81"/>
    <mergeCell ref="AJ82:AJ84"/>
    <mergeCell ref="AJ85:AJ87"/>
    <mergeCell ref="AJ88:AJ90"/>
    <mergeCell ref="AJ91:AJ93"/>
    <mergeCell ref="AJ94:AJ96"/>
    <mergeCell ref="AJ97:AJ99"/>
    <mergeCell ref="AJ100:AJ102"/>
    <mergeCell ref="AJ103:AJ105"/>
    <mergeCell ref="AJ106:AJ108"/>
    <mergeCell ref="AJ109:AJ111"/>
    <mergeCell ref="AJ112:AJ114"/>
    <mergeCell ref="AJ115:AJ117"/>
    <mergeCell ref="AJ118:AJ120"/>
    <mergeCell ref="AJ121:AJ123"/>
    <mergeCell ref="AJ124:AJ126"/>
    <mergeCell ref="AJ127:AJ129"/>
    <mergeCell ref="AJ130:AJ132"/>
    <mergeCell ref="AJ133:AJ135"/>
    <mergeCell ref="AJ136:AJ138"/>
    <mergeCell ref="AJ139:AJ141"/>
    <mergeCell ref="AJ142:AJ144"/>
    <mergeCell ref="AJ145:AJ147"/>
    <mergeCell ref="AJ148:AJ150"/>
    <mergeCell ref="AJ151:AJ153"/>
    <mergeCell ref="AJ154:AJ156"/>
    <mergeCell ref="AJ157:AJ159"/>
    <mergeCell ref="AJ160:AJ162"/>
    <mergeCell ref="AJ163:AJ165"/>
    <mergeCell ref="AJ211:AJ213"/>
    <mergeCell ref="AJ214:AJ216"/>
    <mergeCell ref="AJ217:AJ219"/>
    <mergeCell ref="AJ166:AJ168"/>
    <mergeCell ref="AJ169:AJ171"/>
    <mergeCell ref="AJ172:AJ174"/>
    <mergeCell ref="AJ175:AJ177"/>
    <mergeCell ref="AJ178:AJ180"/>
    <mergeCell ref="AJ181:AJ183"/>
    <mergeCell ref="AJ184:AJ186"/>
    <mergeCell ref="AJ187:AJ189"/>
    <mergeCell ref="AJ190:AJ192"/>
    <mergeCell ref="AJ295:AJ297"/>
    <mergeCell ref="AJ298:AJ300"/>
    <mergeCell ref="AJ247:AJ249"/>
    <mergeCell ref="AJ250:AJ252"/>
    <mergeCell ref="AJ253:AJ255"/>
    <mergeCell ref="AJ256:AJ258"/>
    <mergeCell ref="AJ259:AJ261"/>
    <mergeCell ref="AJ262:AJ264"/>
    <mergeCell ref="AJ265:AJ267"/>
    <mergeCell ref="AJ268:AJ270"/>
    <mergeCell ref="AJ271:AJ273"/>
    <mergeCell ref="AK6:AK7"/>
    <mergeCell ref="AL6:AL7"/>
    <mergeCell ref="AJ274:AJ276"/>
    <mergeCell ref="AJ277:AJ279"/>
    <mergeCell ref="AJ280:AJ282"/>
    <mergeCell ref="AJ283:AJ285"/>
    <mergeCell ref="AJ286:AJ288"/>
    <mergeCell ref="AJ289:AJ291"/>
    <mergeCell ref="AJ292:AJ294"/>
    <mergeCell ref="AJ220:AJ222"/>
    <mergeCell ref="AJ223:AJ225"/>
    <mergeCell ref="AJ226:AJ228"/>
    <mergeCell ref="AJ229:AJ231"/>
    <mergeCell ref="AJ232:AJ234"/>
    <mergeCell ref="AJ235:AJ237"/>
    <mergeCell ref="AJ238:AJ240"/>
    <mergeCell ref="AJ241:AJ243"/>
    <mergeCell ref="AJ244:AJ246"/>
    <mergeCell ref="AJ193:AJ195"/>
    <mergeCell ref="AJ196:AJ198"/>
    <mergeCell ref="AJ199:AJ201"/>
    <mergeCell ref="AJ202:AJ204"/>
    <mergeCell ref="AJ205:AJ207"/>
    <mergeCell ref="AJ208:AJ210"/>
  </mergeCells>
  <conditionalFormatting sqref="R11 R14:S14 R17:S17 R23:S23 R26:S26 R29:S29 R32:S32 R35:S35 R38:S38 R41:S41 R44:S44 R47:S47 R50:S50 R53:S53 R56:S56 R59:S59 R62:S62 R65:S65 R68:S68 S71 S74 S77 S80 S83 S86 S89 S92 S95 S98 S101 S104 S107 S110 S113 S116 S119 S122 S125 S128 S131 S134 S137 S140 S143 S146 S149 S152 S155 S158 S161 S164 S167 S170 S173 S176 S179 S182 S185 S188 S191 S194 S197 S200 S203 S206 S209 S212 S215 S218 S221 S224 S227 S230 S233 S236 S239 S242 S245 S248 S251 S254 S257 S260 S263 S266 S269 S272 S275 S278 S281 S284 S287 S290 S293 S296 S299">
    <cfRule type="expression" dxfId="90" priority="2">
      <formula>IF(V11&gt;V10,V12="")</formula>
    </cfRule>
  </conditionalFormatting>
  <conditionalFormatting sqref="R20">
    <cfRule type="expression" dxfId="89" priority="1">
      <formula>IF(V20&gt;V19,V21="")</formula>
    </cfRule>
  </conditionalFormatting>
  <conditionalFormatting sqref="S11:U11 Y11:AB11 T14:U14 Y14:AB14 T17:U17 Y17:AB17 T20:U20 W20 Y20:AB20 T23:U23 Y23:AB23 T26:U26 Y26:AB26 T29:U29 Y29:AB29 T32:U32 Y32:AB32 T35:U35 W35 Y35:AB35 T38:U38 W38 Y38:AB38 T41:U41 W41 Y41:AB41 T44:U44 Y44:AB44 T47:U47 Y47:AB47 T50:U50 W50 Y50:AB50 T53:U53 Y53:AB53 T56:U56 Y56:AB56 T59:U59 Y59:AB59 T62:U62 W62 Y62:AB62 T65:U65 Y65:AB65 T68:U68 Y68:AB68 T71:U71 Y71:AB71 T74:U74 Y74:AB74 T77:U77 Y77:AB77 T80:U80 Y80:AB80 T83:U83 Y83:AB83 T86:U86 Y86:AB86 T89:U89 Y89:AB89 T92:U92 W92 Y92:AB92 T95:U95 Y95:AB95 T98:U98 Y98:AB98 T101:U101 Y101:AB101 T104:U104 Y104:AB104 T107:U107 Y107:AB107 T110:U110 Y110:AB110 T113:U113 Y113:AB113 T116:U116 Y116:AB116 T119:U119 Y119:AB119 T122:U122 Y122:AB122 T125:U125 Y125:AB125 T128:U128 Y128:AB128 T131:U131 Y131:AB131 T134:U134 Y134:AB134 T137:U137 Y137:AB137 T140:U140 Y140:AB140 T143:U143 Y143:AB143 T146:U146 Y146:AB146 T149:U149 Y149:AB149 T152:U152 Y152:AB152 T155:U155 Y155:AB155 T158:U158 Y158:AB158 T161:U161 Y161:AB161 T164:U164 Y164:AB164 T167:U167 Y167:AB167 T170:U170 W170 Y170:AB170 T173:U173 W173 Y173:AB173 T176:U176 W176 Y176:AB176 T179:U179 Y179:AB179 T182:U182 Y182:AB182 T185:U185 Y185:AB185 T188:U188 Y188:AB188 T191:U191 Y191:AB191 T194:U194 Y194:AB194 T197:U197 Y197:AB197 T200:U200 Y200:AB200 T203:U203 Y203:AB203 T206:U206 Y206:AB206 T209:U209 Y209:AB209 T212:U212 Y212:AB212 T215:U215 Y215:AB215 T218:U218 Y218:AB218 T221:U221 Y221:AB221 T224:U224 Y224:AB224 T227:U227 Y227:AB227 T230:U230 Y230:AB230 T233:U233 Y233:AB233 T236:U236 Y236:AB236 T239:U239 Y239:AB239 T242:U242 Y242:AB242 T245:U245 Y245:AB245 T248:U248 Y248:AB248 T251:U251 Y251:AB251 T254:U254 Y254:AB254 T257:U257 Y257:AB257 T260:U260 Y260:AB260 T263:U263 Y263:AB263 T266:U266 Y266:AB266 T269:U269 Y269:AB269 T272:U272 Y272:AB272 T275:U275 Y275:AB275 T278:U278 Y278:AB278 T281:U281 Y281:AB281 T284:U284 Y284:AB284 T287:U287 Y287:AB287 T290:U290 Y290:AB290 T293:U293 Y293:AB293 T296:U296 Y296:AB296 T299:U299 Y299:AB299">
    <cfRule type="expression" dxfId="88" priority="9">
      <formula>IF(#REF!&gt;#REF!,#REF!="")</formula>
    </cfRule>
  </conditionalFormatting>
  <conditionalFormatting sqref="S30:AB30 R33:AB33 R36:AB36 R39:AB39 R42:AB42 S45:AB45 S48:AB48 R51:AB51 S54:AB54 S57:AB57 S60:AB60 R63:AB63 S66:AB66 S69:AB69 S72:AB72 S75:AB75 S78:AB78 S81:AB81 S84:AB84 S87:AB87 S90:AB90 S93:AB93 S96:AB96 S99:AB99 S102:AB102 S105:AB105 S108:AB108 S111:AB111 S114:AB114 S117:AB117 S120:AB120 S123:AB123 S126:AB126 S129:AB129 S132:AB132 S135:AB135 S138:AB138 S141:AB141 S144:AB144 S147:AB147 S150:AB150 S153:AB153 S156:AB156 S159:AB159 S162:AB162 S165:AB165 S168:AB168 S171:AB171 S174:AB174 S177:AB177 S180:AB180 S183:AB183 S186:AB186 S189:AB189 S192:AB192 S195:AB195 S198:AB198 S201:AB201 S204:AB204 S207:AB207 S210:AB210 S213:AB213 S216:AB216 S219:AB219 S222:AB222 S225:AB225 S228:AB228 S231:AB231 S234:AB234 S237:AB237 S240:AB240 S243:AB243 S246:AB246 S249:AB249 S252:AB252 S255:AB255 S258:AB258 S261:AB261 S264:AB264 S267:AB267 S270:AB270 S273:AB273 S276:AB276 S279:AB279 S282:AB282 S285:AB285 S288:AB288 S291:AB291 S294:AB294 S297:AB297 S300:AB300">
    <cfRule type="expression" dxfId="87" priority="6" stopIfTrue="1">
      <formula>(R29&lt;&gt;"")*(R30="")*(R29&lt;TODAY())</formula>
    </cfRule>
    <cfRule type="expression" dxfId="86" priority="7" stopIfTrue="1">
      <formula>(R29&lt;&gt;"")*(R30="")*(R29&gt;=TODAY())*(R29&lt;=TODAY()+14)</formula>
    </cfRule>
    <cfRule type="expression" dxfId="85" priority="8">
      <formula>(R30&lt;&gt;"")*(R30&lt;=TODAY())</formula>
    </cfRule>
  </conditionalFormatting>
  <conditionalFormatting sqref="V11:W11 V14:W14 V17:W17 V20 V23 V26:W26 V29:W29 V32 V35 V38 V41 V44:W44 V47:W47 V50 V53:W53 V56:W56 V59:W59 V62 V65:W65 V68:W68 V71:W71 V74:W74 V77:W77 V80:W80 V83:W83 V86:W86 V89:W89 V92 V95:W95 V98:W98 V101:W101 V104:W104 V107:W107 V110:W110 V113:W113 V116:W116 V119:W119 V122:W122 V125:W125 V128:W128 V131:W131 V134:W134 V137:W137 V140:W140 V143:W143 V146:W146 V149:W149 V152:W152 V155:W155 V158:W158 V161:W161 V164:W164 V167:W167 V170 V173 V176 V179:W179 V182:W182 V185:W185 V188:W188 V191:W191 V194:W194 V197:W197 V200:W200 V203:W203 V206:W206 V209:W209 V212:W212 V215:W215 V218:W218 V221:W221 V224:W224 V227:W227 V230:W230 V233:W233 V236:W236 V239:W239 V242:W242 V245:W245 V248:W248 V251:W251 V254:W254 V257:W257 V260:W260 V263:W263 V266:W266 V269:W269 V272:W272 V275:W275 V278:W278 V281:W281 V284:W284 V287:W287 V290:W290 V293:W293 V296:W296 V299:W299">
    <cfRule type="expression" dxfId="84" priority="10">
      <formula>IF(X11&gt;X10,X12="")</formula>
    </cfRule>
  </conditionalFormatting>
  <conditionalFormatting sqref="X11 X14 X17 U20 X20 X23 X26 X29 X32 X35 X38 X41 X44 X47 X50 X53 X56 X59 X62 X65 X68 X71 X74 X77 X80 X83 X86 X89 X92 X95 X98 X101 X104 X107 X110 X113 X116 X119 X122 X125 X128 X131 X134 X137 X140 X143 X146 X149 X152 X155 X158 X161 X164 X167 X170 X173 X176 X179 X182 X185 X188 X191 X194 X197 X200 X203 X206 X209 X212 X215 X218 X221 X224 X227 X230 X233 X236 X239 X242 X245 X248 X251 X254 X257 X260 X263 X266 X269 X272 X275 X278 X281 X284 X287 X290 X293 X296 X299">
    <cfRule type="expression" dxfId="83" priority="3">
      <formula>IF(X11&gt;X10,X12="")</formula>
    </cfRule>
  </conditionalFormatting>
  <conditionalFormatting sqref="AJ10 AJ13 AJ16 AJ19 AJ22 AJ25 AJ28 AJ31 AJ34 AJ37 AJ40 AJ43 AJ46 AJ49 AJ52 AJ55 AJ58 AJ61 AJ64 AJ67 AJ70 AJ73 AJ76 AJ79 AJ82 AJ85 AJ88 AJ91 AJ94 AJ97 AJ100 AJ103 AJ106 AJ109 AJ112 AJ115 AJ118 AJ121 AJ124 AJ127 AJ130 AJ133 AJ136 AJ139 AJ142 AJ145 AJ148 AJ151 AJ154 AJ157 AJ160 AJ163 AJ166 AJ169 AJ172 AJ175 AJ178 AJ181 AJ184 AJ187 AJ190 AJ193 AJ196 AJ199 AJ202 AJ205 AJ208 AJ211 AJ214 AJ217 AJ220 AJ223 AJ226 AJ229 AJ232 AJ235 AJ238 AJ241 AJ244 AJ247 AJ250 AJ253 AJ256 AJ259 AJ262 AJ265 AJ268 AJ271 AJ274 AJ277 AJ280 AJ283 AJ286 AJ289 AJ292 AJ295 AJ298">
    <cfRule type="cellIs" dxfId="82" priority="4" operator="lessThan">
      <formula>45</formula>
    </cfRule>
    <cfRule type="cellIs" dxfId="81" priority="5" operator="lessThan">
      <formula>0</formula>
    </cfRule>
  </conditionalFormatting>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63"/>
  <sheetViews>
    <sheetView view="pageBreakPreview" topLeftCell="A11" zoomScale="130" zoomScaleNormal="190" workbookViewId="0">
      <selection activeCell="A20" sqref="A20:A21"/>
    </sheetView>
  </sheetViews>
  <sheetFormatPr defaultColWidth="6.86328125" defaultRowHeight="13.15"/>
  <cols>
    <col min="1" max="1" width="18.1328125" style="11" customWidth="1"/>
    <col min="2" max="2" width="61.265625" style="1" customWidth="1"/>
    <col min="3" max="3" width="23.265625" style="4" customWidth="1"/>
    <col min="4" max="16384" width="6.86328125" style="4"/>
  </cols>
  <sheetData>
    <row r="1" spans="1:9" s="1" customFormat="1" ht="21.6" customHeight="1">
      <c r="A1" s="12" t="s">
        <v>4959</v>
      </c>
      <c r="B1" s="13" t="s">
        <v>4960</v>
      </c>
      <c r="C1" s="6"/>
    </row>
    <row r="2" spans="1:9" s="2" customFormat="1" ht="15" customHeight="1">
      <c r="A2" s="14">
        <v>45996</v>
      </c>
      <c r="B2" s="15" t="s">
        <v>4961</v>
      </c>
      <c r="C2" s="16"/>
      <c r="D2" s="9"/>
      <c r="E2" s="9"/>
      <c r="F2" s="9"/>
      <c r="G2" s="9"/>
      <c r="H2" s="9"/>
      <c r="I2" s="9"/>
    </row>
    <row r="3" spans="1:9" s="2" customFormat="1" ht="15" customHeight="1">
      <c r="A3" s="14">
        <v>46001</v>
      </c>
      <c r="B3" s="15" t="s">
        <v>4962</v>
      </c>
      <c r="C3" s="16"/>
      <c r="D3" s="9"/>
      <c r="E3" s="9"/>
      <c r="F3" s="9"/>
      <c r="G3" s="9"/>
      <c r="H3" s="9"/>
      <c r="I3" s="9"/>
    </row>
    <row r="4" spans="1:9" s="2" customFormat="1" ht="15" customHeight="1">
      <c r="A4" s="14">
        <v>46020</v>
      </c>
      <c r="B4" s="15" t="s">
        <v>4963</v>
      </c>
      <c r="C4" s="16"/>
      <c r="D4" s="9"/>
      <c r="E4" s="9"/>
      <c r="F4" s="9"/>
      <c r="G4" s="9"/>
      <c r="H4" s="9"/>
      <c r="I4" s="9"/>
    </row>
    <row r="5" spans="1:9" s="2" customFormat="1" ht="15" customHeight="1">
      <c r="A5" s="14">
        <v>46021</v>
      </c>
      <c r="B5" s="15" t="s">
        <v>4963</v>
      </c>
      <c r="C5" s="16"/>
      <c r="D5" s="9"/>
      <c r="E5" s="9"/>
      <c r="F5" s="9"/>
      <c r="G5" s="9"/>
      <c r="H5" s="9"/>
      <c r="I5" s="9"/>
    </row>
    <row r="6" spans="1:9" s="2" customFormat="1" ht="15" customHeight="1">
      <c r="A6" s="14">
        <v>46022</v>
      </c>
      <c r="B6" s="15" t="s">
        <v>4963</v>
      </c>
      <c r="C6" s="16"/>
      <c r="D6" s="9"/>
      <c r="E6" s="9"/>
      <c r="F6" s="9"/>
      <c r="G6" s="9"/>
      <c r="H6" s="9"/>
      <c r="I6" s="9"/>
    </row>
    <row r="7" spans="1:9" s="2" customFormat="1" ht="15" customHeight="1">
      <c r="A7" s="14">
        <v>46023</v>
      </c>
      <c r="B7" s="15" t="s">
        <v>4963</v>
      </c>
      <c r="C7" s="16"/>
      <c r="D7" s="9"/>
      <c r="E7" s="9"/>
      <c r="F7" s="9"/>
      <c r="G7" s="9"/>
      <c r="H7" s="9"/>
      <c r="I7" s="9"/>
    </row>
    <row r="8" spans="1:9" s="2" customFormat="1" ht="15" customHeight="1">
      <c r="A8" s="14">
        <v>46024</v>
      </c>
      <c r="B8" s="15" t="s">
        <v>4963</v>
      </c>
      <c r="C8" s="16"/>
      <c r="D8" s="9"/>
      <c r="E8" s="9"/>
      <c r="F8" s="9"/>
      <c r="G8" s="9"/>
      <c r="H8" s="9"/>
      <c r="I8" s="9"/>
    </row>
    <row r="9" spans="1:9" s="2" customFormat="1" ht="15" customHeight="1">
      <c r="A9" s="14">
        <v>46065</v>
      </c>
      <c r="B9" s="15" t="s">
        <v>4964</v>
      </c>
      <c r="C9" s="16"/>
      <c r="D9" s="9"/>
      <c r="E9" s="9"/>
      <c r="F9" s="9"/>
      <c r="G9" s="9"/>
      <c r="H9" s="9"/>
      <c r="I9" s="9"/>
    </row>
    <row r="10" spans="1:9" s="2" customFormat="1" ht="15" customHeight="1">
      <c r="A10" s="14">
        <v>46118</v>
      </c>
      <c r="B10" s="15" t="s">
        <v>4965</v>
      </c>
      <c r="C10" s="16"/>
      <c r="D10" s="9"/>
      <c r="E10" s="9"/>
      <c r="F10" s="9"/>
      <c r="G10" s="9"/>
      <c r="H10" s="9"/>
      <c r="I10" s="9"/>
    </row>
    <row r="11" spans="1:9" s="2" customFormat="1" ht="15" customHeight="1">
      <c r="A11" s="14">
        <v>46125</v>
      </c>
      <c r="B11" s="15" t="s">
        <v>4966</v>
      </c>
      <c r="C11" s="16"/>
      <c r="D11" s="9"/>
      <c r="E11" s="9"/>
      <c r="F11" s="9"/>
      <c r="G11" s="9"/>
      <c r="H11" s="9"/>
      <c r="I11" s="9"/>
    </row>
    <row r="12" spans="1:9" s="2" customFormat="1" ht="15" customHeight="1">
      <c r="A12" s="14">
        <v>46126</v>
      </c>
      <c r="B12" s="15" t="s">
        <v>4966</v>
      </c>
      <c r="C12" s="16"/>
      <c r="D12" s="9"/>
      <c r="E12" s="9"/>
      <c r="F12" s="9"/>
      <c r="G12" s="9"/>
      <c r="H12" s="9"/>
      <c r="I12" s="9"/>
    </row>
    <row r="13" spans="1:9" s="2" customFormat="1" ht="15" customHeight="1">
      <c r="A13" s="14">
        <v>46127</v>
      </c>
      <c r="B13" s="15" t="s">
        <v>4966</v>
      </c>
      <c r="C13" s="16"/>
      <c r="D13" s="9"/>
      <c r="E13" s="9"/>
      <c r="F13" s="9"/>
      <c r="G13" s="9"/>
      <c r="H13" s="9"/>
      <c r="I13" s="9"/>
    </row>
    <row r="14" spans="1:9" s="2" customFormat="1" ht="15" customHeight="1">
      <c r="A14" s="14">
        <v>46128</v>
      </c>
      <c r="B14" s="15" t="s">
        <v>4966</v>
      </c>
      <c r="C14" s="16"/>
      <c r="D14" s="9"/>
      <c r="E14" s="9"/>
      <c r="F14" s="9"/>
      <c r="G14" s="9"/>
      <c r="H14" s="9"/>
      <c r="I14" s="9"/>
    </row>
    <row r="15" spans="1:9" s="2" customFormat="1" ht="15" customHeight="1">
      <c r="A15" s="14">
        <v>46129</v>
      </c>
      <c r="B15" s="15" t="s">
        <v>4966</v>
      </c>
      <c r="C15" s="16"/>
      <c r="D15" s="9"/>
      <c r="E15" s="9"/>
      <c r="F15" s="9"/>
      <c r="G15" s="9"/>
      <c r="H15" s="9"/>
      <c r="I15" s="9"/>
    </row>
    <row r="16" spans="1:9" s="2" customFormat="1" ht="15" customHeight="1">
      <c r="A16" s="14">
        <v>46143</v>
      </c>
      <c r="B16" s="15" t="s">
        <v>4967</v>
      </c>
      <c r="C16" s="16"/>
      <c r="D16" s="9"/>
      <c r="E16" s="9"/>
      <c r="F16" s="9"/>
      <c r="G16" s="9"/>
      <c r="H16" s="9"/>
      <c r="I16" s="9"/>
    </row>
    <row r="17" spans="1:9" s="2" customFormat="1" ht="15" customHeight="1">
      <c r="A17" s="14">
        <v>46146</v>
      </c>
      <c r="B17" s="15" t="s">
        <v>4968</v>
      </c>
      <c r="C17" s="16"/>
      <c r="D17" s="9"/>
      <c r="E17" s="9"/>
      <c r="F17" s="9"/>
      <c r="G17" s="9"/>
      <c r="H17" s="9"/>
      <c r="I17" s="9"/>
    </row>
    <row r="18" spans="1:9" s="2" customFormat="1" ht="15" customHeight="1">
      <c r="A18" s="14">
        <v>46174</v>
      </c>
      <c r="B18" s="15"/>
      <c r="C18" s="16"/>
      <c r="D18" s="9"/>
      <c r="E18" s="9"/>
      <c r="F18" s="9"/>
      <c r="G18" s="9"/>
      <c r="H18" s="9"/>
      <c r="I18" s="9"/>
    </row>
    <row r="19" spans="1:9" s="2" customFormat="1" ht="15" customHeight="1">
      <c r="A19" s="14">
        <v>46176</v>
      </c>
      <c r="B19" s="15"/>
      <c r="C19" s="16"/>
      <c r="D19" s="9"/>
      <c r="E19" s="9"/>
      <c r="F19" s="9"/>
      <c r="G19" s="9"/>
      <c r="H19" s="9"/>
      <c r="I19" s="9"/>
    </row>
    <row r="20" spans="1:9" s="2" customFormat="1" ht="15" customHeight="1">
      <c r="A20" s="14">
        <v>46231</v>
      </c>
      <c r="B20" s="15"/>
      <c r="C20" s="16"/>
      <c r="D20" s="9"/>
      <c r="E20" s="9"/>
      <c r="F20" s="9"/>
      <c r="G20" s="9"/>
      <c r="H20" s="9"/>
      <c r="I20" s="9"/>
    </row>
    <row r="21" spans="1:9" s="2" customFormat="1" ht="15" customHeight="1">
      <c r="A21" s="14">
        <v>46232</v>
      </c>
      <c r="B21" s="15"/>
      <c r="C21" s="16"/>
      <c r="D21" s="9"/>
      <c r="E21" s="9"/>
      <c r="F21" s="9"/>
      <c r="G21" s="9"/>
      <c r="H21" s="9"/>
      <c r="I21" s="9"/>
    </row>
    <row r="22" spans="1:9" s="2" customFormat="1" ht="15" customHeight="1">
      <c r="A22" s="14">
        <v>46246</v>
      </c>
      <c r="B22" s="15" t="s">
        <v>4969</v>
      </c>
      <c r="C22" s="16"/>
      <c r="D22" s="9"/>
      <c r="E22" s="9"/>
      <c r="F22" s="9"/>
      <c r="G22" s="9"/>
      <c r="H22" s="9"/>
      <c r="I22" s="9"/>
    </row>
    <row r="23" spans="1:9" s="2" customFormat="1" ht="15" customHeight="1">
      <c r="A23" s="14">
        <v>46308</v>
      </c>
      <c r="B23" s="15" t="s">
        <v>4970</v>
      </c>
      <c r="C23" s="16"/>
      <c r="D23" s="9"/>
      <c r="E23" s="9"/>
      <c r="F23" s="9"/>
      <c r="G23" s="9"/>
      <c r="H23" s="9"/>
      <c r="I23" s="9"/>
    </row>
    <row r="24" spans="1:9" s="2" customFormat="1" ht="15" customHeight="1">
      <c r="A24" s="14">
        <v>46318</v>
      </c>
      <c r="B24" s="15" t="s">
        <v>4971</v>
      </c>
      <c r="C24" s="16"/>
      <c r="D24" s="9"/>
      <c r="E24" s="9"/>
      <c r="F24" s="9"/>
      <c r="G24" s="9"/>
      <c r="H24" s="9"/>
      <c r="I24" s="9"/>
    </row>
    <row r="25" spans="1:9" s="2" customFormat="1" ht="15" customHeight="1">
      <c r="A25" s="14">
        <v>46363</v>
      </c>
      <c r="B25" s="15" t="s">
        <v>4961</v>
      </c>
      <c r="C25" s="16"/>
      <c r="D25" s="9"/>
      <c r="E25" s="9"/>
      <c r="F25" s="9"/>
      <c r="G25" s="9"/>
      <c r="H25" s="9"/>
      <c r="I25" s="9"/>
    </row>
    <row r="26" spans="1:9" s="2" customFormat="1" ht="15" customHeight="1">
      <c r="A26" s="14">
        <v>46387</v>
      </c>
      <c r="B26" s="15" t="s">
        <v>4963</v>
      </c>
      <c r="C26" s="16"/>
      <c r="D26" s="9"/>
      <c r="E26" s="9"/>
      <c r="F26" s="9"/>
      <c r="G26" s="9"/>
      <c r="H26" s="9"/>
      <c r="I26" s="9"/>
    </row>
    <row r="27" spans="1:9" s="2" customFormat="1" ht="15" customHeight="1">
      <c r="A27" s="14">
        <v>46388</v>
      </c>
      <c r="B27" s="15" t="s">
        <v>4963</v>
      </c>
      <c r="C27" s="16"/>
      <c r="D27" s="9"/>
      <c r="E27" s="9"/>
      <c r="F27" s="9"/>
      <c r="G27" s="9"/>
      <c r="H27" s="9"/>
      <c r="I27" s="9"/>
    </row>
    <row r="28" spans="1:9" s="2" customFormat="1" ht="15" customHeight="1">
      <c r="A28" s="14">
        <v>46389</v>
      </c>
      <c r="B28" s="15"/>
      <c r="C28" s="16"/>
      <c r="D28" s="9"/>
      <c r="E28" s="9"/>
      <c r="F28" s="9"/>
      <c r="G28" s="9"/>
      <c r="H28" s="9"/>
      <c r="I28" s="9"/>
    </row>
    <row r="29" spans="1:9" s="2" customFormat="1" ht="15" customHeight="1">
      <c r="A29" s="14">
        <v>46439</v>
      </c>
      <c r="B29" s="15" t="s">
        <v>4964</v>
      </c>
      <c r="C29" s="16" t="s">
        <v>4972</v>
      </c>
      <c r="D29" s="9"/>
      <c r="E29" s="9"/>
      <c r="F29" s="9"/>
      <c r="G29" s="9"/>
      <c r="H29" s="9"/>
      <c r="I29" s="9"/>
    </row>
    <row r="30" spans="1:9" s="2" customFormat="1" ht="15" customHeight="1">
      <c r="A30" s="14">
        <v>46440</v>
      </c>
      <c r="B30" s="15"/>
      <c r="C30" s="16"/>
      <c r="D30" s="9"/>
      <c r="E30" s="9"/>
      <c r="F30" s="9"/>
      <c r="G30" s="9"/>
      <c r="H30" s="9"/>
      <c r="I30" s="9"/>
    </row>
    <row r="31" spans="1:9" s="2" customFormat="1" ht="15" customHeight="1">
      <c r="A31" s="14">
        <v>46483</v>
      </c>
      <c r="B31" s="15" t="s">
        <v>4965</v>
      </c>
      <c r="C31" s="16"/>
      <c r="D31" s="9"/>
      <c r="E31" s="9"/>
      <c r="F31" s="9"/>
      <c r="G31" s="9"/>
      <c r="H31" s="9"/>
      <c r="I31" s="9"/>
    </row>
    <row r="32" spans="1:9" s="2" customFormat="1" ht="15" customHeight="1">
      <c r="A32" s="14">
        <v>46490</v>
      </c>
      <c r="B32" s="15" t="s">
        <v>4966</v>
      </c>
      <c r="C32" s="16"/>
      <c r="D32" s="9"/>
      <c r="E32" s="9"/>
      <c r="F32" s="9"/>
      <c r="G32" s="9"/>
      <c r="H32" s="9"/>
      <c r="I32" s="9"/>
    </row>
    <row r="33" spans="1:9" s="2" customFormat="1" ht="15" customHeight="1">
      <c r="A33" s="14">
        <v>46491</v>
      </c>
      <c r="B33" s="15" t="s">
        <v>4966</v>
      </c>
      <c r="C33" s="16"/>
      <c r="D33" s="9"/>
      <c r="E33" s="9"/>
      <c r="F33" s="9"/>
      <c r="G33" s="9"/>
      <c r="H33" s="9"/>
      <c r="I33" s="9"/>
    </row>
    <row r="34" spans="1:9" s="2" customFormat="1" ht="15" customHeight="1">
      <c r="A34" s="14">
        <v>46492</v>
      </c>
      <c r="B34" s="15" t="s">
        <v>4966</v>
      </c>
      <c r="C34" s="16"/>
      <c r="D34" s="9"/>
      <c r="E34" s="9"/>
      <c r="F34" s="9"/>
      <c r="G34" s="9"/>
      <c r="H34" s="9"/>
      <c r="I34" s="9"/>
    </row>
    <row r="35" spans="1:9" s="2" customFormat="1" ht="15" customHeight="1">
      <c r="A35" s="14">
        <v>46508</v>
      </c>
      <c r="B35" s="15" t="s">
        <v>4967</v>
      </c>
      <c r="C35" s="16"/>
      <c r="D35" s="9"/>
      <c r="E35" s="9"/>
      <c r="F35" s="9"/>
      <c r="G35" s="9"/>
      <c r="H35" s="9"/>
      <c r="I35" s="9"/>
    </row>
    <row r="36" spans="1:9" s="2" customFormat="1" ht="15" customHeight="1">
      <c r="A36" s="14">
        <v>46511</v>
      </c>
      <c r="B36" s="15" t="s">
        <v>4968</v>
      </c>
      <c r="C36" s="16"/>
      <c r="D36" s="9"/>
      <c r="E36" s="9"/>
      <c r="F36" s="9"/>
      <c r="G36" s="9"/>
      <c r="H36" s="9"/>
      <c r="I36" s="9"/>
    </row>
    <row r="37" spans="1:9" s="2" customFormat="1" ht="15" customHeight="1">
      <c r="A37" s="14">
        <v>46527</v>
      </c>
      <c r="B37" s="15" t="s">
        <v>4973</v>
      </c>
      <c r="C37" s="16" t="s">
        <v>4972</v>
      </c>
      <c r="D37" s="9"/>
      <c r="E37" s="9"/>
      <c r="F37" s="9"/>
      <c r="G37" s="9"/>
      <c r="H37" s="9"/>
      <c r="I37" s="9"/>
    </row>
    <row r="38" spans="1:9" s="2" customFormat="1" ht="15" customHeight="1">
      <c r="A38" s="14">
        <v>46541</v>
      </c>
      <c r="B38" s="15" t="s">
        <v>4974</v>
      </c>
      <c r="C38" s="16"/>
      <c r="D38" s="9"/>
      <c r="E38" s="9"/>
      <c r="F38" s="9"/>
      <c r="G38" s="9"/>
      <c r="H38" s="9"/>
      <c r="I38" s="9"/>
    </row>
    <row r="39" spans="1:9" s="2" customFormat="1" ht="15" customHeight="1">
      <c r="A39" s="14">
        <v>46611</v>
      </c>
      <c r="B39" s="15" t="s">
        <v>4975</v>
      </c>
      <c r="C39" s="16"/>
      <c r="D39" s="9"/>
      <c r="E39" s="9"/>
      <c r="F39" s="9"/>
      <c r="G39" s="9"/>
      <c r="H39" s="9"/>
      <c r="I39" s="9"/>
    </row>
    <row r="40" spans="1:9" s="2" customFormat="1" ht="15" customHeight="1">
      <c r="A40" s="14">
        <v>46673</v>
      </c>
      <c r="B40" s="15" t="s">
        <v>4976</v>
      </c>
      <c r="C40" s="16"/>
      <c r="D40" s="9"/>
      <c r="E40" s="9"/>
      <c r="F40" s="9"/>
      <c r="G40" s="9"/>
      <c r="H40" s="9"/>
      <c r="I40" s="9"/>
    </row>
    <row r="41" spans="1:9" s="2" customFormat="1" ht="15" customHeight="1">
      <c r="A41" s="14">
        <v>46683</v>
      </c>
      <c r="B41" s="15" t="s">
        <v>4977</v>
      </c>
      <c r="C41" s="16"/>
      <c r="D41" s="9"/>
      <c r="E41" s="9"/>
      <c r="F41" s="9"/>
      <c r="G41" s="9"/>
      <c r="H41" s="9"/>
      <c r="I41" s="9"/>
    </row>
    <row r="42" spans="1:9" s="2" customFormat="1" ht="15" customHeight="1">
      <c r="A42" s="14">
        <v>46685</v>
      </c>
      <c r="B42" s="15"/>
      <c r="C42" s="16"/>
      <c r="D42" s="9"/>
      <c r="E42" s="9"/>
      <c r="F42" s="9"/>
      <c r="G42" s="9"/>
      <c r="H42" s="9"/>
      <c r="I42" s="9"/>
    </row>
    <row r="43" spans="1:9" s="2" customFormat="1" ht="15" customHeight="1">
      <c r="A43" s="14">
        <v>46726</v>
      </c>
      <c r="B43" s="15" t="s">
        <v>4978</v>
      </c>
      <c r="C43" s="16"/>
      <c r="D43" s="9"/>
      <c r="E43" s="9"/>
      <c r="F43" s="9"/>
      <c r="G43" s="9"/>
      <c r="H43" s="9"/>
      <c r="I43" s="9"/>
    </row>
    <row r="44" spans="1:9" s="2" customFormat="1" ht="15" customHeight="1">
      <c r="A44" s="14">
        <v>46727</v>
      </c>
      <c r="B44" s="15"/>
      <c r="C44" s="16"/>
      <c r="D44" s="9"/>
      <c r="E44" s="9"/>
      <c r="F44" s="9"/>
      <c r="G44" s="9"/>
      <c r="H44" s="9"/>
      <c r="I44" s="9"/>
    </row>
    <row r="45" spans="1:9" s="2" customFormat="1" ht="15" customHeight="1">
      <c r="A45" s="14">
        <v>46731</v>
      </c>
      <c r="B45" s="15" t="s">
        <v>4979</v>
      </c>
      <c r="C45" s="16"/>
      <c r="D45" s="9"/>
      <c r="E45" s="9"/>
      <c r="F45" s="9"/>
      <c r="G45" s="9"/>
      <c r="H45" s="9"/>
      <c r="I45" s="9"/>
    </row>
    <row r="46" spans="1:9" s="2" customFormat="1" ht="15" customHeight="1">
      <c r="A46" s="14">
        <v>46752</v>
      </c>
      <c r="B46" s="15" t="s">
        <v>4980</v>
      </c>
      <c r="C46" s="16"/>
      <c r="D46" s="9"/>
      <c r="E46" s="9"/>
      <c r="F46" s="9"/>
      <c r="G46" s="9"/>
      <c r="H46" s="9"/>
      <c r="I46" s="9"/>
    </row>
    <row r="47" spans="1:9" s="2" customFormat="1" ht="15" customHeight="1">
      <c r="A47" s="14">
        <v>46753</v>
      </c>
      <c r="B47" s="15" t="s">
        <v>4981</v>
      </c>
      <c r="C47" s="16"/>
      <c r="D47" s="9"/>
      <c r="E47" s="9"/>
      <c r="F47" s="9"/>
      <c r="G47" s="9"/>
      <c r="H47" s="9"/>
      <c r="I47" s="9"/>
    </row>
    <row r="48" spans="1:9" s="2" customFormat="1" ht="15" customHeight="1">
      <c r="A48" s="14">
        <v>46791</v>
      </c>
      <c r="B48" s="15" t="s">
        <v>4982</v>
      </c>
      <c r="C48" s="16" t="s">
        <v>4972</v>
      </c>
      <c r="D48" s="9"/>
      <c r="E48" s="9"/>
      <c r="F48" s="9"/>
      <c r="G48" s="9"/>
      <c r="H48" s="9"/>
      <c r="I48" s="9"/>
    </row>
    <row r="49" spans="1:9" s="2" customFormat="1" ht="15" customHeight="1">
      <c r="A49" s="14">
        <v>46849</v>
      </c>
      <c r="B49" s="15" t="s">
        <v>4983</v>
      </c>
      <c r="C49" s="16"/>
      <c r="D49" s="9"/>
      <c r="E49" s="9"/>
      <c r="F49" s="9"/>
      <c r="G49" s="9"/>
      <c r="H49" s="9"/>
      <c r="I49" s="9"/>
    </row>
    <row r="50" spans="1:9" s="2" customFormat="1" ht="15" customHeight="1">
      <c r="A50" s="14">
        <v>46856</v>
      </c>
      <c r="B50" s="15" t="s">
        <v>4984</v>
      </c>
      <c r="C50" s="16"/>
      <c r="D50" s="9"/>
      <c r="E50" s="9"/>
      <c r="F50" s="9"/>
      <c r="G50" s="9"/>
      <c r="H50" s="9"/>
      <c r="I50" s="9"/>
    </row>
    <row r="51" spans="1:9" s="2" customFormat="1" ht="15" customHeight="1">
      <c r="A51" s="14">
        <v>46857</v>
      </c>
      <c r="B51" s="15" t="s">
        <v>4984</v>
      </c>
      <c r="C51" s="16"/>
      <c r="D51" s="9"/>
      <c r="E51" s="9"/>
      <c r="F51" s="9"/>
      <c r="G51" s="9"/>
      <c r="H51" s="9"/>
      <c r="I51" s="9"/>
    </row>
    <row r="52" spans="1:9" s="2" customFormat="1" ht="15" customHeight="1">
      <c r="A52" s="14">
        <v>46858</v>
      </c>
      <c r="B52" s="15" t="s">
        <v>4984</v>
      </c>
      <c r="C52" s="16"/>
      <c r="D52" s="9"/>
      <c r="E52" s="9"/>
      <c r="F52" s="9"/>
      <c r="G52" s="9"/>
      <c r="H52" s="9"/>
      <c r="I52" s="9"/>
    </row>
    <row r="53" spans="1:9" s="2" customFormat="1" ht="15" customHeight="1">
      <c r="A53" s="14">
        <v>46874</v>
      </c>
      <c r="B53" s="15" t="s">
        <v>4985</v>
      </c>
      <c r="C53" s="16"/>
      <c r="D53" s="9"/>
      <c r="E53" s="9"/>
      <c r="F53" s="9"/>
      <c r="G53" s="9"/>
      <c r="H53" s="9"/>
      <c r="I53" s="9"/>
    </row>
    <row r="54" spans="1:9" s="2" customFormat="1" ht="15" customHeight="1">
      <c r="A54" s="14">
        <v>46878</v>
      </c>
      <c r="B54" s="15" t="s">
        <v>4986</v>
      </c>
      <c r="C54" s="16"/>
      <c r="D54" s="9"/>
      <c r="E54" s="9"/>
      <c r="F54" s="9"/>
      <c r="G54" s="9"/>
      <c r="H54" s="9"/>
      <c r="I54" s="9"/>
    </row>
    <row r="55" spans="1:9" s="2" customFormat="1" ht="15" customHeight="1">
      <c r="A55" s="14">
        <v>46912</v>
      </c>
      <c r="B55" s="15" t="s">
        <v>4987</v>
      </c>
      <c r="C55" s="16" t="s">
        <v>4972</v>
      </c>
      <c r="D55" s="9"/>
      <c r="E55" s="9"/>
      <c r="F55" s="9"/>
      <c r="G55" s="9"/>
      <c r="H55" s="9"/>
      <c r="I55" s="9"/>
    </row>
    <row r="56" spans="1:9" s="2" customFormat="1" ht="15" customHeight="1">
      <c r="A56" s="14">
        <v>46907</v>
      </c>
      <c r="B56" s="15" t="s">
        <v>4988</v>
      </c>
      <c r="C56" s="16"/>
      <c r="D56" s="9"/>
      <c r="E56" s="9"/>
      <c r="F56" s="9"/>
      <c r="G56" s="9"/>
      <c r="H56" s="9"/>
      <c r="I56" s="9"/>
    </row>
    <row r="57" spans="1:9" s="2" customFormat="1" ht="15" customHeight="1">
      <c r="A57" s="14">
        <v>46958</v>
      </c>
      <c r="B57" s="15" t="s">
        <v>4989</v>
      </c>
      <c r="C57" s="16" t="s">
        <v>4972</v>
      </c>
      <c r="D57" s="9"/>
      <c r="E57" s="9"/>
      <c r="F57" s="9"/>
      <c r="G57" s="9"/>
      <c r="H57" s="9"/>
      <c r="I57" s="9"/>
    </row>
    <row r="58" spans="1:9" s="2" customFormat="1" ht="15" customHeight="1">
      <c r="A58" s="14">
        <v>46977</v>
      </c>
      <c r="B58" s="15" t="s">
        <v>4975</v>
      </c>
      <c r="C58" s="16"/>
      <c r="D58" s="9"/>
      <c r="E58" s="9"/>
      <c r="F58" s="9"/>
      <c r="G58" s="9"/>
      <c r="H58" s="9"/>
      <c r="I58" s="9"/>
    </row>
    <row r="59" spans="1:9" s="2" customFormat="1" ht="15" customHeight="1">
      <c r="A59" s="14">
        <v>47039</v>
      </c>
      <c r="B59" s="15" t="s">
        <v>4976</v>
      </c>
      <c r="C59" s="16"/>
      <c r="D59" s="9"/>
      <c r="E59" s="9"/>
      <c r="F59" s="9"/>
      <c r="G59" s="9"/>
      <c r="H59" s="9"/>
      <c r="I59" s="9"/>
    </row>
    <row r="60" spans="1:9" s="2" customFormat="1" ht="15" customHeight="1">
      <c r="A60" s="14">
        <v>47049</v>
      </c>
      <c r="B60" s="15" t="s">
        <v>4977</v>
      </c>
      <c r="C60" s="16"/>
      <c r="D60" s="9"/>
      <c r="E60" s="9"/>
      <c r="F60" s="9"/>
      <c r="G60" s="9"/>
      <c r="H60" s="9"/>
      <c r="I60" s="9"/>
    </row>
    <row r="61" spans="1:9" s="2" customFormat="1" ht="15" customHeight="1">
      <c r="A61" s="14">
        <v>47092</v>
      </c>
      <c r="B61" s="15" t="s">
        <v>4978</v>
      </c>
      <c r="C61" s="16"/>
      <c r="D61" s="9"/>
      <c r="E61" s="9"/>
      <c r="F61" s="9"/>
      <c r="G61" s="9"/>
      <c r="H61" s="9"/>
      <c r="I61" s="9"/>
    </row>
    <row r="62" spans="1:9" s="2" customFormat="1" ht="15" customHeight="1">
      <c r="A62" s="14">
        <v>47097</v>
      </c>
      <c r="B62" s="15" t="s">
        <v>4979</v>
      </c>
      <c r="C62" s="16"/>
      <c r="D62" s="9"/>
      <c r="E62" s="9"/>
      <c r="F62" s="9"/>
      <c r="G62" s="9"/>
      <c r="H62" s="9"/>
      <c r="I62" s="9"/>
    </row>
    <row r="63" spans="1:9" s="2" customFormat="1" ht="15" customHeight="1">
      <c r="A63" s="14">
        <v>47118</v>
      </c>
      <c r="B63" s="15" t="s">
        <v>4980</v>
      </c>
      <c r="C63" s="16"/>
      <c r="D63" s="9"/>
      <c r="E63" s="9"/>
      <c r="F63" s="9"/>
      <c r="G63" s="9"/>
      <c r="H63" s="9"/>
      <c r="I63" s="9"/>
    </row>
  </sheetData>
  <conditionalFormatting sqref="A1:A1048576">
    <cfRule type="duplicateValues" dxfId="80" priority="1"/>
    <cfRule type="duplicateValues" dxfId="79" priority="2"/>
  </conditionalFormatting>
  <pageMargins left="0.7" right="0.7" top="0.75" bottom="0.75" header="0.3" footer="0.3"/>
  <pageSetup paperSize="9" scale="3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82"/>
  <sheetViews>
    <sheetView view="pageBreakPreview" topLeftCell="A7" zoomScaleNormal="190" workbookViewId="0">
      <selection activeCell="A22" sqref="A22"/>
    </sheetView>
  </sheetViews>
  <sheetFormatPr defaultColWidth="6.86328125" defaultRowHeight="13.15"/>
  <cols>
    <col min="1" max="1" width="19.73046875" style="3" customWidth="1"/>
    <col min="2" max="2" width="43.86328125" style="4" customWidth="1"/>
    <col min="3" max="16384" width="6.86328125" style="4"/>
  </cols>
  <sheetData>
    <row r="1" spans="1:9" s="1" customFormat="1" ht="48" customHeight="1">
      <c r="A1" s="5" t="s">
        <v>4959</v>
      </c>
      <c r="B1" s="6" t="s">
        <v>4960</v>
      </c>
    </row>
    <row r="2" spans="1:9" s="2" customFormat="1" ht="15" customHeight="1">
      <c r="A2" s="7">
        <v>46023</v>
      </c>
      <c r="B2" s="8" t="s">
        <v>4963</v>
      </c>
      <c r="C2" s="9"/>
      <c r="D2" s="9"/>
      <c r="E2" s="9"/>
      <c r="F2" s="9"/>
      <c r="G2" s="9"/>
      <c r="H2" s="9"/>
      <c r="I2" s="9"/>
    </row>
    <row r="3" spans="1:9" s="2" customFormat="1" ht="15" customHeight="1">
      <c r="A3" s="7">
        <v>46024</v>
      </c>
      <c r="B3" s="8" t="s">
        <v>4963</v>
      </c>
      <c r="C3" s="9"/>
      <c r="D3" s="9"/>
      <c r="E3" s="9"/>
      <c r="F3" s="9"/>
      <c r="G3" s="9"/>
      <c r="H3" s="9"/>
      <c r="I3" s="9"/>
    </row>
    <row r="4" spans="1:9" s="2" customFormat="1" ht="15" customHeight="1">
      <c r="A4" s="7">
        <v>46025</v>
      </c>
      <c r="B4" s="8" t="s">
        <v>4963</v>
      </c>
      <c r="C4" s="9"/>
      <c r="D4" s="9"/>
      <c r="E4" s="9"/>
      <c r="F4" s="9"/>
      <c r="G4" s="9"/>
      <c r="H4" s="9"/>
      <c r="I4" s="9"/>
    </row>
    <row r="5" spans="1:9" s="2" customFormat="1" ht="15" customHeight="1">
      <c r="A5" s="7">
        <v>46068</v>
      </c>
      <c r="B5" s="8" t="s">
        <v>4990</v>
      </c>
      <c r="C5" s="9"/>
      <c r="D5" s="9"/>
      <c r="E5" s="9"/>
      <c r="F5" s="9"/>
      <c r="G5" s="9"/>
      <c r="H5" s="9"/>
      <c r="I5" s="9"/>
    </row>
    <row r="6" spans="1:9" s="2" customFormat="1" ht="15" customHeight="1">
      <c r="A6" s="7">
        <v>46069</v>
      </c>
      <c r="B6" s="8" t="s">
        <v>4990</v>
      </c>
      <c r="C6" s="9"/>
      <c r="D6" s="9"/>
      <c r="E6" s="9"/>
      <c r="F6" s="9"/>
      <c r="G6" s="9"/>
      <c r="H6" s="9"/>
      <c r="I6" s="9"/>
    </row>
    <row r="7" spans="1:9" s="2" customFormat="1" ht="15" customHeight="1">
      <c r="A7" s="7">
        <v>46070</v>
      </c>
      <c r="B7" s="8" t="s">
        <v>4990</v>
      </c>
      <c r="C7" s="9"/>
      <c r="D7" s="9"/>
      <c r="E7" s="9"/>
      <c r="F7" s="9"/>
      <c r="G7" s="9"/>
      <c r="H7" s="9"/>
      <c r="I7" s="9"/>
    </row>
    <row r="8" spans="1:9" s="2" customFormat="1" ht="15" customHeight="1">
      <c r="A8" s="7">
        <v>46071</v>
      </c>
      <c r="B8" s="8" t="s">
        <v>4990</v>
      </c>
      <c r="C8" s="9"/>
      <c r="D8" s="9"/>
      <c r="E8" s="9"/>
      <c r="F8" s="9"/>
      <c r="G8" s="9"/>
      <c r="H8" s="9"/>
      <c r="I8" s="9"/>
    </row>
    <row r="9" spans="1:9" s="2" customFormat="1" ht="15" customHeight="1">
      <c r="A9" s="7">
        <v>46072</v>
      </c>
      <c r="B9" s="8" t="s">
        <v>4990</v>
      </c>
      <c r="C9" s="9"/>
      <c r="D9" s="9"/>
      <c r="E9" s="9"/>
      <c r="F9" s="9"/>
      <c r="G9" s="9"/>
      <c r="H9" s="9"/>
      <c r="I9" s="9"/>
    </row>
    <row r="10" spans="1:9" s="2" customFormat="1" ht="15" customHeight="1">
      <c r="A10" s="7">
        <v>46073</v>
      </c>
      <c r="B10" s="8" t="s">
        <v>4990</v>
      </c>
      <c r="C10" s="9"/>
      <c r="D10" s="9"/>
      <c r="E10" s="9"/>
      <c r="F10" s="9"/>
      <c r="G10" s="9"/>
      <c r="H10" s="9"/>
      <c r="I10" s="9"/>
    </row>
    <row r="11" spans="1:9" s="2" customFormat="1" ht="15" customHeight="1">
      <c r="A11" s="7">
        <v>46074</v>
      </c>
      <c r="B11" s="8" t="s">
        <v>4990</v>
      </c>
      <c r="C11" s="9"/>
      <c r="D11" s="9"/>
      <c r="E11" s="9"/>
      <c r="F11" s="9"/>
      <c r="G11" s="9"/>
      <c r="H11" s="9"/>
      <c r="I11" s="9"/>
    </row>
    <row r="12" spans="1:9" s="2" customFormat="1" ht="15" customHeight="1">
      <c r="A12" s="7">
        <v>46116</v>
      </c>
      <c r="B12" s="8" t="s">
        <v>4991</v>
      </c>
      <c r="C12" s="9"/>
      <c r="D12" s="9"/>
      <c r="E12" s="9"/>
      <c r="F12" s="9"/>
      <c r="G12" s="9"/>
      <c r="H12" s="9"/>
      <c r="I12" s="9"/>
    </row>
    <row r="13" spans="1:9" s="2" customFormat="1" ht="15" customHeight="1">
      <c r="A13" s="7">
        <v>46117</v>
      </c>
      <c r="B13" s="8" t="s">
        <v>4991</v>
      </c>
      <c r="C13" s="9"/>
      <c r="D13" s="9"/>
      <c r="E13" s="9"/>
      <c r="F13" s="9"/>
      <c r="G13" s="9"/>
      <c r="H13" s="9"/>
      <c r="I13" s="9"/>
    </row>
    <row r="14" spans="1:9" s="2" customFormat="1" ht="15" customHeight="1">
      <c r="A14" s="7">
        <v>46118</v>
      </c>
      <c r="B14" s="8" t="s">
        <v>4991</v>
      </c>
      <c r="C14" s="9"/>
      <c r="D14" s="9"/>
      <c r="E14" s="9"/>
      <c r="F14" s="9"/>
      <c r="G14" s="9"/>
      <c r="H14" s="9"/>
      <c r="I14" s="9"/>
    </row>
    <row r="15" spans="1:9" s="2" customFormat="1" ht="15" customHeight="1">
      <c r="A15" s="7">
        <v>46143</v>
      </c>
      <c r="B15" s="10" t="s">
        <v>4967</v>
      </c>
      <c r="C15" s="9"/>
      <c r="D15" s="9"/>
      <c r="E15" s="9"/>
      <c r="F15" s="9"/>
      <c r="G15" s="9"/>
      <c r="H15" s="9"/>
      <c r="I15" s="9"/>
    </row>
    <row r="16" spans="1:9" s="2" customFormat="1" ht="15" customHeight="1">
      <c r="A16" s="7">
        <v>46144</v>
      </c>
      <c r="B16" s="10" t="s">
        <v>4967</v>
      </c>
      <c r="C16" s="9"/>
      <c r="D16" s="9"/>
      <c r="E16" s="9"/>
      <c r="F16" s="9"/>
      <c r="G16" s="9"/>
      <c r="H16" s="9"/>
      <c r="I16" s="9"/>
    </row>
    <row r="17" spans="1:9" s="2" customFormat="1" ht="15" customHeight="1">
      <c r="A17" s="7">
        <v>46145</v>
      </c>
      <c r="B17" s="10" t="s">
        <v>4967</v>
      </c>
      <c r="C17" s="9"/>
      <c r="D17" s="9"/>
      <c r="E17" s="9"/>
      <c r="F17" s="9"/>
      <c r="G17" s="9"/>
      <c r="H17" s="9"/>
      <c r="I17" s="9"/>
    </row>
    <row r="18" spans="1:9" s="2" customFormat="1" ht="15" customHeight="1">
      <c r="A18" s="7">
        <v>46192</v>
      </c>
      <c r="B18" s="8" t="s">
        <v>4992</v>
      </c>
      <c r="C18" s="9"/>
      <c r="D18" s="9"/>
      <c r="E18" s="9"/>
      <c r="F18" s="9"/>
      <c r="G18" s="9"/>
      <c r="H18" s="9"/>
      <c r="I18" s="9"/>
    </row>
    <row r="19" spans="1:9" s="2" customFormat="1" ht="15" customHeight="1">
      <c r="A19" s="7">
        <v>46193</v>
      </c>
      <c r="B19" s="8" t="s">
        <v>4992</v>
      </c>
      <c r="C19" s="9"/>
      <c r="D19" s="9"/>
      <c r="E19" s="9"/>
      <c r="F19" s="9"/>
      <c r="G19" s="9"/>
      <c r="H19" s="9"/>
      <c r="I19" s="9"/>
    </row>
    <row r="20" spans="1:9" s="2" customFormat="1" ht="15" customHeight="1">
      <c r="A20" s="7">
        <v>46194</v>
      </c>
      <c r="B20" s="8" t="s">
        <v>4992</v>
      </c>
      <c r="C20" s="9"/>
      <c r="D20" s="9"/>
      <c r="E20" s="9"/>
      <c r="F20" s="9"/>
      <c r="G20" s="9"/>
      <c r="H20" s="9"/>
      <c r="I20" s="9"/>
    </row>
    <row r="21" spans="1:9" s="2" customFormat="1" ht="15" customHeight="1">
      <c r="A21" s="7">
        <v>46290</v>
      </c>
      <c r="B21" s="8"/>
      <c r="C21" s="9"/>
      <c r="D21" s="9"/>
      <c r="E21" s="9"/>
      <c r="F21" s="9"/>
      <c r="G21" s="9"/>
      <c r="H21" s="9"/>
      <c r="I21" s="9"/>
    </row>
    <row r="22" spans="1:9" s="2" customFormat="1" ht="15" customHeight="1">
      <c r="A22" s="7">
        <v>46296</v>
      </c>
      <c r="B22" s="8" t="s">
        <v>4993</v>
      </c>
      <c r="C22" s="9"/>
      <c r="D22" s="9"/>
      <c r="E22" s="9"/>
      <c r="F22" s="9"/>
      <c r="G22" s="9"/>
      <c r="H22" s="9"/>
      <c r="I22" s="9"/>
    </row>
    <row r="23" spans="1:9" s="2" customFormat="1" ht="15" customHeight="1">
      <c r="A23" s="7">
        <v>46297</v>
      </c>
      <c r="B23" s="8" t="s">
        <v>4993</v>
      </c>
      <c r="C23" s="9"/>
      <c r="D23" s="9"/>
      <c r="E23" s="9"/>
      <c r="F23" s="9"/>
      <c r="G23" s="9"/>
      <c r="H23" s="9"/>
      <c r="I23" s="9"/>
    </row>
    <row r="24" spans="1:9" s="2" customFormat="1" ht="15" customHeight="1">
      <c r="A24" s="7">
        <v>46298</v>
      </c>
      <c r="B24" s="8" t="s">
        <v>4993</v>
      </c>
      <c r="C24" s="9"/>
      <c r="D24" s="9"/>
      <c r="E24" s="9"/>
      <c r="F24" s="9"/>
      <c r="G24" s="9"/>
      <c r="H24" s="9"/>
      <c r="I24" s="9"/>
    </row>
    <row r="25" spans="1:9" s="2" customFormat="1" ht="15" customHeight="1">
      <c r="A25" s="7">
        <v>46299</v>
      </c>
      <c r="B25" s="8" t="s">
        <v>4993</v>
      </c>
      <c r="C25" s="9"/>
      <c r="D25" s="9"/>
      <c r="E25" s="9"/>
      <c r="F25" s="9"/>
      <c r="G25" s="9"/>
      <c r="H25" s="9"/>
      <c r="I25" s="9"/>
    </row>
    <row r="26" spans="1:9" s="2" customFormat="1" ht="15" customHeight="1">
      <c r="A26" s="7">
        <v>46300</v>
      </c>
      <c r="B26" s="8" t="s">
        <v>4993</v>
      </c>
      <c r="C26" s="9"/>
      <c r="D26" s="9"/>
      <c r="E26" s="9"/>
      <c r="F26" s="9"/>
      <c r="G26" s="9"/>
      <c r="H26" s="9"/>
      <c r="I26" s="9"/>
    </row>
    <row r="27" spans="1:9" s="2" customFormat="1" ht="15" customHeight="1">
      <c r="A27" s="7">
        <v>46301</v>
      </c>
      <c r="B27" s="8" t="s">
        <v>4993</v>
      </c>
      <c r="C27" s="9"/>
      <c r="D27" s="9"/>
      <c r="E27" s="9"/>
      <c r="F27" s="9"/>
      <c r="G27" s="9"/>
      <c r="H27" s="9"/>
      <c r="I27" s="9"/>
    </row>
    <row r="28" spans="1:9" s="2" customFormat="1" ht="15" customHeight="1">
      <c r="A28" s="7">
        <v>46302</v>
      </c>
      <c r="B28" s="8" t="s">
        <v>4993</v>
      </c>
      <c r="C28" s="9"/>
      <c r="D28" s="9"/>
      <c r="E28" s="9"/>
      <c r="F28" s="9"/>
      <c r="G28" s="9"/>
      <c r="H28" s="9"/>
      <c r="I28" s="9"/>
    </row>
    <row r="29" spans="1:9" s="2" customFormat="1" ht="15" customHeight="1">
      <c r="A29" s="7">
        <v>46388</v>
      </c>
      <c r="B29" s="8" t="s">
        <v>4963</v>
      </c>
      <c r="C29" s="9"/>
      <c r="D29" s="9"/>
      <c r="E29" s="9"/>
      <c r="F29" s="9"/>
      <c r="G29" s="9"/>
      <c r="H29" s="9"/>
      <c r="I29" s="9"/>
    </row>
    <row r="30" spans="1:9" s="2" customFormat="1" ht="15" customHeight="1">
      <c r="A30" s="7">
        <v>46389</v>
      </c>
      <c r="B30" s="8" t="s">
        <v>4963</v>
      </c>
      <c r="C30" s="9"/>
      <c r="D30" s="9"/>
      <c r="E30" s="9"/>
      <c r="F30" s="9"/>
      <c r="G30" s="9"/>
      <c r="H30" s="9"/>
      <c r="I30" s="9"/>
    </row>
    <row r="31" spans="1:9" s="2" customFormat="1" ht="15" customHeight="1">
      <c r="A31" s="7">
        <v>46390</v>
      </c>
      <c r="B31" s="8" t="s">
        <v>4963</v>
      </c>
      <c r="C31" s="9"/>
      <c r="D31" s="9"/>
      <c r="E31" s="9"/>
      <c r="F31" s="9"/>
      <c r="G31" s="9"/>
      <c r="H31" s="9"/>
      <c r="I31" s="9"/>
    </row>
    <row r="32" spans="1:9" s="2" customFormat="1" ht="15" customHeight="1">
      <c r="A32" s="7">
        <v>46424</v>
      </c>
      <c r="B32" s="8" t="s">
        <v>4990</v>
      </c>
      <c r="C32" s="9"/>
      <c r="D32" s="9"/>
      <c r="E32" s="9"/>
      <c r="F32" s="9"/>
      <c r="G32" s="9"/>
      <c r="H32" s="9"/>
      <c r="I32" s="9"/>
    </row>
    <row r="33" spans="1:9" s="2" customFormat="1" ht="15" customHeight="1">
      <c r="A33" s="7">
        <v>46425</v>
      </c>
      <c r="B33" s="8" t="s">
        <v>4990</v>
      </c>
      <c r="C33" s="9"/>
      <c r="D33" s="9"/>
      <c r="E33" s="9"/>
      <c r="F33" s="9"/>
      <c r="G33" s="9"/>
      <c r="H33" s="9"/>
      <c r="I33" s="9"/>
    </row>
    <row r="34" spans="1:9" s="2" customFormat="1" ht="15" customHeight="1">
      <c r="A34" s="7">
        <v>46426</v>
      </c>
      <c r="B34" s="8" t="s">
        <v>4990</v>
      </c>
      <c r="C34" s="9"/>
      <c r="D34" s="9"/>
      <c r="E34" s="9"/>
      <c r="F34" s="9"/>
      <c r="G34" s="9"/>
      <c r="H34" s="9"/>
      <c r="I34" s="9"/>
    </row>
    <row r="35" spans="1:9" s="2" customFormat="1" ht="15" customHeight="1">
      <c r="A35" s="7">
        <v>46427</v>
      </c>
      <c r="B35" s="8" t="s">
        <v>4990</v>
      </c>
      <c r="C35" s="9"/>
      <c r="D35" s="9"/>
      <c r="E35" s="9"/>
      <c r="F35" s="9"/>
      <c r="G35" s="9"/>
      <c r="H35" s="9"/>
      <c r="I35" s="9"/>
    </row>
    <row r="36" spans="1:9" s="2" customFormat="1" ht="15" customHeight="1">
      <c r="A36" s="7">
        <v>46428</v>
      </c>
      <c r="B36" s="8" t="s">
        <v>4990</v>
      </c>
      <c r="C36" s="9"/>
      <c r="D36" s="9"/>
      <c r="E36" s="9"/>
      <c r="F36" s="9"/>
      <c r="G36" s="9"/>
      <c r="H36" s="9"/>
      <c r="I36" s="9"/>
    </row>
    <row r="37" spans="1:9" s="2" customFormat="1" ht="15" customHeight="1">
      <c r="A37" s="7">
        <v>46429</v>
      </c>
      <c r="B37" s="8" t="s">
        <v>4990</v>
      </c>
      <c r="C37" s="9"/>
      <c r="D37" s="9"/>
      <c r="E37" s="9"/>
      <c r="F37" s="9"/>
      <c r="G37" s="9"/>
      <c r="H37" s="9"/>
      <c r="I37" s="9"/>
    </row>
    <row r="38" spans="1:9" s="2" customFormat="1" ht="15" customHeight="1">
      <c r="A38" s="7">
        <v>46430</v>
      </c>
      <c r="B38" s="8" t="s">
        <v>4990</v>
      </c>
      <c r="C38" s="9"/>
      <c r="D38" s="9"/>
      <c r="E38" s="9"/>
      <c r="F38" s="9"/>
      <c r="G38" s="9"/>
      <c r="H38" s="9"/>
      <c r="I38" s="9"/>
    </row>
    <row r="39" spans="1:9" s="2" customFormat="1" ht="15" customHeight="1">
      <c r="A39" s="7">
        <v>46480</v>
      </c>
      <c r="B39" s="8" t="s">
        <v>4991</v>
      </c>
      <c r="C39" s="9"/>
      <c r="D39" s="9"/>
      <c r="E39" s="9"/>
      <c r="F39" s="9"/>
      <c r="G39" s="9"/>
      <c r="H39" s="9"/>
      <c r="I39" s="9"/>
    </row>
    <row r="40" spans="1:9" s="2" customFormat="1" ht="15" customHeight="1">
      <c r="A40" s="7">
        <v>46481</v>
      </c>
      <c r="B40" s="8" t="s">
        <v>4991</v>
      </c>
      <c r="C40" s="9"/>
      <c r="D40" s="9"/>
      <c r="E40" s="9"/>
      <c r="F40" s="9"/>
      <c r="G40" s="9"/>
      <c r="H40" s="9"/>
      <c r="I40" s="9"/>
    </row>
    <row r="41" spans="1:9" s="2" customFormat="1" ht="15" customHeight="1">
      <c r="A41" s="7">
        <v>46482</v>
      </c>
      <c r="B41" s="8" t="s">
        <v>4991</v>
      </c>
      <c r="C41" s="9"/>
      <c r="D41" s="9"/>
      <c r="E41" s="9"/>
      <c r="F41" s="9"/>
      <c r="G41" s="9"/>
      <c r="H41" s="9"/>
      <c r="I41" s="9"/>
    </row>
    <row r="42" spans="1:9" s="2" customFormat="1" ht="15" customHeight="1">
      <c r="A42" s="7">
        <v>46508</v>
      </c>
      <c r="B42" s="10" t="s">
        <v>4967</v>
      </c>
      <c r="C42" s="9"/>
      <c r="D42" s="9"/>
      <c r="E42" s="9"/>
      <c r="F42" s="9"/>
      <c r="G42" s="9"/>
      <c r="H42" s="9"/>
      <c r="I42" s="9"/>
    </row>
    <row r="43" spans="1:9" s="2" customFormat="1" ht="15" customHeight="1">
      <c r="A43" s="7">
        <v>46509</v>
      </c>
      <c r="B43" s="10" t="s">
        <v>4967</v>
      </c>
      <c r="C43" s="9"/>
      <c r="D43" s="9"/>
      <c r="E43" s="9"/>
      <c r="F43" s="9"/>
      <c r="G43" s="9"/>
      <c r="H43" s="9"/>
      <c r="I43" s="9"/>
    </row>
    <row r="44" spans="1:9" s="2" customFormat="1" ht="15" customHeight="1">
      <c r="A44" s="7">
        <v>46510</v>
      </c>
      <c r="B44" s="10" t="s">
        <v>4967</v>
      </c>
      <c r="C44" s="9"/>
      <c r="D44" s="9"/>
      <c r="E44" s="9"/>
      <c r="F44" s="9"/>
      <c r="G44" s="9"/>
      <c r="H44" s="9"/>
      <c r="I44" s="9"/>
    </row>
    <row r="45" spans="1:9" s="2" customFormat="1" ht="15" customHeight="1">
      <c r="A45" s="7">
        <v>46549</v>
      </c>
      <c r="B45" s="8" t="s">
        <v>4992</v>
      </c>
      <c r="C45" s="9"/>
      <c r="D45" s="9"/>
      <c r="E45" s="9"/>
      <c r="F45" s="9"/>
      <c r="G45" s="9"/>
      <c r="H45" s="9"/>
      <c r="I45" s="9"/>
    </row>
    <row r="46" spans="1:9" s="2" customFormat="1" ht="15" customHeight="1">
      <c r="A46" s="7">
        <v>46550</v>
      </c>
      <c r="B46" s="8" t="s">
        <v>4992</v>
      </c>
      <c r="C46" s="9"/>
      <c r="D46" s="9"/>
      <c r="E46" s="9"/>
      <c r="F46" s="9"/>
      <c r="G46" s="9"/>
      <c r="H46" s="9"/>
      <c r="I46" s="9"/>
    </row>
    <row r="47" spans="1:9" s="2" customFormat="1" ht="15" customHeight="1">
      <c r="A47" s="7">
        <v>46551</v>
      </c>
      <c r="B47" s="8" t="s">
        <v>4992</v>
      </c>
      <c r="C47" s="9"/>
      <c r="D47" s="9"/>
      <c r="E47" s="9"/>
      <c r="F47" s="9"/>
      <c r="G47" s="9"/>
      <c r="H47" s="9"/>
      <c r="I47" s="9"/>
    </row>
    <row r="48" spans="1:9" s="2" customFormat="1" ht="15" customHeight="1">
      <c r="A48" s="7">
        <v>46552</v>
      </c>
      <c r="B48" s="8" t="s">
        <v>4992</v>
      </c>
      <c r="C48" s="9"/>
      <c r="D48" s="9"/>
      <c r="E48" s="9"/>
      <c r="F48" s="9"/>
      <c r="G48" s="9"/>
      <c r="H48" s="9"/>
      <c r="I48" s="9"/>
    </row>
    <row r="49" spans="1:9" s="2" customFormat="1" ht="15" customHeight="1">
      <c r="A49" s="7">
        <v>46645</v>
      </c>
      <c r="B49" s="8"/>
      <c r="C49" s="9"/>
      <c r="D49" s="9"/>
      <c r="E49" s="9"/>
      <c r="F49" s="9"/>
      <c r="G49" s="9"/>
      <c r="H49" s="9"/>
      <c r="I49" s="9"/>
    </row>
    <row r="50" spans="1:9" s="2" customFormat="1" ht="15" customHeight="1">
      <c r="A50" s="7">
        <v>46661</v>
      </c>
      <c r="B50" s="8" t="s">
        <v>4993</v>
      </c>
      <c r="C50" s="9"/>
      <c r="D50" s="9"/>
      <c r="E50" s="9"/>
      <c r="F50" s="9"/>
      <c r="G50" s="9"/>
      <c r="H50" s="9"/>
      <c r="I50" s="9"/>
    </row>
    <row r="51" spans="1:9" s="2" customFormat="1" ht="15" customHeight="1">
      <c r="A51" s="7">
        <v>46662</v>
      </c>
      <c r="B51" s="8" t="s">
        <v>4993</v>
      </c>
      <c r="C51" s="9"/>
      <c r="D51" s="9"/>
      <c r="E51" s="9"/>
      <c r="F51" s="9"/>
      <c r="G51" s="9"/>
      <c r="H51" s="9"/>
      <c r="I51" s="9"/>
    </row>
    <row r="52" spans="1:9" s="2" customFormat="1" ht="15" customHeight="1">
      <c r="A52" s="7">
        <v>46663</v>
      </c>
      <c r="B52" s="8" t="s">
        <v>4993</v>
      </c>
      <c r="C52" s="9"/>
      <c r="D52" s="9"/>
      <c r="E52" s="9"/>
      <c r="F52" s="9"/>
      <c r="G52" s="9"/>
      <c r="H52" s="9"/>
      <c r="I52" s="9"/>
    </row>
    <row r="53" spans="1:9" s="2" customFormat="1" ht="15" customHeight="1">
      <c r="A53" s="7">
        <v>46664</v>
      </c>
      <c r="B53" s="8" t="s">
        <v>4993</v>
      </c>
      <c r="C53" s="9"/>
      <c r="D53" s="9"/>
      <c r="E53" s="9"/>
      <c r="F53" s="9"/>
      <c r="G53" s="9"/>
      <c r="H53" s="9"/>
      <c r="I53" s="9"/>
    </row>
    <row r="54" spans="1:9" s="2" customFormat="1" ht="15" customHeight="1">
      <c r="A54" s="7">
        <v>46665</v>
      </c>
      <c r="B54" s="8" t="s">
        <v>4993</v>
      </c>
      <c r="C54" s="9"/>
      <c r="D54" s="9"/>
      <c r="E54" s="9"/>
      <c r="F54" s="9"/>
      <c r="G54" s="9"/>
      <c r="H54" s="9"/>
      <c r="I54" s="9"/>
    </row>
    <row r="55" spans="1:9" s="2" customFormat="1" ht="15" customHeight="1">
      <c r="A55" s="7">
        <v>46666</v>
      </c>
      <c r="B55" s="8" t="s">
        <v>4993</v>
      </c>
      <c r="C55" s="9"/>
      <c r="D55" s="9"/>
      <c r="E55" s="9"/>
      <c r="F55" s="9"/>
      <c r="G55" s="9"/>
      <c r="H55" s="9"/>
      <c r="I55" s="9"/>
    </row>
    <row r="56" spans="1:9" s="2" customFormat="1" ht="15" customHeight="1">
      <c r="A56" s="7">
        <v>46667</v>
      </c>
      <c r="B56" s="8" t="s">
        <v>4993</v>
      </c>
      <c r="C56" s="9"/>
      <c r="D56" s="9"/>
      <c r="E56" s="9"/>
      <c r="F56" s="9"/>
      <c r="G56" s="9"/>
      <c r="H56" s="9"/>
      <c r="I56" s="9"/>
    </row>
    <row r="57" spans="1:9" s="2" customFormat="1" ht="15" customHeight="1">
      <c r="A57" s="7">
        <v>46753</v>
      </c>
      <c r="B57" s="8" t="s">
        <v>4963</v>
      </c>
      <c r="C57" s="9"/>
      <c r="D57" s="9"/>
      <c r="E57" s="9"/>
      <c r="F57" s="9"/>
      <c r="G57" s="9"/>
      <c r="H57" s="9"/>
      <c r="I57" s="9"/>
    </row>
    <row r="58" spans="1:9" s="2" customFormat="1" ht="15" customHeight="1">
      <c r="A58" s="7">
        <v>46754</v>
      </c>
      <c r="B58" s="8" t="s">
        <v>4963</v>
      </c>
      <c r="C58" s="9"/>
      <c r="D58" s="9"/>
      <c r="E58" s="9"/>
      <c r="F58" s="9"/>
      <c r="G58" s="9"/>
      <c r="H58" s="9"/>
      <c r="I58" s="9"/>
    </row>
    <row r="59" spans="1:9" s="2" customFormat="1" ht="15" customHeight="1">
      <c r="A59" s="7">
        <v>46755</v>
      </c>
      <c r="B59" s="8" t="s">
        <v>4963</v>
      </c>
      <c r="C59" s="9"/>
      <c r="D59" s="9"/>
      <c r="E59" s="9"/>
      <c r="F59" s="9"/>
      <c r="G59" s="9"/>
      <c r="H59" s="9"/>
      <c r="I59" s="9"/>
    </row>
    <row r="60" spans="1:9" s="2" customFormat="1" ht="15" customHeight="1">
      <c r="A60" s="7">
        <v>46777</v>
      </c>
      <c r="B60" s="8" t="s">
        <v>4990</v>
      </c>
      <c r="C60" s="9"/>
      <c r="D60" s="9"/>
      <c r="E60" s="9"/>
      <c r="F60" s="9"/>
      <c r="G60" s="9"/>
      <c r="H60" s="9"/>
      <c r="I60" s="9"/>
    </row>
    <row r="61" spans="1:9" s="2" customFormat="1" ht="15" customHeight="1">
      <c r="A61" s="7">
        <v>46778</v>
      </c>
      <c r="B61" s="8" t="s">
        <v>4990</v>
      </c>
      <c r="C61" s="9"/>
      <c r="D61" s="9"/>
      <c r="E61" s="9"/>
      <c r="F61" s="9"/>
      <c r="G61" s="9"/>
      <c r="H61" s="9"/>
      <c r="I61" s="9"/>
    </row>
    <row r="62" spans="1:9" s="2" customFormat="1" ht="15" customHeight="1">
      <c r="A62" s="7">
        <v>46779</v>
      </c>
      <c r="B62" s="8" t="s">
        <v>4990</v>
      </c>
      <c r="C62" s="9"/>
      <c r="D62" s="9"/>
      <c r="E62" s="9"/>
      <c r="F62" s="9"/>
      <c r="G62" s="9"/>
      <c r="H62" s="9"/>
      <c r="I62" s="9"/>
    </row>
    <row r="63" spans="1:9" s="2" customFormat="1" ht="15" customHeight="1">
      <c r="A63" s="7">
        <v>46780</v>
      </c>
      <c r="B63" s="8" t="s">
        <v>4990</v>
      </c>
      <c r="C63" s="9"/>
      <c r="D63" s="9"/>
      <c r="E63" s="9"/>
      <c r="F63" s="9"/>
      <c r="G63" s="9"/>
      <c r="H63" s="9"/>
      <c r="I63" s="9"/>
    </row>
    <row r="64" spans="1:9" s="2" customFormat="1" ht="15" customHeight="1">
      <c r="A64" s="7">
        <v>46781</v>
      </c>
      <c r="B64" s="8" t="s">
        <v>4990</v>
      </c>
      <c r="C64" s="9"/>
      <c r="D64" s="9"/>
      <c r="E64" s="9"/>
      <c r="F64" s="9"/>
      <c r="G64" s="9"/>
      <c r="H64" s="9"/>
      <c r="I64" s="9"/>
    </row>
    <row r="65" spans="1:9" s="2" customFormat="1" ht="15" customHeight="1">
      <c r="A65" s="7">
        <v>46782</v>
      </c>
      <c r="B65" s="8" t="s">
        <v>4990</v>
      </c>
      <c r="C65" s="9"/>
      <c r="D65" s="9"/>
      <c r="E65" s="9"/>
      <c r="F65" s="9"/>
      <c r="G65" s="9"/>
      <c r="H65" s="9"/>
      <c r="I65" s="9"/>
    </row>
    <row r="66" spans="1:9" s="2" customFormat="1" ht="15" customHeight="1">
      <c r="A66" s="7">
        <v>46783</v>
      </c>
      <c r="B66" s="8" t="s">
        <v>4990</v>
      </c>
      <c r="C66" s="9"/>
      <c r="D66" s="9"/>
      <c r="E66" s="9"/>
      <c r="F66" s="9"/>
      <c r="G66" s="9"/>
      <c r="H66" s="9"/>
      <c r="I66" s="9"/>
    </row>
    <row r="67" spans="1:9" s="2" customFormat="1" ht="15" customHeight="1">
      <c r="A67" s="7">
        <v>46847</v>
      </c>
      <c r="B67" s="8" t="s">
        <v>4991</v>
      </c>
      <c r="C67" s="9"/>
      <c r="D67" s="9"/>
      <c r="E67" s="9"/>
      <c r="F67" s="9"/>
      <c r="G67" s="9"/>
      <c r="H67" s="9"/>
      <c r="I67" s="9"/>
    </row>
    <row r="68" spans="1:9" s="2" customFormat="1" ht="15" customHeight="1">
      <c r="A68" s="7">
        <v>46848</v>
      </c>
      <c r="B68" s="8" t="s">
        <v>4991</v>
      </c>
      <c r="C68" s="9"/>
      <c r="D68" s="9"/>
      <c r="E68" s="9"/>
      <c r="F68" s="9"/>
      <c r="G68" s="9"/>
      <c r="H68" s="9"/>
      <c r="I68" s="9"/>
    </row>
    <row r="69" spans="1:9" s="2" customFormat="1" ht="15" customHeight="1">
      <c r="A69" s="7">
        <v>46849</v>
      </c>
      <c r="B69" s="8" t="s">
        <v>4991</v>
      </c>
      <c r="C69" s="9"/>
      <c r="D69" s="9"/>
      <c r="E69" s="9"/>
      <c r="F69" s="9"/>
      <c r="G69" s="9"/>
      <c r="H69" s="9"/>
      <c r="I69" s="9"/>
    </row>
    <row r="70" spans="1:9" s="2" customFormat="1" ht="15" customHeight="1">
      <c r="A70" s="7">
        <v>46874</v>
      </c>
      <c r="B70" s="10" t="s">
        <v>4967</v>
      </c>
      <c r="C70" s="9"/>
      <c r="D70" s="9"/>
      <c r="E70" s="9"/>
      <c r="F70" s="9"/>
      <c r="G70" s="9"/>
      <c r="H70" s="9"/>
      <c r="I70" s="9"/>
    </row>
    <row r="71" spans="1:9" s="2" customFormat="1" ht="15" customHeight="1">
      <c r="A71" s="7">
        <v>46875</v>
      </c>
      <c r="B71" s="10" t="s">
        <v>4967</v>
      </c>
      <c r="C71" s="9"/>
      <c r="D71" s="9"/>
      <c r="E71" s="9"/>
      <c r="F71" s="9"/>
      <c r="G71" s="9"/>
      <c r="H71" s="9"/>
      <c r="I71" s="9"/>
    </row>
    <row r="72" spans="1:9" s="2" customFormat="1" ht="15" customHeight="1">
      <c r="A72" s="7">
        <v>46876</v>
      </c>
      <c r="B72" s="10" t="s">
        <v>4967</v>
      </c>
      <c r="C72" s="9"/>
      <c r="D72" s="9"/>
      <c r="E72" s="9"/>
      <c r="F72" s="9"/>
      <c r="G72" s="9"/>
      <c r="H72" s="9"/>
      <c r="I72" s="9"/>
    </row>
    <row r="73" spans="1:9" s="2" customFormat="1" ht="15" customHeight="1">
      <c r="A73" s="7">
        <v>46904</v>
      </c>
      <c r="B73" s="8" t="s">
        <v>4992</v>
      </c>
      <c r="C73" s="9"/>
      <c r="D73" s="9"/>
      <c r="E73" s="9"/>
      <c r="F73" s="9"/>
      <c r="G73" s="9"/>
      <c r="H73" s="9"/>
      <c r="I73" s="9"/>
    </row>
    <row r="74" spans="1:9" s="2" customFormat="1" ht="15" customHeight="1">
      <c r="A74" s="7">
        <v>46905</v>
      </c>
      <c r="B74" s="8" t="s">
        <v>4992</v>
      </c>
      <c r="C74" s="9"/>
      <c r="D74" s="9"/>
      <c r="E74" s="9"/>
      <c r="F74" s="9"/>
      <c r="G74" s="9"/>
      <c r="H74" s="9"/>
      <c r="I74" s="9"/>
    </row>
    <row r="75" spans="1:9" s="2" customFormat="1" ht="15" customHeight="1">
      <c r="A75" s="7">
        <v>46906</v>
      </c>
      <c r="B75" s="8" t="s">
        <v>4992</v>
      </c>
      <c r="C75" s="9"/>
      <c r="D75" s="9"/>
      <c r="E75" s="9"/>
      <c r="F75" s="9"/>
      <c r="G75" s="9"/>
      <c r="H75" s="9"/>
      <c r="I75" s="9"/>
    </row>
    <row r="76" spans="1:9" s="2" customFormat="1" ht="15" customHeight="1">
      <c r="A76" s="7">
        <v>47027</v>
      </c>
      <c r="B76" s="8" t="s">
        <v>4993</v>
      </c>
      <c r="C76" s="9"/>
      <c r="D76" s="9"/>
      <c r="E76" s="9"/>
      <c r="F76" s="9"/>
      <c r="G76" s="9"/>
      <c r="H76" s="9"/>
      <c r="I76" s="9"/>
    </row>
    <row r="77" spans="1:9" s="2" customFormat="1" ht="15" customHeight="1">
      <c r="A77" s="7">
        <v>47028</v>
      </c>
      <c r="B77" s="8" t="s">
        <v>4993</v>
      </c>
      <c r="C77" s="9"/>
      <c r="D77" s="9"/>
      <c r="E77" s="9"/>
      <c r="F77" s="9"/>
      <c r="G77" s="9"/>
      <c r="H77" s="9"/>
      <c r="I77" s="9"/>
    </row>
    <row r="78" spans="1:9" s="2" customFormat="1" ht="15" customHeight="1">
      <c r="A78" s="7">
        <v>47029</v>
      </c>
      <c r="B78" s="8" t="s">
        <v>4993</v>
      </c>
      <c r="C78" s="9"/>
      <c r="D78" s="9"/>
      <c r="E78" s="9"/>
      <c r="F78" s="9"/>
      <c r="G78" s="9"/>
      <c r="H78" s="9"/>
      <c r="I78" s="9"/>
    </row>
    <row r="79" spans="1:9" s="2" customFormat="1" ht="15" customHeight="1">
      <c r="A79" s="7">
        <v>47030</v>
      </c>
      <c r="B79" s="8" t="s">
        <v>4993</v>
      </c>
      <c r="C79" s="9"/>
      <c r="D79" s="9"/>
      <c r="E79" s="9"/>
      <c r="F79" s="9"/>
      <c r="G79" s="9"/>
      <c r="H79" s="9"/>
      <c r="I79" s="9"/>
    </row>
    <row r="80" spans="1:9" s="2" customFormat="1" ht="15" customHeight="1">
      <c r="A80" s="7">
        <v>47031</v>
      </c>
      <c r="B80" s="8" t="s">
        <v>4993</v>
      </c>
      <c r="C80" s="9"/>
      <c r="D80" s="9"/>
      <c r="E80" s="9"/>
      <c r="F80" s="9"/>
      <c r="G80" s="9"/>
      <c r="H80" s="9"/>
      <c r="I80" s="9"/>
    </row>
    <row r="81" spans="1:9" s="2" customFormat="1" ht="15" customHeight="1">
      <c r="A81" s="7">
        <v>47032</v>
      </c>
      <c r="B81" s="8" t="s">
        <v>4993</v>
      </c>
      <c r="C81" s="9"/>
      <c r="D81" s="9"/>
      <c r="E81" s="9"/>
      <c r="F81" s="9"/>
      <c r="G81" s="9"/>
      <c r="H81" s="9"/>
      <c r="I81" s="9"/>
    </row>
    <row r="82" spans="1:9" s="2" customFormat="1" ht="15" customHeight="1">
      <c r="A82" s="7">
        <v>47033</v>
      </c>
      <c r="B82" s="8" t="s">
        <v>4993</v>
      </c>
      <c r="C82" s="9"/>
      <c r="D82" s="9"/>
      <c r="E82" s="9"/>
      <c r="F82" s="9"/>
      <c r="G82" s="9"/>
      <c r="H82" s="9"/>
      <c r="I82" s="9"/>
    </row>
  </sheetData>
  <conditionalFormatting sqref="A1:A1048576">
    <cfRule type="duplicateValues" dxfId="78" priority="1"/>
  </conditionalFormatting>
  <conditionalFormatting sqref="A2">
    <cfRule type="duplicateValues" dxfId="77" priority="78"/>
  </conditionalFormatting>
  <conditionalFormatting sqref="A3">
    <cfRule type="duplicateValues" dxfId="76" priority="77"/>
  </conditionalFormatting>
  <conditionalFormatting sqref="A4">
    <cfRule type="duplicateValues" dxfId="75" priority="76"/>
  </conditionalFormatting>
  <conditionalFormatting sqref="A5">
    <cfRule type="duplicateValues" dxfId="74" priority="75"/>
  </conditionalFormatting>
  <conditionalFormatting sqref="A6">
    <cfRule type="duplicateValues" dxfId="73" priority="74"/>
  </conditionalFormatting>
  <conditionalFormatting sqref="A7">
    <cfRule type="duplicateValues" dxfId="72" priority="73"/>
  </conditionalFormatting>
  <conditionalFormatting sqref="A8">
    <cfRule type="duplicateValues" dxfId="71" priority="72"/>
  </conditionalFormatting>
  <conditionalFormatting sqref="A9">
    <cfRule type="duplicateValues" dxfId="70" priority="71"/>
  </conditionalFormatting>
  <conditionalFormatting sqref="A10">
    <cfRule type="duplicateValues" dxfId="69" priority="70"/>
  </conditionalFormatting>
  <conditionalFormatting sqref="A11">
    <cfRule type="duplicateValues" dxfId="68" priority="69"/>
  </conditionalFormatting>
  <conditionalFormatting sqref="A12">
    <cfRule type="duplicateValues" dxfId="67" priority="68"/>
  </conditionalFormatting>
  <conditionalFormatting sqref="A13">
    <cfRule type="duplicateValues" dxfId="66" priority="67"/>
  </conditionalFormatting>
  <conditionalFormatting sqref="A14">
    <cfRule type="duplicateValues" dxfId="65" priority="66"/>
  </conditionalFormatting>
  <conditionalFormatting sqref="A15">
    <cfRule type="duplicateValues" dxfId="64" priority="65"/>
  </conditionalFormatting>
  <conditionalFormatting sqref="A16">
    <cfRule type="duplicateValues" dxfId="63" priority="64"/>
  </conditionalFormatting>
  <conditionalFormatting sqref="A17">
    <cfRule type="duplicateValues" dxfId="62" priority="63"/>
  </conditionalFormatting>
  <conditionalFormatting sqref="A18">
    <cfRule type="duplicateValues" dxfId="61" priority="62"/>
  </conditionalFormatting>
  <conditionalFormatting sqref="A19">
    <cfRule type="duplicateValues" dxfId="60" priority="61"/>
  </conditionalFormatting>
  <conditionalFormatting sqref="A20:A21">
    <cfRule type="duplicateValues" dxfId="59" priority="60"/>
  </conditionalFormatting>
  <conditionalFormatting sqref="A21:A22">
    <cfRule type="duplicateValues" dxfId="58" priority="59"/>
  </conditionalFormatting>
  <conditionalFormatting sqref="A23">
    <cfRule type="duplicateValues" dxfId="57" priority="58"/>
  </conditionalFormatting>
  <conditionalFormatting sqref="A24">
    <cfRule type="duplicateValues" dxfId="56" priority="57"/>
  </conditionalFormatting>
  <conditionalFormatting sqref="A25">
    <cfRule type="duplicateValues" dxfId="55" priority="56"/>
  </conditionalFormatting>
  <conditionalFormatting sqref="A26">
    <cfRule type="duplicateValues" dxfId="54" priority="55"/>
  </conditionalFormatting>
  <conditionalFormatting sqref="A27">
    <cfRule type="duplicateValues" dxfId="53" priority="54"/>
  </conditionalFormatting>
  <conditionalFormatting sqref="A28">
    <cfRule type="duplicateValues" dxfId="52" priority="53"/>
  </conditionalFormatting>
  <conditionalFormatting sqref="A29">
    <cfRule type="duplicateValues" dxfId="51" priority="52"/>
  </conditionalFormatting>
  <conditionalFormatting sqref="A30">
    <cfRule type="duplicateValues" dxfId="50" priority="51"/>
  </conditionalFormatting>
  <conditionalFormatting sqref="A31">
    <cfRule type="duplicateValues" dxfId="49" priority="50"/>
  </conditionalFormatting>
  <conditionalFormatting sqref="A32">
    <cfRule type="duplicateValues" dxfId="48" priority="49"/>
  </conditionalFormatting>
  <conditionalFormatting sqref="A33">
    <cfRule type="duplicateValues" dxfId="47" priority="48"/>
  </conditionalFormatting>
  <conditionalFormatting sqref="A34">
    <cfRule type="duplicateValues" dxfId="46" priority="47"/>
  </conditionalFormatting>
  <conditionalFormatting sqref="A35">
    <cfRule type="duplicateValues" dxfId="45" priority="46"/>
  </conditionalFormatting>
  <conditionalFormatting sqref="A36">
    <cfRule type="duplicateValues" dxfId="44" priority="45"/>
  </conditionalFormatting>
  <conditionalFormatting sqref="A37">
    <cfRule type="duplicateValues" dxfId="43" priority="44"/>
  </conditionalFormatting>
  <conditionalFormatting sqref="A38">
    <cfRule type="duplicateValues" dxfId="42" priority="43"/>
  </conditionalFormatting>
  <conditionalFormatting sqref="A39">
    <cfRule type="duplicateValues" dxfId="41" priority="42"/>
  </conditionalFormatting>
  <conditionalFormatting sqref="A40">
    <cfRule type="duplicateValues" dxfId="40" priority="41"/>
  </conditionalFormatting>
  <conditionalFormatting sqref="A41">
    <cfRule type="duplicateValues" dxfId="39" priority="40"/>
  </conditionalFormatting>
  <conditionalFormatting sqref="A42">
    <cfRule type="duplicateValues" dxfId="38" priority="39"/>
  </conditionalFormatting>
  <conditionalFormatting sqref="A43">
    <cfRule type="duplicateValues" dxfId="37" priority="38"/>
  </conditionalFormatting>
  <conditionalFormatting sqref="A44">
    <cfRule type="duplicateValues" dxfId="36" priority="37"/>
  </conditionalFormatting>
  <conditionalFormatting sqref="A45">
    <cfRule type="duplicateValues" dxfId="35" priority="36"/>
  </conditionalFormatting>
  <conditionalFormatting sqref="A46">
    <cfRule type="duplicateValues" dxfId="34" priority="35"/>
  </conditionalFormatting>
  <conditionalFormatting sqref="A47">
    <cfRule type="duplicateValues" dxfId="33" priority="34"/>
  </conditionalFormatting>
  <conditionalFormatting sqref="A48:A49">
    <cfRule type="duplicateValues" dxfId="32" priority="33"/>
  </conditionalFormatting>
  <conditionalFormatting sqref="A49:A50">
    <cfRule type="duplicateValues" dxfId="31" priority="32"/>
  </conditionalFormatting>
  <conditionalFormatting sqref="A51">
    <cfRule type="duplicateValues" dxfId="30" priority="31"/>
  </conditionalFormatting>
  <conditionalFormatting sqref="A52">
    <cfRule type="duplicateValues" dxfId="29" priority="30"/>
  </conditionalFormatting>
  <conditionalFormatting sqref="A53">
    <cfRule type="duplicateValues" dxfId="28" priority="29"/>
  </conditionalFormatting>
  <conditionalFormatting sqref="A54">
    <cfRule type="duplicateValues" dxfId="27" priority="28"/>
  </conditionalFormatting>
  <conditionalFormatting sqref="A55">
    <cfRule type="duplicateValues" dxfId="26" priority="27"/>
  </conditionalFormatting>
  <conditionalFormatting sqref="A56">
    <cfRule type="duplicateValues" dxfId="25" priority="26"/>
  </conditionalFormatting>
  <conditionalFormatting sqref="A57">
    <cfRule type="duplicateValues" dxfId="24" priority="25"/>
  </conditionalFormatting>
  <conditionalFormatting sqref="A58">
    <cfRule type="duplicateValues" dxfId="23" priority="24"/>
  </conditionalFormatting>
  <conditionalFormatting sqref="A59">
    <cfRule type="duplicateValues" dxfId="22" priority="23"/>
  </conditionalFormatting>
  <conditionalFormatting sqref="A60">
    <cfRule type="duplicateValues" dxfId="21" priority="22"/>
  </conditionalFormatting>
  <conditionalFormatting sqref="A61">
    <cfRule type="duplicateValues" dxfId="20" priority="21"/>
  </conditionalFormatting>
  <conditionalFormatting sqref="A62">
    <cfRule type="duplicateValues" dxfId="19" priority="20"/>
  </conditionalFormatting>
  <conditionalFormatting sqref="A63">
    <cfRule type="duplicateValues" dxfId="18" priority="19"/>
  </conditionalFormatting>
  <conditionalFormatting sqref="A64">
    <cfRule type="duplicateValues" dxfId="17" priority="18"/>
  </conditionalFormatting>
  <conditionalFormatting sqref="A65">
    <cfRule type="duplicateValues" dxfId="16" priority="17"/>
  </conditionalFormatting>
  <conditionalFormatting sqref="A66">
    <cfRule type="duplicateValues" dxfId="15" priority="16"/>
  </conditionalFormatting>
  <conditionalFormatting sqref="A67">
    <cfRule type="duplicateValues" dxfId="14" priority="15"/>
  </conditionalFormatting>
  <conditionalFormatting sqref="A68">
    <cfRule type="duplicateValues" dxfId="13" priority="14"/>
  </conditionalFormatting>
  <conditionalFormatting sqref="A69">
    <cfRule type="duplicateValues" dxfId="12" priority="13"/>
  </conditionalFormatting>
  <conditionalFormatting sqref="A70">
    <cfRule type="duplicateValues" dxfId="11" priority="12"/>
  </conditionalFormatting>
  <conditionalFormatting sqref="A71">
    <cfRule type="duplicateValues" dxfId="10" priority="11"/>
  </conditionalFormatting>
  <conditionalFormatting sqref="A72">
    <cfRule type="duplicateValues" dxfId="9" priority="10"/>
  </conditionalFormatting>
  <conditionalFormatting sqref="A73">
    <cfRule type="duplicateValues" dxfId="8" priority="9"/>
  </conditionalFormatting>
  <conditionalFormatting sqref="A74">
    <cfRule type="duplicateValues" dxfId="7" priority="8"/>
  </conditionalFormatting>
  <conditionalFormatting sqref="A75">
    <cfRule type="duplicateValues" dxfId="6" priority="7"/>
  </conditionalFormatting>
  <conditionalFormatting sqref="A76">
    <cfRule type="duplicateValues" dxfId="5" priority="6"/>
  </conditionalFormatting>
  <conditionalFormatting sqref="A77">
    <cfRule type="duplicateValues" dxfId="4" priority="5"/>
  </conditionalFormatting>
  <conditionalFormatting sqref="A78">
    <cfRule type="duplicateValues" dxfId="3" priority="4"/>
  </conditionalFormatting>
  <conditionalFormatting sqref="A79">
    <cfRule type="duplicateValues" dxfId="2" priority="3"/>
  </conditionalFormatting>
  <conditionalFormatting sqref="A80:A82">
    <cfRule type="duplicateValues" dxfId="1" priority="2"/>
  </conditionalFormatting>
  <conditionalFormatting sqref="A83:A1048576 A1">
    <cfRule type="duplicateValues" dxfId="0" priority="79"/>
  </conditionalFormatting>
  <pageMargins left="0.7" right="0.7" top="0.75" bottom="0.75" header="0.3" footer="0.3"/>
  <pageSetup paperSize="9" scale="35"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3" master="" otherUserPermission="visible"/>
  <rangeList sheetStid="8" master="" otherUserPermission="visible"/>
  <rangeList sheetStid="7" master="" otherUserPermission="visible"/>
  <rangeList sheetStid="1" master="" otherUserPermission="visible"/>
  <rangeList sheetStid="2" master="" otherUserPermission="visible">
    <arrUserId title="区域1" rangeCreator="" othersAccessPermission="edit"/>
  </rangeList>
  <rangeList sheetStid="5" master="" otherUserPermission="visible"/>
  <rangeList sheetStid="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PSR Overall Cycle</vt:lpstr>
      <vt:lpstr>Sheet1</vt:lpstr>
      <vt:lpstr>P6</vt:lpstr>
      <vt:lpstr>Before Award</vt:lpstr>
      <vt:lpstr>After Award</vt:lpstr>
      <vt:lpstr>Thai Holidays</vt:lpstr>
      <vt:lpstr>China Holidays</vt:lpstr>
      <vt:lpstr>'Before Award'!Print_Area</vt:lpstr>
      <vt:lpstr>'China Holidays'!Print_Area</vt:lpstr>
      <vt:lpstr>'PSR Overall Cycle'!Print_Area</vt:lpstr>
      <vt:lpstr>'Thai Holidays'!Print_Area</vt:lpstr>
      <vt:lpstr>'PSR Overall Cycle'!Print_Titles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tim.yu</cp:lastModifiedBy>
  <cp:lastPrinted>2026-03-19T03:18:00Z</cp:lastPrinted>
  <dcterms:created xsi:type="dcterms:W3CDTF">2015-06-05T18:17:00Z</dcterms:created>
  <dcterms:modified xsi:type="dcterms:W3CDTF">2026-08-15T06:32:54Z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2026-04-05T09:52:33Z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250cffe7-b58f-451a-bea2-dd0a148ca778</vt:lpwstr>
  </property>
  <property fmtid="{D5CDD505-2E9C-101B-9397-08002B2CF9AE}" pid="7" name="MSIP_Label_defa4170-0d19-0005-0004-bc88714345d2_ActionId">
    <vt:lpwstr>4d9c9d41-b7fc-46e5-8f6c-fd76e24265bf</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y fmtid="{D5CDD505-2E9C-101B-9397-08002B2CF9AE}" pid="10" name="ICV">
    <vt:lpwstr>2CB863C3D1D348AD9E8EEB733784C1F8_13</vt:lpwstr>
  </property>
  <property fmtid="{D5CDD505-2E9C-101B-9397-08002B2CF9AE}" pid="11" name="KSOProductBuildVer">
    <vt:lpwstr>2052-12.1.0.28043</vt:lpwstr>
  </property>
  <property fmtid="{D5CDD505-2E9C-101B-9397-08002B2CF9AE}" pid="12" name="CalculationRule">
    <vt:i4>0</vt:i4>
  </property>
  <property fmtid="{D5CDD505-2E9C-101B-9397-08002B2CF9AE}" pid="13" name="KSOReadingLayout">
    <vt:bool>true</vt:bool>
  </property>
</Properties>
</file>
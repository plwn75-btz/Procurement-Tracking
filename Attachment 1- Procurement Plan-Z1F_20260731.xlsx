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ZAWTIKA\Project meeting\Procurement Weekly Meeting\2026.8.3\"/>
    </mc:Choice>
  </mc:AlternateContent>
  <xr:revisionPtr revIDLastSave="0" documentId="13_ncr:1_{3CF8BA29-C89E-4192-B845-290B3515F3C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SR" sheetId="1" r:id="rId1"/>
    <sheet name="Thai Holidays" sheetId="3" r:id="rId2"/>
    <sheet name="China Holidays" sheetId="4" r:id="rId3"/>
    <sheet name="STR MR" sheetId="5" r:id="rId4"/>
    <sheet name="Primary steel-plate" sheetId="8" r:id="rId5"/>
  </sheets>
  <externalReferences>
    <externalReference r:id="rId6"/>
  </externalReferences>
  <definedNames>
    <definedName name="_xlnm._FilterDatabase" localSheetId="4" hidden="1">'Primary steel-plate'!$A$1:$K$47</definedName>
    <definedName name="_xlnm._FilterDatabase" localSheetId="0" hidden="1">PSR!$A$10:$BB$408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8" i="8" l="1"/>
  <c r="G47" i="8"/>
  <c r="H53" i="8"/>
  <c r="G53" i="8"/>
  <c r="G50" i="8"/>
  <c r="G46" i="8"/>
  <c r="H45" i="8"/>
  <c r="G45" i="8"/>
  <c r="H41" i="8"/>
  <c r="G41" i="8"/>
  <c r="H40" i="8"/>
  <c r="G40" i="8"/>
  <c r="H39" i="8"/>
  <c r="G39" i="8"/>
  <c r="G37" i="8"/>
  <c r="H32" i="8"/>
  <c r="G32" i="8"/>
  <c r="H31" i="8"/>
  <c r="G31" i="8"/>
  <c r="H30" i="8"/>
  <c r="G30" i="8"/>
  <c r="H29" i="8"/>
  <c r="G29" i="8"/>
  <c r="F29" i="8"/>
  <c r="G28" i="8"/>
  <c r="H27" i="8"/>
  <c r="G27" i="8"/>
  <c r="G26" i="8"/>
  <c r="H25" i="8"/>
  <c r="G25" i="8"/>
  <c r="H24" i="8"/>
  <c r="G24" i="8"/>
  <c r="H23" i="8"/>
  <c r="G23" i="8"/>
  <c r="G22" i="8"/>
  <c r="H21" i="8"/>
  <c r="G21" i="8"/>
  <c r="G20" i="8"/>
  <c r="H19" i="8"/>
  <c r="G19" i="8"/>
  <c r="G18" i="8"/>
  <c r="H17" i="8"/>
  <c r="G17" i="8"/>
  <c r="H16" i="8"/>
  <c r="G16" i="8"/>
  <c r="F16" i="8"/>
  <c r="H15" i="8"/>
  <c r="G15" i="8"/>
  <c r="H14" i="8"/>
  <c r="G14" i="8"/>
  <c r="G13" i="8"/>
  <c r="H12" i="8"/>
  <c r="G12" i="8"/>
  <c r="G11" i="8"/>
  <c r="H9" i="8"/>
  <c r="G9" i="8"/>
  <c r="G8" i="8"/>
  <c r="G7" i="8"/>
  <c r="H6" i="8"/>
  <c r="G6" i="8"/>
  <c r="G5" i="8"/>
  <c r="H4" i="8"/>
  <c r="G4" i="8"/>
  <c r="G3" i="8"/>
  <c r="H2" i="8"/>
  <c r="G2" i="8"/>
  <c r="L408" i="1"/>
  <c r="L407" i="1"/>
  <c r="AI404" i="1"/>
  <c r="AH404" i="1"/>
  <c r="AJ404" i="1" s="1"/>
  <c r="O404" i="1"/>
  <c r="R404" i="1" s="1"/>
  <c r="S404" i="1" s="1"/>
  <c r="T404" i="1" s="1"/>
  <c r="U404" i="1" s="1"/>
  <c r="V404" i="1" s="1"/>
  <c r="X404" i="1" s="1"/>
  <c r="AO403" i="1"/>
  <c r="AL403" i="1"/>
  <c r="AM401" i="1"/>
  <c r="AH401" i="1" s="1"/>
  <c r="AI401" i="1"/>
  <c r="Y401" i="1"/>
  <c r="Z401" i="1" s="1"/>
  <c r="AA401" i="1" s="1"/>
  <c r="AB401" i="1" s="1"/>
  <c r="AC401" i="1" s="1"/>
  <c r="AD401" i="1" s="1"/>
  <c r="AE401" i="1" s="1"/>
  <c r="AO400" i="1"/>
  <c r="AM398" i="1"/>
  <c r="AH398" i="1" s="1"/>
  <c r="AJ398" i="1" s="1"/>
  <c r="AI398" i="1"/>
  <c r="AA398" i="1"/>
  <c r="AB398" i="1" s="1"/>
  <c r="AC398" i="1" s="1"/>
  <c r="AD398" i="1" s="1"/>
  <c r="AE398" i="1" s="1"/>
  <c r="AI395" i="1"/>
  <c r="Y395" i="1"/>
  <c r="Z395" i="1" s="1"/>
  <c r="AA395" i="1" s="1"/>
  <c r="AB395" i="1" s="1"/>
  <c r="AC395" i="1" s="1"/>
  <c r="AD395" i="1" s="1"/>
  <c r="AE395" i="1" s="1"/>
  <c r="AL394" i="1"/>
  <c r="AM395" i="1" s="1"/>
  <c r="AH395" i="1" s="1"/>
  <c r="AI392" i="1"/>
  <c r="U392" i="1"/>
  <c r="V392" i="1" s="1"/>
  <c r="X392" i="1" s="1"/>
  <c r="AO391" i="1"/>
  <c r="AL391" i="1"/>
  <c r="AL389" i="1"/>
  <c r="AM389" i="1" s="1"/>
  <c r="AH389" i="1" s="1"/>
  <c r="AI389" i="1"/>
  <c r="AA389" i="1"/>
  <c r="AB389" i="1" s="1"/>
  <c r="AC389" i="1" s="1"/>
  <c r="AD389" i="1" s="1"/>
  <c r="AE389" i="1" s="1"/>
  <c r="Y389" i="1"/>
  <c r="AO388" i="1"/>
  <c r="AL388" i="1"/>
  <c r="AM386" i="1"/>
  <c r="AO385" i="1" s="1"/>
  <c r="AI386" i="1"/>
  <c r="AH386" i="1"/>
  <c r="AC386" i="1"/>
  <c r="AD386" i="1" s="1"/>
  <c r="AE386" i="1" s="1"/>
  <c r="Y386" i="1"/>
  <c r="Z386" i="1" s="1"/>
  <c r="AM383" i="1"/>
  <c r="AO382" i="1" s="1"/>
  <c r="O383" i="1"/>
  <c r="AM382" i="1"/>
  <c r="AK382" i="1"/>
  <c r="AM380" i="1"/>
  <c r="AO379" i="1" s="1"/>
  <c r="AM379" i="1"/>
  <c r="AK379" i="1"/>
  <c r="AM377" i="1"/>
  <c r="AO376" i="1" s="1"/>
  <c r="AM376" i="1"/>
  <c r="AK376" i="1"/>
  <c r="AM374" i="1"/>
  <c r="AO373" i="1" s="1"/>
  <c r="AM371" i="1"/>
  <c r="AO370" i="1" s="1"/>
  <c r="AM368" i="1"/>
  <c r="AO367" i="1" s="1"/>
  <c r="AM367" i="1"/>
  <c r="AM365" i="1"/>
  <c r="AO364" i="1" s="1"/>
  <c r="AM364" i="1"/>
  <c r="AM362" i="1"/>
  <c r="AO361" i="1" s="1"/>
  <c r="AM361" i="1"/>
  <c r="AM359" i="1"/>
  <c r="AO358" i="1" s="1"/>
  <c r="AM358" i="1"/>
  <c r="AM356" i="1"/>
  <c r="AO355" i="1" s="1"/>
  <c r="AM355" i="1"/>
  <c r="AM353" i="1"/>
  <c r="AO352" i="1" s="1"/>
  <c r="AM352" i="1"/>
  <c r="AM350" i="1"/>
  <c r="AO349" i="1" s="1"/>
  <c r="AM349" i="1"/>
  <c r="AM347" i="1"/>
  <c r="AO346" i="1" s="1"/>
  <c r="AM344" i="1"/>
  <c r="AO343" i="1" s="1"/>
  <c r="AM343" i="1"/>
  <c r="AM341" i="1"/>
  <c r="AO340" i="1" s="1"/>
  <c r="AM340" i="1"/>
  <c r="AM338" i="1"/>
  <c r="AO337" i="1" s="1"/>
  <c r="AM337" i="1"/>
  <c r="AM335" i="1"/>
  <c r="AO334" i="1" s="1"/>
  <c r="AM334" i="1"/>
  <c r="AM332" i="1"/>
  <c r="AO331" i="1" s="1"/>
  <c r="AM331" i="1"/>
  <c r="AM329" i="1"/>
  <c r="AO328" i="1" s="1"/>
  <c r="AM328" i="1"/>
  <c r="AM326" i="1"/>
  <c r="AO325" i="1" s="1"/>
  <c r="AM322" i="1"/>
  <c r="AM323" i="1" s="1"/>
  <c r="AO322" i="1" s="1"/>
  <c r="AO319" i="1"/>
  <c r="AM319" i="1"/>
  <c r="AO316" i="1"/>
  <c r="AM316" i="1"/>
  <c r="AO313" i="1"/>
  <c r="AM313" i="1"/>
  <c r="AO310" i="1"/>
  <c r="AM310" i="1"/>
  <c r="Y308" i="1"/>
  <c r="AO307" i="1"/>
  <c r="AM307" i="1"/>
  <c r="AO304" i="1"/>
  <c r="AM304" i="1"/>
  <c r="AO301" i="1"/>
  <c r="AM301" i="1"/>
  <c r="AO298" i="1"/>
  <c r="AO295" i="1"/>
  <c r="AO292" i="1"/>
  <c r="AO289" i="1"/>
  <c r="AO286" i="1"/>
  <c r="AH284" i="1"/>
  <c r="AO283" i="1"/>
  <c r="AM281" i="1"/>
  <c r="AO280" i="1" s="1"/>
  <c r="AM278" i="1"/>
  <c r="AO277" i="1" s="1"/>
  <c r="AM275" i="1"/>
  <c r="AO274" i="1" s="1"/>
  <c r="AM272" i="1"/>
  <c r="AO271" i="1" s="1"/>
  <c r="AM271" i="1"/>
  <c r="AK271" i="1"/>
  <c r="AM269" i="1"/>
  <c r="AO268" i="1" s="1"/>
  <c r="AM266" i="1"/>
  <c r="AO265" i="1" s="1"/>
  <c r="AI266" i="1"/>
  <c r="AA266" i="1"/>
  <c r="AB266" i="1" s="1"/>
  <c r="AD266" i="1" s="1"/>
  <c r="AE266" i="1" s="1"/>
  <c r="X264" i="1"/>
  <c r="AM262" i="1"/>
  <c r="AM263" i="1" s="1"/>
  <c r="AO262" i="1" s="1"/>
  <c r="AJ260" i="1"/>
  <c r="AI260" i="1"/>
  <c r="AH260" i="1"/>
  <c r="AG260" i="1" s="1"/>
  <c r="AF260" i="1" s="1"/>
  <c r="R260" i="1"/>
  <c r="S260" i="1" s="1"/>
  <c r="T260" i="1" s="1"/>
  <c r="U260" i="1" s="1"/>
  <c r="V260" i="1" s="1"/>
  <c r="X260" i="1" s="1"/>
  <c r="AJ257" i="1"/>
  <c r="AI257" i="1"/>
  <c r="AH257" i="1"/>
  <c r="AG257" i="1" s="1"/>
  <c r="AF257" i="1" s="1"/>
  <c r="P257" i="1"/>
  <c r="Q257" i="1" s="1"/>
  <c r="R257" i="1" s="1"/>
  <c r="S257" i="1" s="1"/>
  <c r="T257" i="1" s="1"/>
  <c r="U257" i="1" s="1"/>
  <c r="V257" i="1" s="1"/>
  <c r="X257" i="1" s="1"/>
  <c r="O257" i="1"/>
  <c r="AJ254" i="1"/>
  <c r="AI254" i="1"/>
  <c r="AH254" i="1"/>
  <c r="AG254" i="1" s="1"/>
  <c r="AF254" i="1" s="1"/>
  <c r="P254" i="1"/>
  <c r="Q254" i="1" s="1"/>
  <c r="R254" i="1" s="1"/>
  <c r="S254" i="1" s="1"/>
  <c r="T254" i="1" s="1"/>
  <c r="U254" i="1" s="1"/>
  <c r="V254" i="1" s="1"/>
  <c r="X254" i="1" s="1"/>
  <c r="O254" i="1"/>
  <c r="AJ251" i="1"/>
  <c r="AI251" i="1"/>
  <c r="AH251" i="1"/>
  <c r="AG251" i="1"/>
  <c r="AF251" i="1" s="1"/>
  <c r="P251" i="1"/>
  <c r="Q251" i="1" s="1"/>
  <c r="R251" i="1" s="1"/>
  <c r="S251" i="1" s="1"/>
  <c r="T251" i="1" s="1"/>
  <c r="U251" i="1" s="1"/>
  <c r="V251" i="1" s="1"/>
  <c r="X251" i="1" s="1"/>
  <c r="O251" i="1"/>
  <c r="BA249" i="1"/>
  <c r="AZ249" i="1"/>
  <c r="AY249" i="1"/>
  <c r="AX249" i="1"/>
  <c r="AW249" i="1"/>
  <c r="AV249" i="1"/>
  <c r="AU249" i="1"/>
  <c r="AT249" i="1"/>
  <c r="AS249" i="1"/>
  <c r="AR249" i="1"/>
  <c r="BA248" i="1"/>
  <c r="AZ248" i="1"/>
  <c r="AY248" i="1"/>
  <c r="AX248" i="1"/>
  <c r="AW248" i="1"/>
  <c r="AV248" i="1"/>
  <c r="AU248" i="1"/>
  <c r="AT248" i="1"/>
  <c r="AS248" i="1"/>
  <c r="AR248" i="1"/>
  <c r="AJ248" i="1"/>
  <c r="AI248" i="1"/>
  <c r="AH248" i="1"/>
  <c r="AG248" i="1"/>
  <c r="AF248" i="1" s="1"/>
  <c r="P248" i="1"/>
  <c r="Q248" i="1" s="1"/>
  <c r="R248" i="1" s="1"/>
  <c r="S248" i="1" s="1"/>
  <c r="T248" i="1" s="1"/>
  <c r="U248" i="1" s="1"/>
  <c r="V248" i="1" s="1"/>
  <c r="X248" i="1" s="1"/>
  <c r="Y248" i="1" s="1"/>
  <c r="Z248" i="1" s="1"/>
  <c r="AA248" i="1" s="1"/>
  <c r="AB248" i="1" s="1"/>
  <c r="AC248" i="1" s="1"/>
  <c r="AD248" i="1" s="1"/>
  <c r="AE248" i="1" s="1"/>
  <c r="O248" i="1"/>
  <c r="BA247" i="1"/>
  <c r="AZ247" i="1"/>
  <c r="AY247" i="1"/>
  <c r="AX247" i="1"/>
  <c r="AW247" i="1"/>
  <c r="AV247" i="1"/>
  <c r="AU247" i="1"/>
  <c r="AT247" i="1"/>
  <c r="AS247" i="1"/>
  <c r="AR247" i="1"/>
  <c r="AJ245" i="1"/>
  <c r="AI245" i="1"/>
  <c r="U245" i="1"/>
  <c r="V245" i="1" s="1"/>
  <c r="X245" i="1" s="1"/>
  <c r="S245" i="1"/>
  <c r="T245" i="1" s="1"/>
  <c r="AJ242" i="1"/>
  <c r="AI242" i="1"/>
  <c r="AH242" i="1"/>
  <c r="AG242" i="1"/>
  <c r="AF242" i="1" s="1"/>
  <c r="U242" i="1"/>
  <c r="V242" i="1" s="1"/>
  <c r="X242" i="1" s="1"/>
  <c r="S242" i="1"/>
  <c r="T242" i="1" s="1"/>
  <c r="AJ239" i="1"/>
  <c r="AI239" i="1"/>
  <c r="AH239" i="1"/>
  <c r="AG239" i="1" s="1"/>
  <c r="AF239" i="1" s="1"/>
  <c r="U239" i="1"/>
  <c r="V239" i="1" s="1"/>
  <c r="X239" i="1" s="1"/>
  <c r="O239" i="1"/>
  <c r="R239" i="1" s="1"/>
  <c r="S239" i="1" s="1"/>
  <c r="T239" i="1" s="1"/>
  <c r="AJ236" i="1"/>
  <c r="AI236" i="1"/>
  <c r="AH236" i="1"/>
  <c r="AG236" i="1" s="1"/>
  <c r="AF236" i="1" s="1"/>
  <c r="U236" i="1"/>
  <c r="V236" i="1" s="1"/>
  <c r="X236" i="1" s="1"/>
  <c r="O236" i="1"/>
  <c r="R236" i="1" s="1"/>
  <c r="S236" i="1" s="1"/>
  <c r="T236" i="1" s="1"/>
  <c r="AJ233" i="1"/>
  <c r="AI233" i="1"/>
  <c r="AH233" i="1"/>
  <c r="AG233" i="1" s="1"/>
  <c r="AF233" i="1" s="1"/>
  <c r="U233" i="1"/>
  <c r="V233" i="1" s="1"/>
  <c r="X233" i="1" s="1"/>
  <c r="O233" i="1"/>
  <c r="R233" i="1" s="1"/>
  <c r="S233" i="1" s="1"/>
  <c r="T233" i="1" s="1"/>
  <c r="AJ230" i="1"/>
  <c r="AI230" i="1"/>
  <c r="AH230" i="1"/>
  <c r="AG230" i="1" s="1"/>
  <c r="AF230" i="1" s="1"/>
  <c r="T230" i="1"/>
  <c r="U230" i="1" s="1"/>
  <c r="V230" i="1" s="1"/>
  <c r="X230" i="1" s="1"/>
  <c r="AM230" i="1" s="1"/>
  <c r="AO229" i="1" s="1"/>
  <c r="AJ227" i="1"/>
  <c r="AI227" i="1"/>
  <c r="AH227" i="1"/>
  <c r="AG227" i="1" s="1"/>
  <c r="AF227" i="1" s="1"/>
  <c r="U227" i="1"/>
  <c r="V227" i="1" s="1"/>
  <c r="X227" i="1" s="1"/>
  <c r="O227" i="1"/>
  <c r="R227" i="1" s="1"/>
  <c r="S227" i="1" s="1"/>
  <c r="T227" i="1" s="1"/>
  <c r="AJ224" i="1"/>
  <c r="AI224" i="1"/>
  <c r="AH224" i="1"/>
  <c r="AG224" i="1" s="1"/>
  <c r="AF224" i="1" s="1"/>
  <c r="U224" i="1"/>
  <c r="V224" i="1" s="1"/>
  <c r="X224" i="1" s="1"/>
  <c r="O224" i="1"/>
  <c r="R224" i="1" s="1"/>
  <c r="S224" i="1" s="1"/>
  <c r="T224" i="1" s="1"/>
  <c r="AJ221" i="1"/>
  <c r="AI221" i="1"/>
  <c r="AH221" i="1"/>
  <c r="AG221" i="1" s="1"/>
  <c r="AF221" i="1" s="1"/>
  <c r="U221" i="1"/>
  <c r="V221" i="1" s="1"/>
  <c r="X221" i="1" s="1"/>
  <c r="O221" i="1"/>
  <c r="R221" i="1" s="1"/>
  <c r="S221" i="1" s="1"/>
  <c r="T221" i="1" s="1"/>
  <c r="AJ218" i="1"/>
  <c r="AI218" i="1"/>
  <c r="AH218" i="1"/>
  <c r="AG218" i="1" s="1"/>
  <c r="AF218" i="1" s="1"/>
  <c r="U218" i="1"/>
  <c r="V218" i="1" s="1"/>
  <c r="X218" i="1" s="1"/>
  <c r="Y218" i="1" s="1"/>
  <c r="Z218" i="1" s="1"/>
  <c r="AA218" i="1" s="1"/>
  <c r="AB218" i="1" s="1"/>
  <c r="AC218" i="1" s="1"/>
  <c r="AD218" i="1" s="1"/>
  <c r="AE218" i="1" s="1"/>
  <c r="O218" i="1"/>
  <c r="R218" i="1" s="1"/>
  <c r="S218" i="1" s="1"/>
  <c r="T218" i="1" s="1"/>
  <c r="AJ215" i="1"/>
  <c r="AI215" i="1"/>
  <c r="AH215" i="1"/>
  <c r="AG215" i="1" s="1"/>
  <c r="AF215" i="1" s="1"/>
  <c r="U215" i="1"/>
  <c r="V215" i="1" s="1"/>
  <c r="X215" i="1" s="1"/>
  <c r="O215" i="1"/>
  <c r="R215" i="1" s="1"/>
  <c r="S215" i="1" s="1"/>
  <c r="T215" i="1" s="1"/>
  <c r="AJ212" i="1"/>
  <c r="AI212" i="1"/>
  <c r="AH212" i="1"/>
  <c r="AG212" i="1" s="1"/>
  <c r="AF212" i="1" s="1"/>
  <c r="U212" i="1"/>
  <c r="V212" i="1" s="1"/>
  <c r="X212" i="1" s="1"/>
  <c r="O212" i="1"/>
  <c r="R212" i="1" s="1"/>
  <c r="S212" i="1" s="1"/>
  <c r="T212" i="1" s="1"/>
  <c r="AJ209" i="1"/>
  <c r="AI209" i="1"/>
  <c r="AH209" i="1"/>
  <c r="AG209" i="1" s="1"/>
  <c r="AF209" i="1" s="1"/>
  <c r="U209" i="1"/>
  <c r="V209" i="1" s="1"/>
  <c r="X209" i="1" s="1"/>
  <c r="O209" i="1"/>
  <c r="R209" i="1" s="1"/>
  <c r="S209" i="1" s="1"/>
  <c r="T209" i="1" s="1"/>
  <c r="AJ206" i="1"/>
  <c r="AI206" i="1"/>
  <c r="AH206" i="1"/>
  <c r="AG206" i="1" s="1"/>
  <c r="AF206" i="1" s="1"/>
  <c r="X206" i="1"/>
  <c r="AM206" i="1" s="1"/>
  <c r="AO205" i="1" s="1"/>
  <c r="U206" i="1"/>
  <c r="V206" i="1" s="1"/>
  <c r="O206" i="1"/>
  <c r="R206" i="1" s="1"/>
  <c r="S206" i="1" s="1"/>
  <c r="T206" i="1" s="1"/>
  <c r="AJ203" i="1"/>
  <c r="AI203" i="1"/>
  <c r="AH203" i="1"/>
  <c r="AG203" i="1" s="1"/>
  <c r="AF203" i="1" s="1"/>
  <c r="P203" i="1"/>
  <c r="Q203" i="1" s="1"/>
  <c r="R203" i="1" s="1"/>
  <c r="S203" i="1" s="1"/>
  <c r="T203" i="1" s="1"/>
  <c r="U203" i="1" s="1"/>
  <c r="V203" i="1" s="1"/>
  <c r="X203" i="1" s="1"/>
  <c r="O203" i="1"/>
  <c r="AJ200" i="1"/>
  <c r="AI200" i="1"/>
  <c r="AH200" i="1"/>
  <c r="AG200" i="1" s="1"/>
  <c r="AF200" i="1" s="1"/>
  <c r="X200" i="1"/>
  <c r="AM200" i="1" s="1"/>
  <c r="AO199" i="1" s="1"/>
  <c r="U200" i="1"/>
  <c r="V200" i="1" s="1"/>
  <c r="R200" i="1"/>
  <c r="S200" i="1" s="1"/>
  <c r="T200" i="1" s="1"/>
  <c r="O200" i="1"/>
  <c r="AM197" i="1"/>
  <c r="AO196" i="1" s="1"/>
  <c r="AJ197" i="1"/>
  <c r="AI197" i="1"/>
  <c r="AH197" i="1"/>
  <c r="AG197" i="1" s="1"/>
  <c r="AF197" i="1" s="1"/>
  <c r="Y197" i="1"/>
  <c r="Z197" i="1" s="1"/>
  <c r="AA197" i="1" s="1"/>
  <c r="AB197" i="1" s="1"/>
  <c r="AC197" i="1" s="1"/>
  <c r="AD197" i="1" s="1"/>
  <c r="AE197" i="1" s="1"/>
  <c r="V197" i="1"/>
  <c r="AJ194" i="1"/>
  <c r="AI194" i="1"/>
  <c r="AH194" i="1"/>
  <c r="AG194" i="1" s="1"/>
  <c r="AF194" i="1" s="1"/>
  <c r="V194" i="1"/>
  <c r="X194" i="1" s="1"/>
  <c r="AJ191" i="1"/>
  <c r="AI191" i="1"/>
  <c r="AH191" i="1"/>
  <c r="AG191" i="1" s="1"/>
  <c r="AF191" i="1" s="1"/>
  <c r="X191" i="1"/>
  <c r="Y191" i="1" s="1"/>
  <c r="Z191" i="1" s="1"/>
  <c r="AA191" i="1" s="1"/>
  <c r="AB191" i="1" s="1"/>
  <c r="AC191" i="1" s="1"/>
  <c r="AD191" i="1" s="1"/>
  <c r="AE191" i="1" s="1"/>
  <c r="V191" i="1"/>
  <c r="AM188" i="1"/>
  <c r="AO187" i="1" s="1"/>
  <c r="AJ188" i="1"/>
  <c r="AI188" i="1"/>
  <c r="AH188" i="1"/>
  <c r="AG188" i="1" s="1"/>
  <c r="AF188" i="1" s="1"/>
  <c r="AA188" i="1"/>
  <c r="AB188" i="1" s="1"/>
  <c r="AC188" i="1" s="1"/>
  <c r="AD188" i="1" s="1"/>
  <c r="AE188" i="1" s="1"/>
  <c r="Y188" i="1"/>
  <c r="AJ185" i="1"/>
  <c r="AI185" i="1"/>
  <c r="AH185" i="1"/>
  <c r="AG185" i="1" s="1"/>
  <c r="AF185" i="1" s="1"/>
  <c r="U185" i="1"/>
  <c r="V185" i="1" s="1"/>
  <c r="X185" i="1" s="1"/>
  <c r="R185" i="1"/>
  <c r="S185" i="1" s="1"/>
  <c r="T185" i="1" s="1"/>
  <c r="O185" i="1"/>
  <c r="AJ182" i="1"/>
  <c r="AI182" i="1"/>
  <c r="AH182" i="1"/>
  <c r="AG182" i="1" s="1"/>
  <c r="AF182" i="1" s="1"/>
  <c r="X182" i="1"/>
  <c r="Y182" i="1" s="1"/>
  <c r="Z182" i="1" s="1"/>
  <c r="AA182" i="1" s="1"/>
  <c r="AB182" i="1" s="1"/>
  <c r="AC182" i="1" s="1"/>
  <c r="AD182" i="1" s="1"/>
  <c r="AE182" i="1" s="1"/>
  <c r="V182" i="1"/>
  <c r="AM179" i="1"/>
  <c r="AH179" i="1" s="1"/>
  <c r="AG179" i="1" s="1"/>
  <c r="AF179" i="1" s="1"/>
  <c r="AA179" i="1"/>
  <c r="AB179" i="1" s="1"/>
  <c r="AC179" i="1" s="1"/>
  <c r="AD179" i="1" s="1"/>
  <c r="AE179" i="1" s="1"/>
  <c r="Y179" i="1"/>
  <c r="AM178" i="1"/>
  <c r="AJ176" i="1"/>
  <c r="AI176" i="1"/>
  <c r="V176" i="1"/>
  <c r="X176" i="1" s="1"/>
  <c r="Y176" i="1" s="1"/>
  <c r="Z176" i="1" s="1"/>
  <c r="AA176" i="1" s="1"/>
  <c r="AB176" i="1" s="1"/>
  <c r="AC176" i="1" s="1"/>
  <c r="AD176" i="1" s="1"/>
  <c r="AE176" i="1" s="1"/>
  <c r="AL173" i="1"/>
  <c r="AJ173" i="1"/>
  <c r="AI173" i="1"/>
  <c r="AH173" i="1"/>
  <c r="AF173" i="1"/>
  <c r="AA173" i="1"/>
  <c r="AB173" i="1" s="1"/>
  <c r="AC173" i="1" s="1"/>
  <c r="AD173" i="1" s="1"/>
  <c r="AE173" i="1" s="1"/>
  <c r="AO172" i="1"/>
  <c r="AJ170" i="1"/>
  <c r="AI170" i="1"/>
  <c r="R170" i="1"/>
  <c r="S170" i="1" s="1"/>
  <c r="T170" i="1" s="1"/>
  <c r="U170" i="1" s="1"/>
  <c r="V170" i="1" s="1"/>
  <c r="X170" i="1" s="1"/>
  <c r="O170" i="1"/>
  <c r="AJ167" i="1"/>
  <c r="AI167" i="1"/>
  <c r="R167" i="1"/>
  <c r="S167" i="1" s="1"/>
  <c r="T167" i="1" s="1"/>
  <c r="U167" i="1" s="1"/>
  <c r="V167" i="1" s="1"/>
  <c r="X167" i="1" s="1"/>
  <c r="O167" i="1"/>
  <c r="AJ164" i="1"/>
  <c r="AI164" i="1"/>
  <c r="R164" i="1"/>
  <c r="S164" i="1" s="1"/>
  <c r="T164" i="1" s="1"/>
  <c r="U164" i="1" s="1"/>
  <c r="V164" i="1" s="1"/>
  <c r="X164" i="1" s="1"/>
  <c r="O164" i="1"/>
  <c r="AJ161" i="1"/>
  <c r="AI161" i="1"/>
  <c r="V161" i="1"/>
  <c r="X161" i="1" s="1"/>
  <c r="AJ158" i="1"/>
  <c r="AI158" i="1"/>
  <c r="AH158" i="1"/>
  <c r="AG158" i="1"/>
  <c r="AF158" i="1" s="1"/>
  <c r="P158" i="1"/>
  <c r="Q158" i="1" s="1"/>
  <c r="R158" i="1" s="1"/>
  <c r="S158" i="1" s="1"/>
  <c r="T158" i="1" s="1"/>
  <c r="U158" i="1" s="1"/>
  <c r="V158" i="1" s="1"/>
  <c r="X158" i="1" s="1"/>
  <c r="O158" i="1"/>
  <c r="BA156" i="1"/>
  <c r="AZ156" i="1"/>
  <c r="AY156" i="1"/>
  <c r="AX156" i="1"/>
  <c r="AW156" i="1"/>
  <c r="AV156" i="1"/>
  <c r="AU156" i="1"/>
  <c r="AT156" i="1"/>
  <c r="AS156" i="1"/>
  <c r="AR156" i="1"/>
  <c r="BA155" i="1"/>
  <c r="AZ155" i="1"/>
  <c r="AY155" i="1"/>
  <c r="AX155" i="1"/>
  <c r="AW155" i="1"/>
  <c r="AV155" i="1"/>
  <c r="AU155" i="1"/>
  <c r="AT155" i="1"/>
  <c r="AS155" i="1"/>
  <c r="AR155" i="1"/>
  <c r="AJ155" i="1"/>
  <c r="AI155" i="1"/>
  <c r="AH155" i="1"/>
  <c r="AG155" i="1" s="1"/>
  <c r="AF155" i="1" s="1"/>
  <c r="U155" i="1"/>
  <c r="V155" i="1" s="1"/>
  <c r="X155" i="1" s="1"/>
  <c r="BA154" i="1"/>
  <c r="AZ154" i="1"/>
  <c r="AY154" i="1"/>
  <c r="AX154" i="1"/>
  <c r="AW154" i="1"/>
  <c r="AV154" i="1"/>
  <c r="AU154" i="1"/>
  <c r="AT154" i="1"/>
  <c r="AS154" i="1"/>
  <c r="AR154" i="1"/>
  <c r="BA153" i="1"/>
  <c r="AZ153" i="1"/>
  <c r="AY153" i="1"/>
  <c r="AX153" i="1"/>
  <c r="AW153" i="1"/>
  <c r="AV153" i="1"/>
  <c r="AU153" i="1"/>
  <c r="AT153" i="1"/>
  <c r="AS153" i="1"/>
  <c r="AR153" i="1"/>
  <c r="BA152" i="1"/>
  <c r="AZ152" i="1"/>
  <c r="AY152" i="1"/>
  <c r="AX152" i="1"/>
  <c r="AW152" i="1"/>
  <c r="AV152" i="1"/>
  <c r="AU152" i="1"/>
  <c r="AT152" i="1"/>
  <c r="AS152" i="1"/>
  <c r="AR152" i="1"/>
  <c r="AL152" i="1"/>
  <c r="AM152" i="1" s="1"/>
  <c r="AJ152" i="1"/>
  <c r="AI152" i="1"/>
  <c r="AA152" i="1"/>
  <c r="AB152" i="1" s="1"/>
  <c r="AC152" i="1" s="1"/>
  <c r="AD152" i="1" s="1"/>
  <c r="AE152" i="1" s="1"/>
  <c r="Y152" i="1"/>
  <c r="BA151" i="1"/>
  <c r="AZ151" i="1"/>
  <c r="AY151" i="1"/>
  <c r="AX151" i="1"/>
  <c r="AW151" i="1"/>
  <c r="AV151" i="1"/>
  <c r="AU151" i="1"/>
  <c r="AT151" i="1"/>
  <c r="AS151" i="1"/>
  <c r="AR151" i="1"/>
  <c r="BA150" i="1"/>
  <c r="AZ150" i="1"/>
  <c r="AY150" i="1"/>
  <c r="AX150" i="1"/>
  <c r="AW150" i="1"/>
  <c r="AV150" i="1"/>
  <c r="AU150" i="1"/>
  <c r="AT150" i="1"/>
  <c r="AS150" i="1"/>
  <c r="AR150" i="1"/>
  <c r="BA149" i="1"/>
  <c r="AZ149" i="1"/>
  <c r="AY149" i="1"/>
  <c r="AX149" i="1"/>
  <c r="AW149" i="1"/>
  <c r="AV149" i="1"/>
  <c r="AU149" i="1"/>
  <c r="AT149" i="1"/>
  <c r="AS149" i="1"/>
  <c r="AR149" i="1"/>
  <c r="AL149" i="1"/>
  <c r="AM149" i="1" s="1"/>
  <c r="AJ149" i="1"/>
  <c r="AI149" i="1"/>
  <c r="AA149" i="1"/>
  <c r="AB149" i="1" s="1"/>
  <c r="AC149" i="1" s="1"/>
  <c r="AD149" i="1" s="1"/>
  <c r="AE149" i="1" s="1"/>
  <c r="Y149" i="1"/>
  <c r="BA148" i="1"/>
  <c r="AZ148" i="1"/>
  <c r="AY148" i="1"/>
  <c r="AX148" i="1"/>
  <c r="AW148" i="1"/>
  <c r="AV148" i="1"/>
  <c r="AU148" i="1"/>
  <c r="AT148" i="1"/>
  <c r="AS148" i="1"/>
  <c r="AR148" i="1"/>
  <c r="BA147" i="1"/>
  <c r="AZ147" i="1"/>
  <c r="AY147" i="1"/>
  <c r="AX147" i="1"/>
  <c r="AW147" i="1"/>
  <c r="AV147" i="1"/>
  <c r="AU147" i="1"/>
  <c r="AT147" i="1"/>
  <c r="AS147" i="1"/>
  <c r="AR147" i="1"/>
  <c r="BA146" i="1"/>
  <c r="AZ146" i="1"/>
  <c r="AY146" i="1"/>
  <c r="AX146" i="1"/>
  <c r="AW146" i="1"/>
  <c r="AV146" i="1"/>
  <c r="AU146" i="1"/>
  <c r="AT146" i="1"/>
  <c r="AS146" i="1"/>
  <c r="AR146" i="1"/>
  <c r="AL146" i="1"/>
  <c r="AM146" i="1" s="1"/>
  <c r="AJ146" i="1"/>
  <c r="AI146" i="1"/>
  <c r="AA146" i="1"/>
  <c r="AB146" i="1" s="1"/>
  <c r="AC146" i="1" s="1"/>
  <c r="AD146" i="1" s="1"/>
  <c r="AE146" i="1" s="1"/>
  <c r="Y146" i="1"/>
  <c r="BA145" i="1"/>
  <c r="AZ145" i="1"/>
  <c r="AY145" i="1"/>
  <c r="AX145" i="1"/>
  <c r="AW145" i="1"/>
  <c r="AV145" i="1"/>
  <c r="AU145" i="1"/>
  <c r="AT145" i="1"/>
  <c r="AS145" i="1"/>
  <c r="AR145" i="1"/>
  <c r="BA144" i="1"/>
  <c r="AZ144" i="1"/>
  <c r="AY144" i="1"/>
  <c r="AX144" i="1"/>
  <c r="AW144" i="1"/>
  <c r="AV144" i="1"/>
  <c r="AU144" i="1"/>
  <c r="AT144" i="1"/>
  <c r="AS144" i="1"/>
  <c r="AR144" i="1"/>
  <c r="BA143" i="1"/>
  <c r="AZ143" i="1"/>
  <c r="AY143" i="1"/>
  <c r="AX143" i="1"/>
  <c r="AW143" i="1"/>
  <c r="AV143" i="1"/>
  <c r="AU143" i="1"/>
  <c r="AT143" i="1"/>
  <c r="AS143" i="1"/>
  <c r="AR143" i="1"/>
  <c r="AL143" i="1"/>
  <c r="AM143" i="1" s="1"/>
  <c r="AJ143" i="1"/>
  <c r="AI143" i="1"/>
  <c r="AA143" i="1"/>
  <c r="AB143" i="1" s="1"/>
  <c r="AC143" i="1" s="1"/>
  <c r="AD143" i="1" s="1"/>
  <c r="AE143" i="1" s="1"/>
  <c r="Y143" i="1"/>
  <c r="BA142" i="1"/>
  <c r="AZ142" i="1"/>
  <c r="AY142" i="1"/>
  <c r="AX142" i="1"/>
  <c r="AW142" i="1"/>
  <c r="AV142" i="1"/>
  <c r="AU142" i="1"/>
  <c r="AT142" i="1"/>
  <c r="AS142" i="1"/>
  <c r="AR142" i="1"/>
  <c r="AJ140" i="1"/>
  <c r="AI140" i="1"/>
  <c r="AH140" i="1"/>
  <c r="AM140" i="1" s="1"/>
  <c r="AO139" i="1" s="1"/>
  <c r="U140" i="1"/>
  <c r="V140" i="1" s="1"/>
  <c r="X140" i="1" s="1"/>
  <c r="Y140" i="1" s="1"/>
  <c r="Z140" i="1" s="1"/>
  <c r="AA140" i="1" s="1"/>
  <c r="AB140" i="1" s="1"/>
  <c r="BA138" i="1"/>
  <c r="AZ138" i="1"/>
  <c r="AY138" i="1"/>
  <c r="AX138" i="1"/>
  <c r="AW138" i="1"/>
  <c r="AV138" i="1"/>
  <c r="AU138" i="1"/>
  <c r="AT138" i="1"/>
  <c r="AS138" i="1"/>
  <c r="AR138" i="1"/>
  <c r="BA137" i="1"/>
  <c r="AZ137" i="1"/>
  <c r="AY137" i="1"/>
  <c r="AX137" i="1"/>
  <c r="AW137" i="1"/>
  <c r="AV137" i="1"/>
  <c r="AU137" i="1"/>
  <c r="AT137" i="1"/>
  <c r="AS137" i="1"/>
  <c r="AR137" i="1"/>
  <c r="AJ137" i="1"/>
  <c r="AI137" i="1"/>
  <c r="Z137" i="1"/>
  <c r="AA137" i="1" s="1"/>
  <c r="AB137" i="1" s="1"/>
  <c r="AC137" i="1" s="1"/>
  <c r="AD137" i="1" s="1"/>
  <c r="AE137" i="1" s="1"/>
  <c r="X137" i="1"/>
  <c r="Y137" i="1" s="1"/>
  <c r="V137" i="1"/>
  <c r="BA136" i="1"/>
  <c r="AZ136" i="1"/>
  <c r="AY136" i="1"/>
  <c r="AX136" i="1"/>
  <c r="AW136" i="1"/>
  <c r="AV136" i="1"/>
  <c r="AU136" i="1"/>
  <c r="AT136" i="1"/>
  <c r="AS136" i="1"/>
  <c r="AR136" i="1"/>
  <c r="BA135" i="1"/>
  <c r="AZ135" i="1"/>
  <c r="AY135" i="1"/>
  <c r="AX135" i="1"/>
  <c r="AW135" i="1"/>
  <c r="AV135" i="1"/>
  <c r="AU135" i="1"/>
  <c r="AT135" i="1"/>
  <c r="AS135" i="1"/>
  <c r="AR135" i="1"/>
  <c r="BA134" i="1"/>
  <c r="AZ134" i="1"/>
  <c r="AY134" i="1"/>
  <c r="AX134" i="1"/>
  <c r="AW134" i="1"/>
  <c r="AV134" i="1"/>
  <c r="AU134" i="1"/>
  <c r="AT134" i="1"/>
  <c r="AS134" i="1"/>
  <c r="AR134" i="1"/>
  <c r="AJ134" i="1"/>
  <c r="AI134" i="1"/>
  <c r="AH134" i="1"/>
  <c r="AG134" i="1" s="1"/>
  <c r="AF134" i="1" s="1"/>
  <c r="X134" i="1"/>
  <c r="Y134" i="1" s="1"/>
  <c r="Z134" i="1" s="1"/>
  <c r="AA134" i="1" s="1"/>
  <c r="AB134" i="1" s="1"/>
  <c r="AC134" i="1" s="1"/>
  <c r="AD134" i="1" s="1"/>
  <c r="AE134" i="1" s="1"/>
  <c r="BA133" i="1"/>
  <c r="AZ133" i="1"/>
  <c r="AY133" i="1"/>
  <c r="AX133" i="1"/>
  <c r="AW133" i="1"/>
  <c r="AV133" i="1"/>
  <c r="AU133" i="1"/>
  <c r="AT133" i="1"/>
  <c r="AS133" i="1"/>
  <c r="AR133" i="1"/>
  <c r="BA132" i="1"/>
  <c r="AZ132" i="1"/>
  <c r="AY132" i="1"/>
  <c r="AX132" i="1"/>
  <c r="AW132" i="1"/>
  <c r="AV132" i="1"/>
  <c r="AU132" i="1"/>
  <c r="AT132" i="1"/>
  <c r="AS132" i="1"/>
  <c r="AR132" i="1"/>
  <c r="BA131" i="1"/>
  <c r="AZ131" i="1"/>
  <c r="AY131" i="1"/>
  <c r="AX131" i="1"/>
  <c r="AW131" i="1"/>
  <c r="AV131" i="1"/>
  <c r="AU131" i="1"/>
  <c r="AT131" i="1"/>
  <c r="AS131" i="1"/>
  <c r="AR131" i="1"/>
  <c r="AJ131" i="1"/>
  <c r="AI131" i="1"/>
  <c r="U131" i="1"/>
  <c r="V131" i="1" s="1"/>
  <c r="X131" i="1" s="1"/>
  <c r="BA130" i="1"/>
  <c r="AZ130" i="1"/>
  <c r="AY130" i="1"/>
  <c r="AX130" i="1"/>
  <c r="AW130" i="1"/>
  <c r="AV130" i="1"/>
  <c r="AU130" i="1"/>
  <c r="AT130" i="1"/>
  <c r="AS130" i="1"/>
  <c r="AR130" i="1"/>
  <c r="BA129" i="1"/>
  <c r="AZ129" i="1"/>
  <c r="AY129" i="1"/>
  <c r="AX129" i="1"/>
  <c r="AW129" i="1"/>
  <c r="AV129" i="1"/>
  <c r="AU129" i="1"/>
  <c r="AT129" i="1"/>
  <c r="AS129" i="1"/>
  <c r="AR129" i="1"/>
  <c r="BA128" i="1"/>
  <c r="AZ128" i="1"/>
  <c r="AY128" i="1"/>
  <c r="AX128" i="1"/>
  <c r="AW128" i="1"/>
  <c r="AV128" i="1"/>
  <c r="AU128" i="1"/>
  <c r="AT128" i="1"/>
  <c r="AS128" i="1"/>
  <c r="AR128" i="1"/>
  <c r="AJ128" i="1"/>
  <c r="AI128" i="1"/>
  <c r="U128" i="1"/>
  <c r="V128" i="1" s="1"/>
  <c r="X128" i="1" s="1"/>
  <c r="BA127" i="1"/>
  <c r="AZ127" i="1"/>
  <c r="AY127" i="1"/>
  <c r="AX127" i="1"/>
  <c r="AW127" i="1"/>
  <c r="AV127" i="1"/>
  <c r="AU127" i="1"/>
  <c r="AT127" i="1"/>
  <c r="AS127" i="1"/>
  <c r="AR127" i="1"/>
  <c r="BA126" i="1"/>
  <c r="AZ126" i="1"/>
  <c r="AY126" i="1"/>
  <c r="AX126" i="1"/>
  <c r="AW126" i="1"/>
  <c r="AV126" i="1"/>
  <c r="AU126" i="1"/>
  <c r="AT126" i="1"/>
  <c r="AS126" i="1"/>
  <c r="AR126" i="1"/>
  <c r="BA125" i="1"/>
  <c r="AZ125" i="1"/>
  <c r="AY125" i="1"/>
  <c r="AX125" i="1"/>
  <c r="AW125" i="1"/>
  <c r="AV125" i="1"/>
  <c r="AU125" i="1"/>
  <c r="AT125" i="1"/>
  <c r="AS125" i="1"/>
  <c r="AR125" i="1"/>
  <c r="AJ125" i="1"/>
  <c r="AI125" i="1"/>
  <c r="V125" i="1"/>
  <c r="X125" i="1" s="1"/>
  <c r="BA124" i="1"/>
  <c r="AZ124" i="1"/>
  <c r="AY124" i="1"/>
  <c r="AX124" i="1"/>
  <c r="AW124" i="1"/>
  <c r="AV124" i="1"/>
  <c r="AU124" i="1"/>
  <c r="AT124" i="1"/>
  <c r="AS124" i="1"/>
  <c r="AR124" i="1"/>
  <c r="BA123" i="1"/>
  <c r="AZ123" i="1"/>
  <c r="AY123" i="1"/>
  <c r="AX123" i="1"/>
  <c r="AW123" i="1"/>
  <c r="AV123" i="1"/>
  <c r="AU123" i="1"/>
  <c r="AT123" i="1"/>
  <c r="AS123" i="1"/>
  <c r="AR123" i="1"/>
  <c r="BA122" i="1"/>
  <c r="AZ122" i="1"/>
  <c r="AY122" i="1"/>
  <c r="AX122" i="1"/>
  <c r="AW122" i="1"/>
  <c r="AV122" i="1"/>
  <c r="AU122" i="1"/>
  <c r="AT122" i="1"/>
  <c r="AS122" i="1"/>
  <c r="AR122" i="1"/>
  <c r="AJ122" i="1"/>
  <c r="AI122" i="1"/>
  <c r="V122" i="1"/>
  <c r="X122" i="1" s="1"/>
  <c r="BA121" i="1"/>
  <c r="AZ121" i="1"/>
  <c r="AY121" i="1"/>
  <c r="AX121" i="1"/>
  <c r="AW121" i="1"/>
  <c r="AV121" i="1"/>
  <c r="AU121" i="1"/>
  <c r="AT121" i="1"/>
  <c r="AS121" i="1"/>
  <c r="AR121" i="1"/>
  <c r="BA120" i="1"/>
  <c r="AZ120" i="1"/>
  <c r="AY120" i="1"/>
  <c r="AX120" i="1"/>
  <c r="AW120" i="1"/>
  <c r="AV120" i="1"/>
  <c r="AU120" i="1"/>
  <c r="AT120" i="1"/>
  <c r="AS120" i="1"/>
  <c r="AR120" i="1"/>
  <c r="BA119" i="1"/>
  <c r="AZ119" i="1"/>
  <c r="AY119" i="1"/>
  <c r="AX119" i="1"/>
  <c r="AW119" i="1"/>
  <c r="AV119" i="1"/>
  <c r="AU119" i="1"/>
  <c r="AT119" i="1"/>
  <c r="AS119" i="1"/>
  <c r="AR119" i="1"/>
  <c r="AJ119" i="1"/>
  <c r="AI119" i="1"/>
  <c r="U119" i="1"/>
  <c r="V119" i="1" s="1"/>
  <c r="X119" i="1" s="1"/>
  <c r="BA118" i="1"/>
  <c r="AZ118" i="1"/>
  <c r="AY118" i="1"/>
  <c r="AX118" i="1"/>
  <c r="AW118" i="1"/>
  <c r="AV118" i="1"/>
  <c r="AU118" i="1"/>
  <c r="AT118" i="1"/>
  <c r="AS118" i="1"/>
  <c r="AR118" i="1"/>
  <c r="BA117" i="1"/>
  <c r="AZ117" i="1"/>
  <c r="AY117" i="1"/>
  <c r="AX117" i="1"/>
  <c r="AW117" i="1"/>
  <c r="AV117" i="1"/>
  <c r="AU117" i="1"/>
  <c r="AT117" i="1"/>
  <c r="AS117" i="1"/>
  <c r="AR117" i="1"/>
  <c r="BA116" i="1"/>
  <c r="AZ116" i="1"/>
  <c r="AY116" i="1"/>
  <c r="AX116" i="1"/>
  <c r="AW116" i="1"/>
  <c r="AV116" i="1"/>
  <c r="AU116" i="1"/>
  <c r="AT116" i="1"/>
  <c r="AS116" i="1"/>
  <c r="AR116" i="1"/>
  <c r="AM116" i="1"/>
  <c r="AH116" i="1" s="1"/>
  <c r="AG116" i="1" s="1"/>
  <c r="AF116" i="1" s="1"/>
  <c r="AJ116" i="1"/>
  <c r="AI116" i="1"/>
  <c r="Y116" i="1"/>
  <c r="Z116" i="1" s="1"/>
  <c r="AA116" i="1" s="1"/>
  <c r="AB116" i="1" s="1"/>
  <c r="AC116" i="1" s="1"/>
  <c r="AD116" i="1" s="1"/>
  <c r="AE116" i="1" s="1"/>
  <c r="V116" i="1"/>
  <c r="BA115" i="1"/>
  <c r="AZ115" i="1"/>
  <c r="AY115" i="1"/>
  <c r="AX115" i="1"/>
  <c r="AW115" i="1"/>
  <c r="AV115" i="1"/>
  <c r="AU115" i="1"/>
  <c r="AT115" i="1"/>
  <c r="AS115" i="1"/>
  <c r="AR115" i="1"/>
  <c r="BA114" i="1"/>
  <c r="AZ114" i="1"/>
  <c r="AY114" i="1"/>
  <c r="AX114" i="1"/>
  <c r="AW114" i="1"/>
  <c r="AV114" i="1"/>
  <c r="AU114" i="1"/>
  <c r="AT114" i="1"/>
  <c r="AS114" i="1"/>
  <c r="AR114" i="1"/>
  <c r="BA113" i="1"/>
  <c r="AZ113" i="1"/>
  <c r="AY113" i="1"/>
  <c r="AX113" i="1"/>
  <c r="AW113" i="1"/>
  <c r="AV113" i="1"/>
  <c r="AU113" i="1"/>
  <c r="AT113" i="1"/>
  <c r="AS113" i="1"/>
  <c r="AR113" i="1"/>
  <c r="AJ113" i="1"/>
  <c r="AI113" i="1"/>
  <c r="V113" i="1"/>
  <c r="X113" i="1" s="1"/>
  <c r="AM113" i="1" s="1"/>
  <c r="AO112" i="1" s="1"/>
  <c r="BA112" i="1"/>
  <c r="AZ112" i="1"/>
  <c r="AY112" i="1"/>
  <c r="AX112" i="1"/>
  <c r="AW112" i="1"/>
  <c r="AV112" i="1"/>
  <c r="AU112" i="1"/>
  <c r="AT112" i="1"/>
  <c r="AS112" i="1"/>
  <c r="AR112" i="1"/>
  <c r="BA111" i="1"/>
  <c r="AZ111" i="1"/>
  <c r="AY111" i="1"/>
  <c r="AX111" i="1"/>
  <c r="AW111" i="1"/>
  <c r="AV111" i="1"/>
  <c r="AU111" i="1"/>
  <c r="AT111" i="1"/>
  <c r="AS111" i="1"/>
  <c r="AR111" i="1"/>
  <c r="BA110" i="1"/>
  <c r="AZ110" i="1"/>
  <c r="AY110" i="1"/>
  <c r="AX110" i="1"/>
  <c r="AW110" i="1"/>
  <c r="AV110" i="1"/>
  <c r="AU110" i="1"/>
  <c r="AT110" i="1"/>
  <c r="AS110" i="1"/>
  <c r="AR110" i="1"/>
  <c r="AJ110" i="1"/>
  <c r="AI110" i="1"/>
  <c r="V110" i="1"/>
  <c r="X110" i="1" s="1"/>
  <c r="BA109" i="1"/>
  <c r="AZ109" i="1"/>
  <c r="AY109" i="1"/>
  <c r="AX109" i="1"/>
  <c r="AW109" i="1"/>
  <c r="AV109" i="1"/>
  <c r="AU109" i="1"/>
  <c r="AT109" i="1"/>
  <c r="AS109" i="1"/>
  <c r="AR109" i="1"/>
  <c r="BA108" i="1"/>
  <c r="AZ108" i="1"/>
  <c r="AY108" i="1"/>
  <c r="AX108" i="1"/>
  <c r="AW108" i="1"/>
  <c r="AV108" i="1"/>
  <c r="AU108" i="1"/>
  <c r="AT108" i="1"/>
  <c r="AS108" i="1"/>
  <c r="AR108" i="1"/>
  <c r="BA107" i="1"/>
  <c r="AZ107" i="1"/>
  <c r="AY107" i="1"/>
  <c r="AX107" i="1"/>
  <c r="AW107" i="1"/>
  <c r="AV107" i="1"/>
  <c r="AU107" i="1"/>
  <c r="AT107" i="1"/>
  <c r="AS107" i="1"/>
  <c r="AR107" i="1"/>
  <c r="AJ107" i="1"/>
  <c r="AI107" i="1"/>
  <c r="V107" i="1"/>
  <c r="X107" i="1" s="1"/>
  <c r="Y107" i="1" s="1"/>
  <c r="Z107" i="1" s="1"/>
  <c r="AA107" i="1" s="1"/>
  <c r="AB107" i="1" s="1"/>
  <c r="AC107" i="1" s="1"/>
  <c r="AD107" i="1" s="1"/>
  <c r="AE107" i="1" s="1"/>
  <c r="BA106" i="1"/>
  <c r="AZ106" i="1"/>
  <c r="AY106" i="1"/>
  <c r="AX106" i="1"/>
  <c r="AW106" i="1"/>
  <c r="AV106" i="1"/>
  <c r="AU106" i="1"/>
  <c r="AT106" i="1"/>
  <c r="AS106" i="1"/>
  <c r="AR106" i="1"/>
  <c r="BA105" i="1"/>
  <c r="AZ105" i="1"/>
  <c r="AY105" i="1"/>
  <c r="AX105" i="1"/>
  <c r="AW105" i="1"/>
  <c r="AV105" i="1"/>
  <c r="AU105" i="1"/>
  <c r="AT105" i="1"/>
  <c r="AS105" i="1"/>
  <c r="AR105" i="1"/>
  <c r="BA104" i="1"/>
  <c r="AZ104" i="1"/>
  <c r="AY104" i="1"/>
  <c r="AX104" i="1"/>
  <c r="AW104" i="1"/>
  <c r="AV104" i="1"/>
  <c r="AU104" i="1"/>
  <c r="AT104" i="1"/>
  <c r="AS104" i="1"/>
  <c r="AR104" i="1"/>
  <c r="Q104" i="1"/>
  <c r="R104" i="1" s="1"/>
  <c r="S104" i="1" s="1"/>
  <c r="T104" i="1" s="1"/>
  <c r="U104" i="1" s="1"/>
  <c r="V104" i="1" s="1"/>
  <c r="X104" i="1" s="1"/>
  <c r="Y104" i="1" s="1"/>
  <c r="Z104" i="1" s="1"/>
  <c r="AA104" i="1" s="1"/>
  <c r="AB104" i="1" s="1"/>
  <c r="AC104" i="1" s="1"/>
  <c r="AD104" i="1" s="1"/>
  <c r="AE104" i="1" s="1"/>
  <c r="BA103" i="1"/>
  <c r="AZ103" i="1"/>
  <c r="AY103" i="1"/>
  <c r="AX103" i="1"/>
  <c r="AW103" i="1"/>
  <c r="AV103" i="1"/>
  <c r="AU103" i="1"/>
  <c r="AT103" i="1"/>
  <c r="AS103" i="1"/>
  <c r="AR103" i="1"/>
  <c r="AE101" i="1"/>
  <c r="AD101" i="1"/>
  <c r="AC101" i="1"/>
  <c r="AB101" i="1"/>
  <c r="AA101" i="1"/>
  <c r="Z101" i="1"/>
  <c r="Y101" i="1"/>
  <c r="X101" i="1"/>
  <c r="AM101" i="1" s="1"/>
  <c r="U101" i="1"/>
  <c r="T101" i="1"/>
  <c r="BA99" i="1"/>
  <c r="AZ99" i="1"/>
  <c r="AY99" i="1"/>
  <c r="AX99" i="1"/>
  <c r="AW99" i="1"/>
  <c r="AV99" i="1"/>
  <c r="AU99" i="1"/>
  <c r="AT99" i="1"/>
  <c r="AS99" i="1"/>
  <c r="AR99" i="1"/>
  <c r="BA98" i="1"/>
  <c r="AZ98" i="1"/>
  <c r="AY98" i="1"/>
  <c r="AX98" i="1"/>
  <c r="AW98" i="1"/>
  <c r="AV98" i="1"/>
  <c r="AU98" i="1"/>
  <c r="AT98" i="1"/>
  <c r="AS98" i="1"/>
  <c r="AR98" i="1"/>
  <c r="AM98" i="1"/>
  <c r="AO97" i="1" s="1"/>
  <c r="U98" i="1"/>
  <c r="F98" i="1"/>
  <c r="BA97" i="1"/>
  <c r="AZ97" i="1"/>
  <c r="AY97" i="1"/>
  <c r="AX97" i="1"/>
  <c r="AW97" i="1"/>
  <c r="AV97" i="1"/>
  <c r="AU97" i="1"/>
  <c r="AT97" i="1"/>
  <c r="AS97" i="1"/>
  <c r="AR97" i="1"/>
  <c r="BA96" i="1"/>
  <c r="AZ96" i="1"/>
  <c r="AY96" i="1"/>
  <c r="AX96" i="1"/>
  <c r="AW96" i="1"/>
  <c r="AV96" i="1"/>
  <c r="AU96" i="1"/>
  <c r="AT96" i="1"/>
  <c r="AS96" i="1"/>
  <c r="AR96" i="1"/>
  <c r="BA95" i="1"/>
  <c r="AZ95" i="1"/>
  <c r="AY95" i="1"/>
  <c r="AX95" i="1"/>
  <c r="AW95" i="1"/>
  <c r="AV95" i="1"/>
  <c r="AU95" i="1"/>
  <c r="AT95" i="1"/>
  <c r="AS95" i="1"/>
  <c r="AR95" i="1"/>
  <c r="AJ95" i="1"/>
  <c r="AI95" i="1"/>
  <c r="X95" i="1"/>
  <c r="AM95" i="1" s="1"/>
  <c r="AO94" i="1" s="1"/>
  <c r="U95" i="1"/>
  <c r="V95" i="1" s="1"/>
  <c r="BA94" i="1"/>
  <c r="AZ94" i="1"/>
  <c r="AY94" i="1"/>
  <c r="AX94" i="1"/>
  <c r="AW94" i="1"/>
  <c r="AV94" i="1"/>
  <c r="AU94" i="1"/>
  <c r="AT94" i="1"/>
  <c r="AS94" i="1"/>
  <c r="AR94" i="1"/>
  <c r="BA93" i="1"/>
  <c r="AZ93" i="1"/>
  <c r="AY93" i="1"/>
  <c r="AX93" i="1"/>
  <c r="AW93" i="1"/>
  <c r="AV93" i="1"/>
  <c r="AU93" i="1"/>
  <c r="AT93" i="1"/>
  <c r="AS93" i="1"/>
  <c r="AR93" i="1"/>
  <c r="BA92" i="1"/>
  <c r="AZ92" i="1"/>
  <c r="AY92" i="1"/>
  <c r="AX92" i="1"/>
  <c r="AW92" i="1"/>
  <c r="AV92" i="1"/>
  <c r="AU92" i="1"/>
  <c r="AT92" i="1"/>
  <c r="AS92" i="1"/>
  <c r="AR92" i="1"/>
  <c r="AJ92" i="1"/>
  <c r="AI92" i="1"/>
  <c r="X92" i="1"/>
  <c r="AM92" i="1" s="1"/>
  <c r="U92" i="1"/>
  <c r="V92" i="1" s="1"/>
  <c r="BA91" i="1"/>
  <c r="AZ91" i="1"/>
  <c r="AY91" i="1"/>
  <c r="AX91" i="1"/>
  <c r="AW91" i="1"/>
  <c r="AV91" i="1"/>
  <c r="AU91" i="1"/>
  <c r="AT91" i="1"/>
  <c r="AS91" i="1"/>
  <c r="AR91" i="1"/>
  <c r="AJ89" i="1"/>
  <c r="AI89" i="1"/>
  <c r="U89" i="1"/>
  <c r="V89" i="1" s="1"/>
  <c r="X89" i="1" s="1"/>
  <c r="AM86" i="1"/>
  <c r="AO85" i="1" s="1"/>
  <c r="S86" i="1"/>
  <c r="AJ83" i="1"/>
  <c r="AI83" i="1"/>
  <c r="V83" i="1"/>
  <c r="X83" i="1" s="1"/>
  <c r="AL82" i="1"/>
  <c r="AJ80" i="1"/>
  <c r="AI80" i="1"/>
  <c r="V80" i="1"/>
  <c r="X80" i="1" s="1"/>
  <c r="AL79" i="1"/>
  <c r="AJ77" i="1"/>
  <c r="AI77" i="1"/>
  <c r="V77" i="1"/>
  <c r="X77" i="1" s="1"/>
  <c r="AL76" i="1"/>
  <c r="AJ74" i="1"/>
  <c r="AI74" i="1"/>
  <c r="V74" i="1"/>
  <c r="X74" i="1" s="1"/>
  <c r="AL73" i="1"/>
  <c r="BA72" i="1"/>
  <c r="AZ72" i="1"/>
  <c r="AY72" i="1"/>
  <c r="AX72" i="1"/>
  <c r="AW72" i="1"/>
  <c r="AV72" i="1"/>
  <c r="AU72" i="1"/>
  <c r="AT72" i="1"/>
  <c r="AS72" i="1"/>
  <c r="AR72" i="1"/>
  <c r="BA71" i="1"/>
  <c r="AZ71" i="1"/>
  <c r="AY71" i="1"/>
  <c r="AX71" i="1"/>
  <c r="AW71" i="1"/>
  <c r="AV71" i="1"/>
  <c r="AU71" i="1"/>
  <c r="AT71" i="1"/>
  <c r="AS71" i="1"/>
  <c r="AR71" i="1"/>
  <c r="AJ71" i="1"/>
  <c r="AI71" i="1"/>
  <c r="V71" i="1"/>
  <c r="X71" i="1" s="1"/>
  <c r="BA70" i="1"/>
  <c r="AZ70" i="1"/>
  <c r="AY70" i="1"/>
  <c r="AX70" i="1"/>
  <c r="AW70" i="1"/>
  <c r="AV70" i="1"/>
  <c r="AU70" i="1"/>
  <c r="AT70" i="1"/>
  <c r="AS70" i="1"/>
  <c r="AR70" i="1"/>
  <c r="BA69" i="1"/>
  <c r="AZ69" i="1"/>
  <c r="AY69" i="1"/>
  <c r="AX69" i="1"/>
  <c r="AW69" i="1"/>
  <c r="AV69" i="1"/>
  <c r="AU69" i="1"/>
  <c r="AT69" i="1"/>
  <c r="AS69" i="1"/>
  <c r="AR69" i="1"/>
  <c r="BA68" i="1"/>
  <c r="AZ68" i="1"/>
  <c r="AY68" i="1"/>
  <c r="AX68" i="1"/>
  <c r="AW68" i="1"/>
  <c r="AV68" i="1"/>
  <c r="AU68" i="1"/>
  <c r="AT68" i="1"/>
  <c r="AS68" i="1"/>
  <c r="AR68" i="1"/>
  <c r="AJ68" i="1"/>
  <c r="AI68" i="1"/>
  <c r="X68" i="1"/>
  <c r="AM68" i="1" s="1"/>
  <c r="AH68" i="1" s="1"/>
  <c r="AG68" i="1" s="1"/>
  <c r="AF68" i="1" s="1"/>
  <c r="BA67" i="1"/>
  <c r="AZ67" i="1"/>
  <c r="AY67" i="1"/>
  <c r="AX67" i="1"/>
  <c r="AW67" i="1"/>
  <c r="AV67" i="1"/>
  <c r="AU67" i="1"/>
  <c r="AT67" i="1"/>
  <c r="AS67" i="1"/>
  <c r="AR67" i="1"/>
  <c r="BA66" i="1"/>
  <c r="AZ66" i="1"/>
  <c r="AY66" i="1"/>
  <c r="AX66" i="1"/>
  <c r="AW66" i="1"/>
  <c r="AV66" i="1"/>
  <c r="AU66" i="1"/>
  <c r="AT66" i="1"/>
  <c r="AS66" i="1"/>
  <c r="AR66" i="1"/>
  <c r="BA65" i="1"/>
  <c r="AZ65" i="1"/>
  <c r="AY65" i="1"/>
  <c r="AX65" i="1"/>
  <c r="AW65" i="1"/>
  <c r="AV65" i="1"/>
  <c r="AU65" i="1"/>
  <c r="AT65" i="1"/>
  <c r="AS65" i="1"/>
  <c r="AR65" i="1"/>
  <c r="AJ65" i="1"/>
  <c r="AI65" i="1"/>
  <c r="X65" i="1"/>
  <c r="AM65" i="1" s="1"/>
  <c r="AH65" i="1" s="1"/>
  <c r="AG65" i="1" s="1"/>
  <c r="AF65" i="1" s="1"/>
  <c r="BA64" i="1"/>
  <c r="AZ64" i="1"/>
  <c r="AY64" i="1"/>
  <c r="AX64" i="1"/>
  <c r="AW64" i="1"/>
  <c r="AV64" i="1"/>
  <c r="AU64" i="1"/>
  <c r="AT64" i="1"/>
  <c r="AS64" i="1"/>
  <c r="AR64" i="1"/>
  <c r="BA63" i="1"/>
  <c r="AZ63" i="1"/>
  <c r="AY63" i="1"/>
  <c r="AX63" i="1"/>
  <c r="AW63" i="1"/>
  <c r="AV63" i="1"/>
  <c r="AU63" i="1"/>
  <c r="AT63" i="1"/>
  <c r="AS63" i="1"/>
  <c r="AR63" i="1"/>
  <c r="BA62" i="1"/>
  <c r="AZ62" i="1"/>
  <c r="AY62" i="1"/>
  <c r="AX62" i="1"/>
  <c r="AW62" i="1"/>
  <c r="AV62" i="1"/>
  <c r="AU62" i="1"/>
  <c r="AT62" i="1"/>
  <c r="AS62" i="1"/>
  <c r="AR62" i="1"/>
  <c r="AM62" i="1"/>
  <c r="AO61" i="1" s="1"/>
  <c r="AJ62" i="1"/>
  <c r="AI62" i="1"/>
  <c r="Y62" i="1"/>
  <c r="Z62" i="1" s="1"/>
  <c r="AA62" i="1" s="1"/>
  <c r="AB62" i="1" s="1"/>
  <c r="AC62" i="1" s="1"/>
  <c r="AD62" i="1" s="1"/>
  <c r="AE62" i="1" s="1"/>
  <c r="BA61" i="1"/>
  <c r="AZ61" i="1"/>
  <c r="AY61" i="1"/>
  <c r="AX61" i="1"/>
  <c r="AW61" i="1"/>
  <c r="AV61" i="1"/>
  <c r="AU61" i="1"/>
  <c r="AT61" i="1"/>
  <c r="AS61" i="1"/>
  <c r="AR61" i="1"/>
  <c r="A61" i="1"/>
  <c r="A64" i="1" s="1"/>
  <c r="A67" i="1" s="1"/>
  <c r="A70" i="1" s="1"/>
  <c r="A73" i="1" s="1"/>
  <c r="A76" i="1" s="1"/>
  <c r="A79" i="1" s="1"/>
  <c r="A82" i="1" s="1"/>
  <c r="A85" i="1" s="1"/>
  <c r="A88" i="1" s="1"/>
  <c r="A91" i="1" s="1"/>
  <c r="A94" i="1" s="1"/>
  <c r="A97" i="1" s="1"/>
  <c r="A106" i="1" s="1"/>
  <c r="A109" i="1" s="1"/>
  <c r="A112" i="1" s="1"/>
  <c r="A115" i="1" s="1"/>
  <c r="A121" i="1" s="1"/>
  <c r="A124" i="1" s="1"/>
  <c r="A127" i="1" s="1"/>
  <c r="BA60" i="1"/>
  <c r="AZ60" i="1"/>
  <c r="AY60" i="1"/>
  <c r="AX60" i="1"/>
  <c r="AW60" i="1"/>
  <c r="AV60" i="1"/>
  <c r="AU60" i="1"/>
  <c r="AT60" i="1"/>
  <c r="AS60" i="1"/>
  <c r="AR60" i="1"/>
  <c r="BA59" i="1"/>
  <c r="AZ59" i="1"/>
  <c r="AY59" i="1"/>
  <c r="AX59" i="1"/>
  <c r="AW59" i="1"/>
  <c r="AV59" i="1"/>
  <c r="AU59" i="1"/>
  <c r="AT59" i="1"/>
  <c r="AS59" i="1"/>
  <c r="AR59" i="1"/>
  <c r="AJ59" i="1"/>
  <c r="AI59" i="1"/>
  <c r="U59" i="1"/>
  <c r="V59" i="1" s="1"/>
  <c r="X59" i="1" s="1"/>
  <c r="BA58" i="1"/>
  <c r="AZ58" i="1"/>
  <c r="AY58" i="1"/>
  <c r="AX58" i="1"/>
  <c r="AW58" i="1"/>
  <c r="AV58" i="1"/>
  <c r="AU58" i="1"/>
  <c r="AT58" i="1"/>
  <c r="AS58" i="1"/>
  <c r="AR58" i="1"/>
  <c r="BA57" i="1"/>
  <c r="AZ57" i="1"/>
  <c r="AY57" i="1"/>
  <c r="AX57" i="1"/>
  <c r="AW57" i="1"/>
  <c r="AV57" i="1"/>
  <c r="AU57" i="1"/>
  <c r="AT57" i="1"/>
  <c r="AS57" i="1"/>
  <c r="AR57" i="1"/>
  <c r="BA56" i="1"/>
  <c r="AZ56" i="1"/>
  <c r="AY56" i="1"/>
  <c r="AX56" i="1"/>
  <c r="AW56" i="1"/>
  <c r="AV56" i="1"/>
  <c r="AU56" i="1"/>
  <c r="AT56" i="1"/>
  <c r="AS56" i="1"/>
  <c r="AR56" i="1"/>
  <c r="AJ56" i="1"/>
  <c r="AI56" i="1"/>
  <c r="U56" i="1"/>
  <c r="V56" i="1" s="1"/>
  <c r="X56" i="1" s="1"/>
  <c r="BA55" i="1"/>
  <c r="AZ55" i="1"/>
  <c r="AY55" i="1"/>
  <c r="AX55" i="1"/>
  <c r="AW55" i="1"/>
  <c r="AV55" i="1"/>
  <c r="AU55" i="1"/>
  <c r="AT55" i="1"/>
  <c r="AS55" i="1"/>
  <c r="AR55" i="1"/>
  <c r="BA54" i="1"/>
  <c r="AZ54" i="1"/>
  <c r="AY54" i="1"/>
  <c r="AX54" i="1"/>
  <c r="AW54" i="1"/>
  <c r="AV54" i="1"/>
  <c r="AU54" i="1"/>
  <c r="AT54" i="1"/>
  <c r="AS54" i="1"/>
  <c r="AR54" i="1"/>
  <c r="BA53" i="1"/>
  <c r="AZ53" i="1"/>
  <c r="AY53" i="1"/>
  <c r="AX53" i="1"/>
  <c r="AW53" i="1"/>
  <c r="AV53" i="1"/>
  <c r="AU53" i="1"/>
  <c r="AT53" i="1"/>
  <c r="AS53" i="1"/>
  <c r="AR53" i="1"/>
  <c r="AJ53" i="1"/>
  <c r="AI53" i="1"/>
  <c r="X53" i="1"/>
  <c r="BA52" i="1"/>
  <c r="AZ52" i="1"/>
  <c r="AY52" i="1"/>
  <c r="AX52" i="1"/>
  <c r="AW52" i="1"/>
  <c r="AV52" i="1"/>
  <c r="AU52" i="1"/>
  <c r="AT52" i="1"/>
  <c r="AS52" i="1"/>
  <c r="AR52" i="1"/>
  <c r="BA51" i="1"/>
  <c r="AZ51" i="1"/>
  <c r="AY51" i="1"/>
  <c r="AX51" i="1"/>
  <c r="AW51" i="1"/>
  <c r="AV51" i="1"/>
  <c r="AU51" i="1"/>
  <c r="AT51" i="1"/>
  <c r="AS51" i="1"/>
  <c r="AR51" i="1"/>
  <c r="BA50" i="1"/>
  <c r="AZ50" i="1"/>
  <c r="AY50" i="1"/>
  <c r="AX50" i="1"/>
  <c r="AW50" i="1"/>
  <c r="AV50" i="1"/>
  <c r="AU50" i="1"/>
  <c r="AT50" i="1"/>
  <c r="AS50" i="1"/>
  <c r="AR50" i="1"/>
  <c r="AM50" i="1"/>
  <c r="AO49" i="1" s="1"/>
  <c r="AJ50" i="1"/>
  <c r="AI50" i="1"/>
  <c r="Y50" i="1"/>
  <c r="Z50" i="1" s="1"/>
  <c r="AA50" i="1" s="1"/>
  <c r="AB50" i="1" s="1"/>
  <c r="AC50" i="1" s="1"/>
  <c r="AD50" i="1" s="1"/>
  <c r="AE50" i="1" s="1"/>
  <c r="BA49" i="1"/>
  <c r="AZ49" i="1"/>
  <c r="AY49" i="1"/>
  <c r="AX49" i="1"/>
  <c r="AW49" i="1"/>
  <c r="AV49" i="1"/>
  <c r="AU49" i="1"/>
  <c r="AT49" i="1"/>
  <c r="AS49" i="1"/>
  <c r="AR49" i="1"/>
  <c r="BA48" i="1"/>
  <c r="AZ48" i="1"/>
  <c r="AY48" i="1"/>
  <c r="AX48" i="1"/>
  <c r="AW48" i="1"/>
  <c r="AV48" i="1"/>
  <c r="AU48" i="1"/>
  <c r="AT48" i="1"/>
  <c r="AS48" i="1"/>
  <c r="AR48" i="1"/>
  <c r="BA47" i="1"/>
  <c r="AZ47" i="1"/>
  <c r="AY47" i="1"/>
  <c r="AX47" i="1"/>
  <c r="AW47" i="1"/>
  <c r="AV47" i="1"/>
  <c r="AU47" i="1"/>
  <c r="AT47" i="1"/>
  <c r="AS47" i="1"/>
  <c r="AR47" i="1"/>
  <c r="AJ47" i="1"/>
  <c r="AI47" i="1"/>
  <c r="X47" i="1"/>
  <c r="AM47" i="1" s="1"/>
  <c r="AH47" i="1" s="1"/>
  <c r="AG47" i="1" s="1"/>
  <c r="AF47" i="1" s="1"/>
  <c r="V47" i="1"/>
  <c r="BA46" i="1"/>
  <c r="AZ46" i="1"/>
  <c r="AY46" i="1"/>
  <c r="AX46" i="1"/>
  <c r="AW46" i="1"/>
  <c r="AV46" i="1"/>
  <c r="AU46" i="1"/>
  <c r="AT46" i="1"/>
  <c r="AS46" i="1"/>
  <c r="AR46" i="1"/>
  <c r="BA45" i="1"/>
  <c r="AZ45" i="1"/>
  <c r="AY45" i="1"/>
  <c r="AX45" i="1"/>
  <c r="AW45" i="1"/>
  <c r="AV45" i="1"/>
  <c r="AU45" i="1"/>
  <c r="AT45" i="1"/>
  <c r="AS45" i="1"/>
  <c r="AR45" i="1"/>
  <c r="BA44" i="1"/>
  <c r="AZ44" i="1"/>
  <c r="AY44" i="1"/>
  <c r="AX44" i="1"/>
  <c r="AW44" i="1"/>
  <c r="AV44" i="1"/>
  <c r="AU44" i="1"/>
  <c r="AT44" i="1"/>
  <c r="AS44" i="1"/>
  <c r="AR44" i="1"/>
  <c r="AJ44" i="1"/>
  <c r="AI44" i="1"/>
  <c r="X44" i="1"/>
  <c r="AM44" i="1" s="1"/>
  <c r="BA43" i="1"/>
  <c r="AZ43" i="1"/>
  <c r="AY43" i="1"/>
  <c r="AX43" i="1"/>
  <c r="AW43" i="1"/>
  <c r="AV43" i="1"/>
  <c r="AU43" i="1"/>
  <c r="AT43" i="1"/>
  <c r="AS43" i="1"/>
  <c r="AR43" i="1"/>
  <c r="BA42" i="1"/>
  <c r="AZ42" i="1"/>
  <c r="AY42" i="1"/>
  <c r="AX42" i="1"/>
  <c r="AW42" i="1"/>
  <c r="AV42" i="1"/>
  <c r="AU42" i="1"/>
  <c r="AT42" i="1"/>
  <c r="AS42" i="1"/>
  <c r="AR42" i="1"/>
  <c r="BA41" i="1"/>
  <c r="AZ41" i="1"/>
  <c r="AY41" i="1"/>
  <c r="AX41" i="1"/>
  <c r="AW41" i="1"/>
  <c r="AV41" i="1"/>
  <c r="AU41" i="1"/>
  <c r="AT41" i="1"/>
  <c r="AS41" i="1"/>
  <c r="AR41" i="1"/>
  <c r="AJ41" i="1"/>
  <c r="AI41" i="1"/>
  <c r="T41" i="1"/>
  <c r="U41" i="1" s="1"/>
  <c r="V41" i="1" s="1"/>
  <c r="X41" i="1" s="1"/>
  <c r="BA40" i="1"/>
  <c r="AZ40" i="1"/>
  <c r="AY40" i="1"/>
  <c r="AX40" i="1"/>
  <c r="AW40" i="1"/>
  <c r="AV40" i="1"/>
  <c r="AU40" i="1"/>
  <c r="AT40" i="1"/>
  <c r="AS40" i="1"/>
  <c r="AR40" i="1"/>
  <c r="O40" i="1"/>
  <c r="BA39" i="1"/>
  <c r="AZ39" i="1"/>
  <c r="AY39" i="1"/>
  <c r="AX39" i="1"/>
  <c r="AW39" i="1"/>
  <c r="AV39" i="1"/>
  <c r="AU39" i="1"/>
  <c r="AT39" i="1"/>
  <c r="AS39" i="1"/>
  <c r="AR39" i="1"/>
  <c r="BA38" i="1"/>
  <c r="AZ38" i="1"/>
  <c r="AY38" i="1"/>
  <c r="AX38" i="1"/>
  <c r="AW38" i="1"/>
  <c r="AV38" i="1"/>
  <c r="AU38" i="1"/>
  <c r="AT38" i="1"/>
  <c r="AS38" i="1"/>
  <c r="AR38" i="1"/>
  <c r="U38" i="1"/>
  <c r="V38" i="1" s="1"/>
  <c r="X38" i="1" s="1"/>
  <c r="BA37" i="1"/>
  <c r="AZ37" i="1"/>
  <c r="AY37" i="1"/>
  <c r="AX37" i="1"/>
  <c r="AW37" i="1"/>
  <c r="AV37" i="1"/>
  <c r="AU37" i="1"/>
  <c r="AT37" i="1"/>
  <c r="AS37" i="1"/>
  <c r="AR37" i="1"/>
  <c r="BA36" i="1"/>
  <c r="AZ36" i="1"/>
  <c r="AY36" i="1"/>
  <c r="AX36" i="1"/>
  <c r="AW36" i="1"/>
  <c r="AV36" i="1"/>
  <c r="AU36" i="1"/>
  <c r="AT36" i="1"/>
  <c r="AS36" i="1"/>
  <c r="AR36" i="1"/>
  <c r="BA35" i="1"/>
  <c r="AZ35" i="1"/>
  <c r="AY35" i="1"/>
  <c r="AX35" i="1"/>
  <c r="AW35" i="1"/>
  <c r="AV35" i="1"/>
  <c r="AU35" i="1"/>
  <c r="AT35" i="1"/>
  <c r="AS35" i="1"/>
  <c r="AR35" i="1"/>
  <c r="AJ35" i="1"/>
  <c r="AI35" i="1"/>
  <c r="AH35" i="1"/>
  <c r="AG35" i="1" s="1"/>
  <c r="AF35" i="1" s="1"/>
  <c r="X35" i="1"/>
  <c r="AM35" i="1" s="1"/>
  <c r="AO34" i="1" s="1"/>
  <c r="V35" i="1"/>
  <c r="BA34" i="1"/>
  <c r="AZ34" i="1"/>
  <c r="AY34" i="1"/>
  <c r="AX34" i="1"/>
  <c r="AW34" i="1"/>
  <c r="AV34" i="1"/>
  <c r="AU34" i="1"/>
  <c r="AT34" i="1"/>
  <c r="AS34" i="1"/>
  <c r="AR34" i="1"/>
  <c r="Z34" i="1"/>
  <c r="Z35" i="1" s="1"/>
  <c r="AA35" i="1" s="1"/>
  <c r="AB35" i="1" s="1"/>
  <c r="AC35" i="1" s="1"/>
  <c r="AD35" i="1" s="1"/>
  <c r="AE35" i="1" s="1"/>
  <c r="BA33" i="1"/>
  <c r="AZ33" i="1"/>
  <c r="AY33" i="1"/>
  <c r="AX33" i="1"/>
  <c r="AW33" i="1"/>
  <c r="AV33" i="1"/>
  <c r="AU33" i="1"/>
  <c r="AT33" i="1"/>
  <c r="AS33" i="1"/>
  <c r="AR33" i="1"/>
  <c r="BA32" i="1"/>
  <c r="AZ32" i="1"/>
  <c r="AY32" i="1"/>
  <c r="AX32" i="1"/>
  <c r="AW32" i="1"/>
  <c r="AV32" i="1"/>
  <c r="AU32" i="1"/>
  <c r="AT32" i="1"/>
  <c r="AS32" i="1"/>
  <c r="AR32" i="1"/>
  <c r="AM32" i="1"/>
  <c r="AO31" i="1" s="1"/>
  <c r="AJ32" i="1"/>
  <c r="AI32" i="1"/>
  <c r="AH32" i="1"/>
  <c r="AG32" i="1" s="1"/>
  <c r="AF32" i="1" s="1"/>
  <c r="AA32" i="1"/>
  <c r="AB32" i="1" s="1"/>
  <c r="AC32" i="1" s="1"/>
  <c r="AD32" i="1" s="1"/>
  <c r="AE32" i="1" s="1"/>
  <c r="BA31" i="1"/>
  <c r="AZ31" i="1"/>
  <c r="AY31" i="1"/>
  <c r="AX31" i="1"/>
  <c r="AW31" i="1"/>
  <c r="AV31" i="1"/>
  <c r="AU31" i="1"/>
  <c r="AT31" i="1"/>
  <c r="AS31" i="1"/>
  <c r="AR31" i="1"/>
  <c r="BA30" i="1"/>
  <c r="AZ30" i="1"/>
  <c r="AY30" i="1"/>
  <c r="AX30" i="1"/>
  <c r="AW30" i="1"/>
  <c r="AV30" i="1"/>
  <c r="AU30" i="1"/>
  <c r="AT30" i="1"/>
  <c r="AS30" i="1"/>
  <c r="AR30" i="1"/>
  <c r="BA29" i="1"/>
  <c r="AZ29" i="1"/>
  <c r="AY29" i="1"/>
  <c r="AX29" i="1"/>
  <c r="AW29" i="1"/>
  <c r="AV29" i="1"/>
  <c r="AU29" i="1"/>
  <c r="AT29" i="1"/>
  <c r="AS29" i="1"/>
  <c r="AR29" i="1"/>
  <c r="AL29" i="1"/>
  <c r="AM29" i="1" s="1"/>
  <c r="AO28" i="1" s="1"/>
  <c r="AJ29" i="1"/>
  <c r="AI29" i="1"/>
  <c r="AH29" i="1"/>
  <c r="AG29" i="1" s="1"/>
  <c r="AF29" i="1" s="1"/>
  <c r="Y29" i="1"/>
  <c r="Z29" i="1" s="1"/>
  <c r="AA29" i="1" s="1"/>
  <c r="AB29" i="1" s="1"/>
  <c r="AC29" i="1" s="1"/>
  <c r="AD29" i="1" s="1"/>
  <c r="AE29" i="1" s="1"/>
  <c r="BA28" i="1"/>
  <c r="AZ28" i="1"/>
  <c r="AY28" i="1"/>
  <c r="AX28" i="1"/>
  <c r="AW28" i="1"/>
  <c r="AV28" i="1"/>
  <c r="AU28" i="1"/>
  <c r="AT28" i="1"/>
  <c r="AS28" i="1"/>
  <c r="AR28" i="1"/>
  <c r="BA27" i="1"/>
  <c r="AZ27" i="1"/>
  <c r="AY27" i="1"/>
  <c r="AX27" i="1"/>
  <c r="AW27" i="1"/>
  <c r="AV27" i="1"/>
  <c r="AU27" i="1"/>
  <c r="AT27" i="1"/>
  <c r="AS27" i="1"/>
  <c r="AR27" i="1"/>
  <c r="BA26" i="1"/>
  <c r="AZ26" i="1"/>
  <c r="AY26" i="1"/>
  <c r="AX26" i="1"/>
  <c r="AW26" i="1"/>
  <c r="AV26" i="1"/>
  <c r="AU26" i="1"/>
  <c r="AT26" i="1"/>
  <c r="AS26" i="1"/>
  <c r="AR26" i="1"/>
  <c r="AL26" i="1"/>
  <c r="AM26" i="1" s="1"/>
  <c r="AO25" i="1" s="1"/>
  <c r="AJ26" i="1"/>
  <c r="AI26" i="1"/>
  <c r="AH26" i="1"/>
  <c r="AG26" i="1" s="1"/>
  <c r="AF26" i="1" s="1"/>
  <c r="Y26" i="1"/>
  <c r="Z26" i="1" s="1"/>
  <c r="AA26" i="1" s="1"/>
  <c r="AB26" i="1" s="1"/>
  <c r="AC26" i="1" s="1"/>
  <c r="AD26" i="1" s="1"/>
  <c r="AE26" i="1" s="1"/>
  <c r="BA25" i="1"/>
  <c r="AZ25" i="1"/>
  <c r="AY25" i="1"/>
  <c r="AX25" i="1"/>
  <c r="AW25" i="1"/>
  <c r="AV25" i="1"/>
  <c r="AU25" i="1"/>
  <c r="AT25" i="1"/>
  <c r="AS25" i="1"/>
  <c r="AR25" i="1"/>
  <c r="BA24" i="1"/>
  <c r="AZ24" i="1"/>
  <c r="AY24" i="1"/>
  <c r="AX24" i="1"/>
  <c r="AW24" i="1"/>
  <c r="AV24" i="1"/>
  <c r="AU24" i="1"/>
  <c r="AT24" i="1"/>
  <c r="AS24" i="1"/>
  <c r="AR24" i="1"/>
  <c r="BA23" i="1"/>
  <c r="AZ23" i="1"/>
  <c r="AY23" i="1"/>
  <c r="AX23" i="1"/>
  <c r="AW23" i="1"/>
  <c r="AV23" i="1"/>
  <c r="AU23" i="1"/>
  <c r="AT23" i="1"/>
  <c r="AS23" i="1"/>
  <c r="AR23" i="1"/>
  <c r="AM23" i="1"/>
  <c r="AO22" i="1" s="1"/>
  <c r="AJ23" i="1"/>
  <c r="AI23" i="1"/>
  <c r="AH23" i="1"/>
  <c r="AF23" i="1"/>
  <c r="AA23" i="1"/>
  <c r="AB23" i="1" s="1"/>
  <c r="AC23" i="1" s="1"/>
  <c r="AD23" i="1" s="1"/>
  <c r="AE23" i="1" s="1"/>
  <c r="BA22" i="1"/>
  <c r="AZ22" i="1"/>
  <c r="AY22" i="1"/>
  <c r="AX22" i="1"/>
  <c r="AW22" i="1"/>
  <c r="AV22" i="1"/>
  <c r="AU22" i="1"/>
  <c r="AT22" i="1"/>
  <c r="AS22" i="1"/>
  <c r="AR22" i="1"/>
  <c r="BA21" i="1"/>
  <c r="AZ21" i="1"/>
  <c r="AY21" i="1"/>
  <c r="AX21" i="1"/>
  <c r="AW21" i="1"/>
  <c r="AV21" i="1"/>
  <c r="AU21" i="1"/>
  <c r="AT21" i="1"/>
  <c r="AS21" i="1"/>
  <c r="AR21" i="1"/>
  <c r="S21" i="1"/>
  <c r="BA20" i="1"/>
  <c r="AZ20" i="1"/>
  <c r="AY20" i="1"/>
  <c r="AX20" i="1"/>
  <c r="AW20" i="1"/>
  <c r="AV20" i="1"/>
  <c r="AU20" i="1"/>
  <c r="AT20" i="1"/>
  <c r="AS20" i="1"/>
  <c r="AR20" i="1"/>
  <c r="AM20" i="1"/>
  <c r="AH20" i="1" s="1"/>
  <c r="AG20" i="1" s="1"/>
  <c r="AF20" i="1" s="1"/>
  <c r="AJ20" i="1"/>
  <c r="AI20" i="1"/>
  <c r="AA20" i="1"/>
  <c r="AB20" i="1" s="1"/>
  <c r="AC20" i="1" s="1"/>
  <c r="AD20" i="1" s="1"/>
  <c r="AE20" i="1" s="1"/>
  <c r="BA19" i="1"/>
  <c r="AZ19" i="1"/>
  <c r="AY19" i="1"/>
  <c r="AX19" i="1"/>
  <c r="AW19" i="1"/>
  <c r="AV19" i="1"/>
  <c r="AU19" i="1"/>
  <c r="AT19" i="1"/>
  <c r="AS19" i="1"/>
  <c r="AR19" i="1"/>
  <c r="BA18" i="1"/>
  <c r="AZ18" i="1"/>
  <c r="AY18" i="1"/>
  <c r="AX18" i="1"/>
  <c r="AW18" i="1"/>
  <c r="AV18" i="1"/>
  <c r="AU18" i="1"/>
  <c r="AT18" i="1"/>
  <c r="AS18" i="1"/>
  <c r="AR18" i="1"/>
  <c r="S18" i="1"/>
  <c r="BA17" i="1"/>
  <c r="AZ17" i="1"/>
  <c r="AY17" i="1"/>
  <c r="AX17" i="1"/>
  <c r="AW17" i="1"/>
  <c r="AV17" i="1"/>
  <c r="AU17" i="1"/>
  <c r="AT17" i="1"/>
  <c r="AS17" i="1"/>
  <c r="AR17" i="1"/>
  <c r="AM17" i="1"/>
  <c r="AO16" i="1" s="1"/>
  <c r="AJ17" i="1"/>
  <c r="AI17" i="1"/>
  <c r="AA17" i="1"/>
  <c r="AB17" i="1" s="1"/>
  <c r="AC17" i="1" s="1"/>
  <c r="AD17" i="1" s="1"/>
  <c r="AE17" i="1" s="1"/>
  <c r="BA16" i="1"/>
  <c r="AZ16" i="1"/>
  <c r="AY16" i="1"/>
  <c r="AX16" i="1"/>
  <c r="AW16" i="1"/>
  <c r="AV16" i="1"/>
  <c r="AU16" i="1"/>
  <c r="AT16" i="1"/>
  <c r="AS16" i="1"/>
  <c r="AR16" i="1"/>
  <c r="A16" i="1"/>
  <c r="A19" i="1" s="1"/>
  <c r="A22" i="1" s="1"/>
  <c r="A25" i="1" s="1"/>
  <c r="A28" i="1" s="1"/>
  <c r="A31" i="1" s="1"/>
  <c r="A34" i="1" s="1"/>
  <c r="A37" i="1" s="1"/>
  <c r="A40" i="1" s="1"/>
  <c r="A43" i="1" s="1"/>
  <c r="A46" i="1" s="1"/>
  <c r="A49" i="1" s="1"/>
  <c r="BA15" i="1"/>
  <c r="AZ15" i="1"/>
  <c r="AY15" i="1"/>
  <c r="AX15" i="1"/>
  <c r="AW15" i="1"/>
  <c r="AV15" i="1"/>
  <c r="AU15" i="1"/>
  <c r="AT15" i="1"/>
  <c r="AS15" i="1"/>
  <c r="AR15" i="1"/>
  <c r="BA14" i="1"/>
  <c r="AZ14" i="1"/>
  <c r="AY14" i="1"/>
  <c r="AX14" i="1"/>
  <c r="AW14" i="1"/>
  <c r="AV14" i="1"/>
  <c r="AU14" i="1"/>
  <c r="AT14" i="1"/>
  <c r="AS14" i="1"/>
  <c r="AR14" i="1"/>
  <c r="AM14" i="1"/>
  <c r="AJ14" i="1"/>
  <c r="AI14" i="1"/>
  <c r="AH14" i="1"/>
  <c r="AG14" i="1" s="1"/>
  <c r="AC14" i="1"/>
  <c r="AA14" i="1"/>
  <c r="AB14" i="1" s="1"/>
  <c r="BA13" i="1"/>
  <c r="AZ13" i="1"/>
  <c r="AY13" i="1"/>
  <c r="AX13" i="1"/>
  <c r="AW13" i="1"/>
  <c r="AV13" i="1"/>
  <c r="AU13" i="1"/>
  <c r="AT13" i="1"/>
  <c r="AS13" i="1"/>
  <c r="AR13" i="1"/>
  <c r="AO13" i="1"/>
  <c r="BB10" i="1"/>
  <c r="BB128" i="1" s="1"/>
  <c r="AM404" i="1" l="1"/>
  <c r="AG140" i="1"/>
  <c r="AJ401" i="1"/>
  <c r="AG401" i="1"/>
  <c r="AF401" i="1" s="1"/>
  <c r="AO178" i="1"/>
  <c r="AM191" i="1"/>
  <c r="AO190" i="1" s="1"/>
  <c r="Y83" i="1"/>
  <c r="Z83" i="1" s="1"/>
  <c r="AA83" i="1" s="1"/>
  <c r="AB83" i="1" s="1"/>
  <c r="AC83" i="1" s="1"/>
  <c r="AD83" i="1" s="1"/>
  <c r="AE83" i="1" s="1"/>
  <c r="AM83" i="1"/>
  <c r="AO82" i="1" s="1"/>
  <c r="AH149" i="1"/>
  <c r="AG149" i="1" s="1"/>
  <c r="AF149" i="1" s="1"/>
  <c r="AO148" i="1"/>
  <c r="AH44" i="1"/>
  <c r="AG44" i="1" s="1"/>
  <c r="AF44" i="1" s="1"/>
  <c r="AO43" i="1"/>
  <c r="Y68" i="1"/>
  <c r="Z68" i="1" s="1"/>
  <c r="AA68" i="1" s="1"/>
  <c r="AB68" i="1" s="1"/>
  <c r="AC68" i="1" s="1"/>
  <c r="AD68" i="1" s="1"/>
  <c r="AE68" i="1" s="1"/>
  <c r="Y44" i="1"/>
  <c r="Z44" i="1" s="1"/>
  <c r="AA44" i="1" s="1"/>
  <c r="AB44" i="1" s="1"/>
  <c r="AC44" i="1" s="1"/>
  <c r="AD44" i="1" s="1"/>
  <c r="AE44" i="1" s="1"/>
  <c r="AH95" i="1"/>
  <c r="AG95" i="1" s="1"/>
  <c r="AF95" i="1" s="1"/>
  <c r="AO115" i="1"/>
  <c r="AM182" i="1"/>
  <c r="AO181" i="1" s="1"/>
  <c r="Y95" i="1"/>
  <c r="Z95" i="1" s="1"/>
  <c r="AA95" i="1" s="1"/>
  <c r="AB95" i="1" s="1"/>
  <c r="AC95" i="1" s="1"/>
  <c r="AD95" i="1" s="1"/>
  <c r="AE95" i="1" s="1"/>
  <c r="Y155" i="1"/>
  <c r="Z155" i="1" s="1"/>
  <c r="AA155" i="1" s="1"/>
  <c r="AB155" i="1" s="1"/>
  <c r="AC155" i="1" s="1"/>
  <c r="AD155" i="1" s="1"/>
  <c r="AE155" i="1" s="1"/>
  <c r="AM155" i="1"/>
  <c r="AO154" i="1" s="1"/>
  <c r="AM221" i="1"/>
  <c r="AO220" i="1" s="1"/>
  <c r="Y221" i="1"/>
  <c r="Z221" i="1" s="1"/>
  <c r="AA221" i="1" s="1"/>
  <c r="AB221" i="1" s="1"/>
  <c r="AC221" i="1" s="1"/>
  <c r="AD221" i="1" s="1"/>
  <c r="AE221" i="1" s="1"/>
  <c r="Y80" i="1"/>
  <c r="Z80" i="1" s="1"/>
  <c r="AA80" i="1" s="1"/>
  <c r="AB80" i="1" s="1"/>
  <c r="AC80" i="1" s="1"/>
  <c r="AD80" i="1" s="1"/>
  <c r="AE80" i="1" s="1"/>
  <c r="AM80" i="1"/>
  <c r="Y119" i="1"/>
  <c r="Z119" i="1" s="1"/>
  <c r="AA119" i="1" s="1"/>
  <c r="AB119" i="1" s="1"/>
  <c r="AC119" i="1" s="1"/>
  <c r="AD119" i="1" s="1"/>
  <c r="AE119" i="1" s="1"/>
  <c r="AM119" i="1"/>
  <c r="AH152" i="1"/>
  <c r="AG152" i="1" s="1"/>
  <c r="AF152" i="1" s="1"/>
  <c r="AO151" i="1"/>
  <c r="AM89" i="1"/>
  <c r="Y89" i="1"/>
  <c r="Z89" i="1" s="1"/>
  <c r="AA89" i="1" s="1"/>
  <c r="AB89" i="1" s="1"/>
  <c r="AC89" i="1" s="1"/>
  <c r="AD89" i="1" s="1"/>
  <c r="AE89" i="1" s="1"/>
  <c r="Y122" i="1"/>
  <c r="Z122" i="1" s="1"/>
  <c r="AA122" i="1" s="1"/>
  <c r="AB122" i="1" s="1"/>
  <c r="AC122" i="1" s="1"/>
  <c r="AD122" i="1" s="1"/>
  <c r="AE122" i="1" s="1"/>
  <c r="AM122" i="1"/>
  <c r="Y56" i="1"/>
  <c r="Z56" i="1" s="1"/>
  <c r="AA56" i="1" s="1"/>
  <c r="AB56" i="1" s="1"/>
  <c r="AC56" i="1" s="1"/>
  <c r="AD56" i="1" s="1"/>
  <c r="AE56" i="1" s="1"/>
  <c r="AM56" i="1"/>
  <c r="AH56" i="1" s="1"/>
  <c r="AG56" i="1" s="1"/>
  <c r="AF56" i="1" s="1"/>
  <c r="AO46" i="1"/>
  <c r="Y92" i="1"/>
  <c r="Z92" i="1" s="1"/>
  <c r="AA92" i="1" s="1"/>
  <c r="AB92" i="1" s="1"/>
  <c r="AC92" i="1" s="1"/>
  <c r="AD92" i="1" s="1"/>
  <c r="AE92" i="1" s="1"/>
  <c r="AG404" i="1"/>
  <c r="AF404" i="1" s="1"/>
  <c r="Y47" i="1"/>
  <c r="Z47" i="1" s="1"/>
  <c r="AA47" i="1" s="1"/>
  <c r="AB47" i="1" s="1"/>
  <c r="AC47" i="1" s="1"/>
  <c r="AD47" i="1" s="1"/>
  <c r="AE47" i="1" s="1"/>
  <c r="AO397" i="1"/>
  <c r="Y35" i="1"/>
  <c r="AO67" i="1"/>
  <c r="Y206" i="1"/>
  <c r="Z206" i="1" s="1"/>
  <c r="AA206" i="1" s="1"/>
  <c r="AB206" i="1" s="1"/>
  <c r="AC206" i="1" s="1"/>
  <c r="AD206" i="1" s="1"/>
  <c r="AE206" i="1" s="1"/>
  <c r="AH50" i="1"/>
  <c r="AG50" i="1" s="1"/>
  <c r="AF50" i="1" s="1"/>
  <c r="AM218" i="1"/>
  <c r="AO217" i="1" s="1"/>
  <c r="AH266" i="1"/>
  <c r="Y260" i="1"/>
  <c r="Z260" i="1" s="1"/>
  <c r="AA260" i="1" s="1"/>
  <c r="AB260" i="1" s="1"/>
  <c r="AC260" i="1" s="1"/>
  <c r="AD260" i="1" s="1"/>
  <c r="AE260" i="1" s="1"/>
  <c r="AM260" i="1"/>
  <c r="AO259" i="1" s="1"/>
  <c r="Y170" i="1"/>
  <c r="Z170" i="1" s="1"/>
  <c r="AA170" i="1" s="1"/>
  <c r="AB170" i="1" s="1"/>
  <c r="AC170" i="1" s="1"/>
  <c r="AD170" i="1" s="1"/>
  <c r="AE170" i="1" s="1"/>
  <c r="AM170" i="1"/>
  <c r="Y254" i="1"/>
  <c r="Z254" i="1" s="1"/>
  <c r="AA254" i="1" s="1"/>
  <c r="AB254" i="1" s="1"/>
  <c r="AC254" i="1" s="1"/>
  <c r="AD254" i="1" s="1"/>
  <c r="AE254" i="1" s="1"/>
  <c r="AM254" i="1"/>
  <c r="AO253" i="1" s="1"/>
  <c r="AM392" i="1"/>
  <c r="AH392" i="1" s="1"/>
  <c r="Y392" i="1"/>
  <c r="Z392" i="1" s="1"/>
  <c r="AA392" i="1" s="1"/>
  <c r="AB392" i="1" s="1"/>
  <c r="AC392" i="1" s="1"/>
  <c r="AD392" i="1" s="1"/>
  <c r="AE392" i="1" s="1"/>
  <c r="AM77" i="1"/>
  <c r="Y77" i="1"/>
  <c r="Z77" i="1" s="1"/>
  <c r="AA77" i="1" s="1"/>
  <c r="AB77" i="1" s="1"/>
  <c r="AC77" i="1" s="1"/>
  <c r="AD77" i="1" s="1"/>
  <c r="AE77" i="1" s="1"/>
  <c r="Y158" i="1"/>
  <c r="Z158" i="1" s="1"/>
  <c r="AA158" i="1" s="1"/>
  <c r="AB158" i="1" s="1"/>
  <c r="AC158" i="1" s="1"/>
  <c r="AD158" i="1" s="1"/>
  <c r="AE158" i="1" s="1"/>
  <c r="AM158" i="1"/>
  <c r="AO157" i="1" s="1"/>
  <c r="Y209" i="1"/>
  <c r="Z209" i="1" s="1"/>
  <c r="AA209" i="1" s="1"/>
  <c r="AB209" i="1" s="1"/>
  <c r="AC209" i="1" s="1"/>
  <c r="AD209" i="1" s="1"/>
  <c r="AE209" i="1" s="1"/>
  <c r="AM209" i="1"/>
  <c r="AO208" i="1" s="1"/>
  <c r="AM74" i="1"/>
  <c r="Y74" i="1"/>
  <c r="Z74" i="1" s="1"/>
  <c r="AA74" i="1" s="1"/>
  <c r="AB74" i="1" s="1"/>
  <c r="AC74" i="1" s="1"/>
  <c r="AD74" i="1" s="1"/>
  <c r="AE74" i="1" s="1"/>
  <c r="AM41" i="1"/>
  <c r="AO40" i="1" s="1"/>
  <c r="Y41" i="1"/>
  <c r="Z41" i="1" s="1"/>
  <c r="AA41" i="1" s="1"/>
  <c r="AB41" i="1" s="1"/>
  <c r="AC41" i="1" s="1"/>
  <c r="AD41" i="1" s="1"/>
  <c r="AE41" i="1" s="1"/>
  <c r="AF41" i="1" s="1"/>
  <c r="AG41" i="1" s="1"/>
  <c r="AH41" i="1" s="1"/>
  <c r="AM167" i="1"/>
  <c r="AH167" i="1" s="1"/>
  <c r="AG167" i="1" s="1"/>
  <c r="AF167" i="1" s="1"/>
  <c r="Y167" i="1"/>
  <c r="Z167" i="1" s="1"/>
  <c r="AA167" i="1" s="1"/>
  <c r="AB167" i="1" s="1"/>
  <c r="AC167" i="1" s="1"/>
  <c r="AD167" i="1" s="1"/>
  <c r="AE167" i="1" s="1"/>
  <c r="AM242" i="1"/>
  <c r="AO241" i="1" s="1"/>
  <c r="Y242" i="1"/>
  <c r="Z242" i="1" s="1"/>
  <c r="AA242" i="1" s="1"/>
  <c r="AB242" i="1" s="1"/>
  <c r="AC242" i="1" s="1"/>
  <c r="AD242" i="1" s="1"/>
  <c r="AE242" i="1" s="1"/>
  <c r="Y203" i="1"/>
  <c r="Z203" i="1" s="1"/>
  <c r="AA203" i="1" s="1"/>
  <c r="AB203" i="1" s="1"/>
  <c r="AC203" i="1" s="1"/>
  <c r="AD203" i="1" s="1"/>
  <c r="AE203" i="1" s="1"/>
  <c r="AM203" i="1"/>
  <c r="AO202" i="1" s="1"/>
  <c r="AM224" i="1"/>
  <c r="AO223" i="1" s="1"/>
  <c r="Y224" i="1"/>
  <c r="Z224" i="1" s="1"/>
  <c r="AA224" i="1" s="1"/>
  <c r="AB224" i="1" s="1"/>
  <c r="AC224" i="1" s="1"/>
  <c r="AD224" i="1" s="1"/>
  <c r="AE224" i="1" s="1"/>
  <c r="A136" i="1"/>
  <c r="A139" i="1" s="1"/>
  <c r="A142" i="1" s="1"/>
  <c r="A145" i="1" s="1"/>
  <c r="A148" i="1" s="1"/>
  <c r="A151" i="1" s="1"/>
  <c r="A154" i="1" s="1"/>
  <c r="A157" i="1" s="1"/>
  <c r="A160" i="1" s="1"/>
  <c r="A163" i="1" s="1"/>
  <c r="A166" i="1" s="1"/>
  <c r="A169" i="1" s="1"/>
  <c r="A172" i="1" s="1"/>
  <c r="A175" i="1" s="1"/>
  <c r="A178" i="1" s="1"/>
  <c r="A181" i="1" s="1"/>
  <c r="A184" i="1" s="1"/>
  <c r="A187" i="1" s="1"/>
  <c r="A190" i="1" s="1"/>
  <c r="A193" i="1" s="1"/>
  <c r="A196" i="1" s="1"/>
  <c r="A199" i="1" s="1"/>
  <c r="A202" i="1" s="1"/>
  <c r="A205" i="1" s="1"/>
  <c r="A208" i="1" s="1"/>
  <c r="A211" i="1" s="1"/>
  <c r="A214" i="1" s="1"/>
  <c r="A217" i="1" s="1"/>
  <c r="A220" i="1" s="1"/>
  <c r="A223" i="1" s="1"/>
  <c r="A226" i="1" s="1"/>
  <c r="A229" i="1" s="1"/>
  <c r="A232" i="1" s="1"/>
  <c r="A235" i="1" s="1"/>
  <c r="A238" i="1" s="1"/>
  <c r="A247" i="1" s="1"/>
  <c r="A256" i="1" s="1"/>
  <c r="A259" i="1" s="1"/>
  <c r="A262" i="1" s="1"/>
  <c r="A265" i="1" s="1"/>
  <c r="A268" i="1" s="1"/>
  <c r="A271" i="1" s="1"/>
  <c r="A274" i="1" s="1"/>
  <c r="A277" i="1" s="1"/>
  <c r="A280" i="1" s="1"/>
  <c r="A283" i="1" s="1"/>
  <c r="A286" i="1" s="1"/>
  <c r="A289" i="1" s="1"/>
  <c r="A292" i="1" s="1"/>
  <c r="A295" i="1" s="1"/>
  <c r="A298" i="1" s="1"/>
  <c r="A301" i="1" s="1"/>
  <c r="A304" i="1" s="1"/>
  <c r="A307" i="1" s="1"/>
  <c r="A310" i="1" s="1"/>
  <c r="A313" i="1" s="1"/>
  <c r="A316" i="1" s="1"/>
  <c r="A319" i="1" s="1"/>
  <c r="A322" i="1" s="1"/>
  <c r="A325" i="1" s="1"/>
  <c r="A328" i="1" s="1"/>
  <c r="A331" i="1" s="1"/>
  <c r="A334" i="1" s="1"/>
  <c r="A337" i="1" s="1"/>
  <c r="A340" i="1" s="1"/>
  <c r="A343" i="1" s="1"/>
  <c r="A346" i="1" s="1"/>
  <c r="A349" i="1" s="1"/>
  <c r="A352" i="1" s="1"/>
  <c r="A355" i="1" s="1"/>
  <c r="A358" i="1" s="1"/>
  <c r="A361" i="1" s="1"/>
  <c r="A364" i="1" s="1"/>
  <c r="A367" i="1" s="1"/>
  <c r="A370" i="1" s="1"/>
  <c r="A373" i="1" s="1"/>
  <c r="A376" i="1" s="1"/>
  <c r="A379" i="1" s="1"/>
  <c r="A382" i="1" s="1"/>
  <c r="A385" i="1" s="1"/>
  <c r="A388" i="1" s="1"/>
  <c r="A394" i="1" s="1"/>
  <c r="A397" i="1" s="1"/>
  <c r="A400" i="1" s="1"/>
  <c r="A403" i="1" s="1"/>
  <c r="A130" i="1"/>
  <c r="AM239" i="1"/>
  <c r="AO238" i="1" s="1"/>
  <c r="Y239" i="1"/>
  <c r="Z239" i="1" s="1"/>
  <c r="AA239" i="1" s="1"/>
  <c r="AB239" i="1" s="1"/>
  <c r="AC239" i="1" s="1"/>
  <c r="AD239" i="1" s="1"/>
  <c r="AE239" i="1" s="1"/>
  <c r="AM251" i="1"/>
  <c r="AO250" i="1" s="1"/>
  <c r="Y251" i="1"/>
  <c r="Z251" i="1" s="1"/>
  <c r="AA251" i="1" s="1"/>
  <c r="AB251" i="1" s="1"/>
  <c r="AC251" i="1" s="1"/>
  <c r="AD251" i="1" s="1"/>
  <c r="AE251" i="1" s="1"/>
  <c r="AM110" i="1"/>
  <c r="Y110" i="1"/>
  <c r="Z110" i="1" s="1"/>
  <c r="AA110" i="1" s="1"/>
  <c r="AB110" i="1" s="1"/>
  <c r="AC110" i="1" s="1"/>
  <c r="AD110" i="1" s="1"/>
  <c r="AE110" i="1" s="1"/>
  <c r="AM245" i="1"/>
  <c r="Y245" i="1"/>
  <c r="Z245" i="1" s="1"/>
  <c r="AA245" i="1" s="1"/>
  <c r="AB245" i="1" s="1"/>
  <c r="AC245" i="1" s="1"/>
  <c r="AD245" i="1" s="1"/>
  <c r="AE245" i="1" s="1"/>
  <c r="AM164" i="1"/>
  <c r="Y164" i="1"/>
  <c r="Z164" i="1" s="1"/>
  <c r="AA164" i="1" s="1"/>
  <c r="AB164" i="1" s="1"/>
  <c r="AC164" i="1" s="1"/>
  <c r="AD164" i="1" s="1"/>
  <c r="AE164" i="1" s="1"/>
  <c r="AM233" i="1"/>
  <c r="AO232" i="1" s="1"/>
  <c r="Y233" i="1"/>
  <c r="Z233" i="1" s="1"/>
  <c r="AA233" i="1" s="1"/>
  <c r="AB233" i="1" s="1"/>
  <c r="AC233" i="1" s="1"/>
  <c r="AD233" i="1" s="1"/>
  <c r="AE233" i="1" s="1"/>
  <c r="Y215" i="1"/>
  <c r="Z215" i="1" s="1"/>
  <c r="AA215" i="1" s="1"/>
  <c r="AB215" i="1" s="1"/>
  <c r="AC215" i="1" s="1"/>
  <c r="AD215" i="1" s="1"/>
  <c r="AE215" i="1" s="1"/>
  <c r="AM215" i="1"/>
  <c r="AO214" i="1" s="1"/>
  <c r="AM59" i="1"/>
  <c r="Y59" i="1"/>
  <c r="Z59" i="1" s="1"/>
  <c r="AA59" i="1" s="1"/>
  <c r="AB59" i="1" s="1"/>
  <c r="AC59" i="1" s="1"/>
  <c r="AD59" i="1" s="1"/>
  <c r="AE59" i="1" s="1"/>
  <c r="AM257" i="1"/>
  <c r="AO256" i="1" s="1"/>
  <c r="Y257" i="1"/>
  <c r="Z257" i="1" s="1"/>
  <c r="AA257" i="1" s="1"/>
  <c r="AB257" i="1" s="1"/>
  <c r="AC257" i="1" s="1"/>
  <c r="AD257" i="1" s="1"/>
  <c r="AE257" i="1" s="1"/>
  <c r="Y236" i="1"/>
  <c r="Z236" i="1" s="1"/>
  <c r="AA236" i="1" s="1"/>
  <c r="AB236" i="1" s="1"/>
  <c r="AC236" i="1" s="1"/>
  <c r="AD236" i="1" s="1"/>
  <c r="AE236" i="1" s="1"/>
  <c r="AM236" i="1"/>
  <c r="AO235" i="1" s="1"/>
  <c r="Y230" i="1"/>
  <c r="Z230" i="1" s="1"/>
  <c r="AA230" i="1" s="1"/>
  <c r="AB230" i="1" s="1"/>
  <c r="AC230" i="1" s="1"/>
  <c r="AD230" i="1" s="1"/>
  <c r="AE230" i="1" s="1"/>
  <c r="AG398" i="1"/>
  <c r="AF398" i="1" s="1"/>
  <c r="AM176" i="1"/>
  <c r="Y194" i="1"/>
  <c r="Z194" i="1" s="1"/>
  <c r="AA194" i="1" s="1"/>
  <c r="AB194" i="1" s="1"/>
  <c r="AC194" i="1" s="1"/>
  <c r="AD194" i="1" s="1"/>
  <c r="AE194" i="1" s="1"/>
  <c r="AM194" i="1"/>
  <c r="AO193" i="1" s="1"/>
  <c r="Y125" i="1"/>
  <c r="Z125" i="1" s="1"/>
  <c r="AA125" i="1" s="1"/>
  <c r="AB125" i="1" s="1"/>
  <c r="AC125" i="1" s="1"/>
  <c r="AD125" i="1" s="1"/>
  <c r="AE125" i="1" s="1"/>
  <c r="AM125" i="1"/>
  <c r="AJ389" i="1"/>
  <c r="AG389" i="1"/>
  <c r="AF389" i="1" s="1"/>
  <c r="AH146" i="1"/>
  <c r="AG146" i="1" s="1"/>
  <c r="AF146" i="1" s="1"/>
  <c r="AO145" i="1"/>
  <c r="Y212" i="1"/>
  <c r="Z212" i="1" s="1"/>
  <c r="AA212" i="1" s="1"/>
  <c r="AB212" i="1" s="1"/>
  <c r="AC212" i="1" s="1"/>
  <c r="AD212" i="1" s="1"/>
  <c r="AE212" i="1" s="1"/>
  <c r="AM212" i="1"/>
  <c r="AO211" i="1" s="1"/>
  <c r="AJ179" i="1"/>
  <c r="AI179" i="1"/>
  <c r="Y71" i="1"/>
  <c r="Z71" i="1" s="1"/>
  <c r="AA71" i="1" s="1"/>
  <c r="AB71" i="1" s="1"/>
  <c r="AC71" i="1" s="1"/>
  <c r="AD71" i="1" s="1"/>
  <c r="AE71" i="1" s="1"/>
  <c r="AM71" i="1"/>
  <c r="Y227" i="1"/>
  <c r="Z227" i="1" s="1"/>
  <c r="AA227" i="1" s="1"/>
  <c r="AB227" i="1" s="1"/>
  <c r="AC227" i="1" s="1"/>
  <c r="AD227" i="1" s="1"/>
  <c r="AE227" i="1" s="1"/>
  <c r="AM227" i="1"/>
  <c r="AO226" i="1" s="1"/>
  <c r="AO394" i="1"/>
  <c r="AH113" i="1"/>
  <c r="AG113" i="1" s="1"/>
  <c r="AF113" i="1" s="1"/>
  <c r="Y53" i="1"/>
  <c r="Z53" i="1" s="1"/>
  <c r="AA53" i="1" s="1"/>
  <c r="AB53" i="1" s="1"/>
  <c r="AC53" i="1" s="1"/>
  <c r="AD53" i="1" s="1"/>
  <c r="AE53" i="1" s="1"/>
  <c r="AM53" i="1"/>
  <c r="Y113" i="1"/>
  <c r="Z113" i="1" s="1"/>
  <c r="AA113" i="1" s="1"/>
  <c r="AB113" i="1" s="1"/>
  <c r="AC113" i="1" s="1"/>
  <c r="AD113" i="1" s="1"/>
  <c r="AE113" i="1" s="1"/>
  <c r="AM38" i="1"/>
  <c r="AO37" i="1" s="1"/>
  <c r="Y38" i="1"/>
  <c r="Z38" i="1" s="1"/>
  <c r="AA38" i="1" s="1"/>
  <c r="AB38" i="1" s="1"/>
  <c r="AH62" i="1"/>
  <c r="AG62" i="1" s="1"/>
  <c r="AF62" i="1" s="1"/>
  <c r="AM248" i="1"/>
  <c r="AO247" i="1" s="1"/>
  <c r="Y404" i="1"/>
  <c r="Z404" i="1" s="1"/>
  <c r="AA404" i="1" s="1"/>
  <c r="AB404" i="1" s="1"/>
  <c r="AC404" i="1" s="1"/>
  <c r="AD404" i="1" s="1"/>
  <c r="AE404" i="1" s="1"/>
  <c r="AH17" i="1"/>
  <c r="AG17" i="1" s="1"/>
  <c r="AF17" i="1" s="1"/>
  <c r="Y161" i="1"/>
  <c r="Z161" i="1" s="1"/>
  <c r="AA161" i="1" s="1"/>
  <c r="AB161" i="1" s="1"/>
  <c r="AC161" i="1" s="1"/>
  <c r="AD161" i="1" s="1"/>
  <c r="AE161" i="1" s="1"/>
  <c r="AM161" i="1"/>
  <c r="AJ386" i="1"/>
  <c r="AG386" i="1"/>
  <c r="AF386" i="1" s="1"/>
  <c r="AJ395" i="1"/>
  <c r="AG395" i="1"/>
  <c r="AF395" i="1" s="1"/>
  <c r="AO91" i="1"/>
  <c r="AH92" i="1"/>
  <c r="AG92" i="1" s="1"/>
  <c r="AF92" i="1" s="1"/>
  <c r="AM107" i="1"/>
  <c r="Y200" i="1"/>
  <c r="Z200" i="1" s="1"/>
  <c r="AA200" i="1" s="1"/>
  <c r="AB200" i="1" s="1"/>
  <c r="AC200" i="1" s="1"/>
  <c r="AD200" i="1" s="1"/>
  <c r="AE200" i="1" s="1"/>
  <c r="Y128" i="1"/>
  <c r="Z128" i="1" s="1"/>
  <c r="AA128" i="1" s="1"/>
  <c r="AB128" i="1" s="1"/>
  <c r="AC128" i="1" s="1"/>
  <c r="AD128" i="1" s="1"/>
  <c r="AE128" i="1" s="1"/>
  <c r="AM128" i="1"/>
  <c r="AH83" i="1"/>
  <c r="AG83" i="1" s="1"/>
  <c r="AF83" i="1" s="1"/>
  <c r="Y65" i="1"/>
  <c r="Z65" i="1" s="1"/>
  <c r="AA65" i="1" s="1"/>
  <c r="AB65" i="1" s="1"/>
  <c r="AC65" i="1" s="1"/>
  <c r="AD65" i="1" s="1"/>
  <c r="AE65" i="1" s="1"/>
  <c r="AJ284" i="1"/>
  <c r="AI284" i="1"/>
  <c r="AO19" i="1"/>
  <c r="Y185" i="1"/>
  <c r="Z185" i="1" s="1"/>
  <c r="AA185" i="1" s="1"/>
  <c r="AB185" i="1" s="1"/>
  <c r="AC185" i="1" s="1"/>
  <c r="AD185" i="1" s="1"/>
  <c r="AE185" i="1" s="1"/>
  <c r="AM185" i="1"/>
  <c r="AO184" i="1" s="1"/>
  <c r="Y131" i="1"/>
  <c r="Z131" i="1" s="1"/>
  <c r="AA131" i="1" s="1"/>
  <c r="AB131" i="1" s="1"/>
  <c r="AC131" i="1" s="1"/>
  <c r="AD131" i="1" s="1"/>
  <c r="AE131" i="1" s="1"/>
  <c r="AM131" i="1"/>
  <c r="AH143" i="1"/>
  <c r="AG143" i="1" s="1"/>
  <c r="AF143" i="1" s="1"/>
  <c r="AO142" i="1"/>
  <c r="AO64" i="1"/>
  <c r="AM137" i="1"/>
  <c r="BB132" i="1"/>
  <c r="BB17" i="1"/>
  <c r="BB35" i="1"/>
  <c r="BB41" i="1"/>
  <c r="BB57" i="1"/>
  <c r="BB67" i="1"/>
  <c r="BB99" i="1"/>
  <c r="BB114" i="1"/>
  <c r="BB121" i="1"/>
  <c r="BB44" i="1"/>
  <c r="BB70" i="1"/>
  <c r="BB91" i="1"/>
  <c r="BB107" i="1"/>
  <c r="BB117" i="1"/>
  <c r="BB135" i="1"/>
  <c r="BB142" i="1"/>
  <c r="BB145" i="1"/>
  <c r="BB148" i="1"/>
  <c r="BB151" i="1"/>
  <c r="BB154" i="1"/>
  <c r="BB14" i="1"/>
  <c r="BB60" i="1"/>
  <c r="BB63" i="1"/>
  <c r="BB124" i="1"/>
  <c r="BB131" i="1"/>
  <c r="BB152" i="1"/>
  <c r="BB143" i="1"/>
  <c r="BB146" i="1"/>
  <c r="BB149" i="1"/>
  <c r="BB16" i="1"/>
  <c r="BB30" i="1"/>
  <c r="BB52" i="1"/>
  <c r="BB55" i="1"/>
  <c r="BB96" i="1"/>
  <c r="BB105" i="1"/>
  <c r="BB122" i="1"/>
  <c r="BB129" i="1"/>
  <c r="BB247" i="1"/>
  <c r="BB50" i="1"/>
  <c r="BB66" i="1"/>
  <c r="BB153" i="1"/>
  <c r="BB25" i="1"/>
  <c r="BB123" i="1"/>
  <c r="BB34" i="1"/>
  <c r="BB103" i="1"/>
  <c r="BB31" i="1"/>
  <c r="BB59" i="1"/>
  <c r="BB130" i="1"/>
  <c r="BB43" i="1"/>
  <c r="BB119" i="1"/>
  <c r="BB19" i="1"/>
  <c r="BB21" i="1"/>
  <c r="BB36" i="1"/>
  <c r="BB38" i="1"/>
  <c r="BB42" i="1"/>
  <c r="BB49" i="1"/>
  <c r="BB71" i="1"/>
  <c r="BB112" i="1"/>
  <c r="BB248" i="1"/>
  <c r="BB18" i="1"/>
  <c r="BB45" i="1"/>
  <c r="BB58" i="1"/>
  <c r="BB92" i="1"/>
  <c r="BB108" i="1"/>
  <c r="BB125" i="1"/>
  <c r="BB155" i="1"/>
  <c r="BB53" i="1"/>
  <c r="BB120" i="1"/>
  <c r="BB40" i="1"/>
  <c r="BB94" i="1"/>
  <c r="BB127" i="1"/>
  <c r="BB147" i="1"/>
  <c r="BB150" i="1"/>
  <c r="BB113" i="1"/>
  <c r="BB28" i="1"/>
  <c r="BB72" i="1"/>
  <c r="BB134" i="1"/>
  <c r="BB249" i="1"/>
  <c r="BB93" i="1"/>
  <c r="BB97" i="1"/>
  <c r="BB106" i="1"/>
  <c r="BB156" i="1"/>
  <c r="BB22" i="1"/>
  <c r="BB33" i="1"/>
  <c r="BB37" i="1"/>
  <c r="BB137" i="1"/>
  <c r="BB46" i="1"/>
  <c r="BB109" i="1"/>
  <c r="BB23" i="1"/>
  <c r="BB115" i="1"/>
  <c r="BB118" i="1"/>
  <c r="BB26" i="1"/>
  <c r="BB48" i="1"/>
  <c r="BB51" i="1"/>
  <c r="BB54" i="1"/>
  <c r="BB111" i="1"/>
  <c r="BB133" i="1"/>
  <c r="BB136" i="1"/>
  <c r="BB47" i="1"/>
  <c r="BB110" i="1"/>
  <c r="BB138" i="1"/>
  <c r="BB69" i="1"/>
  <c r="BB144" i="1"/>
  <c r="BB56" i="1"/>
  <c r="BB98" i="1"/>
  <c r="BB39" i="1"/>
  <c r="BB116" i="1"/>
  <c r="BB62" i="1"/>
  <c r="BB126" i="1"/>
  <c r="BB24" i="1"/>
  <c r="BB65" i="1"/>
  <c r="BB27" i="1"/>
  <c r="BB68" i="1"/>
  <c r="BB15" i="1"/>
  <c r="BB32" i="1"/>
  <c r="BB13" i="1"/>
  <c r="BB20" i="1"/>
  <c r="BB29" i="1"/>
  <c r="BB61" i="1"/>
  <c r="BB64" i="1"/>
  <c r="BB95" i="1"/>
  <c r="BB104" i="1"/>
  <c r="AH122" i="1" l="1"/>
  <c r="AG122" i="1" s="1"/>
  <c r="AF122" i="1" s="1"/>
  <c r="AO121" i="1"/>
  <c r="AO55" i="1"/>
  <c r="AO118" i="1"/>
  <c r="AH119" i="1"/>
  <c r="AG119" i="1" s="1"/>
  <c r="AF119" i="1" s="1"/>
  <c r="AJ266" i="1"/>
  <c r="AG266" i="1"/>
  <c r="AF266" i="1" s="1"/>
  <c r="AO88" i="1"/>
  <c r="AH89" i="1"/>
  <c r="AG89" i="1" s="1"/>
  <c r="AF89" i="1" s="1"/>
  <c r="AO79" i="1"/>
  <c r="AH80" i="1"/>
  <c r="AG80" i="1" s="1"/>
  <c r="AF80" i="1" s="1"/>
  <c r="AO130" i="1"/>
  <c r="AH131" i="1"/>
  <c r="AG131" i="1" s="1"/>
  <c r="AF131" i="1" s="1"/>
  <c r="AH53" i="1"/>
  <c r="AG53" i="1" s="1"/>
  <c r="AF53" i="1" s="1"/>
  <c r="AO52" i="1"/>
  <c r="AH125" i="1"/>
  <c r="AG125" i="1" s="1"/>
  <c r="AF125" i="1" s="1"/>
  <c r="AO124" i="1"/>
  <c r="AO163" i="1"/>
  <c r="AH164" i="1"/>
  <c r="AG164" i="1" s="1"/>
  <c r="AF164" i="1" s="1"/>
  <c r="AJ392" i="1"/>
  <c r="AG392" i="1"/>
  <c r="AF392" i="1" s="1"/>
  <c r="AO169" i="1"/>
  <c r="AH170" i="1"/>
  <c r="AG170" i="1" s="1"/>
  <c r="AF170" i="1" s="1"/>
  <c r="AH74" i="1"/>
  <c r="AG74" i="1" s="1"/>
  <c r="AF74" i="1" s="1"/>
  <c r="AO73" i="1"/>
  <c r="AO136" i="1"/>
  <c r="AH137" i="1"/>
  <c r="AG137" i="1" s="1"/>
  <c r="AF137" i="1" s="1"/>
  <c r="AH128" i="1"/>
  <c r="AG128" i="1" s="1"/>
  <c r="AF128" i="1" s="1"/>
  <c r="AO127" i="1"/>
  <c r="AO76" i="1"/>
  <c r="AH77" i="1"/>
  <c r="AG77" i="1" s="1"/>
  <c r="AF77" i="1" s="1"/>
  <c r="AH71" i="1"/>
  <c r="AG71" i="1" s="1"/>
  <c r="AF71" i="1" s="1"/>
  <c r="AO70" i="1"/>
  <c r="AH110" i="1"/>
  <c r="AG110" i="1" s="1"/>
  <c r="AF110" i="1" s="1"/>
  <c r="AO109" i="1"/>
  <c r="AH176" i="1"/>
  <c r="AG176" i="1" s="1"/>
  <c r="AF176" i="1" s="1"/>
  <c r="AO175" i="1"/>
  <c r="AO244" i="1"/>
  <c r="AH245" i="1"/>
  <c r="AG245" i="1" s="1"/>
  <c r="AF245" i="1" s="1"/>
  <c r="AH161" i="1"/>
  <c r="AG161" i="1" s="1"/>
  <c r="AF161" i="1" s="1"/>
  <c r="AO160" i="1"/>
  <c r="AO58" i="1"/>
  <c r="AH59" i="1"/>
  <c r="AG59" i="1" s="1"/>
  <c r="AF59" i="1" s="1"/>
  <c r="AH107" i="1"/>
  <c r="AG107" i="1" s="1"/>
  <c r="AF107" i="1" s="1"/>
  <c r="AO10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M16" authorId="0" shapeId="0" xr:uid="{00000000-0006-0000-00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珠海建造</t>
        </r>
      </text>
    </comment>
    <comment ref="M19" authorId="0" shapeId="0" xr:uid="{00000000-0006-0000-0000-00000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珠海建造</t>
        </r>
      </text>
    </comment>
    <comment ref="M22" authorId="0" shapeId="0" xr:uid="{00000000-0006-0000-0000-00000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珠海建造</t>
        </r>
      </text>
    </comment>
    <comment ref="M31" authorId="0" shapeId="0" xr:uid="{00000000-0006-0000-0000-00000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珠海建造</t>
        </r>
      </text>
    </comment>
    <comment ref="F79" authorId="0" shapeId="0" xr:uid="{00000000-0006-0000-0000-00000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ZWP-20:6
ZWP-21:10
ZWP-22:7
ZWP-23:9
</t>
        </r>
      </text>
    </comment>
    <comment ref="F80" authorId="0" shapeId="0" xr:uid="{00000000-0006-0000-0000-00000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ZWP-20:6
ZWP-21:10
ZWP-22:7
ZWP-23:9
</t>
        </r>
      </text>
    </comment>
    <comment ref="M103" authorId="0" shapeId="0" xr:uid="{00000000-0006-0000-0000-00000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如果只是型钢板材拼接类的支撑由珠海采购。</t>
        </r>
      </text>
    </comment>
  </commentList>
</comments>
</file>

<file path=xl/sharedStrings.xml><?xml version="1.0" encoding="utf-8"?>
<sst xmlns="http://schemas.openxmlformats.org/spreadsheetml/2006/main" count="5055" uniqueCount="879">
  <si>
    <t xml:space="preserve">PROVISION OF ENGINEERING, PROCUREMENT, CONSTRUCTION AND COMMISSIONING FOR WELLHEAD PLATFORMS, ASSOCIATED PIPLINES AND BROWNFIELD MODIFICATIONS FOR ZAWTIKA DEVELOPMENT PROJECT PHASE 1F </t>
  </si>
  <si>
    <t>Procurement Plan</t>
  </si>
  <si>
    <t>LA</t>
  </si>
  <si>
    <t>Most complexity RFQ</t>
  </si>
  <si>
    <t>LB</t>
  </si>
  <si>
    <t>High complexity RFQ</t>
  </si>
  <si>
    <t>LC</t>
  </si>
  <si>
    <t>Normal complexity  RFQ</t>
  </si>
  <si>
    <t>Contract no: 
MMC25-5001</t>
  </si>
  <si>
    <t>LD</t>
  </si>
  <si>
    <t>Low complexity  RFQ</t>
  </si>
  <si>
    <t>Update: 31-Jul-2026</t>
  </si>
  <si>
    <t>No.</t>
  </si>
  <si>
    <t xml:space="preserve">MR No.  </t>
  </si>
  <si>
    <t>RFQ No.</t>
  </si>
  <si>
    <t>Package Name</t>
  </si>
  <si>
    <t>Tag No.</t>
  </si>
  <si>
    <t>Q'ty</t>
  </si>
  <si>
    <t>CODE</t>
  </si>
  <si>
    <t>DIS</t>
  </si>
  <si>
    <t>LLI
 (Y/N)</t>
  </si>
  <si>
    <t>CR</t>
  </si>
  <si>
    <t>Priority Level</t>
  </si>
  <si>
    <t>PO description</t>
  </si>
  <si>
    <t>Owner</t>
  </si>
  <si>
    <t>P/F/A</t>
  </si>
  <si>
    <t>Bidder list Approval</t>
  </si>
  <si>
    <t>MR Issued
(IFR)</t>
  </si>
  <si>
    <t>MR Approved</t>
  </si>
  <si>
    <t>RFQ Issued</t>
  </si>
  <si>
    <t>RFQ Approved</t>
  </si>
  <si>
    <t>Bid Closing Date</t>
  </si>
  <si>
    <t>TBE Issued</t>
  </si>
  <si>
    <t>TBE Approved</t>
  </si>
  <si>
    <t>LOA issued</t>
  </si>
  <si>
    <t>PO Issued</t>
  </si>
  <si>
    <t>Vendor Acknowledgement</t>
  </si>
  <si>
    <t>KOM</t>
  </si>
  <si>
    <t>VDB Submission</t>
  </si>
  <si>
    <t>Approval of Key VP</t>
  </si>
  <si>
    <t>Main Material Arrived</t>
  </si>
  <si>
    <t>PIM</t>
  </si>
  <si>
    <t>Start Production</t>
  </si>
  <si>
    <t>FAT</t>
  </si>
  <si>
    <t>Ready for Shipment</t>
  </si>
  <si>
    <t>Receipt at WORKSITE</t>
  </si>
  <si>
    <t>Punch List Clearance(all punch clearance before Tag Equipment Ready for Shipping )</t>
  </si>
  <si>
    <t>Approval of Final Documentation  (To be confirmed later)</t>
  </si>
  <si>
    <t>Delivery Duration (Weeks)</t>
  </si>
  <si>
    <t>days</t>
  </si>
  <si>
    <t>Delivery Date(1st Batch for ZWP21)</t>
  </si>
  <si>
    <t>ROS Date</t>
  </si>
  <si>
    <t xml:space="preserve">Float </t>
  </si>
  <si>
    <t>Responder</t>
  </si>
  <si>
    <t>Remarks</t>
  </si>
  <si>
    <t>Matrix</t>
  </si>
  <si>
    <t>PTTEP</t>
  </si>
  <si>
    <t>ENG</t>
  </si>
  <si>
    <t>TJE PRC</t>
  </si>
  <si>
    <t>BIDDER</t>
  </si>
  <si>
    <t>Vendor</t>
  </si>
  <si>
    <t>TJE QA/QC</t>
  </si>
  <si>
    <t>THE Worksite</t>
  </si>
  <si>
    <t>Holiday</t>
  </si>
  <si>
    <t>China</t>
  </si>
  <si>
    <t>Thai</t>
  </si>
  <si>
    <t>MM-ZTK-1F-GEN-MEC-MR-0001</t>
  </si>
  <si>
    <t>RFQ-MA-001</t>
  </si>
  <si>
    <t>Offshore Pedestal Crane</t>
  </si>
  <si>
    <t>CR7001</t>
  </si>
  <si>
    <t>1*4</t>
  </si>
  <si>
    <t>4-2</t>
  </si>
  <si>
    <t>MA</t>
  </si>
  <si>
    <t>Y</t>
  </si>
  <si>
    <t>L2</t>
  </si>
  <si>
    <t>Favelle Favco</t>
  </si>
  <si>
    <t>SH</t>
  </si>
  <si>
    <t>P</t>
  </si>
  <si>
    <t>Sun liheng</t>
  </si>
  <si>
    <t>2026.4.16: Issued RFQ
2026.4.28-5.1: Received Bid
2026.5.7: TC
2026.5.19: Vendor will reply TC
2026.2.26-27 Hold TC meeting</t>
  </si>
  <si>
    <t>Bidder1</t>
  </si>
  <si>
    <t xml:space="preserve"> Ex-work: Pedestal-28 weeks </t>
  </si>
  <si>
    <t>Crane:38 weeks</t>
  </si>
  <si>
    <t>ZM169-WP1-PO-MEC-001</t>
  </si>
  <si>
    <t>F</t>
  </si>
  <si>
    <t>Bidder2</t>
  </si>
  <si>
    <t>After receive dowm payment: 30 weeks FAT, CIF 39 weeks</t>
  </si>
  <si>
    <t>A</t>
  </si>
  <si>
    <t>Bidder3</t>
  </si>
  <si>
    <t xml:space="preserve"> Ex-work: 42 weeks </t>
  </si>
  <si>
    <t>MM-ZTK-1F-GEN-MEC-MR-0002</t>
  </si>
  <si>
    <t>RFQ-MA-002-1</t>
  </si>
  <si>
    <t>Closed Drain Sump Vessel</t>
  </si>
  <si>
    <t>V-5001</t>
  </si>
  <si>
    <t>4-10</t>
  </si>
  <si>
    <t>L3</t>
  </si>
  <si>
    <t>Zhuhai Jutal</t>
  </si>
  <si>
    <t>HuangWei</t>
  </si>
  <si>
    <r>
      <rPr>
        <sz val="6"/>
        <color indexed="8"/>
        <rFont val="Arial"/>
        <family val="2"/>
      </rPr>
      <t>2026.5.6</t>
    </r>
    <r>
      <rPr>
        <sz val="6"/>
        <color rgb="FF000000"/>
        <rFont val="Arial"/>
        <family val="2"/>
      </rPr>
      <t xml:space="preserve"> </t>
    </r>
    <r>
      <rPr>
        <sz val="6"/>
        <color indexed="8"/>
        <rFont val="Arial"/>
        <family val="2"/>
      </rPr>
      <t xml:space="preserve">Issued RFQ to Zhuhai yard
</t>
    </r>
  </si>
  <si>
    <t>ZM169-WP1-PO-MEC-002</t>
  </si>
  <si>
    <t>N/A</t>
  </si>
  <si>
    <t>RFQ-MA-002-2</t>
  </si>
  <si>
    <t>Test Separator</t>
  </si>
  <si>
    <t>V-1001</t>
  </si>
  <si>
    <t>4-8</t>
  </si>
  <si>
    <t xml:space="preserve">2026.5.6 Issued RFQ to Zhuhai yard
</t>
  </si>
  <si>
    <t>RFQ-MA-002-3</t>
  </si>
  <si>
    <t>Instrument Gas Filter Coalescer</t>
  </si>
  <si>
    <t>V-3001</t>
  </si>
  <si>
    <t>4-11</t>
  </si>
  <si>
    <t>MM-ZTK-1F-GEN-MEC-MR-0003</t>
  </si>
  <si>
    <t>RFQ-MA-003</t>
  </si>
  <si>
    <t>Closed Drain Sump Pump skids</t>
  </si>
  <si>
    <t>4-18</t>
  </si>
  <si>
    <t>Multipahse</t>
  </si>
  <si>
    <t>2026.5.6 Issued RFQ
 bid due day:22-May</t>
  </si>
  <si>
    <t xml:space="preserve">DDP:  28 weeks </t>
  </si>
  <si>
    <t>ZM169-WP1-PO-MEC-003</t>
  </si>
  <si>
    <t>DDP: 24-26 weeks</t>
  </si>
  <si>
    <t>MM-ZTK-1F-GEN-MEC-MR-0004</t>
  </si>
  <si>
    <t>RFQ-MA-004</t>
  </si>
  <si>
    <t>Chemical injection pump skid</t>
  </si>
  <si>
    <t>4-4</t>
  </si>
  <si>
    <t>2026.5.6 Issued RFQ
 bid due day:22-May
2025.5.31-6.5 TC</t>
  </si>
  <si>
    <t xml:space="preserve">Ex-work 22 weeks </t>
  </si>
  <si>
    <t xml:space="preserve">Ex-work 24 weeks </t>
  </si>
  <si>
    <t xml:space="preserve">Ex-work 30 weeks </t>
  </si>
  <si>
    <t>MM-ZTK-1F-GEN-MEC-MR-0005</t>
  </si>
  <si>
    <t>RFQ-MA-005</t>
  </si>
  <si>
    <t>Chemical storage tank</t>
  </si>
  <si>
    <t>2*4</t>
  </si>
  <si>
    <t>4-39</t>
  </si>
  <si>
    <t>ZM169-WP1-PO-MEC-005</t>
  </si>
  <si>
    <t>MM-ZTK-1F-GEN-MEC-MR-0006</t>
  </si>
  <si>
    <t>RFQ-MA-006</t>
  </si>
  <si>
    <t>Material Handling Equipment</t>
  </si>
  <si>
    <t>6*4</t>
  </si>
  <si>
    <t>4-7</t>
  </si>
  <si>
    <t>N</t>
  </si>
  <si>
    <t>L4</t>
  </si>
  <si>
    <t xml:space="preserve">DDP : 20 weeks </t>
  </si>
  <si>
    <t>DDP: 50 days after drawing approve</t>
  </si>
  <si>
    <t>MM-ZTK-1F-GEN-SAF-MR-0001</t>
  </si>
  <si>
    <t>RFQ-SA-001</t>
  </si>
  <si>
    <t>Fire Fighting, Safety Equipment (Including Lifesaving)</t>
  </si>
  <si>
    <t>4-38</t>
  </si>
  <si>
    <t>SA</t>
  </si>
  <si>
    <t>MM-ZTK-1F-GEN-SAF-MR-0002</t>
  </si>
  <si>
    <t>RFQ-SA-002</t>
  </si>
  <si>
    <t>Safety Signs</t>
  </si>
  <si>
    <t>ZH</t>
  </si>
  <si>
    <t>Liu bin</t>
  </si>
  <si>
    <t xml:space="preserve">2026.6.10 Issued RFQ to Zhuhai yard
</t>
  </si>
  <si>
    <t>MM-ZTK-1F-GEN-PIP-MR-0001</t>
  </si>
  <si>
    <t>RFQ-PIP-001</t>
  </si>
  <si>
    <t>Ball Valve (Flange End)</t>
  </si>
  <si>
    <t>150#-148</t>
  </si>
  <si>
    <t>4-19</t>
  </si>
  <si>
    <t>PI</t>
  </si>
  <si>
    <t>Lin Yazhen</t>
  </si>
  <si>
    <t>600#-207</t>
  </si>
  <si>
    <t>RFQ-PIP-021</t>
  </si>
  <si>
    <t>Ball Valve (Welded End)</t>
  </si>
  <si>
    <t>800#-521</t>
  </si>
  <si>
    <t>PIBIVIESSE-no reply</t>
  </si>
  <si>
    <t>2500#-128</t>
  </si>
  <si>
    <t>CAMERON &amp; KCON-declined</t>
  </si>
  <si>
    <t xml:space="preserve">VALVITALIA,STARLINE </t>
  </si>
  <si>
    <t>RFQ-PIP-002</t>
  </si>
  <si>
    <t>Globe Valve (without equal percentage)</t>
  </si>
  <si>
    <t>4-21</t>
  </si>
  <si>
    <t>Liu Lei</t>
  </si>
  <si>
    <t>24 weeks after PO</t>
  </si>
  <si>
    <t>16-20 weeks after drawing approve</t>
  </si>
  <si>
    <t>20-24 weeks after PO</t>
  </si>
  <si>
    <t>RFQ-PIP-028</t>
  </si>
  <si>
    <t>Globe Valve (with equal percentage)</t>
  </si>
  <si>
    <t>5*4</t>
  </si>
  <si>
    <t>New package split from PIP-002</t>
  </si>
  <si>
    <t>Globe Valve (withequal percentage)</t>
  </si>
  <si>
    <t>RFQ-PIP-003</t>
  </si>
  <si>
    <t>Check Valve (Swing)</t>
  </si>
  <si>
    <t>4-22</t>
  </si>
  <si>
    <t>Combined with Check Wafer</t>
  </si>
  <si>
    <t>RFQ-PIP-029</t>
  </si>
  <si>
    <t>Check Valve (Position)</t>
  </si>
  <si>
    <t>RFQ-PIP-030</t>
  </si>
  <si>
    <t>Check Valve (Wafer)</t>
  </si>
  <si>
    <t>7*4</t>
  </si>
  <si>
    <t>DHV,Huaying, Newway</t>
  </si>
  <si>
    <t>Emerson</t>
  </si>
  <si>
    <t>RFQ-PIP-004</t>
  </si>
  <si>
    <t>Check valve (Compact)</t>
  </si>
  <si>
    <t>16*4</t>
  </si>
  <si>
    <t>4-41</t>
  </si>
  <si>
    <t>KCON</t>
  </si>
  <si>
    <t>30 weeks</t>
  </si>
  <si>
    <t>ZM169-WP1-PO-PIP-004</t>
  </si>
  <si>
    <t>RFQ-PIP-020</t>
  </si>
  <si>
    <t>ButterflyValve</t>
  </si>
  <si>
    <t>Combined with Globe valve</t>
  </si>
  <si>
    <t>2026.6.8 Short bidder list to CPY for approval</t>
  </si>
  <si>
    <t>MM-ZTK-1F-GEN-PIP-MR-0003</t>
  </si>
  <si>
    <t>RFQ-PIP-006</t>
  </si>
  <si>
    <t>Special items-Chemical Injection Quill</t>
  </si>
  <si>
    <t>SP-01B/C</t>
  </si>
  <si>
    <t>5-5</t>
  </si>
  <si>
    <t>SP-02B/C</t>
  </si>
  <si>
    <t>SP-13A/B</t>
  </si>
  <si>
    <t>RFQ-PIP-023</t>
  </si>
  <si>
    <t>Special items-Hoses and Connections</t>
  </si>
  <si>
    <t>SP-41/42</t>
  </si>
  <si>
    <t>2026.6.10 Short bidder list to CPY for approval</t>
  </si>
  <si>
    <t>SP-43(Future)</t>
  </si>
  <si>
    <t>RFQ-PIP-022</t>
  </si>
  <si>
    <t>Special items-Liquid trap</t>
  </si>
  <si>
    <t>SP-70</t>
  </si>
  <si>
    <t>SP-71</t>
  </si>
  <si>
    <t>RFQ-PIP-032</t>
  </si>
  <si>
    <t>Special items-Clamp Type Connector and Target Tee with Clamp Type Connector</t>
  </si>
  <si>
    <t>SP-*A002/A001</t>
  </si>
  <si>
    <t>32+32</t>
  </si>
  <si>
    <t>SP-*A003/004</t>
  </si>
  <si>
    <t>RFQ-PIP-031</t>
  </si>
  <si>
    <t>Special items-Corrosion Probe &amp; Coupon</t>
  </si>
  <si>
    <t>SP-21/31/32</t>
  </si>
  <si>
    <t>4+1+2</t>
  </si>
  <si>
    <t xml:space="preserve">Combine with chemical Injection quill </t>
  </si>
  <si>
    <t>SP-31(Future)</t>
  </si>
  <si>
    <t>RFQ-PIP-024</t>
  </si>
  <si>
    <t>Special items-Portable Valve Actuator</t>
  </si>
  <si>
    <t>RFQ-PIP-019</t>
  </si>
  <si>
    <t>Special items-Strainers</t>
  </si>
  <si>
    <t>SP-50</t>
  </si>
  <si>
    <t>16 weeks</t>
  </si>
  <si>
    <t>SP-11</t>
  </si>
  <si>
    <t>RFQ-PIP-025</t>
  </si>
  <si>
    <t>Special items-Barred Tees</t>
  </si>
  <si>
    <t>SP-05/06</t>
  </si>
  <si>
    <t>SP-07/08</t>
  </si>
  <si>
    <t>SP-09</t>
  </si>
  <si>
    <t>Special items-Barrel Reducer
(For PIG L&amp;R)</t>
  </si>
  <si>
    <t>SP-12</t>
  </si>
  <si>
    <t>Combine with Barred tee</t>
  </si>
  <si>
    <t>SP-13</t>
  </si>
  <si>
    <t>SP-14</t>
  </si>
  <si>
    <t>MM-ZTK-1F-GEN-PIP-MR-0004</t>
  </si>
  <si>
    <t>RFQ-PIP-026</t>
  </si>
  <si>
    <t xml:space="preserve"> PIPELINE BULK (B31.8)-3D Bend</t>
  </si>
  <si>
    <t>Export line</t>
  </si>
  <si>
    <t>Import line</t>
  </si>
  <si>
    <t>RFQ-PIP-033</t>
  </si>
  <si>
    <t xml:space="preserve"> PIPELINE BULK (B31.8)</t>
  </si>
  <si>
    <t>RFQ-PIP-007</t>
  </si>
  <si>
    <t>SPECIAL PIPE SUPPORT</t>
  </si>
  <si>
    <t>As dicussed with ENG, it mabe has no special support. So it will confirm later</t>
  </si>
  <si>
    <t>MM-ZTK-1F-GEN-PIP-MR-0002</t>
  </si>
  <si>
    <t>RFQ-PIP-008</t>
  </si>
  <si>
    <t>CS Fitting</t>
  </si>
  <si>
    <t>RFQ-PIP-009</t>
  </si>
  <si>
    <t>SS &amp; DSS Fitting</t>
  </si>
  <si>
    <t>Ruan Jun</t>
  </si>
  <si>
    <t>2026.5.31 MR issued yard</t>
  </si>
  <si>
    <t>RFQ-PIP-010</t>
  </si>
  <si>
    <t>CS Flange</t>
  </si>
  <si>
    <t>RFQ-PIP-011</t>
  </si>
  <si>
    <t>SS &amp; DSS Flange</t>
  </si>
  <si>
    <t>RFQ-PIP-012</t>
  </si>
  <si>
    <t xml:space="preserve">SAW Welded Pipe 
(include material B31.8 for PIG L&amp;R) </t>
  </si>
  <si>
    <t>Merge with CS Pipes</t>
  </si>
  <si>
    <t>To apply for changing to seamless pipes</t>
  </si>
  <si>
    <t>RFQ-PIP-013</t>
  </si>
  <si>
    <t xml:space="preserve">CS Pipe 
(include material B31.3 for PIG L&amp;R) </t>
  </si>
  <si>
    <t>RFQ-PIP-014</t>
  </si>
  <si>
    <t>DSS Pipes and Seamless SS pipes</t>
  </si>
  <si>
    <t>RFQ-PIP-015</t>
  </si>
  <si>
    <t>Seamless SS pipes</t>
  </si>
  <si>
    <t>merged with DSS pipes</t>
  </si>
  <si>
    <t>RFQ-PIP-034</t>
  </si>
  <si>
    <t>UPVC Pipes, Fitting and Flanges</t>
  </si>
  <si>
    <t>2026.7.17 MR issued yard</t>
  </si>
  <si>
    <t>MM-ZTK-1F-GEN-PIP-SPE-0002</t>
  </si>
  <si>
    <t>RFQ-PIP-018-1</t>
  </si>
  <si>
    <t>Pig launcher and receiver</t>
  </si>
  <si>
    <t>SP-22</t>
  </si>
  <si>
    <t>4-6</t>
  </si>
  <si>
    <t xml:space="preserve">no separate procurement item for the Pig Launcher and Receiver. The Pig Launcher/Receiver will be procured as individual components, including loose piping (RFQ-PIP-013), pipeline (Saw Welded Pipe, RFQ-PIP-012), Quick Opening Closure (RFQ-PIP-018), and barrel reducers. </t>
  </si>
  <si>
    <t>SP-23
(ZWP20,23)</t>
  </si>
  <si>
    <t>SP-24
(ZWP-21,22)</t>
  </si>
  <si>
    <t>RFQ-PIP-018-2</t>
  </si>
  <si>
    <t>Special irems-Quick Opening Closure
(For PIG L&amp;R)</t>
  </si>
  <si>
    <t>Zahng Xiaorui</t>
  </si>
  <si>
    <t>2026.6.9 MR issued yard</t>
  </si>
  <si>
    <t>RFQ-PIP-027</t>
  </si>
  <si>
    <t>Coating</t>
  </si>
  <si>
    <t>5-4</t>
  </si>
  <si>
    <t>MM-ZTK-1F-GEN-ELE-MR-0001</t>
  </si>
  <si>
    <t>RFQ-EL-001</t>
  </si>
  <si>
    <t>Solar Power System</t>
  </si>
  <si>
    <t>SP-440ABCD</t>
  </si>
  <si>
    <t>4-26</t>
  </si>
  <si>
    <t>EL</t>
  </si>
  <si>
    <t>Swift</t>
  </si>
  <si>
    <t xml:space="preserve">2026.4.30 Issued RFQ
bid due day:22-May
</t>
  </si>
  <si>
    <t>Ex-work 26 weeks</t>
  </si>
  <si>
    <t>VR-440</t>
  </si>
  <si>
    <t>ZM169-WP1-PO-ELE-001</t>
  </si>
  <si>
    <t xml:space="preserve">DDP 34-36 weeks </t>
  </si>
  <si>
    <t>BAT-440ABC</t>
  </si>
  <si>
    <t xml:space="preserve">Ex-work 28 weeks </t>
  </si>
  <si>
    <t>MM-ZTK-1F-GEN-ELE-MR-0002</t>
  </si>
  <si>
    <t>RFQ-EL-002</t>
  </si>
  <si>
    <t>DC Distribution Boards</t>
  </si>
  <si>
    <t>ACDB-440</t>
  </si>
  <si>
    <t>2026.4.30 Issued RFQ
bid due day:22-May</t>
  </si>
  <si>
    <t>34 to 36 weeks after drawing approval DDP</t>
  </si>
  <si>
    <t>ACDB-420</t>
  </si>
  <si>
    <t>DDP 28 weeks( after drawing) with Code 2 within 2 weeks.</t>
  </si>
  <si>
    <t>32 weeks after drawing approval DDP</t>
  </si>
  <si>
    <t>MM-ZTK-1F-GEN-ELE-MR-0003</t>
  </si>
  <si>
    <t>RFQ-EL-003</t>
  </si>
  <si>
    <t>AC Distribution Boards</t>
  </si>
  <si>
    <t>ACDB-410</t>
  </si>
  <si>
    <t>4-24</t>
  </si>
  <si>
    <t>MM-ZTK-1F-GEN-ELE-MR-0004</t>
  </si>
  <si>
    <t>RFQ-EL-004</t>
  </si>
  <si>
    <t>Navigation Aid, Red Lantern, Flashing Beacon, Warning Siren and Fog Horn</t>
  </si>
  <si>
    <t>NAV-421/422
PC-420, RL-421
SR-421/422</t>
  </si>
  <si>
    <t>4-25</t>
  </si>
  <si>
    <t>2026.4.30 Issued RFQ
bid due day:22-May
Bidder 1: Received bid on 17 May</t>
  </si>
  <si>
    <t>Ex-work UK : 16weeks Transit time is 8 weeks Custom clerance: 4 weeks</t>
  </si>
  <si>
    <t>FB-421/422/423</t>
  </si>
  <si>
    <t xml:space="preserve"> DDP 28 week with condition drawing to be approved within 2 weeks</t>
  </si>
  <si>
    <t>FHCP-421&amp;FH-421, FHD-421</t>
  </si>
  <si>
    <t>26 weeks after drawing approval DDP</t>
  </si>
  <si>
    <t>MM-ZTK-1F-GEN-ELE-MR-0005</t>
  </si>
  <si>
    <t>RFQ-EL-005</t>
  </si>
  <si>
    <t>EL Cable</t>
  </si>
  <si>
    <t>5-7</t>
  </si>
  <si>
    <t>Lisa</t>
  </si>
  <si>
    <t>2026.6.4 MR issued yard</t>
  </si>
  <si>
    <t>RFQ-EL-006</t>
  </si>
  <si>
    <t>E&amp;I Cable Gland</t>
  </si>
  <si>
    <t>MM-ZTK-1F-GEN-ELE-MR-0006</t>
  </si>
  <si>
    <t>RFQ-EL-007</t>
  </si>
  <si>
    <t>Electrical Lighting Fixtures</t>
  </si>
  <si>
    <t>38*4</t>
  </si>
  <si>
    <t>2026.5.15 MR issued yard</t>
  </si>
  <si>
    <t>MM-ZTK-1F-GEN-ELE-MR-0007</t>
  </si>
  <si>
    <t>RFQ-EL-008</t>
  </si>
  <si>
    <t>E&amp;I Cable Tray</t>
  </si>
  <si>
    <t>MM-ZTK-1F-GEN-ELE-MR-0008</t>
  </si>
  <si>
    <t>RFQ-EL-009</t>
  </si>
  <si>
    <t>E&amp;I Multi-Cable Transits (MCT)</t>
  </si>
  <si>
    <t>MM-ZTK-1F-GEN-ELE-MR-0009</t>
  </si>
  <si>
    <t>RFQ-EL-010</t>
  </si>
  <si>
    <t>POWER SOCKET/PLUG, JUNCTION BOXES, EARH BAR AND CABLE GLAND</t>
  </si>
  <si>
    <t>MM-ZTK-1F-GEN-INS-MR-0001</t>
  </si>
  <si>
    <t>RFQ-IN-001</t>
  </si>
  <si>
    <t>Actuated Choke Valve</t>
  </si>
  <si>
    <t>4-20</t>
  </si>
  <si>
    <t>IN</t>
  </si>
  <si>
    <t>MASTER FLO</t>
  </si>
  <si>
    <t>2026.5.9 Issued RFQ(no MR)
bid due day:20-May 
2026.6.12:TECHNICAL BID EVALUATION FOR ACTUATED CHOKE VALVES(C1)</t>
  </si>
  <si>
    <t>Masterflo</t>
  </si>
  <si>
    <t>CIF 36 weeks  CIF Zhuhai Seaport, P.R. China</t>
  </si>
  <si>
    <t>ZM169-WP1-PO-IN-001</t>
  </si>
  <si>
    <t>Custom clerance: 4 weeks</t>
  </si>
  <si>
    <t>CIF Zhuhai seaport</t>
  </si>
  <si>
    <t>MM-ZTK-1F-GEN-INS-MR-0002</t>
  </si>
  <si>
    <t>RFQ-IN-002</t>
  </si>
  <si>
    <t>Actuated ball valve</t>
  </si>
  <si>
    <t>ZWP20,21,22</t>
  </si>
  <si>
    <t>9*3</t>
  </si>
  <si>
    <t>2026.5.25 Issued RFQ
bid due day:2-Jun</t>
  </si>
  <si>
    <t>Neway_DDP 24weeks after PO;Kcon_DDP30weeks after po</t>
  </si>
  <si>
    <t>ZWP23</t>
  </si>
  <si>
    <t>ZM169-WP1-PO-IN-002</t>
  </si>
  <si>
    <t>DDP 30weeks after PO</t>
  </si>
  <si>
    <t>MM-ZTK-1F-GEN-INS-MR-0003</t>
  </si>
  <si>
    <t>RFQ-IN-003</t>
  </si>
  <si>
    <t>Actuated Compact Ball Valve</t>
  </si>
  <si>
    <t>4-40</t>
  </si>
  <si>
    <t>OIL STATE</t>
  </si>
  <si>
    <t>2026.5.9 Issued RFQ
2026.5.15 MR issued to bidders
bid due day:20-May</t>
  </si>
  <si>
    <t>Ex-work 36        Air: 7days</t>
  </si>
  <si>
    <t xml:space="preserve">Ex-work 33 </t>
  </si>
  <si>
    <t>ZM169-WP1-PO-IN-003</t>
  </si>
  <si>
    <t>DDP 18 weeks( after drawing)</t>
  </si>
  <si>
    <t>DDP 24 weeks( after drawing)</t>
  </si>
  <si>
    <t>MM-ZTK-1F-GEN-INS-MR-0004</t>
  </si>
  <si>
    <t>RFQ-IN-004</t>
  </si>
  <si>
    <t>Safety Relief Valves</t>
  </si>
  <si>
    <t>4-30</t>
  </si>
  <si>
    <t>DDP 18 weeks( after PO)</t>
  </si>
  <si>
    <t>DDP 24 weeks( after PO)</t>
  </si>
  <si>
    <t>DDP 30 weeks( after PO)</t>
  </si>
  <si>
    <t>MM-ZTK-1F-GEN-INS-MR-0005</t>
  </si>
  <si>
    <t>RFQ-IN-005</t>
  </si>
  <si>
    <t>Coriolis Flow Meters</t>
  </si>
  <si>
    <t>FT-1018</t>
  </si>
  <si>
    <t>4-32</t>
  </si>
  <si>
    <t>MM-ZTK-1F-GEN-INS-MR-0006</t>
  </si>
  <si>
    <t>RFQ-IN-006</t>
  </si>
  <si>
    <t>Wellhead Control Panel</t>
  </si>
  <si>
    <t>4-28</t>
  </si>
  <si>
    <t>Wilmax</t>
  </si>
  <si>
    <t>Sun Liheng</t>
  </si>
  <si>
    <t>2026.5.9 Issued RFQ(No MR)
bid due day:20-May</t>
  </si>
  <si>
    <t>1st Batch: 32 Weeks (drawings approved within 4 weeks from LOA/PO date)</t>
  </si>
  <si>
    <t>ZM169-WP1-PO-IN-006</t>
  </si>
  <si>
    <t>2nd Batch: 33 Weeks (drawings approved within 4 weeks from LOA/PO date)</t>
  </si>
  <si>
    <t>MM-ZTK-1F-GEN-INS-MR-0008</t>
  </si>
  <si>
    <t>RFQ-IN-007</t>
  </si>
  <si>
    <t>PLC system</t>
  </si>
  <si>
    <t>4-27</t>
  </si>
  <si>
    <t>Rockwell</t>
  </si>
  <si>
    <t>30 to 34 weeks after order and receipt of full and final design information.</t>
  </si>
  <si>
    <t>MM-ZTK-1F-GEN-INS-MR-0009</t>
  </si>
  <si>
    <t>RFQ-IN-008-1</t>
  </si>
  <si>
    <t>Control valve</t>
  </si>
  <si>
    <t>LV-1017</t>
  </si>
  <si>
    <t>4-5</t>
  </si>
  <si>
    <t>DDP 24 weeks (after PO)</t>
  </si>
  <si>
    <t>PV-1001/1015</t>
  </si>
  <si>
    <t>MM-ZTK-1F-GEN-INS-MR-0010</t>
  </si>
  <si>
    <t>RFQ-IN-008-2</t>
  </si>
  <si>
    <t>Self-Actuated Pressure Control Valves</t>
  </si>
  <si>
    <t>PCV-3003A/B</t>
  </si>
  <si>
    <t>Combined with control valve (fisher)</t>
  </si>
  <si>
    <t>No need</t>
  </si>
  <si>
    <t>MM-ZTK-1F-GEN-INS-MR-0011</t>
  </si>
  <si>
    <t>RFQ-IN-010</t>
  </si>
  <si>
    <t xml:space="preserve"> Fire &amp; Gas Detectors</t>
  </si>
  <si>
    <t>AGD-0001/0002</t>
  </si>
  <si>
    <t>HS-9006/9020-26</t>
  </si>
  <si>
    <t>8*4</t>
  </si>
  <si>
    <t>MM-ZTK-1F-GEN-INS-MR-0012</t>
  </si>
  <si>
    <t>RFQ-IN-011</t>
  </si>
  <si>
    <t>IN Junction Box</t>
  </si>
  <si>
    <t>5-8</t>
  </si>
  <si>
    <t>MM-ZTK-1F-GEN-INS-MR-0013</t>
  </si>
  <si>
    <t>RFQ-IN-012</t>
  </si>
  <si>
    <t>Position Limit Switch</t>
  </si>
  <si>
    <t>ZSL-A02~R02</t>
  </si>
  <si>
    <t>4-36</t>
  </si>
  <si>
    <t>ZSL-A03~R03</t>
  </si>
  <si>
    <t>MM-ZTK-1F-GEN-INS-MR-0014</t>
  </si>
  <si>
    <t>RFQ-IN-013</t>
  </si>
  <si>
    <t>Pressure Gauges</t>
  </si>
  <si>
    <t>PG-1008/2008/2009/2018/2028/2029/2030/3023/3039/5005/5007</t>
  </si>
  <si>
    <t>11*4</t>
  </si>
  <si>
    <t>4-35</t>
  </si>
  <si>
    <t>MM-ZTK-1F-GEN-INS-MR-0015</t>
  </si>
  <si>
    <t>RFQ-IN-014</t>
  </si>
  <si>
    <t>Pressure Gauges (Wireless Type)</t>
  </si>
  <si>
    <t>PG-A05~R05</t>
  </si>
  <si>
    <t>PG-A08~R08</t>
  </si>
  <si>
    <t>PG-A14~R14</t>
  </si>
  <si>
    <t>MM-ZTK-1F-GEN-INS-MR-0016</t>
  </si>
  <si>
    <t>RFQ-IN-015</t>
  </si>
  <si>
    <t>Temperature Gauges and Thermowells</t>
  </si>
  <si>
    <t>TG-1005</t>
  </si>
  <si>
    <t>MM-ZTK-1F-GEN-INS-MR-0017</t>
  </si>
  <si>
    <t>RFQ-IN-016</t>
  </si>
  <si>
    <t>Temperature Transmitters and Thermowells</t>
  </si>
  <si>
    <t>TT-1013</t>
  </si>
  <si>
    <t>MM-ZTK-1F-GEN-INS-MR-0018</t>
  </si>
  <si>
    <t>RFQ-IN-017</t>
  </si>
  <si>
    <t>Temperature Transmitters (Pipe Clamp) Wireless Type</t>
  </si>
  <si>
    <t>TT-A10~R10</t>
  </si>
  <si>
    <t>TT-2003/3024</t>
  </si>
  <si>
    <t>MM-ZTK-1F-GEN-INS-MR-0019</t>
  </si>
  <si>
    <t>RFQ-IN-018</t>
  </si>
  <si>
    <t>Pressure Transmitters</t>
  </si>
  <si>
    <t>PT-A09~R09</t>
  </si>
  <si>
    <t>PT-1001/1007/1010/2001/2003/3004/3031/5003/5006</t>
  </si>
  <si>
    <t>9*4</t>
  </si>
  <si>
    <t>MM-ZTK-1F-GEN-INS-MR-0020</t>
  </si>
  <si>
    <t>RFQ-IN-019</t>
  </si>
  <si>
    <t xml:space="preserve"> Pressure Transmitters (Wireless Type)</t>
  </si>
  <si>
    <t>PT-0001</t>
  </si>
  <si>
    <t>PT-A07~R07</t>
  </si>
  <si>
    <t>15*4</t>
  </si>
  <si>
    <t>WGW-9001</t>
  </si>
  <si>
    <t>MM-ZTK-1F-GEN-INS-MR-0021</t>
  </si>
  <si>
    <t>RFQ-IN-020</t>
  </si>
  <si>
    <t>Magnetic Level Gauges and Transmitters</t>
  </si>
  <si>
    <t>MM-ZTK-1F-GEN-INS-MR-0023</t>
  </si>
  <si>
    <t>RFQ-IN-022</t>
  </si>
  <si>
    <t>DP Level Transmitters</t>
  </si>
  <si>
    <t>LT-9065/9066</t>
  </si>
  <si>
    <t>MM-ZTK-1F-GEN-INS-MR-0024</t>
  </si>
  <si>
    <t>RFQ-IN-023</t>
  </si>
  <si>
    <t xml:space="preserve"> Restriction Orifices</t>
  </si>
  <si>
    <t>RO-0010/1020</t>
  </si>
  <si>
    <t>4-42</t>
  </si>
  <si>
    <t>RO-3028/4001</t>
  </si>
  <si>
    <t>MM-ZTK-1F-GEN-INS-MR-0025</t>
  </si>
  <si>
    <t>RFQ-IN-024</t>
  </si>
  <si>
    <t>Vortex Flow Meters</t>
  </si>
  <si>
    <t>FT-1012</t>
  </si>
  <si>
    <t>MM-ZTK-1F-GEN-INS-MR-0026</t>
  </si>
  <si>
    <t>RFQ-IN-025</t>
  </si>
  <si>
    <t>Non-Intrusive Sand Monitoring System (Acoustic Type)</t>
  </si>
  <si>
    <t>XT-0014</t>
  </si>
  <si>
    <t>4-34</t>
  </si>
  <si>
    <t>Remove from Scope of supply</t>
  </si>
  <si>
    <t>MM-ZTK-1F-GEN-INS-MR-0033</t>
  </si>
  <si>
    <t>RFQ-IN-026</t>
  </si>
  <si>
    <t>on-Intrusive Wireless Sand Monitoring System (Ultrasonic Type)</t>
  </si>
  <si>
    <t>XT-A13A/B/C~R13A/B/C</t>
  </si>
  <si>
    <t>16*3*4</t>
  </si>
  <si>
    <t>MM-ZTK-1F-GEN-INS-MR-0034</t>
  </si>
  <si>
    <t>RFQ-IN-027</t>
  </si>
  <si>
    <t>IN Cable</t>
  </si>
  <si>
    <t>RFQ-IN-028</t>
  </si>
  <si>
    <t>IN Cable Tray</t>
  </si>
  <si>
    <t>Combine with EL Cable Tray</t>
  </si>
  <si>
    <t>RFQ-IN-029</t>
  </si>
  <si>
    <t>IN Cable Gland</t>
  </si>
  <si>
    <t>Combine with EL Cable Gland</t>
  </si>
  <si>
    <t>RFQ-IN-030</t>
  </si>
  <si>
    <t>IN Bulk Material including of Fitting, Tubing,  isolated valve(small), fusible plug, STAUFF clamps</t>
  </si>
  <si>
    <t>MM-ZTK-1F-GEN-TEL-MR-0001~0005</t>
  </si>
  <si>
    <t>RFQ-TEL-001</t>
  </si>
  <si>
    <t>Telecom materials(SCADA radio, Trunk Radio, Explosion Proof Telephone,Marine Racon,VHF FM Marine Radio System)</t>
  </si>
  <si>
    <t>ANT-502-001
MR-502-001
SA-502-001
MR-502-001A
LAN-502-001
TCAB-500-001</t>
  </si>
  <si>
    <t>4*4
4*4
4*4
4*4
5*4
4*4</t>
  </si>
  <si>
    <t>4-37</t>
  </si>
  <si>
    <t>TEL</t>
  </si>
  <si>
    <t>Trunk Radio
Ex Telephone
Marine Racon</t>
  </si>
  <si>
    <t>118*4
8*4
13*3</t>
  </si>
  <si>
    <t>RFQ-TEL--001</t>
  </si>
  <si>
    <t>VHFF-510-001
ANT-510-001
TCAB-510-001
SA-510-001</t>
  </si>
  <si>
    <t>4*3
4*3
4*3
5*3</t>
  </si>
  <si>
    <t>MM-ZTK-1F-GEN-STR-MR-1021</t>
  </si>
  <si>
    <t>RFQ-STR-001</t>
  </si>
  <si>
    <t>Topside Primary Steel- Plate</t>
  </si>
  <si>
    <t>5-1</t>
  </si>
  <si>
    <t>STR</t>
  </si>
  <si>
    <t>Total: 1068T</t>
  </si>
  <si>
    <t>Huang liudong</t>
  </si>
  <si>
    <t>MM-ZTK-1F-GEN-STR-MR-1011</t>
  </si>
  <si>
    <t>RFQ-STR-002</t>
  </si>
  <si>
    <t xml:space="preserve">Topside Primary Steel-Beam </t>
  </si>
  <si>
    <t>Wei kefang</t>
  </si>
  <si>
    <t>MATERIAL REQUISITION FOR TOPSIDES HIGH STRENGTHHOT-ROLLED STEEL SECTIONS (SHAPE STR)
MATERIAL REQUISITION FOR TOPSIDES SECONDARY ANDTERTIARY HOT-ROLLED STEEL</t>
  </si>
  <si>
    <t>MM-ZTK-1F-GEN-STR-MR-1001</t>
  </si>
  <si>
    <t>RFQ-STR-003</t>
  </si>
  <si>
    <t>Topside Primary Steel- Seamless</t>
  </si>
  <si>
    <t>MATERIAL REOUISITION FOR TOPSIDES HIGH STRENGTHSTRTUBULAR STEEL
MATERIAL REQUISITION FOR TOPSIDES SECONDARY ANDTERTIARY TUBULAR STEEL</t>
  </si>
  <si>
    <t>RFQ-STR-016</t>
  </si>
  <si>
    <t>Topside Primary Steel- Tubular</t>
  </si>
  <si>
    <t>Liu Bin</t>
  </si>
  <si>
    <t>MM-ZTK-1F-GEN-STR-MR-1002</t>
  </si>
  <si>
    <t>RFQ-STR-004</t>
  </si>
  <si>
    <t>Topside Secondary Steel(W)</t>
  </si>
  <si>
    <t>Laigang</t>
  </si>
  <si>
    <t>Topside Secondary Steel(L,C)</t>
  </si>
  <si>
    <t>MM-ZTK-1F-GEN-STR-MR-1022</t>
  </si>
  <si>
    <t>RFQ-STR-005</t>
  </si>
  <si>
    <t>Topside Tertiary Steel</t>
  </si>
  <si>
    <t xml:space="preserve">Topside Tertiary Steel </t>
  </si>
  <si>
    <t>MM-ZTK-1F-ZWP21-STR-MR-2002</t>
  </si>
  <si>
    <t>RFQ-STR-006-1</t>
  </si>
  <si>
    <t>ZWP21 Jacket Launch Cradle Plates+Ring Stiff Plates</t>
  </si>
  <si>
    <t>ZWP 21-Place order  4323T</t>
  </si>
  <si>
    <t>31-Mar-26: Received 
ZWP20 /21/22/23 : IFC(2025/4/11)
2026.6.12: TECHNICAL BID EVALUATION FOR ZWP21 JACKET PRIMARY HIGH-STRENGTH STEEL PLATE(C1)</t>
  </si>
  <si>
    <t>RFQ-STR-006-2</t>
  </si>
  <si>
    <t>ZWP21 Jacket Leg Partition/Closure Plates</t>
  </si>
  <si>
    <t>RFQ-STR-006-3</t>
  </si>
  <si>
    <t>ZWP21 Jacket Primary Steel-Tubular TRB</t>
  </si>
  <si>
    <t>RFQ-STR-006-4</t>
  </si>
  <si>
    <t>ZWP21 Jacket Primary Steel-Tubular CONE</t>
  </si>
  <si>
    <t>RFQ-STR-006-5</t>
  </si>
  <si>
    <t>ZWP21 Jacket Primary Steel-Tubular JCOE</t>
  </si>
  <si>
    <t>RFQ-STR-006-6</t>
  </si>
  <si>
    <t>ZWP21 Jacket Hydro static Ring Stiff Plate</t>
  </si>
  <si>
    <t>RFQ-STR-0067</t>
  </si>
  <si>
    <t>ZWP21 Jacket Piles Sleeve Plate</t>
  </si>
  <si>
    <t>RFQ-STR-006-7</t>
  </si>
  <si>
    <t>MM-ZTK-1F-ZWP23-STR-MR-2002</t>
  </si>
  <si>
    <t>ZWP23 Jacket Launch Cradle Plates+Ring Stiff Plates</t>
  </si>
  <si>
    <t>ZWP 21-Total 4421.8T</t>
  </si>
  <si>
    <t>ZWP23 Jacket Leg Partition/Closure Plates</t>
  </si>
  <si>
    <t>ZWP23 Jacket Primary Steel-Tubular TRB</t>
  </si>
  <si>
    <t>ZWP23 Jacket Primary Steel-Tubular CONE</t>
  </si>
  <si>
    <t>ZWP23 Jacket Primary Steel-Tubular JCOE</t>
  </si>
  <si>
    <t>ZWP23 Jacket Hydro static Ring Stiff Plate</t>
  </si>
  <si>
    <t>ZWP23 Jacket Piles Sleeve Plate</t>
  </si>
  <si>
    <t>MM-ZTK-1F-ZWP22-STR-MR-2002</t>
  </si>
  <si>
    <t>ZWP22 Jacket Launch Cradle Plates+Ring Stiff Plates</t>
  </si>
  <si>
    <t>ZWP22 Jacket Leg Partition/Closure Plates</t>
  </si>
  <si>
    <t>ZWP22 Jacket Primary Steel-Tubular TRB</t>
  </si>
  <si>
    <t>ZWP22 Jacket Primary Steel-Tubular CONE</t>
  </si>
  <si>
    <t>ZWP22 Jacket Primary Steel-Tubular JCOE</t>
  </si>
  <si>
    <t>ZWP22 Jacket Hydro static Ring Stiff Plate</t>
  </si>
  <si>
    <t>ZWP22 Jacket Piles Sleeve Plate</t>
  </si>
  <si>
    <t>MM-ZTK-1F-ZWP20-STR-MR-2002</t>
  </si>
  <si>
    <t>ZWP20 Jacket Launch Cradle Plates+Ring Stiff Plates</t>
  </si>
  <si>
    <t>ZWP20 Jacket Leg Partition/Closure Plates</t>
  </si>
  <si>
    <t>ZWP20 Jacket Primary Steel-Tubular TRB</t>
  </si>
  <si>
    <t>ZWP20 Jacket Primary Steel-Tubular CONE</t>
  </si>
  <si>
    <t>ZWP20 Jacket Primary Steel-Tubular JCOE</t>
  </si>
  <si>
    <t>ZWP20 Jacket Hydro static Ring Stiff Plate</t>
  </si>
  <si>
    <t>ZWP20 Jacket Piles Sleeve Plate</t>
  </si>
  <si>
    <t>RFQ-STR-006-8</t>
  </si>
  <si>
    <t>Jacket Primary Steel-Piles-1st</t>
  </si>
  <si>
    <t>RFQ-STR-006-9</t>
  </si>
  <si>
    <t>Jacket Primary Steel-Piles-2nd</t>
  </si>
  <si>
    <t>RFQ-STR-006-10</t>
  </si>
  <si>
    <t>Jacket Primary Steel-Piles-3rd</t>
  </si>
  <si>
    <t xml:space="preserve">MM-ZTK-1F-ZWP20-STR-MR-2001
MM-ZTK-1F-ZWP23-STR-MR-2001
MM-ZTK-1F-ZWP22-STR-MR-2001
MM-ZTK-1F-ZWP23-STR-MR-2001 </t>
  </si>
  <si>
    <t>RFQ-STR-007-1</t>
  </si>
  <si>
    <t>Jacket Primary Steel-Tubular-JCOE</t>
  </si>
  <si>
    <t>2-Apr-26: Received
ZWP20 /21/22/23 : IFR(2026/4/2)
10-Apr-26:Received
MM-ZTK-1F-GEN-STR-MR-1001 (IFR)
MM-ZTK-1F-GEN-STR-MR-1011 (IFR)
Topside High StrengthTubular steel</t>
  </si>
  <si>
    <t>RFQ-STR-007-2</t>
  </si>
  <si>
    <t>Jacket Primary Steel-Tubular-TRB</t>
  </si>
  <si>
    <t>RFQ-STR-008</t>
  </si>
  <si>
    <t xml:space="preserve">Jacket Miscellaneous Steel 
(boatlandings, ACCESS ladder, Riser Clamps, Casing Guides etc) </t>
  </si>
  <si>
    <t>MM-ZTK-1F-ZWPX-STR-DWG-2231	JACKET - BOATLANDING ARRANGEMENT	A1	21-May-26	FOR MATERIAL PURCHASE
MM-ZTK-1F-ZWPX-STR-DWG-2232	JACKET - BOATLANDING SECTIONS &amp; DETAILS - SHEET 1	A1	21-May-26	FOR MATERIAL PURCHASE
MM-ZTK-1F-ZWPX-STR-DWG-2233	JACKET - BOATLANDING SECTIONS &amp; DETAILS - SHEET 2	A1	21-May-26	FOR MATERIAL PURCHASE
MM-ZTK-1F-ZWPX-STR-DWG-2234	JACKET - BOATLANDING SECTIONS &amp; DETAILS - SHEET 3	A1	21-May-26	FOR MATERIAL PURCHASE
MM-ZTK-1F-ZWPX-STR-DWG-2235	JACKET - BOATLANDING SECTIONS &amp; DETAILS - SHEET 4	A1	21-May-26	FOR MATERIAL PURCHASE
MM-ZTK-1F-ZWPX-STR-DWG-2236	JACKET - BOATLANDING SECTIONS &amp; DETAILS - SHEET 5	A1	21-May-26	FOR MATERIAL PURCHASE
MM-ZTK-1F-ZWPX-STR-DWG-2237	JACKET - BOATLANDING SECTIONS &amp; DETAILS - SHEET 6	A1	21-May-26	FOR MATERIAL PURCHASE
MM-ZTK-1F-ZWPX-STR-DWG-2238	JACKET - BOATLANDING SECTIONS &amp; DETAILS - SHEET 7	A1	21-May-26	FOR MATERIAL PURCHASE
MM-ZTK-1F-ZWP22-STR-DWG-2241	ZWP22 JACKET - RISER PROTECTOR
MM-ZTK-1F-ZWP23-STR-DWG-2241	ZWP23 JACKET - RISER PROTECTOR
MM-ZTK-1F-ZWP21-STR-DWG-2241	ZWP21 JACKET - RISER PROTECTOR
ZWP21 JACKET - CASING GUIDE DETAILS MM-ZTK-1F-ZWP21-STR-DWG-2301</t>
  </si>
  <si>
    <t>MM-ZTK-1F-GEN-STR-MR-0004</t>
  </si>
  <si>
    <t>RFQ-STR-009</t>
  </si>
  <si>
    <t>JKT Anode</t>
  </si>
  <si>
    <t>2026.5.9 MR to yard</t>
  </si>
  <si>
    <t>MM-ZTK-1F-GEN-STR-MR-0001
MM-ZTK-1F-GEN-STR-MR-0002</t>
  </si>
  <si>
    <t>RFQ-STR-010</t>
  </si>
  <si>
    <t>Gripper, Packer and Diaphragm</t>
  </si>
  <si>
    <t>OIL STATES</t>
  </si>
  <si>
    <t>ZWP20 - 20 Weeks ARAD + 8 weeks transit time
ZWP21 - 22 Weeks ARAD + 8 weeks transit time
ZWP22 - 24 Weeks ARAD + 8 weeks transit time
ZWP23 - 26 Weeks ARAD + 8 weeks transit time</t>
  </si>
  <si>
    <t xml:space="preserve">DDP 24 weeks after PO </t>
  </si>
  <si>
    <t>ZM169-WP1-PO-STR-001</t>
  </si>
  <si>
    <t>DDP 37 to 38 weeks (upon PO signature and drawing approval</t>
  </si>
  <si>
    <t>FCA VIETNAM 32 weeks after PO</t>
  </si>
  <si>
    <t>RFQ-STR-011</t>
  </si>
  <si>
    <t>Grouting System</t>
  </si>
  <si>
    <t xml:space="preserve"> ruputure disc and check valve combine with Gripper</t>
  </si>
  <si>
    <t>Zhang Xiaorui</t>
  </si>
  <si>
    <t>2026.6.4 MR to yard
2026.6.4 short vendor list to CPY approval
2026.6.9 Received comments from CPY. Not approved.
2026.6.11 Short bidder list is approved</t>
  </si>
  <si>
    <t>grouting pipes combine with seamless pipes</t>
  </si>
  <si>
    <t>RFQ-STR-012</t>
  </si>
  <si>
    <t>Flooding and Venting system</t>
  </si>
  <si>
    <t>DDP: 38 weeks after PO</t>
  </si>
  <si>
    <t>MM-ZTK-1F-GEN-STR-MR-0005</t>
  </si>
  <si>
    <t>RFQ-STR-013</t>
  </si>
  <si>
    <t>Timber for Launch cradle</t>
  </si>
  <si>
    <t>Shanghai Hongyu</t>
  </si>
  <si>
    <r>
      <rPr>
        <sz val="6"/>
        <color indexed="8"/>
        <rFont val="Arial"/>
        <family val="2"/>
      </rPr>
      <t>2026.5</t>
    </r>
    <r>
      <rPr>
        <sz val="6"/>
        <color rgb="FF000000"/>
        <rFont val="宋体"/>
        <charset val="134"/>
      </rPr>
      <t>.11</t>
    </r>
    <r>
      <rPr>
        <sz val="6"/>
        <color indexed="8"/>
        <rFont val="Arial"/>
        <family val="2"/>
      </rPr>
      <t xml:space="preserve"> MR to yard
2026.6.8 Short bidder list is approved by CPY</t>
    </r>
  </si>
  <si>
    <t>on-shore</t>
  </si>
  <si>
    <t>55-60 days</t>
  </si>
  <si>
    <t>ZH26PO0453</t>
  </si>
  <si>
    <t>RFQ-STR-014</t>
  </si>
  <si>
    <t>Teflon plate for Launch cradle</t>
  </si>
  <si>
    <t>2026.6.11 Short bidder list sent to CPY, CPY requested to provide performace list.</t>
  </si>
  <si>
    <t>from 30-45days, till 90days</t>
  </si>
  <si>
    <t>off-shore</t>
  </si>
  <si>
    <t>90-100 days</t>
  </si>
  <si>
    <t>MM-ZTK-1F-GEN-STR-MR-0003</t>
  </si>
  <si>
    <t>RFQ-STR-015</t>
  </si>
  <si>
    <t>Jacket Barge Bumpers and Fender</t>
  </si>
  <si>
    <t>RFQ</t>
  </si>
  <si>
    <t>PO</t>
  </si>
  <si>
    <t>Date</t>
  </si>
  <si>
    <t>Holiday Name</t>
  </si>
  <si>
    <t>Father's Day</t>
  </si>
  <si>
    <t>Constitution Day</t>
  </si>
  <si>
    <t>New Year's Day</t>
  </si>
  <si>
    <t>The Buddha Day</t>
  </si>
  <si>
    <t>Kutkuri Dynasty Memorial Day</t>
  </si>
  <si>
    <t>Songkran Festival</t>
  </si>
  <si>
    <t>International Workers' Day</t>
  </si>
  <si>
    <t xml:space="preserve">The anniversary of the King's accession to the throne </t>
  </si>
  <si>
    <t>Mother's Day</t>
  </si>
  <si>
    <t>The anniversary of the death of the 9th King</t>
  </si>
  <si>
    <t>The anniversary of the death of the 5th King Father's Day</t>
  </si>
  <si>
    <t>佛历节日，日期为预测</t>
  </si>
  <si>
    <t>Vesak Festival</t>
  </si>
  <si>
    <t>The Birthday Anniversary of the Queen</t>
  </si>
  <si>
    <r>
      <rPr>
        <sz val="10"/>
        <color rgb="FF0F1115"/>
        <rFont val="宋体"/>
        <charset val="134"/>
      </rPr>
      <t>宪法纪念日</t>
    </r>
  </si>
  <si>
    <r>
      <rPr>
        <sz val="10"/>
        <color rgb="FF0F1115"/>
        <rFont val="宋体"/>
        <charset val="134"/>
      </rPr>
      <t>万佛节</t>
    </r>
  </si>
  <si>
    <r>
      <rPr>
        <sz val="10"/>
        <color rgb="FF0F1115"/>
        <rFont val="宋体"/>
        <charset val="134"/>
      </rPr>
      <t>却克里王朝纪念日</t>
    </r>
  </si>
  <si>
    <r>
      <rPr>
        <sz val="10"/>
        <color rgb="FF0F1115"/>
        <rFont val="宋体"/>
        <charset val="134"/>
      </rPr>
      <t>卫塞节</t>
    </r>
  </si>
  <si>
    <r>
      <rPr>
        <sz val="10"/>
        <color rgb="FF0F1115"/>
        <rFont val="宋体"/>
        <charset val="134"/>
      </rPr>
      <t>守夏节</t>
    </r>
  </si>
  <si>
    <t>Spring Festival</t>
  </si>
  <si>
    <t>Qingming Festival</t>
  </si>
  <si>
    <t>Dragon Boat Festival</t>
  </si>
  <si>
    <t>Middle Moon Festival</t>
  </si>
  <si>
    <t>National Day</t>
  </si>
  <si>
    <t>Document No.</t>
  </si>
  <si>
    <t>Document Title</t>
  </si>
  <si>
    <t>Rev.</t>
  </si>
  <si>
    <t>Document Status Code</t>
  </si>
  <si>
    <t>Distribution Date</t>
  </si>
  <si>
    <t>Approver Actual Finish</t>
  </si>
  <si>
    <t>Return Status Name</t>
  </si>
  <si>
    <t>MATERIAL REQUISITION FOR TOPSIDES HIGH STRENGTH STEEL PLATES</t>
  </si>
  <si>
    <t>A1</t>
  </si>
  <si>
    <t>IFR</t>
  </si>
  <si>
    <t>20-May-2026 18:20:49</t>
  </si>
  <si>
    <t>22-May-2026 01:16:45</t>
  </si>
  <si>
    <t>Approved with Comment (Proceed to Rev.C)</t>
  </si>
  <si>
    <t>MATERIAL REǪUISITION FOR TOPSIDES HIGH STRENGTH HOT-ROLLED STEEL SECTIONS (SHAPE</t>
  </si>
  <si>
    <t>08-May-2026 13:17:04</t>
  </si>
  <si>
    <t>15-May-2026 23:34:18</t>
  </si>
  <si>
    <t>MATERIAL REǪUISITION FOR TOPSIDES HIGH STRENGTH TUBULAR STEEL</t>
  </si>
  <si>
    <t>RFQ-STR-003
RFQ-STR-016</t>
  </si>
  <si>
    <t>Topside Primary Steel- Tubular
TUBULARS (SAW + SEAMLESS)</t>
  </si>
  <si>
    <t>04-May-2026 13:07:12</t>
  </si>
  <si>
    <t>15-May-2026 23:30:40</t>
  </si>
  <si>
    <t>MM-ZTK-1F-GEN-STR-MR-1012</t>
  </si>
  <si>
    <t>MATERIAL REQUISITION FOR TOPSIDES SECONDARY AND TERTIARY HOT-ROLLED STEEL</t>
  </si>
  <si>
    <t>RFQ-STR-004
RFQ-STR-005</t>
  </si>
  <si>
    <t>Topside Secondary and Tertiary Steel
BEAMS</t>
  </si>
  <si>
    <t>23-May-2026 09:31:31</t>
  </si>
  <si>
    <t>25-May-2026 20:37:08</t>
  </si>
  <si>
    <t>MATERIAL REQUISITION FOR TOPSIDES SECONDARY AND TERTIARY TUBULAR STEEL</t>
  </si>
  <si>
    <t>Topside Secondary and Tertiary Steel
TUBULARS (SEAMLESS)</t>
  </si>
  <si>
    <t>23-May-2026 08:52:07</t>
  </si>
  <si>
    <t>25-May-2026 20:36:04</t>
  </si>
  <si>
    <t>MATERIAL REQUISITION FOR TOPSIDE LOW STRENGTH STEEL PLATE</t>
  </si>
  <si>
    <t>Topside Tertiary Steel-Plate</t>
  </si>
  <si>
    <t>29-May-2026 19:06:31</t>
  </si>
  <si>
    <t>01-Jun-2026 09:19:45</t>
  </si>
  <si>
    <t>MATERIAL REǪUISITION FOR ZWP20 JACKET PRIMARY STEEL (PLATE)</t>
  </si>
  <si>
    <t>RFQ-STR-006</t>
  </si>
  <si>
    <t xml:space="preserve">Jacket Primary Steel-Plate </t>
  </si>
  <si>
    <t>06-May-2026 10:31:53</t>
  </si>
  <si>
    <t>15-May-2026 23:20:12</t>
  </si>
  <si>
    <t>MATERIAL REǪUISITION FOR ZWP21 JACKET PRIMARY STEEL (PLATE)</t>
  </si>
  <si>
    <t>06-May-2026 10:32:08</t>
  </si>
  <si>
    <t>15-May-2026 23:33:14</t>
  </si>
  <si>
    <t>MATERIAL REǪUISITION FOR ZWP22 JACKET PRIMARY STEEL (PLATE)</t>
  </si>
  <si>
    <t>06-May-2026 10:32:27</t>
  </si>
  <si>
    <t>15-May-2026 23:22:53</t>
  </si>
  <si>
    <t>MATERIAL REǪUISITION FOR ZWP23 JACKET PRIMARY STEEL (PLATE)</t>
  </si>
  <si>
    <t>06-May-2026 10:32:43</t>
  </si>
  <si>
    <t>15-May-2026 23:25:28</t>
  </si>
  <si>
    <t>MM-ZTK-1F-ZWP20-STR-MR-2001</t>
  </si>
  <si>
    <t>MATERIAL REǪUISITION FOR ZWP20 JACKET PRIMARY TUBULAR STEEL</t>
  </si>
  <si>
    <t>RFQ-STR-007</t>
  </si>
  <si>
    <t>Jacket Primary Steel-Tubular
TUBULARS - SAW PIPE</t>
  </si>
  <si>
    <t>04-May-2026 13:11:09</t>
  </si>
  <si>
    <t>15-May-2026 22:45:39</t>
  </si>
  <si>
    <t>Approved with Comment</t>
  </si>
  <si>
    <t>MM-ZTK-1F-ZWP21-STR-MR-2001</t>
  </si>
  <si>
    <t>MATERIAL REǪUISITION FOR ZWP21 JACKET PRIMARY TUBULAR STEEL</t>
  </si>
  <si>
    <t>04-May-2026 13:11:25</t>
  </si>
  <si>
    <t>15-May-2026 23:19:31</t>
  </si>
  <si>
    <t>MM-ZTK-1F-ZWP22-STR-MR-2001</t>
  </si>
  <si>
    <t>MATERIAL REǪUISITION FOR ZWP22 JACKET PRIMARY TUBULAR STEEL</t>
  </si>
  <si>
    <t>04-May-2026 13:11:39</t>
  </si>
  <si>
    <t>15-May-2026 23:31:52</t>
  </si>
  <si>
    <t>MM-ZTK-1F-ZWP23-STR-MR-2001</t>
  </si>
  <si>
    <t>MATERIAL REǪUISITION FOR ZWP23 JACKET PRIMARY TUBULAR STEEL</t>
  </si>
  <si>
    <t>04-May-2026 13:11:55</t>
  </si>
  <si>
    <t>15-May-2026 23:33:47</t>
  </si>
  <si>
    <t>Plateform</t>
  </si>
  <si>
    <t>Drawing No.</t>
  </si>
  <si>
    <t>REV</t>
  </si>
  <si>
    <t>Drawing Name</t>
  </si>
  <si>
    <t>Weight (T)</t>
  </si>
  <si>
    <t>Ordered(T)</t>
  </si>
  <si>
    <t>Rest</t>
  </si>
  <si>
    <t>Order No.</t>
  </si>
  <si>
    <t>Order Date</t>
  </si>
  <si>
    <t>Remark</t>
  </si>
  <si>
    <t>ZWP21</t>
  </si>
  <si>
    <t xml:space="preserve">ZM169-SE-ST-ML-004 </t>
  </si>
  <si>
    <t>REV. 4</t>
  </si>
  <si>
    <t>Steel Plate for ZWP21 Launch Cradle and Vertical Framing Internal Ring Stiffener</t>
  </si>
  <si>
    <t>XISC</t>
  </si>
  <si>
    <t>ZH26FA001(02)</t>
  </si>
  <si>
    <t>REV. 5</t>
  </si>
  <si>
    <t>Steel Plate for ZWP22 Launch Cradle and Vertical Framing Internal Ring Stiffener</t>
  </si>
  <si>
    <t>ZH26FA001(19)</t>
  </si>
  <si>
    <t>ZM169-ZWP21-ST-ML-001</t>
  </si>
  <si>
    <t>ZWP21 Jacket Primary, TRB Rolling Plate</t>
  </si>
  <si>
    <t>ZH26FA001(03)</t>
  </si>
  <si>
    <t>ZH26FA001(16)</t>
  </si>
  <si>
    <t>ZM169-ZWP21-ST-ML-002</t>
  </si>
  <si>
    <t>REV. 2</t>
  </si>
  <si>
    <t>ZWP21 Jacket Primary, JCOE Rolling Plate</t>
  </si>
  <si>
    <t>ZH26FA001(04)</t>
  </si>
  <si>
    <t>REV. 3</t>
  </si>
  <si>
    <t>ZH26FA001(21)</t>
  </si>
  <si>
    <t>ZH26FA001(40)</t>
  </si>
  <si>
    <t>ZM169-ZWP21-ST-ML-007</t>
  </si>
  <si>
    <t>ZWP21 Jacket Primary, Cone Plate</t>
  </si>
  <si>
    <t>ZH26FA001(05)</t>
  </si>
  <si>
    <t xml:space="preserve">ZM169-ZWP21-ST-ML-007 </t>
  </si>
  <si>
    <t>REV.1</t>
  </si>
  <si>
    <t>ZH26FA001(14)</t>
  </si>
  <si>
    <t>ZM169-ZWP21-ST-ML-008</t>
  </si>
  <si>
    <t>ZWP21 Jacket Hydro static Ring Stiff Plates</t>
  </si>
  <si>
    <t>ZH26FA001(10)</t>
  </si>
  <si>
    <t>ZH26FA001(20)</t>
  </si>
  <si>
    <t>ZM169-ZWP21-ST-ML-009</t>
  </si>
  <si>
    <t>REV.0</t>
  </si>
  <si>
    <t>ZH26FA001(24)</t>
  </si>
  <si>
    <t>ZM169-ZWP21-ST-ML-010</t>
  </si>
  <si>
    <t>ZH26FA001(07)</t>
  </si>
  <si>
    <t>ZM169-ZWP23-ST-ML-001</t>
  </si>
  <si>
    <t>ZWP23 Jacket Primary, TRB Rolling Plate</t>
  </si>
  <si>
    <t>ZH26FA001(13)</t>
  </si>
  <si>
    <t>ZH26FA001(23)</t>
  </si>
  <si>
    <t>ZM169-ZWP23-ST-ML-002</t>
  </si>
  <si>
    <t>ZWP23 Jacket Primary, JCOE Rolling Plate</t>
  </si>
  <si>
    <t>ZH26FA001(22)</t>
  </si>
  <si>
    <t>ZH26FA001(41)</t>
  </si>
  <si>
    <t>ZM169-ZWP23-ST-ML-007</t>
  </si>
  <si>
    <t>ZWP23 Jacket Primary, Cone Plate</t>
  </si>
  <si>
    <t>ZH26FA001(06)</t>
  </si>
  <si>
    <t>REV.2</t>
  </si>
  <si>
    <t>ZH26FA001(15)</t>
  </si>
  <si>
    <t>ZM169-ZWP23-ST-ML-008</t>
  </si>
  <si>
    <t>ZWP23 Jacket Hydro static Ring Stiff Plates</t>
  </si>
  <si>
    <t>ZH26FA001(18)</t>
  </si>
  <si>
    <t>ZM169-ZWP23-ST-ML-009</t>
  </si>
  <si>
    <t>ZH26FA001(42)</t>
  </si>
  <si>
    <t>ZM169-ZWP23-ST-ML-010</t>
  </si>
  <si>
    <t>ZH26FA001(28)</t>
  </si>
  <si>
    <t>ZH26FA001(37)</t>
  </si>
  <si>
    <t>ZM169-ZWP23-ST-ML-011</t>
  </si>
  <si>
    <t>ZH26FA001(12)</t>
  </si>
  <si>
    <t>ZH26FA001(17)</t>
  </si>
  <si>
    <t>ZWP20</t>
  </si>
  <si>
    <t>ZM169-ZWP20-ST-ML-001</t>
  </si>
  <si>
    <t>Rev.0</t>
  </si>
  <si>
    <t>ZWP20 Jacket Primary, TRB Rolling Plate</t>
  </si>
  <si>
    <t>ZH26FA006 (34)</t>
  </si>
  <si>
    <t>ZM169-ZWP20-ST-ML-002</t>
  </si>
  <si>
    <t>ZWP20 Jacket Primary, JCOE Rolling Plate</t>
  </si>
  <si>
    <t>ZH26FA006 (33)</t>
  </si>
  <si>
    <t>ZM169-ZWP20-ST-ML-007</t>
  </si>
  <si>
    <t>ZWP20 Jacket Primary, Cone Plate</t>
  </si>
  <si>
    <t>ZH26FA006 (31)</t>
  </si>
  <si>
    <t>ZM169-ZWP20-ST-ML-008</t>
  </si>
  <si>
    <t>ZWP20 Jacket Hydro static Ring Stiff Plates</t>
  </si>
  <si>
    <t>No drawing to SE</t>
  </si>
  <si>
    <t>ZM169-ZWP20-ST-ML-009</t>
  </si>
  <si>
    <t>ZM169-ZWP20-ST-ML-010</t>
  </si>
  <si>
    <t>ZM169-ZWP20-ST-ML-011</t>
  </si>
  <si>
    <t>ZM169-ZWP20-ST-ML-012</t>
  </si>
  <si>
    <t>ZH26FA006 (36)</t>
  </si>
  <si>
    <t>ZWP22</t>
  </si>
  <si>
    <t>ZM169-ZWP22-ST-ML-001</t>
  </si>
  <si>
    <t>ZWP22 Jacket Primary, TRB Rolling Plate</t>
  </si>
  <si>
    <t>ZH26FA006 (27)</t>
  </si>
  <si>
    <t>ZM169-ZWP22-ST-ML-002</t>
  </si>
  <si>
    <t>ZWP22 Jacket Primary, JCOE Rolling Plate</t>
  </si>
  <si>
    <t>ZH26FA006 (29)</t>
  </si>
  <si>
    <t>ZM169-ZWP22-ST-ML-007</t>
  </si>
  <si>
    <t>ZWP22 Jacket Primary, Cone Plate</t>
  </si>
  <si>
    <t>ZH26FA006 (26)</t>
  </si>
  <si>
    <t>ZM169-ZWP22-ST-ML-008</t>
  </si>
  <si>
    <t>ZWP22 Jacket Hydro static Ring Stiff Plates</t>
  </si>
  <si>
    <t>ZM169-ZWP22-ST-ML-009</t>
  </si>
  <si>
    <t>ZM169-ZWP22-ST-ML-010</t>
  </si>
  <si>
    <t>ZM169-ZWP22-ST-ML-011</t>
  </si>
  <si>
    <t>Rev.1</t>
  </si>
  <si>
    <t>ZH26FA006 (39)</t>
  </si>
  <si>
    <t>ZM169-ZWP22-ST-ML-012</t>
  </si>
  <si>
    <t>ZH26FA006 (35)</t>
  </si>
  <si>
    <t>Topside</t>
  </si>
  <si>
    <t>ZM169-SE-ST-ML-014</t>
  </si>
  <si>
    <t>Topside Primary-Seamless (ZWP20, 21, 22, 23)</t>
  </si>
  <si>
    <t>Lontrin</t>
  </si>
  <si>
    <t>ZH26FA004(02)</t>
  </si>
  <si>
    <t>ZM169-SE-ST-ML-013</t>
  </si>
  <si>
    <t>Topside Primary-Beam (ZWP20, 21, 22, 23)</t>
  </si>
  <si>
    <t>ZH26FA006 (02)</t>
  </si>
  <si>
    <t>ZM169-SE-ST-ML-021</t>
  </si>
  <si>
    <t>Topside Secondary Steel(W)-Beam</t>
  </si>
  <si>
    <t>ZH26FA006 (03)</t>
  </si>
  <si>
    <t>ZWP22 Jacket Launch Cradle Plates+Ring Stiff Plates</t>
    <phoneticPr fontId="82" type="noConversion"/>
  </si>
  <si>
    <t>Material Handling Equipment</t>
    <phoneticPr fontId="82" type="noConversion"/>
  </si>
  <si>
    <t>UPVC Pipes, Fitting and Flanges</t>
    <phoneticPr fontId="82" type="noConversion"/>
  </si>
  <si>
    <t xml:space="preserve"> PIPELINE BULK (B31.8)</t>
    <phoneticPr fontId="8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</si>
</sst>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76" formatCode="0.00_);[Red]\(0.00\)"/>
    <numFmt numFmtId="177" formatCode="[$-409]d\-mmm\-yy;@"/>
    <numFmt numFmtId="178" formatCode="yyyy/m/d;@"/>
    <numFmt numFmtId="179" formatCode="yy\.mm\.dd"/>
    <numFmt numFmtId="180" formatCode="0.0_);[Red]\(0.0\)"/>
    <numFmt numFmtId="181" formatCode="0_);[Red]\(0\)"/>
    <numFmt numFmtId="182" formatCode="yy/m/d;@"/>
  </numFmts>
  <fonts count="87" x14ac:knownFonts="1">
    <font>
      <sz val="11"/>
      <color theme="1"/>
      <name val="等线"/>
      <charset val="134"/>
      <scheme val="minor"/>
    </font>
    <font>
      <b/>
      <sz val="8"/>
      <color theme="0" tint="-4.9989318521683403E-2"/>
      <name val="Arial Unicode MS"/>
      <charset val="134"/>
    </font>
    <font>
      <sz val="8"/>
      <color theme="1"/>
      <name val="Arial Unicode MS"/>
      <charset val="134"/>
    </font>
    <font>
      <sz val="8"/>
      <name val="Arial Unicode MS"/>
      <charset val="134"/>
    </font>
    <font>
      <sz val="11"/>
      <color theme="1"/>
      <name val="等线"/>
      <charset val="134"/>
      <scheme val="minor"/>
    </font>
    <font>
      <b/>
      <sz val="8"/>
      <color theme="1"/>
      <name val="Arial Unicode MS"/>
      <charset val="134"/>
    </font>
    <font>
      <sz val="8"/>
      <color rgb="FFFF0000"/>
      <name val="Arial Unicode MS"/>
      <charset val="134"/>
    </font>
    <font>
      <b/>
      <sz val="8"/>
      <name val="Arial"/>
      <family val="2"/>
    </font>
    <font>
      <u/>
      <sz val="8"/>
      <name val="Arial"/>
      <family val="2"/>
    </font>
    <font>
      <sz val="8"/>
      <name val="Arial"/>
      <family val="2"/>
    </font>
    <font>
      <sz val="10"/>
      <color theme="1"/>
      <name val="等线"/>
      <charset val="134"/>
      <scheme val="minor"/>
    </font>
    <font>
      <sz val="10"/>
      <color rgb="FF0F1115"/>
      <name val="Segoe UI"/>
      <family val="2"/>
    </font>
    <font>
      <sz val="10"/>
      <color rgb="FF000000"/>
      <name val="Arial"/>
      <family val="2"/>
    </font>
    <font>
      <sz val="10"/>
      <color rgb="FF0F1115"/>
      <name val="Arial"/>
      <family val="2"/>
    </font>
    <font>
      <sz val="10"/>
      <color rgb="FF0F1115"/>
      <name val="宋体"/>
      <charset val="134"/>
    </font>
    <font>
      <sz val="8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4"/>
      <name val="宋体"/>
      <charset val="134"/>
    </font>
    <font>
      <sz val="8"/>
      <name val="宋体"/>
      <charset val="134"/>
    </font>
    <font>
      <sz val="12"/>
      <name val="Times New Roman"/>
      <family val="1"/>
    </font>
    <font>
      <sz val="6"/>
      <name val="Times New Roman"/>
      <family val="1"/>
    </font>
    <font>
      <sz val="12"/>
      <name val="Arial Unicode MS"/>
      <charset val="134"/>
    </font>
    <font>
      <sz val="8"/>
      <color rgb="FF000000"/>
      <name val="Times New Roman"/>
      <family val="1"/>
    </font>
    <font>
      <sz val="8"/>
      <color theme="1"/>
      <name val="Arial"/>
      <family val="2"/>
    </font>
    <font>
      <sz val="6"/>
      <name val="Arial"/>
      <family val="2"/>
    </font>
    <font>
      <sz val="8"/>
      <color theme="1"/>
      <name val="等线"/>
      <charset val="134"/>
      <scheme val="minor"/>
    </font>
    <font>
      <u/>
      <sz val="8"/>
      <color theme="1"/>
      <name val="Arial Unicode MS"/>
      <charset val="134"/>
    </font>
    <font>
      <u/>
      <sz val="8"/>
      <name val="Times New Roman"/>
      <family val="1"/>
    </font>
    <font>
      <sz val="7"/>
      <name val="Arial"/>
      <family val="2"/>
    </font>
    <font>
      <sz val="8"/>
      <name val="等线"/>
      <charset val="134"/>
      <scheme val="minor"/>
    </font>
    <font>
      <b/>
      <u/>
      <sz val="8"/>
      <name val="Times New Roman"/>
      <family val="1"/>
    </font>
    <font>
      <b/>
      <sz val="8"/>
      <color theme="1"/>
      <name val="Arial"/>
      <family val="2"/>
    </font>
    <font>
      <b/>
      <sz val="9"/>
      <name val="Arial"/>
      <family val="2"/>
    </font>
    <font>
      <b/>
      <sz val="10"/>
      <color rgb="FF000000"/>
      <name val="Times New Roman"/>
      <family val="1"/>
    </font>
    <font>
      <b/>
      <sz val="6"/>
      <name val="Arial"/>
      <family val="2"/>
    </font>
    <font>
      <b/>
      <sz val="8"/>
      <name val="Arial Unicode MS"/>
      <charset val="134"/>
    </font>
    <font>
      <b/>
      <sz val="8"/>
      <color rgb="FF000000"/>
      <name val="Times New Roman"/>
      <family val="1"/>
    </font>
    <font>
      <sz val="10"/>
      <color indexed="8"/>
      <name val="Arial Narrow"/>
      <family val="2"/>
    </font>
    <font>
      <sz val="9"/>
      <color indexed="8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6"/>
      <color indexed="8"/>
      <name val="Arial"/>
      <family val="2"/>
    </font>
    <font>
      <sz val="10"/>
      <color indexed="8"/>
      <name val="Arial Unicode MS"/>
      <charset val="134"/>
    </font>
    <font>
      <sz val="9"/>
      <color rgb="FF000000"/>
      <name val="Arial Unicode MS"/>
      <charset val="134"/>
    </font>
    <font>
      <sz val="10"/>
      <color theme="1"/>
      <name val="Arial Narrow"/>
      <family val="2"/>
    </font>
    <font>
      <sz val="10"/>
      <color rgb="FF000000"/>
      <name val="Times New Roman"/>
      <family val="1"/>
    </font>
    <font>
      <sz val="9"/>
      <color rgb="FFFF0000"/>
      <name val="Arial"/>
      <family val="2"/>
    </font>
    <font>
      <sz val="7"/>
      <color indexed="8"/>
      <name val="Arial"/>
      <family val="2"/>
    </font>
    <font>
      <sz val="7"/>
      <color theme="0"/>
      <name val="Arial"/>
      <family val="2"/>
    </font>
    <font>
      <sz val="6"/>
      <color rgb="FFFF0000"/>
      <name val="Arial"/>
      <family val="2"/>
    </font>
    <font>
      <strike/>
      <sz val="8"/>
      <name val="Arial"/>
      <family val="2"/>
    </font>
    <font>
      <strike/>
      <sz val="9"/>
      <name val="Arial"/>
      <family val="2"/>
    </font>
    <font>
      <sz val="8"/>
      <color theme="0"/>
      <name val="Arial"/>
      <family val="2"/>
    </font>
    <font>
      <sz val="9"/>
      <color theme="0"/>
      <name val="Arial"/>
      <family val="2"/>
    </font>
    <font>
      <sz val="8"/>
      <color rgb="FFFF0000"/>
      <name val="Arial"/>
      <family val="2"/>
    </font>
    <font>
      <strike/>
      <sz val="9"/>
      <color indexed="8"/>
      <name val="Arial"/>
      <family val="2"/>
    </font>
    <font>
      <strike/>
      <sz val="9"/>
      <color theme="1"/>
      <name val="Arial"/>
      <family val="2"/>
    </font>
    <font>
      <sz val="9"/>
      <color rgb="FF000000"/>
      <name val="宋体"/>
      <charset val="134"/>
    </font>
    <font>
      <strike/>
      <sz val="6"/>
      <name val="Arial"/>
      <family val="2"/>
    </font>
    <font>
      <strike/>
      <sz val="9"/>
      <color rgb="FF000000"/>
      <name val="Arial"/>
      <family val="2"/>
    </font>
    <font>
      <strike/>
      <sz val="9"/>
      <color rgb="FFFF0000"/>
      <name val="Arial"/>
      <family val="2"/>
    </font>
    <font>
      <sz val="8"/>
      <color indexed="8"/>
      <name val="Arial"/>
      <family val="2"/>
    </font>
    <font>
      <sz val="9"/>
      <color rgb="FF000000"/>
      <name val="Times New Roman"/>
      <family val="1"/>
    </font>
    <font>
      <sz val="9"/>
      <name val="Arial Unicode MS"/>
      <charset val="134"/>
    </font>
    <font>
      <strike/>
      <sz val="7"/>
      <name val="Arial"/>
      <family val="2"/>
    </font>
    <font>
      <strike/>
      <sz val="6"/>
      <color indexed="8"/>
      <name val="Arial"/>
      <family val="2"/>
    </font>
    <font>
      <sz val="10"/>
      <name val="Arial Narrow"/>
      <family val="2"/>
    </font>
    <font>
      <sz val="10"/>
      <name val="Arial Unicode MS"/>
      <charset val="134"/>
    </font>
    <font>
      <sz val="11"/>
      <color rgb="FFFF0000"/>
      <name val="Arial"/>
    </font>
    <font>
      <sz val="7"/>
      <color rgb="FF00000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1"/>
      <color theme="1"/>
      <name val="等线"/>
      <charset val="134"/>
      <scheme val="minor"/>
    </font>
    <font>
      <sz val="12"/>
      <name val="Arial"/>
      <family val="2"/>
    </font>
    <font>
      <sz val="6"/>
      <color rgb="FF000000"/>
      <name val="Arial"/>
      <family val="2"/>
    </font>
    <font>
      <sz val="6"/>
      <color rgb="FF000000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8"/>
      <name val="Arial Unicode MS"/>
      <family val="2"/>
      <charset val="134"/>
    </font>
    <font>
      <b/>
      <sz val="8"/>
      <color theme="1"/>
      <name val="Arial Unicode MS"/>
      <family val="2"/>
      <charset val="134"/>
    </font>
    <font>
      <b/>
      <sz val="8"/>
      <name val="Arial Unicode MS"/>
      <family val="2"/>
      <charset val="134"/>
    </font>
  </fonts>
  <fills count="22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indexed="10"/>
        <bgColor indexed="10"/>
      </patternFill>
    </fill>
    <fill>
      <patternFill patternType="solid">
        <fgColor indexed="11"/>
        <bgColor indexed="11"/>
      </patternFill>
    </fill>
    <fill>
      <patternFill patternType="solid">
        <fgColor indexed="9"/>
        <bgColor indexed="9"/>
      </patternFill>
    </fill>
    <fill>
      <patternFill patternType="solid">
        <fgColor theme="8" tint="0.79995117038483843"/>
        <bgColor indexed="9"/>
      </patternFill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indexed="43"/>
        <bgColor indexed="64"/>
      </patternFill>
    </fill>
    <fill>
      <patternFill patternType="lightDown">
        <bgColor indexed="43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E2EFDA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7">
    <xf numFmtId="0" fontId="0" fillId="0" borderId="0"/>
    <xf numFmtId="0" fontId="77" fillId="0" borderId="0"/>
    <xf numFmtId="0" fontId="49" fillId="0" borderId="0"/>
    <xf numFmtId="0" fontId="49" fillId="0" borderId="0"/>
    <xf numFmtId="0" fontId="4" fillId="0" borderId="0"/>
    <xf numFmtId="43" fontId="4" fillId="0" borderId="0" applyFont="0" applyFill="0" applyBorder="0" applyAlignment="0" applyProtection="0">
      <alignment vertical="center"/>
    </xf>
    <xf numFmtId="0" fontId="76" fillId="0" borderId="0"/>
  </cellStyleXfs>
  <cellXfs count="472">
    <xf numFmtId="0" fontId="0" fillId="0" borderId="0" xfId="0"/>
    <xf numFmtId="0" fontId="0" fillId="0" borderId="0" xfId="0" applyFill="1" applyBorder="1"/>
    <xf numFmtId="0" fontId="0" fillId="0" borderId="0" xfId="0" applyAlignment="1">
      <alignment horizont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176" fontId="2" fillId="0" borderId="3" xfId="0" applyNumberFormat="1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/>
    </xf>
    <xf numFmtId="177" fontId="2" fillId="0" borderId="3" xfId="0" applyNumberFormat="1" applyFont="1" applyFill="1" applyBorder="1" applyAlignment="1">
      <alignment horizontal="center" vertical="center" wrapText="1"/>
    </xf>
    <xf numFmtId="0" fontId="0" fillId="0" borderId="3" xfId="0" applyBorder="1"/>
    <xf numFmtId="176" fontId="3" fillId="0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 wrapText="1"/>
    </xf>
    <xf numFmtId="176" fontId="5" fillId="3" borderId="3" xfId="0" applyNumberFormat="1" applyFont="1" applyFill="1" applyBorder="1" applyAlignment="1">
      <alignment horizontal="center" vertical="center"/>
    </xf>
    <xf numFmtId="176" fontId="2" fillId="3" borderId="3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3" xfId="0" applyNumberFormat="1" applyFont="1" applyFill="1" applyBorder="1" applyAlignment="1">
      <alignment horizontal="center" vertical="center" wrapText="1"/>
    </xf>
    <xf numFmtId="0" fontId="0" fillId="3" borderId="3" xfId="0" applyFill="1" applyBorder="1"/>
    <xf numFmtId="177" fontId="3" fillId="0" borderId="3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horizontal="center" vertical="center" wrapText="1"/>
    </xf>
    <xf numFmtId="176" fontId="3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 wrapText="1"/>
    </xf>
    <xf numFmtId="176" fontId="2" fillId="3" borderId="0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0" fontId="0" fillId="3" borderId="0" xfId="0" applyFill="1" applyBorder="1"/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176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 readingOrder="1"/>
    </xf>
    <xf numFmtId="0" fontId="7" fillId="5" borderId="5" xfId="0" applyFont="1" applyFill="1" applyBorder="1" applyAlignment="1">
      <alignment horizontal="center" vertical="center" wrapText="1" readingOrder="1"/>
    </xf>
    <xf numFmtId="0" fontId="8" fillId="6" borderId="5" xfId="0" applyFont="1" applyFill="1" applyBorder="1" applyAlignment="1">
      <alignment horizontal="left" vertical="center" wrapText="1" readingOrder="1"/>
    </xf>
    <xf numFmtId="0" fontId="9" fillId="6" borderId="5" xfId="0" applyFont="1" applyFill="1" applyBorder="1" applyAlignment="1">
      <alignment horizontal="left" vertical="center" wrapText="1" readingOrder="1"/>
    </xf>
    <xf numFmtId="0" fontId="9" fillId="6" borderId="5" xfId="0" applyFont="1" applyFill="1" applyBorder="1" applyAlignment="1">
      <alignment horizontal="center" vertical="center" wrapText="1" readingOrder="1"/>
    </xf>
    <xf numFmtId="0" fontId="9" fillId="7" borderId="5" xfId="0" applyFont="1" applyFill="1" applyBorder="1" applyAlignment="1">
      <alignment horizontal="center" vertical="center" wrapText="1" readingOrder="1"/>
    </xf>
    <xf numFmtId="0" fontId="9" fillId="6" borderId="6" xfId="0" applyFont="1" applyFill="1" applyBorder="1" applyAlignment="1">
      <alignment horizontal="left" vertical="center" wrapText="1" readingOrder="1"/>
    </xf>
    <xf numFmtId="0" fontId="9" fillId="7" borderId="7" xfId="0" applyFont="1" applyFill="1" applyBorder="1" applyAlignment="1">
      <alignment horizontal="center" vertical="center" wrapText="1" readingOrder="1"/>
    </xf>
    <xf numFmtId="0" fontId="9" fillId="6" borderId="8" xfId="0" applyFont="1" applyFill="1" applyBorder="1" applyAlignment="1">
      <alignment horizontal="center" vertical="center" wrapText="1" readingOrder="1"/>
    </xf>
    <xf numFmtId="0" fontId="10" fillId="0" borderId="0" xfId="0" applyFont="1"/>
    <xf numFmtId="178" fontId="11" fillId="8" borderId="3" xfId="0" applyNumberFormat="1" applyFont="1" applyFill="1" applyBorder="1" applyAlignment="1">
      <alignment horizontal="center" vertical="center" wrapText="1"/>
    </xf>
    <xf numFmtId="0" fontId="11" fillId="8" borderId="9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top"/>
    </xf>
    <xf numFmtId="178" fontId="11" fillId="8" borderId="4" xfId="0" applyNumberFormat="1" applyFont="1" applyFill="1" applyBorder="1" applyAlignment="1">
      <alignment horizontal="center" wrapText="1"/>
    </xf>
    <xf numFmtId="0" fontId="11" fillId="8" borderId="10" xfId="0" applyFont="1" applyFill="1" applyBorder="1" applyAlignment="1">
      <alignment wrapText="1"/>
    </xf>
    <xf numFmtId="0" fontId="12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178" fontId="13" fillId="8" borderId="3" xfId="0" applyNumberFormat="1" applyFont="1" applyFill="1" applyBorder="1" applyAlignment="1">
      <alignment horizontal="center" vertical="center" wrapText="1"/>
    </xf>
    <xf numFmtId="0" fontId="13" fillId="8" borderId="9" xfId="0" applyFont="1" applyFill="1" applyBorder="1" applyAlignment="1">
      <alignment horizontal="center" vertical="center" wrapText="1"/>
    </xf>
    <xf numFmtId="0" fontId="11" fillId="8" borderId="9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178" fontId="13" fillId="8" borderId="4" xfId="1" applyNumberFormat="1" applyFont="1" applyFill="1" applyBorder="1" applyAlignment="1">
      <alignment horizontal="center" wrapText="1"/>
    </xf>
    <xf numFmtId="0" fontId="13" fillId="8" borderId="10" xfId="1" applyFont="1" applyFill="1" applyBorder="1" applyAlignment="1">
      <alignment wrapText="1"/>
    </xf>
    <xf numFmtId="0" fontId="14" fillId="8" borderId="10" xfId="0" applyFont="1" applyFill="1" applyBorder="1" applyAlignment="1">
      <alignment horizontal="left" vertical="center" wrapText="1"/>
    </xf>
    <xf numFmtId="0" fontId="13" fillId="8" borderId="10" xfId="1" applyFont="1" applyFill="1" applyBorder="1" applyAlignment="1">
      <alignment horizontal="left" wrapText="1"/>
    </xf>
    <xf numFmtId="0" fontId="15" fillId="9" borderId="0" xfId="0" applyFont="1" applyFill="1"/>
    <xf numFmtId="0" fontId="16" fillId="9" borderId="0" xfId="0" applyFont="1" applyFill="1" applyAlignment="1">
      <alignment vertical="center"/>
    </xf>
    <xf numFmtId="0" fontId="17" fillId="9" borderId="0" xfId="0" applyFont="1" applyFill="1" applyAlignment="1">
      <alignment vertical="center"/>
    </xf>
    <xf numFmtId="0" fontId="18" fillId="9" borderId="0" xfId="0" applyFont="1" applyFill="1" applyAlignment="1">
      <alignment vertical="center"/>
    </xf>
    <xf numFmtId="0" fontId="19" fillId="9" borderId="0" xfId="0" applyFont="1" applyFill="1" applyAlignment="1">
      <alignment vertical="center"/>
    </xf>
    <xf numFmtId="0" fontId="20" fillId="9" borderId="0" xfId="0" applyFont="1" applyFill="1"/>
    <xf numFmtId="0" fontId="21" fillId="9" borderId="0" xfId="0" applyFont="1" applyFill="1"/>
    <xf numFmtId="0" fontId="22" fillId="9" borderId="0" xfId="0" applyFont="1" applyFill="1"/>
    <xf numFmtId="0" fontId="23" fillId="9" borderId="0" xfId="0" applyFont="1" applyFill="1"/>
    <xf numFmtId="0" fontId="9" fillId="9" borderId="0" xfId="0" applyFont="1" applyFill="1" applyAlignment="1">
      <alignment horizontal="left" wrapText="1"/>
    </xf>
    <xf numFmtId="0" fontId="22" fillId="0" borderId="0" xfId="0" applyFont="1" applyFill="1"/>
    <xf numFmtId="179" fontId="22" fillId="0" borderId="0" xfId="0" applyNumberFormat="1" applyFont="1"/>
    <xf numFmtId="180" fontId="22" fillId="0" borderId="0" xfId="0" applyNumberFormat="1" applyFont="1"/>
    <xf numFmtId="181" fontId="22" fillId="0" borderId="0" xfId="0" applyNumberFormat="1" applyFont="1"/>
    <xf numFmtId="179" fontId="22" fillId="9" borderId="0" xfId="0" applyNumberFormat="1" applyFont="1" applyFill="1"/>
    <xf numFmtId="179" fontId="23" fillId="0" borderId="0" xfId="0" applyNumberFormat="1" applyFont="1" applyFill="1" applyAlignment="1">
      <alignment horizontal="left" vertical="top"/>
    </xf>
    <xf numFmtId="0" fontId="24" fillId="9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25" fillId="10" borderId="0" xfId="0" applyFont="1" applyFill="1"/>
    <xf numFmtId="0" fontId="26" fillId="0" borderId="0" xfId="0" applyFont="1"/>
    <xf numFmtId="0" fontId="9" fillId="0" borderId="0" xfId="0" applyFont="1" applyAlignment="1">
      <alignment horizontal="right" vertical="center"/>
    </xf>
    <xf numFmtId="0" fontId="27" fillId="0" borderId="0" xfId="0" applyFont="1" applyAlignment="1">
      <alignment horizontal="right" vertical="center"/>
    </xf>
    <xf numFmtId="0" fontId="28" fillId="0" borderId="0" xfId="0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181" fontId="29" fillId="0" borderId="0" xfId="0" applyNumberFormat="1" applyFont="1" applyAlignment="1">
      <alignment vertical="center" wrapText="1"/>
    </xf>
    <xf numFmtId="181" fontId="30" fillId="0" borderId="0" xfId="0" applyNumberFormat="1" applyFont="1" applyAlignment="1">
      <alignment horizontal="right" vertical="center"/>
    </xf>
    <xf numFmtId="180" fontId="30" fillId="0" borderId="0" xfId="0" applyNumberFormat="1" applyFont="1" applyAlignment="1">
      <alignment horizontal="right" vertical="center"/>
    </xf>
    <xf numFmtId="181" fontId="30" fillId="0" borderId="0" xfId="0" applyNumberFormat="1" applyFont="1" applyFill="1" applyAlignment="1">
      <alignment horizontal="left" vertical="top"/>
    </xf>
    <xf numFmtId="14" fontId="28" fillId="0" borderId="0" xfId="0" applyNumberFormat="1" applyFont="1"/>
    <xf numFmtId="181" fontId="2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1" fillId="0" borderId="0" xfId="0" applyFont="1" applyAlignment="1">
      <alignment vertical="center"/>
    </xf>
    <xf numFmtId="0" fontId="32" fillId="0" borderId="0" xfId="0" applyFont="1" applyFill="1"/>
    <xf numFmtId="181" fontId="33" fillId="0" borderId="0" xfId="0" applyNumberFormat="1" applyFont="1" applyAlignment="1">
      <alignment horizontal="right" vertical="center"/>
    </xf>
    <xf numFmtId="181" fontId="33" fillId="0" borderId="0" xfId="0" applyNumberFormat="1" applyFont="1" applyAlignment="1">
      <alignment horizontal="center" vertical="center"/>
    </xf>
    <xf numFmtId="181" fontId="33" fillId="11" borderId="0" xfId="0" applyNumberFormat="1" applyFont="1" applyFill="1" applyAlignment="1">
      <alignment horizontal="center" vertical="center"/>
    </xf>
    <xf numFmtId="181" fontId="33" fillId="0" borderId="0" xfId="0" applyNumberFormat="1" applyFont="1" applyFill="1" applyAlignment="1">
      <alignment horizontal="center" vertical="center"/>
    </xf>
    <xf numFmtId="179" fontId="15" fillId="0" borderId="0" xfId="0" applyNumberFormat="1" applyFont="1"/>
    <xf numFmtId="180" fontId="15" fillId="0" borderId="0" xfId="0" applyNumberFormat="1" applyFont="1"/>
    <xf numFmtId="181" fontId="15" fillId="0" borderId="0" xfId="0" applyNumberFormat="1" applyFont="1"/>
    <xf numFmtId="179" fontId="15" fillId="0" borderId="0" xfId="0" applyNumberFormat="1" applyFont="1" applyFill="1" applyAlignment="1">
      <alignment horizontal="left" vertical="top"/>
    </xf>
    <xf numFmtId="0" fontId="34" fillId="0" borderId="0" xfId="0" applyFont="1" applyAlignment="1">
      <alignment vertical="center"/>
    </xf>
    <xf numFmtId="179" fontId="3" fillId="0" borderId="0" xfId="0" applyNumberFormat="1" applyFont="1" applyFill="1" applyAlignment="1">
      <alignment horizontal="center" vertical="top"/>
    </xf>
    <xf numFmtId="0" fontId="7" fillId="12" borderId="3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35" fillId="12" borderId="3" xfId="0" applyFont="1" applyFill="1" applyBorder="1" applyAlignment="1">
      <alignment horizontal="center" vertical="center" wrapText="1"/>
    </xf>
    <xf numFmtId="0" fontId="35" fillId="12" borderId="1" xfId="0" applyFont="1" applyFill="1" applyBorder="1" applyAlignment="1">
      <alignment horizontal="center" vertical="center" wrapText="1"/>
    </xf>
    <xf numFmtId="0" fontId="35" fillId="12" borderId="11" xfId="0" applyFont="1" applyFill="1" applyBorder="1" applyAlignment="1">
      <alignment horizontal="center" vertical="center" wrapText="1"/>
    </xf>
    <xf numFmtId="180" fontId="7" fillId="12" borderId="3" xfId="0" applyNumberFormat="1" applyFont="1" applyFill="1" applyBorder="1" applyAlignment="1">
      <alignment horizontal="center" vertical="center" wrapText="1"/>
    </xf>
    <xf numFmtId="181" fontId="7" fillId="12" borderId="1" xfId="0" applyNumberFormat="1" applyFont="1" applyFill="1" applyBorder="1" applyAlignment="1">
      <alignment horizontal="center" vertical="center" wrapText="1"/>
    </xf>
    <xf numFmtId="182" fontId="9" fillId="13" borderId="9" xfId="0" applyNumberFormat="1" applyFont="1" applyFill="1" applyBorder="1" applyAlignment="1">
      <alignment horizontal="center"/>
    </xf>
    <xf numFmtId="182" fontId="9" fillId="13" borderId="3" xfId="0" applyNumberFormat="1" applyFont="1" applyFill="1" applyBorder="1" applyAlignment="1">
      <alignment horizontal="center"/>
    </xf>
    <xf numFmtId="182" fontId="3" fillId="13" borderId="0" xfId="0" applyNumberFormat="1" applyFont="1" applyFill="1" applyBorder="1" applyAlignment="1">
      <alignment horizontal="center"/>
    </xf>
    <xf numFmtId="0" fontId="36" fillId="10" borderId="0" xfId="0" applyFont="1" applyFill="1" applyAlignment="1">
      <alignment vertical="center"/>
    </xf>
    <xf numFmtId="0" fontId="7" fillId="12" borderId="3" xfId="0" applyFont="1" applyFill="1" applyBorder="1" applyAlignment="1">
      <alignment vertical="center" wrapText="1"/>
    </xf>
    <xf numFmtId="0" fontId="37" fillId="12" borderId="3" xfId="0" applyFont="1" applyFill="1" applyBorder="1" applyAlignment="1">
      <alignment horizontal="center" vertical="center" wrapText="1"/>
    </xf>
    <xf numFmtId="181" fontId="7" fillId="12" borderId="3" xfId="0" applyNumberFormat="1" applyFont="1" applyFill="1" applyBorder="1" applyAlignment="1">
      <alignment horizontal="center" vertical="center" wrapText="1"/>
    </xf>
    <xf numFmtId="0" fontId="37" fillId="12" borderId="3" xfId="0" applyFont="1" applyFill="1" applyBorder="1" applyAlignment="1">
      <alignment horizontal="left" vertical="top" wrapText="1"/>
    </xf>
    <xf numFmtId="0" fontId="38" fillId="9" borderId="0" xfId="0" applyFont="1" applyFill="1" applyAlignment="1">
      <alignment horizontal="center" vertical="center"/>
    </xf>
    <xf numFmtId="0" fontId="39" fillId="10" borderId="0" xfId="0" applyFont="1" applyFill="1" applyAlignment="1">
      <alignment vertical="center"/>
    </xf>
    <xf numFmtId="0" fontId="9" fillId="0" borderId="13" xfId="0" applyFont="1" applyFill="1" applyBorder="1" applyAlignment="1">
      <alignment horizontal="center" vertical="center" wrapText="1"/>
    </xf>
    <xf numFmtId="0" fontId="41" fillId="9" borderId="13" xfId="0" applyFont="1" applyFill="1" applyBorder="1" applyAlignment="1">
      <alignment horizontal="center" vertical="center" wrapText="1"/>
    </xf>
    <xf numFmtId="0" fontId="42" fillId="14" borderId="13" xfId="0" applyFont="1" applyFill="1" applyBorder="1" applyAlignment="1">
      <alignment horizontal="center" vertical="center" wrapText="1"/>
    </xf>
    <xf numFmtId="0" fontId="27" fillId="0" borderId="13" xfId="0" applyFont="1" applyFill="1" applyBorder="1" applyAlignment="1">
      <alignment horizontal="center" vertical="center" wrapText="1"/>
    </xf>
    <xf numFmtId="0" fontId="41" fillId="13" borderId="13" xfId="0" applyFont="1" applyFill="1" applyBorder="1" applyAlignment="1">
      <alignment horizontal="center" vertical="center" wrapText="1"/>
    </xf>
    <xf numFmtId="0" fontId="9" fillId="14" borderId="13" xfId="0" applyFont="1" applyFill="1" applyBorder="1" applyAlignment="1">
      <alignment horizontal="left" vertical="center" wrapText="1"/>
    </xf>
    <xf numFmtId="0" fontId="41" fillId="3" borderId="13" xfId="0" applyFont="1" applyFill="1" applyBorder="1" applyAlignment="1">
      <alignment horizontal="center" vertical="center" wrapText="1"/>
    </xf>
    <xf numFmtId="0" fontId="44" fillId="15" borderId="13" xfId="0" applyFont="1" applyFill="1" applyBorder="1" applyAlignment="1">
      <alignment horizontal="center" vertical="center"/>
    </xf>
    <xf numFmtId="177" fontId="41" fillId="15" borderId="13" xfId="0" applyNumberFormat="1" applyFont="1" applyFill="1" applyBorder="1" applyAlignment="1">
      <alignment horizontal="center" vertical="center"/>
    </xf>
    <xf numFmtId="177" fontId="41" fillId="16" borderId="13" xfId="0" applyNumberFormat="1" applyFont="1" applyFill="1" applyBorder="1" applyAlignment="1">
      <alignment horizontal="center" vertical="center"/>
    </xf>
    <xf numFmtId="180" fontId="42" fillId="15" borderId="13" xfId="0" applyNumberFormat="1" applyFont="1" applyFill="1" applyBorder="1" applyAlignment="1">
      <alignment horizontal="center" vertical="center"/>
    </xf>
    <xf numFmtId="181" fontId="42" fillId="15" borderId="13" xfId="0" applyNumberFormat="1" applyFont="1" applyFill="1" applyBorder="1" applyAlignment="1">
      <alignment horizontal="center" vertical="center"/>
    </xf>
    <xf numFmtId="177" fontId="42" fillId="17" borderId="13" xfId="0" applyNumberFormat="1" applyFont="1" applyFill="1" applyBorder="1" applyAlignment="1">
      <alignment horizontal="center" vertical="center"/>
    </xf>
    <xf numFmtId="181" fontId="42" fillId="17" borderId="13" xfId="0" applyNumberFormat="1" applyFont="1" applyFill="1" applyBorder="1" applyAlignment="1">
      <alignment horizontal="center" vertical="center"/>
    </xf>
    <xf numFmtId="181" fontId="42" fillId="17" borderId="14" xfId="0" applyNumberFormat="1" applyFont="1" applyFill="1" applyBorder="1" applyAlignment="1">
      <alignment horizontal="center" vertical="center"/>
    </xf>
    <xf numFmtId="10" fontId="40" fillId="9" borderId="15" xfId="0" applyNumberFormat="1" applyFont="1" applyFill="1" applyBorder="1" applyAlignment="1">
      <alignment horizontal="center" vertical="center"/>
    </xf>
    <xf numFmtId="10" fontId="40" fillId="9" borderId="16" xfId="0" applyNumberFormat="1" applyFont="1" applyFill="1" applyBorder="1" applyAlignment="1">
      <alignment horizontal="center" vertical="center"/>
    </xf>
    <xf numFmtId="10" fontId="46" fillId="9" borderId="0" xfId="0" applyNumberFormat="1" applyFont="1" applyFill="1" applyBorder="1" applyAlignment="1">
      <alignment horizontal="center" vertical="center"/>
    </xf>
    <xf numFmtId="0" fontId="47" fillId="10" borderId="0" xfId="0" applyFont="1" applyFill="1" applyAlignment="1">
      <alignment horizontal="left" vertical="center"/>
    </xf>
    <xf numFmtId="0" fontId="9" fillId="0" borderId="18" xfId="0" applyFont="1" applyFill="1" applyBorder="1" applyAlignment="1">
      <alignment horizontal="center" vertical="center"/>
    </xf>
    <xf numFmtId="0" fontId="43" fillId="9" borderId="18" xfId="0" applyFont="1" applyFill="1" applyBorder="1" applyAlignment="1">
      <alignment horizontal="center" vertical="center" wrapText="1"/>
    </xf>
    <xf numFmtId="0" fontId="42" fillId="0" borderId="18" xfId="0" applyFont="1" applyFill="1" applyBorder="1" applyAlignment="1">
      <alignment horizontal="center" vertical="center"/>
    </xf>
    <xf numFmtId="0" fontId="27" fillId="0" borderId="18" xfId="0" applyFont="1" applyFill="1" applyBorder="1" applyAlignment="1">
      <alignment horizontal="center" vertical="center"/>
    </xf>
    <xf numFmtId="0" fontId="43" fillId="0" borderId="18" xfId="0" applyFont="1" applyFill="1" applyBorder="1" applyAlignment="1">
      <alignment horizontal="center" vertical="center"/>
    </xf>
    <xf numFmtId="0" fontId="43" fillId="13" borderId="18" xfId="0" applyFont="1" applyFill="1" applyBorder="1" applyAlignment="1">
      <alignment horizontal="center" vertical="center" wrapText="1"/>
    </xf>
    <xf numFmtId="0" fontId="9" fillId="14" borderId="18" xfId="0" applyFont="1" applyFill="1" applyBorder="1" applyAlignment="1">
      <alignment horizontal="left" vertical="center"/>
    </xf>
    <xf numFmtId="0" fontId="43" fillId="3" borderId="18" xfId="0" applyFont="1" applyFill="1" applyBorder="1" applyAlignment="1">
      <alignment horizontal="center" vertical="center" wrapText="1"/>
    </xf>
    <xf numFmtId="0" fontId="43" fillId="13" borderId="18" xfId="0" applyFont="1" applyFill="1" applyBorder="1" applyAlignment="1">
      <alignment horizontal="center" vertical="center"/>
    </xf>
    <xf numFmtId="177" fontId="43" fillId="13" borderId="18" xfId="0" applyNumberFormat="1" applyFont="1" applyFill="1" applyBorder="1" applyAlignment="1">
      <alignment horizontal="center" vertical="center"/>
    </xf>
    <xf numFmtId="177" fontId="43" fillId="13" borderId="18" xfId="0" applyNumberFormat="1" applyFont="1" applyFill="1" applyBorder="1" applyAlignment="1">
      <alignment horizontal="center" vertical="center" wrapText="1"/>
    </xf>
    <xf numFmtId="180" fontId="42" fillId="13" borderId="18" xfId="0" applyNumberFormat="1" applyFont="1" applyFill="1" applyBorder="1" applyAlignment="1">
      <alignment horizontal="center" vertical="center" wrapText="1"/>
    </xf>
    <xf numFmtId="177" fontId="42" fillId="13" borderId="18" xfId="0" applyNumberFormat="1" applyFont="1" applyFill="1" applyBorder="1" applyAlignment="1">
      <alignment horizontal="center" vertical="center" wrapText="1"/>
    </xf>
    <xf numFmtId="181" fontId="43" fillId="13" borderId="18" xfId="0" applyNumberFormat="1" applyFont="1" applyFill="1" applyBorder="1" applyAlignment="1">
      <alignment horizontal="center" vertical="center" wrapText="1"/>
    </xf>
    <xf numFmtId="181" fontId="43" fillId="13" borderId="2" xfId="0" applyNumberFormat="1" applyFont="1" applyFill="1" applyBorder="1" applyAlignment="1">
      <alignment horizontal="center" vertical="center" wrapText="1"/>
    </xf>
    <xf numFmtId="178" fontId="45" fillId="0" borderId="2" xfId="0" applyNumberFormat="1" applyFont="1" applyFill="1" applyBorder="1" applyAlignment="1">
      <alignment horizontal="left" vertical="top"/>
    </xf>
    <xf numFmtId="10" fontId="48" fillId="9" borderId="15" xfId="0" applyNumberFormat="1" applyFont="1" applyFill="1" applyBorder="1" applyAlignment="1">
      <alignment horizontal="center" vertical="center"/>
    </xf>
    <xf numFmtId="10" fontId="48" fillId="9" borderId="16" xfId="0" applyNumberFormat="1" applyFont="1" applyFill="1" applyBorder="1" applyAlignment="1">
      <alignment horizontal="center" vertical="center"/>
    </xf>
    <xf numFmtId="0" fontId="49" fillId="10" borderId="0" xfId="0" applyFont="1" applyFill="1" applyAlignment="1">
      <alignment vertical="center"/>
    </xf>
    <xf numFmtId="0" fontId="9" fillId="0" borderId="20" xfId="0" applyFont="1" applyFill="1" applyBorder="1" applyAlignment="1">
      <alignment horizontal="center" vertical="center" wrapText="1"/>
    </xf>
    <xf numFmtId="0" fontId="41" fillId="9" borderId="20" xfId="0" applyFont="1" applyFill="1" applyBorder="1" applyAlignment="1">
      <alignment horizontal="center" vertical="center" wrapText="1"/>
    </xf>
    <xf numFmtId="0" fontId="42" fillId="0" borderId="20" xfId="0" applyFont="1" applyFill="1" applyBorder="1" applyAlignment="1">
      <alignment horizontal="center" vertical="center" wrapText="1"/>
    </xf>
    <xf numFmtId="0" fontId="27" fillId="0" borderId="20" xfId="0" applyFont="1" applyFill="1" applyBorder="1" applyAlignment="1">
      <alignment horizontal="center" vertical="center" wrapText="1"/>
    </xf>
    <xf numFmtId="0" fontId="43" fillId="0" borderId="20" xfId="0" applyFont="1" applyFill="1" applyBorder="1" applyAlignment="1">
      <alignment horizontal="center" vertical="center" wrapText="1"/>
    </xf>
    <xf numFmtId="0" fontId="41" fillId="13" borderId="20" xfId="0" applyFont="1" applyFill="1" applyBorder="1" applyAlignment="1">
      <alignment horizontal="center" vertical="center" wrapText="1"/>
    </xf>
    <xf numFmtId="0" fontId="42" fillId="0" borderId="20" xfId="0" applyFont="1" applyFill="1" applyBorder="1" applyAlignment="1">
      <alignment horizontal="left" vertical="center" wrapText="1"/>
    </xf>
    <xf numFmtId="0" fontId="41" fillId="3" borderId="20" xfId="0" applyFont="1" applyFill="1" applyBorder="1" applyAlignment="1">
      <alignment horizontal="center" vertical="center" wrapText="1"/>
    </xf>
    <xf numFmtId="0" fontId="44" fillId="12" borderId="20" xfId="0" applyFont="1" applyFill="1" applyBorder="1" applyAlignment="1">
      <alignment horizontal="center" vertical="center"/>
    </xf>
    <xf numFmtId="177" fontId="41" fillId="12" borderId="20" xfId="0" applyNumberFormat="1" applyFont="1" applyFill="1" applyBorder="1" applyAlignment="1">
      <alignment horizontal="center" vertical="center"/>
    </xf>
    <xf numFmtId="177" fontId="42" fillId="12" borderId="20" xfId="0" applyNumberFormat="1" applyFont="1" applyFill="1" applyBorder="1" applyAlignment="1">
      <alignment horizontal="center" vertical="center"/>
    </xf>
    <xf numFmtId="180" fontId="42" fillId="12" borderId="20" xfId="0" applyNumberFormat="1" applyFont="1" applyFill="1" applyBorder="1" applyAlignment="1">
      <alignment horizontal="center" vertical="center"/>
    </xf>
    <xf numFmtId="181" fontId="41" fillId="12" borderId="20" xfId="0" applyNumberFormat="1" applyFont="1" applyFill="1" applyBorder="1" applyAlignment="1">
      <alignment horizontal="center" vertical="center"/>
    </xf>
    <xf numFmtId="181" fontId="41" fillId="12" borderId="21" xfId="0" applyNumberFormat="1" applyFont="1" applyFill="1" applyBorder="1" applyAlignment="1">
      <alignment horizontal="center" vertical="center"/>
    </xf>
    <xf numFmtId="10" fontId="40" fillId="9" borderId="22" xfId="0" applyNumberFormat="1" applyFont="1" applyFill="1" applyBorder="1" applyAlignment="1">
      <alignment horizontal="center" vertical="center"/>
    </xf>
    <xf numFmtId="10" fontId="40" fillId="9" borderId="23" xfId="0" applyNumberFormat="1" applyFont="1" applyFill="1" applyBorder="1" applyAlignment="1">
      <alignment horizontal="center" vertical="center"/>
    </xf>
    <xf numFmtId="0" fontId="47" fillId="10" borderId="0" xfId="0" applyFont="1" applyFill="1" applyAlignment="1">
      <alignment vertical="center"/>
    </xf>
    <xf numFmtId="0" fontId="42" fillId="0" borderId="13" xfId="0" applyFont="1" applyFill="1" applyBorder="1" applyAlignment="1">
      <alignment horizontal="center" vertical="center" wrapText="1"/>
    </xf>
    <xf numFmtId="0" fontId="42" fillId="14" borderId="13" xfId="0" applyFont="1" applyFill="1" applyBorder="1" applyAlignment="1">
      <alignment horizontal="left" vertical="center" wrapText="1"/>
    </xf>
    <xf numFmtId="0" fontId="42" fillId="3" borderId="13" xfId="0" applyFont="1" applyFill="1" applyBorder="1" applyAlignment="1">
      <alignment horizontal="center" vertical="center" wrapText="1"/>
    </xf>
    <xf numFmtId="0" fontId="41" fillId="9" borderId="18" xfId="0" applyFont="1" applyFill="1" applyBorder="1" applyAlignment="1">
      <alignment horizontal="center" vertical="center" wrapText="1"/>
    </xf>
    <xf numFmtId="0" fontId="42" fillId="3" borderId="18" xfId="0" applyFont="1" applyFill="1" applyBorder="1" applyAlignment="1">
      <alignment horizontal="center" vertical="center" wrapText="1"/>
    </xf>
    <xf numFmtId="180" fontId="50" fillId="13" borderId="18" xfId="0" applyNumberFormat="1" applyFont="1" applyFill="1" applyBorder="1" applyAlignment="1">
      <alignment horizontal="center" vertical="center" wrapText="1"/>
    </xf>
    <xf numFmtId="0" fontId="42" fillId="3" borderId="20" xfId="0" applyFont="1" applyFill="1" applyBorder="1" applyAlignment="1">
      <alignment horizontal="center" vertical="center" wrapText="1"/>
    </xf>
    <xf numFmtId="177" fontId="50" fillId="12" borderId="20" xfId="0" applyNumberFormat="1" applyFont="1" applyFill="1" applyBorder="1" applyAlignment="1">
      <alignment horizontal="center" vertical="center"/>
    </xf>
    <xf numFmtId="0" fontId="27" fillId="0" borderId="13" xfId="0" applyFont="1" applyBorder="1" applyAlignment="1">
      <alignment horizontal="center" vertical="center" wrapText="1"/>
    </xf>
    <xf numFmtId="0" fontId="42" fillId="0" borderId="13" xfId="0" applyFont="1" applyBorder="1" applyAlignment="1">
      <alignment horizontal="center" vertical="center" wrapText="1"/>
    </xf>
    <xf numFmtId="0" fontId="42" fillId="0" borderId="18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181" fontId="50" fillId="13" borderId="18" xfId="0" applyNumberFormat="1" applyFont="1" applyFill="1" applyBorder="1" applyAlignment="1">
      <alignment horizontal="center" vertical="center" wrapText="1"/>
    </xf>
    <xf numFmtId="0" fontId="42" fillId="0" borderId="20" xfId="0" applyFont="1" applyBorder="1" applyAlignment="1">
      <alignment horizontal="center" vertical="center" wrapText="1"/>
    </xf>
    <xf numFmtId="0" fontId="45" fillId="0" borderId="20" xfId="0" applyFont="1" applyBorder="1" applyAlignment="1">
      <alignment horizontal="center" vertical="center" wrapText="1"/>
    </xf>
    <xf numFmtId="0" fontId="41" fillId="0" borderId="20" xfId="0" applyFont="1" applyBorder="1" applyAlignment="1">
      <alignment horizontal="center" vertical="center" wrapText="1"/>
    </xf>
    <xf numFmtId="0" fontId="41" fillId="0" borderId="20" xfId="0" applyFont="1" applyBorder="1" applyAlignment="1">
      <alignment horizontal="left" vertical="center" wrapText="1"/>
    </xf>
    <xf numFmtId="181" fontId="42" fillId="12" borderId="20" xfId="0" applyNumberFormat="1" applyFont="1" applyFill="1" applyBorder="1" applyAlignment="1">
      <alignment horizontal="center" vertical="center"/>
    </xf>
    <xf numFmtId="180" fontId="43" fillId="15" borderId="13" xfId="0" applyNumberFormat="1" applyFont="1" applyFill="1" applyBorder="1" applyAlignment="1">
      <alignment horizontal="center" vertical="center"/>
    </xf>
    <xf numFmtId="181" fontId="43" fillId="15" borderId="13" xfId="0" applyNumberFormat="1" applyFont="1" applyFill="1" applyBorder="1" applyAlignment="1">
      <alignment horizontal="center" vertical="center"/>
    </xf>
    <xf numFmtId="177" fontId="50" fillId="13" borderId="18" xfId="0" applyNumberFormat="1" applyFont="1" applyFill="1" applyBorder="1" applyAlignment="1">
      <alignment horizontal="center" vertical="center"/>
    </xf>
    <xf numFmtId="0" fontId="27" fillId="0" borderId="20" xfId="0" applyFont="1" applyBorder="1" applyAlignment="1">
      <alignment horizontal="center" vertical="center" wrapText="1"/>
    </xf>
    <xf numFmtId="177" fontId="42" fillId="13" borderId="18" xfId="0" applyNumberFormat="1" applyFont="1" applyFill="1" applyBorder="1" applyAlignment="1">
      <alignment horizontal="center" vertical="center"/>
    </xf>
    <xf numFmtId="0" fontId="43" fillId="3" borderId="13" xfId="0" applyFont="1" applyFill="1" applyBorder="1" applyAlignment="1">
      <alignment horizontal="center" vertical="center" wrapText="1"/>
    </xf>
    <xf numFmtId="0" fontId="43" fillId="0" borderId="18" xfId="0" applyFont="1" applyBorder="1" applyAlignment="1">
      <alignment horizontal="center" vertical="center"/>
    </xf>
    <xf numFmtId="177" fontId="50" fillId="13" borderId="18" xfId="0" applyNumberFormat="1" applyFont="1" applyFill="1" applyBorder="1" applyAlignment="1">
      <alignment horizontal="center" vertical="center" wrapText="1"/>
    </xf>
    <xf numFmtId="0" fontId="43" fillId="0" borderId="20" xfId="0" applyFont="1" applyBorder="1" applyAlignment="1">
      <alignment horizontal="center" vertical="center" wrapText="1"/>
    </xf>
    <xf numFmtId="0" fontId="43" fillId="3" borderId="20" xfId="0" applyFont="1" applyFill="1" applyBorder="1" applyAlignment="1">
      <alignment horizontal="center" vertical="center" wrapText="1"/>
    </xf>
    <xf numFmtId="0" fontId="43" fillId="18" borderId="13" xfId="0" applyFont="1" applyFill="1" applyBorder="1" applyAlignment="1">
      <alignment horizontal="center" vertical="center" wrapText="1"/>
    </xf>
    <xf numFmtId="177" fontId="42" fillId="15" borderId="13" xfId="0" applyNumberFormat="1" applyFont="1" applyFill="1" applyBorder="1" applyAlignment="1">
      <alignment horizontal="center" vertical="center"/>
    </xf>
    <xf numFmtId="0" fontId="50" fillId="9" borderId="13" xfId="0" applyFont="1" applyFill="1" applyBorder="1" applyAlignment="1">
      <alignment horizontal="center" vertical="center" wrapText="1"/>
    </xf>
    <xf numFmtId="181" fontId="41" fillId="17" borderId="13" xfId="0" applyNumberFormat="1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41" fillId="13" borderId="18" xfId="0" applyFont="1" applyFill="1" applyBorder="1" applyAlignment="1">
      <alignment horizontal="center" vertical="center" wrapText="1"/>
    </xf>
    <xf numFmtId="0" fontId="50" fillId="9" borderId="18" xfId="0" applyFont="1" applyFill="1" applyBorder="1" applyAlignment="1">
      <alignment horizontal="center" vertical="center" wrapText="1"/>
    </xf>
    <xf numFmtId="181" fontId="42" fillId="13" borderId="18" xfId="0" applyNumberFormat="1" applyFont="1" applyFill="1" applyBorder="1" applyAlignment="1">
      <alignment horizontal="center" vertical="center" wrapText="1"/>
    </xf>
    <xf numFmtId="0" fontId="50" fillId="9" borderId="20" xfId="0" applyFont="1" applyFill="1" applyBorder="1" applyAlignment="1">
      <alignment horizontal="center" vertical="center" wrapText="1"/>
    </xf>
    <xf numFmtId="0" fontId="42" fillId="0" borderId="18" xfId="0" applyFont="1" applyBorder="1" applyAlignment="1">
      <alignment horizontal="center" vertical="center" wrapText="1"/>
    </xf>
    <xf numFmtId="0" fontId="42" fillId="18" borderId="13" xfId="0" applyFont="1" applyFill="1" applyBorder="1" applyAlignment="1">
      <alignment horizontal="center" vertical="center" wrapText="1"/>
    </xf>
    <xf numFmtId="0" fontId="31" fillId="0" borderId="13" xfId="0" applyFont="1" applyBorder="1" applyAlignment="1">
      <alignment horizontal="left" vertical="center" wrapText="1"/>
    </xf>
    <xf numFmtId="181" fontId="41" fillId="17" borderId="14" xfId="0" applyNumberFormat="1" applyFont="1" applyFill="1" applyBorder="1" applyAlignment="1">
      <alignment horizontal="center" vertical="center"/>
    </xf>
    <xf numFmtId="0" fontId="31" fillId="0" borderId="18" xfId="0" applyFont="1" applyBorder="1" applyAlignment="1">
      <alignment horizontal="left" vertical="center"/>
    </xf>
    <xf numFmtId="0" fontId="41" fillId="0" borderId="20" xfId="0" applyFont="1" applyFill="1" applyBorder="1" applyAlignment="1">
      <alignment horizontal="center" vertical="center" wrapText="1"/>
    </xf>
    <xf numFmtId="0" fontId="51" fillId="0" borderId="20" xfId="0" applyFont="1" applyBorder="1" applyAlignment="1">
      <alignment horizontal="left" vertical="center" wrapText="1"/>
    </xf>
    <xf numFmtId="0" fontId="41" fillId="0" borderId="13" xfId="0" applyFont="1" applyFill="1" applyBorder="1" applyAlignment="1">
      <alignment horizontal="center" vertical="center" wrapText="1"/>
    </xf>
    <xf numFmtId="0" fontId="52" fillId="0" borderId="13" xfId="0" applyFont="1" applyBorder="1" applyAlignment="1">
      <alignment horizontal="left" vertical="center" wrapText="1"/>
    </xf>
    <xf numFmtId="0" fontId="41" fillId="0" borderId="18" xfId="0" applyFont="1" applyFill="1" applyBorder="1" applyAlignment="1">
      <alignment horizontal="center" vertical="center" wrapText="1"/>
    </xf>
    <xf numFmtId="0" fontId="52" fillId="0" borderId="18" xfId="0" applyFont="1" applyBorder="1" applyAlignment="1">
      <alignment horizontal="left" vertical="center"/>
    </xf>
    <xf numFmtId="0" fontId="45" fillId="0" borderId="20" xfId="0" applyFont="1" applyFill="1" applyBorder="1" applyAlignment="1">
      <alignment horizontal="center" vertical="center" wrapText="1"/>
    </xf>
    <xf numFmtId="0" fontId="52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/>
    </xf>
    <xf numFmtId="0" fontId="31" fillId="0" borderId="20" xfId="0" applyFont="1" applyBorder="1" applyAlignment="1">
      <alignment horizontal="left" vertical="center" wrapText="1"/>
    </xf>
    <xf numFmtId="0" fontId="42" fillId="9" borderId="13" xfId="0" applyFont="1" applyFill="1" applyBorder="1" applyAlignment="1">
      <alignment horizontal="center" vertical="center" wrapText="1"/>
    </xf>
    <xf numFmtId="0" fontId="53" fillId="0" borderId="13" xfId="0" applyFont="1" applyBorder="1" applyAlignment="1">
      <alignment horizontal="left" vertical="center" wrapText="1"/>
    </xf>
    <xf numFmtId="0" fontId="49" fillId="19" borderId="0" xfId="0" applyFont="1" applyFill="1" applyAlignment="1">
      <alignment vertical="center"/>
    </xf>
    <xf numFmtId="0" fontId="42" fillId="9" borderId="18" xfId="0" applyFont="1" applyFill="1" applyBorder="1" applyAlignment="1">
      <alignment horizontal="center" vertical="center" wrapText="1"/>
    </xf>
    <xf numFmtId="0" fontId="42" fillId="9" borderId="20" xfId="0" applyFont="1" applyFill="1" applyBorder="1" applyAlignment="1">
      <alignment horizontal="center" vertical="center" wrapText="1"/>
    </xf>
    <xf numFmtId="0" fontId="54" fillId="0" borderId="13" xfId="0" applyFont="1" applyFill="1" applyBorder="1" applyAlignment="1">
      <alignment horizontal="center" vertical="center" wrapText="1"/>
    </xf>
    <xf numFmtId="0" fontId="55" fillId="9" borderId="13" xfId="0" applyFont="1" applyFill="1" applyBorder="1" applyAlignment="1">
      <alignment horizontal="center" vertical="center" wrapText="1"/>
    </xf>
    <xf numFmtId="0" fontId="55" fillId="0" borderId="13" xfId="0" applyFont="1" applyFill="1" applyBorder="1" applyAlignment="1">
      <alignment horizontal="center" vertical="center" wrapText="1"/>
    </xf>
    <xf numFmtId="0" fontId="54" fillId="0" borderId="18" xfId="0" applyFont="1" applyFill="1" applyBorder="1" applyAlignment="1">
      <alignment horizontal="center" vertical="center"/>
    </xf>
    <xf numFmtId="0" fontId="55" fillId="9" borderId="18" xfId="0" applyFont="1" applyFill="1" applyBorder="1" applyAlignment="1">
      <alignment horizontal="center" vertical="center" wrapText="1"/>
    </xf>
    <xf numFmtId="0" fontId="55" fillId="0" borderId="18" xfId="0" applyFont="1" applyFill="1" applyBorder="1" applyAlignment="1">
      <alignment horizontal="center" vertical="center"/>
    </xf>
    <xf numFmtId="0" fontId="54" fillId="0" borderId="20" xfId="0" applyFont="1" applyFill="1" applyBorder="1" applyAlignment="1">
      <alignment horizontal="center" vertical="center" wrapText="1"/>
    </xf>
    <xf numFmtId="0" fontId="55" fillId="9" borderId="20" xfId="0" applyFont="1" applyFill="1" applyBorder="1" applyAlignment="1">
      <alignment horizontal="center" vertical="center" wrapText="1"/>
    </xf>
    <xf numFmtId="0" fontId="55" fillId="0" borderId="20" xfId="0" applyFont="1" applyFill="1" applyBorder="1" applyAlignment="1">
      <alignment horizontal="center" vertical="center" wrapText="1"/>
    </xf>
    <xf numFmtId="0" fontId="49" fillId="10" borderId="0" xfId="0" applyFont="1" applyFill="1" applyAlignment="1">
      <alignment horizontal="center" vertical="center" wrapText="1"/>
    </xf>
    <xf numFmtId="0" fontId="56" fillId="0" borderId="13" xfId="0" applyFont="1" applyFill="1" applyBorder="1" applyAlignment="1">
      <alignment horizontal="center" vertical="center" wrapText="1"/>
    </xf>
    <xf numFmtId="0" fontId="57" fillId="0" borderId="18" xfId="0" applyFont="1" applyFill="1" applyBorder="1" applyAlignment="1">
      <alignment horizontal="center" vertical="center"/>
    </xf>
    <xf numFmtId="0" fontId="57" fillId="0" borderId="20" xfId="0" applyFont="1" applyFill="1" applyBorder="1" applyAlignment="1">
      <alignment horizontal="center" vertical="center" wrapText="1"/>
    </xf>
    <xf numFmtId="0" fontId="9" fillId="14" borderId="13" xfId="0" applyFont="1" applyFill="1" applyBorder="1" applyAlignment="1">
      <alignment horizontal="center" vertical="center" wrapText="1"/>
    </xf>
    <xf numFmtId="0" fontId="9" fillId="14" borderId="18" xfId="0" applyFont="1" applyFill="1" applyBorder="1" applyAlignment="1">
      <alignment horizontal="center" vertical="center"/>
    </xf>
    <xf numFmtId="0" fontId="56" fillId="0" borderId="20" xfId="0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58" fillId="0" borderId="20" xfId="0" applyFont="1" applyBorder="1" applyAlignment="1">
      <alignment horizontal="center" vertical="center" wrapText="1"/>
    </xf>
    <xf numFmtId="181" fontId="42" fillId="13" borderId="2" xfId="0" applyNumberFormat="1" applyFont="1" applyFill="1" applyBorder="1" applyAlignment="1">
      <alignment horizontal="center" vertical="center" wrapText="1"/>
    </xf>
    <xf numFmtId="181" fontId="42" fillId="12" borderId="21" xfId="0" applyNumberFormat="1" applyFont="1" applyFill="1" applyBorder="1" applyAlignment="1">
      <alignment horizontal="center" vertical="center"/>
    </xf>
    <xf numFmtId="0" fontId="9" fillId="18" borderId="13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42" fillId="20" borderId="13" xfId="0" applyFont="1" applyFill="1" applyBorder="1" applyAlignment="1">
      <alignment horizontal="center" vertical="center" wrapText="1"/>
    </xf>
    <xf numFmtId="0" fontId="42" fillId="0" borderId="18" xfId="0" applyFont="1" applyFill="1" applyBorder="1" applyAlignment="1">
      <alignment horizontal="center" vertical="center" wrapText="1"/>
    </xf>
    <xf numFmtId="0" fontId="42" fillId="0" borderId="13" xfId="0" applyFont="1" applyBorder="1" applyAlignment="1">
      <alignment horizontal="left" vertical="center" wrapText="1"/>
    </xf>
    <xf numFmtId="181" fontId="41" fillId="12" borderId="2" xfId="0" applyNumberFormat="1" applyFont="1" applyFill="1" applyBorder="1" applyAlignment="1">
      <alignment horizontal="center" vertical="center"/>
    </xf>
    <xf numFmtId="0" fontId="59" fillId="9" borderId="13" xfId="0" applyFont="1" applyFill="1" applyBorder="1" applyAlignment="1">
      <alignment horizontal="center" vertical="center" wrapText="1"/>
    </xf>
    <xf numFmtId="0" fontId="27" fillId="0" borderId="13" xfId="0" applyFont="1" applyBorder="1" applyAlignment="1">
      <alignment horizontal="left" vertical="center" wrapText="1"/>
    </xf>
    <xf numFmtId="177" fontId="59" fillId="15" borderId="13" xfId="0" applyNumberFormat="1" applyFont="1" applyFill="1" applyBorder="1" applyAlignment="1">
      <alignment horizontal="center" vertical="center"/>
    </xf>
    <xf numFmtId="177" fontId="55" fillId="15" borderId="13" xfId="0" applyNumberFormat="1" applyFont="1" applyFill="1" applyBorder="1" applyAlignment="1">
      <alignment horizontal="center" vertical="center"/>
    </xf>
    <xf numFmtId="0" fontId="59" fillId="9" borderId="18" xfId="0" applyFont="1" applyFill="1" applyBorder="1" applyAlignment="1">
      <alignment horizontal="center" vertical="center" wrapText="1"/>
    </xf>
    <xf numFmtId="177" fontId="60" fillId="13" borderId="18" xfId="0" applyNumberFormat="1" applyFont="1" applyFill="1" applyBorder="1" applyAlignment="1">
      <alignment horizontal="center" vertical="center"/>
    </xf>
    <xf numFmtId="177" fontId="55" fillId="13" borderId="18" xfId="0" applyNumberFormat="1" applyFont="1" applyFill="1" applyBorder="1" applyAlignment="1">
      <alignment horizontal="center" vertical="center"/>
    </xf>
    <xf numFmtId="0" fontId="59" fillId="9" borderId="20" xfId="0" applyFont="1" applyFill="1" applyBorder="1" applyAlignment="1">
      <alignment horizontal="center" vertical="center" wrapText="1"/>
    </xf>
    <xf numFmtId="0" fontId="59" fillId="0" borderId="20" xfId="0" applyFont="1" applyFill="1" applyBorder="1" applyAlignment="1">
      <alignment horizontal="center" vertical="center" wrapText="1"/>
    </xf>
    <xf numFmtId="177" fontId="59" fillId="12" borderId="20" xfId="0" applyNumberFormat="1" applyFont="1" applyFill="1" applyBorder="1" applyAlignment="1">
      <alignment horizontal="center" vertical="center"/>
    </xf>
    <xf numFmtId="0" fontId="55" fillId="0" borderId="18" xfId="0" applyFont="1" applyBorder="1" applyAlignment="1">
      <alignment horizontal="center" vertical="center" wrapText="1"/>
    </xf>
    <xf numFmtId="0" fontId="55" fillId="0" borderId="20" xfId="0" applyFont="1" applyBorder="1" applyAlignment="1">
      <alignment horizontal="center" vertical="center" wrapText="1"/>
    </xf>
    <xf numFmtId="177" fontId="61" fillId="12" borderId="20" xfId="0" applyNumberFormat="1" applyFont="1" applyFill="1" applyBorder="1" applyAlignment="1">
      <alignment horizontal="left" vertical="center" wrapText="1"/>
    </xf>
    <xf numFmtId="0" fontId="59" fillId="13" borderId="13" xfId="0" applyFont="1" applyFill="1" applyBorder="1" applyAlignment="1">
      <alignment horizontal="center" vertical="center" wrapText="1"/>
    </xf>
    <xf numFmtId="0" fontId="55" fillId="0" borderId="18" xfId="0" applyFont="1" applyBorder="1" applyAlignment="1">
      <alignment horizontal="center" vertical="center"/>
    </xf>
    <xf numFmtId="0" fontId="59" fillId="13" borderId="18" xfId="0" applyFont="1" applyFill="1" applyBorder="1" applyAlignment="1">
      <alignment horizontal="center" vertical="center" wrapText="1"/>
    </xf>
    <xf numFmtId="0" fontId="60" fillId="9" borderId="18" xfId="0" applyFont="1" applyFill="1" applyBorder="1" applyAlignment="1">
      <alignment horizontal="center" vertical="center" wrapText="1"/>
    </xf>
    <xf numFmtId="0" fontId="59" fillId="0" borderId="20" xfId="0" applyFont="1" applyBorder="1" applyAlignment="1">
      <alignment horizontal="center" vertical="center" wrapText="1"/>
    </xf>
    <xf numFmtId="0" fontId="59" fillId="13" borderId="20" xfId="0" applyFont="1" applyFill="1" applyBorder="1" applyAlignment="1">
      <alignment horizontal="center" vertical="center" wrapText="1"/>
    </xf>
    <xf numFmtId="0" fontId="62" fillId="0" borderId="13" xfId="0" applyFont="1" applyFill="1" applyBorder="1" applyAlignment="1">
      <alignment horizontal="center" vertical="center" wrapText="1"/>
    </xf>
    <xf numFmtId="0" fontId="27" fillId="0" borderId="13" xfId="0" applyFont="1" applyFill="1" applyBorder="1" applyAlignment="1">
      <alignment horizontal="left" vertical="center" wrapText="1"/>
    </xf>
    <xf numFmtId="0" fontId="63" fillId="15" borderId="13" xfId="0" applyFont="1" applyFill="1" applyBorder="1" applyAlignment="1">
      <alignment horizontal="center" vertical="center"/>
    </xf>
    <xf numFmtId="180" fontId="55" fillId="15" borderId="13" xfId="0" applyNumberFormat="1" applyFont="1" applyFill="1" applyBorder="1" applyAlignment="1">
      <alignment horizontal="center" vertical="center"/>
    </xf>
    <xf numFmtId="181" fontId="55" fillId="15" borderId="13" xfId="0" applyNumberFormat="1" applyFont="1" applyFill="1" applyBorder="1" applyAlignment="1">
      <alignment horizontal="center" vertical="center"/>
    </xf>
    <xf numFmtId="177" fontId="55" fillId="17" borderId="13" xfId="0" applyNumberFormat="1" applyFont="1" applyFill="1" applyBorder="1" applyAlignment="1">
      <alignment horizontal="center" vertical="center"/>
    </xf>
    <xf numFmtId="0" fontId="54" fillId="0" borderId="18" xfId="0" applyFont="1" applyFill="1" applyBorder="1" applyAlignment="1">
      <alignment horizontal="center" vertical="center" wrapText="1"/>
    </xf>
    <xf numFmtId="0" fontId="55" fillId="0" borderId="18" xfId="0" applyFont="1" applyFill="1" applyBorder="1" applyAlignment="1">
      <alignment horizontal="center" vertical="center" wrapText="1"/>
    </xf>
    <xf numFmtId="0" fontId="62" fillId="0" borderId="18" xfId="0" applyFont="1" applyFill="1" applyBorder="1" applyAlignment="1">
      <alignment horizontal="center" vertical="center" wrapText="1"/>
    </xf>
    <xf numFmtId="0" fontId="62" fillId="0" borderId="18" xfId="0" applyFont="1" applyFill="1" applyBorder="1" applyAlignment="1">
      <alignment horizontal="center" vertical="center"/>
    </xf>
    <xf numFmtId="0" fontId="60" fillId="13" borderId="18" xfId="0" applyFont="1" applyFill="1" applyBorder="1" applyAlignment="1">
      <alignment horizontal="center" vertical="center" wrapText="1"/>
    </xf>
    <xf numFmtId="0" fontId="60" fillId="13" borderId="18" xfId="0" applyFont="1" applyFill="1" applyBorder="1" applyAlignment="1">
      <alignment horizontal="center" vertical="center"/>
    </xf>
    <xf numFmtId="177" fontId="55" fillId="13" borderId="18" xfId="0" applyNumberFormat="1" applyFont="1" applyFill="1" applyBorder="1" applyAlignment="1">
      <alignment horizontal="center" vertical="center" wrapText="1"/>
    </xf>
    <xf numFmtId="177" fontId="60" fillId="13" borderId="18" xfId="0" applyNumberFormat="1" applyFont="1" applyFill="1" applyBorder="1" applyAlignment="1">
      <alignment horizontal="center" vertical="center" wrapText="1"/>
    </xf>
    <xf numFmtId="180" fontId="64" fillId="13" borderId="18" xfId="0" applyNumberFormat="1" applyFont="1" applyFill="1" applyBorder="1" applyAlignment="1">
      <alignment horizontal="center" vertical="center" wrapText="1"/>
    </xf>
    <xf numFmtId="0" fontId="55" fillId="0" borderId="24" xfId="0" applyFont="1" applyFill="1" applyBorder="1" applyAlignment="1">
      <alignment horizontal="center" vertical="center" wrapText="1"/>
    </xf>
    <xf numFmtId="0" fontId="62" fillId="0" borderId="20" xfId="0" applyFont="1" applyFill="1" applyBorder="1" applyAlignment="1">
      <alignment horizontal="center" vertical="center" wrapText="1"/>
    </xf>
    <xf numFmtId="0" fontId="27" fillId="0" borderId="18" xfId="0" applyFont="1" applyFill="1" applyBorder="1" applyAlignment="1">
      <alignment horizontal="center" vertical="center" wrapText="1"/>
    </xf>
    <xf numFmtId="0" fontId="42" fillId="0" borderId="24" xfId="0" applyFont="1" applyFill="1" applyBorder="1" applyAlignment="1">
      <alignment horizontal="center" vertical="center" wrapText="1"/>
    </xf>
    <xf numFmtId="0" fontId="42" fillId="14" borderId="13" xfId="0" applyFont="1" applyFill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0" fontId="9" fillId="0" borderId="20" xfId="0" applyFont="1" applyFill="1" applyBorder="1" applyAlignment="1">
      <alignment horizontal="left" vertical="center" wrapText="1"/>
    </xf>
    <xf numFmtId="0" fontId="65" fillId="0" borderId="20" xfId="0" applyFont="1" applyFill="1" applyBorder="1" applyAlignment="1">
      <alignment horizontal="center" vertical="center" wrapText="1"/>
    </xf>
    <xf numFmtId="0" fontId="65" fillId="0" borderId="20" xfId="0" applyFont="1" applyFill="1" applyBorder="1" applyAlignment="1">
      <alignment horizontal="left" vertical="center" wrapText="1"/>
    </xf>
    <xf numFmtId="0" fontId="65" fillId="0" borderId="2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0" fontId="47" fillId="21" borderId="0" xfId="0" applyFont="1" applyFill="1" applyAlignment="1">
      <alignment vertical="center"/>
    </xf>
    <xf numFmtId="0" fontId="47" fillId="0" borderId="0" xfId="0" applyFont="1" applyAlignment="1">
      <alignment vertical="center"/>
    </xf>
    <xf numFmtId="177" fontId="9" fillId="12" borderId="20" xfId="0" applyNumberFormat="1" applyFont="1" applyFill="1" applyBorder="1" applyAlignment="1">
      <alignment horizontal="center" vertical="center"/>
    </xf>
    <xf numFmtId="0" fontId="66" fillId="10" borderId="0" xfId="0" applyFont="1" applyFill="1" applyAlignment="1">
      <alignment vertical="center"/>
    </xf>
    <xf numFmtId="0" fontId="9" fillId="0" borderId="20" xfId="0" applyFont="1" applyBorder="1" applyAlignment="1">
      <alignment horizontal="left" vertical="center" wrapText="1"/>
    </xf>
    <xf numFmtId="10" fontId="46" fillId="18" borderId="0" xfId="0" applyNumberFormat="1" applyFont="1" applyFill="1" applyBorder="1" applyAlignment="1">
      <alignment horizontal="center" vertical="center"/>
    </xf>
    <xf numFmtId="0" fontId="47" fillId="18" borderId="0" xfId="0" applyFont="1" applyFill="1" applyAlignment="1">
      <alignment vertical="center"/>
    </xf>
    <xf numFmtId="0" fontId="42" fillId="0" borderId="18" xfId="0" applyFont="1" applyBorder="1" applyAlignment="1">
      <alignment horizontal="left" vertical="center"/>
    </xf>
    <xf numFmtId="0" fontId="42" fillId="0" borderId="13" xfId="0" applyFont="1" applyFill="1" applyBorder="1" applyAlignment="1">
      <alignment horizontal="left" vertical="center" wrapText="1"/>
    </xf>
    <xf numFmtId="0" fontId="42" fillId="0" borderId="18" xfId="0" applyFont="1" applyFill="1" applyBorder="1" applyAlignment="1">
      <alignment horizontal="left" vertical="center"/>
    </xf>
    <xf numFmtId="10" fontId="46" fillId="19" borderId="0" xfId="0" applyNumberFormat="1" applyFont="1" applyFill="1" applyBorder="1" applyAlignment="1">
      <alignment horizontal="center" vertical="center"/>
    </xf>
    <xf numFmtId="0" fontId="12" fillId="19" borderId="0" xfId="0" applyFont="1" applyFill="1" applyAlignment="1">
      <alignment horizontal="justify" vertical="center"/>
    </xf>
    <xf numFmtId="0" fontId="67" fillId="9" borderId="0" xfId="0" applyFont="1" applyFill="1" applyAlignment="1">
      <alignment vertical="center"/>
    </xf>
    <xf numFmtId="0" fontId="49" fillId="10" borderId="0" xfId="0" applyFont="1" applyFill="1" applyAlignment="1">
      <alignment horizontal="left" vertical="center"/>
    </xf>
    <xf numFmtId="0" fontId="31" fillId="0" borderId="13" xfId="0" applyFont="1" applyFill="1" applyBorder="1" applyAlignment="1">
      <alignment horizontal="left" vertical="center" wrapText="1"/>
    </xf>
    <xf numFmtId="0" fontId="42" fillId="0" borderId="13" xfId="0" applyFont="1" applyFill="1" applyBorder="1" applyAlignment="1">
      <alignment horizontal="center" vertical="center"/>
    </xf>
    <xf numFmtId="0" fontId="27" fillId="0" borderId="13" xfId="0" applyFont="1" applyFill="1" applyBorder="1" applyAlignment="1">
      <alignment horizontal="center" vertical="center"/>
    </xf>
    <xf numFmtId="0" fontId="41" fillId="0" borderId="20" xfId="0" applyFont="1" applyFill="1" applyBorder="1" applyAlignment="1">
      <alignment horizontal="center" vertical="center"/>
    </xf>
    <xf numFmtId="0" fontId="45" fillId="0" borderId="20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center" vertical="center" wrapText="1"/>
    </xf>
    <xf numFmtId="0" fontId="27" fillId="0" borderId="24" xfId="0" applyFont="1" applyFill="1" applyBorder="1" applyAlignment="1">
      <alignment horizontal="center" vertical="center" wrapText="1"/>
    </xf>
    <xf numFmtId="0" fontId="27" fillId="0" borderId="18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62" fillId="0" borderId="13" xfId="0" applyFont="1" applyBorder="1" applyAlignment="1">
      <alignment horizontal="center" vertical="center" wrapText="1"/>
    </xf>
    <xf numFmtId="0" fontId="55" fillId="0" borderId="13" xfId="0" applyFont="1" applyBorder="1" applyAlignment="1">
      <alignment horizontal="center" vertical="center" wrapText="1"/>
    </xf>
    <xf numFmtId="0" fontId="68" fillId="0" borderId="13" xfId="0" applyFont="1" applyBorder="1" applyAlignment="1">
      <alignment horizontal="center" vertical="center" wrapText="1"/>
    </xf>
    <xf numFmtId="0" fontId="59" fillId="3" borderId="13" xfId="0" applyFont="1" applyFill="1" applyBorder="1" applyAlignment="1">
      <alignment horizontal="center" vertical="center" wrapText="1"/>
    </xf>
    <xf numFmtId="181" fontId="59" fillId="17" borderId="13" xfId="0" applyNumberFormat="1" applyFont="1" applyFill="1" applyBorder="1" applyAlignment="1">
      <alignment horizontal="center" vertical="center"/>
    </xf>
    <xf numFmtId="181" fontId="59" fillId="17" borderId="14" xfId="0" applyNumberFormat="1" applyFont="1" applyFill="1" applyBorder="1" applyAlignment="1">
      <alignment horizontal="center" vertical="center"/>
    </xf>
    <xf numFmtId="0" fontId="62" fillId="0" borderId="18" xfId="0" applyFont="1" applyBorder="1" applyAlignment="1">
      <alignment horizontal="center" vertical="center" wrapText="1"/>
    </xf>
    <xf numFmtId="0" fontId="54" fillId="0" borderId="18" xfId="0" applyFont="1" applyBorder="1" applyAlignment="1">
      <alignment horizontal="center" vertical="center"/>
    </xf>
    <xf numFmtId="0" fontId="60" fillId="3" borderId="18" xfId="0" applyFont="1" applyFill="1" applyBorder="1" applyAlignment="1">
      <alignment horizontal="center" vertical="center" wrapText="1"/>
    </xf>
    <xf numFmtId="180" fontId="55" fillId="13" borderId="18" xfId="0" applyNumberFormat="1" applyFont="1" applyFill="1" applyBorder="1" applyAlignment="1">
      <alignment horizontal="center" vertical="center" wrapText="1"/>
    </xf>
    <xf numFmtId="181" fontId="55" fillId="13" borderId="18" xfId="0" applyNumberFormat="1" applyFont="1" applyFill="1" applyBorder="1" applyAlignment="1">
      <alignment horizontal="center" vertical="center" wrapText="1"/>
    </xf>
    <xf numFmtId="181" fontId="60" fillId="13" borderId="18" xfId="0" applyNumberFormat="1" applyFont="1" applyFill="1" applyBorder="1" applyAlignment="1">
      <alignment horizontal="center" vertical="center" wrapText="1"/>
    </xf>
    <xf numFmtId="181" fontId="60" fillId="13" borderId="2" xfId="0" applyNumberFormat="1" applyFont="1" applyFill="1" applyBorder="1" applyAlignment="1">
      <alignment horizontal="center" vertical="center" wrapText="1"/>
    </xf>
    <xf numFmtId="0" fontId="62" fillId="0" borderId="20" xfId="0" applyFont="1" applyBorder="1" applyAlignment="1">
      <alignment horizontal="center" vertical="center" wrapText="1"/>
    </xf>
    <xf numFmtId="0" fontId="59" fillId="3" borderId="20" xfId="0" applyFont="1" applyFill="1" applyBorder="1" applyAlignment="1">
      <alignment horizontal="center" vertical="center" wrapText="1"/>
    </xf>
    <xf numFmtId="0" fontId="63" fillId="12" borderId="20" xfId="0" applyFont="1" applyFill="1" applyBorder="1" applyAlignment="1">
      <alignment horizontal="center" vertical="center"/>
    </xf>
    <xf numFmtId="180" fontId="55" fillId="12" borderId="20" xfId="0" applyNumberFormat="1" applyFont="1" applyFill="1" applyBorder="1" applyAlignment="1">
      <alignment horizontal="center" vertical="center"/>
    </xf>
    <xf numFmtId="181" fontId="55" fillId="12" borderId="20" xfId="0" applyNumberFormat="1" applyFont="1" applyFill="1" applyBorder="1" applyAlignment="1">
      <alignment horizontal="center" vertical="center"/>
    </xf>
    <xf numFmtId="177" fontId="55" fillId="12" borderId="20" xfId="0" applyNumberFormat="1" applyFont="1" applyFill="1" applyBorder="1" applyAlignment="1">
      <alignment horizontal="center" vertical="center"/>
    </xf>
    <xf numFmtId="181" fontId="59" fillId="12" borderId="20" xfId="0" applyNumberFormat="1" applyFont="1" applyFill="1" applyBorder="1" applyAlignment="1">
      <alignment horizontal="center" vertical="center"/>
    </xf>
    <xf numFmtId="181" fontId="59" fillId="12" borderId="21" xfId="0" applyNumberFormat="1" applyFont="1" applyFill="1" applyBorder="1" applyAlignment="1">
      <alignment horizontal="center" vertical="center"/>
    </xf>
    <xf numFmtId="0" fontId="62" fillId="0" borderId="18" xfId="0" applyFont="1" applyBorder="1" applyAlignment="1">
      <alignment horizontal="center" vertical="center"/>
    </xf>
    <xf numFmtId="0" fontId="69" fillId="0" borderId="20" xfId="0" applyFont="1" applyBorder="1" applyAlignment="1">
      <alignment horizontal="center" vertical="center" wrapText="1"/>
    </xf>
    <xf numFmtId="0" fontId="42" fillId="13" borderId="13" xfId="0" applyFont="1" applyFill="1" applyBorder="1" applyAlignment="1">
      <alignment horizontal="center" vertical="center" wrapText="1"/>
    </xf>
    <xf numFmtId="0" fontId="42" fillId="13" borderId="18" xfId="0" applyFont="1" applyFill="1" applyBorder="1" applyAlignment="1">
      <alignment horizontal="center" vertical="center" wrapText="1"/>
    </xf>
    <xf numFmtId="0" fontId="42" fillId="13" borderId="20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center" wrapText="1"/>
    </xf>
    <xf numFmtId="0" fontId="42" fillId="15" borderId="13" xfId="0" applyFont="1" applyFill="1" applyBorder="1" applyAlignment="1">
      <alignment horizontal="center" vertical="center"/>
    </xf>
    <xf numFmtId="10" fontId="70" fillId="9" borderId="15" xfId="0" applyNumberFormat="1" applyFont="1" applyFill="1" applyBorder="1" applyAlignment="1">
      <alignment horizontal="center" vertical="center"/>
    </xf>
    <xf numFmtId="10" fontId="70" fillId="9" borderId="16" xfId="0" applyNumberFormat="1" applyFont="1" applyFill="1" applyBorder="1" applyAlignment="1">
      <alignment horizontal="center" vertical="center"/>
    </xf>
    <xf numFmtId="10" fontId="71" fillId="9" borderId="0" xfId="0" applyNumberFormat="1" applyFont="1" applyFill="1" applyBorder="1" applyAlignment="1">
      <alignment horizontal="center" vertical="center"/>
    </xf>
    <xf numFmtId="0" fontId="42" fillId="13" borderId="18" xfId="0" applyFont="1" applyFill="1" applyBorder="1" applyAlignment="1">
      <alignment horizontal="center" vertical="center"/>
    </xf>
    <xf numFmtId="0" fontId="42" fillId="12" borderId="20" xfId="0" applyFont="1" applyFill="1" applyBorder="1" applyAlignment="1">
      <alignment horizontal="center" vertical="center"/>
    </xf>
    <xf numFmtId="177" fontId="72" fillId="17" borderId="3" xfId="0" applyNumberFormat="1" applyFont="1" applyFill="1" applyBorder="1" applyAlignment="1">
      <alignment horizontal="center" vertical="center"/>
    </xf>
    <xf numFmtId="10" fontId="70" fillId="9" borderId="22" xfId="0" applyNumberFormat="1" applyFont="1" applyFill="1" applyBorder="1" applyAlignment="1">
      <alignment horizontal="center" vertical="center"/>
    </xf>
    <xf numFmtId="10" fontId="70" fillId="9" borderId="23" xfId="0" applyNumberFormat="1" applyFont="1" applyFill="1" applyBorder="1" applyAlignment="1">
      <alignment horizontal="center" vertical="center"/>
    </xf>
    <xf numFmtId="177" fontId="61" fillId="12" borderId="20" xfId="0" applyNumberFormat="1" applyFont="1" applyFill="1" applyBorder="1" applyAlignment="1">
      <alignment horizontal="center" vertical="center"/>
    </xf>
    <xf numFmtId="0" fontId="42" fillId="9" borderId="26" xfId="0" applyFont="1" applyFill="1" applyBorder="1" applyAlignment="1">
      <alignment horizontal="center" vertical="center" wrapText="1"/>
    </xf>
    <xf numFmtId="0" fontId="42" fillId="0" borderId="26" xfId="0" applyFont="1" applyFill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42" fillId="0" borderId="26" xfId="0" applyFont="1" applyBorder="1" applyAlignment="1">
      <alignment horizontal="center" vertical="center"/>
    </xf>
    <xf numFmtId="0" fontId="41" fillId="13" borderId="26" xfId="0" applyFont="1" applyFill="1" applyBorder="1" applyAlignment="1">
      <alignment horizontal="center" vertical="center" wrapText="1"/>
    </xf>
    <xf numFmtId="0" fontId="43" fillId="9" borderId="26" xfId="0" applyFont="1" applyFill="1" applyBorder="1" applyAlignment="1">
      <alignment horizontal="center" vertical="center" wrapText="1"/>
    </xf>
    <xf numFmtId="0" fontId="41" fillId="9" borderId="26" xfId="0" applyFont="1" applyFill="1" applyBorder="1" applyAlignment="1">
      <alignment horizontal="center" vertical="center" wrapText="1"/>
    </xf>
    <xf numFmtId="0" fontId="43" fillId="3" borderId="26" xfId="0" applyFont="1" applyFill="1" applyBorder="1" applyAlignment="1">
      <alignment horizontal="center" vertical="center" wrapText="1"/>
    </xf>
    <xf numFmtId="0" fontId="43" fillId="13" borderId="2" xfId="0" applyFont="1" applyFill="1" applyBorder="1" applyAlignment="1">
      <alignment horizontal="center" vertical="center"/>
    </xf>
    <xf numFmtId="177" fontId="43" fillId="13" borderId="2" xfId="0" applyNumberFormat="1" applyFont="1" applyFill="1" applyBorder="1" applyAlignment="1">
      <alignment horizontal="center" vertical="center"/>
    </xf>
    <xf numFmtId="177" fontId="43" fillId="13" borderId="24" xfId="0" applyNumberFormat="1" applyFont="1" applyFill="1" applyBorder="1" applyAlignment="1">
      <alignment horizontal="center" vertical="center" wrapText="1"/>
    </xf>
    <xf numFmtId="177" fontId="43" fillId="13" borderId="2" xfId="0" applyNumberFormat="1" applyFont="1" applyFill="1" applyBorder="1" applyAlignment="1">
      <alignment horizontal="center" vertical="center" wrapText="1"/>
    </xf>
    <xf numFmtId="180" fontId="42" fillId="13" borderId="2" xfId="0" applyNumberFormat="1" applyFont="1" applyFill="1" applyBorder="1" applyAlignment="1">
      <alignment horizontal="center" vertical="center" wrapText="1"/>
    </xf>
    <xf numFmtId="177" fontId="42" fillId="13" borderId="2" xfId="0" applyNumberFormat="1" applyFont="1" applyFill="1" applyBorder="1" applyAlignment="1">
      <alignment horizontal="center" vertical="center" wrapText="1"/>
    </xf>
    <xf numFmtId="177" fontId="42" fillId="12" borderId="20" xfId="0" applyNumberFormat="1" applyFont="1" applyFill="1" applyBorder="1" applyAlignment="1">
      <alignment horizontal="center" vertical="center" wrapText="1"/>
    </xf>
    <xf numFmtId="0" fontId="42" fillId="0" borderId="26" xfId="0" applyFont="1" applyFill="1" applyBorder="1" applyAlignment="1">
      <alignment horizontal="center" vertical="center" wrapText="1"/>
    </xf>
    <xf numFmtId="0" fontId="71" fillId="9" borderId="0" xfId="0" applyFont="1" applyFill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177" fontId="42" fillId="13" borderId="24" xfId="0" applyNumberFormat="1" applyFont="1" applyFill="1" applyBorder="1" applyAlignment="1">
      <alignment horizontal="center" vertical="center" wrapText="1"/>
    </xf>
    <xf numFmtId="0" fontId="43" fillId="0" borderId="13" xfId="0" applyFont="1" applyFill="1" applyBorder="1" applyAlignment="1">
      <alignment horizontal="center" vertical="center" wrapText="1"/>
    </xf>
    <xf numFmtId="0" fontId="43" fillId="0" borderId="18" xfId="0" applyFont="1" applyBorder="1" applyAlignment="1">
      <alignment horizontal="center" vertical="center" wrapText="1"/>
    </xf>
    <xf numFmtId="0" fontId="73" fillId="10" borderId="0" xfId="0" applyFont="1" applyFill="1" applyAlignment="1">
      <alignment vertical="center" wrapText="1"/>
    </xf>
    <xf numFmtId="0" fontId="9" fillId="0" borderId="18" xfId="0" applyFont="1" applyBorder="1" applyAlignment="1">
      <alignment horizontal="left" vertical="center" wrapText="1"/>
    </xf>
    <xf numFmtId="177" fontId="50" fillId="17" borderId="13" xfId="0" applyNumberFormat="1" applyFont="1" applyFill="1" applyBorder="1" applyAlignment="1">
      <alignment horizontal="center" vertical="center"/>
    </xf>
    <xf numFmtId="0" fontId="74" fillId="10" borderId="0" xfId="0" applyFont="1" applyFill="1" applyAlignment="1">
      <alignment vertical="center"/>
    </xf>
    <xf numFmtId="10" fontId="46" fillId="9" borderId="0" xfId="0" applyNumberFormat="1" applyFont="1" applyFill="1" applyBorder="1" applyAlignment="1">
      <alignment horizontal="left" vertical="center"/>
    </xf>
    <xf numFmtId="0" fontId="42" fillId="14" borderId="18" xfId="0" applyFont="1" applyFill="1" applyBorder="1" applyAlignment="1">
      <alignment horizontal="center" vertical="center"/>
    </xf>
    <xf numFmtId="0" fontId="58" fillId="0" borderId="13" xfId="0" applyFont="1" applyFill="1" applyBorder="1" applyAlignment="1">
      <alignment horizontal="center" vertical="center" wrapText="1"/>
    </xf>
    <xf numFmtId="0" fontId="53" fillId="0" borderId="13" xfId="0" applyFont="1" applyFill="1" applyBorder="1" applyAlignment="1">
      <alignment horizontal="center" vertical="center" wrapText="1"/>
    </xf>
    <xf numFmtId="0" fontId="58" fillId="0" borderId="18" xfId="0" applyFont="1" applyFill="1" applyBorder="1" applyAlignment="1">
      <alignment horizontal="center" vertical="center"/>
    </xf>
    <xf numFmtId="0" fontId="53" fillId="0" borderId="18" xfId="0" applyFont="1" applyFill="1" applyBorder="1" applyAlignment="1">
      <alignment horizontal="center" vertical="center"/>
    </xf>
    <xf numFmtId="0" fontId="58" fillId="0" borderId="20" xfId="0" applyFont="1" applyFill="1" applyBorder="1" applyAlignment="1">
      <alignment horizontal="center" vertical="center" wrapText="1"/>
    </xf>
    <xf numFmtId="0" fontId="53" fillId="0" borderId="20" xfId="0" applyFont="1" applyFill="1" applyBorder="1" applyAlignment="1">
      <alignment horizontal="center" vertical="center" wrapText="1"/>
    </xf>
    <xf numFmtId="0" fontId="75" fillId="9" borderId="0" xfId="0" applyFont="1" applyFill="1" applyAlignment="1">
      <alignment horizontal="left" wrapText="1"/>
    </xf>
    <xf numFmtId="0" fontId="75" fillId="9" borderId="0" xfId="0" applyFont="1" applyFill="1"/>
    <xf numFmtId="10" fontId="9" fillId="9" borderId="0" xfId="0" applyNumberFormat="1" applyFont="1" applyFill="1" applyAlignment="1">
      <alignment horizontal="left" wrapText="1"/>
    </xf>
    <xf numFmtId="0" fontId="43" fillId="0" borderId="13" xfId="0" quotePrefix="1" applyNumberFormat="1" applyFont="1" applyFill="1" applyBorder="1" applyAlignment="1">
      <alignment horizontal="center" vertical="center" wrapText="1"/>
    </xf>
    <xf numFmtId="0" fontId="42" fillId="0" borderId="13" xfId="0" quotePrefix="1" applyFont="1" applyFill="1" applyBorder="1" applyAlignment="1">
      <alignment horizontal="center" vertical="center" wrapText="1"/>
    </xf>
    <xf numFmtId="0" fontId="42" fillId="0" borderId="18" xfId="0" quotePrefix="1" applyFont="1" applyFill="1" applyBorder="1" applyAlignment="1">
      <alignment horizontal="center" vertical="center"/>
    </xf>
    <xf numFmtId="0" fontId="42" fillId="0" borderId="20" xfId="0" quotePrefix="1" applyFont="1" applyFill="1" applyBorder="1" applyAlignment="1">
      <alignment horizontal="center" vertical="center" wrapText="1"/>
    </xf>
    <xf numFmtId="0" fontId="42" fillId="0" borderId="13" xfId="0" quotePrefix="1" applyFont="1" applyBorder="1" applyAlignment="1">
      <alignment horizontal="center" vertical="center" wrapText="1"/>
    </xf>
    <xf numFmtId="0" fontId="42" fillId="0" borderId="18" xfId="0" quotePrefix="1" applyFont="1" applyBorder="1" applyAlignment="1">
      <alignment horizontal="center" vertical="center"/>
    </xf>
    <xf numFmtId="0" fontId="41" fillId="0" borderId="20" xfId="0" quotePrefix="1" applyFont="1" applyBorder="1" applyAlignment="1">
      <alignment horizontal="center" vertical="center" wrapText="1"/>
    </xf>
    <xf numFmtId="0" fontId="42" fillId="0" borderId="20" xfId="0" quotePrefix="1" applyFont="1" applyBorder="1" applyAlignment="1">
      <alignment horizontal="center" vertical="center" wrapText="1"/>
    </xf>
    <xf numFmtId="58" fontId="42" fillId="0" borderId="13" xfId="0" quotePrefix="1" applyNumberFormat="1" applyFont="1" applyBorder="1" applyAlignment="1">
      <alignment horizontal="center" vertical="center" wrapText="1"/>
    </xf>
    <xf numFmtId="0" fontId="55" fillId="0" borderId="13" xfId="0" quotePrefix="1" applyFont="1" applyFill="1" applyBorder="1" applyAlignment="1">
      <alignment horizontal="center" vertical="center" wrapText="1"/>
    </xf>
    <xf numFmtId="0" fontId="55" fillId="0" borderId="18" xfId="0" quotePrefix="1" applyFont="1" applyFill="1" applyBorder="1" applyAlignment="1">
      <alignment horizontal="center" vertical="center"/>
    </xf>
    <xf numFmtId="0" fontId="55" fillId="0" borderId="20" xfId="0" quotePrefix="1" applyFont="1" applyFill="1" applyBorder="1" applyAlignment="1">
      <alignment horizontal="center" vertical="center" wrapText="1"/>
    </xf>
    <xf numFmtId="0" fontId="42" fillId="0" borderId="24" xfId="0" quotePrefix="1" applyFont="1" applyBorder="1" applyAlignment="1">
      <alignment horizontal="center" vertical="center"/>
    </xf>
    <xf numFmtId="0" fontId="55" fillId="0" borderId="13" xfId="0" quotePrefix="1" applyFont="1" applyBorder="1" applyAlignment="1">
      <alignment horizontal="center" vertical="center" wrapText="1"/>
    </xf>
    <xf numFmtId="0" fontId="43" fillId="0" borderId="13" xfId="0" quotePrefix="1" applyFont="1" applyBorder="1" applyAlignment="1">
      <alignment horizontal="center" vertical="center" wrapText="1"/>
    </xf>
    <xf numFmtId="178" fontId="45" fillId="0" borderId="14" xfId="0" applyNumberFormat="1" applyFont="1" applyFill="1" applyBorder="1" applyAlignment="1">
      <alignment horizontal="left" vertical="top" wrapText="1"/>
    </xf>
    <xf numFmtId="178" fontId="45" fillId="0" borderId="2" xfId="0" applyNumberFormat="1" applyFont="1" applyFill="1" applyBorder="1" applyAlignment="1">
      <alignment horizontal="left" vertical="top" wrapText="1"/>
    </xf>
    <xf numFmtId="178" fontId="45" fillId="0" borderId="21" xfId="0" applyNumberFormat="1" applyFont="1" applyFill="1" applyBorder="1" applyAlignment="1">
      <alignment horizontal="left" vertical="top" wrapText="1"/>
    </xf>
    <xf numFmtId="178" fontId="45" fillId="0" borderId="14" xfId="0" applyNumberFormat="1" applyFont="1" applyBorder="1" applyAlignment="1">
      <alignment horizontal="left" vertical="top" wrapText="1"/>
    </xf>
    <xf numFmtId="178" fontId="45" fillId="0" borderId="2" xfId="0" applyNumberFormat="1" applyFont="1" applyBorder="1" applyAlignment="1">
      <alignment horizontal="left" vertical="top" wrapText="1"/>
    </xf>
    <xf numFmtId="178" fontId="45" fillId="0" borderId="21" xfId="0" applyNumberFormat="1" applyFont="1" applyBorder="1" applyAlignment="1">
      <alignment horizontal="left" vertical="top" wrapText="1"/>
    </xf>
    <xf numFmtId="178" fontId="53" fillId="0" borderId="14" xfId="0" applyNumberFormat="1" applyFont="1" applyFill="1" applyBorder="1" applyAlignment="1">
      <alignment horizontal="left" vertical="top" wrapText="1"/>
    </xf>
    <xf numFmtId="178" fontId="53" fillId="0" borderId="2" xfId="0" applyNumberFormat="1" applyFont="1" applyFill="1" applyBorder="1" applyAlignment="1">
      <alignment horizontal="left" vertical="top" wrapText="1"/>
    </xf>
    <xf numFmtId="178" fontId="53" fillId="0" borderId="21" xfId="0" applyNumberFormat="1" applyFont="1" applyFill="1" applyBorder="1" applyAlignment="1">
      <alignment horizontal="left" vertical="top" wrapText="1"/>
    </xf>
    <xf numFmtId="178" fontId="45" fillId="0" borderId="14" xfId="0" applyNumberFormat="1" applyFont="1" applyFill="1" applyBorder="1" applyAlignment="1">
      <alignment horizontal="left" vertical="top"/>
    </xf>
    <xf numFmtId="178" fontId="45" fillId="0" borderId="2" xfId="0" applyNumberFormat="1" applyFont="1" applyFill="1" applyBorder="1" applyAlignment="1">
      <alignment horizontal="left" vertical="top"/>
    </xf>
    <xf numFmtId="178" fontId="45" fillId="0" borderId="21" xfId="0" applyNumberFormat="1" applyFont="1" applyFill="1" applyBorder="1" applyAlignment="1">
      <alignment horizontal="left" vertical="top"/>
    </xf>
    <xf numFmtId="178" fontId="45" fillId="0" borderId="14" xfId="0" applyNumberFormat="1" applyFont="1" applyFill="1" applyBorder="1" applyAlignment="1">
      <alignment vertical="top" wrapText="1"/>
    </xf>
    <xf numFmtId="178" fontId="45" fillId="0" borderId="2" xfId="0" applyNumberFormat="1" applyFont="1" applyFill="1" applyBorder="1" applyAlignment="1">
      <alignment vertical="top"/>
    </xf>
    <xf numFmtId="178" fontId="45" fillId="0" borderId="21" xfId="0" applyNumberFormat="1" applyFont="1" applyFill="1" applyBorder="1" applyAlignment="1">
      <alignment vertical="top"/>
    </xf>
    <xf numFmtId="178" fontId="27" fillId="0" borderId="14" xfId="0" applyNumberFormat="1" applyFont="1" applyFill="1" applyBorder="1" applyAlignment="1">
      <alignment horizontal="left" vertical="top"/>
    </xf>
    <xf numFmtId="178" fontId="27" fillId="0" borderId="2" xfId="0" applyNumberFormat="1" applyFont="1" applyFill="1" applyBorder="1" applyAlignment="1">
      <alignment horizontal="left" vertical="top"/>
    </xf>
    <xf numFmtId="178" fontId="27" fillId="0" borderId="21" xfId="0" applyNumberFormat="1" applyFont="1" applyFill="1" applyBorder="1" applyAlignment="1">
      <alignment horizontal="left" vertical="top"/>
    </xf>
    <xf numFmtId="178" fontId="45" fillId="0" borderId="2" xfId="0" applyNumberFormat="1" applyFont="1" applyBorder="1" applyAlignment="1">
      <alignment horizontal="left" vertical="top"/>
    </xf>
    <xf numFmtId="178" fontId="45" fillId="0" borderId="21" xfId="0" applyNumberFormat="1" applyFont="1" applyBorder="1" applyAlignment="1">
      <alignment horizontal="left" vertical="top"/>
    </xf>
    <xf numFmtId="0" fontId="40" fillId="9" borderId="12" xfId="0" applyFont="1" applyFill="1" applyBorder="1" applyAlignment="1">
      <alignment horizontal="center" vertical="center" wrapText="1"/>
    </xf>
    <xf numFmtId="0" fontId="40" fillId="9" borderId="17" xfId="0" applyFont="1" applyFill="1" applyBorder="1" applyAlignment="1">
      <alignment horizontal="center" vertical="center" wrapText="1"/>
    </xf>
    <xf numFmtId="0" fontId="40" fillId="9" borderId="19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3" fillId="0" borderId="4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2" fillId="0" borderId="4" xfId="0" applyNumberFormat="1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176" fontId="84" fillId="0" borderId="3" xfId="0" applyNumberFormat="1" applyFont="1" applyFill="1" applyBorder="1" applyAlignment="1">
      <alignment horizontal="center" vertical="center"/>
    </xf>
    <xf numFmtId="0" fontId="84" fillId="0" borderId="3" xfId="0" applyFont="1" applyFill="1" applyBorder="1" applyAlignment="1">
      <alignment horizontal="center" vertical="center" wrapText="1"/>
    </xf>
    <xf numFmtId="177" fontId="84" fillId="0" borderId="3" xfId="0" applyNumberFormat="1" applyFont="1" applyFill="1" applyBorder="1" applyAlignment="1">
      <alignment horizontal="center" vertical="center" wrapText="1"/>
    </xf>
    <xf numFmtId="176" fontId="85" fillId="3" borderId="0" xfId="0" applyNumberFormat="1" applyFont="1" applyFill="1" applyBorder="1" applyAlignment="1">
      <alignment horizontal="center" vertical="center"/>
    </xf>
    <xf numFmtId="176" fontId="86" fillId="3" borderId="3" xfId="0" applyNumberFormat="1" applyFont="1" applyFill="1" applyBorder="1" applyAlignment="1">
      <alignment horizontal="center" vertical="center"/>
    </xf>
  </cellXfs>
  <cellStyles count="7">
    <cellStyle name="Normal 2" xfId="6" xr:uid="{00000000-0005-0000-0000-000036000000}"/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4" xfId="4" xr:uid="{00000000-0005-0000-0000-000034000000}"/>
    <cellStyle name="千位分隔 2" xfId="5" xr:uid="{00000000-0005-0000-0000-000035000000}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0000"/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198967</xdr:colOff>
      <xdr:row>0</xdr:row>
      <xdr:rowOff>37042</xdr:rowOff>
    </xdr:from>
    <xdr:to>
      <xdr:col>1</xdr:col>
      <xdr:colOff>1027669</xdr:colOff>
      <xdr:row>5</xdr:row>
      <xdr:rowOff>72154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640" y="36830"/>
          <a:ext cx="828675" cy="844550"/>
        </a:xfrm>
        <a:prstGeom prst="rect">
          <a:avLst/>
        </a:prstGeom>
      </xdr:spPr>
    </xdr:pic>
    <xdr:clientData/>
  </xdr:twoCellAnchor>
  <xdr:twoCellAnchor editAs="oneCell">
    <xdr:from>
      <xdr:col>42</xdr:col>
      <xdr:colOff>58208</xdr:colOff>
      <xdr:row>1</xdr:row>
      <xdr:rowOff>68790</xdr:rowOff>
    </xdr:from>
    <xdr:to>
      <xdr:col>42</xdr:col>
      <xdr:colOff>1389249</xdr:colOff>
      <xdr:row>6</xdr:row>
      <xdr:rowOff>17226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383105" y="230505"/>
          <a:ext cx="1330960" cy="7581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hangjuan/Desktop/Procurement%20Plan-Z1F_20260612-internal(10%20day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R"/>
      <sheetName val="Thai Holidays"/>
      <sheetName val="China Holidays"/>
      <sheetName val="Sheet1"/>
    </sheetNames>
    <sheetDataSet>
      <sheetData sheetId="0"/>
      <sheetData sheetId="1">
        <row r="2">
          <cell r="A2">
            <v>45996</v>
          </cell>
        </row>
        <row r="3">
          <cell r="A3">
            <v>46001</v>
          </cell>
        </row>
        <row r="4">
          <cell r="A4">
            <v>46020</v>
          </cell>
        </row>
        <row r="5">
          <cell r="A5">
            <v>46021</v>
          </cell>
        </row>
        <row r="6">
          <cell r="A6">
            <v>46022</v>
          </cell>
        </row>
        <row r="7">
          <cell r="A7">
            <v>46023</v>
          </cell>
        </row>
        <row r="8">
          <cell r="A8">
            <v>46024</v>
          </cell>
        </row>
        <row r="9">
          <cell r="A9">
            <v>46065</v>
          </cell>
        </row>
        <row r="10">
          <cell r="A10">
            <v>46118</v>
          </cell>
        </row>
        <row r="11">
          <cell r="A11">
            <v>46125</v>
          </cell>
        </row>
        <row r="12">
          <cell r="A12">
            <v>46126</v>
          </cell>
        </row>
        <row r="13">
          <cell r="A13">
            <v>46127</v>
          </cell>
        </row>
        <row r="14">
          <cell r="A14">
            <v>46128</v>
          </cell>
        </row>
        <row r="15">
          <cell r="A15">
            <v>46129</v>
          </cell>
        </row>
        <row r="16">
          <cell r="A16">
            <v>46143</v>
          </cell>
        </row>
        <row r="17">
          <cell r="A17">
            <v>46146</v>
          </cell>
        </row>
        <row r="18">
          <cell r="A18">
            <v>46174</v>
          </cell>
        </row>
        <row r="19">
          <cell r="A19">
            <v>46176</v>
          </cell>
        </row>
        <row r="20">
          <cell r="A20">
            <v>46231</v>
          </cell>
        </row>
        <row r="21">
          <cell r="A21">
            <v>46232</v>
          </cell>
        </row>
        <row r="22">
          <cell r="A22">
            <v>46246</v>
          </cell>
        </row>
        <row r="23">
          <cell r="A23">
            <v>46308</v>
          </cell>
        </row>
        <row r="24">
          <cell r="A24">
            <v>46318</v>
          </cell>
        </row>
        <row r="25">
          <cell r="A25">
            <v>46363</v>
          </cell>
        </row>
        <row r="26">
          <cell r="A26">
            <v>46387</v>
          </cell>
        </row>
        <row r="27">
          <cell r="A27">
            <v>46388</v>
          </cell>
        </row>
        <row r="28">
          <cell r="A28">
            <v>46389</v>
          </cell>
        </row>
        <row r="29">
          <cell r="A29">
            <v>46439</v>
          </cell>
        </row>
        <row r="30">
          <cell r="A30">
            <v>46440</v>
          </cell>
        </row>
        <row r="31">
          <cell r="A31">
            <v>46483</v>
          </cell>
        </row>
        <row r="32">
          <cell r="A32">
            <v>46490</v>
          </cell>
        </row>
        <row r="33">
          <cell r="A33">
            <v>46491</v>
          </cell>
        </row>
        <row r="34">
          <cell r="A34">
            <v>46492</v>
          </cell>
        </row>
        <row r="35">
          <cell r="A35">
            <v>46508</v>
          </cell>
        </row>
        <row r="36">
          <cell r="A36">
            <v>46511</v>
          </cell>
        </row>
        <row r="37">
          <cell r="A37">
            <v>46527</v>
          </cell>
        </row>
        <row r="38">
          <cell r="A38">
            <v>46541</v>
          </cell>
        </row>
        <row r="39">
          <cell r="A39">
            <v>46611</v>
          </cell>
        </row>
        <row r="40">
          <cell r="A40">
            <v>46673</v>
          </cell>
        </row>
        <row r="41">
          <cell r="A41">
            <v>46683</v>
          </cell>
        </row>
        <row r="42">
          <cell r="A42">
            <v>46685</v>
          </cell>
        </row>
        <row r="43">
          <cell r="A43">
            <v>46726</v>
          </cell>
        </row>
        <row r="44">
          <cell r="A44">
            <v>46727</v>
          </cell>
        </row>
        <row r="45">
          <cell r="A45">
            <v>46731</v>
          </cell>
        </row>
        <row r="46">
          <cell r="A46">
            <v>46752</v>
          </cell>
        </row>
        <row r="47">
          <cell r="A47">
            <v>46753</v>
          </cell>
        </row>
        <row r="48">
          <cell r="A48">
            <v>46791</v>
          </cell>
        </row>
        <row r="49">
          <cell r="A49">
            <v>46849</v>
          </cell>
        </row>
        <row r="50">
          <cell r="A50">
            <v>46856</v>
          </cell>
        </row>
        <row r="51">
          <cell r="A51">
            <v>46857</v>
          </cell>
        </row>
        <row r="52">
          <cell r="A52">
            <v>46858</v>
          </cell>
        </row>
        <row r="53">
          <cell r="A53">
            <v>46874</v>
          </cell>
        </row>
        <row r="54">
          <cell r="A54">
            <v>46878</v>
          </cell>
        </row>
        <row r="55">
          <cell r="A55">
            <v>46912</v>
          </cell>
        </row>
        <row r="56">
          <cell r="A56">
            <v>46907</v>
          </cell>
        </row>
        <row r="57">
          <cell r="A57">
            <v>46958</v>
          </cell>
        </row>
        <row r="58">
          <cell r="A58">
            <v>46977</v>
          </cell>
        </row>
        <row r="59">
          <cell r="A59">
            <v>47039</v>
          </cell>
        </row>
        <row r="60">
          <cell r="A60">
            <v>47049</v>
          </cell>
        </row>
        <row r="61">
          <cell r="A61">
            <v>47092</v>
          </cell>
        </row>
        <row r="62">
          <cell r="A62">
            <v>47097</v>
          </cell>
        </row>
        <row r="63">
          <cell r="A63">
            <v>47118</v>
          </cell>
        </row>
      </sheetData>
      <sheetData sheetId="2">
        <row r="2">
          <cell r="A2">
            <v>46023</v>
          </cell>
        </row>
        <row r="3">
          <cell r="A3">
            <v>46024</v>
          </cell>
        </row>
        <row r="4">
          <cell r="A4">
            <v>46025</v>
          </cell>
        </row>
        <row r="5">
          <cell r="A5">
            <v>46068</v>
          </cell>
        </row>
        <row r="6">
          <cell r="A6">
            <v>46069</v>
          </cell>
        </row>
        <row r="7">
          <cell r="A7">
            <v>46070</v>
          </cell>
        </row>
        <row r="8">
          <cell r="A8">
            <v>46071</v>
          </cell>
        </row>
        <row r="9">
          <cell r="A9">
            <v>46072</v>
          </cell>
        </row>
        <row r="10">
          <cell r="A10">
            <v>46073</v>
          </cell>
        </row>
        <row r="11">
          <cell r="A11">
            <v>46074</v>
          </cell>
        </row>
        <row r="12">
          <cell r="A12">
            <v>46116</v>
          </cell>
        </row>
        <row r="13">
          <cell r="A13">
            <v>46117</v>
          </cell>
        </row>
        <row r="14">
          <cell r="A14">
            <v>46118</v>
          </cell>
        </row>
        <row r="15">
          <cell r="A15">
            <v>46143</v>
          </cell>
        </row>
        <row r="16">
          <cell r="A16">
            <v>46144</v>
          </cell>
        </row>
        <row r="17">
          <cell r="A17">
            <v>46145</v>
          </cell>
        </row>
        <row r="18">
          <cell r="A18">
            <v>46192</v>
          </cell>
        </row>
        <row r="19">
          <cell r="A19">
            <v>46193</v>
          </cell>
        </row>
        <row r="20">
          <cell r="A20">
            <v>46194</v>
          </cell>
        </row>
        <row r="21">
          <cell r="A21">
            <v>46290</v>
          </cell>
        </row>
        <row r="22">
          <cell r="A22">
            <v>46291</v>
          </cell>
        </row>
        <row r="23">
          <cell r="A23">
            <v>46292</v>
          </cell>
        </row>
        <row r="24">
          <cell r="A24">
            <v>46296</v>
          </cell>
        </row>
        <row r="25">
          <cell r="A25">
            <v>46297</v>
          </cell>
        </row>
        <row r="26">
          <cell r="A26">
            <v>46298</v>
          </cell>
        </row>
        <row r="27">
          <cell r="A27">
            <v>46299</v>
          </cell>
        </row>
        <row r="28">
          <cell r="A28">
            <v>46300</v>
          </cell>
        </row>
        <row r="29">
          <cell r="A29">
            <v>46301</v>
          </cell>
        </row>
        <row r="30">
          <cell r="A30">
            <v>46302</v>
          </cell>
        </row>
        <row r="31">
          <cell r="A31">
            <v>46388</v>
          </cell>
        </row>
        <row r="32">
          <cell r="A32">
            <v>46389</v>
          </cell>
        </row>
        <row r="33">
          <cell r="A33">
            <v>46390</v>
          </cell>
        </row>
        <row r="34">
          <cell r="A34">
            <v>46424</v>
          </cell>
        </row>
        <row r="35">
          <cell r="A35">
            <v>46425</v>
          </cell>
        </row>
        <row r="36">
          <cell r="A36">
            <v>46426</v>
          </cell>
        </row>
        <row r="37">
          <cell r="A37">
            <v>46427</v>
          </cell>
        </row>
        <row r="38">
          <cell r="A38">
            <v>46428</v>
          </cell>
        </row>
        <row r="39">
          <cell r="A39">
            <v>46429</v>
          </cell>
        </row>
        <row r="40">
          <cell r="A40">
            <v>46430</v>
          </cell>
        </row>
        <row r="41">
          <cell r="A41">
            <v>46480</v>
          </cell>
        </row>
        <row r="42">
          <cell r="A42">
            <v>46481</v>
          </cell>
        </row>
        <row r="43">
          <cell r="A43">
            <v>46482</v>
          </cell>
        </row>
        <row r="44">
          <cell r="A44">
            <v>46508</v>
          </cell>
        </row>
        <row r="45">
          <cell r="A45">
            <v>46509</v>
          </cell>
        </row>
        <row r="46">
          <cell r="A46">
            <v>46510</v>
          </cell>
        </row>
        <row r="47">
          <cell r="A47">
            <v>46549</v>
          </cell>
        </row>
        <row r="48">
          <cell r="A48">
            <v>46550</v>
          </cell>
        </row>
        <row r="49">
          <cell r="A49">
            <v>46551</v>
          </cell>
        </row>
        <row r="50">
          <cell r="A50">
            <v>46552</v>
          </cell>
        </row>
        <row r="51">
          <cell r="A51">
            <v>46645</v>
          </cell>
        </row>
        <row r="52">
          <cell r="A52">
            <v>46661</v>
          </cell>
        </row>
        <row r="53">
          <cell r="A53">
            <v>46662</v>
          </cell>
        </row>
        <row r="54">
          <cell r="A54">
            <v>46663</v>
          </cell>
        </row>
        <row r="55">
          <cell r="A55">
            <v>46664</v>
          </cell>
        </row>
        <row r="56">
          <cell r="A56">
            <v>46665</v>
          </cell>
        </row>
        <row r="57">
          <cell r="A57">
            <v>46666</v>
          </cell>
        </row>
        <row r="58">
          <cell r="A58">
            <v>46667</v>
          </cell>
        </row>
        <row r="59">
          <cell r="A59">
            <v>46753</v>
          </cell>
        </row>
        <row r="60">
          <cell r="A60">
            <v>46754</v>
          </cell>
        </row>
        <row r="61">
          <cell r="A61">
            <v>46755</v>
          </cell>
        </row>
        <row r="62">
          <cell r="A62">
            <v>46777</v>
          </cell>
        </row>
        <row r="63">
          <cell r="A63">
            <v>46778</v>
          </cell>
        </row>
        <row r="64">
          <cell r="A64">
            <v>46779</v>
          </cell>
        </row>
        <row r="65">
          <cell r="A65">
            <v>46780</v>
          </cell>
        </row>
        <row r="66">
          <cell r="A66">
            <v>46781</v>
          </cell>
        </row>
        <row r="67">
          <cell r="A67">
            <v>46782</v>
          </cell>
        </row>
        <row r="68">
          <cell r="A68">
            <v>46783</v>
          </cell>
        </row>
        <row r="69">
          <cell r="A69">
            <v>46847</v>
          </cell>
        </row>
        <row r="70">
          <cell r="A70">
            <v>46848</v>
          </cell>
        </row>
        <row r="71">
          <cell r="A71">
            <v>46849</v>
          </cell>
        </row>
        <row r="72">
          <cell r="A72">
            <v>46874</v>
          </cell>
        </row>
        <row r="73">
          <cell r="A73">
            <v>46875</v>
          </cell>
        </row>
        <row r="74">
          <cell r="A74">
            <v>46876</v>
          </cell>
        </row>
        <row r="75">
          <cell r="A75">
            <v>46904</v>
          </cell>
        </row>
        <row r="76">
          <cell r="A76">
            <v>46905</v>
          </cell>
        </row>
        <row r="77">
          <cell r="A77">
            <v>46906</v>
          </cell>
        </row>
        <row r="78">
          <cell r="A78">
            <v>47027</v>
          </cell>
        </row>
        <row r="79">
          <cell r="A79">
            <v>47028</v>
          </cell>
        </row>
        <row r="80">
          <cell r="A80">
            <v>47029</v>
          </cell>
        </row>
        <row r="81">
          <cell r="A81">
            <v>47030</v>
          </cell>
        </row>
        <row r="82">
          <cell r="A82">
            <v>47031</v>
          </cell>
        </row>
        <row r="83">
          <cell r="A83">
            <v>47032</v>
          </cell>
        </row>
        <row r="84">
          <cell r="A84">
            <v>47033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edms.pttep.com/D2-Service/servlet/downloadrendition?type=PDF+Comments&amp;id=0902f829826c5103" TargetMode="External"/><Relationship Id="rId13" Type="http://schemas.openxmlformats.org/officeDocument/2006/relationships/hyperlink" Target="https://edms.pttep.com/D2-Service/servlet/downloadrendition?type=PDF+Comments&amp;id=0902f829825f13a2" TargetMode="External"/><Relationship Id="rId18" Type="http://schemas.openxmlformats.org/officeDocument/2006/relationships/hyperlink" Target="https://edms.pttep.com/D2/servlet/DispatchDownload?_docbase=EDMS_PRD&amp;_locate=en&amp;event_name=d2_view&amp;id=0902f829825d805d" TargetMode="External"/><Relationship Id="rId26" Type="http://schemas.openxmlformats.org/officeDocument/2006/relationships/hyperlink" Target="https://edms.pttep.com/D2-Service/servlet/downloadrendition?type=PDF+Comments&amp;id=0902f829826c5103" TargetMode="External"/><Relationship Id="rId3" Type="http://schemas.openxmlformats.org/officeDocument/2006/relationships/hyperlink" Target="https://edms.pttep.com/D2/servlet/DispatchDownload?_docbase=EDMS_PRD&amp;_locate=en&amp;event_name=d2_view&amp;id=0902f829826c5103" TargetMode="External"/><Relationship Id="rId21" Type="http://schemas.openxmlformats.org/officeDocument/2006/relationships/hyperlink" Target="https://edms.pttep.com/D2-Service/servlet/downloadrendition?type=PDF+Comments&amp;id=0902f829825f07dd" TargetMode="External"/><Relationship Id="rId7" Type="http://schemas.openxmlformats.org/officeDocument/2006/relationships/hyperlink" Target="https://edms.pttep.com/D2-Service/servlet/downloadrendition?type=PDF+Comments&amp;id=0902f82982603a02" TargetMode="External"/><Relationship Id="rId12" Type="http://schemas.openxmlformats.org/officeDocument/2006/relationships/hyperlink" Target="https://edms.pttep.com/D2-Service/servlet/downloadrendition?type=PDF+Comments&amp;id=0902f829825d8049" TargetMode="External"/><Relationship Id="rId17" Type="http://schemas.openxmlformats.org/officeDocument/2006/relationships/hyperlink" Target="https://edms.pttep.com/D2-Service/servlet/downloadrendition?type=PDF+Comments&amp;id=0902f829825f07cf" TargetMode="External"/><Relationship Id="rId25" Type="http://schemas.openxmlformats.org/officeDocument/2006/relationships/hyperlink" Target="https://edms.pttep.com/D2-Service/servlet/downloadrendition?type=PDF+Comments&amp;id=0902f829825f07eb" TargetMode="External"/><Relationship Id="rId2" Type="http://schemas.openxmlformats.org/officeDocument/2006/relationships/hyperlink" Target="https://edms.pttep.com/D2/servlet/DispatchDownload?_docbase=EDMS_PRD&amp;_locate=en&amp;event_name=d2_view&amp;id=0902f82982603a02" TargetMode="External"/><Relationship Id="rId16" Type="http://schemas.openxmlformats.org/officeDocument/2006/relationships/hyperlink" Target="https://edms.pttep.com/D2-Service/servlet/downloadrendition?type=PDF+Comments&amp;id=0902f829825d804f" TargetMode="External"/><Relationship Id="rId20" Type="http://schemas.openxmlformats.org/officeDocument/2006/relationships/hyperlink" Target="https://edms.pttep.com/D2-Service/servlet/downloadrendition?type=PDF+Comments&amp;id=0902f829825d805d" TargetMode="External"/><Relationship Id="rId1" Type="http://schemas.openxmlformats.org/officeDocument/2006/relationships/hyperlink" Target="https://edms.pttep.com/D2/servlet/DispatchDownload?_docbase=EDMS_PRD&amp;_locate=en&amp;event_name=d2_view&amp;id=0902f829825d7fa3" TargetMode="External"/><Relationship Id="rId6" Type="http://schemas.openxmlformats.org/officeDocument/2006/relationships/hyperlink" Target="https://edms.pttep.com/D2-Service/servlet/downloadrendition?type=PDF+Comments&amp;id=0902f829825d7fa3" TargetMode="External"/><Relationship Id="rId11" Type="http://schemas.openxmlformats.org/officeDocument/2006/relationships/hyperlink" Target="https://edms.pttep.com/D2/servlet/DispatchDownload?_docbase=EDMS_PRD&amp;_locate=en&amp;event_name=d2_view&amp;id=0902f829825f13a2" TargetMode="External"/><Relationship Id="rId24" Type="http://schemas.openxmlformats.org/officeDocument/2006/relationships/hyperlink" Target="https://edms.pttep.com/D2-Service/servlet/downloadrendition?type=PDF+Comments&amp;id=0902f829825d806b" TargetMode="External"/><Relationship Id="rId5" Type="http://schemas.openxmlformats.org/officeDocument/2006/relationships/hyperlink" Target="https://edms.pttep.com/D2/servlet/DispatchDownload?_docbase=EDMS_PRD&amp;_locate=en&amp;event_name=d2_view&amp;id=0902f82982735ac8" TargetMode="External"/><Relationship Id="rId15" Type="http://schemas.openxmlformats.org/officeDocument/2006/relationships/hyperlink" Target="https://edms.pttep.com/D2/servlet/DispatchDownload?_docbase=EDMS_PRD&amp;_locate=en&amp;event_name=d2_view&amp;id=0902f829825f07cf" TargetMode="External"/><Relationship Id="rId23" Type="http://schemas.openxmlformats.org/officeDocument/2006/relationships/hyperlink" Target="https://edms.pttep.com/D2/servlet/DispatchDownload?_docbase=EDMS_PRD&amp;_locate=en&amp;event_name=d2_view&amp;id=0902f829825f07eb" TargetMode="External"/><Relationship Id="rId10" Type="http://schemas.openxmlformats.org/officeDocument/2006/relationships/hyperlink" Target="https://edms.pttep.com/D2/servlet/DispatchDownload?_docbase=EDMS_PRD&amp;_locate=en&amp;event_name=d2_view&amp;id=0902f829825d8049" TargetMode="External"/><Relationship Id="rId19" Type="http://schemas.openxmlformats.org/officeDocument/2006/relationships/hyperlink" Target="https://edms.pttep.com/D2/servlet/DispatchDownload?_docbase=EDMS_PRD&amp;_locate=en&amp;event_name=d2_view&amp;id=0902f829825f07dd" TargetMode="External"/><Relationship Id="rId4" Type="http://schemas.openxmlformats.org/officeDocument/2006/relationships/hyperlink" Target="https://edms.pttep.com/D2/servlet/DispatchDownload?_docbase=EDMS_PRD&amp;_locate=en&amp;event_name=d2_view&amp;id=0902f8298269a6cc" TargetMode="External"/><Relationship Id="rId9" Type="http://schemas.openxmlformats.org/officeDocument/2006/relationships/hyperlink" Target="https://edms.pttep.com/D2-Service/servlet/downloadrendition?type=PDF+Comments&amp;id=0902f8298269a6cc" TargetMode="External"/><Relationship Id="rId14" Type="http://schemas.openxmlformats.org/officeDocument/2006/relationships/hyperlink" Target="https://edms.pttep.com/D2/servlet/DispatchDownload?_docbase=EDMS_PRD&amp;_locate=en&amp;event_name=d2_view&amp;id=0902f829825d804f" TargetMode="External"/><Relationship Id="rId22" Type="http://schemas.openxmlformats.org/officeDocument/2006/relationships/hyperlink" Target="https://edms.pttep.com/D2/servlet/DispatchDownload?_docbase=EDMS_PRD&amp;_locate=en&amp;event_name=d2_view&amp;id=0902f829825d806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408"/>
  <sheetViews>
    <sheetView tabSelected="1" zoomScale="90" zoomScaleNormal="90" workbookViewId="0">
      <pane xSplit="7" ySplit="12" topLeftCell="P352" activePane="bottomRight" state="frozen"/>
      <selection pane="topRight"/>
      <selection pane="bottomLeft"/>
      <selection pane="bottomRight" activeCell="D366" sqref="D366"/>
    </sheetView>
  </sheetViews>
  <sheetFormatPr defaultColWidth="10.6640625" defaultRowHeight="19.149999999999999" x14ac:dyDescent="0.6"/>
  <cols>
    <col min="1" max="1" width="3.86328125" style="80" customWidth="1"/>
    <col min="2" max="2" width="23.19921875" style="81" customWidth="1"/>
    <col min="3" max="3" width="13.73046875" style="80" customWidth="1"/>
    <col min="4" max="4" width="32.86328125" style="82" customWidth="1"/>
    <col min="5" max="5" width="9.19921875" style="83" hidden="1" customWidth="1"/>
    <col min="6" max="6" width="4.9296875" style="83" hidden="1" customWidth="1"/>
    <col min="7" max="7" width="6.9296875" style="82" hidden="1" customWidth="1"/>
    <col min="8" max="8" width="6.73046875" customWidth="1"/>
    <col min="9" max="9" width="5.73046875" style="82" customWidth="1"/>
    <col min="10" max="11" width="5.59765625" style="82" customWidth="1"/>
    <col min="12" max="12" width="17.796875" style="84" customWidth="1"/>
    <col min="13" max="13" width="5.73046875" style="85" customWidth="1"/>
    <col min="14" max="14" width="6.86328125" style="82" customWidth="1"/>
    <col min="15" max="15" width="10.53125" style="86" hidden="1" customWidth="1"/>
    <col min="16" max="23" width="10.53125" style="86" customWidth="1"/>
    <col min="24" max="24" width="11.53125" style="86" customWidth="1"/>
    <col min="25" max="25" width="10.53125" style="86" hidden="1" customWidth="1"/>
    <col min="26" max="29" width="10.53125" style="86" customWidth="1"/>
    <col min="30" max="30" width="9.796875" style="86" customWidth="1"/>
    <col min="31" max="36" width="10.53125" style="86" customWidth="1"/>
    <col min="37" max="37" width="7.1328125" style="87" customWidth="1"/>
    <col min="38" max="38" width="5.9296875" style="88" customWidth="1"/>
    <col min="39" max="39" width="13.3984375" style="89" customWidth="1"/>
    <col min="40" max="40" width="11.86328125" style="89" customWidth="1"/>
    <col min="41" max="41" width="7.59765625" style="89" customWidth="1"/>
    <col min="42" max="42" width="10.9296875" style="89" customWidth="1"/>
    <col min="43" max="43" width="27.19921875" style="90" customWidth="1"/>
    <col min="44" max="54" width="10.6640625" style="82" hidden="1" customWidth="1"/>
    <col min="55" max="55" width="8.265625" style="91" customWidth="1"/>
    <col min="56" max="56" width="64.53125" style="82" customWidth="1"/>
    <col min="57" max="16384" width="10.6640625" style="82"/>
  </cols>
  <sheetData>
    <row r="1" spans="1:57" s="75" customFormat="1" ht="11.25" x14ac:dyDescent="0.4">
      <c r="A1" s="461" t="s">
        <v>0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461"/>
      <c r="P1" s="461"/>
      <c r="Q1" s="461"/>
      <c r="R1" s="461"/>
      <c r="S1" s="461"/>
      <c r="T1" s="461"/>
      <c r="U1" s="461"/>
      <c r="V1" s="461"/>
      <c r="W1" s="461"/>
      <c r="X1" s="461"/>
      <c r="Y1" s="461"/>
      <c r="Z1" s="461"/>
      <c r="AA1" s="461"/>
      <c r="AB1" s="461"/>
      <c r="AC1" s="461"/>
      <c r="AD1" s="461"/>
      <c r="AE1" s="461"/>
      <c r="AF1" s="461"/>
      <c r="AG1" s="461"/>
      <c r="AH1" s="461"/>
      <c r="AI1" s="461"/>
      <c r="AJ1" s="461"/>
      <c r="AK1" s="461"/>
      <c r="AL1" s="461"/>
      <c r="AM1" s="461"/>
      <c r="AN1" s="461"/>
      <c r="AO1" s="461"/>
      <c r="AP1" s="461"/>
      <c r="AQ1" s="461"/>
      <c r="BC1" s="92"/>
      <c r="BD1" s="93"/>
      <c r="BE1" s="93"/>
    </row>
    <row r="2" spans="1:57" s="75" customFormat="1" ht="11.25" x14ac:dyDescent="0.4">
      <c r="A2" s="461" t="s">
        <v>1</v>
      </c>
      <c r="B2" s="461"/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461"/>
      <c r="X2" s="461"/>
      <c r="Y2" s="461"/>
      <c r="Z2" s="461"/>
      <c r="AA2" s="461"/>
      <c r="AB2" s="461"/>
      <c r="AC2" s="461"/>
      <c r="AD2" s="461"/>
      <c r="AE2" s="461"/>
      <c r="AF2" s="461"/>
      <c r="AG2" s="461"/>
      <c r="AH2" s="461"/>
      <c r="AI2" s="461"/>
      <c r="AJ2" s="461"/>
      <c r="AK2" s="461"/>
      <c r="AL2" s="461"/>
      <c r="AM2" s="461"/>
      <c r="AN2" s="461"/>
      <c r="AO2" s="461"/>
      <c r="AP2" s="461"/>
      <c r="AQ2" s="461"/>
      <c r="BC2" s="92"/>
      <c r="BD2" s="93"/>
      <c r="BE2" s="93"/>
    </row>
    <row r="3" spans="1:57" s="75" customFormat="1" ht="11.25" x14ac:dyDescent="0.4">
      <c r="A3" s="94"/>
      <c r="B3" s="94"/>
      <c r="C3" s="94"/>
      <c r="D3" s="95"/>
      <c r="E3" s="96"/>
      <c r="F3" s="96"/>
      <c r="G3" s="97"/>
      <c r="H3" s="97"/>
      <c r="I3" s="98"/>
      <c r="J3" s="99"/>
      <c r="K3" s="99"/>
      <c r="L3" s="98"/>
      <c r="M3" s="100"/>
      <c r="N3" s="101"/>
      <c r="O3" s="98"/>
      <c r="P3" s="102"/>
      <c r="Q3" s="102"/>
      <c r="R3" s="102"/>
      <c r="S3" s="102"/>
      <c r="T3" s="102"/>
      <c r="U3" s="102"/>
      <c r="V3" s="102"/>
      <c r="W3" s="102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4"/>
      <c r="AL3" s="103"/>
      <c r="AM3" s="103"/>
      <c r="AN3" s="103"/>
      <c r="AO3" s="103"/>
      <c r="AP3" s="103"/>
      <c r="AQ3" s="105"/>
      <c r="BC3" s="92"/>
      <c r="BD3" s="93"/>
      <c r="BE3" s="93"/>
    </row>
    <row r="4" spans="1:57" s="75" customFormat="1" ht="11.25" x14ac:dyDescent="0.4">
      <c r="A4" s="94"/>
      <c r="B4" s="94"/>
      <c r="C4" s="94"/>
      <c r="D4" s="95"/>
      <c r="E4" s="96"/>
      <c r="F4" s="96"/>
      <c r="G4" s="106"/>
      <c r="H4" s="97"/>
      <c r="I4" s="98"/>
      <c r="J4" s="99"/>
      <c r="K4" s="99"/>
      <c r="L4" s="98"/>
      <c r="M4" s="100"/>
      <c r="N4" s="101"/>
      <c r="O4" s="98"/>
      <c r="P4" s="102"/>
      <c r="Q4" s="102"/>
      <c r="R4" s="102"/>
      <c r="S4" s="102"/>
      <c r="T4" s="102"/>
      <c r="U4" s="102"/>
      <c r="V4" s="102"/>
      <c r="W4" s="102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4"/>
      <c r="AL4" s="103"/>
      <c r="AM4" s="103"/>
      <c r="AN4" s="103"/>
      <c r="AO4" s="103"/>
      <c r="AP4" s="103"/>
      <c r="AQ4" s="105"/>
      <c r="BC4" s="92"/>
      <c r="BD4" s="93"/>
      <c r="BE4" s="93"/>
    </row>
    <row r="5" spans="1:57" s="75" customFormat="1" ht="11.25" x14ac:dyDescent="0.4">
      <c r="A5" s="94"/>
      <c r="B5" s="94"/>
      <c r="C5" s="94"/>
      <c r="D5" s="95"/>
      <c r="E5" s="96"/>
      <c r="F5" s="96"/>
      <c r="G5" s="106"/>
      <c r="H5" s="97"/>
      <c r="I5" s="98"/>
      <c r="J5" s="99"/>
      <c r="K5" s="99"/>
      <c r="L5" s="98"/>
      <c r="M5" s="100"/>
      <c r="N5" s="101"/>
      <c r="O5" s="98"/>
      <c r="P5" s="107"/>
      <c r="Q5" s="107"/>
      <c r="R5" s="107"/>
      <c r="S5" s="107"/>
      <c r="T5" s="107"/>
      <c r="U5" s="107"/>
      <c r="V5" s="107"/>
      <c r="W5" s="107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4"/>
      <c r="AL5" s="103"/>
      <c r="AM5" s="103"/>
      <c r="AN5" s="103"/>
      <c r="AO5" s="103"/>
      <c r="AP5" s="103"/>
      <c r="AQ5" s="105"/>
      <c r="BC5" s="92"/>
      <c r="BD5" s="93"/>
      <c r="BE5" s="93"/>
    </row>
    <row r="6" spans="1:57" s="75" customFormat="1" ht="11.25" x14ac:dyDescent="0.4">
      <c r="A6" s="94"/>
      <c r="B6" s="94"/>
      <c r="C6" s="94"/>
      <c r="D6" s="95"/>
      <c r="E6" s="96"/>
      <c r="F6" s="96"/>
      <c r="G6" s="106"/>
      <c r="H6" s="97"/>
      <c r="I6" s="98"/>
      <c r="J6" s="99"/>
      <c r="K6" s="108" t="s">
        <v>2</v>
      </c>
      <c r="L6" s="109" t="s">
        <v>3</v>
      </c>
      <c r="M6" s="110"/>
      <c r="N6" s="101"/>
      <c r="O6" s="111"/>
      <c r="P6" s="112">
        <v>1</v>
      </c>
      <c r="Q6" s="113">
        <v>10</v>
      </c>
      <c r="R6" s="112">
        <v>0</v>
      </c>
      <c r="S6" s="112">
        <v>0</v>
      </c>
      <c r="T6" s="112">
        <v>10</v>
      </c>
      <c r="U6" s="112">
        <v>17</v>
      </c>
      <c r="V6" s="113">
        <v>10</v>
      </c>
      <c r="W6" s="114"/>
      <c r="X6" s="112">
        <v>9</v>
      </c>
      <c r="Y6" s="112">
        <v>2</v>
      </c>
      <c r="Z6" s="112">
        <v>5</v>
      </c>
      <c r="AA6" s="112">
        <v>20</v>
      </c>
      <c r="AB6" s="112">
        <v>10</v>
      </c>
      <c r="AC6" s="115"/>
      <c r="AD6" s="115"/>
      <c r="AE6" s="112"/>
      <c r="AF6" s="112"/>
      <c r="AG6" s="112"/>
      <c r="AH6" s="112"/>
      <c r="AI6" s="112"/>
      <c r="AJ6" s="112"/>
      <c r="AK6" s="116"/>
      <c r="AL6" s="117"/>
      <c r="AM6" s="103"/>
      <c r="AN6" s="103"/>
      <c r="AO6" s="103"/>
      <c r="AP6" s="103"/>
      <c r="AQ6" s="118"/>
      <c r="AR6" s="111">
        <v>3</v>
      </c>
      <c r="AS6" s="111"/>
      <c r="AT6" s="111">
        <v>10</v>
      </c>
      <c r="AU6" s="75">
        <v>2</v>
      </c>
      <c r="BC6" s="92"/>
      <c r="BD6" s="93"/>
      <c r="BE6" s="93"/>
    </row>
    <row r="7" spans="1:57" s="75" customFormat="1" ht="11.25" x14ac:dyDescent="0.4">
      <c r="A7" s="94"/>
      <c r="B7" s="94"/>
      <c r="C7" s="94"/>
      <c r="D7" s="95"/>
      <c r="E7" s="96"/>
      <c r="F7" s="96"/>
      <c r="G7" s="106"/>
      <c r="H7" s="97"/>
      <c r="I7" s="98"/>
      <c r="J7" s="99"/>
      <c r="K7" s="99" t="s">
        <v>4</v>
      </c>
      <c r="L7" s="109" t="s">
        <v>5</v>
      </c>
      <c r="M7" s="110"/>
      <c r="N7" s="101"/>
      <c r="O7" s="111"/>
      <c r="P7" s="112">
        <v>1</v>
      </c>
      <c r="Q7" s="113">
        <v>10</v>
      </c>
      <c r="R7" s="112">
        <v>0</v>
      </c>
      <c r="S7" s="112">
        <v>0</v>
      </c>
      <c r="T7" s="112">
        <v>10</v>
      </c>
      <c r="U7" s="112">
        <v>17</v>
      </c>
      <c r="V7" s="113">
        <v>10</v>
      </c>
      <c r="W7" s="114"/>
      <c r="X7" s="112">
        <v>9</v>
      </c>
      <c r="Y7" s="112">
        <v>2</v>
      </c>
      <c r="Z7" s="112">
        <v>5</v>
      </c>
      <c r="AA7" s="112">
        <v>20</v>
      </c>
      <c r="AB7" s="112">
        <v>10</v>
      </c>
      <c r="AC7" s="115"/>
      <c r="AD7" s="115"/>
      <c r="AE7" s="112"/>
      <c r="AF7" s="112"/>
      <c r="AG7" s="112"/>
      <c r="AH7" s="112"/>
      <c r="AI7" s="112"/>
      <c r="AJ7" s="112"/>
      <c r="AK7" s="116"/>
      <c r="AL7" s="117"/>
      <c r="AM7" s="103"/>
      <c r="AN7" s="103"/>
      <c r="AO7" s="103"/>
      <c r="AP7" s="103"/>
      <c r="AQ7" s="118"/>
      <c r="AR7" s="111">
        <v>3</v>
      </c>
      <c r="AS7" s="111"/>
      <c r="AT7" s="111">
        <v>10</v>
      </c>
      <c r="AU7" s="75">
        <v>2</v>
      </c>
      <c r="BC7" s="92"/>
      <c r="BD7" s="93"/>
      <c r="BE7" s="93"/>
    </row>
    <row r="8" spans="1:57" s="75" customFormat="1" ht="11.25" x14ac:dyDescent="0.4">
      <c r="A8" s="94"/>
      <c r="B8" s="94"/>
      <c r="C8" s="94"/>
      <c r="D8" s="95"/>
      <c r="E8" s="96"/>
      <c r="F8" s="96"/>
      <c r="G8" s="106"/>
      <c r="H8" s="97"/>
      <c r="I8" s="98"/>
      <c r="J8" s="99"/>
      <c r="K8" s="99" t="s">
        <v>6</v>
      </c>
      <c r="L8" s="109" t="s">
        <v>7</v>
      </c>
      <c r="M8" s="110"/>
      <c r="N8" s="101"/>
      <c r="O8" s="111"/>
      <c r="P8" s="112">
        <v>1</v>
      </c>
      <c r="Q8" s="113">
        <v>10</v>
      </c>
      <c r="R8" s="112">
        <v>0</v>
      </c>
      <c r="S8" s="112">
        <v>0</v>
      </c>
      <c r="T8" s="112">
        <v>10</v>
      </c>
      <c r="U8" s="112">
        <v>13</v>
      </c>
      <c r="V8" s="113">
        <v>10</v>
      </c>
      <c r="W8" s="114"/>
      <c r="X8" s="112">
        <v>9</v>
      </c>
      <c r="Y8" s="112">
        <v>2</v>
      </c>
      <c r="Z8" s="112">
        <v>5</v>
      </c>
      <c r="AA8" s="112">
        <v>15</v>
      </c>
      <c r="AB8" s="112">
        <v>10</v>
      </c>
      <c r="AC8" s="115"/>
      <c r="AD8" s="115"/>
      <c r="AE8" s="112"/>
      <c r="AF8" s="112"/>
      <c r="AG8" s="112"/>
      <c r="AH8" s="112"/>
      <c r="AI8" s="112"/>
      <c r="AJ8" s="112"/>
      <c r="AK8" s="116"/>
      <c r="AL8" s="117"/>
      <c r="AM8" s="103"/>
      <c r="AN8" s="103"/>
      <c r="AO8" s="103"/>
      <c r="AP8" s="103"/>
      <c r="AQ8" s="118"/>
      <c r="AR8" s="111">
        <v>3</v>
      </c>
      <c r="AS8" s="111"/>
      <c r="AT8" s="111">
        <v>10</v>
      </c>
      <c r="AU8" s="75">
        <v>2</v>
      </c>
      <c r="BC8" s="92"/>
      <c r="BD8" s="93"/>
      <c r="BE8" s="93"/>
    </row>
    <row r="9" spans="1:57" s="75" customFormat="1" ht="11.25" x14ac:dyDescent="0.4">
      <c r="A9" s="119" t="s">
        <v>8</v>
      </c>
      <c r="B9" s="119"/>
      <c r="C9" s="94"/>
      <c r="D9" s="95"/>
      <c r="E9" s="96"/>
      <c r="F9" s="96"/>
      <c r="G9" s="106"/>
      <c r="H9" s="97"/>
      <c r="I9" s="98"/>
      <c r="J9" s="99"/>
      <c r="K9" s="99" t="s">
        <v>9</v>
      </c>
      <c r="L9" s="109" t="s">
        <v>10</v>
      </c>
      <c r="M9" s="110"/>
      <c r="N9" s="101"/>
      <c r="O9" s="111"/>
      <c r="P9" s="112">
        <v>1</v>
      </c>
      <c r="Q9" s="113">
        <v>10</v>
      </c>
      <c r="R9" s="112">
        <v>0</v>
      </c>
      <c r="S9" s="112">
        <v>0</v>
      </c>
      <c r="T9" s="112">
        <v>5</v>
      </c>
      <c r="U9" s="112">
        <v>7</v>
      </c>
      <c r="V9" s="113">
        <v>10</v>
      </c>
      <c r="W9" s="114"/>
      <c r="X9" s="112">
        <v>5</v>
      </c>
      <c r="Y9" s="112">
        <v>2</v>
      </c>
      <c r="Z9" s="112">
        <v>5</v>
      </c>
      <c r="AA9" s="112">
        <v>10</v>
      </c>
      <c r="AB9" s="112">
        <v>10</v>
      </c>
      <c r="AC9" s="115"/>
      <c r="AD9" s="115"/>
      <c r="AE9" s="112"/>
      <c r="AF9" s="112"/>
      <c r="AG9" s="112"/>
      <c r="AH9" s="112"/>
      <c r="AI9" s="112"/>
      <c r="AJ9" s="112"/>
      <c r="AK9" s="116"/>
      <c r="AL9" s="117"/>
      <c r="AM9" s="103"/>
      <c r="AN9" s="103"/>
      <c r="AO9" s="103"/>
      <c r="AP9" s="103"/>
      <c r="AQ9" s="120" t="s">
        <v>11</v>
      </c>
      <c r="AR9" s="111">
        <v>2</v>
      </c>
      <c r="AS9" s="111"/>
      <c r="AT9" s="111">
        <v>5</v>
      </c>
      <c r="AU9" s="75">
        <v>2</v>
      </c>
      <c r="BC9" s="92"/>
      <c r="BD9" s="93"/>
      <c r="BE9" s="93"/>
    </row>
    <row r="10" spans="1:57" s="76" customFormat="1" ht="34.5" customHeight="1" x14ac:dyDescent="0.4">
      <c r="A10" s="121" t="s">
        <v>12</v>
      </c>
      <c r="B10" s="121" t="s">
        <v>13</v>
      </c>
      <c r="C10" s="121" t="s">
        <v>14</v>
      </c>
      <c r="D10" s="121" t="s">
        <v>15</v>
      </c>
      <c r="E10" s="121" t="s">
        <v>16</v>
      </c>
      <c r="F10" s="121" t="s">
        <v>17</v>
      </c>
      <c r="G10" s="122" t="s">
        <v>18</v>
      </c>
      <c r="H10" s="121" t="s">
        <v>19</v>
      </c>
      <c r="I10" s="121" t="s">
        <v>20</v>
      </c>
      <c r="J10" s="121" t="s">
        <v>21</v>
      </c>
      <c r="K10" s="121" t="s">
        <v>22</v>
      </c>
      <c r="L10" s="121" t="s">
        <v>23</v>
      </c>
      <c r="M10" s="123" t="s">
        <v>24</v>
      </c>
      <c r="N10" s="121" t="s">
        <v>25</v>
      </c>
      <c r="O10" s="121" t="s">
        <v>26</v>
      </c>
      <c r="P10" s="121" t="s">
        <v>27</v>
      </c>
      <c r="Q10" s="121" t="s">
        <v>28</v>
      </c>
      <c r="R10" s="121" t="s">
        <v>29</v>
      </c>
      <c r="S10" s="121" t="s">
        <v>30</v>
      </c>
      <c r="T10" s="121" t="s">
        <v>31</v>
      </c>
      <c r="U10" s="121" t="s">
        <v>32</v>
      </c>
      <c r="V10" s="121" t="s">
        <v>33</v>
      </c>
      <c r="W10" s="121" t="s">
        <v>34</v>
      </c>
      <c r="X10" s="121" t="s">
        <v>35</v>
      </c>
      <c r="Y10" s="121" t="s">
        <v>36</v>
      </c>
      <c r="Z10" s="124" t="s">
        <v>37</v>
      </c>
      <c r="AA10" s="125" t="s">
        <v>38</v>
      </c>
      <c r="AB10" s="125" t="s">
        <v>39</v>
      </c>
      <c r="AC10" s="124" t="s">
        <v>40</v>
      </c>
      <c r="AD10" s="124" t="s">
        <v>41</v>
      </c>
      <c r="AE10" s="124" t="s">
        <v>42</v>
      </c>
      <c r="AF10" s="124" t="s">
        <v>43</v>
      </c>
      <c r="AG10" s="126" t="s">
        <v>44</v>
      </c>
      <c r="AH10" s="124" t="s">
        <v>45</v>
      </c>
      <c r="AI10" s="121" t="s">
        <v>46</v>
      </c>
      <c r="AJ10" s="121" t="s">
        <v>47</v>
      </c>
      <c r="AK10" s="127" t="s">
        <v>48</v>
      </c>
      <c r="AL10" s="128" t="s">
        <v>49</v>
      </c>
      <c r="AM10" s="127" t="s">
        <v>50</v>
      </c>
      <c r="AN10" s="127" t="s">
        <v>51</v>
      </c>
      <c r="AO10" s="121" t="s">
        <v>52</v>
      </c>
      <c r="AP10" s="121" t="s">
        <v>53</v>
      </c>
      <c r="AQ10" s="121" t="s">
        <v>54</v>
      </c>
      <c r="AR10" s="129">
        <v>40329</v>
      </c>
      <c r="AS10" s="130">
        <v>40359</v>
      </c>
      <c r="AT10" s="130">
        <v>40390</v>
      </c>
      <c r="AU10" s="130">
        <v>40421</v>
      </c>
      <c r="AV10" s="130">
        <v>40451</v>
      </c>
      <c r="AW10" s="130">
        <v>40482</v>
      </c>
      <c r="AX10" s="130">
        <v>40512</v>
      </c>
      <c r="AY10" s="130">
        <v>40543</v>
      </c>
      <c r="AZ10" s="130">
        <v>40574</v>
      </c>
      <c r="BA10" s="130">
        <v>40602</v>
      </c>
      <c r="BB10" s="130">
        <f ca="1">TODAY()</f>
        <v>46236</v>
      </c>
      <c r="BC10" s="131"/>
      <c r="BD10" s="132"/>
      <c r="BE10" s="132"/>
    </row>
    <row r="11" spans="1:57" s="77" customFormat="1" ht="11.25" x14ac:dyDescent="0.4">
      <c r="A11" s="133"/>
      <c r="B11" s="133"/>
      <c r="C11" s="121"/>
      <c r="D11" s="121"/>
      <c r="E11" s="134"/>
      <c r="F11" s="134"/>
      <c r="G11" s="121"/>
      <c r="H11" s="121"/>
      <c r="I11" s="121"/>
      <c r="J11" s="121"/>
      <c r="K11" s="121"/>
      <c r="L11" s="121"/>
      <c r="M11" s="123"/>
      <c r="N11" s="121" t="s">
        <v>55</v>
      </c>
      <c r="O11" s="121" t="s">
        <v>56</v>
      </c>
      <c r="P11" s="121" t="s">
        <v>57</v>
      </c>
      <c r="Q11" s="121" t="s">
        <v>56</v>
      </c>
      <c r="R11" s="121" t="s">
        <v>58</v>
      </c>
      <c r="S11" s="121" t="s">
        <v>56</v>
      </c>
      <c r="T11" s="121" t="s">
        <v>58</v>
      </c>
      <c r="U11" s="121" t="s">
        <v>57</v>
      </c>
      <c r="V11" s="121" t="s">
        <v>56</v>
      </c>
      <c r="W11" s="121" t="s">
        <v>58</v>
      </c>
      <c r="X11" s="121" t="s">
        <v>58</v>
      </c>
      <c r="Y11" s="121" t="s">
        <v>59</v>
      </c>
      <c r="Z11" s="121" t="s">
        <v>58</v>
      </c>
      <c r="AA11" s="121" t="s">
        <v>60</v>
      </c>
      <c r="AB11" s="121" t="s">
        <v>57</v>
      </c>
      <c r="AC11" s="121" t="s">
        <v>60</v>
      </c>
      <c r="AD11" s="121" t="s">
        <v>61</v>
      </c>
      <c r="AE11" s="121" t="s">
        <v>60</v>
      </c>
      <c r="AF11" s="121" t="s">
        <v>61</v>
      </c>
      <c r="AG11" s="121" t="s">
        <v>60</v>
      </c>
      <c r="AH11" s="121" t="s">
        <v>62</v>
      </c>
      <c r="AI11" s="121" t="s">
        <v>61</v>
      </c>
      <c r="AJ11" s="121" t="s">
        <v>58</v>
      </c>
      <c r="AK11" s="127"/>
      <c r="AL11" s="135"/>
      <c r="AM11" s="121" t="s">
        <v>58</v>
      </c>
      <c r="AN11" s="121"/>
      <c r="AO11" s="121"/>
      <c r="AP11" s="121"/>
      <c r="AQ11" s="136"/>
      <c r="BC11" s="137"/>
      <c r="BD11" s="138"/>
      <c r="BE11" s="138"/>
    </row>
    <row r="12" spans="1:57" s="77" customFormat="1" ht="11.65" thickBot="1" x14ac:dyDescent="0.45">
      <c r="A12" s="133"/>
      <c r="B12" s="133"/>
      <c r="C12" s="121"/>
      <c r="D12" s="121"/>
      <c r="E12" s="134"/>
      <c r="F12" s="134"/>
      <c r="G12" s="121"/>
      <c r="H12" s="121"/>
      <c r="I12" s="121"/>
      <c r="J12" s="121"/>
      <c r="K12" s="121"/>
      <c r="L12" s="121"/>
      <c r="M12" s="123"/>
      <c r="N12" s="121" t="s">
        <v>63</v>
      </c>
      <c r="O12" s="121" t="s">
        <v>64</v>
      </c>
      <c r="P12" s="121" t="s">
        <v>65</v>
      </c>
      <c r="Q12" s="121" t="s">
        <v>65</v>
      </c>
      <c r="R12" s="121" t="s">
        <v>64</v>
      </c>
      <c r="S12" s="121" t="s">
        <v>65</v>
      </c>
      <c r="T12" s="121" t="s">
        <v>64</v>
      </c>
      <c r="U12" s="121" t="s">
        <v>65</v>
      </c>
      <c r="V12" s="121" t="s">
        <v>65</v>
      </c>
      <c r="W12" s="121" t="s">
        <v>64</v>
      </c>
      <c r="X12" s="121" t="s">
        <v>64</v>
      </c>
      <c r="Y12" s="121" t="s">
        <v>64</v>
      </c>
      <c r="Z12" s="121" t="s">
        <v>64</v>
      </c>
      <c r="AA12" s="121" t="s">
        <v>64</v>
      </c>
      <c r="AB12" s="121" t="s">
        <v>65</v>
      </c>
      <c r="AC12" s="121"/>
      <c r="AD12" s="121"/>
      <c r="AE12" s="121"/>
      <c r="AF12" s="121"/>
      <c r="AG12" s="121"/>
      <c r="AH12" s="121"/>
      <c r="AI12" s="121"/>
      <c r="AJ12" s="121"/>
      <c r="AK12" s="127"/>
      <c r="AL12" s="135"/>
      <c r="AM12" s="121"/>
      <c r="AN12" s="121"/>
      <c r="AO12" s="121"/>
      <c r="AP12" s="121"/>
      <c r="AQ12" s="136"/>
      <c r="AR12" s="77" t="s">
        <v>65</v>
      </c>
      <c r="AT12" s="77" t="s">
        <v>64</v>
      </c>
      <c r="AU12" s="77" t="s">
        <v>64</v>
      </c>
      <c r="BC12" s="137"/>
      <c r="BD12" s="138"/>
      <c r="BE12" s="138"/>
    </row>
    <row r="13" spans="1:57" s="78" customFormat="1" ht="20.65" customHeight="1" thickTop="1" thickBot="1" x14ac:dyDescent="0.45">
      <c r="A13" s="458">
        <v>1</v>
      </c>
      <c r="B13" s="139" t="s">
        <v>66</v>
      </c>
      <c r="C13" s="140" t="s">
        <v>67</v>
      </c>
      <c r="D13" s="141" t="s">
        <v>68</v>
      </c>
      <c r="E13" s="142" t="s">
        <v>69</v>
      </c>
      <c r="F13" s="142" t="s">
        <v>70</v>
      </c>
      <c r="G13" s="423" t="s">
        <v>71</v>
      </c>
      <c r="H13" s="143" t="s">
        <v>72</v>
      </c>
      <c r="I13" s="140" t="s">
        <v>73</v>
      </c>
      <c r="J13" s="140" t="s">
        <v>74</v>
      </c>
      <c r="K13" s="140" t="s">
        <v>2</v>
      </c>
      <c r="L13" s="144" t="s">
        <v>75</v>
      </c>
      <c r="M13" s="145" t="s">
        <v>76</v>
      </c>
      <c r="N13" s="146" t="s">
        <v>77</v>
      </c>
      <c r="O13" s="147">
        <v>46133</v>
      </c>
      <c r="P13" s="147">
        <v>46133</v>
      </c>
      <c r="Q13" s="147">
        <v>46136</v>
      </c>
      <c r="R13" s="147">
        <v>46139</v>
      </c>
      <c r="S13" s="147">
        <v>46148</v>
      </c>
      <c r="T13" s="147">
        <v>46159</v>
      </c>
      <c r="U13" s="147">
        <v>46184</v>
      </c>
      <c r="V13" s="147">
        <v>46198</v>
      </c>
      <c r="W13" s="147"/>
      <c r="X13" s="147">
        <v>46211</v>
      </c>
      <c r="Y13" s="147">
        <v>46213</v>
      </c>
      <c r="Z13" s="147">
        <v>46220</v>
      </c>
      <c r="AA13" s="148">
        <v>46248</v>
      </c>
      <c r="AB13" s="147">
        <v>46262</v>
      </c>
      <c r="AC13" s="147">
        <v>46352</v>
      </c>
      <c r="AD13" s="147">
        <v>46357</v>
      </c>
      <c r="AE13" s="147">
        <v>46360</v>
      </c>
      <c r="AF13" s="147">
        <v>46501</v>
      </c>
      <c r="AG13" s="147">
        <v>46531</v>
      </c>
      <c r="AH13" s="147">
        <v>46561</v>
      </c>
      <c r="AI13" s="147">
        <v>46564</v>
      </c>
      <c r="AJ13" s="147">
        <v>46591</v>
      </c>
      <c r="AK13" s="149">
        <v>50</v>
      </c>
      <c r="AL13" s="150">
        <v>350</v>
      </c>
      <c r="AM13" s="151">
        <v>46561</v>
      </c>
      <c r="AN13" s="151">
        <v>46567</v>
      </c>
      <c r="AO13" s="152">
        <f>AN13-AM14</f>
        <v>46217</v>
      </c>
      <c r="AP13" s="153" t="s">
        <v>78</v>
      </c>
      <c r="AQ13" s="438" t="s">
        <v>79</v>
      </c>
      <c r="AR13" s="154">
        <f>IF(ISERROR(LOOKUP(AR$10,$O13:$AQ13,#REF!)),0,(LOOKUP(AR$10,$O13:$AQ13,#REF!)))</f>
        <v>0</v>
      </c>
      <c r="AS13" s="155">
        <f>IF(ISERROR(LOOKUP(AS$10,$O13:$AQ13,#REF!)),0,(LOOKUP(AS$10,$O13:$AQ13,#REF!)))</f>
        <v>0</v>
      </c>
      <c r="AT13" s="155">
        <f>IF(ISERROR(LOOKUP(AT$10,$O13:$AQ13,#REF!)),0,(LOOKUP(AT$10,$O13:$AQ13,#REF!)))</f>
        <v>0</v>
      </c>
      <c r="AU13" s="155">
        <f>IF(ISERROR(LOOKUP(AU$10,$O13:$AQ13,#REF!)),0,(LOOKUP(AU$10,$O13:$AQ13,#REF!)))</f>
        <v>0</v>
      </c>
      <c r="AV13" s="155">
        <f>IF(ISERROR(LOOKUP(AV$10,$O13:$AQ13,#REF!)),0,(LOOKUP(AV$10,$O13:$AQ13,#REF!)))</f>
        <v>0</v>
      </c>
      <c r="AW13" s="155">
        <f>IF(ISERROR(LOOKUP(AW$10,$O13:$AQ13,#REF!)),0,(LOOKUP(AW$10,$O13:$AQ13,#REF!)))</f>
        <v>0</v>
      </c>
      <c r="AX13" s="155">
        <f>IF(ISERROR(LOOKUP(AX$10,$O13:$AQ13,#REF!)),0,(LOOKUP(AX$10,$O13:$AQ13,#REF!)))</f>
        <v>0</v>
      </c>
      <c r="AY13" s="155">
        <f>IF(ISERROR(LOOKUP(AY$10,$O13:$AQ13,#REF!)),0,(LOOKUP(AY$10,$O13:$AQ13,#REF!)))</f>
        <v>0</v>
      </c>
      <c r="AZ13" s="155">
        <f>IF(ISERROR(LOOKUP(AZ$10,$O13:$AQ13,#REF!)),0,(LOOKUP(AZ$10,$O13:$AQ13,#REF!)))</f>
        <v>0</v>
      </c>
      <c r="BA13" s="155">
        <f>IF(ISERROR(LOOKUP(BA$10,$O13:$AQ13,#REF!)),0,(LOOKUP(BA$10,$O13:$AQ13,#REF!)))</f>
        <v>0</v>
      </c>
      <c r="BB13" s="155">
        <f ca="1">IF(ISERROR(LOOKUP(BB$10,$O13:$AQ13,#REF!)),0,(LOOKUP(BB$10,$O13:$AQ13,#REF!)))</f>
        <v>0</v>
      </c>
      <c r="BC13" s="156" t="s">
        <v>80</v>
      </c>
      <c r="BD13" s="157" t="s">
        <v>81</v>
      </c>
      <c r="BE13" s="157" t="s">
        <v>82</v>
      </c>
    </row>
    <row r="14" spans="1:57" s="79" customFormat="1" ht="17.649999999999999" customHeight="1" thickTop="1" thickBot="1" x14ac:dyDescent="0.45">
      <c r="A14" s="459"/>
      <c r="B14" s="158" t="s">
        <v>66</v>
      </c>
      <c r="C14" s="159" t="s">
        <v>67</v>
      </c>
      <c r="D14" s="160" t="s">
        <v>68</v>
      </c>
      <c r="E14" s="161"/>
      <c r="F14" s="161"/>
      <c r="G14" s="162" t="s">
        <v>71</v>
      </c>
      <c r="H14" s="163" t="s">
        <v>72</v>
      </c>
      <c r="I14" s="159" t="s">
        <v>73</v>
      </c>
      <c r="J14" s="159" t="s">
        <v>74</v>
      </c>
      <c r="K14" s="159" t="s">
        <v>2</v>
      </c>
      <c r="L14" s="164" t="s">
        <v>83</v>
      </c>
      <c r="M14" s="165" t="s">
        <v>76</v>
      </c>
      <c r="N14" s="166" t="s">
        <v>84</v>
      </c>
      <c r="O14" s="167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  <c r="AA14" s="168">
        <f>WORKDAY(Z15,AA6,IF(AA12="China",'China Holidays'!$A$2:$A$84,'Thai Holidays'!$A$2:$A$65))</f>
        <v>46248</v>
      </c>
      <c r="AB14" s="168">
        <f>WORKDAY(AA14,AB6,IF(AB12="China",'China Holidays'!$A$2:$A$84,'Thai Holidays'!$A$2:$A$65))</f>
        <v>46262</v>
      </c>
      <c r="AC14" s="168">
        <f>AC13</f>
        <v>46352</v>
      </c>
      <c r="AD14" s="168">
        <v>46357</v>
      </c>
      <c r="AE14" s="168">
        <v>46360</v>
      </c>
      <c r="AF14" s="168">
        <v>46501</v>
      </c>
      <c r="AG14" s="168">
        <f>AH14-30</f>
        <v>46531</v>
      </c>
      <c r="AH14" s="168">
        <f>AM13</f>
        <v>46561</v>
      </c>
      <c r="AI14" s="168">
        <f>AM13+3</f>
        <v>46564</v>
      </c>
      <c r="AJ14" s="168">
        <f>AM13+30</f>
        <v>46591</v>
      </c>
      <c r="AK14" s="169"/>
      <c r="AL14" s="169"/>
      <c r="AM14" s="170">
        <f>X14+AL13</f>
        <v>350</v>
      </c>
      <c r="AN14" s="170"/>
      <c r="AO14" s="171"/>
      <c r="AP14" s="172"/>
      <c r="AQ14" s="448"/>
      <c r="AR14" s="174">
        <f>IF(ISERROR(LOOKUP(AR$10,$O14:$AQ14,#REF!)),0,(LOOKUP(AR$10,$O14:$AQ14,#REF!)))</f>
        <v>0</v>
      </c>
      <c r="AS14" s="175">
        <f>IF(ISERROR(LOOKUP(AS$10,$O14:$AQ14,#REF!)),0,(LOOKUP(AS$10,$O14:$AQ14,#REF!)))</f>
        <v>0</v>
      </c>
      <c r="AT14" s="175">
        <f>IF(ISERROR(LOOKUP(AT$10,$O14:$AQ14,#REF!)),0,(LOOKUP(AT$10,$O14:$AQ14,#REF!)))</f>
        <v>0</v>
      </c>
      <c r="AU14" s="175">
        <f>IF(ISERROR(LOOKUP(AU$10,$O14:$AQ14,#REF!)),0,(LOOKUP(AU$10,$O14:$AQ14,#REF!)))</f>
        <v>0</v>
      </c>
      <c r="AV14" s="175">
        <f>IF(ISERROR(LOOKUP(AV$10,$O14:$AQ14,#REF!)),0,(LOOKUP(AV$10,$O14:$AQ14,#REF!)))</f>
        <v>0</v>
      </c>
      <c r="AW14" s="175">
        <f>IF(ISERROR(LOOKUP(AW$10,$O14:$AQ14,#REF!)),0,(LOOKUP(AW$10,$O14:$AQ14,#REF!)))</f>
        <v>0</v>
      </c>
      <c r="AX14" s="175">
        <f>IF(ISERROR(LOOKUP(AX$10,$O14:$AQ14,#REF!)),0,(LOOKUP(AX$10,$O14:$AQ14,#REF!)))</f>
        <v>0</v>
      </c>
      <c r="AY14" s="175">
        <f>IF(ISERROR(LOOKUP(AY$10,$O14:$AQ14,#REF!)),0,(LOOKUP(AY$10,$O14:$AQ14,#REF!)))</f>
        <v>0</v>
      </c>
      <c r="AZ14" s="175">
        <f>IF(ISERROR(LOOKUP(AZ$10,$O14:$AQ14,#REF!)),0,(LOOKUP(AZ$10,$O14:$AQ14,#REF!)))</f>
        <v>0</v>
      </c>
      <c r="BA14" s="175">
        <f>IF(ISERROR(LOOKUP(BA$10,$O14:$AQ14,#REF!)),0,(LOOKUP(BA$10,$O14:$AQ14,#REF!)))</f>
        <v>0</v>
      </c>
      <c r="BB14" s="175">
        <f ca="1">IF(ISERROR(LOOKUP(BB$10,$O14:$AQ14,#REF!)),0,(LOOKUP(BB$10,$O14:$AQ14,#REF!)))</f>
        <v>0</v>
      </c>
      <c r="BC14" s="156" t="s">
        <v>85</v>
      </c>
      <c r="BD14" s="157" t="s">
        <v>86</v>
      </c>
      <c r="BE14" s="176"/>
    </row>
    <row r="15" spans="1:57" s="78" customFormat="1" ht="19.899999999999999" customHeight="1" thickTop="1" thickBot="1" x14ac:dyDescent="0.45">
      <c r="A15" s="460"/>
      <c r="B15" s="177" t="s">
        <v>66</v>
      </c>
      <c r="C15" s="178" t="s">
        <v>67</v>
      </c>
      <c r="D15" s="179" t="s">
        <v>68</v>
      </c>
      <c r="E15" s="180"/>
      <c r="F15" s="180"/>
      <c r="G15" s="181" t="s">
        <v>71</v>
      </c>
      <c r="H15" s="182" t="s">
        <v>72</v>
      </c>
      <c r="I15" s="178" t="s">
        <v>73</v>
      </c>
      <c r="J15" s="178" t="s">
        <v>74</v>
      </c>
      <c r="K15" s="178" t="s">
        <v>2</v>
      </c>
      <c r="L15" s="183"/>
      <c r="M15" s="184" t="s">
        <v>76</v>
      </c>
      <c r="N15" s="185" t="s">
        <v>87</v>
      </c>
      <c r="O15" s="186">
        <v>46120</v>
      </c>
      <c r="P15" s="187">
        <v>46125</v>
      </c>
      <c r="Q15" s="186">
        <v>46135</v>
      </c>
      <c r="R15" s="186">
        <v>46136</v>
      </c>
      <c r="S15" s="186">
        <v>46136</v>
      </c>
      <c r="T15" s="186">
        <v>46143</v>
      </c>
      <c r="U15" s="186">
        <v>46192</v>
      </c>
      <c r="V15" s="186">
        <v>46201</v>
      </c>
      <c r="W15" s="186">
        <v>46216</v>
      </c>
      <c r="X15" s="186">
        <v>46220</v>
      </c>
      <c r="Y15" s="186">
        <v>46227</v>
      </c>
      <c r="Z15" s="186">
        <v>46220</v>
      </c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8"/>
      <c r="AL15" s="188"/>
      <c r="AM15" s="187"/>
      <c r="AN15" s="187"/>
      <c r="AO15" s="189"/>
      <c r="AP15" s="190"/>
      <c r="AQ15" s="449"/>
      <c r="AR15" s="191">
        <f>IF(ISERROR(LOOKUP(AR$10,$O15:$AQ15,#REF!)),0,(LOOKUP(AR$10,$O15:$AQ15,#REF!)))</f>
        <v>0</v>
      </c>
      <c r="AS15" s="192">
        <f>IF(ISERROR(LOOKUP(AS$10,$O15:$AQ15,#REF!)),0,(LOOKUP(AS$10,$O15:$AQ15,#REF!)))</f>
        <v>0</v>
      </c>
      <c r="AT15" s="192">
        <f>IF(ISERROR(LOOKUP(AT$10,$O15:$AQ15,#REF!)),0,(LOOKUP(AT$10,$O15:$AQ15,#REF!)))</f>
        <v>0</v>
      </c>
      <c r="AU15" s="192">
        <f>IF(ISERROR(LOOKUP(AU$10,$O15:$AQ15,#REF!)),0,(LOOKUP(AU$10,$O15:$AQ15,#REF!)))</f>
        <v>0</v>
      </c>
      <c r="AV15" s="192">
        <f>IF(ISERROR(LOOKUP(AV$10,$O15:$AQ15,#REF!)),0,(LOOKUP(AV$10,$O15:$AQ15,#REF!)))</f>
        <v>0</v>
      </c>
      <c r="AW15" s="192">
        <f>IF(ISERROR(LOOKUP(AW$10,$O15:$AQ15,#REF!)),0,(LOOKUP(AW$10,$O15:$AQ15,#REF!)))</f>
        <v>0</v>
      </c>
      <c r="AX15" s="192">
        <f>IF(ISERROR(LOOKUP(AX$10,$O15:$AQ15,#REF!)),0,(LOOKUP(AX$10,$O15:$AQ15,#REF!)))</f>
        <v>0</v>
      </c>
      <c r="AY15" s="192">
        <f>IF(ISERROR(LOOKUP(AY$10,$O15:$AQ15,#REF!)),0,(LOOKUP(AY$10,$O15:$AQ15,#REF!)))</f>
        <v>0</v>
      </c>
      <c r="AZ15" s="192">
        <f>IF(ISERROR(LOOKUP(AZ$10,$O15:$AQ15,#REF!)),0,(LOOKUP(AZ$10,$O15:$AQ15,#REF!)))</f>
        <v>0</v>
      </c>
      <c r="BA15" s="192">
        <f>IF(ISERROR(LOOKUP(BA$10,$O15:$AQ15,#REF!)),0,(LOOKUP(BA$10,$O15:$AQ15,#REF!)))</f>
        <v>0</v>
      </c>
      <c r="BB15" s="192">
        <f ca="1">IF(ISERROR(LOOKUP(BB$10,$O15:$AQ15,#REF!)),0,(LOOKUP(BB$10,$O15:$AQ15,#REF!)))</f>
        <v>0</v>
      </c>
      <c r="BC15" s="156" t="s">
        <v>88</v>
      </c>
      <c r="BD15" s="193" t="s">
        <v>89</v>
      </c>
      <c r="BE15" s="176"/>
    </row>
    <row r="16" spans="1:57" s="78" customFormat="1" ht="15.4" customHeight="1" thickTop="1" thickBot="1" x14ac:dyDescent="0.45">
      <c r="A16" s="458">
        <f>A13+1</f>
        <v>2</v>
      </c>
      <c r="B16" s="139" t="s">
        <v>90</v>
      </c>
      <c r="C16" s="140" t="s">
        <v>91</v>
      </c>
      <c r="D16" s="141" t="s">
        <v>92</v>
      </c>
      <c r="E16" s="142" t="s">
        <v>93</v>
      </c>
      <c r="F16" s="142" t="s">
        <v>70</v>
      </c>
      <c r="G16" s="424" t="s">
        <v>94</v>
      </c>
      <c r="H16" s="143" t="s">
        <v>72</v>
      </c>
      <c r="I16" s="140" t="s">
        <v>73</v>
      </c>
      <c r="J16" s="140" t="s">
        <v>95</v>
      </c>
      <c r="K16" s="140" t="s">
        <v>2</v>
      </c>
      <c r="L16" s="195" t="s">
        <v>96</v>
      </c>
      <c r="M16" s="196" t="s">
        <v>76</v>
      </c>
      <c r="N16" s="146" t="s">
        <v>77</v>
      </c>
      <c r="O16" s="147">
        <v>46167</v>
      </c>
      <c r="P16" s="147">
        <v>46168</v>
      </c>
      <c r="Q16" s="147">
        <v>46177</v>
      </c>
      <c r="R16" s="147">
        <v>46178</v>
      </c>
      <c r="S16" s="147">
        <v>46185</v>
      </c>
      <c r="T16" s="147">
        <v>46197</v>
      </c>
      <c r="U16" s="147">
        <v>46197</v>
      </c>
      <c r="V16" s="147">
        <v>46211</v>
      </c>
      <c r="W16" s="147"/>
      <c r="X16" s="147">
        <v>46218</v>
      </c>
      <c r="Y16" s="147">
        <v>46220</v>
      </c>
      <c r="Z16" s="147">
        <v>46227</v>
      </c>
      <c r="AA16" s="148">
        <v>46255</v>
      </c>
      <c r="AB16" s="147">
        <v>46269</v>
      </c>
      <c r="AC16" s="147">
        <v>46329</v>
      </c>
      <c r="AD16" s="147">
        <v>46331</v>
      </c>
      <c r="AE16" s="147">
        <v>46333</v>
      </c>
      <c r="AF16" s="147">
        <v>46408</v>
      </c>
      <c r="AG16" s="147">
        <v>46423</v>
      </c>
      <c r="AH16" s="147">
        <v>46433</v>
      </c>
      <c r="AI16" s="147">
        <v>46436</v>
      </c>
      <c r="AJ16" s="147">
        <v>46463</v>
      </c>
      <c r="AK16" s="149">
        <v>26</v>
      </c>
      <c r="AL16" s="150">
        <v>182</v>
      </c>
      <c r="AM16" s="151">
        <v>46433</v>
      </c>
      <c r="AN16" s="151">
        <v>46438</v>
      </c>
      <c r="AO16" s="152">
        <f>AN16-AM17</f>
        <v>46256</v>
      </c>
      <c r="AP16" s="153" t="s">
        <v>97</v>
      </c>
      <c r="AQ16" s="438" t="s">
        <v>98</v>
      </c>
      <c r="AR16" s="154">
        <f>IF(ISERROR(LOOKUP(AR$10,$O16:$AQ16,#REF!)),0,(LOOKUP(AR$10,$O16:$AQ16,#REF!)))</f>
        <v>0</v>
      </c>
      <c r="AS16" s="155">
        <f>IF(ISERROR(LOOKUP(AS$10,$O16:$AQ16,#REF!)),0,(LOOKUP(AS$10,$O16:$AQ16,#REF!)))</f>
        <v>0</v>
      </c>
      <c r="AT16" s="155">
        <f>IF(ISERROR(LOOKUP(AT$10,$O16:$AQ16,#REF!)),0,(LOOKUP(AT$10,$O16:$AQ16,#REF!)))</f>
        <v>0</v>
      </c>
      <c r="AU16" s="155">
        <f>IF(ISERROR(LOOKUP(AU$10,$O16:$AQ16,#REF!)),0,(LOOKUP(AU$10,$O16:$AQ16,#REF!)))</f>
        <v>0</v>
      </c>
      <c r="AV16" s="155">
        <f>IF(ISERROR(LOOKUP(AV$10,$O16:$AQ16,#REF!)),0,(LOOKUP(AV$10,$O16:$AQ16,#REF!)))</f>
        <v>0</v>
      </c>
      <c r="AW16" s="155">
        <f>IF(ISERROR(LOOKUP(AW$10,$O16:$AQ16,#REF!)),0,(LOOKUP(AW$10,$O16:$AQ16,#REF!)))</f>
        <v>0</v>
      </c>
      <c r="AX16" s="155">
        <f>IF(ISERROR(LOOKUP(AX$10,$O16:$AQ16,#REF!)),0,(LOOKUP(AX$10,$O16:$AQ16,#REF!)))</f>
        <v>0</v>
      </c>
      <c r="AY16" s="155">
        <f>IF(ISERROR(LOOKUP(AY$10,$O16:$AQ16,#REF!)),0,(LOOKUP(AY$10,$O16:$AQ16,#REF!)))</f>
        <v>0</v>
      </c>
      <c r="AZ16" s="155">
        <f>IF(ISERROR(LOOKUP(AZ$10,$O16:$AQ16,#REF!)),0,(LOOKUP(AZ$10,$O16:$AQ16,#REF!)))</f>
        <v>0</v>
      </c>
      <c r="BA16" s="155">
        <f>IF(ISERROR(LOOKUP(BA$10,$O16:$AQ16,#REF!)),0,(LOOKUP(BA$10,$O16:$AQ16,#REF!)))</f>
        <v>0</v>
      </c>
      <c r="BB16" s="155">
        <f ca="1">IF(ISERROR(LOOKUP(BB$10,$O16:$AQ16,#REF!)),0,(LOOKUP(BB$10,$O16:$AQ16,#REF!)))</f>
        <v>0</v>
      </c>
      <c r="BC16" s="156"/>
      <c r="BD16" s="176"/>
      <c r="BE16" s="176"/>
    </row>
    <row r="17" spans="1:57" s="78" customFormat="1" ht="15.4" thickTop="1" thickBot="1" x14ac:dyDescent="0.45">
      <c r="A17" s="459"/>
      <c r="B17" s="158" t="s">
        <v>90</v>
      </c>
      <c r="C17" s="197" t="s">
        <v>91</v>
      </c>
      <c r="D17" s="160" t="s">
        <v>92</v>
      </c>
      <c r="E17" s="161"/>
      <c r="F17" s="161"/>
      <c r="G17" s="425" t="s">
        <v>94</v>
      </c>
      <c r="H17" s="163" t="s">
        <v>72</v>
      </c>
      <c r="I17" s="159" t="s">
        <v>73</v>
      </c>
      <c r="J17" s="159" t="s">
        <v>95</v>
      </c>
      <c r="K17" s="159" t="s">
        <v>2</v>
      </c>
      <c r="L17" s="164" t="s">
        <v>99</v>
      </c>
      <c r="M17" s="198" t="s">
        <v>76</v>
      </c>
      <c r="N17" s="166" t="s">
        <v>84</v>
      </c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167">
        <f>WORKDAY(Z18,AA6,IF(AA12="China",'China Holidays'!$A$2:$A$84,'Thai Holidays'!$A$2:$A$65))</f>
        <v>46248</v>
      </c>
      <c r="AB17" s="167">
        <f>WORKDAY(AA17,AB6,IF(AB12="China",'China Holidays'!$A$2:$A$84,'Thai Holidays'!$A$2:$A$65))</f>
        <v>46262</v>
      </c>
      <c r="AC17" s="168">
        <f>AB17+60</f>
        <v>46322</v>
      </c>
      <c r="AD17" s="168">
        <f>AC17+2</f>
        <v>46324</v>
      </c>
      <c r="AE17" s="168">
        <f>AD17+2</f>
        <v>46326</v>
      </c>
      <c r="AF17" s="168">
        <f>AG17-15</f>
        <v>166</v>
      </c>
      <c r="AG17" s="168">
        <f>AH17-1</f>
        <v>181</v>
      </c>
      <c r="AH17" s="168">
        <f>AM17</f>
        <v>182</v>
      </c>
      <c r="AI17" s="168">
        <f>AM16+3</f>
        <v>46436</v>
      </c>
      <c r="AJ17" s="168">
        <f>AM16+30</f>
        <v>46463</v>
      </c>
      <c r="AK17" s="199"/>
      <c r="AL17" s="199"/>
      <c r="AM17" s="170">
        <f>X17+AL16</f>
        <v>182</v>
      </c>
      <c r="AN17" s="170"/>
      <c r="AO17" s="171"/>
      <c r="AP17" s="172"/>
      <c r="AQ17" s="448"/>
      <c r="AR17" s="154">
        <f>IF(ISERROR(LOOKUP(AR$10,$O17:$AQ17,#REF!)),0,(LOOKUP(AR$10,$O17:$AQ17,#REF!)))</f>
        <v>0</v>
      </c>
      <c r="AS17" s="155">
        <f>IF(ISERROR(LOOKUP(AS$10,$O17:$AQ17,#REF!)),0,(LOOKUP(AS$10,$O17:$AQ17,#REF!)))</f>
        <v>0</v>
      </c>
      <c r="AT17" s="155">
        <f>IF(ISERROR(LOOKUP(AT$10,$O17:$AQ17,#REF!)),0,(LOOKUP(AT$10,$O17:$AQ17,#REF!)))</f>
        <v>0</v>
      </c>
      <c r="AU17" s="155">
        <f>IF(ISERROR(LOOKUP(AU$10,$O17:$AQ17,#REF!)),0,(LOOKUP(AU$10,$O17:$AQ17,#REF!)))</f>
        <v>0</v>
      </c>
      <c r="AV17" s="155">
        <f>IF(ISERROR(LOOKUP(AV$10,$O17:$AQ17,#REF!)),0,(LOOKUP(AV$10,$O17:$AQ17,#REF!)))</f>
        <v>0</v>
      </c>
      <c r="AW17" s="155">
        <f>IF(ISERROR(LOOKUP(AW$10,$O17:$AQ17,#REF!)),0,(LOOKUP(AW$10,$O17:$AQ17,#REF!)))</f>
        <v>0</v>
      </c>
      <c r="AX17" s="155">
        <f>IF(ISERROR(LOOKUP(AX$10,$O17:$AQ17,#REF!)),0,(LOOKUP(AX$10,$O17:$AQ17,#REF!)))</f>
        <v>0</v>
      </c>
      <c r="AY17" s="155">
        <f>IF(ISERROR(LOOKUP(AY$10,$O17:$AQ17,#REF!)),0,(LOOKUP(AY$10,$O17:$AQ17,#REF!)))</f>
        <v>0</v>
      </c>
      <c r="AZ17" s="155">
        <f>IF(ISERROR(LOOKUP(AZ$10,$O17:$AQ17,#REF!)),0,(LOOKUP(AZ$10,$O17:$AQ17,#REF!)))</f>
        <v>0</v>
      </c>
      <c r="BA17" s="155">
        <f>IF(ISERROR(LOOKUP(BA$10,$O17:$AQ17,#REF!)),0,(LOOKUP(BA$10,$O17:$AQ17,#REF!)))</f>
        <v>0</v>
      </c>
      <c r="BB17" s="155">
        <f ca="1">IF(ISERROR(LOOKUP(BB$10,$O17:$AQ17,#REF!)),0,(LOOKUP(BB$10,$O17:$AQ17,#REF!)))</f>
        <v>0</v>
      </c>
      <c r="BC17" s="156"/>
      <c r="BD17" s="176"/>
      <c r="BE17" s="176"/>
    </row>
    <row r="18" spans="1:57" s="78" customFormat="1" ht="15.4" thickTop="1" thickBot="1" x14ac:dyDescent="0.45">
      <c r="A18" s="460"/>
      <c r="B18" s="177" t="s">
        <v>90</v>
      </c>
      <c r="C18" s="178" t="s">
        <v>91</v>
      </c>
      <c r="D18" s="179" t="s">
        <v>92</v>
      </c>
      <c r="E18" s="180"/>
      <c r="F18" s="180"/>
      <c r="G18" s="426" t="s">
        <v>94</v>
      </c>
      <c r="H18" s="182" t="s">
        <v>72</v>
      </c>
      <c r="I18" s="178" t="s">
        <v>73</v>
      </c>
      <c r="J18" s="178" t="s">
        <v>95</v>
      </c>
      <c r="K18" s="178" t="s">
        <v>2</v>
      </c>
      <c r="L18" s="179"/>
      <c r="M18" s="200" t="s">
        <v>76</v>
      </c>
      <c r="N18" s="185" t="s">
        <v>87</v>
      </c>
      <c r="O18" s="186"/>
      <c r="P18" s="186">
        <v>46129</v>
      </c>
      <c r="Q18" s="186">
        <v>46143</v>
      </c>
      <c r="R18" s="186">
        <v>46148</v>
      </c>
      <c r="S18" s="186">
        <f>R18</f>
        <v>46148</v>
      </c>
      <c r="T18" s="186">
        <v>46183</v>
      </c>
      <c r="U18" s="186">
        <v>46200</v>
      </c>
      <c r="V18" s="186">
        <v>46211</v>
      </c>
      <c r="W18" s="186" t="s">
        <v>100</v>
      </c>
      <c r="X18" s="186">
        <v>46217</v>
      </c>
      <c r="Y18" s="186">
        <v>46218</v>
      </c>
      <c r="Z18" s="186">
        <v>46220</v>
      </c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8"/>
      <c r="AL18" s="188"/>
      <c r="AM18" s="201"/>
      <c r="AN18" s="187"/>
      <c r="AO18" s="189"/>
      <c r="AP18" s="190"/>
      <c r="AQ18" s="449"/>
      <c r="AR18" s="191">
        <f>IF(ISERROR(LOOKUP(AR$10,$O18:$AQ18,#REF!)),0,(LOOKUP(AR$10,$O18:$AQ18,#REF!)))</f>
        <v>0</v>
      </c>
      <c r="AS18" s="192">
        <f>IF(ISERROR(LOOKUP(AS$10,$O18:$AQ18,#REF!)),0,(LOOKUP(AS$10,$O18:$AQ18,#REF!)))</f>
        <v>0</v>
      </c>
      <c r="AT18" s="192">
        <f>IF(ISERROR(LOOKUP(AT$10,$O18:$AQ18,#REF!)),0,(LOOKUP(AT$10,$O18:$AQ18,#REF!)))</f>
        <v>0</v>
      </c>
      <c r="AU18" s="192">
        <f>IF(ISERROR(LOOKUP(AU$10,$O18:$AQ18,#REF!)),0,(LOOKUP(AU$10,$O18:$AQ18,#REF!)))</f>
        <v>0</v>
      </c>
      <c r="AV18" s="192">
        <f>IF(ISERROR(LOOKUP(AV$10,$O18:$AQ18,#REF!)),0,(LOOKUP(AV$10,$O18:$AQ18,#REF!)))</f>
        <v>0</v>
      </c>
      <c r="AW18" s="192">
        <f>IF(ISERROR(LOOKUP(AW$10,$O18:$AQ18,#REF!)),0,(LOOKUP(AW$10,$O18:$AQ18,#REF!)))</f>
        <v>0</v>
      </c>
      <c r="AX18" s="192">
        <f>IF(ISERROR(LOOKUP(AX$10,$O18:$AQ18,#REF!)),0,(LOOKUP(AX$10,$O18:$AQ18,#REF!)))</f>
        <v>0</v>
      </c>
      <c r="AY18" s="192">
        <f>IF(ISERROR(LOOKUP(AY$10,$O18:$AQ18,#REF!)),0,(LOOKUP(AY$10,$O18:$AQ18,#REF!)))</f>
        <v>0</v>
      </c>
      <c r="AZ18" s="192">
        <f>IF(ISERROR(LOOKUP(AZ$10,$O18:$AQ18,#REF!)),0,(LOOKUP(AZ$10,$O18:$AQ18,#REF!)))</f>
        <v>0</v>
      </c>
      <c r="BA18" s="192">
        <f>IF(ISERROR(LOOKUP(BA$10,$O18:$AQ18,#REF!)),0,(LOOKUP(BA$10,$O18:$AQ18,#REF!)))</f>
        <v>0</v>
      </c>
      <c r="BB18" s="192">
        <f ca="1">IF(ISERROR(LOOKUP(BB$10,$O18:$AQ18,#REF!)),0,(LOOKUP(BB$10,$O18:$AQ18,#REF!)))</f>
        <v>0</v>
      </c>
      <c r="BC18" s="156"/>
      <c r="BD18" s="176"/>
      <c r="BE18" s="176"/>
    </row>
    <row r="19" spans="1:57" s="78" customFormat="1" ht="17.649999999999999" customHeight="1" thickTop="1" thickBot="1" x14ac:dyDescent="0.45">
      <c r="A19" s="458">
        <f t="shared" ref="A19" si="0">A16+1</f>
        <v>3</v>
      </c>
      <c r="B19" s="139" t="s">
        <v>90</v>
      </c>
      <c r="C19" s="140" t="s">
        <v>101</v>
      </c>
      <c r="D19" s="141" t="s">
        <v>102</v>
      </c>
      <c r="E19" s="202" t="s">
        <v>103</v>
      </c>
      <c r="F19" s="202" t="s">
        <v>70</v>
      </c>
      <c r="G19" s="427" t="s">
        <v>104</v>
      </c>
      <c r="H19" s="143" t="s">
        <v>72</v>
      </c>
      <c r="I19" s="140" t="s">
        <v>73</v>
      </c>
      <c r="J19" s="140" t="s">
        <v>74</v>
      </c>
      <c r="K19" s="140" t="s">
        <v>2</v>
      </c>
      <c r="L19" s="195" t="s">
        <v>96</v>
      </c>
      <c r="M19" s="196" t="s">
        <v>76</v>
      </c>
      <c r="N19" s="146" t="s">
        <v>77</v>
      </c>
      <c r="O19" s="147">
        <v>46135</v>
      </c>
      <c r="P19" s="147">
        <v>46136</v>
      </c>
      <c r="Q19" s="147">
        <v>46147</v>
      </c>
      <c r="R19" s="147">
        <v>46148</v>
      </c>
      <c r="S19" s="147">
        <v>46155</v>
      </c>
      <c r="T19" s="147">
        <v>46197</v>
      </c>
      <c r="U19" s="147">
        <v>46197</v>
      </c>
      <c r="V19" s="147">
        <v>46211</v>
      </c>
      <c r="W19" s="147"/>
      <c r="X19" s="147">
        <v>46218</v>
      </c>
      <c r="Y19" s="147">
        <v>46220</v>
      </c>
      <c r="Z19" s="147">
        <v>46227</v>
      </c>
      <c r="AA19" s="148">
        <v>46255</v>
      </c>
      <c r="AB19" s="147">
        <v>46269</v>
      </c>
      <c r="AC19" s="147">
        <v>46329</v>
      </c>
      <c r="AD19" s="147">
        <v>46331</v>
      </c>
      <c r="AE19" s="147">
        <v>46333</v>
      </c>
      <c r="AF19" s="147">
        <v>46429</v>
      </c>
      <c r="AG19" s="147">
        <v>46444</v>
      </c>
      <c r="AH19" s="147">
        <v>46449</v>
      </c>
      <c r="AI19" s="147">
        <v>46452</v>
      </c>
      <c r="AJ19" s="147">
        <v>46479</v>
      </c>
      <c r="AK19" s="149">
        <v>33</v>
      </c>
      <c r="AL19" s="150">
        <v>231</v>
      </c>
      <c r="AM19" s="151">
        <v>46449</v>
      </c>
      <c r="AN19" s="151">
        <v>46466</v>
      </c>
      <c r="AO19" s="152">
        <f>AN19-AM20</f>
        <v>249</v>
      </c>
      <c r="AP19" s="153" t="s">
        <v>97</v>
      </c>
      <c r="AQ19" s="438" t="s">
        <v>105</v>
      </c>
      <c r="AR19" s="154">
        <f>IF(ISERROR(LOOKUP(AR$10,$O19:$AQ19,#REF!)),0,(LOOKUP(AR$10,$O19:$AQ19,#REF!)))</f>
        <v>0</v>
      </c>
      <c r="AS19" s="155">
        <f>IF(ISERROR(LOOKUP(AS$10,$O19:$AQ19,#REF!)),0,(LOOKUP(AS$10,$O19:$AQ19,#REF!)))</f>
        <v>0</v>
      </c>
      <c r="AT19" s="155">
        <f>IF(ISERROR(LOOKUP(AT$10,$O19:$AQ19,#REF!)),0,(LOOKUP(AT$10,$O19:$AQ19,#REF!)))</f>
        <v>0</v>
      </c>
      <c r="AU19" s="155">
        <f>IF(ISERROR(LOOKUP(AU$10,$O19:$AQ19,#REF!)),0,(LOOKUP(AU$10,$O19:$AQ19,#REF!)))</f>
        <v>0</v>
      </c>
      <c r="AV19" s="155">
        <f>IF(ISERROR(LOOKUP(AV$10,$O19:$AQ19,#REF!)),0,(LOOKUP(AV$10,$O19:$AQ19,#REF!)))</f>
        <v>0</v>
      </c>
      <c r="AW19" s="155">
        <f>IF(ISERROR(LOOKUP(AW$10,$O19:$AQ19,#REF!)),0,(LOOKUP(AW$10,$O19:$AQ19,#REF!)))</f>
        <v>0</v>
      </c>
      <c r="AX19" s="155">
        <f>IF(ISERROR(LOOKUP(AX$10,$O19:$AQ19,#REF!)),0,(LOOKUP(AX$10,$O19:$AQ19,#REF!)))</f>
        <v>0</v>
      </c>
      <c r="AY19" s="155">
        <f>IF(ISERROR(LOOKUP(AY$10,$O19:$AQ19,#REF!)),0,(LOOKUP(AY$10,$O19:$AQ19,#REF!)))</f>
        <v>0</v>
      </c>
      <c r="AZ19" s="155">
        <f>IF(ISERROR(LOOKUP(AZ$10,$O19:$AQ19,#REF!)),0,(LOOKUP(AZ$10,$O19:$AQ19,#REF!)))</f>
        <v>0</v>
      </c>
      <c r="BA19" s="155">
        <f>IF(ISERROR(LOOKUP(BA$10,$O19:$AQ19,#REF!)),0,(LOOKUP(BA$10,$O19:$AQ19,#REF!)))</f>
        <v>0</v>
      </c>
      <c r="BB19" s="155">
        <f ca="1">IF(ISERROR(LOOKUP(BB$10,$O19:$AQ19,#REF!)),0,(LOOKUP(BB$10,$O19:$AQ19,#REF!)))</f>
        <v>0</v>
      </c>
      <c r="BC19" s="156"/>
      <c r="BD19" s="176"/>
      <c r="BE19" s="176"/>
    </row>
    <row r="20" spans="1:57" s="78" customFormat="1" ht="15.4" thickTop="1" thickBot="1" x14ac:dyDescent="0.45">
      <c r="A20" s="459"/>
      <c r="B20" s="158" t="s">
        <v>90</v>
      </c>
      <c r="C20" s="197" t="s">
        <v>101</v>
      </c>
      <c r="D20" s="204" t="s">
        <v>102</v>
      </c>
      <c r="E20" s="205"/>
      <c r="F20" s="205"/>
      <c r="G20" s="428" t="s">
        <v>104</v>
      </c>
      <c r="H20" s="163" t="s">
        <v>72</v>
      </c>
      <c r="I20" s="159" t="s">
        <v>73</v>
      </c>
      <c r="J20" s="159" t="s">
        <v>74</v>
      </c>
      <c r="K20" s="159" t="s">
        <v>2</v>
      </c>
      <c r="L20" s="164" t="s">
        <v>99</v>
      </c>
      <c r="M20" s="198" t="s">
        <v>76</v>
      </c>
      <c r="N20" s="166" t="s">
        <v>84</v>
      </c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>
        <f>WORKDAY(Z21,AA6,IF(AA12="China",'China Holidays'!$A$2:$A$84,'Thai Holidays'!$A$2:$A$65))</f>
        <v>46248</v>
      </c>
      <c r="AB20" s="167">
        <f>WORKDAY(AA20,AB6,IF(AB12="China",'China Holidays'!$A$2:$A$84,'Thai Holidays'!$A$2:$A$65))</f>
        <v>46262</v>
      </c>
      <c r="AC20" s="168">
        <f>AB20+60</f>
        <v>46322</v>
      </c>
      <c r="AD20" s="168">
        <f>AC20+2</f>
        <v>46324</v>
      </c>
      <c r="AE20" s="168">
        <f>AD20+2</f>
        <v>46326</v>
      </c>
      <c r="AF20" s="168">
        <f>AG20-15</f>
        <v>46197</v>
      </c>
      <c r="AG20" s="168">
        <f>AH20-5</f>
        <v>46212</v>
      </c>
      <c r="AH20" s="168">
        <f>AM20</f>
        <v>46217</v>
      </c>
      <c r="AI20" s="168">
        <f>AM19+3</f>
        <v>46452</v>
      </c>
      <c r="AJ20" s="168">
        <f>AM19+30</f>
        <v>46479</v>
      </c>
      <c r="AK20" s="199"/>
      <c r="AL20" s="206"/>
      <c r="AM20" s="170">
        <f>X20+X21</f>
        <v>46217</v>
      </c>
      <c r="AN20" s="170"/>
      <c r="AO20" s="171"/>
      <c r="AP20" s="172"/>
      <c r="AQ20" s="448"/>
      <c r="AR20" s="154">
        <f>IF(ISERROR(LOOKUP(AR$10,$O20:$AQ20,#REF!)),0,(LOOKUP(AR$10,$O20:$AQ20,#REF!)))</f>
        <v>0</v>
      </c>
      <c r="AS20" s="155">
        <f>IF(ISERROR(LOOKUP(AS$10,$O20:$AQ20,#REF!)),0,(LOOKUP(AS$10,$O20:$AQ20,#REF!)))</f>
        <v>0</v>
      </c>
      <c r="AT20" s="155">
        <f>IF(ISERROR(LOOKUP(AT$10,$O20:$AQ20,#REF!)),0,(LOOKUP(AT$10,$O20:$AQ20,#REF!)))</f>
        <v>0</v>
      </c>
      <c r="AU20" s="155">
        <f>IF(ISERROR(LOOKUP(AU$10,$O20:$AQ20,#REF!)),0,(LOOKUP(AU$10,$O20:$AQ20,#REF!)))</f>
        <v>0</v>
      </c>
      <c r="AV20" s="155">
        <f>IF(ISERROR(LOOKUP(AV$10,$O20:$AQ20,#REF!)),0,(LOOKUP(AV$10,$O20:$AQ20,#REF!)))</f>
        <v>0</v>
      </c>
      <c r="AW20" s="155">
        <f>IF(ISERROR(LOOKUP(AW$10,$O20:$AQ20,#REF!)),0,(LOOKUP(AW$10,$O20:$AQ20,#REF!)))</f>
        <v>0</v>
      </c>
      <c r="AX20" s="155">
        <f>IF(ISERROR(LOOKUP(AX$10,$O20:$AQ20,#REF!)),0,(LOOKUP(AX$10,$O20:$AQ20,#REF!)))</f>
        <v>0</v>
      </c>
      <c r="AY20" s="155">
        <f>IF(ISERROR(LOOKUP(AY$10,$O20:$AQ20,#REF!)),0,(LOOKUP(AY$10,$O20:$AQ20,#REF!)))</f>
        <v>0</v>
      </c>
      <c r="AZ20" s="155">
        <f>IF(ISERROR(LOOKUP(AZ$10,$O20:$AQ20,#REF!)),0,(LOOKUP(AZ$10,$O20:$AQ20,#REF!)))</f>
        <v>0</v>
      </c>
      <c r="BA20" s="155">
        <f>IF(ISERROR(LOOKUP(BA$10,$O20:$AQ20,#REF!)),0,(LOOKUP(BA$10,$O20:$AQ20,#REF!)))</f>
        <v>0</v>
      </c>
      <c r="BB20" s="155">
        <f ca="1">IF(ISERROR(LOOKUP(BB$10,$O20:$AQ20,#REF!)),0,(LOOKUP(BB$10,$O20:$AQ20,#REF!)))</f>
        <v>0</v>
      </c>
      <c r="BC20" s="156"/>
      <c r="BD20" s="176"/>
      <c r="BE20" s="176"/>
    </row>
    <row r="21" spans="1:57" s="78" customFormat="1" ht="15.4" thickTop="1" thickBot="1" x14ac:dyDescent="0.45">
      <c r="A21" s="460"/>
      <c r="B21" s="177" t="s">
        <v>90</v>
      </c>
      <c r="C21" s="178" t="s">
        <v>101</v>
      </c>
      <c r="D21" s="207" t="s">
        <v>102</v>
      </c>
      <c r="E21" s="208"/>
      <c r="F21" s="208"/>
      <c r="G21" s="429" t="s">
        <v>104</v>
      </c>
      <c r="H21" s="182" t="s">
        <v>72</v>
      </c>
      <c r="I21" s="178" t="s">
        <v>73</v>
      </c>
      <c r="J21" s="178" t="s">
        <v>74</v>
      </c>
      <c r="K21" s="178" t="s">
        <v>2</v>
      </c>
      <c r="L21" s="210"/>
      <c r="M21" s="200" t="s">
        <v>76</v>
      </c>
      <c r="N21" s="185" t="s">
        <v>87</v>
      </c>
      <c r="O21" s="186"/>
      <c r="P21" s="186">
        <v>46129</v>
      </c>
      <c r="Q21" s="186">
        <v>46143</v>
      </c>
      <c r="R21" s="186">
        <v>46148</v>
      </c>
      <c r="S21" s="186">
        <f>R21</f>
        <v>46148</v>
      </c>
      <c r="T21" s="186">
        <v>46183</v>
      </c>
      <c r="U21" s="186">
        <v>46200</v>
      </c>
      <c r="V21" s="186">
        <v>46211</v>
      </c>
      <c r="W21" s="186" t="s">
        <v>100</v>
      </c>
      <c r="X21" s="186">
        <v>46217</v>
      </c>
      <c r="Y21" s="186">
        <v>46218</v>
      </c>
      <c r="Z21" s="186">
        <v>46220</v>
      </c>
      <c r="AA21" s="186"/>
      <c r="AB21" s="186"/>
      <c r="AC21" s="186"/>
      <c r="AD21" s="186"/>
      <c r="AE21" s="186"/>
      <c r="AF21" s="186"/>
      <c r="AG21" s="186"/>
      <c r="AH21" s="186"/>
      <c r="AI21" s="186"/>
      <c r="AJ21" s="186"/>
      <c r="AK21" s="188"/>
      <c r="AL21" s="211"/>
      <c r="AM21" s="201"/>
      <c r="AN21" s="187"/>
      <c r="AO21" s="189"/>
      <c r="AP21" s="190"/>
      <c r="AQ21" s="449"/>
      <c r="AR21" s="191">
        <f>IF(ISERROR(LOOKUP(AR$10,$O21:$AQ21,#REF!)),0,(LOOKUP(AR$10,$O21:$AQ21,#REF!)))</f>
        <v>0</v>
      </c>
      <c r="AS21" s="192">
        <f>IF(ISERROR(LOOKUP(AS$10,$O21:$AQ21,#REF!)),0,(LOOKUP(AS$10,$O21:$AQ21,#REF!)))</f>
        <v>0</v>
      </c>
      <c r="AT21" s="192">
        <f>IF(ISERROR(LOOKUP(AT$10,$O21:$AQ21,#REF!)),0,(LOOKUP(AT$10,$O21:$AQ21,#REF!)))</f>
        <v>0</v>
      </c>
      <c r="AU21" s="192">
        <f>IF(ISERROR(LOOKUP(AU$10,$O21:$AQ21,#REF!)),0,(LOOKUP(AU$10,$O21:$AQ21,#REF!)))</f>
        <v>0</v>
      </c>
      <c r="AV21" s="192">
        <f>IF(ISERROR(LOOKUP(AV$10,$O21:$AQ21,#REF!)),0,(LOOKUP(AV$10,$O21:$AQ21,#REF!)))</f>
        <v>0</v>
      </c>
      <c r="AW21" s="192">
        <f>IF(ISERROR(LOOKUP(AW$10,$O21:$AQ21,#REF!)),0,(LOOKUP(AW$10,$O21:$AQ21,#REF!)))</f>
        <v>0</v>
      </c>
      <c r="AX21" s="192">
        <f>IF(ISERROR(LOOKUP(AX$10,$O21:$AQ21,#REF!)),0,(LOOKUP(AX$10,$O21:$AQ21,#REF!)))</f>
        <v>0</v>
      </c>
      <c r="AY21" s="192">
        <f>IF(ISERROR(LOOKUP(AY$10,$O21:$AQ21,#REF!)),0,(LOOKUP(AY$10,$O21:$AQ21,#REF!)))</f>
        <v>0</v>
      </c>
      <c r="AZ21" s="192">
        <f>IF(ISERROR(LOOKUP(AZ$10,$O21:$AQ21,#REF!)),0,(LOOKUP(AZ$10,$O21:$AQ21,#REF!)))</f>
        <v>0</v>
      </c>
      <c r="BA21" s="192">
        <f>IF(ISERROR(LOOKUP(BA$10,$O21:$AQ21,#REF!)),0,(LOOKUP(BA$10,$O21:$AQ21,#REF!)))</f>
        <v>0</v>
      </c>
      <c r="BB21" s="192">
        <f ca="1">IF(ISERROR(LOOKUP(BB$10,$O21:$AQ21,#REF!)),0,(LOOKUP(BB$10,$O21:$AQ21,#REF!)))</f>
        <v>0</v>
      </c>
      <c r="BC21" s="156"/>
      <c r="BD21" s="176"/>
      <c r="BE21" s="176"/>
    </row>
    <row r="22" spans="1:57" s="78" customFormat="1" ht="17.25" customHeight="1" thickTop="1" thickBot="1" x14ac:dyDescent="0.45">
      <c r="A22" s="458">
        <f t="shared" ref="A22" si="1">A19+1</f>
        <v>4</v>
      </c>
      <c r="B22" s="139" t="s">
        <v>90</v>
      </c>
      <c r="C22" s="140" t="s">
        <v>106</v>
      </c>
      <c r="D22" s="141" t="s">
        <v>107</v>
      </c>
      <c r="E22" s="202" t="s">
        <v>108</v>
      </c>
      <c r="F22" s="202" t="s">
        <v>70</v>
      </c>
      <c r="G22" s="427" t="s">
        <v>109</v>
      </c>
      <c r="H22" s="143" t="s">
        <v>72</v>
      </c>
      <c r="I22" s="140" t="s">
        <v>73</v>
      </c>
      <c r="J22" s="140" t="s">
        <v>74</v>
      </c>
      <c r="K22" s="140" t="s">
        <v>2</v>
      </c>
      <c r="L22" s="195" t="s">
        <v>96</v>
      </c>
      <c r="M22" s="196" t="s">
        <v>76</v>
      </c>
      <c r="N22" s="146" t="s">
        <v>77</v>
      </c>
      <c r="O22" s="147">
        <v>46177</v>
      </c>
      <c r="P22" s="147">
        <v>46178</v>
      </c>
      <c r="Q22" s="147">
        <v>46185</v>
      </c>
      <c r="R22" s="147">
        <v>46188</v>
      </c>
      <c r="S22" s="147">
        <v>46195</v>
      </c>
      <c r="T22" s="147">
        <v>46197</v>
      </c>
      <c r="U22" s="147">
        <v>46197</v>
      </c>
      <c r="V22" s="147">
        <v>46211</v>
      </c>
      <c r="W22" s="147"/>
      <c r="X22" s="147">
        <v>46218</v>
      </c>
      <c r="Y22" s="147">
        <v>46220</v>
      </c>
      <c r="Z22" s="147">
        <v>46227</v>
      </c>
      <c r="AA22" s="148">
        <v>46255</v>
      </c>
      <c r="AB22" s="147">
        <v>46269</v>
      </c>
      <c r="AC22" s="147">
        <v>46329</v>
      </c>
      <c r="AD22" s="147">
        <v>46331</v>
      </c>
      <c r="AE22" s="147">
        <v>46333</v>
      </c>
      <c r="AF22" s="147">
        <v>46408</v>
      </c>
      <c r="AG22" s="147">
        <v>46423</v>
      </c>
      <c r="AH22" s="147">
        <v>46438</v>
      </c>
      <c r="AI22" s="147">
        <v>46441</v>
      </c>
      <c r="AJ22" s="147">
        <v>46468</v>
      </c>
      <c r="AK22" s="212">
        <v>26</v>
      </c>
      <c r="AL22" s="213">
        <v>180</v>
      </c>
      <c r="AM22" s="151">
        <v>46438</v>
      </c>
      <c r="AN22" s="151">
        <v>46466</v>
      </c>
      <c r="AO22" s="152">
        <f>AN22-AM23</f>
        <v>249</v>
      </c>
      <c r="AP22" s="153" t="s">
        <v>97</v>
      </c>
      <c r="AQ22" s="438" t="s">
        <v>105</v>
      </c>
      <c r="AR22" s="154">
        <f>IF(ISERROR(LOOKUP(AR$10,$O22:$AQ22,#REF!)),0,(LOOKUP(AR$10,$O22:$AQ22,#REF!)))</f>
        <v>0</v>
      </c>
      <c r="AS22" s="155">
        <f>IF(ISERROR(LOOKUP(AS$10,$O22:$AQ22,#REF!)),0,(LOOKUP(AS$10,$O22:$AQ22,#REF!)))</f>
        <v>0</v>
      </c>
      <c r="AT22" s="155">
        <f>IF(ISERROR(LOOKUP(AT$10,$O22:$AQ22,#REF!)),0,(LOOKUP(AT$10,$O22:$AQ22,#REF!)))</f>
        <v>0</v>
      </c>
      <c r="AU22" s="155">
        <f>IF(ISERROR(LOOKUP(AU$10,$O22:$AQ22,#REF!)),0,(LOOKUP(AU$10,$O22:$AQ22,#REF!)))</f>
        <v>0</v>
      </c>
      <c r="AV22" s="155">
        <f>IF(ISERROR(LOOKUP(AV$10,$O22:$AQ22,#REF!)),0,(LOOKUP(AV$10,$O22:$AQ22,#REF!)))</f>
        <v>0</v>
      </c>
      <c r="AW22" s="155">
        <f>IF(ISERROR(LOOKUP(AW$10,$O22:$AQ22,#REF!)),0,(LOOKUP(AW$10,$O22:$AQ22,#REF!)))</f>
        <v>0</v>
      </c>
      <c r="AX22" s="155">
        <f>IF(ISERROR(LOOKUP(AX$10,$O22:$AQ22,#REF!)),0,(LOOKUP(AX$10,$O22:$AQ22,#REF!)))</f>
        <v>0</v>
      </c>
      <c r="AY22" s="155">
        <f>IF(ISERROR(LOOKUP(AY$10,$O22:$AQ22,#REF!)),0,(LOOKUP(AY$10,$O22:$AQ22,#REF!)))</f>
        <v>0</v>
      </c>
      <c r="AZ22" s="155">
        <f>IF(ISERROR(LOOKUP(AZ$10,$O22:$AQ22,#REF!)),0,(LOOKUP(AZ$10,$O22:$AQ22,#REF!)))</f>
        <v>0</v>
      </c>
      <c r="BA22" s="155">
        <f>IF(ISERROR(LOOKUP(BA$10,$O22:$AQ22,#REF!)),0,(LOOKUP(BA$10,$O22:$AQ22,#REF!)))</f>
        <v>0</v>
      </c>
      <c r="BB22" s="155">
        <f ca="1">IF(ISERROR(LOOKUP(BB$10,$O22:$AQ22,#REF!)),0,(LOOKUP(BB$10,$O22:$AQ22,#REF!)))</f>
        <v>0</v>
      </c>
      <c r="BC22" s="156"/>
      <c r="BD22" s="176"/>
      <c r="BE22" s="176"/>
    </row>
    <row r="23" spans="1:57" s="78" customFormat="1" ht="15.4" thickTop="1" thickBot="1" x14ac:dyDescent="0.45">
      <c r="A23" s="459"/>
      <c r="B23" s="158" t="s">
        <v>90</v>
      </c>
      <c r="C23" s="197" t="s">
        <v>106</v>
      </c>
      <c r="D23" s="204" t="s">
        <v>107</v>
      </c>
      <c r="E23" s="205"/>
      <c r="F23" s="205"/>
      <c r="G23" s="204" t="s">
        <v>109</v>
      </c>
      <c r="H23" s="163" t="s">
        <v>72</v>
      </c>
      <c r="I23" s="159" t="s">
        <v>73</v>
      </c>
      <c r="J23" s="159" t="s">
        <v>74</v>
      </c>
      <c r="K23" s="159" t="s">
        <v>2</v>
      </c>
      <c r="L23" s="164" t="s">
        <v>99</v>
      </c>
      <c r="M23" s="198" t="s">
        <v>76</v>
      </c>
      <c r="N23" s="166" t="s">
        <v>84</v>
      </c>
      <c r="O23" s="167"/>
      <c r="P23" s="168"/>
      <c r="Q23" s="168"/>
      <c r="R23" s="168"/>
      <c r="S23" s="168"/>
      <c r="T23" s="214"/>
      <c r="U23" s="167"/>
      <c r="V23" s="167"/>
      <c r="W23" s="167"/>
      <c r="X23" s="167"/>
      <c r="Y23" s="167"/>
      <c r="Z23" s="167"/>
      <c r="AA23" s="167">
        <f>WORKDAY(Z24,AA6,IF(AA12="China",'China Holidays'!$A$2:$A$84,'Thai Holidays'!$A$2:$A$65))</f>
        <v>46248</v>
      </c>
      <c r="AB23" s="167">
        <f>WORKDAY(AA23,AB6,IF(AB12="China",'China Holidays'!$A$2:$A$84,'Thai Holidays'!$A$2:$A$65))</f>
        <v>46262</v>
      </c>
      <c r="AC23" s="168">
        <f>AB23+60</f>
        <v>46322</v>
      </c>
      <c r="AD23" s="168">
        <f>AC23+2</f>
        <v>46324</v>
      </c>
      <c r="AE23" s="168">
        <f>AD23+2</f>
        <v>46326</v>
      </c>
      <c r="AF23" s="168">
        <f>AG23-15</f>
        <v>46408</v>
      </c>
      <c r="AG23" s="168">
        <v>46423</v>
      </c>
      <c r="AH23" s="168">
        <f>AM22</f>
        <v>46438</v>
      </c>
      <c r="AI23" s="168">
        <f>AM22+3</f>
        <v>46441</v>
      </c>
      <c r="AJ23" s="168">
        <f>AM22+30</f>
        <v>46468</v>
      </c>
      <c r="AK23" s="199"/>
      <c r="AL23" s="206"/>
      <c r="AM23" s="170">
        <f>X23+X24</f>
        <v>46217</v>
      </c>
      <c r="AN23" s="170"/>
      <c r="AO23" s="171"/>
      <c r="AP23" s="172"/>
      <c r="AQ23" s="448"/>
      <c r="AR23" s="154">
        <f>IF(ISERROR(LOOKUP(AR$10,$O23:$AQ23,#REF!)),0,(LOOKUP(AR$10,$O23:$AQ23,#REF!)))</f>
        <v>0</v>
      </c>
      <c r="AS23" s="155">
        <f>IF(ISERROR(LOOKUP(AS$10,$O23:$AQ23,#REF!)),0,(LOOKUP(AS$10,$O23:$AQ23,#REF!)))</f>
        <v>0</v>
      </c>
      <c r="AT23" s="155">
        <f>IF(ISERROR(LOOKUP(AT$10,$O23:$AQ23,#REF!)),0,(LOOKUP(AT$10,$O23:$AQ23,#REF!)))</f>
        <v>0</v>
      </c>
      <c r="AU23" s="155">
        <f>IF(ISERROR(LOOKUP(AU$10,$O23:$AQ23,#REF!)),0,(LOOKUP(AU$10,$O23:$AQ23,#REF!)))</f>
        <v>0</v>
      </c>
      <c r="AV23" s="155">
        <f>IF(ISERROR(LOOKUP(AV$10,$O23:$AQ23,#REF!)),0,(LOOKUP(AV$10,$O23:$AQ23,#REF!)))</f>
        <v>0</v>
      </c>
      <c r="AW23" s="155">
        <f>IF(ISERROR(LOOKUP(AW$10,$O23:$AQ23,#REF!)),0,(LOOKUP(AW$10,$O23:$AQ23,#REF!)))</f>
        <v>0</v>
      </c>
      <c r="AX23" s="155">
        <f>IF(ISERROR(LOOKUP(AX$10,$O23:$AQ23,#REF!)),0,(LOOKUP(AX$10,$O23:$AQ23,#REF!)))</f>
        <v>0</v>
      </c>
      <c r="AY23" s="155">
        <f>IF(ISERROR(LOOKUP(AY$10,$O23:$AQ23,#REF!)),0,(LOOKUP(AY$10,$O23:$AQ23,#REF!)))</f>
        <v>0</v>
      </c>
      <c r="AZ23" s="155">
        <f>IF(ISERROR(LOOKUP(AZ$10,$O23:$AQ23,#REF!)),0,(LOOKUP(AZ$10,$O23:$AQ23,#REF!)))</f>
        <v>0</v>
      </c>
      <c r="BA23" s="155">
        <f>IF(ISERROR(LOOKUP(BA$10,$O23:$AQ23,#REF!)),0,(LOOKUP(BA$10,$O23:$AQ23,#REF!)))</f>
        <v>0</v>
      </c>
      <c r="BB23" s="155">
        <f ca="1">IF(ISERROR(LOOKUP(BB$10,$O23:$AQ23,#REF!)),0,(LOOKUP(BB$10,$O23:$AQ23,#REF!)))</f>
        <v>0</v>
      </c>
      <c r="BC23" s="156"/>
      <c r="BD23" s="176"/>
      <c r="BE23" s="176"/>
    </row>
    <row r="24" spans="1:57" s="78" customFormat="1" ht="15.4" thickTop="1" thickBot="1" x14ac:dyDescent="0.45">
      <c r="A24" s="460"/>
      <c r="B24" s="177" t="s">
        <v>90</v>
      </c>
      <c r="C24" s="178" t="s">
        <v>106</v>
      </c>
      <c r="D24" s="207" t="s">
        <v>107</v>
      </c>
      <c r="E24" s="215"/>
      <c r="F24" s="215"/>
      <c r="G24" s="430" t="s">
        <v>109</v>
      </c>
      <c r="H24" s="182" t="s">
        <v>72</v>
      </c>
      <c r="I24" s="178" t="s">
        <v>73</v>
      </c>
      <c r="J24" s="178" t="s">
        <v>74</v>
      </c>
      <c r="K24" s="178" t="s">
        <v>2</v>
      </c>
      <c r="L24" s="207"/>
      <c r="M24" s="200" t="s">
        <v>76</v>
      </c>
      <c r="N24" s="185" t="s">
        <v>87</v>
      </c>
      <c r="O24" s="186"/>
      <c r="P24" s="186">
        <v>46141</v>
      </c>
      <c r="Q24" s="186">
        <v>46143</v>
      </c>
      <c r="R24" s="186">
        <v>46148</v>
      </c>
      <c r="S24" s="186">
        <v>46148</v>
      </c>
      <c r="T24" s="186">
        <v>46191</v>
      </c>
      <c r="U24" s="186">
        <v>46200</v>
      </c>
      <c r="V24" s="186">
        <v>46211</v>
      </c>
      <c r="W24" s="186" t="s">
        <v>100</v>
      </c>
      <c r="X24" s="186">
        <v>46217</v>
      </c>
      <c r="Y24" s="186">
        <v>46218</v>
      </c>
      <c r="Z24" s="186">
        <v>46220</v>
      </c>
      <c r="AA24" s="186"/>
      <c r="AB24" s="186"/>
      <c r="AC24" s="186"/>
      <c r="AD24" s="186"/>
      <c r="AE24" s="186"/>
      <c r="AF24" s="186"/>
      <c r="AG24" s="186"/>
      <c r="AH24" s="186"/>
      <c r="AI24" s="186"/>
      <c r="AJ24" s="186"/>
      <c r="AK24" s="188"/>
      <c r="AL24" s="211"/>
      <c r="AM24" s="201"/>
      <c r="AN24" s="187"/>
      <c r="AO24" s="189"/>
      <c r="AP24" s="190"/>
      <c r="AQ24" s="449"/>
      <c r="AR24" s="191">
        <f>IF(ISERROR(LOOKUP(AR$10,$O24:$AQ24,#REF!)),0,(LOOKUP(AR$10,$O24:$AQ24,#REF!)))</f>
        <v>0</v>
      </c>
      <c r="AS24" s="192">
        <f>IF(ISERROR(LOOKUP(AS$10,$O24:$AQ24,#REF!)),0,(LOOKUP(AS$10,$O24:$AQ24,#REF!)))</f>
        <v>0</v>
      </c>
      <c r="AT24" s="192">
        <f>IF(ISERROR(LOOKUP(AT$10,$O24:$AQ24,#REF!)),0,(LOOKUP(AT$10,$O24:$AQ24,#REF!)))</f>
        <v>0</v>
      </c>
      <c r="AU24" s="192">
        <f>IF(ISERROR(LOOKUP(AU$10,$O24:$AQ24,#REF!)),0,(LOOKUP(AU$10,$O24:$AQ24,#REF!)))</f>
        <v>0</v>
      </c>
      <c r="AV24" s="192">
        <f>IF(ISERROR(LOOKUP(AV$10,$O24:$AQ24,#REF!)),0,(LOOKUP(AV$10,$O24:$AQ24,#REF!)))</f>
        <v>0</v>
      </c>
      <c r="AW24" s="192">
        <f>IF(ISERROR(LOOKUP(AW$10,$O24:$AQ24,#REF!)),0,(LOOKUP(AW$10,$O24:$AQ24,#REF!)))</f>
        <v>0</v>
      </c>
      <c r="AX24" s="192">
        <f>IF(ISERROR(LOOKUP(AX$10,$O24:$AQ24,#REF!)),0,(LOOKUP(AX$10,$O24:$AQ24,#REF!)))</f>
        <v>0</v>
      </c>
      <c r="AY24" s="192">
        <f>IF(ISERROR(LOOKUP(AY$10,$O24:$AQ24,#REF!)),0,(LOOKUP(AY$10,$O24:$AQ24,#REF!)))</f>
        <v>0</v>
      </c>
      <c r="AZ24" s="192">
        <f>IF(ISERROR(LOOKUP(AZ$10,$O24:$AQ24,#REF!)),0,(LOOKUP(AZ$10,$O24:$AQ24,#REF!)))</f>
        <v>0</v>
      </c>
      <c r="BA24" s="192">
        <f>IF(ISERROR(LOOKUP(BA$10,$O24:$AQ24,#REF!)),0,(LOOKUP(BA$10,$O24:$AQ24,#REF!)))</f>
        <v>0</v>
      </c>
      <c r="BB24" s="192">
        <f ca="1">IF(ISERROR(LOOKUP(BB$10,$O24:$AQ24,#REF!)),0,(LOOKUP(BB$10,$O24:$AQ24,#REF!)))</f>
        <v>0</v>
      </c>
      <c r="BC24" s="156"/>
      <c r="BD24" s="176"/>
      <c r="BE24" s="176"/>
    </row>
    <row r="25" spans="1:57" s="78" customFormat="1" ht="19.149999999999999" customHeight="1" thickTop="1" thickBot="1" x14ac:dyDescent="0.45">
      <c r="A25" s="458">
        <f t="shared" ref="A25" si="2">A22+1</f>
        <v>5</v>
      </c>
      <c r="B25" s="139" t="s">
        <v>110</v>
      </c>
      <c r="C25" s="140" t="s">
        <v>111</v>
      </c>
      <c r="D25" s="141" t="s">
        <v>112</v>
      </c>
      <c r="E25" s="202"/>
      <c r="F25" s="202" t="s">
        <v>70</v>
      </c>
      <c r="G25" s="427" t="s">
        <v>113</v>
      </c>
      <c r="H25" s="143" t="s">
        <v>72</v>
      </c>
      <c r="I25" s="140" t="s">
        <v>73</v>
      </c>
      <c r="J25" s="140" t="s">
        <v>95</v>
      </c>
      <c r="K25" s="140" t="s">
        <v>2</v>
      </c>
      <c r="L25" s="195" t="s">
        <v>114</v>
      </c>
      <c r="M25" s="145" t="s">
        <v>76</v>
      </c>
      <c r="N25" s="146" t="s">
        <v>77</v>
      </c>
      <c r="O25" s="147">
        <v>46140</v>
      </c>
      <c r="P25" s="147">
        <v>46141</v>
      </c>
      <c r="Q25" s="147">
        <v>46150</v>
      </c>
      <c r="R25" s="147">
        <v>46153</v>
      </c>
      <c r="S25" s="147">
        <v>46160</v>
      </c>
      <c r="T25" s="147">
        <v>46168</v>
      </c>
      <c r="U25" s="147">
        <v>46195</v>
      </c>
      <c r="V25" s="147">
        <v>46209</v>
      </c>
      <c r="W25" s="147"/>
      <c r="X25" s="148">
        <v>46220</v>
      </c>
      <c r="Y25" s="147">
        <v>46224</v>
      </c>
      <c r="Z25" s="147">
        <v>46231</v>
      </c>
      <c r="AA25" s="147">
        <v>46259</v>
      </c>
      <c r="AB25" s="147">
        <v>46273</v>
      </c>
      <c r="AC25" s="147">
        <v>46363</v>
      </c>
      <c r="AD25" s="147">
        <v>46363</v>
      </c>
      <c r="AE25" s="147">
        <v>46366</v>
      </c>
      <c r="AF25" s="147">
        <v>46401</v>
      </c>
      <c r="AG25" s="147">
        <v>46416</v>
      </c>
      <c r="AH25" s="147">
        <v>46444</v>
      </c>
      <c r="AI25" s="147">
        <v>46447</v>
      </c>
      <c r="AJ25" s="147">
        <v>46474</v>
      </c>
      <c r="AK25" s="149">
        <v>32</v>
      </c>
      <c r="AL25" s="150">
        <v>224</v>
      </c>
      <c r="AM25" s="151">
        <v>46444</v>
      </c>
      <c r="AN25" s="151">
        <v>46476</v>
      </c>
      <c r="AO25" s="152">
        <f>AN25-AM26</f>
        <v>40</v>
      </c>
      <c r="AP25" s="153" t="s">
        <v>78</v>
      </c>
      <c r="AQ25" s="438" t="s">
        <v>115</v>
      </c>
      <c r="AR25" s="154">
        <f>IF(ISERROR(LOOKUP(AR$10,$O25:$AQ25,#REF!)),0,(LOOKUP(AR$10,$O25:$AQ25,#REF!)))</f>
        <v>0</v>
      </c>
      <c r="AS25" s="155">
        <f>IF(ISERROR(LOOKUP(AS$10,$O25:$AQ25,#REF!)),0,(LOOKUP(AS$10,$O25:$AQ25,#REF!)))</f>
        <v>0</v>
      </c>
      <c r="AT25" s="155">
        <f>IF(ISERROR(LOOKUP(AT$10,$O25:$AQ25,#REF!)),0,(LOOKUP(AT$10,$O25:$AQ25,#REF!)))</f>
        <v>0</v>
      </c>
      <c r="AU25" s="155">
        <f>IF(ISERROR(LOOKUP(AU$10,$O25:$AQ25,#REF!)),0,(LOOKUP(AU$10,$O25:$AQ25,#REF!)))</f>
        <v>0</v>
      </c>
      <c r="AV25" s="155">
        <f>IF(ISERROR(LOOKUP(AV$10,$O25:$AQ25,#REF!)),0,(LOOKUP(AV$10,$O25:$AQ25,#REF!)))</f>
        <v>0</v>
      </c>
      <c r="AW25" s="155">
        <f>IF(ISERROR(LOOKUP(AW$10,$O25:$AQ25,#REF!)),0,(LOOKUP(AW$10,$O25:$AQ25,#REF!)))</f>
        <v>0</v>
      </c>
      <c r="AX25" s="155">
        <f>IF(ISERROR(LOOKUP(AX$10,$O25:$AQ25,#REF!)),0,(LOOKUP(AX$10,$O25:$AQ25,#REF!)))</f>
        <v>0</v>
      </c>
      <c r="AY25" s="155">
        <f>IF(ISERROR(LOOKUP(AY$10,$O25:$AQ25,#REF!)),0,(LOOKUP(AY$10,$O25:$AQ25,#REF!)))</f>
        <v>0</v>
      </c>
      <c r="AZ25" s="155">
        <f>IF(ISERROR(LOOKUP(AZ$10,$O25:$AQ25,#REF!)),0,(LOOKUP(AZ$10,$O25:$AQ25,#REF!)))</f>
        <v>0</v>
      </c>
      <c r="BA25" s="155">
        <f>IF(ISERROR(LOOKUP(BA$10,$O25:$AQ25,#REF!)),0,(LOOKUP(BA$10,$O25:$AQ25,#REF!)))</f>
        <v>0</v>
      </c>
      <c r="BB25" s="155">
        <f ca="1">IF(ISERROR(LOOKUP(BB$10,$O25:$AQ25,#REF!)),0,(LOOKUP(BB$10,$O25:$AQ25,#REF!)))</f>
        <v>0</v>
      </c>
      <c r="BC25" s="156" t="s">
        <v>80</v>
      </c>
      <c r="BD25" s="193" t="s">
        <v>116</v>
      </c>
      <c r="BE25" s="176"/>
    </row>
    <row r="26" spans="1:57" s="78" customFormat="1" ht="15.4" thickTop="1" thickBot="1" x14ac:dyDescent="0.45">
      <c r="A26" s="459"/>
      <c r="B26" s="158" t="s">
        <v>110</v>
      </c>
      <c r="C26" s="197" t="s">
        <v>111</v>
      </c>
      <c r="D26" s="204" t="s">
        <v>112</v>
      </c>
      <c r="E26" s="205"/>
      <c r="F26" s="205"/>
      <c r="G26" s="428" t="s">
        <v>113</v>
      </c>
      <c r="H26" s="163" t="s">
        <v>72</v>
      </c>
      <c r="I26" s="159" t="s">
        <v>73</v>
      </c>
      <c r="J26" s="159" t="s">
        <v>95</v>
      </c>
      <c r="K26" s="159" t="s">
        <v>2</v>
      </c>
      <c r="L26" s="164" t="s">
        <v>117</v>
      </c>
      <c r="M26" s="165" t="s">
        <v>76</v>
      </c>
      <c r="N26" s="166" t="s">
        <v>84</v>
      </c>
      <c r="O26" s="167"/>
      <c r="P26" s="167"/>
      <c r="Q26" s="216"/>
      <c r="R26" s="167"/>
      <c r="S26" s="167"/>
      <c r="T26" s="167"/>
      <c r="U26" s="216"/>
      <c r="V26" s="167"/>
      <c r="W26" s="167"/>
      <c r="X26" s="167">
        <v>46240</v>
      </c>
      <c r="Y26" s="167">
        <f>WORKDAY(X26,Y6,IF(Y12="China",'China Holidays'!$A$2:$A$84,'Thai Holidays'!$A$2:$A$65))</f>
        <v>46244</v>
      </c>
      <c r="Z26" s="167">
        <f>WORKDAY(Y26,Z6,IF(Z12="China",'China Holidays'!$A$2:$A$84,'Thai Holidays'!$A$2:$A$65))</f>
        <v>46251</v>
      </c>
      <c r="AA26" s="167">
        <f>WORKDAY(Z26,AA6,IF(AA12="China",'China Holidays'!$A$2:$A$84,'Thai Holidays'!$A$2:$A$65))</f>
        <v>46279</v>
      </c>
      <c r="AB26" s="167">
        <f>WORKDAY(AA26,AB6,IF(AB12="China",'China Holidays'!$A$2:$A$84,'Thai Holidays'!$A$2:$A$65))</f>
        <v>46293</v>
      </c>
      <c r="AC26" s="168">
        <f>AB26+90</f>
        <v>46383</v>
      </c>
      <c r="AD26" s="168">
        <f>AC26</f>
        <v>46383</v>
      </c>
      <c r="AE26" s="168">
        <f>AD26+3</f>
        <v>46386</v>
      </c>
      <c r="AF26" s="168">
        <f>AG26-15</f>
        <v>46401</v>
      </c>
      <c r="AG26" s="168">
        <f>AH26-28</f>
        <v>46416</v>
      </c>
      <c r="AH26" s="168">
        <f>AM25</f>
        <v>46444</v>
      </c>
      <c r="AI26" s="168">
        <f>AM25+3</f>
        <v>46447</v>
      </c>
      <c r="AJ26" s="168">
        <f>AM25+30</f>
        <v>46474</v>
      </c>
      <c r="AK26" s="169">
        <v>28</v>
      </c>
      <c r="AL26" s="169">
        <f>AK26*7</f>
        <v>196</v>
      </c>
      <c r="AM26" s="170">
        <f>X26+AL26</f>
        <v>46436</v>
      </c>
      <c r="AN26" s="170"/>
      <c r="AO26" s="171"/>
      <c r="AP26" s="172"/>
      <c r="AQ26" s="448"/>
      <c r="AR26" s="154">
        <f>IF(ISERROR(LOOKUP(AR$10,$O26:$AQ26,#REF!)),0,(LOOKUP(AR$10,$O26:$AQ26,#REF!)))</f>
        <v>0</v>
      </c>
      <c r="AS26" s="155">
        <f>IF(ISERROR(LOOKUP(AS$10,$O26:$AQ26,#REF!)),0,(LOOKUP(AS$10,$O26:$AQ26,#REF!)))</f>
        <v>0</v>
      </c>
      <c r="AT26" s="155">
        <f>IF(ISERROR(LOOKUP(AT$10,$O26:$AQ26,#REF!)),0,(LOOKUP(AT$10,$O26:$AQ26,#REF!)))</f>
        <v>0</v>
      </c>
      <c r="AU26" s="155">
        <f>IF(ISERROR(LOOKUP(AU$10,$O26:$AQ26,#REF!)),0,(LOOKUP(AU$10,$O26:$AQ26,#REF!)))</f>
        <v>0</v>
      </c>
      <c r="AV26" s="155">
        <f>IF(ISERROR(LOOKUP(AV$10,$O26:$AQ26,#REF!)),0,(LOOKUP(AV$10,$O26:$AQ26,#REF!)))</f>
        <v>0</v>
      </c>
      <c r="AW26" s="155">
        <f>IF(ISERROR(LOOKUP(AW$10,$O26:$AQ26,#REF!)),0,(LOOKUP(AW$10,$O26:$AQ26,#REF!)))</f>
        <v>0</v>
      </c>
      <c r="AX26" s="155">
        <f>IF(ISERROR(LOOKUP(AX$10,$O26:$AQ26,#REF!)),0,(LOOKUP(AX$10,$O26:$AQ26,#REF!)))</f>
        <v>0</v>
      </c>
      <c r="AY26" s="155">
        <f>IF(ISERROR(LOOKUP(AY$10,$O26:$AQ26,#REF!)),0,(LOOKUP(AY$10,$O26:$AQ26,#REF!)))</f>
        <v>0</v>
      </c>
      <c r="AZ26" s="155">
        <f>IF(ISERROR(LOOKUP(AZ$10,$O26:$AQ26,#REF!)),0,(LOOKUP(AZ$10,$O26:$AQ26,#REF!)))</f>
        <v>0</v>
      </c>
      <c r="BA26" s="155">
        <f>IF(ISERROR(LOOKUP(BA$10,$O26:$AQ26,#REF!)),0,(LOOKUP(BA$10,$O26:$AQ26,#REF!)))</f>
        <v>0</v>
      </c>
      <c r="BB26" s="155">
        <f ca="1">IF(ISERROR(LOOKUP(BB$10,$O26:$AQ26,#REF!)),0,(LOOKUP(BB$10,$O26:$AQ26,#REF!)))</f>
        <v>0</v>
      </c>
      <c r="BC26" s="156" t="s">
        <v>85</v>
      </c>
      <c r="BD26" s="193" t="s">
        <v>118</v>
      </c>
      <c r="BE26" s="176"/>
    </row>
    <row r="27" spans="1:57" s="78" customFormat="1" ht="15.4" thickTop="1" thickBot="1" x14ac:dyDescent="0.45">
      <c r="A27" s="460"/>
      <c r="B27" s="177" t="s">
        <v>110</v>
      </c>
      <c r="C27" s="178" t="s">
        <v>111</v>
      </c>
      <c r="D27" s="207" t="s">
        <v>112</v>
      </c>
      <c r="E27" s="215"/>
      <c r="F27" s="215"/>
      <c r="G27" s="430" t="s">
        <v>113</v>
      </c>
      <c r="H27" s="182" t="s">
        <v>72</v>
      </c>
      <c r="I27" s="178" t="s">
        <v>73</v>
      </c>
      <c r="J27" s="178" t="s">
        <v>95</v>
      </c>
      <c r="K27" s="178" t="s">
        <v>2</v>
      </c>
      <c r="L27" s="179"/>
      <c r="M27" s="184" t="s">
        <v>76</v>
      </c>
      <c r="N27" s="185" t="s">
        <v>87</v>
      </c>
      <c r="O27" s="186">
        <v>46133</v>
      </c>
      <c r="P27" s="186">
        <v>46130</v>
      </c>
      <c r="Q27" s="186">
        <v>46149</v>
      </c>
      <c r="R27" s="186">
        <v>46150</v>
      </c>
      <c r="S27" s="186">
        <v>46150</v>
      </c>
      <c r="T27" s="186">
        <v>46164</v>
      </c>
      <c r="U27" s="186">
        <v>46206</v>
      </c>
      <c r="V27" s="186">
        <v>46220</v>
      </c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8"/>
      <c r="AL27" s="188"/>
      <c r="AM27" s="187"/>
      <c r="AN27" s="187"/>
      <c r="AO27" s="189"/>
      <c r="AP27" s="190"/>
      <c r="AQ27" s="449"/>
      <c r="AR27" s="191">
        <f>IF(ISERROR(LOOKUP(AR$10,$O27:$AQ27,#REF!)),0,(LOOKUP(AR$10,$O27:$AQ27,#REF!)))</f>
        <v>0</v>
      </c>
      <c r="AS27" s="192">
        <f>IF(ISERROR(LOOKUP(AS$10,$O27:$AQ27,#REF!)),0,(LOOKUP(AS$10,$O27:$AQ27,#REF!)))</f>
        <v>0</v>
      </c>
      <c r="AT27" s="192">
        <f>IF(ISERROR(LOOKUP(AT$10,$O27:$AQ27,#REF!)),0,(LOOKUP(AT$10,$O27:$AQ27,#REF!)))</f>
        <v>0</v>
      </c>
      <c r="AU27" s="192">
        <f>IF(ISERROR(LOOKUP(AU$10,$O27:$AQ27,#REF!)),0,(LOOKUP(AU$10,$O27:$AQ27,#REF!)))</f>
        <v>0</v>
      </c>
      <c r="AV27" s="192">
        <f>IF(ISERROR(LOOKUP(AV$10,$O27:$AQ27,#REF!)),0,(LOOKUP(AV$10,$O27:$AQ27,#REF!)))</f>
        <v>0</v>
      </c>
      <c r="AW27" s="192">
        <f>IF(ISERROR(LOOKUP(AW$10,$O27:$AQ27,#REF!)),0,(LOOKUP(AW$10,$O27:$AQ27,#REF!)))</f>
        <v>0</v>
      </c>
      <c r="AX27" s="192">
        <f>IF(ISERROR(LOOKUP(AX$10,$O27:$AQ27,#REF!)),0,(LOOKUP(AX$10,$O27:$AQ27,#REF!)))</f>
        <v>0</v>
      </c>
      <c r="AY27" s="192">
        <f>IF(ISERROR(LOOKUP(AY$10,$O27:$AQ27,#REF!)),0,(LOOKUP(AY$10,$O27:$AQ27,#REF!)))</f>
        <v>0</v>
      </c>
      <c r="AZ27" s="192">
        <f>IF(ISERROR(LOOKUP(AZ$10,$O27:$AQ27,#REF!)),0,(LOOKUP(AZ$10,$O27:$AQ27,#REF!)))</f>
        <v>0</v>
      </c>
      <c r="BA27" s="192">
        <f>IF(ISERROR(LOOKUP(BA$10,$O27:$AQ27,#REF!)),0,(LOOKUP(BA$10,$O27:$AQ27,#REF!)))</f>
        <v>0</v>
      </c>
      <c r="BB27" s="192">
        <f ca="1">IF(ISERROR(LOOKUP(BB$10,$O27:$AQ27,#REF!)),0,(LOOKUP(BB$10,$O27:$AQ27,#REF!)))</f>
        <v>0</v>
      </c>
      <c r="BC27" s="156"/>
      <c r="BD27" s="176"/>
      <c r="BE27" s="176"/>
    </row>
    <row r="28" spans="1:57" s="78" customFormat="1" ht="19.899999999999999" customHeight="1" thickTop="1" thickBot="1" x14ac:dyDescent="0.45">
      <c r="A28" s="458">
        <f t="shared" ref="A28" si="3">A25+1</f>
        <v>6</v>
      </c>
      <c r="B28" s="139" t="s">
        <v>119</v>
      </c>
      <c r="C28" s="140" t="s">
        <v>120</v>
      </c>
      <c r="D28" s="141" t="s">
        <v>121</v>
      </c>
      <c r="E28" s="202"/>
      <c r="F28" s="202" t="s">
        <v>70</v>
      </c>
      <c r="G28" s="427" t="s">
        <v>122</v>
      </c>
      <c r="H28" s="143" t="s">
        <v>72</v>
      </c>
      <c r="I28" s="140" t="s">
        <v>73</v>
      </c>
      <c r="J28" s="140" t="s">
        <v>95</v>
      </c>
      <c r="K28" s="140" t="s">
        <v>2</v>
      </c>
      <c r="L28" s="195" t="s">
        <v>114</v>
      </c>
      <c r="M28" s="145" t="s">
        <v>76</v>
      </c>
      <c r="N28" s="146" t="s">
        <v>77</v>
      </c>
      <c r="O28" s="147">
        <v>46140</v>
      </c>
      <c r="P28" s="147">
        <v>46141</v>
      </c>
      <c r="Q28" s="147">
        <v>46150</v>
      </c>
      <c r="R28" s="147">
        <v>46153</v>
      </c>
      <c r="S28" s="147">
        <v>46160</v>
      </c>
      <c r="T28" s="147">
        <v>46168</v>
      </c>
      <c r="U28" s="147">
        <v>46195</v>
      </c>
      <c r="V28" s="148">
        <v>46209</v>
      </c>
      <c r="W28" s="147"/>
      <c r="X28" s="147">
        <v>46220</v>
      </c>
      <c r="Y28" s="147">
        <v>46224</v>
      </c>
      <c r="Z28" s="147">
        <v>46231</v>
      </c>
      <c r="AA28" s="147">
        <v>46259</v>
      </c>
      <c r="AB28" s="147">
        <v>46273</v>
      </c>
      <c r="AC28" s="147">
        <v>46363</v>
      </c>
      <c r="AD28" s="147">
        <v>46363</v>
      </c>
      <c r="AE28" s="147">
        <v>46366</v>
      </c>
      <c r="AF28" s="147">
        <v>46424</v>
      </c>
      <c r="AG28" s="147">
        <v>46439</v>
      </c>
      <c r="AH28" s="147">
        <v>46444</v>
      </c>
      <c r="AI28" s="147">
        <v>46447</v>
      </c>
      <c r="AJ28" s="147">
        <v>46474</v>
      </c>
      <c r="AK28" s="149">
        <v>34</v>
      </c>
      <c r="AL28" s="150">
        <v>238</v>
      </c>
      <c r="AM28" s="151">
        <v>46458</v>
      </c>
      <c r="AN28" s="151">
        <v>46464</v>
      </c>
      <c r="AO28" s="152">
        <f>AN28-AM29</f>
        <v>-4</v>
      </c>
      <c r="AP28" s="153" t="s">
        <v>78</v>
      </c>
      <c r="AQ28" s="438" t="s">
        <v>123</v>
      </c>
      <c r="AR28" s="154">
        <f>IF(ISERROR(LOOKUP(AR$10,$O28:$AQ28,#REF!)),0,(LOOKUP(AR$10,$O28:$AQ28,#REF!)))</f>
        <v>0</v>
      </c>
      <c r="AS28" s="155">
        <f>IF(ISERROR(LOOKUP(AS$10,$O28:$AQ28,#REF!)),0,(LOOKUP(AS$10,$O28:$AQ28,#REF!)))</f>
        <v>0</v>
      </c>
      <c r="AT28" s="155">
        <f>IF(ISERROR(LOOKUP(AT$10,$O28:$AQ28,#REF!)),0,(LOOKUP(AT$10,$O28:$AQ28,#REF!)))</f>
        <v>0</v>
      </c>
      <c r="AU28" s="155">
        <f>IF(ISERROR(LOOKUP(AU$10,$O28:$AQ28,#REF!)),0,(LOOKUP(AU$10,$O28:$AQ28,#REF!)))</f>
        <v>0</v>
      </c>
      <c r="AV28" s="155">
        <f>IF(ISERROR(LOOKUP(AV$10,$O28:$AQ28,#REF!)),0,(LOOKUP(AV$10,$O28:$AQ28,#REF!)))</f>
        <v>0</v>
      </c>
      <c r="AW28" s="155">
        <f>IF(ISERROR(LOOKUP(AW$10,$O28:$AQ28,#REF!)),0,(LOOKUP(AW$10,$O28:$AQ28,#REF!)))</f>
        <v>0</v>
      </c>
      <c r="AX28" s="155">
        <f>IF(ISERROR(LOOKUP(AX$10,$O28:$AQ28,#REF!)),0,(LOOKUP(AX$10,$O28:$AQ28,#REF!)))</f>
        <v>0</v>
      </c>
      <c r="AY28" s="155">
        <f>IF(ISERROR(LOOKUP(AY$10,$O28:$AQ28,#REF!)),0,(LOOKUP(AY$10,$O28:$AQ28,#REF!)))</f>
        <v>0</v>
      </c>
      <c r="AZ28" s="155">
        <f>IF(ISERROR(LOOKUP(AZ$10,$O28:$AQ28,#REF!)),0,(LOOKUP(AZ$10,$O28:$AQ28,#REF!)))</f>
        <v>0</v>
      </c>
      <c r="BA28" s="155">
        <f>IF(ISERROR(LOOKUP(BA$10,$O28:$AQ28,#REF!)),0,(LOOKUP(BA$10,$O28:$AQ28,#REF!)))</f>
        <v>0</v>
      </c>
      <c r="BB28" s="155">
        <f ca="1">IF(ISERROR(LOOKUP(BB$10,$O28:$AQ28,#REF!)),0,(LOOKUP(BB$10,$O28:$AQ28,#REF!)))</f>
        <v>0</v>
      </c>
      <c r="BC28" s="156" t="s">
        <v>80</v>
      </c>
      <c r="BD28" s="193" t="s">
        <v>124</v>
      </c>
      <c r="BE28" s="176"/>
    </row>
    <row r="29" spans="1:57" s="78" customFormat="1" ht="15.4" thickTop="1" thickBot="1" x14ac:dyDescent="0.45">
      <c r="A29" s="459"/>
      <c r="B29" s="158" t="s">
        <v>119</v>
      </c>
      <c r="C29" s="197" t="s">
        <v>120</v>
      </c>
      <c r="D29" s="204" t="s">
        <v>121</v>
      </c>
      <c r="E29" s="205"/>
      <c r="F29" s="205"/>
      <c r="G29" s="428" t="s">
        <v>122</v>
      </c>
      <c r="H29" s="163" t="s">
        <v>72</v>
      </c>
      <c r="I29" s="159" t="s">
        <v>73</v>
      </c>
      <c r="J29" s="159" t="s">
        <v>95</v>
      </c>
      <c r="K29" s="159" t="s">
        <v>2</v>
      </c>
      <c r="L29" s="164" t="s">
        <v>117</v>
      </c>
      <c r="M29" s="165" t="s">
        <v>76</v>
      </c>
      <c r="N29" s="166" t="s">
        <v>84</v>
      </c>
      <c r="O29" s="167"/>
      <c r="P29" s="167"/>
      <c r="Q29" s="216"/>
      <c r="R29" s="167"/>
      <c r="S29" s="167"/>
      <c r="T29" s="167"/>
      <c r="U29" s="216"/>
      <c r="V29" s="167">
        <v>46240</v>
      </c>
      <c r="W29" s="167">
        <v>46240</v>
      </c>
      <c r="X29" s="167">
        <v>46244</v>
      </c>
      <c r="Y29" s="167">
        <f>WORKDAY(X29,Y6,IF(Y12="China",'China Holidays'!$A$2:$A$84,'Thai Holidays'!$A$2:$A$65))</f>
        <v>46246</v>
      </c>
      <c r="Z29" s="167">
        <f>WORKDAY(Y29,Z6,IF(Z12="China",'China Holidays'!$A$2:$A$84,'Thai Holidays'!$A$2:$A$65))</f>
        <v>46253</v>
      </c>
      <c r="AA29" s="167">
        <f>WORKDAY(Z29,AA6,IF(AA12="China",'China Holidays'!$A$2:$A$84,'Thai Holidays'!$A$2:$A$65))</f>
        <v>46281</v>
      </c>
      <c r="AB29" s="167">
        <f>WORKDAY(AA29,AB6,IF(AB12="China",'China Holidays'!$A$2:$A$84,'Thai Holidays'!$A$2:$A$65))</f>
        <v>46295</v>
      </c>
      <c r="AC29" s="168">
        <f>AB29+90</f>
        <v>46385</v>
      </c>
      <c r="AD29" s="168">
        <f>AC29</f>
        <v>46385</v>
      </c>
      <c r="AE29" s="168">
        <f>AD29+3</f>
        <v>46388</v>
      </c>
      <c r="AF29" s="168">
        <f>AG29-15</f>
        <v>46415</v>
      </c>
      <c r="AG29" s="168">
        <f>AH29-28</f>
        <v>46430</v>
      </c>
      <c r="AH29" s="168">
        <f>AM28</f>
        <v>46458</v>
      </c>
      <c r="AI29" s="168">
        <f>AM28+3</f>
        <v>46461</v>
      </c>
      <c r="AJ29" s="168">
        <f>AM28+30</f>
        <v>46488</v>
      </c>
      <c r="AK29" s="169">
        <v>32</v>
      </c>
      <c r="AL29" s="169">
        <f>AK29*7</f>
        <v>224</v>
      </c>
      <c r="AM29" s="170">
        <f>X29+AL29</f>
        <v>46468</v>
      </c>
      <c r="AN29" s="170"/>
      <c r="AO29" s="171"/>
      <c r="AP29" s="172"/>
      <c r="AQ29" s="448"/>
      <c r="AR29" s="154">
        <f>IF(ISERROR(LOOKUP(AR$10,$O29:$AQ29,#REF!)),0,(LOOKUP(AR$10,$O29:$AQ29,#REF!)))</f>
        <v>0</v>
      </c>
      <c r="AS29" s="155">
        <f>IF(ISERROR(LOOKUP(AS$10,$O29:$AQ29,#REF!)),0,(LOOKUP(AS$10,$O29:$AQ29,#REF!)))</f>
        <v>0</v>
      </c>
      <c r="AT29" s="155">
        <f>IF(ISERROR(LOOKUP(AT$10,$O29:$AQ29,#REF!)),0,(LOOKUP(AT$10,$O29:$AQ29,#REF!)))</f>
        <v>0</v>
      </c>
      <c r="AU29" s="155">
        <f>IF(ISERROR(LOOKUP(AU$10,$O29:$AQ29,#REF!)),0,(LOOKUP(AU$10,$O29:$AQ29,#REF!)))</f>
        <v>0</v>
      </c>
      <c r="AV29" s="155">
        <f>IF(ISERROR(LOOKUP(AV$10,$O29:$AQ29,#REF!)),0,(LOOKUP(AV$10,$O29:$AQ29,#REF!)))</f>
        <v>0</v>
      </c>
      <c r="AW29" s="155">
        <f>IF(ISERROR(LOOKUP(AW$10,$O29:$AQ29,#REF!)),0,(LOOKUP(AW$10,$O29:$AQ29,#REF!)))</f>
        <v>0</v>
      </c>
      <c r="AX29" s="155">
        <f>IF(ISERROR(LOOKUP(AX$10,$O29:$AQ29,#REF!)),0,(LOOKUP(AX$10,$O29:$AQ29,#REF!)))</f>
        <v>0</v>
      </c>
      <c r="AY29" s="155">
        <f>IF(ISERROR(LOOKUP(AY$10,$O29:$AQ29,#REF!)),0,(LOOKUP(AY$10,$O29:$AQ29,#REF!)))</f>
        <v>0</v>
      </c>
      <c r="AZ29" s="155">
        <f>IF(ISERROR(LOOKUP(AZ$10,$O29:$AQ29,#REF!)),0,(LOOKUP(AZ$10,$O29:$AQ29,#REF!)))</f>
        <v>0</v>
      </c>
      <c r="BA29" s="155">
        <f>IF(ISERROR(LOOKUP(BA$10,$O29:$AQ29,#REF!)),0,(LOOKUP(BA$10,$O29:$AQ29,#REF!)))</f>
        <v>0</v>
      </c>
      <c r="BB29" s="155">
        <f ca="1">IF(ISERROR(LOOKUP(BB$10,$O29:$AQ29,#REF!)),0,(LOOKUP(BB$10,$O29:$AQ29,#REF!)))</f>
        <v>0</v>
      </c>
      <c r="BC29" s="156" t="s">
        <v>85</v>
      </c>
      <c r="BD29" s="193" t="s">
        <v>125</v>
      </c>
      <c r="BE29" s="176"/>
    </row>
    <row r="30" spans="1:57" s="78" customFormat="1" ht="15.4" thickTop="1" thickBot="1" x14ac:dyDescent="0.45">
      <c r="A30" s="460"/>
      <c r="B30" s="177" t="s">
        <v>119</v>
      </c>
      <c r="C30" s="178" t="s">
        <v>120</v>
      </c>
      <c r="D30" s="207" t="s">
        <v>121</v>
      </c>
      <c r="E30" s="215"/>
      <c r="F30" s="215"/>
      <c r="G30" s="430" t="s">
        <v>122</v>
      </c>
      <c r="H30" s="182" t="s">
        <v>72</v>
      </c>
      <c r="I30" s="178" t="s">
        <v>73</v>
      </c>
      <c r="J30" s="178" t="s">
        <v>95</v>
      </c>
      <c r="K30" s="178" t="s">
        <v>2</v>
      </c>
      <c r="L30" s="183"/>
      <c r="M30" s="184" t="s">
        <v>76</v>
      </c>
      <c r="N30" s="185" t="s">
        <v>87</v>
      </c>
      <c r="O30" s="186">
        <v>46133</v>
      </c>
      <c r="P30" s="186">
        <v>46130</v>
      </c>
      <c r="Q30" s="186">
        <v>46149</v>
      </c>
      <c r="R30" s="186">
        <v>46150</v>
      </c>
      <c r="S30" s="186">
        <v>46150</v>
      </c>
      <c r="T30" s="186">
        <v>46164</v>
      </c>
      <c r="U30" s="186">
        <v>46202</v>
      </c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8"/>
      <c r="AL30" s="188"/>
      <c r="AM30" s="187"/>
      <c r="AN30" s="187"/>
      <c r="AO30" s="189"/>
      <c r="AP30" s="190"/>
      <c r="AQ30" s="449"/>
      <c r="AR30" s="191">
        <f>IF(ISERROR(LOOKUP(AR$10,$O30:$AQ30,#REF!)),0,(LOOKUP(AR$10,$O30:$AQ30,#REF!)))</f>
        <v>0</v>
      </c>
      <c r="AS30" s="192">
        <f>IF(ISERROR(LOOKUP(AS$10,$O30:$AQ30,#REF!)),0,(LOOKUP(AS$10,$O30:$AQ30,#REF!)))</f>
        <v>0</v>
      </c>
      <c r="AT30" s="192">
        <f>IF(ISERROR(LOOKUP(AT$10,$O30:$AQ30,#REF!)),0,(LOOKUP(AT$10,$O30:$AQ30,#REF!)))</f>
        <v>0</v>
      </c>
      <c r="AU30" s="192">
        <f>IF(ISERROR(LOOKUP(AU$10,$O30:$AQ30,#REF!)),0,(LOOKUP(AU$10,$O30:$AQ30,#REF!)))</f>
        <v>0</v>
      </c>
      <c r="AV30" s="192">
        <f>IF(ISERROR(LOOKUP(AV$10,$O30:$AQ30,#REF!)),0,(LOOKUP(AV$10,$O30:$AQ30,#REF!)))</f>
        <v>0</v>
      </c>
      <c r="AW30" s="192">
        <f>IF(ISERROR(LOOKUP(AW$10,$O30:$AQ30,#REF!)),0,(LOOKUP(AW$10,$O30:$AQ30,#REF!)))</f>
        <v>0</v>
      </c>
      <c r="AX30" s="192">
        <f>IF(ISERROR(LOOKUP(AX$10,$O30:$AQ30,#REF!)),0,(LOOKUP(AX$10,$O30:$AQ30,#REF!)))</f>
        <v>0</v>
      </c>
      <c r="AY30" s="192">
        <f>IF(ISERROR(LOOKUP(AY$10,$O30:$AQ30,#REF!)),0,(LOOKUP(AY$10,$O30:$AQ30,#REF!)))</f>
        <v>0</v>
      </c>
      <c r="AZ30" s="192">
        <f>IF(ISERROR(LOOKUP(AZ$10,$O30:$AQ30,#REF!)),0,(LOOKUP(AZ$10,$O30:$AQ30,#REF!)))</f>
        <v>0</v>
      </c>
      <c r="BA30" s="192">
        <f>IF(ISERROR(LOOKUP(BA$10,$O30:$AQ30,#REF!)),0,(LOOKUP(BA$10,$O30:$AQ30,#REF!)))</f>
        <v>0</v>
      </c>
      <c r="BB30" s="192">
        <f ca="1">IF(ISERROR(LOOKUP(BB$10,$O30:$AQ30,#REF!)),0,(LOOKUP(BB$10,$O30:$AQ30,#REF!)))</f>
        <v>0</v>
      </c>
      <c r="BC30" s="156" t="s">
        <v>88</v>
      </c>
      <c r="BD30" s="193" t="s">
        <v>126</v>
      </c>
      <c r="BE30" s="176"/>
    </row>
    <row r="31" spans="1:57" s="78" customFormat="1" ht="15.4" thickTop="1" thickBot="1" x14ac:dyDescent="0.45">
      <c r="A31" s="458">
        <f t="shared" ref="A31" si="4">A28+1</f>
        <v>7</v>
      </c>
      <c r="B31" s="139" t="s">
        <v>127</v>
      </c>
      <c r="C31" s="140" t="s">
        <v>128</v>
      </c>
      <c r="D31" s="141" t="s">
        <v>129</v>
      </c>
      <c r="E31" s="202"/>
      <c r="F31" s="202" t="s">
        <v>130</v>
      </c>
      <c r="G31" s="427" t="s">
        <v>131</v>
      </c>
      <c r="H31" s="143" t="s">
        <v>72</v>
      </c>
      <c r="I31" s="140" t="s">
        <v>73</v>
      </c>
      <c r="J31" s="140" t="s">
        <v>95</v>
      </c>
      <c r="K31" s="140" t="s">
        <v>2</v>
      </c>
      <c r="L31" s="195" t="s">
        <v>96</v>
      </c>
      <c r="M31" s="217" t="s">
        <v>76</v>
      </c>
      <c r="N31" s="146" t="s">
        <v>77</v>
      </c>
      <c r="O31" s="147">
        <v>46153</v>
      </c>
      <c r="P31" s="147">
        <v>46154</v>
      </c>
      <c r="Q31" s="147">
        <v>46166</v>
      </c>
      <c r="R31" s="147">
        <v>46166</v>
      </c>
      <c r="S31" s="147">
        <v>46166</v>
      </c>
      <c r="T31" s="147">
        <v>46203</v>
      </c>
      <c r="U31" s="147">
        <v>46203</v>
      </c>
      <c r="V31" s="147">
        <v>46217</v>
      </c>
      <c r="W31" s="147"/>
      <c r="X31" s="147">
        <v>46230</v>
      </c>
      <c r="Y31" s="147">
        <v>46232</v>
      </c>
      <c r="Z31" s="147">
        <v>46239</v>
      </c>
      <c r="AA31" s="148">
        <v>46267</v>
      </c>
      <c r="AB31" s="147">
        <v>46281</v>
      </c>
      <c r="AC31" s="147">
        <v>46311</v>
      </c>
      <c r="AD31" s="147">
        <v>46314</v>
      </c>
      <c r="AE31" s="147">
        <v>46317</v>
      </c>
      <c r="AF31" s="147">
        <v>46387</v>
      </c>
      <c r="AG31" s="147">
        <v>46397</v>
      </c>
      <c r="AH31" s="147">
        <v>46398</v>
      </c>
      <c r="AI31" s="147">
        <v>46401</v>
      </c>
      <c r="AJ31" s="147">
        <v>46428</v>
      </c>
      <c r="AK31" s="149">
        <v>24</v>
      </c>
      <c r="AL31" s="150">
        <v>168</v>
      </c>
      <c r="AM31" s="151">
        <v>46398</v>
      </c>
      <c r="AN31" s="151">
        <v>46433</v>
      </c>
      <c r="AO31" s="152">
        <f>AN31-AM32</f>
        <v>46265</v>
      </c>
      <c r="AP31" s="153" t="s">
        <v>97</v>
      </c>
      <c r="AQ31" s="438" t="s">
        <v>105</v>
      </c>
      <c r="AR31" s="154">
        <f>IF(ISERROR(LOOKUP(AR$10,$O31:$AQ31,#REF!)),0,(LOOKUP(AR$10,$O31:$AQ31,#REF!)))</f>
        <v>0</v>
      </c>
      <c r="AS31" s="155">
        <f>IF(ISERROR(LOOKUP(AS$10,$O31:$AQ31,#REF!)),0,(LOOKUP(AS$10,$O31:$AQ31,#REF!)))</f>
        <v>0</v>
      </c>
      <c r="AT31" s="155">
        <f>IF(ISERROR(LOOKUP(AT$10,$O31:$AQ31,#REF!)),0,(LOOKUP(AT$10,$O31:$AQ31,#REF!)))</f>
        <v>0</v>
      </c>
      <c r="AU31" s="155">
        <f>IF(ISERROR(LOOKUP(AU$10,$O31:$AQ31,#REF!)),0,(LOOKUP(AU$10,$O31:$AQ31,#REF!)))</f>
        <v>0</v>
      </c>
      <c r="AV31" s="155">
        <f>IF(ISERROR(LOOKUP(AV$10,$O31:$AQ31,#REF!)),0,(LOOKUP(AV$10,$O31:$AQ31,#REF!)))</f>
        <v>0</v>
      </c>
      <c r="AW31" s="155">
        <f>IF(ISERROR(LOOKUP(AW$10,$O31:$AQ31,#REF!)),0,(LOOKUP(AW$10,$O31:$AQ31,#REF!)))</f>
        <v>0</v>
      </c>
      <c r="AX31" s="155">
        <f>IF(ISERROR(LOOKUP(AX$10,$O31:$AQ31,#REF!)),0,(LOOKUP(AX$10,$O31:$AQ31,#REF!)))</f>
        <v>0</v>
      </c>
      <c r="AY31" s="155">
        <f>IF(ISERROR(LOOKUP(AY$10,$O31:$AQ31,#REF!)),0,(LOOKUP(AY$10,$O31:$AQ31,#REF!)))</f>
        <v>0</v>
      </c>
      <c r="AZ31" s="155">
        <f>IF(ISERROR(LOOKUP(AZ$10,$O31:$AQ31,#REF!)),0,(LOOKUP(AZ$10,$O31:$AQ31,#REF!)))</f>
        <v>0</v>
      </c>
      <c r="BA31" s="155">
        <f>IF(ISERROR(LOOKUP(BA$10,$O31:$AQ31,#REF!)),0,(LOOKUP(BA$10,$O31:$AQ31,#REF!)))</f>
        <v>0</v>
      </c>
      <c r="BB31" s="155">
        <f ca="1">IF(ISERROR(LOOKUP(BB$10,$O31:$AQ31,#REF!)),0,(LOOKUP(BB$10,$O31:$AQ31,#REF!)))</f>
        <v>0</v>
      </c>
      <c r="BC31" s="156"/>
      <c r="BD31" s="176"/>
      <c r="BE31" s="176"/>
    </row>
    <row r="32" spans="1:57" s="78" customFormat="1" ht="15.4" thickTop="1" thickBot="1" x14ac:dyDescent="0.45">
      <c r="A32" s="459"/>
      <c r="B32" s="158" t="s">
        <v>127</v>
      </c>
      <c r="C32" s="197" t="s">
        <v>128</v>
      </c>
      <c r="D32" s="218" t="s">
        <v>129</v>
      </c>
      <c r="E32" s="205"/>
      <c r="F32" s="205"/>
      <c r="G32" s="428" t="s">
        <v>131</v>
      </c>
      <c r="H32" s="163" t="s">
        <v>72</v>
      </c>
      <c r="I32" s="159" t="s">
        <v>73</v>
      </c>
      <c r="J32" s="159" t="s">
        <v>95</v>
      </c>
      <c r="K32" s="159" t="s">
        <v>2</v>
      </c>
      <c r="L32" s="164" t="s">
        <v>132</v>
      </c>
      <c r="M32" s="165" t="s">
        <v>76</v>
      </c>
      <c r="N32" s="166" t="s">
        <v>84</v>
      </c>
      <c r="O32" s="167"/>
      <c r="P32" s="168"/>
      <c r="Q32" s="219"/>
      <c r="R32" s="168"/>
      <c r="S32" s="168"/>
      <c r="T32" s="168"/>
      <c r="U32" s="168"/>
      <c r="V32" s="167"/>
      <c r="W32" s="167"/>
      <c r="X32" s="167"/>
      <c r="Y32" s="167"/>
      <c r="Z32" s="167"/>
      <c r="AA32" s="168">
        <f>WORKDAY(Z33,AA6,IF(AA12="China",'China Holidays'!$A$2:$A$84,'Thai Holidays'!$A$2:$A$65))</f>
        <v>46248</v>
      </c>
      <c r="AB32" s="168">
        <f>WORKDAY(AA32,AB6,IF(AB12="China",'China Holidays'!$A$2:$A$84,'Thai Holidays'!$A$2:$A$65))</f>
        <v>46262</v>
      </c>
      <c r="AC32" s="168">
        <f>AB32+30</f>
        <v>46292</v>
      </c>
      <c r="AD32" s="168">
        <f>AC32+3</f>
        <v>46295</v>
      </c>
      <c r="AE32" s="168">
        <f>AD32+3</f>
        <v>46298</v>
      </c>
      <c r="AF32" s="168">
        <f>AG32-10</f>
        <v>46387</v>
      </c>
      <c r="AG32" s="168">
        <f>AH32-1</f>
        <v>46397</v>
      </c>
      <c r="AH32" s="168">
        <f>AM31</f>
        <v>46398</v>
      </c>
      <c r="AI32" s="168">
        <f>AM31+3</f>
        <v>46401</v>
      </c>
      <c r="AJ32" s="168">
        <f>AM31+30</f>
        <v>46428</v>
      </c>
      <c r="AK32" s="199"/>
      <c r="AL32" s="206"/>
      <c r="AM32" s="170">
        <f>X32+AL31</f>
        <v>168</v>
      </c>
      <c r="AN32" s="170"/>
      <c r="AO32" s="171"/>
      <c r="AP32" s="172"/>
      <c r="AQ32" s="448"/>
      <c r="AR32" s="154">
        <f>IF(ISERROR(LOOKUP(AR$10,$O32:$AQ32,#REF!)),0,(LOOKUP(AR$10,$O32:$AQ32,#REF!)))</f>
        <v>0</v>
      </c>
      <c r="AS32" s="155">
        <f>IF(ISERROR(LOOKUP(AS$10,$O32:$AQ32,#REF!)),0,(LOOKUP(AS$10,$O32:$AQ32,#REF!)))</f>
        <v>0</v>
      </c>
      <c r="AT32" s="155">
        <f>IF(ISERROR(LOOKUP(AT$10,$O32:$AQ32,#REF!)),0,(LOOKUP(AT$10,$O32:$AQ32,#REF!)))</f>
        <v>0</v>
      </c>
      <c r="AU32" s="155">
        <f>IF(ISERROR(LOOKUP(AU$10,$O32:$AQ32,#REF!)),0,(LOOKUP(AU$10,$O32:$AQ32,#REF!)))</f>
        <v>0</v>
      </c>
      <c r="AV32" s="155">
        <f>IF(ISERROR(LOOKUP(AV$10,$O32:$AQ32,#REF!)),0,(LOOKUP(AV$10,$O32:$AQ32,#REF!)))</f>
        <v>0</v>
      </c>
      <c r="AW32" s="155">
        <f>IF(ISERROR(LOOKUP(AW$10,$O32:$AQ32,#REF!)),0,(LOOKUP(AW$10,$O32:$AQ32,#REF!)))</f>
        <v>0</v>
      </c>
      <c r="AX32" s="155">
        <f>IF(ISERROR(LOOKUP(AX$10,$O32:$AQ32,#REF!)),0,(LOOKUP(AX$10,$O32:$AQ32,#REF!)))</f>
        <v>0</v>
      </c>
      <c r="AY32" s="155">
        <f>IF(ISERROR(LOOKUP(AY$10,$O32:$AQ32,#REF!)),0,(LOOKUP(AY$10,$O32:$AQ32,#REF!)))</f>
        <v>0</v>
      </c>
      <c r="AZ32" s="155">
        <f>IF(ISERROR(LOOKUP(AZ$10,$O32:$AQ32,#REF!)),0,(LOOKUP(AZ$10,$O32:$AQ32,#REF!)))</f>
        <v>0</v>
      </c>
      <c r="BA32" s="155">
        <f>IF(ISERROR(LOOKUP(BA$10,$O32:$AQ32,#REF!)),0,(LOOKUP(BA$10,$O32:$AQ32,#REF!)))</f>
        <v>0</v>
      </c>
      <c r="BB32" s="155">
        <f ca="1">IF(ISERROR(LOOKUP(BB$10,$O32:$AQ32,#REF!)),0,(LOOKUP(BB$10,$O32:$AQ32,#REF!)))</f>
        <v>0</v>
      </c>
      <c r="BC32" s="156"/>
      <c r="BD32" s="176"/>
      <c r="BE32" s="176"/>
    </row>
    <row r="33" spans="1:57" s="78" customFormat="1" ht="15.4" thickTop="1" thickBot="1" x14ac:dyDescent="0.45">
      <c r="A33" s="460"/>
      <c r="B33" s="177" t="s">
        <v>127</v>
      </c>
      <c r="C33" s="178" t="s">
        <v>128</v>
      </c>
      <c r="D33" s="220" t="s">
        <v>129</v>
      </c>
      <c r="E33" s="215"/>
      <c r="F33" s="215"/>
      <c r="G33" s="207" t="s">
        <v>131</v>
      </c>
      <c r="H33" s="182" t="s">
        <v>72</v>
      </c>
      <c r="I33" s="178" t="s">
        <v>73</v>
      </c>
      <c r="J33" s="178" t="s">
        <v>95</v>
      </c>
      <c r="K33" s="178" t="s">
        <v>2</v>
      </c>
      <c r="L33" s="207"/>
      <c r="M33" s="221" t="s">
        <v>76</v>
      </c>
      <c r="N33" s="185" t="s">
        <v>87</v>
      </c>
      <c r="O33" s="186"/>
      <c r="P33" s="186">
        <v>46133</v>
      </c>
      <c r="Q33" s="186">
        <v>46150</v>
      </c>
      <c r="R33" s="186">
        <v>46150</v>
      </c>
      <c r="S33" s="186">
        <v>46150</v>
      </c>
      <c r="T33" s="186">
        <v>46181</v>
      </c>
      <c r="U33" s="186">
        <v>46204</v>
      </c>
      <c r="V33" s="186">
        <v>46211</v>
      </c>
      <c r="W33" s="186" t="s">
        <v>100</v>
      </c>
      <c r="X33" s="186">
        <v>46217</v>
      </c>
      <c r="Y33" s="186">
        <v>46218</v>
      </c>
      <c r="Z33" s="186">
        <v>46220</v>
      </c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8"/>
      <c r="AL33" s="211"/>
      <c r="AM33" s="187"/>
      <c r="AN33" s="187"/>
      <c r="AO33" s="189"/>
      <c r="AP33" s="190"/>
      <c r="AQ33" s="449"/>
      <c r="AR33" s="191">
        <f>IF(ISERROR(LOOKUP(AR$10,$O33:$AQ33,#REF!)),0,(LOOKUP(AR$10,$O33:$AQ33,#REF!)))</f>
        <v>0</v>
      </c>
      <c r="AS33" s="192">
        <f>IF(ISERROR(LOOKUP(AS$10,$O33:$AQ33,#REF!)),0,(LOOKUP(AS$10,$O33:$AQ33,#REF!)))</f>
        <v>0</v>
      </c>
      <c r="AT33" s="192">
        <f>IF(ISERROR(LOOKUP(AT$10,$O33:$AQ33,#REF!)),0,(LOOKUP(AT$10,$O33:$AQ33,#REF!)))</f>
        <v>0</v>
      </c>
      <c r="AU33" s="192">
        <f>IF(ISERROR(LOOKUP(AU$10,$O33:$AQ33,#REF!)),0,(LOOKUP(AU$10,$O33:$AQ33,#REF!)))</f>
        <v>0</v>
      </c>
      <c r="AV33" s="192">
        <f>IF(ISERROR(LOOKUP(AV$10,$O33:$AQ33,#REF!)),0,(LOOKUP(AV$10,$O33:$AQ33,#REF!)))</f>
        <v>0</v>
      </c>
      <c r="AW33" s="192">
        <f>IF(ISERROR(LOOKUP(AW$10,$O33:$AQ33,#REF!)),0,(LOOKUP(AW$10,$O33:$AQ33,#REF!)))</f>
        <v>0</v>
      </c>
      <c r="AX33" s="192">
        <f>IF(ISERROR(LOOKUP(AX$10,$O33:$AQ33,#REF!)),0,(LOOKUP(AX$10,$O33:$AQ33,#REF!)))</f>
        <v>0</v>
      </c>
      <c r="AY33" s="192">
        <f>IF(ISERROR(LOOKUP(AY$10,$O33:$AQ33,#REF!)),0,(LOOKUP(AY$10,$O33:$AQ33,#REF!)))</f>
        <v>0</v>
      </c>
      <c r="AZ33" s="192">
        <f>IF(ISERROR(LOOKUP(AZ$10,$O33:$AQ33,#REF!)),0,(LOOKUP(AZ$10,$O33:$AQ33,#REF!)))</f>
        <v>0</v>
      </c>
      <c r="BA33" s="192">
        <f>IF(ISERROR(LOOKUP(BA$10,$O33:$AQ33,#REF!)),0,(LOOKUP(BA$10,$O33:$AQ33,#REF!)))</f>
        <v>0</v>
      </c>
      <c r="BB33" s="192">
        <f ca="1">IF(ISERROR(LOOKUP(BB$10,$O33:$AQ33,#REF!)),0,(LOOKUP(BB$10,$O33:$AQ33,#REF!)))</f>
        <v>0</v>
      </c>
      <c r="BC33" s="156"/>
      <c r="BD33" s="176"/>
      <c r="BE33" s="176"/>
    </row>
    <row r="34" spans="1:57" s="78" customFormat="1" ht="15.4" thickTop="1" thickBot="1" x14ac:dyDescent="0.45">
      <c r="A34" s="458">
        <f t="shared" ref="A34" si="5">A31+1</f>
        <v>8</v>
      </c>
      <c r="B34" s="139" t="s">
        <v>133</v>
      </c>
      <c r="C34" s="140" t="s">
        <v>134</v>
      </c>
      <c r="D34" s="222" t="s">
        <v>876</v>
      </c>
      <c r="E34" s="202"/>
      <c r="F34" s="202" t="s">
        <v>136</v>
      </c>
      <c r="G34" s="431" t="s">
        <v>137</v>
      </c>
      <c r="H34" s="143" t="s">
        <v>72</v>
      </c>
      <c r="I34" s="140" t="s">
        <v>138</v>
      </c>
      <c r="J34" s="140" t="s">
        <v>139</v>
      </c>
      <c r="K34" s="140" t="s">
        <v>6</v>
      </c>
      <c r="L34" s="203"/>
      <c r="M34" s="145" t="s">
        <v>76</v>
      </c>
      <c r="N34" s="146" t="s">
        <v>77</v>
      </c>
      <c r="O34" s="147">
        <v>46182</v>
      </c>
      <c r="P34" s="147">
        <v>46182</v>
      </c>
      <c r="Q34" s="223">
        <v>46196</v>
      </c>
      <c r="R34" s="223">
        <v>46196</v>
      </c>
      <c r="S34" s="223">
        <v>46196</v>
      </c>
      <c r="T34" s="223">
        <v>46203</v>
      </c>
      <c r="U34" s="223">
        <v>46212</v>
      </c>
      <c r="V34" s="148">
        <v>46226</v>
      </c>
      <c r="W34" s="147"/>
      <c r="X34" s="147">
        <v>46259</v>
      </c>
      <c r="Y34" s="147">
        <v>46261</v>
      </c>
      <c r="Z34" s="147">
        <f>Y34</f>
        <v>46261</v>
      </c>
      <c r="AA34" s="147">
        <v>46275</v>
      </c>
      <c r="AB34" s="147">
        <v>46295</v>
      </c>
      <c r="AC34" s="147">
        <v>46325</v>
      </c>
      <c r="AD34" s="147">
        <v>46328</v>
      </c>
      <c r="AE34" s="147">
        <v>46331</v>
      </c>
      <c r="AF34" s="147">
        <v>46391</v>
      </c>
      <c r="AG34" s="147">
        <v>46406</v>
      </c>
      <c r="AH34" s="147">
        <v>46434</v>
      </c>
      <c r="AI34" s="147">
        <v>46437</v>
      </c>
      <c r="AJ34" s="147">
        <v>46464</v>
      </c>
      <c r="AK34" s="149">
        <v>25</v>
      </c>
      <c r="AL34" s="150">
        <v>175</v>
      </c>
      <c r="AM34" s="151">
        <v>46434</v>
      </c>
      <c r="AN34" s="151">
        <v>46469</v>
      </c>
      <c r="AO34" s="152">
        <f>AN34-AM35</f>
        <v>35</v>
      </c>
      <c r="AP34" s="153" t="s">
        <v>78</v>
      </c>
      <c r="AQ34" s="447"/>
      <c r="AR34" s="154">
        <f>IF(ISERROR(LOOKUP(AR$10,$O34:$AQ34,#REF!)),0,(LOOKUP(AR$10,$O34:$AQ34,#REF!)))</f>
        <v>0</v>
      </c>
      <c r="AS34" s="155">
        <f>IF(ISERROR(LOOKUP(AS$10,$O34:$AQ34,#REF!)),0,(LOOKUP(AS$10,$O34:$AQ34,#REF!)))</f>
        <v>0</v>
      </c>
      <c r="AT34" s="155">
        <f>IF(ISERROR(LOOKUP(AT$10,$O34:$AQ34,#REF!)),0,(LOOKUP(AT$10,$O34:$AQ34,#REF!)))</f>
        <v>0</v>
      </c>
      <c r="AU34" s="155">
        <f>IF(ISERROR(LOOKUP(AU$10,$O34:$AQ34,#REF!)),0,(LOOKUP(AU$10,$O34:$AQ34,#REF!)))</f>
        <v>0</v>
      </c>
      <c r="AV34" s="155">
        <f>IF(ISERROR(LOOKUP(AV$10,$O34:$AQ34,#REF!)),0,(LOOKUP(AV$10,$O34:$AQ34,#REF!)))</f>
        <v>0</v>
      </c>
      <c r="AW34" s="155">
        <f>IF(ISERROR(LOOKUP(AW$10,$O34:$AQ34,#REF!)),0,(LOOKUP(AW$10,$O34:$AQ34,#REF!)))</f>
        <v>0</v>
      </c>
      <c r="AX34" s="155">
        <f>IF(ISERROR(LOOKUP(AX$10,$O34:$AQ34,#REF!)),0,(LOOKUP(AX$10,$O34:$AQ34,#REF!)))</f>
        <v>0</v>
      </c>
      <c r="AY34" s="155">
        <f>IF(ISERROR(LOOKUP(AY$10,$O34:$AQ34,#REF!)),0,(LOOKUP(AY$10,$O34:$AQ34,#REF!)))</f>
        <v>0</v>
      </c>
      <c r="AZ34" s="155">
        <f>IF(ISERROR(LOOKUP(AZ$10,$O34:$AQ34,#REF!)),0,(LOOKUP(AZ$10,$O34:$AQ34,#REF!)))</f>
        <v>0</v>
      </c>
      <c r="BA34" s="155">
        <f>IF(ISERROR(LOOKUP(BA$10,$O34:$AQ34,#REF!)),0,(LOOKUP(BA$10,$O34:$AQ34,#REF!)))</f>
        <v>0</v>
      </c>
      <c r="BB34" s="155">
        <f ca="1">IF(ISERROR(LOOKUP(BB$10,$O34:$AQ34,#REF!)),0,(LOOKUP(BB$10,$O34:$AQ34,#REF!)))</f>
        <v>0</v>
      </c>
      <c r="BC34" s="156" t="s">
        <v>80</v>
      </c>
      <c r="BD34" s="176" t="s">
        <v>140</v>
      </c>
      <c r="BE34" s="176"/>
    </row>
    <row r="35" spans="1:57" s="78" customFormat="1" ht="15.4" thickTop="1" thickBot="1" x14ac:dyDescent="0.45">
      <c r="A35" s="459"/>
      <c r="B35" s="158" t="s">
        <v>133</v>
      </c>
      <c r="C35" s="197" t="s">
        <v>134</v>
      </c>
      <c r="D35" s="160" t="s">
        <v>135</v>
      </c>
      <c r="E35" s="205"/>
      <c r="F35" s="205">
        <v>4</v>
      </c>
      <c r="G35" s="428" t="s">
        <v>137</v>
      </c>
      <c r="H35" s="163" t="s">
        <v>72</v>
      </c>
      <c r="I35" s="159" t="s">
        <v>138</v>
      </c>
      <c r="J35" s="159" t="s">
        <v>139</v>
      </c>
      <c r="K35" s="159" t="s">
        <v>6</v>
      </c>
      <c r="L35" s="204"/>
      <c r="M35" s="165" t="s">
        <v>76</v>
      </c>
      <c r="N35" s="166" t="s">
        <v>84</v>
      </c>
      <c r="O35" s="167"/>
      <c r="P35" s="168"/>
      <c r="Q35" s="168"/>
      <c r="R35" s="168"/>
      <c r="S35" s="168"/>
      <c r="T35" s="168"/>
      <c r="U35" s="168"/>
      <c r="V35" s="168">
        <f>WORKDAY(U36,V9,IF(V12="China",'China Holidays'!$A$2:$A$84,'Thai Holidays'!$A$2:$A$65))</f>
        <v>46238</v>
      </c>
      <c r="W35" s="168"/>
      <c r="X35" s="168">
        <f>X34</f>
        <v>46259</v>
      </c>
      <c r="Y35" s="168">
        <f>WORKDAY(X35,Y9,IF(Y12="China",'China Holidays'!$A$2:$A$84,'Thai Holidays'!$A$2:$A$65))</f>
        <v>46261</v>
      </c>
      <c r="Z35" s="168">
        <f>Z34</f>
        <v>46261</v>
      </c>
      <c r="AA35" s="168">
        <f>WORKDAY(Z35,AA9,IF(AA12="China",'China Holidays'!$A$2:$A$84,'Thai Holidays'!$A$2:$A$65))</f>
        <v>46275</v>
      </c>
      <c r="AB35" s="168">
        <f>WORKDAY(AA35,AB9,IF(AB12="China",'China Holidays'!$A$2:$A$84,'Thai Holidays'!$A$2:$A$65))</f>
        <v>46289</v>
      </c>
      <c r="AC35" s="168">
        <f>AB35+30</f>
        <v>46319</v>
      </c>
      <c r="AD35" s="168">
        <f>AC35+3</f>
        <v>46322</v>
      </c>
      <c r="AE35" s="168">
        <f>AD35+3</f>
        <v>46325</v>
      </c>
      <c r="AF35" s="168">
        <f>AG35-15</f>
        <v>46391</v>
      </c>
      <c r="AG35" s="168">
        <f>AH35-28</f>
        <v>46406</v>
      </c>
      <c r="AH35" s="168">
        <f>AM34</f>
        <v>46434</v>
      </c>
      <c r="AI35" s="168">
        <f>AM34+3</f>
        <v>46437</v>
      </c>
      <c r="AJ35" s="168">
        <f>AM34+30</f>
        <v>46464</v>
      </c>
      <c r="AK35" s="199"/>
      <c r="AL35" s="206"/>
      <c r="AM35" s="170">
        <f>X35+AL34</f>
        <v>46434</v>
      </c>
      <c r="AN35" s="170"/>
      <c r="AO35" s="171"/>
      <c r="AP35" s="172"/>
      <c r="AQ35" s="448"/>
      <c r="AR35" s="154">
        <f>IF(ISERROR(LOOKUP(AR$10,$O35:$AQ35,#REF!)),0,(LOOKUP(AR$10,$O35:$AQ35,#REF!)))</f>
        <v>0</v>
      </c>
      <c r="AS35" s="155">
        <f>IF(ISERROR(LOOKUP(AS$10,$O35:$AQ35,#REF!)),0,(LOOKUP(AS$10,$O35:$AQ35,#REF!)))</f>
        <v>0</v>
      </c>
      <c r="AT35" s="155">
        <f>IF(ISERROR(LOOKUP(AT$10,$O35:$AQ35,#REF!)),0,(LOOKUP(AT$10,$O35:$AQ35,#REF!)))</f>
        <v>0</v>
      </c>
      <c r="AU35" s="155">
        <f>IF(ISERROR(LOOKUP(AU$10,$O35:$AQ35,#REF!)),0,(LOOKUP(AU$10,$O35:$AQ35,#REF!)))</f>
        <v>0</v>
      </c>
      <c r="AV35" s="155">
        <f>IF(ISERROR(LOOKUP(AV$10,$O35:$AQ35,#REF!)),0,(LOOKUP(AV$10,$O35:$AQ35,#REF!)))</f>
        <v>0</v>
      </c>
      <c r="AW35" s="155">
        <f>IF(ISERROR(LOOKUP(AW$10,$O35:$AQ35,#REF!)),0,(LOOKUP(AW$10,$O35:$AQ35,#REF!)))</f>
        <v>0</v>
      </c>
      <c r="AX35" s="155">
        <f>IF(ISERROR(LOOKUP(AX$10,$O35:$AQ35,#REF!)),0,(LOOKUP(AX$10,$O35:$AQ35,#REF!)))</f>
        <v>0</v>
      </c>
      <c r="AY35" s="155">
        <f>IF(ISERROR(LOOKUP(AY$10,$O35:$AQ35,#REF!)),0,(LOOKUP(AY$10,$O35:$AQ35,#REF!)))</f>
        <v>0</v>
      </c>
      <c r="AZ35" s="155">
        <f>IF(ISERROR(LOOKUP(AZ$10,$O35:$AQ35,#REF!)),0,(LOOKUP(AZ$10,$O35:$AQ35,#REF!)))</f>
        <v>0</v>
      </c>
      <c r="BA35" s="155">
        <f>IF(ISERROR(LOOKUP(BA$10,$O35:$AQ35,#REF!)),0,(LOOKUP(BA$10,$O35:$AQ35,#REF!)))</f>
        <v>0</v>
      </c>
      <c r="BB35" s="155">
        <f ca="1">IF(ISERROR(LOOKUP(BB$10,$O35:$AQ35,#REF!)),0,(LOOKUP(BB$10,$O35:$AQ35,#REF!)))</f>
        <v>0</v>
      </c>
      <c r="BC35" s="156" t="s">
        <v>85</v>
      </c>
      <c r="BD35" s="176" t="s">
        <v>141</v>
      </c>
      <c r="BE35" s="176"/>
    </row>
    <row r="36" spans="1:57" s="78" customFormat="1" ht="15.4" thickTop="1" thickBot="1" x14ac:dyDescent="0.45">
      <c r="A36" s="460"/>
      <c r="B36" s="177" t="s">
        <v>133</v>
      </c>
      <c r="C36" s="178" t="s">
        <v>134</v>
      </c>
      <c r="D36" s="179" t="s">
        <v>135</v>
      </c>
      <c r="E36" s="215"/>
      <c r="F36" s="215"/>
      <c r="G36" s="430" t="s">
        <v>137</v>
      </c>
      <c r="H36" s="182" t="s">
        <v>72</v>
      </c>
      <c r="I36" s="178" t="s">
        <v>138</v>
      </c>
      <c r="J36" s="178" t="s">
        <v>139</v>
      </c>
      <c r="K36" s="178" t="s">
        <v>6</v>
      </c>
      <c r="L36" s="207"/>
      <c r="M36" s="184" t="s">
        <v>76</v>
      </c>
      <c r="N36" s="185" t="s">
        <v>87</v>
      </c>
      <c r="O36" s="186">
        <v>46192</v>
      </c>
      <c r="P36" s="186">
        <v>46154</v>
      </c>
      <c r="Q36" s="186">
        <v>46170</v>
      </c>
      <c r="R36" s="186">
        <v>46196</v>
      </c>
      <c r="S36" s="186">
        <v>46196</v>
      </c>
      <c r="T36" s="186">
        <v>46203</v>
      </c>
      <c r="U36" s="186">
        <v>46220</v>
      </c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8"/>
      <c r="AL36" s="211"/>
      <c r="AM36" s="187"/>
      <c r="AN36" s="187"/>
      <c r="AO36" s="189"/>
      <c r="AP36" s="190"/>
      <c r="AQ36" s="449"/>
      <c r="AR36" s="191">
        <f>IF(ISERROR(LOOKUP(AR$10,$O36:$AQ36,#REF!)),0,(LOOKUP(AR$10,$O36:$AQ36,#REF!)))</f>
        <v>0</v>
      </c>
      <c r="AS36" s="192">
        <f>IF(ISERROR(LOOKUP(AS$10,$O36:$AQ36,#REF!)),0,(LOOKUP(AS$10,$O36:$AQ36,#REF!)))</f>
        <v>0</v>
      </c>
      <c r="AT36" s="192">
        <f>IF(ISERROR(LOOKUP(AT$10,$O36:$AQ36,#REF!)),0,(LOOKUP(AT$10,$O36:$AQ36,#REF!)))</f>
        <v>0</v>
      </c>
      <c r="AU36" s="192">
        <f>IF(ISERROR(LOOKUP(AU$10,$O36:$AQ36,#REF!)),0,(LOOKUP(AU$10,$O36:$AQ36,#REF!)))</f>
        <v>0</v>
      </c>
      <c r="AV36" s="192">
        <f>IF(ISERROR(LOOKUP(AV$10,$O36:$AQ36,#REF!)),0,(LOOKUP(AV$10,$O36:$AQ36,#REF!)))</f>
        <v>0</v>
      </c>
      <c r="AW36" s="192">
        <f>IF(ISERROR(LOOKUP(AW$10,$O36:$AQ36,#REF!)),0,(LOOKUP(AW$10,$O36:$AQ36,#REF!)))</f>
        <v>0</v>
      </c>
      <c r="AX36" s="192">
        <f>IF(ISERROR(LOOKUP(AX$10,$O36:$AQ36,#REF!)),0,(LOOKUP(AX$10,$O36:$AQ36,#REF!)))</f>
        <v>0</v>
      </c>
      <c r="AY36" s="192">
        <f>IF(ISERROR(LOOKUP(AY$10,$O36:$AQ36,#REF!)),0,(LOOKUP(AY$10,$O36:$AQ36,#REF!)))</f>
        <v>0</v>
      </c>
      <c r="AZ36" s="192">
        <f>IF(ISERROR(LOOKUP(AZ$10,$O36:$AQ36,#REF!)),0,(LOOKUP(AZ$10,$O36:$AQ36,#REF!)))</f>
        <v>0</v>
      </c>
      <c r="BA36" s="192">
        <f>IF(ISERROR(LOOKUP(BA$10,$O36:$AQ36,#REF!)),0,(LOOKUP(BA$10,$O36:$AQ36,#REF!)))</f>
        <v>0</v>
      </c>
      <c r="BB36" s="192">
        <f ca="1">IF(ISERROR(LOOKUP(BB$10,$O36:$AQ36,#REF!)),0,(LOOKUP(BB$10,$O36:$AQ36,#REF!)))</f>
        <v>0</v>
      </c>
      <c r="BC36" s="156"/>
      <c r="BD36" s="176"/>
      <c r="BE36" s="176"/>
    </row>
    <row r="37" spans="1:57" s="78" customFormat="1" ht="24" thickTop="1" thickBot="1" x14ac:dyDescent="0.45">
      <c r="A37" s="458">
        <f t="shared" ref="A37" si="6">A34+1</f>
        <v>9</v>
      </c>
      <c r="B37" s="139" t="s">
        <v>142</v>
      </c>
      <c r="C37" s="140" t="s">
        <v>143</v>
      </c>
      <c r="D37" s="222" t="s">
        <v>144</v>
      </c>
      <c r="E37" s="202"/>
      <c r="F37" s="202"/>
      <c r="G37" s="427" t="s">
        <v>145</v>
      </c>
      <c r="H37" s="143" t="s">
        <v>146</v>
      </c>
      <c r="I37" s="140" t="s">
        <v>138</v>
      </c>
      <c r="J37" s="224" t="s">
        <v>95</v>
      </c>
      <c r="K37" s="140" t="s">
        <v>9</v>
      </c>
      <c r="L37" s="203"/>
      <c r="M37" s="145" t="s">
        <v>76</v>
      </c>
      <c r="N37" s="146" t="s">
        <v>77</v>
      </c>
      <c r="O37" s="147">
        <v>46213</v>
      </c>
      <c r="P37" s="147">
        <v>46201</v>
      </c>
      <c r="Q37" s="147">
        <v>46213</v>
      </c>
      <c r="R37" s="147">
        <v>46283</v>
      </c>
      <c r="S37" s="147">
        <v>46283</v>
      </c>
      <c r="T37" s="148">
        <v>46290</v>
      </c>
      <c r="U37" s="147">
        <v>46303</v>
      </c>
      <c r="V37" s="147">
        <v>46318</v>
      </c>
      <c r="W37" s="147"/>
      <c r="X37" s="147">
        <v>46325</v>
      </c>
      <c r="Y37" s="147">
        <v>46329</v>
      </c>
      <c r="Z37" s="147">
        <v>46329</v>
      </c>
      <c r="AA37" s="147">
        <v>46343</v>
      </c>
      <c r="AB37" s="147">
        <v>46357</v>
      </c>
      <c r="AC37" s="147">
        <v>46417</v>
      </c>
      <c r="AD37" s="147">
        <v>46417</v>
      </c>
      <c r="AE37" s="147">
        <v>46420</v>
      </c>
      <c r="AF37" s="147">
        <v>46490</v>
      </c>
      <c r="AG37" s="147">
        <v>46505</v>
      </c>
      <c r="AH37" s="147">
        <v>46535</v>
      </c>
      <c r="AI37" s="147">
        <v>46538</v>
      </c>
      <c r="AJ37" s="147">
        <v>46565</v>
      </c>
      <c r="AK37" s="149">
        <v>30</v>
      </c>
      <c r="AL37" s="150">
        <v>210</v>
      </c>
      <c r="AM37" s="151">
        <v>46535</v>
      </c>
      <c r="AN37" s="151">
        <v>46568</v>
      </c>
      <c r="AO37" s="225">
        <f>AN37-AM38</f>
        <v>50</v>
      </c>
      <c r="AP37" s="153" t="s">
        <v>78</v>
      </c>
      <c r="AQ37" s="447"/>
      <c r="AR37" s="154">
        <f>IF(ISERROR(LOOKUP(AR$10,$O37:$AQ37,#REF!)),0,(LOOKUP(AR$10,$O37:$AQ37,#REF!)))</f>
        <v>0</v>
      </c>
      <c r="AS37" s="155">
        <f>IF(ISERROR(LOOKUP(AS$10,$O37:$AQ37,#REF!)),0,(LOOKUP(AS$10,$O37:$AQ37,#REF!)))</f>
        <v>0</v>
      </c>
      <c r="AT37" s="155">
        <f>IF(ISERROR(LOOKUP(AT$10,$O37:$AQ37,#REF!)),0,(LOOKUP(AT$10,$O37:$AQ37,#REF!)))</f>
        <v>0</v>
      </c>
      <c r="AU37" s="155">
        <f>IF(ISERROR(LOOKUP(AU$10,$O37:$AQ37,#REF!)),0,(LOOKUP(AU$10,$O37:$AQ37,#REF!)))</f>
        <v>0</v>
      </c>
      <c r="AV37" s="155">
        <f>IF(ISERROR(LOOKUP(AV$10,$O37:$AQ37,#REF!)),0,(LOOKUP(AV$10,$O37:$AQ37,#REF!)))</f>
        <v>0</v>
      </c>
      <c r="AW37" s="155">
        <f>IF(ISERROR(LOOKUP(AW$10,$O37:$AQ37,#REF!)),0,(LOOKUP(AW$10,$O37:$AQ37,#REF!)))</f>
        <v>0</v>
      </c>
      <c r="AX37" s="155">
        <f>IF(ISERROR(LOOKUP(AX$10,$O37:$AQ37,#REF!)),0,(LOOKUP(AX$10,$O37:$AQ37,#REF!)))</f>
        <v>0</v>
      </c>
      <c r="AY37" s="155">
        <f>IF(ISERROR(LOOKUP(AY$10,$O37:$AQ37,#REF!)),0,(LOOKUP(AY$10,$O37:$AQ37,#REF!)))</f>
        <v>0</v>
      </c>
      <c r="AZ37" s="155">
        <f>IF(ISERROR(LOOKUP(AZ$10,$O37:$AQ37,#REF!)),0,(LOOKUP(AZ$10,$O37:$AQ37,#REF!)))</f>
        <v>0</v>
      </c>
      <c r="BA37" s="155">
        <f>IF(ISERROR(LOOKUP(BA$10,$O37:$AQ37,#REF!)),0,(LOOKUP(BA$10,$O37:$AQ37,#REF!)))</f>
        <v>0</v>
      </c>
      <c r="BB37" s="155">
        <f ca="1">IF(ISERROR(LOOKUP(BB$10,$O37:$AQ37,#REF!)),0,(LOOKUP(BB$10,$O37:$AQ37,#REF!)))</f>
        <v>0</v>
      </c>
      <c r="BC37" s="156"/>
      <c r="BD37" s="176"/>
      <c r="BE37" s="176"/>
    </row>
    <row r="38" spans="1:57" s="78" customFormat="1" ht="21" thickTop="1" thickBot="1" x14ac:dyDescent="0.45">
      <c r="A38" s="459"/>
      <c r="B38" s="158" t="s">
        <v>142</v>
      </c>
      <c r="C38" s="197" t="s">
        <v>143</v>
      </c>
      <c r="D38" s="226" t="s">
        <v>144</v>
      </c>
      <c r="E38" s="227"/>
      <c r="F38" s="227"/>
      <c r="G38" s="204" t="s">
        <v>145</v>
      </c>
      <c r="H38" s="228" t="s">
        <v>146</v>
      </c>
      <c r="I38" s="159" t="s">
        <v>138</v>
      </c>
      <c r="J38" s="229" t="s">
        <v>95</v>
      </c>
      <c r="K38" s="159" t="s">
        <v>9</v>
      </c>
      <c r="L38" s="204"/>
      <c r="M38" s="165" t="s">
        <v>76</v>
      </c>
      <c r="N38" s="166" t="s">
        <v>84</v>
      </c>
      <c r="O38" s="167"/>
      <c r="P38" s="168"/>
      <c r="Q38" s="168"/>
      <c r="R38" s="168"/>
      <c r="S38" s="168"/>
      <c r="T38" s="168">
        <v>46248</v>
      </c>
      <c r="U38" s="168">
        <f>WORKDAY(T38,U6,IF(U12="China",'China Holidays'!$A$2:$A$84,'Thai Holidays'!$A$2:$A$65))</f>
        <v>46273</v>
      </c>
      <c r="V38" s="168">
        <f>WORKDAY(U38,V6,IF(V12="China",'China Holidays'!$A$2:$A$84,'Thai Holidays'!$A$2:$A$65))</f>
        <v>46287</v>
      </c>
      <c r="W38" s="168"/>
      <c r="X38" s="168">
        <f>WORKDAY(V38,X6,IF(X12="China",'China Holidays'!$A$2:$A$84,'Thai Holidays'!$A$2:$A$65))</f>
        <v>46308</v>
      </c>
      <c r="Y38" s="168">
        <f>WORKDAY(X38,Y6,IF(Y12="China",'China Holidays'!$A$2:$A$84,'Thai Holidays'!$A$2:$A$65))</f>
        <v>46310</v>
      </c>
      <c r="Z38" s="168">
        <f>WORKDAY(Y38,Z6,IF(Z12="China",'China Holidays'!$A$2:$A$84,'Thai Holidays'!$A$2:$A$65))</f>
        <v>46317</v>
      </c>
      <c r="AA38" s="168">
        <f>WORKDAY(Z38,AA6,IF(AA12="China",'China Holidays'!$A$2:$A$84,'Thai Holidays'!$A$2:$A$65))</f>
        <v>46345</v>
      </c>
      <c r="AB38" s="168">
        <f>WORKDAY(AA38,AB6,IF(AB12="China",'China Holidays'!$A$2:$A$84,'Thai Holidays'!$A$2:$A$65))</f>
        <v>46359</v>
      </c>
      <c r="AC38" s="168">
        <v>46417</v>
      </c>
      <c r="AD38" s="168">
        <v>46417</v>
      </c>
      <c r="AE38" s="168">
        <v>46420</v>
      </c>
      <c r="AF38" s="168">
        <v>46490</v>
      </c>
      <c r="AG38" s="168">
        <v>46505</v>
      </c>
      <c r="AH38" s="168">
        <v>46535</v>
      </c>
      <c r="AI38" s="168">
        <v>46538</v>
      </c>
      <c r="AJ38" s="168">
        <v>46565</v>
      </c>
      <c r="AK38" s="169"/>
      <c r="AL38" s="230"/>
      <c r="AM38" s="170">
        <f>X38+AL37</f>
        <v>46518</v>
      </c>
      <c r="AN38" s="170"/>
      <c r="AO38" s="171"/>
      <c r="AP38" s="172"/>
      <c r="AQ38" s="448"/>
      <c r="AR38" s="154">
        <f>IF(ISERROR(LOOKUP(AR$10,$O38:$AQ38,#REF!)),0,(LOOKUP(AR$10,$O38:$AQ38,#REF!)))</f>
        <v>0</v>
      </c>
      <c r="AS38" s="155">
        <f>IF(ISERROR(LOOKUP(AS$10,$O38:$AQ38,#REF!)),0,(LOOKUP(AS$10,$O38:$AQ38,#REF!)))</f>
        <v>0</v>
      </c>
      <c r="AT38" s="155">
        <f>IF(ISERROR(LOOKUP(AT$10,$O38:$AQ38,#REF!)),0,(LOOKUP(AT$10,$O38:$AQ38,#REF!)))</f>
        <v>0</v>
      </c>
      <c r="AU38" s="155">
        <f>IF(ISERROR(LOOKUP(AU$10,$O38:$AQ38,#REF!)),0,(LOOKUP(AU$10,$O38:$AQ38,#REF!)))</f>
        <v>0</v>
      </c>
      <c r="AV38" s="155">
        <f>IF(ISERROR(LOOKUP(AV$10,$O38:$AQ38,#REF!)),0,(LOOKUP(AV$10,$O38:$AQ38,#REF!)))</f>
        <v>0</v>
      </c>
      <c r="AW38" s="155">
        <f>IF(ISERROR(LOOKUP(AW$10,$O38:$AQ38,#REF!)),0,(LOOKUP(AW$10,$O38:$AQ38,#REF!)))</f>
        <v>0</v>
      </c>
      <c r="AX38" s="155">
        <f>IF(ISERROR(LOOKUP(AX$10,$O38:$AQ38,#REF!)),0,(LOOKUP(AX$10,$O38:$AQ38,#REF!)))</f>
        <v>0</v>
      </c>
      <c r="AY38" s="155">
        <f>IF(ISERROR(LOOKUP(AY$10,$O38:$AQ38,#REF!)),0,(LOOKUP(AY$10,$O38:$AQ38,#REF!)))</f>
        <v>0</v>
      </c>
      <c r="AZ38" s="155">
        <f>IF(ISERROR(LOOKUP(AZ$10,$O38:$AQ38,#REF!)),0,(LOOKUP(AZ$10,$O38:$AQ38,#REF!)))</f>
        <v>0</v>
      </c>
      <c r="BA38" s="155">
        <f>IF(ISERROR(LOOKUP(BA$10,$O38:$AQ38,#REF!)),0,(LOOKUP(BA$10,$O38:$AQ38,#REF!)))</f>
        <v>0</v>
      </c>
      <c r="BB38" s="155">
        <f ca="1">IF(ISERROR(LOOKUP(BB$10,$O38:$AQ38,#REF!)),0,(LOOKUP(BB$10,$O38:$AQ38,#REF!)))</f>
        <v>0</v>
      </c>
      <c r="BC38" s="156"/>
      <c r="BD38" s="176"/>
      <c r="BE38" s="176"/>
    </row>
    <row r="39" spans="1:57" s="78" customFormat="1" ht="18" customHeight="1" thickTop="1" thickBot="1" x14ac:dyDescent="0.45">
      <c r="A39" s="460"/>
      <c r="B39" s="177" t="s">
        <v>142</v>
      </c>
      <c r="C39" s="178" t="s">
        <v>143</v>
      </c>
      <c r="D39" s="177" t="s">
        <v>144</v>
      </c>
      <c r="E39" s="215"/>
      <c r="F39" s="215"/>
      <c r="G39" s="207" t="s">
        <v>145</v>
      </c>
      <c r="H39" s="182" t="s">
        <v>146</v>
      </c>
      <c r="I39" s="178" t="s">
        <v>138</v>
      </c>
      <c r="J39" s="231" t="s">
        <v>95</v>
      </c>
      <c r="K39" s="178" t="s">
        <v>9</v>
      </c>
      <c r="L39" s="207"/>
      <c r="M39" s="184" t="s">
        <v>76</v>
      </c>
      <c r="N39" s="185" t="s">
        <v>87</v>
      </c>
      <c r="O39" s="186">
        <v>46230</v>
      </c>
      <c r="P39" s="186">
        <v>46183</v>
      </c>
      <c r="Q39" s="186">
        <v>46197</v>
      </c>
      <c r="R39" s="186">
        <v>46231</v>
      </c>
      <c r="S39" s="186">
        <v>46231</v>
      </c>
      <c r="T39" s="186"/>
      <c r="U39" s="186"/>
      <c r="V39" s="186"/>
      <c r="W39" s="186"/>
      <c r="X39" s="186"/>
      <c r="Y39" s="186"/>
      <c r="Z39" s="186"/>
      <c r="AA39" s="186"/>
      <c r="AB39" s="186"/>
      <c r="AC39" s="186"/>
      <c r="AD39" s="186"/>
      <c r="AE39" s="186"/>
      <c r="AF39" s="186"/>
      <c r="AG39" s="186"/>
      <c r="AH39" s="186"/>
      <c r="AI39" s="186"/>
      <c r="AJ39" s="186"/>
      <c r="AK39" s="188"/>
      <c r="AL39" s="211"/>
      <c r="AM39" s="187"/>
      <c r="AN39" s="187"/>
      <c r="AO39" s="189"/>
      <c r="AP39" s="190"/>
      <c r="AQ39" s="449"/>
      <c r="AR39" s="191">
        <f>IF(ISERROR(LOOKUP(AR$10,$O39:$AQ39,#REF!)),0,(LOOKUP(AR$10,$O39:$AQ39,#REF!)))</f>
        <v>0</v>
      </c>
      <c r="AS39" s="192">
        <f>IF(ISERROR(LOOKUP(AS$10,$O39:$AQ39,#REF!)),0,(LOOKUP(AS$10,$O39:$AQ39,#REF!)))</f>
        <v>0</v>
      </c>
      <c r="AT39" s="192">
        <f>IF(ISERROR(LOOKUP(AT$10,$O39:$AQ39,#REF!)),0,(LOOKUP(AT$10,$O39:$AQ39,#REF!)))</f>
        <v>0</v>
      </c>
      <c r="AU39" s="192">
        <f>IF(ISERROR(LOOKUP(AU$10,$O39:$AQ39,#REF!)),0,(LOOKUP(AU$10,$O39:$AQ39,#REF!)))</f>
        <v>0</v>
      </c>
      <c r="AV39" s="192">
        <f>IF(ISERROR(LOOKUP(AV$10,$O39:$AQ39,#REF!)),0,(LOOKUP(AV$10,$O39:$AQ39,#REF!)))</f>
        <v>0</v>
      </c>
      <c r="AW39" s="192">
        <f>IF(ISERROR(LOOKUP(AW$10,$O39:$AQ39,#REF!)),0,(LOOKUP(AW$10,$O39:$AQ39,#REF!)))</f>
        <v>0</v>
      </c>
      <c r="AX39" s="192">
        <f>IF(ISERROR(LOOKUP(AX$10,$O39:$AQ39,#REF!)),0,(LOOKUP(AX$10,$O39:$AQ39,#REF!)))</f>
        <v>0</v>
      </c>
      <c r="AY39" s="192">
        <f>IF(ISERROR(LOOKUP(AY$10,$O39:$AQ39,#REF!)),0,(LOOKUP(AY$10,$O39:$AQ39,#REF!)))</f>
        <v>0</v>
      </c>
      <c r="AZ39" s="192">
        <f>IF(ISERROR(LOOKUP(AZ$10,$O39:$AQ39,#REF!)),0,(LOOKUP(AZ$10,$O39:$AQ39,#REF!)))</f>
        <v>0</v>
      </c>
      <c r="BA39" s="192">
        <f>IF(ISERROR(LOOKUP(BA$10,$O39:$AQ39,#REF!)),0,(LOOKUP(BA$10,$O39:$AQ39,#REF!)))</f>
        <v>0</v>
      </c>
      <c r="BB39" s="192">
        <f ca="1">IF(ISERROR(LOOKUP(BB$10,$O39:$AQ39,#REF!)),0,(LOOKUP(BB$10,$O39:$AQ39,#REF!)))</f>
        <v>0</v>
      </c>
      <c r="BC39" s="156"/>
      <c r="BD39" s="176"/>
      <c r="BE39" s="176"/>
    </row>
    <row r="40" spans="1:57" s="78" customFormat="1" ht="18.399999999999999" customHeight="1" thickTop="1" thickBot="1" x14ac:dyDescent="0.45">
      <c r="A40" s="458">
        <f t="shared" ref="A40" si="7">A37+1</f>
        <v>10</v>
      </c>
      <c r="B40" s="139" t="s">
        <v>147</v>
      </c>
      <c r="C40" s="140" t="s">
        <v>148</v>
      </c>
      <c r="D40" s="222" t="s">
        <v>149</v>
      </c>
      <c r="E40" s="202"/>
      <c r="F40" s="202"/>
      <c r="G40" s="427" t="s">
        <v>145</v>
      </c>
      <c r="H40" s="143" t="s">
        <v>146</v>
      </c>
      <c r="I40" s="140" t="s">
        <v>138</v>
      </c>
      <c r="J40" s="224" t="s">
        <v>95</v>
      </c>
      <c r="K40" s="140" t="s">
        <v>9</v>
      </c>
      <c r="L40" s="203"/>
      <c r="M40" s="145" t="s">
        <v>150</v>
      </c>
      <c r="N40" s="146" t="s">
        <v>77</v>
      </c>
      <c r="O40" s="147">
        <f>P40</f>
        <v>46381</v>
      </c>
      <c r="P40" s="147">
        <v>46381</v>
      </c>
      <c r="Q40" s="147">
        <v>46399</v>
      </c>
      <c r="R40" s="147">
        <v>46399</v>
      </c>
      <c r="S40" s="147">
        <v>46399</v>
      </c>
      <c r="T40" s="148">
        <v>46406</v>
      </c>
      <c r="U40" s="147">
        <v>46415</v>
      </c>
      <c r="V40" s="147">
        <v>46429</v>
      </c>
      <c r="W40" s="147"/>
      <c r="X40" s="147">
        <v>46437</v>
      </c>
      <c r="Y40" s="147">
        <v>46441</v>
      </c>
      <c r="Z40" s="147">
        <v>46448</v>
      </c>
      <c r="AA40" s="147">
        <v>46462</v>
      </c>
      <c r="AB40" s="147">
        <v>46476</v>
      </c>
      <c r="AC40" s="147">
        <v>46491</v>
      </c>
      <c r="AD40" s="147">
        <v>46491</v>
      </c>
      <c r="AE40" s="147">
        <v>46493</v>
      </c>
      <c r="AF40" s="147">
        <v>46523</v>
      </c>
      <c r="AG40" s="147">
        <v>46525</v>
      </c>
      <c r="AH40" s="147">
        <v>46530</v>
      </c>
      <c r="AI40" s="147">
        <v>46533</v>
      </c>
      <c r="AJ40" s="147">
        <v>46560</v>
      </c>
      <c r="AK40" s="149">
        <v>5</v>
      </c>
      <c r="AL40" s="150">
        <v>35</v>
      </c>
      <c r="AM40" s="151">
        <v>46530</v>
      </c>
      <c r="AN40" s="151">
        <v>46568</v>
      </c>
      <c r="AO40" s="152">
        <f>AN40-AM41</f>
        <v>265</v>
      </c>
      <c r="AP40" s="153" t="s">
        <v>151</v>
      </c>
      <c r="AQ40" s="438" t="s">
        <v>152</v>
      </c>
      <c r="AR40" s="154">
        <f>IF(ISERROR(LOOKUP(AR$10,$O40:$AQ40,#REF!)),0,(LOOKUP(AR$10,$O40:$AQ40,#REF!)))</f>
        <v>0</v>
      </c>
      <c r="AS40" s="155">
        <f>IF(ISERROR(LOOKUP(AS$10,$O40:$AQ40,#REF!)),0,(LOOKUP(AS$10,$O40:$AQ40,#REF!)))</f>
        <v>0</v>
      </c>
      <c r="AT40" s="155">
        <f>IF(ISERROR(LOOKUP(AT$10,$O40:$AQ40,#REF!)),0,(LOOKUP(AT$10,$O40:$AQ40,#REF!)))</f>
        <v>0</v>
      </c>
      <c r="AU40" s="155">
        <f>IF(ISERROR(LOOKUP(AU$10,$O40:$AQ40,#REF!)),0,(LOOKUP(AU$10,$O40:$AQ40,#REF!)))</f>
        <v>0</v>
      </c>
      <c r="AV40" s="155">
        <f>IF(ISERROR(LOOKUP(AV$10,$O40:$AQ40,#REF!)),0,(LOOKUP(AV$10,$O40:$AQ40,#REF!)))</f>
        <v>0</v>
      </c>
      <c r="AW40" s="155">
        <f>IF(ISERROR(LOOKUP(AW$10,$O40:$AQ40,#REF!)),0,(LOOKUP(AW$10,$O40:$AQ40,#REF!)))</f>
        <v>0</v>
      </c>
      <c r="AX40" s="155">
        <f>IF(ISERROR(LOOKUP(AX$10,$O40:$AQ40,#REF!)),0,(LOOKUP(AX$10,$O40:$AQ40,#REF!)))</f>
        <v>0</v>
      </c>
      <c r="AY40" s="155">
        <f>IF(ISERROR(LOOKUP(AY$10,$O40:$AQ40,#REF!)),0,(LOOKUP(AY$10,$O40:$AQ40,#REF!)))</f>
        <v>0</v>
      </c>
      <c r="AZ40" s="155">
        <f>IF(ISERROR(LOOKUP(AZ$10,$O40:$AQ40,#REF!)),0,(LOOKUP(AZ$10,$O40:$AQ40,#REF!)))</f>
        <v>0</v>
      </c>
      <c r="BA40" s="155">
        <f>IF(ISERROR(LOOKUP(BA$10,$O40:$AQ40,#REF!)),0,(LOOKUP(BA$10,$O40:$AQ40,#REF!)))</f>
        <v>0</v>
      </c>
      <c r="BB40" s="155">
        <f ca="1">IF(ISERROR(LOOKUP(BB$10,$O40:$AQ40,#REF!)),0,(LOOKUP(BB$10,$O40:$AQ40,#REF!)))</f>
        <v>0</v>
      </c>
      <c r="BC40" s="156"/>
      <c r="BD40" s="176"/>
      <c r="BE40" s="176"/>
    </row>
    <row r="41" spans="1:57" s="78" customFormat="1" ht="20.25" customHeight="1" thickTop="1" thickBot="1" x14ac:dyDescent="0.45">
      <c r="A41" s="459"/>
      <c r="B41" s="158" t="s">
        <v>147</v>
      </c>
      <c r="C41" s="197" t="s">
        <v>148</v>
      </c>
      <c r="D41" s="232" t="s">
        <v>149</v>
      </c>
      <c r="E41" s="227"/>
      <c r="F41" s="227"/>
      <c r="G41" s="204" t="s">
        <v>145</v>
      </c>
      <c r="H41" s="228" t="s">
        <v>146</v>
      </c>
      <c r="I41" s="159" t="s">
        <v>138</v>
      </c>
      <c r="J41" s="229" t="s">
        <v>95</v>
      </c>
      <c r="K41" s="159" t="s">
        <v>9</v>
      </c>
      <c r="L41" s="204"/>
      <c r="M41" s="165" t="s">
        <v>150</v>
      </c>
      <c r="N41" s="166" t="s">
        <v>84</v>
      </c>
      <c r="O41" s="167"/>
      <c r="P41" s="168"/>
      <c r="Q41" s="168"/>
      <c r="R41" s="168"/>
      <c r="S41" s="168"/>
      <c r="T41" s="168">
        <f>WORKDAY(S42,T9,IF(T12="China",'China Holidays'!$A$2:$A$84,'Thai Holidays'!$A$2:$A$65))</f>
        <v>46237</v>
      </c>
      <c r="U41" s="168">
        <f>WORKDAY(T41,U9,IF(U12="China",'China Holidays'!$A$2:$A$84,'Thai Holidays'!$A$2:$A$65))</f>
        <v>46247</v>
      </c>
      <c r="V41" s="168">
        <f>WORKDAY(U41,V9,IF(V12="China",'China Holidays'!$A$2:$A$84,'Thai Holidays'!$A$2:$A$65))</f>
        <v>46261</v>
      </c>
      <c r="W41" s="168"/>
      <c r="X41" s="168">
        <f>WORKDAY(V41,X9,IF(X12="China",'China Holidays'!$A$2:$A$84,'Thai Holidays'!$A$2:$A$65))</f>
        <v>46268</v>
      </c>
      <c r="Y41" s="168">
        <f>WORKDAY(X41,Y9,IF(Y12="China",'China Holidays'!$A$2:$A$84,'Thai Holidays'!$A$2:$A$65))</f>
        <v>46272</v>
      </c>
      <c r="Z41" s="168">
        <f>WORKDAY(Y41,Z9,IF(Z12="China",'China Holidays'!$A$2:$A$84,'Thai Holidays'!$A$2:$A$65))</f>
        <v>46279</v>
      </c>
      <c r="AA41" s="168">
        <f>WORKDAY(Z41,AA9,IF(AA12="China",'China Holidays'!$A$2:$A$84,'Thai Holidays'!$A$2:$A$65))</f>
        <v>46294</v>
      </c>
      <c r="AB41" s="168">
        <f>WORKDAY(AA41,AB9,IF(AB12="China",'China Holidays'!$A$2:$A$84,'Thai Holidays'!$A$2:$A$65))</f>
        <v>46309</v>
      </c>
      <c r="AC41" s="168">
        <f>AB41+15</f>
        <v>46324</v>
      </c>
      <c r="AD41" s="168">
        <f>AC41</f>
        <v>46324</v>
      </c>
      <c r="AE41" s="168">
        <f>AD41+2</f>
        <v>46326</v>
      </c>
      <c r="AF41" s="168">
        <f>AE41+30</f>
        <v>46356</v>
      </c>
      <c r="AG41" s="168">
        <f>AF41+2</f>
        <v>46358</v>
      </c>
      <c r="AH41" s="168">
        <f>AG41+5</f>
        <v>46363</v>
      </c>
      <c r="AI41" s="168">
        <f>AM40+3</f>
        <v>46533</v>
      </c>
      <c r="AJ41" s="168">
        <f>AM40+30</f>
        <v>46560</v>
      </c>
      <c r="AK41" s="169"/>
      <c r="AL41" s="230"/>
      <c r="AM41" s="170">
        <f>X41+AL40</f>
        <v>46303</v>
      </c>
      <c r="AN41" s="170"/>
      <c r="AO41" s="171"/>
      <c r="AP41" s="172"/>
      <c r="AQ41" s="448"/>
      <c r="AR41" s="154">
        <f>IF(ISERROR(LOOKUP(AR$10,$O41:$AQ41,#REF!)),0,(LOOKUP(AR$10,$O41:$AQ41,#REF!)))</f>
        <v>0</v>
      </c>
      <c r="AS41" s="155">
        <f>IF(ISERROR(LOOKUP(AS$10,$O41:$AQ41,#REF!)),0,(LOOKUP(AS$10,$O41:$AQ41,#REF!)))</f>
        <v>0</v>
      </c>
      <c r="AT41" s="155">
        <f>IF(ISERROR(LOOKUP(AT$10,$O41:$AQ41,#REF!)),0,(LOOKUP(AT$10,$O41:$AQ41,#REF!)))</f>
        <v>0</v>
      </c>
      <c r="AU41" s="155">
        <f>IF(ISERROR(LOOKUP(AU$10,$O41:$AQ41,#REF!)),0,(LOOKUP(AU$10,$O41:$AQ41,#REF!)))</f>
        <v>0</v>
      </c>
      <c r="AV41" s="155">
        <f>IF(ISERROR(LOOKUP(AV$10,$O41:$AQ41,#REF!)),0,(LOOKUP(AV$10,$O41:$AQ41,#REF!)))</f>
        <v>0</v>
      </c>
      <c r="AW41" s="155">
        <f>IF(ISERROR(LOOKUP(AW$10,$O41:$AQ41,#REF!)),0,(LOOKUP(AW$10,$O41:$AQ41,#REF!)))</f>
        <v>0</v>
      </c>
      <c r="AX41" s="155">
        <f>IF(ISERROR(LOOKUP(AX$10,$O41:$AQ41,#REF!)),0,(LOOKUP(AX$10,$O41:$AQ41,#REF!)))</f>
        <v>0</v>
      </c>
      <c r="AY41" s="155">
        <f>IF(ISERROR(LOOKUP(AY$10,$O41:$AQ41,#REF!)),0,(LOOKUP(AY$10,$O41:$AQ41,#REF!)))</f>
        <v>0</v>
      </c>
      <c r="AZ41" s="155">
        <f>IF(ISERROR(LOOKUP(AZ$10,$O41:$AQ41,#REF!)),0,(LOOKUP(AZ$10,$O41:$AQ41,#REF!)))</f>
        <v>0</v>
      </c>
      <c r="BA41" s="155">
        <f>IF(ISERROR(LOOKUP(BA$10,$O41:$AQ41,#REF!)),0,(LOOKUP(BA$10,$O41:$AQ41,#REF!)))</f>
        <v>0</v>
      </c>
      <c r="BB41" s="155">
        <f ca="1">IF(ISERROR(LOOKUP(BB$10,$O41:$AQ41,#REF!)),0,(LOOKUP(BB$10,$O41:$AQ41,#REF!)))</f>
        <v>0</v>
      </c>
      <c r="BC41" s="156"/>
      <c r="BD41" s="176"/>
      <c r="BE41" s="176"/>
    </row>
    <row r="42" spans="1:57" s="78" customFormat="1" ht="16.149999999999999" customHeight="1" thickTop="1" thickBot="1" x14ac:dyDescent="0.45">
      <c r="A42" s="460"/>
      <c r="B42" s="177" t="s">
        <v>147</v>
      </c>
      <c r="C42" s="178" t="s">
        <v>148</v>
      </c>
      <c r="D42" s="207" t="s">
        <v>149</v>
      </c>
      <c r="E42" s="215"/>
      <c r="F42" s="215"/>
      <c r="G42" s="209" t="s">
        <v>145</v>
      </c>
      <c r="H42" s="182" t="s">
        <v>146</v>
      </c>
      <c r="I42" s="178" t="s">
        <v>138</v>
      </c>
      <c r="J42" s="231" t="s">
        <v>95</v>
      </c>
      <c r="K42" s="178" t="s">
        <v>9</v>
      </c>
      <c r="L42" s="209"/>
      <c r="M42" s="184" t="s">
        <v>150</v>
      </c>
      <c r="N42" s="185" t="s">
        <v>87</v>
      </c>
      <c r="O42" s="186">
        <v>46217</v>
      </c>
      <c r="P42" s="186">
        <v>46174</v>
      </c>
      <c r="Q42" s="186">
        <v>46182</v>
      </c>
      <c r="R42" s="186">
        <v>46230</v>
      </c>
      <c r="S42" s="186">
        <v>46230</v>
      </c>
      <c r="T42" s="186"/>
      <c r="U42" s="186"/>
      <c r="V42" s="186"/>
      <c r="W42" s="186"/>
      <c r="X42" s="186"/>
      <c r="Y42" s="186"/>
      <c r="Z42" s="186"/>
      <c r="AA42" s="186"/>
      <c r="AB42" s="186"/>
      <c r="AC42" s="186"/>
      <c r="AD42" s="186"/>
      <c r="AE42" s="186"/>
      <c r="AF42" s="186"/>
      <c r="AG42" s="186"/>
      <c r="AH42" s="186"/>
      <c r="AI42" s="186"/>
      <c r="AJ42" s="186"/>
      <c r="AK42" s="188"/>
      <c r="AL42" s="211"/>
      <c r="AM42" s="187"/>
      <c r="AN42" s="187"/>
      <c r="AO42" s="189"/>
      <c r="AP42" s="190"/>
      <c r="AQ42" s="449"/>
      <c r="AR42" s="191">
        <f>IF(ISERROR(LOOKUP(AR$10,$O42:$AQ42,#REF!)),0,(LOOKUP(AR$10,$O42:$AQ42,#REF!)))</f>
        <v>0</v>
      </c>
      <c r="AS42" s="192">
        <f>IF(ISERROR(LOOKUP(AS$10,$O42:$AQ42,#REF!)),0,(LOOKUP(AS$10,$O42:$AQ42,#REF!)))</f>
        <v>0</v>
      </c>
      <c r="AT42" s="192">
        <f>IF(ISERROR(LOOKUP(AT$10,$O42:$AQ42,#REF!)),0,(LOOKUP(AT$10,$O42:$AQ42,#REF!)))</f>
        <v>0</v>
      </c>
      <c r="AU42" s="192">
        <f>IF(ISERROR(LOOKUP(AU$10,$O42:$AQ42,#REF!)),0,(LOOKUP(AU$10,$O42:$AQ42,#REF!)))</f>
        <v>0</v>
      </c>
      <c r="AV42" s="192">
        <f>IF(ISERROR(LOOKUP(AV$10,$O42:$AQ42,#REF!)),0,(LOOKUP(AV$10,$O42:$AQ42,#REF!)))</f>
        <v>0</v>
      </c>
      <c r="AW42" s="192">
        <f>IF(ISERROR(LOOKUP(AW$10,$O42:$AQ42,#REF!)),0,(LOOKUP(AW$10,$O42:$AQ42,#REF!)))</f>
        <v>0</v>
      </c>
      <c r="AX42" s="192">
        <f>IF(ISERROR(LOOKUP(AX$10,$O42:$AQ42,#REF!)),0,(LOOKUP(AX$10,$O42:$AQ42,#REF!)))</f>
        <v>0</v>
      </c>
      <c r="AY42" s="192">
        <f>IF(ISERROR(LOOKUP(AY$10,$O42:$AQ42,#REF!)),0,(LOOKUP(AY$10,$O42:$AQ42,#REF!)))</f>
        <v>0</v>
      </c>
      <c r="AZ42" s="192">
        <f>IF(ISERROR(LOOKUP(AZ$10,$O42:$AQ42,#REF!)),0,(LOOKUP(AZ$10,$O42:$AQ42,#REF!)))</f>
        <v>0</v>
      </c>
      <c r="BA42" s="192">
        <f>IF(ISERROR(LOOKUP(BA$10,$O42:$AQ42,#REF!)),0,(LOOKUP(BA$10,$O42:$AQ42,#REF!)))</f>
        <v>0</v>
      </c>
      <c r="BB42" s="192">
        <f ca="1">IF(ISERROR(LOOKUP(BB$10,$O42:$AQ42,#REF!)),0,(LOOKUP(BB$10,$O42:$AQ42,#REF!)))</f>
        <v>0</v>
      </c>
      <c r="BC42" s="156"/>
      <c r="BD42" s="176"/>
      <c r="BE42" s="176"/>
    </row>
    <row r="43" spans="1:57" s="78" customFormat="1" ht="15.4" thickTop="1" thickBot="1" x14ac:dyDescent="0.45">
      <c r="A43" s="458">
        <f t="shared" ref="A43" si="8">A40+1</f>
        <v>11</v>
      </c>
      <c r="B43" s="139" t="s">
        <v>153</v>
      </c>
      <c r="C43" s="140" t="s">
        <v>154</v>
      </c>
      <c r="D43" s="233" t="s">
        <v>155</v>
      </c>
      <c r="E43" s="202" t="s">
        <v>156</v>
      </c>
      <c r="F43" s="202">
        <v>355</v>
      </c>
      <c r="G43" s="427" t="s">
        <v>157</v>
      </c>
      <c r="H43" s="143" t="s">
        <v>158</v>
      </c>
      <c r="I43" s="140" t="s">
        <v>138</v>
      </c>
      <c r="J43" s="140" t="s">
        <v>95</v>
      </c>
      <c r="K43" s="140" t="s">
        <v>6</v>
      </c>
      <c r="L43" s="234"/>
      <c r="M43" s="145" t="s">
        <v>76</v>
      </c>
      <c r="N43" s="146" t="s">
        <v>77</v>
      </c>
      <c r="O43" s="147">
        <v>46174</v>
      </c>
      <c r="P43" s="147">
        <v>46177</v>
      </c>
      <c r="Q43" s="147">
        <v>46185</v>
      </c>
      <c r="R43" s="147">
        <v>46185</v>
      </c>
      <c r="S43" s="147">
        <v>46185</v>
      </c>
      <c r="T43" s="147">
        <v>46202</v>
      </c>
      <c r="U43" s="147">
        <v>46219</v>
      </c>
      <c r="V43" s="148">
        <v>46237</v>
      </c>
      <c r="W43" s="147"/>
      <c r="X43" s="147">
        <v>46248</v>
      </c>
      <c r="Y43" s="147">
        <v>46252</v>
      </c>
      <c r="Z43" s="147">
        <v>46259</v>
      </c>
      <c r="AA43" s="147">
        <v>46280</v>
      </c>
      <c r="AB43" s="147">
        <v>46294</v>
      </c>
      <c r="AC43" s="147">
        <v>46324</v>
      </c>
      <c r="AD43" s="147">
        <v>46327</v>
      </c>
      <c r="AE43" s="147">
        <v>46330</v>
      </c>
      <c r="AF43" s="147">
        <v>46422</v>
      </c>
      <c r="AG43" s="147">
        <v>46437</v>
      </c>
      <c r="AH43" s="147">
        <v>46444</v>
      </c>
      <c r="AI43" s="147">
        <v>46447</v>
      </c>
      <c r="AJ43" s="147">
        <v>46474</v>
      </c>
      <c r="AK43" s="149">
        <v>28</v>
      </c>
      <c r="AL43" s="150">
        <v>196</v>
      </c>
      <c r="AM43" s="151">
        <v>46444</v>
      </c>
      <c r="AN43" s="151">
        <v>46476</v>
      </c>
      <c r="AO43" s="225">
        <f>AN43-AM44</f>
        <v>32</v>
      </c>
      <c r="AP43" s="235" t="s">
        <v>159</v>
      </c>
      <c r="AQ43" s="447"/>
      <c r="AR43" s="154">
        <f>IF(ISERROR(LOOKUP(AR$10,$O43:$AQ43,#REF!)),0,(LOOKUP(AR$10,$O43:$AQ43,#REF!)))</f>
        <v>0</v>
      </c>
      <c r="AS43" s="155">
        <f>IF(ISERROR(LOOKUP(AS$10,$O43:$AQ43,#REF!)),0,(LOOKUP(AS$10,$O43:$AQ43,#REF!)))</f>
        <v>0</v>
      </c>
      <c r="AT43" s="155">
        <f>IF(ISERROR(LOOKUP(AT$10,$O43:$AQ43,#REF!)),0,(LOOKUP(AT$10,$O43:$AQ43,#REF!)))</f>
        <v>0</v>
      </c>
      <c r="AU43" s="155">
        <f>IF(ISERROR(LOOKUP(AU$10,$O43:$AQ43,#REF!)),0,(LOOKUP(AU$10,$O43:$AQ43,#REF!)))</f>
        <v>0</v>
      </c>
      <c r="AV43" s="155">
        <f>IF(ISERROR(LOOKUP(AV$10,$O43:$AQ43,#REF!)),0,(LOOKUP(AV$10,$O43:$AQ43,#REF!)))</f>
        <v>0</v>
      </c>
      <c r="AW43" s="155">
        <f>IF(ISERROR(LOOKUP(AW$10,$O43:$AQ43,#REF!)),0,(LOOKUP(AW$10,$O43:$AQ43,#REF!)))</f>
        <v>0</v>
      </c>
      <c r="AX43" s="155">
        <f>IF(ISERROR(LOOKUP(AX$10,$O43:$AQ43,#REF!)),0,(LOOKUP(AX$10,$O43:$AQ43,#REF!)))</f>
        <v>0</v>
      </c>
      <c r="AY43" s="155">
        <f>IF(ISERROR(LOOKUP(AY$10,$O43:$AQ43,#REF!)),0,(LOOKUP(AY$10,$O43:$AQ43,#REF!)))</f>
        <v>0</v>
      </c>
      <c r="AZ43" s="155">
        <f>IF(ISERROR(LOOKUP(AZ$10,$O43:$AQ43,#REF!)),0,(LOOKUP(AZ$10,$O43:$AQ43,#REF!)))</f>
        <v>0</v>
      </c>
      <c r="BA43" s="155">
        <f>IF(ISERROR(LOOKUP(BA$10,$O43:$AQ43,#REF!)),0,(LOOKUP(BA$10,$O43:$AQ43,#REF!)))</f>
        <v>0</v>
      </c>
      <c r="BB43" s="155">
        <f ca="1">IF(ISERROR(LOOKUP(BB$10,$O43:$AQ43,#REF!)),0,(LOOKUP(BB$10,$O43:$AQ43,#REF!)))</f>
        <v>0</v>
      </c>
      <c r="BC43" s="156"/>
      <c r="BD43" s="176"/>
      <c r="BE43" s="176"/>
    </row>
    <row r="44" spans="1:57" s="78" customFormat="1" ht="15.4" thickTop="1" thickBot="1" x14ac:dyDescent="0.45">
      <c r="A44" s="459"/>
      <c r="B44" s="158" t="s">
        <v>153</v>
      </c>
      <c r="C44" s="197" t="s">
        <v>154</v>
      </c>
      <c r="D44" s="160" t="s">
        <v>155</v>
      </c>
      <c r="E44" s="205" t="s">
        <v>160</v>
      </c>
      <c r="F44" s="205"/>
      <c r="G44" s="204" t="s">
        <v>157</v>
      </c>
      <c r="H44" s="228" t="s">
        <v>158</v>
      </c>
      <c r="I44" s="159" t="s">
        <v>138</v>
      </c>
      <c r="J44" s="159" t="s">
        <v>95</v>
      </c>
      <c r="K44" s="159" t="s">
        <v>6</v>
      </c>
      <c r="L44" s="236"/>
      <c r="M44" s="165" t="s">
        <v>76</v>
      </c>
      <c r="N44" s="166" t="s">
        <v>84</v>
      </c>
      <c r="O44" s="167"/>
      <c r="P44" s="168"/>
      <c r="Q44" s="168"/>
      <c r="R44" s="168"/>
      <c r="S44" s="168"/>
      <c r="T44" s="168"/>
      <c r="U44" s="168"/>
      <c r="V44" s="168">
        <v>46238</v>
      </c>
      <c r="W44" s="168"/>
      <c r="X44" s="168">
        <f>X43</f>
        <v>46248</v>
      </c>
      <c r="Y44" s="168">
        <f>WORKDAY(X44,Y8,IF(Y12="China",'China Holidays'!$A$2:$A$84,'Thai Holidays'!$A$2:$A$65))</f>
        <v>46252</v>
      </c>
      <c r="Z44" s="168">
        <f>WORKDAY(Y44,Z8,IF(Z12="China",'China Holidays'!$A$2:$A$84,'Thai Holidays'!$A$2:$A$65))</f>
        <v>46259</v>
      </c>
      <c r="AA44" s="168">
        <f>WORKDAY(Z44,AA8,IF(AA12="China",'China Holidays'!$A$2:$A$84,'Thai Holidays'!$A$2:$A$65))</f>
        <v>46280</v>
      </c>
      <c r="AB44" s="168">
        <f>WORKDAY(AA44,AB8,IF(AB12="China",'China Holidays'!$A$2:$A$84,'Thai Holidays'!$A$2:$A$65))</f>
        <v>46294</v>
      </c>
      <c r="AC44" s="168">
        <f>AB44+40</f>
        <v>46334</v>
      </c>
      <c r="AD44" s="168">
        <f>AC44+3</f>
        <v>46337</v>
      </c>
      <c r="AE44" s="168">
        <f>AD44+3</f>
        <v>46340</v>
      </c>
      <c r="AF44" s="168">
        <f>AG44-15</f>
        <v>46422</v>
      </c>
      <c r="AG44" s="168">
        <f>AH44-7</f>
        <v>46437</v>
      </c>
      <c r="AH44" s="168">
        <f>AM44</f>
        <v>46444</v>
      </c>
      <c r="AI44" s="168">
        <f>AM43+3</f>
        <v>46447</v>
      </c>
      <c r="AJ44" s="168">
        <f>AM43+30</f>
        <v>46474</v>
      </c>
      <c r="AK44" s="169"/>
      <c r="AL44" s="230"/>
      <c r="AM44" s="170">
        <f>X44+AL43</f>
        <v>46444</v>
      </c>
      <c r="AN44" s="170"/>
      <c r="AO44" s="171"/>
      <c r="AP44" s="172"/>
      <c r="AQ44" s="448"/>
      <c r="AR44" s="154">
        <f>IF(ISERROR(LOOKUP(AR$10,$O44:$AQ44,#REF!)),0,(LOOKUP(AR$10,$O44:$AQ44,#REF!)))</f>
        <v>0</v>
      </c>
      <c r="AS44" s="155">
        <f>IF(ISERROR(LOOKUP(AS$10,$O44:$AQ44,#REF!)),0,(LOOKUP(AS$10,$O44:$AQ44,#REF!)))</f>
        <v>0</v>
      </c>
      <c r="AT44" s="155">
        <f>IF(ISERROR(LOOKUP(AT$10,$O44:$AQ44,#REF!)),0,(LOOKUP(AT$10,$O44:$AQ44,#REF!)))</f>
        <v>0</v>
      </c>
      <c r="AU44" s="155">
        <f>IF(ISERROR(LOOKUP(AU$10,$O44:$AQ44,#REF!)),0,(LOOKUP(AU$10,$O44:$AQ44,#REF!)))</f>
        <v>0</v>
      </c>
      <c r="AV44" s="155">
        <f>IF(ISERROR(LOOKUP(AV$10,$O44:$AQ44,#REF!)),0,(LOOKUP(AV$10,$O44:$AQ44,#REF!)))</f>
        <v>0</v>
      </c>
      <c r="AW44" s="155">
        <f>IF(ISERROR(LOOKUP(AW$10,$O44:$AQ44,#REF!)),0,(LOOKUP(AW$10,$O44:$AQ44,#REF!)))</f>
        <v>0</v>
      </c>
      <c r="AX44" s="155">
        <f>IF(ISERROR(LOOKUP(AX$10,$O44:$AQ44,#REF!)),0,(LOOKUP(AX$10,$O44:$AQ44,#REF!)))</f>
        <v>0</v>
      </c>
      <c r="AY44" s="155">
        <f>IF(ISERROR(LOOKUP(AY$10,$O44:$AQ44,#REF!)),0,(LOOKUP(AY$10,$O44:$AQ44,#REF!)))</f>
        <v>0</v>
      </c>
      <c r="AZ44" s="155">
        <f>IF(ISERROR(LOOKUP(AZ$10,$O44:$AQ44,#REF!)),0,(LOOKUP(AZ$10,$O44:$AQ44,#REF!)))</f>
        <v>0</v>
      </c>
      <c r="BA44" s="155">
        <f>IF(ISERROR(LOOKUP(BA$10,$O44:$AQ44,#REF!)),0,(LOOKUP(BA$10,$O44:$AQ44,#REF!)))</f>
        <v>0</v>
      </c>
      <c r="BB44" s="155">
        <f ca="1">IF(ISERROR(LOOKUP(BB$10,$O44:$AQ44,#REF!)),0,(LOOKUP(BB$10,$O44:$AQ44,#REF!)))</f>
        <v>0</v>
      </c>
      <c r="BC44" s="156"/>
      <c r="BD44" s="176"/>
      <c r="BE44" s="176"/>
    </row>
    <row r="45" spans="1:57" s="78" customFormat="1" ht="15.4" thickTop="1" thickBot="1" x14ac:dyDescent="0.45">
      <c r="A45" s="460"/>
      <c r="B45" s="177" t="s">
        <v>153</v>
      </c>
      <c r="C45" s="178" t="s">
        <v>154</v>
      </c>
      <c r="D45" s="237" t="s">
        <v>155</v>
      </c>
      <c r="E45" s="208"/>
      <c r="F45" s="208"/>
      <c r="G45" s="209" t="s">
        <v>157</v>
      </c>
      <c r="H45" s="182" t="s">
        <v>158</v>
      </c>
      <c r="I45" s="178" t="s">
        <v>138</v>
      </c>
      <c r="J45" s="178" t="s">
        <v>95</v>
      </c>
      <c r="K45" s="178" t="s">
        <v>6</v>
      </c>
      <c r="L45" s="238"/>
      <c r="M45" s="184" t="s">
        <v>76</v>
      </c>
      <c r="N45" s="185" t="s">
        <v>87</v>
      </c>
      <c r="O45" s="186">
        <v>46174</v>
      </c>
      <c r="P45" s="186">
        <v>46148</v>
      </c>
      <c r="Q45" s="186">
        <v>46165</v>
      </c>
      <c r="R45" s="186">
        <v>46174</v>
      </c>
      <c r="S45" s="186">
        <v>46174</v>
      </c>
      <c r="T45" s="186">
        <v>46191</v>
      </c>
      <c r="U45" s="186">
        <v>46219</v>
      </c>
      <c r="V45" s="186"/>
      <c r="W45" s="186"/>
      <c r="X45" s="186"/>
      <c r="Y45" s="186"/>
      <c r="Z45" s="186"/>
      <c r="AA45" s="186"/>
      <c r="AB45" s="186"/>
      <c r="AC45" s="186"/>
      <c r="AD45" s="186"/>
      <c r="AE45" s="186"/>
      <c r="AF45" s="186"/>
      <c r="AG45" s="186"/>
      <c r="AH45" s="186"/>
      <c r="AI45" s="186"/>
      <c r="AJ45" s="186"/>
      <c r="AK45" s="188"/>
      <c r="AL45" s="211"/>
      <c r="AM45" s="187"/>
      <c r="AN45" s="187"/>
      <c r="AO45" s="189"/>
      <c r="AP45" s="190"/>
      <c r="AQ45" s="449"/>
      <c r="AR45" s="191">
        <f>IF(ISERROR(LOOKUP(AR$10,$O45:$AQ45,#REF!)),0,(LOOKUP(AR$10,$O45:$AQ45,#REF!)))</f>
        <v>0</v>
      </c>
      <c r="AS45" s="192">
        <f>IF(ISERROR(LOOKUP(AS$10,$O45:$AQ45,#REF!)),0,(LOOKUP(AS$10,$O45:$AQ45,#REF!)))</f>
        <v>0</v>
      </c>
      <c r="AT45" s="192">
        <f>IF(ISERROR(LOOKUP(AT$10,$O45:$AQ45,#REF!)),0,(LOOKUP(AT$10,$O45:$AQ45,#REF!)))</f>
        <v>0</v>
      </c>
      <c r="AU45" s="192">
        <f>IF(ISERROR(LOOKUP(AU$10,$O45:$AQ45,#REF!)),0,(LOOKUP(AU$10,$O45:$AQ45,#REF!)))</f>
        <v>0</v>
      </c>
      <c r="AV45" s="192">
        <f>IF(ISERROR(LOOKUP(AV$10,$O45:$AQ45,#REF!)),0,(LOOKUP(AV$10,$O45:$AQ45,#REF!)))</f>
        <v>0</v>
      </c>
      <c r="AW45" s="192">
        <f>IF(ISERROR(LOOKUP(AW$10,$O45:$AQ45,#REF!)),0,(LOOKUP(AW$10,$O45:$AQ45,#REF!)))</f>
        <v>0</v>
      </c>
      <c r="AX45" s="192">
        <f>IF(ISERROR(LOOKUP(AX$10,$O45:$AQ45,#REF!)),0,(LOOKUP(AX$10,$O45:$AQ45,#REF!)))</f>
        <v>0</v>
      </c>
      <c r="AY45" s="192">
        <f>IF(ISERROR(LOOKUP(AY$10,$O45:$AQ45,#REF!)),0,(LOOKUP(AY$10,$O45:$AQ45,#REF!)))</f>
        <v>0</v>
      </c>
      <c r="AZ45" s="192">
        <f>IF(ISERROR(LOOKUP(AZ$10,$O45:$AQ45,#REF!)),0,(LOOKUP(AZ$10,$O45:$AQ45,#REF!)))</f>
        <v>0</v>
      </c>
      <c r="BA45" s="192">
        <f>IF(ISERROR(LOOKUP(BA$10,$O45:$AQ45,#REF!)),0,(LOOKUP(BA$10,$O45:$AQ45,#REF!)))</f>
        <v>0</v>
      </c>
      <c r="BB45" s="192">
        <f ca="1">IF(ISERROR(LOOKUP(BB$10,$O45:$AQ45,#REF!)),0,(LOOKUP(BB$10,$O45:$AQ45,#REF!)))</f>
        <v>0</v>
      </c>
      <c r="BC45" s="156"/>
      <c r="BD45" s="176"/>
      <c r="BE45" s="176"/>
    </row>
    <row r="46" spans="1:57" s="78" customFormat="1" ht="15.4" thickTop="1" thickBot="1" x14ac:dyDescent="0.45">
      <c r="A46" s="458">
        <f t="shared" ref="A46" si="9">A43+1</f>
        <v>12</v>
      </c>
      <c r="B46" s="139" t="s">
        <v>153</v>
      </c>
      <c r="C46" s="239" t="s">
        <v>161</v>
      </c>
      <c r="D46" s="233" t="s">
        <v>162</v>
      </c>
      <c r="E46" s="142" t="s">
        <v>163</v>
      </c>
      <c r="F46" s="142">
        <v>649</v>
      </c>
      <c r="G46" s="427" t="s">
        <v>157</v>
      </c>
      <c r="H46" s="143" t="s">
        <v>158</v>
      </c>
      <c r="I46" s="140" t="s">
        <v>138</v>
      </c>
      <c r="J46" s="140" t="s">
        <v>95</v>
      </c>
      <c r="K46" s="140" t="s">
        <v>6</v>
      </c>
      <c r="L46" s="240" t="s">
        <v>164</v>
      </c>
      <c r="M46" s="145" t="s">
        <v>76</v>
      </c>
      <c r="N46" s="146" t="s">
        <v>77</v>
      </c>
      <c r="O46" s="147">
        <v>46174</v>
      </c>
      <c r="P46" s="147">
        <v>46177</v>
      </c>
      <c r="Q46" s="147">
        <v>46185</v>
      </c>
      <c r="R46" s="147">
        <v>46185</v>
      </c>
      <c r="S46" s="147">
        <v>46185</v>
      </c>
      <c r="T46" s="147">
        <v>46202</v>
      </c>
      <c r="U46" s="147">
        <v>46219</v>
      </c>
      <c r="V46" s="148">
        <v>46237</v>
      </c>
      <c r="W46" s="147"/>
      <c r="X46" s="147">
        <v>46248</v>
      </c>
      <c r="Y46" s="147">
        <v>46252</v>
      </c>
      <c r="Z46" s="147">
        <v>46259</v>
      </c>
      <c r="AA46" s="147">
        <v>46280</v>
      </c>
      <c r="AB46" s="147">
        <v>46294</v>
      </c>
      <c r="AC46" s="147">
        <v>46324</v>
      </c>
      <c r="AD46" s="147">
        <v>46327</v>
      </c>
      <c r="AE46" s="147">
        <v>46330</v>
      </c>
      <c r="AF46" s="147">
        <v>46422</v>
      </c>
      <c r="AG46" s="147">
        <v>46437</v>
      </c>
      <c r="AH46" s="147">
        <v>46444</v>
      </c>
      <c r="AI46" s="147">
        <v>46447</v>
      </c>
      <c r="AJ46" s="147">
        <v>46474</v>
      </c>
      <c r="AK46" s="149">
        <v>28</v>
      </c>
      <c r="AL46" s="150">
        <v>196</v>
      </c>
      <c r="AM46" s="151">
        <v>46444</v>
      </c>
      <c r="AN46" s="151">
        <v>46476</v>
      </c>
      <c r="AO46" s="225">
        <f>AN46-AM47</f>
        <v>32</v>
      </c>
      <c r="AP46" s="235" t="s">
        <v>159</v>
      </c>
      <c r="AQ46" s="447"/>
      <c r="AR46" s="154">
        <f>IF(ISERROR(LOOKUP(AR$10,$O46:$AQ46,#REF!)),0,(LOOKUP(AR$10,$O46:$AQ46,#REF!)))</f>
        <v>0</v>
      </c>
      <c r="AS46" s="155">
        <f>IF(ISERROR(LOOKUP(AS$10,$O46:$AQ46,#REF!)),0,(LOOKUP(AS$10,$O46:$AQ46,#REF!)))</f>
        <v>0</v>
      </c>
      <c r="AT46" s="155">
        <f>IF(ISERROR(LOOKUP(AT$10,$O46:$AQ46,#REF!)),0,(LOOKUP(AT$10,$O46:$AQ46,#REF!)))</f>
        <v>0</v>
      </c>
      <c r="AU46" s="155">
        <f>IF(ISERROR(LOOKUP(AU$10,$O46:$AQ46,#REF!)),0,(LOOKUP(AU$10,$O46:$AQ46,#REF!)))</f>
        <v>0</v>
      </c>
      <c r="AV46" s="155">
        <f>IF(ISERROR(LOOKUP(AV$10,$O46:$AQ46,#REF!)),0,(LOOKUP(AV$10,$O46:$AQ46,#REF!)))</f>
        <v>0</v>
      </c>
      <c r="AW46" s="155">
        <f>IF(ISERROR(LOOKUP(AW$10,$O46:$AQ46,#REF!)),0,(LOOKUP(AW$10,$O46:$AQ46,#REF!)))</f>
        <v>0</v>
      </c>
      <c r="AX46" s="155">
        <f>IF(ISERROR(LOOKUP(AX$10,$O46:$AQ46,#REF!)),0,(LOOKUP(AX$10,$O46:$AQ46,#REF!)))</f>
        <v>0</v>
      </c>
      <c r="AY46" s="155">
        <f>IF(ISERROR(LOOKUP(AY$10,$O46:$AQ46,#REF!)),0,(LOOKUP(AY$10,$O46:$AQ46,#REF!)))</f>
        <v>0</v>
      </c>
      <c r="AZ46" s="155">
        <f>IF(ISERROR(LOOKUP(AZ$10,$O46:$AQ46,#REF!)),0,(LOOKUP(AZ$10,$O46:$AQ46,#REF!)))</f>
        <v>0</v>
      </c>
      <c r="BA46" s="155">
        <f>IF(ISERROR(LOOKUP(BA$10,$O46:$AQ46,#REF!)),0,(LOOKUP(BA$10,$O46:$AQ46,#REF!)))</f>
        <v>0</v>
      </c>
      <c r="BB46" s="155">
        <f ca="1">IF(ISERROR(LOOKUP(BB$10,$O46:$AQ46,#REF!)),0,(LOOKUP(BB$10,$O46:$AQ46,#REF!)))</f>
        <v>0</v>
      </c>
      <c r="BC46" s="156"/>
      <c r="BD46" s="176"/>
      <c r="BE46" s="176"/>
    </row>
    <row r="47" spans="1:57" s="78" customFormat="1" ht="15.4" thickTop="1" thickBot="1" x14ac:dyDescent="0.45">
      <c r="A47" s="459"/>
      <c r="B47" s="158" t="s">
        <v>153</v>
      </c>
      <c r="C47" s="241" t="s">
        <v>161</v>
      </c>
      <c r="D47" s="160" t="s">
        <v>162</v>
      </c>
      <c r="E47" s="161" t="s">
        <v>165</v>
      </c>
      <c r="F47" s="161"/>
      <c r="G47" s="204" t="s">
        <v>157</v>
      </c>
      <c r="H47" s="228" t="s">
        <v>158</v>
      </c>
      <c r="I47" s="159" t="s">
        <v>138</v>
      </c>
      <c r="J47" s="159" t="s">
        <v>95</v>
      </c>
      <c r="K47" s="159" t="s">
        <v>6</v>
      </c>
      <c r="L47" s="242" t="s">
        <v>166</v>
      </c>
      <c r="M47" s="165" t="s">
        <v>76</v>
      </c>
      <c r="N47" s="166" t="s">
        <v>84</v>
      </c>
      <c r="O47" s="167"/>
      <c r="P47" s="168"/>
      <c r="Q47" s="168"/>
      <c r="R47" s="168"/>
      <c r="S47" s="168"/>
      <c r="T47" s="168"/>
      <c r="U47" s="168"/>
      <c r="V47" s="168">
        <f>WORKDAY(U48,V8,IF(V12="China",'China Holidays'!$A$2:$A$84,'Thai Holidays'!$A$2:$A$65))</f>
        <v>46238</v>
      </c>
      <c r="W47" s="168"/>
      <c r="X47" s="168">
        <f>X46</f>
        <v>46248</v>
      </c>
      <c r="Y47" s="168">
        <f>WORKDAY(X47,Y8,IF(Y12="China",'China Holidays'!$A$2:$A$84,'Thai Holidays'!$A$2:$A$65))</f>
        <v>46252</v>
      </c>
      <c r="Z47" s="168">
        <f>WORKDAY(Y47,Z8,IF(Z12="China",'China Holidays'!$A$2:$A$84,'Thai Holidays'!$A$2:$A$65))</f>
        <v>46259</v>
      </c>
      <c r="AA47" s="168">
        <f>WORKDAY(Z47,AA8,IF(AA12="China",'China Holidays'!$A$2:$A$84,'Thai Holidays'!$A$2:$A$65))</f>
        <v>46280</v>
      </c>
      <c r="AB47" s="168">
        <f>WORKDAY(AA47,AB8,IF(AB12="China",'China Holidays'!$A$2:$A$84,'Thai Holidays'!$A$2:$A$65))</f>
        <v>46294</v>
      </c>
      <c r="AC47" s="168">
        <f>AB47+40</f>
        <v>46334</v>
      </c>
      <c r="AD47" s="168">
        <f>AC47+3</f>
        <v>46337</v>
      </c>
      <c r="AE47" s="168">
        <f>AD47+3</f>
        <v>46340</v>
      </c>
      <c r="AF47" s="168">
        <f>AG47-15</f>
        <v>46422</v>
      </c>
      <c r="AG47" s="168">
        <f>AH47-7</f>
        <v>46437</v>
      </c>
      <c r="AH47" s="168">
        <f>AM47</f>
        <v>46444</v>
      </c>
      <c r="AI47" s="168">
        <f>AM46+3</f>
        <v>46447</v>
      </c>
      <c r="AJ47" s="168">
        <f>AM46+30</f>
        <v>46474</v>
      </c>
      <c r="AK47" s="169"/>
      <c r="AL47" s="230"/>
      <c r="AM47" s="170">
        <f>X47+AL46</f>
        <v>46444</v>
      </c>
      <c r="AN47" s="170"/>
      <c r="AO47" s="171"/>
      <c r="AP47" s="172"/>
      <c r="AQ47" s="448"/>
      <c r="AR47" s="154">
        <f>IF(ISERROR(LOOKUP(AR$10,$O47:$AQ47,#REF!)),0,(LOOKUP(AR$10,$O47:$AQ47,#REF!)))</f>
        <v>0</v>
      </c>
      <c r="AS47" s="155">
        <f>IF(ISERROR(LOOKUP(AS$10,$O47:$AQ47,#REF!)),0,(LOOKUP(AS$10,$O47:$AQ47,#REF!)))</f>
        <v>0</v>
      </c>
      <c r="AT47" s="155">
        <f>IF(ISERROR(LOOKUP(AT$10,$O47:$AQ47,#REF!)),0,(LOOKUP(AT$10,$O47:$AQ47,#REF!)))</f>
        <v>0</v>
      </c>
      <c r="AU47" s="155">
        <f>IF(ISERROR(LOOKUP(AU$10,$O47:$AQ47,#REF!)),0,(LOOKUP(AU$10,$O47:$AQ47,#REF!)))</f>
        <v>0</v>
      </c>
      <c r="AV47" s="155">
        <f>IF(ISERROR(LOOKUP(AV$10,$O47:$AQ47,#REF!)),0,(LOOKUP(AV$10,$O47:$AQ47,#REF!)))</f>
        <v>0</v>
      </c>
      <c r="AW47" s="155">
        <f>IF(ISERROR(LOOKUP(AW$10,$O47:$AQ47,#REF!)),0,(LOOKUP(AW$10,$O47:$AQ47,#REF!)))</f>
        <v>0</v>
      </c>
      <c r="AX47" s="155">
        <f>IF(ISERROR(LOOKUP(AX$10,$O47:$AQ47,#REF!)),0,(LOOKUP(AX$10,$O47:$AQ47,#REF!)))</f>
        <v>0</v>
      </c>
      <c r="AY47" s="155">
        <f>IF(ISERROR(LOOKUP(AY$10,$O47:$AQ47,#REF!)),0,(LOOKUP(AY$10,$O47:$AQ47,#REF!)))</f>
        <v>0</v>
      </c>
      <c r="AZ47" s="155">
        <f>IF(ISERROR(LOOKUP(AZ$10,$O47:$AQ47,#REF!)),0,(LOOKUP(AZ$10,$O47:$AQ47,#REF!)))</f>
        <v>0</v>
      </c>
      <c r="BA47" s="155">
        <f>IF(ISERROR(LOOKUP(BA$10,$O47:$AQ47,#REF!)),0,(LOOKUP(BA$10,$O47:$AQ47,#REF!)))</f>
        <v>0</v>
      </c>
      <c r="BB47" s="155">
        <f ca="1">IF(ISERROR(LOOKUP(BB$10,$O47:$AQ47,#REF!)),0,(LOOKUP(BB$10,$O47:$AQ47,#REF!)))</f>
        <v>0</v>
      </c>
      <c r="BC47" s="156"/>
      <c r="BD47" s="176"/>
      <c r="BE47" s="176"/>
    </row>
    <row r="48" spans="1:57" s="78" customFormat="1" ht="15.4" thickTop="1" thickBot="1" x14ac:dyDescent="0.45">
      <c r="A48" s="460"/>
      <c r="B48" s="177" t="s">
        <v>153</v>
      </c>
      <c r="C48" s="237" t="s">
        <v>161</v>
      </c>
      <c r="D48" s="237" t="s">
        <v>162</v>
      </c>
      <c r="E48" s="243"/>
      <c r="F48" s="243"/>
      <c r="G48" s="209" t="s">
        <v>157</v>
      </c>
      <c r="H48" s="182" t="s">
        <v>158</v>
      </c>
      <c r="I48" s="178" t="s">
        <v>138</v>
      </c>
      <c r="J48" s="178" t="s">
        <v>95</v>
      </c>
      <c r="K48" s="178" t="s">
        <v>6</v>
      </c>
      <c r="L48" s="244" t="s">
        <v>167</v>
      </c>
      <c r="M48" s="184" t="s">
        <v>76</v>
      </c>
      <c r="N48" s="185" t="s">
        <v>87</v>
      </c>
      <c r="O48" s="186">
        <v>46174</v>
      </c>
      <c r="P48" s="186">
        <v>46148</v>
      </c>
      <c r="Q48" s="186">
        <v>46165</v>
      </c>
      <c r="R48" s="186">
        <v>46174</v>
      </c>
      <c r="S48" s="186">
        <v>46174</v>
      </c>
      <c r="T48" s="186">
        <v>46200</v>
      </c>
      <c r="U48" s="186">
        <v>46220</v>
      </c>
      <c r="V48" s="186"/>
      <c r="W48" s="186"/>
      <c r="X48" s="186"/>
      <c r="Y48" s="186"/>
      <c r="Z48" s="186"/>
      <c r="AA48" s="186"/>
      <c r="AB48" s="186"/>
      <c r="AC48" s="186"/>
      <c r="AD48" s="186"/>
      <c r="AE48" s="186"/>
      <c r="AF48" s="186"/>
      <c r="AG48" s="186"/>
      <c r="AH48" s="186"/>
      <c r="AI48" s="186"/>
      <c r="AJ48" s="186"/>
      <c r="AK48" s="188"/>
      <c r="AL48" s="211"/>
      <c r="AM48" s="187"/>
      <c r="AN48" s="187"/>
      <c r="AO48" s="189"/>
      <c r="AP48" s="190"/>
      <c r="AQ48" s="449"/>
      <c r="AR48" s="191">
        <f>IF(ISERROR(LOOKUP(AR$10,$O48:$AQ48,#REF!)),0,(LOOKUP(AR$10,$O48:$AQ48,#REF!)))</f>
        <v>0</v>
      </c>
      <c r="AS48" s="192">
        <f>IF(ISERROR(LOOKUP(AS$10,$O48:$AQ48,#REF!)),0,(LOOKUP(AS$10,$O48:$AQ48,#REF!)))</f>
        <v>0</v>
      </c>
      <c r="AT48" s="192">
        <f>IF(ISERROR(LOOKUP(AT$10,$O48:$AQ48,#REF!)),0,(LOOKUP(AT$10,$O48:$AQ48,#REF!)))</f>
        <v>0</v>
      </c>
      <c r="AU48" s="192">
        <f>IF(ISERROR(LOOKUP(AU$10,$O48:$AQ48,#REF!)),0,(LOOKUP(AU$10,$O48:$AQ48,#REF!)))</f>
        <v>0</v>
      </c>
      <c r="AV48" s="192">
        <f>IF(ISERROR(LOOKUP(AV$10,$O48:$AQ48,#REF!)),0,(LOOKUP(AV$10,$O48:$AQ48,#REF!)))</f>
        <v>0</v>
      </c>
      <c r="AW48" s="192">
        <f>IF(ISERROR(LOOKUP(AW$10,$O48:$AQ48,#REF!)),0,(LOOKUP(AW$10,$O48:$AQ48,#REF!)))</f>
        <v>0</v>
      </c>
      <c r="AX48" s="192">
        <f>IF(ISERROR(LOOKUP(AX$10,$O48:$AQ48,#REF!)),0,(LOOKUP(AX$10,$O48:$AQ48,#REF!)))</f>
        <v>0</v>
      </c>
      <c r="AY48" s="192">
        <f>IF(ISERROR(LOOKUP(AY$10,$O48:$AQ48,#REF!)),0,(LOOKUP(AY$10,$O48:$AQ48,#REF!)))</f>
        <v>0</v>
      </c>
      <c r="AZ48" s="192">
        <f>IF(ISERROR(LOOKUP(AZ$10,$O48:$AQ48,#REF!)),0,(LOOKUP(AZ$10,$O48:$AQ48,#REF!)))</f>
        <v>0</v>
      </c>
      <c r="BA48" s="192">
        <f>IF(ISERROR(LOOKUP(BA$10,$O48:$AQ48,#REF!)),0,(LOOKUP(BA$10,$O48:$AQ48,#REF!)))</f>
        <v>0</v>
      </c>
      <c r="BB48" s="192">
        <f ca="1">IF(ISERROR(LOOKUP(BB$10,$O48:$AQ48,#REF!)),0,(LOOKUP(BB$10,$O48:$AQ48,#REF!)))</f>
        <v>0</v>
      </c>
      <c r="BC48" s="156"/>
      <c r="BD48" s="176"/>
      <c r="BE48" s="176"/>
    </row>
    <row r="49" spans="1:57" s="78" customFormat="1" ht="16.5" customHeight="1" thickTop="1" thickBot="1" x14ac:dyDescent="0.45">
      <c r="A49" s="458">
        <f t="shared" ref="A49" si="10">A46+1</f>
        <v>13</v>
      </c>
      <c r="B49" s="139" t="s">
        <v>153</v>
      </c>
      <c r="C49" s="140" t="s">
        <v>168</v>
      </c>
      <c r="D49" s="233" t="s">
        <v>169</v>
      </c>
      <c r="E49" s="202"/>
      <c r="F49" s="202" t="s">
        <v>136</v>
      </c>
      <c r="G49" s="427" t="s">
        <v>170</v>
      </c>
      <c r="H49" s="143" t="s">
        <v>158</v>
      </c>
      <c r="I49" s="140" t="s">
        <v>138</v>
      </c>
      <c r="J49" s="140" t="s">
        <v>95</v>
      </c>
      <c r="K49" s="140" t="s">
        <v>6</v>
      </c>
      <c r="L49" s="234"/>
      <c r="M49" s="145" t="s">
        <v>76</v>
      </c>
      <c r="N49" s="146" t="s">
        <v>77</v>
      </c>
      <c r="O49" s="147">
        <v>46174</v>
      </c>
      <c r="P49" s="147">
        <v>46177</v>
      </c>
      <c r="Q49" s="147">
        <v>46185</v>
      </c>
      <c r="R49" s="147">
        <v>46185</v>
      </c>
      <c r="S49" s="147">
        <v>46185</v>
      </c>
      <c r="T49" s="147">
        <v>46202</v>
      </c>
      <c r="U49" s="147">
        <v>46219</v>
      </c>
      <c r="V49" s="147">
        <v>46237</v>
      </c>
      <c r="W49" s="147"/>
      <c r="X49" s="148">
        <v>46248</v>
      </c>
      <c r="Y49" s="147">
        <v>46252</v>
      </c>
      <c r="Z49" s="147">
        <v>46259</v>
      </c>
      <c r="AA49" s="147">
        <v>46280</v>
      </c>
      <c r="AB49" s="147">
        <v>46294</v>
      </c>
      <c r="AC49" s="147">
        <v>46324</v>
      </c>
      <c r="AD49" s="147">
        <v>46327</v>
      </c>
      <c r="AE49" s="147">
        <v>46330</v>
      </c>
      <c r="AF49" s="147">
        <v>46422</v>
      </c>
      <c r="AG49" s="147">
        <v>46437</v>
      </c>
      <c r="AH49" s="147">
        <v>46444</v>
      </c>
      <c r="AI49" s="147">
        <v>46447</v>
      </c>
      <c r="AJ49" s="147">
        <v>46474</v>
      </c>
      <c r="AK49" s="149">
        <v>28</v>
      </c>
      <c r="AL49" s="150">
        <v>196</v>
      </c>
      <c r="AM49" s="151">
        <v>46444</v>
      </c>
      <c r="AN49" s="151">
        <v>46476</v>
      </c>
      <c r="AO49" s="225">
        <f>AN49-AM50</f>
        <v>32</v>
      </c>
      <c r="AP49" s="235" t="s">
        <v>171</v>
      </c>
      <c r="AQ49" s="447"/>
      <c r="AR49" s="154">
        <f>IF(ISERROR(LOOKUP(AR$10,$O49:$AQ49,#REF!)),0,(LOOKUP(AR$10,$O49:$AQ49,#REF!)))</f>
        <v>0</v>
      </c>
      <c r="AS49" s="155">
        <f>IF(ISERROR(LOOKUP(AS$10,$O49:$AQ49,#REF!)),0,(LOOKUP(AS$10,$O49:$AQ49,#REF!)))</f>
        <v>0</v>
      </c>
      <c r="AT49" s="155">
        <f>IF(ISERROR(LOOKUP(AT$10,$O49:$AQ49,#REF!)),0,(LOOKUP(AT$10,$O49:$AQ49,#REF!)))</f>
        <v>0</v>
      </c>
      <c r="AU49" s="155">
        <f>IF(ISERROR(LOOKUP(AU$10,$O49:$AQ49,#REF!)),0,(LOOKUP(AU$10,$O49:$AQ49,#REF!)))</f>
        <v>0</v>
      </c>
      <c r="AV49" s="155">
        <f>IF(ISERROR(LOOKUP(AV$10,$O49:$AQ49,#REF!)),0,(LOOKUP(AV$10,$O49:$AQ49,#REF!)))</f>
        <v>0</v>
      </c>
      <c r="AW49" s="155">
        <f>IF(ISERROR(LOOKUP(AW$10,$O49:$AQ49,#REF!)),0,(LOOKUP(AW$10,$O49:$AQ49,#REF!)))</f>
        <v>0</v>
      </c>
      <c r="AX49" s="155">
        <f>IF(ISERROR(LOOKUP(AX$10,$O49:$AQ49,#REF!)),0,(LOOKUP(AX$10,$O49:$AQ49,#REF!)))</f>
        <v>0</v>
      </c>
      <c r="AY49" s="155">
        <f>IF(ISERROR(LOOKUP(AY$10,$O49:$AQ49,#REF!)),0,(LOOKUP(AY$10,$O49:$AQ49,#REF!)))</f>
        <v>0</v>
      </c>
      <c r="AZ49" s="155">
        <f>IF(ISERROR(LOOKUP(AZ$10,$O49:$AQ49,#REF!)),0,(LOOKUP(AZ$10,$O49:$AQ49,#REF!)))</f>
        <v>0</v>
      </c>
      <c r="BA49" s="155">
        <f>IF(ISERROR(LOOKUP(BA$10,$O49:$AQ49,#REF!)),0,(LOOKUP(BA$10,$O49:$AQ49,#REF!)))</f>
        <v>0</v>
      </c>
      <c r="BB49" s="155">
        <f ca="1">IF(ISERROR(LOOKUP(BB$10,$O49:$AQ49,#REF!)),0,(LOOKUP(BB$10,$O49:$AQ49,#REF!)))</f>
        <v>0</v>
      </c>
      <c r="BC49" s="156" t="s">
        <v>80</v>
      </c>
      <c r="BD49" s="176" t="s">
        <v>172</v>
      </c>
      <c r="BE49" s="176"/>
    </row>
    <row r="50" spans="1:57" s="78" customFormat="1" ht="15.4" thickTop="1" thickBot="1" x14ac:dyDescent="0.45">
      <c r="A50" s="459"/>
      <c r="B50" s="158" t="s">
        <v>153</v>
      </c>
      <c r="C50" s="197" t="s">
        <v>168</v>
      </c>
      <c r="D50" s="160" t="s">
        <v>169</v>
      </c>
      <c r="E50" s="205"/>
      <c r="F50" s="205"/>
      <c r="G50" s="204" t="s">
        <v>170</v>
      </c>
      <c r="H50" s="228" t="s">
        <v>158</v>
      </c>
      <c r="I50" s="159" t="s">
        <v>138</v>
      </c>
      <c r="J50" s="159" t="s">
        <v>95</v>
      </c>
      <c r="K50" s="159" t="s">
        <v>6</v>
      </c>
      <c r="L50" s="245"/>
      <c r="M50" s="165" t="s">
        <v>76</v>
      </c>
      <c r="N50" s="166" t="s">
        <v>84</v>
      </c>
      <c r="O50" s="167"/>
      <c r="P50" s="168"/>
      <c r="Q50" s="168"/>
      <c r="R50" s="168"/>
      <c r="S50" s="168"/>
      <c r="T50" s="168"/>
      <c r="U50" s="168"/>
      <c r="V50" s="168"/>
      <c r="W50" s="168"/>
      <c r="X50" s="168">
        <v>46248</v>
      </c>
      <c r="Y50" s="168">
        <f>WORKDAY(X50,Y8,IF(Y12="China",'China Holidays'!$A$2:$A$84,'Thai Holidays'!$A$2:$A$65))</f>
        <v>46252</v>
      </c>
      <c r="Z50" s="168">
        <f>WORKDAY(Y50,Z8,IF(Z12="China",'China Holidays'!$A$2:$A$84,'Thai Holidays'!$A$2:$A$65))</f>
        <v>46259</v>
      </c>
      <c r="AA50" s="168">
        <f>WORKDAY(Z50,AA8,IF(AA12="China",'China Holidays'!$A$2:$A$84,'Thai Holidays'!$A$2:$A$65))</f>
        <v>46280</v>
      </c>
      <c r="AB50" s="168">
        <f>WORKDAY(AA50,AB8,IF(AB12="China",'China Holidays'!$A$2:$A$84,'Thai Holidays'!$A$2:$A$65))</f>
        <v>46294</v>
      </c>
      <c r="AC50" s="168">
        <f>AB50+40</f>
        <v>46334</v>
      </c>
      <c r="AD50" s="168">
        <f>AC50+3</f>
        <v>46337</v>
      </c>
      <c r="AE50" s="168">
        <f>AD50+3</f>
        <v>46340</v>
      </c>
      <c r="AF50" s="168">
        <f>AG50-15</f>
        <v>46422</v>
      </c>
      <c r="AG50" s="168">
        <f>AH50-7</f>
        <v>46437</v>
      </c>
      <c r="AH50" s="168">
        <f>AM50</f>
        <v>46444</v>
      </c>
      <c r="AI50" s="168">
        <f>AM49+3</f>
        <v>46447</v>
      </c>
      <c r="AJ50" s="168">
        <f>AM49+30</f>
        <v>46474</v>
      </c>
      <c r="AK50" s="199"/>
      <c r="AL50" s="206"/>
      <c r="AM50" s="170">
        <f>X50+AL49</f>
        <v>46444</v>
      </c>
      <c r="AN50" s="170"/>
      <c r="AO50" s="171"/>
      <c r="AP50" s="172"/>
      <c r="AQ50" s="448"/>
      <c r="AR50" s="154">
        <f>IF(ISERROR(LOOKUP(AR$10,$O50:$AQ50,#REF!)),0,(LOOKUP(AR$10,$O50:$AQ50,#REF!)))</f>
        <v>0</v>
      </c>
      <c r="AS50" s="155">
        <f>IF(ISERROR(LOOKUP(AS$10,$O50:$AQ50,#REF!)),0,(LOOKUP(AS$10,$O50:$AQ50,#REF!)))</f>
        <v>0</v>
      </c>
      <c r="AT50" s="155">
        <f>IF(ISERROR(LOOKUP(AT$10,$O50:$AQ50,#REF!)),0,(LOOKUP(AT$10,$O50:$AQ50,#REF!)))</f>
        <v>0</v>
      </c>
      <c r="AU50" s="155">
        <f>IF(ISERROR(LOOKUP(AU$10,$O50:$AQ50,#REF!)),0,(LOOKUP(AU$10,$O50:$AQ50,#REF!)))</f>
        <v>0</v>
      </c>
      <c r="AV50" s="155">
        <f>IF(ISERROR(LOOKUP(AV$10,$O50:$AQ50,#REF!)),0,(LOOKUP(AV$10,$O50:$AQ50,#REF!)))</f>
        <v>0</v>
      </c>
      <c r="AW50" s="155">
        <f>IF(ISERROR(LOOKUP(AW$10,$O50:$AQ50,#REF!)),0,(LOOKUP(AW$10,$O50:$AQ50,#REF!)))</f>
        <v>0</v>
      </c>
      <c r="AX50" s="155">
        <f>IF(ISERROR(LOOKUP(AX$10,$O50:$AQ50,#REF!)),0,(LOOKUP(AX$10,$O50:$AQ50,#REF!)))</f>
        <v>0</v>
      </c>
      <c r="AY50" s="155">
        <f>IF(ISERROR(LOOKUP(AY$10,$O50:$AQ50,#REF!)),0,(LOOKUP(AY$10,$O50:$AQ50,#REF!)))</f>
        <v>0</v>
      </c>
      <c r="AZ50" s="155">
        <f>IF(ISERROR(LOOKUP(AZ$10,$O50:$AQ50,#REF!)),0,(LOOKUP(AZ$10,$O50:$AQ50,#REF!)))</f>
        <v>0</v>
      </c>
      <c r="BA50" s="155">
        <f>IF(ISERROR(LOOKUP(BA$10,$O50:$AQ50,#REF!)),0,(LOOKUP(BA$10,$O50:$AQ50,#REF!)))</f>
        <v>0</v>
      </c>
      <c r="BB50" s="155">
        <f ca="1">IF(ISERROR(LOOKUP(BB$10,$O50:$AQ50,#REF!)),0,(LOOKUP(BB$10,$O50:$AQ50,#REF!)))</f>
        <v>0</v>
      </c>
      <c r="BC50" s="156" t="s">
        <v>85</v>
      </c>
      <c r="BD50" s="176" t="s">
        <v>173</v>
      </c>
      <c r="BE50" s="176"/>
    </row>
    <row r="51" spans="1:57" s="78" customFormat="1" ht="15.4" thickTop="1" thickBot="1" x14ac:dyDescent="0.45">
      <c r="A51" s="460"/>
      <c r="B51" s="177" t="s">
        <v>153</v>
      </c>
      <c r="C51" s="178" t="s">
        <v>168</v>
      </c>
      <c r="D51" s="237" t="s">
        <v>169</v>
      </c>
      <c r="E51" s="208"/>
      <c r="F51" s="208"/>
      <c r="G51" s="209" t="s">
        <v>170</v>
      </c>
      <c r="H51" s="182" t="s">
        <v>158</v>
      </c>
      <c r="I51" s="178" t="s">
        <v>138</v>
      </c>
      <c r="J51" s="178" t="s">
        <v>95</v>
      </c>
      <c r="K51" s="178" t="s">
        <v>6</v>
      </c>
      <c r="L51" s="246"/>
      <c r="M51" s="184" t="s">
        <v>76</v>
      </c>
      <c r="N51" s="185" t="s">
        <v>87</v>
      </c>
      <c r="O51" s="186">
        <v>46174</v>
      </c>
      <c r="P51" s="186">
        <v>46148</v>
      </c>
      <c r="Q51" s="186">
        <v>46165</v>
      </c>
      <c r="R51" s="186">
        <v>46178</v>
      </c>
      <c r="S51" s="186">
        <v>46178</v>
      </c>
      <c r="T51" s="186">
        <v>46198</v>
      </c>
      <c r="U51" s="186">
        <v>46219</v>
      </c>
      <c r="V51" s="186">
        <v>46234</v>
      </c>
      <c r="W51" s="186"/>
      <c r="X51" s="186"/>
      <c r="Y51" s="186"/>
      <c r="Z51" s="186"/>
      <c r="AA51" s="186"/>
      <c r="AB51" s="186"/>
      <c r="AC51" s="186"/>
      <c r="AD51" s="186"/>
      <c r="AE51" s="186"/>
      <c r="AF51" s="186"/>
      <c r="AG51" s="186"/>
      <c r="AH51" s="186"/>
      <c r="AI51" s="186"/>
      <c r="AJ51" s="186"/>
      <c r="AK51" s="188"/>
      <c r="AL51" s="211"/>
      <c r="AM51" s="187"/>
      <c r="AN51" s="187"/>
      <c r="AO51" s="189"/>
      <c r="AP51" s="190"/>
      <c r="AQ51" s="449"/>
      <c r="AR51" s="191">
        <f>IF(ISERROR(LOOKUP(AR$10,$O51:$AQ51,#REF!)),0,(LOOKUP(AR$10,$O51:$AQ51,#REF!)))</f>
        <v>0</v>
      </c>
      <c r="AS51" s="192">
        <f>IF(ISERROR(LOOKUP(AS$10,$O51:$AQ51,#REF!)),0,(LOOKUP(AS$10,$O51:$AQ51,#REF!)))</f>
        <v>0</v>
      </c>
      <c r="AT51" s="192">
        <f>IF(ISERROR(LOOKUP(AT$10,$O51:$AQ51,#REF!)),0,(LOOKUP(AT$10,$O51:$AQ51,#REF!)))</f>
        <v>0</v>
      </c>
      <c r="AU51" s="192">
        <f>IF(ISERROR(LOOKUP(AU$10,$O51:$AQ51,#REF!)),0,(LOOKUP(AU$10,$O51:$AQ51,#REF!)))</f>
        <v>0</v>
      </c>
      <c r="AV51" s="192">
        <f>IF(ISERROR(LOOKUP(AV$10,$O51:$AQ51,#REF!)),0,(LOOKUP(AV$10,$O51:$AQ51,#REF!)))</f>
        <v>0</v>
      </c>
      <c r="AW51" s="192">
        <f>IF(ISERROR(LOOKUP(AW$10,$O51:$AQ51,#REF!)),0,(LOOKUP(AW$10,$O51:$AQ51,#REF!)))</f>
        <v>0</v>
      </c>
      <c r="AX51" s="192">
        <f>IF(ISERROR(LOOKUP(AX$10,$O51:$AQ51,#REF!)),0,(LOOKUP(AX$10,$O51:$AQ51,#REF!)))</f>
        <v>0</v>
      </c>
      <c r="AY51" s="192">
        <f>IF(ISERROR(LOOKUP(AY$10,$O51:$AQ51,#REF!)),0,(LOOKUP(AY$10,$O51:$AQ51,#REF!)))</f>
        <v>0</v>
      </c>
      <c r="AZ51" s="192">
        <f>IF(ISERROR(LOOKUP(AZ$10,$O51:$AQ51,#REF!)),0,(LOOKUP(AZ$10,$O51:$AQ51,#REF!)))</f>
        <v>0</v>
      </c>
      <c r="BA51" s="192">
        <f>IF(ISERROR(LOOKUP(BA$10,$O51:$AQ51,#REF!)),0,(LOOKUP(BA$10,$O51:$AQ51,#REF!)))</f>
        <v>0</v>
      </c>
      <c r="BB51" s="192">
        <f ca="1">IF(ISERROR(LOOKUP(BB$10,$O51:$AQ51,#REF!)),0,(LOOKUP(BB$10,$O51:$AQ51,#REF!)))</f>
        <v>0</v>
      </c>
      <c r="BC51" s="156" t="s">
        <v>88</v>
      </c>
      <c r="BD51" s="176" t="s">
        <v>174</v>
      </c>
      <c r="BE51" s="176"/>
    </row>
    <row r="52" spans="1:57" s="78" customFormat="1" ht="15.4" thickTop="1" thickBot="1" x14ac:dyDescent="0.45">
      <c r="A52" s="458">
        <v>14</v>
      </c>
      <c r="B52" s="139" t="s">
        <v>153</v>
      </c>
      <c r="C52" s="247" t="s">
        <v>175</v>
      </c>
      <c r="D52" s="233" t="s">
        <v>176</v>
      </c>
      <c r="E52" s="202"/>
      <c r="F52" s="202" t="s">
        <v>177</v>
      </c>
      <c r="G52" s="427" t="s">
        <v>170</v>
      </c>
      <c r="H52" s="143" t="s">
        <v>158</v>
      </c>
      <c r="I52" s="140" t="s">
        <v>138</v>
      </c>
      <c r="J52" s="140" t="s">
        <v>95</v>
      </c>
      <c r="K52" s="140" t="s">
        <v>6</v>
      </c>
      <c r="L52" s="248" t="s">
        <v>178</v>
      </c>
      <c r="M52" s="145" t="s">
        <v>76</v>
      </c>
      <c r="N52" s="146" t="s">
        <v>77</v>
      </c>
      <c r="O52" s="147">
        <v>46174</v>
      </c>
      <c r="P52" s="147">
        <v>46177</v>
      </c>
      <c r="Q52" s="147">
        <v>46185</v>
      </c>
      <c r="R52" s="147">
        <v>46185</v>
      </c>
      <c r="S52" s="147">
        <v>46185</v>
      </c>
      <c r="T52" s="147">
        <v>46202</v>
      </c>
      <c r="U52" s="147">
        <v>46219</v>
      </c>
      <c r="V52" s="148">
        <v>46237</v>
      </c>
      <c r="W52" s="147"/>
      <c r="X52" s="147">
        <v>46248</v>
      </c>
      <c r="Y52" s="147">
        <v>46252</v>
      </c>
      <c r="Z52" s="147">
        <v>46259</v>
      </c>
      <c r="AA52" s="147">
        <v>46280</v>
      </c>
      <c r="AB52" s="147">
        <v>46294</v>
      </c>
      <c r="AC52" s="147">
        <v>46324</v>
      </c>
      <c r="AD52" s="147">
        <v>46327</v>
      </c>
      <c r="AE52" s="147">
        <v>46330</v>
      </c>
      <c r="AF52" s="147">
        <v>46422</v>
      </c>
      <c r="AG52" s="147">
        <v>46437</v>
      </c>
      <c r="AH52" s="147">
        <v>46444</v>
      </c>
      <c r="AI52" s="147">
        <v>46447</v>
      </c>
      <c r="AJ52" s="147">
        <v>46474</v>
      </c>
      <c r="AK52" s="149">
        <v>28</v>
      </c>
      <c r="AL52" s="150">
        <v>196</v>
      </c>
      <c r="AM52" s="151">
        <v>46444</v>
      </c>
      <c r="AN52" s="151">
        <v>46476</v>
      </c>
      <c r="AO52" s="225">
        <f>AN52-AM53</f>
        <v>32</v>
      </c>
      <c r="AP52" s="235" t="s">
        <v>171</v>
      </c>
      <c r="AQ52" s="447"/>
      <c r="AR52" s="154">
        <f>IF(ISERROR(LOOKUP(AR$10,$O52:$AQ52,#REF!)),0,(LOOKUP(AR$10,$O52:$AQ52,#REF!)))</f>
        <v>0</v>
      </c>
      <c r="AS52" s="155">
        <f>IF(ISERROR(LOOKUP(AS$10,$O52:$AQ52,#REF!)),0,(LOOKUP(AS$10,$O52:$AQ52,#REF!)))</f>
        <v>0</v>
      </c>
      <c r="AT52" s="155">
        <f>IF(ISERROR(LOOKUP(AT$10,$O52:$AQ52,#REF!)),0,(LOOKUP(AT$10,$O52:$AQ52,#REF!)))</f>
        <v>0</v>
      </c>
      <c r="AU52" s="155">
        <f>IF(ISERROR(LOOKUP(AU$10,$O52:$AQ52,#REF!)),0,(LOOKUP(AU$10,$O52:$AQ52,#REF!)))</f>
        <v>0</v>
      </c>
      <c r="AV52" s="155">
        <f>IF(ISERROR(LOOKUP(AV$10,$O52:$AQ52,#REF!)),0,(LOOKUP(AV$10,$O52:$AQ52,#REF!)))</f>
        <v>0</v>
      </c>
      <c r="AW52" s="155">
        <f>IF(ISERROR(LOOKUP(AW$10,$O52:$AQ52,#REF!)),0,(LOOKUP(AW$10,$O52:$AQ52,#REF!)))</f>
        <v>0</v>
      </c>
      <c r="AX52" s="155">
        <f>IF(ISERROR(LOOKUP(AX$10,$O52:$AQ52,#REF!)),0,(LOOKUP(AX$10,$O52:$AQ52,#REF!)))</f>
        <v>0</v>
      </c>
      <c r="AY52" s="155">
        <f>IF(ISERROR(LOOKUP(AY$10,$O52:$AQ52,#REF!)),0,(LOOKUP(AY$10,$O52:$AQ52,#REF!)))</f>
        <v>0</v>
      </c>
      <c r="AZ52" s="155">
        <f>IF(ISERROR(LOOKUP(AZ$10,$O52:$AQ52,#REF!)),0,(LOOKUP(AZ$10,$O52:$AQ52,#REF!)))</f>
        <v>0</v>
      </c>
      <c r="BA52" s="155">
        <f>IF(ISERROR(LOOKUP(BA$10,$O52:$AQ52,#REF!)),0,(LOOKUP(BA$10,$O52:$AQ52,#REF!)))</f>
        <v>0</v>
      </c>
      <c r="BB52" s="155">
        <f ca="1">IF(ISERROR(LOOKUP(BB$10,$O52:$AQ52,#REF!)),0,(LOOKUP(BB$10,$O52:$AQ52,#REF!)))</f>
        <v>0</v>
      </c>
      <c r="BC52" s="156"/>
      <c r="BD52" s="249" t="s">
        <v>172</v>
      </c>
      <c r="BE52" s="176"/>
    </row>
    <row r="53" spans="1:57" s="78" customFormat="1" ht="15.4" thickTop="1" thickBot="1" x14ac:dyDescent="0.45">
      <c r="A53" s="459"/>
      <c r="B53" s="158" t="s">
        <v>153</v>
      </c>
      <c r="C53" s="250" t="s">
        <v>175</v>
      </c>
      <c r="D53" s="160" t="s">
        <v>179</v>
      </c>
      <c r="E53" s="205"/>
      <c r="F53" s="205"/>
      <c r="G53" s="204" t="s">
        <v>170</v>
      </c>
      <c r="H53" s="228" t="s">
        <v>158</v>
      </c>
      <c r="I53" s="159" t="s">
        <v>138</v>
      </c>
      <c r="J53" s="159" t="s">
        <v>95</v>
      </c>
      <c r="K53" s="159" t="s">
        <v>6</v>
      </c>
      <c r="L53" s="204"/>
      <c r="M53" s="165" t="s">
        <v>76</v>
      </c>
      <c r="N53" s="166" t="s">
        <v>84</v>
      </c>
      <c r="O53" s="167"/>
      <c r="P53" s="168"/>
      <c r="Q53" s="168"/>
      <c r="R53" s="168"/>
      <c r="S53" s="168"/>
      <c r="T53" s="168"/>
      <c r="U53" s="168"/>
      <c r="V53" s="168">
        <v>46240</v>
      </c>
      <c r="W53" s="168"/>
      <c r="X53" s="168">
        <f>X52</f>
        <v>46248</v>
      </c>
      <c r="Y53" s="168">
        <f>WORKDAY(X53,Y8,IF(Y12="China",'China Holidays'!$A$2:$A$84,'Thai Holidays'!$A$2:$A$65))</f>
        <v>46252</v>
      </c>
      <c r="Z53" s="168">
        <f>WORKDAY(Y53,Z17,IF(Z21="China",'China Holidays'!$A$2:$A$84,'Thai Holidays'!$A$2:$A$65))</f>
        <v>46252</v>
      </c>
      <c r="AA53" s="168">
        <f>WORKDAY(Z53,AA17,IF(AA21="China",'China Holidays'!$A$2:$A$84,'Thai Holidays'!$A$2:$A$65))</f>
        <v>111040</v>
      </c>
      <c r="AB53" s="168">
        <f>WORKDAY(AA53,AB17,IF(AB21="China",'China Holidays'!$A$2:$A$84,'Thai Holidays'!$A$2:$A$65))</f>
        <v>175808</v>
      </c>
      <c r="AC53" s="168">
        <f>AB53+30</f>
        <v>175838</v>
      </c>
      <c r="AD53" s="168">
        <f>AC53+3</f>
        <v>175841</v>
      </c>
      <c r="AE53" s="168">
        <f>AD53+3</f>
        <v>175844</v>
      </c>
      <c r="AF53" s="168">
        <f>AG53-15</f>
        <v>46422</v>
      </c>
      <c r="AG53" s="168">
        <f>AH53-7</f>
        <v>46437</v>
      </c>
      <c r="AH53" s="168">
        <f>AM53</f>
        <v>46444</v>
      </c>
      <c r="AI53" s="168">
        <f>AM52+3</f>
        <v>46447</v>
      </c>
      <c r="AJ53" s="168">
        <f>AM52+30</f>
        <v>46474</v>
      </c>
      <c r="AK53" s="199"/>
      <c r="AL53" s="206"/>
      <c r="AM53" s="170">
        <f>X53+AL52</f>
        <v>46444</v>
      </c>
      <c r="AN53" s="170"/>
      <c r="AO53" s="171"/>
      <c r="AP53" s="172"/>
      <c r="AQ53" s="448"/>
      <c r="AR53" s="154">
        <f>IF(ISERROR(LOOKUP(AR$10,$O53:$AQ53,#REF!)),0,(LOOKUP(AR$10,$O53:$AQ53,#REF!)))</f>
        <v>0</v>
      </c>
      <c r="AS53" s="155">
        <f>IF(ISERROR(LOOKUP(AS$10,$O53:$AQ53,#REF!)),0,(LOOKUP(AS$10,$O53:$AQ53,#REF!)))</f>
        <v>0</v>
      </c>
      <c r="AT53" s="155">
        <f>IF(ISERROR(LOOKUP(AT$10,$O53:$AQ53,#REF!)),0,(LOOKUP(AT$10,$O53:$AQ53,#REF!)))</f>
        <v>0</v>
      </c>
      <c r="AU53" s="155">
        <f>IF(ISERROR(LOOKUP(AU$10,$O53:$AQ53,#REF!)),0,(LOOKUP(AU$10,$O53:$AQ53,#REF!)))</f>
        <v>0</v>
      </c>
      <c r="AV53" s="155">
        <f>IF(ISERROR(LOOKUP(AV$10,$O53:$AQ53,#REF!)),0,(LOOKUP(AV$10,$O53:$AQ53,#REF!)))</f>
        <v>0</v>
      </c>
      <c r="AW53" s="155">
        <f>IF(ISERROR(LOOKUP(AW$10,$O53:$AQ53,#REF!)),0,(LOOKUP(AW$10,$O53:$AQ53,#REF!)))</f>
        <v>0</v>
      </c>
      <c r="AX53" s="155">
        <f>IF(ISERROR(LOOKUP(AX$10,$O53:$AQ53,#REF!)),0,(LOOKUP(AX$10,$O53:$AQ53,#REF!)))</f>
        <v>0</v>
      </c>
      <c r="AY53" s="155">
        <f>IF(ISERROR(LOOKUP(AY$10,$O53:$AQ53,#REF!)),0,(LOOKUP(AY$10,$O53:$AQ53,#REF!)))</f>
        <v>0</v>
      </c>
      <c r="AZ53" s="155">
        <f>IF(ISERROR(LOOKUP(AZ$10,$O53:$AQ53,#REF!)),0,(LOOKUP(AZ$10,$O53:$AQ53,#REF!)))</f>
        <v>0</v>
      </c>
      <c r="BA53" s="155">
        <f>IF(ISERROR(LOOKUP(BA$10,$O53:$AQ53,#REF!)),0,(LOOKUP(BA$10,$O53:$AQ53,#REF!)))</f>
        <v>0</v>
      </c>
      <c r="BB53" s="155">
        <f ca="1">IF(ISERROR(LOOKUP(BB$10,$O53:$AQ53,#REF!)),0,(LOOKUP(BB$10,$O53:$AQ53,#REF!)))</f>
        <v>0</v>
      </c>
      <c r="BC53" s="156"/>
      <c r="BD53" s="176"/>
      <c r="BE53" s="176"/>
    </row>
    <row r="54" spans="1:57" s="78" customFormat="1" ht="15.4" thickTop="1" thickBot="1" x14ac:dyDescent="0.45">
      <c r="A54" s="460"/>
      <c r="B54" s="177" t="s">
        <v>153</v>
      </c>
      <c r="C54" s="251" t="s">
        <v>175</v>
      </c>
      <c r="D54" s="237" t="s">
        <v>179</v>
      </c>
      <c r="E54" s="208"/>
      <c r="F54" s="208"/>
      <c r="G54" s="209" t="s">
        <v>170</v>
      </c>
      <c r="H54" s="182" t="s">
        <v>158</v>
      </c>
      <c r="I54" s="178" t="s">
        <v>138</v>
      </c>
      <c r="J54" s="178" t="s">
        <v>95</v>
      </c>
      <c r="K54" s="178" t="s">
        <v>6</v>
      </c>
      <c r="L54" s="209"/>
      <c r="M54" s="184" t="s">
        <v>76</v>
      </c>
      <c r="N54" s="185" t="s">
        <v>87</v>
      </c>
      <c r="O54" s="186">
        <v>46174</v>
      </c>
      <c r="P54" s="186">
        <v>46148</v>
      </c>
      <c r="Q54" s="186">
        <v>46165</v>
      </c>
      <c r="R54" s="186">
        <v>46178</v>
      </c>
      <c r="S54" s="186">
        <v>46178</v>
      </c>
      <c r="T54" s="186">
        <v>46198</v>
      </c>
      <c r="U54" s="186">
        <v>46219</v>
      </c>
      <c r="V54" s="186"/>
      <c r="W54" s="186"/>
      <c r="X54" s="186"/>
      <c r="Y54" s="186"/>
      <c r="Z54" s="186"/>
      <c r="AA54" s="186"/>
      <c r="AB54" s="186"/>
      <c r="AC54" s="186"/>
      <c r="AD54" s="186"/>
      <c r="AE54" s="186"/>
      <c r="AF54" s="186"/>
      <c r="AG54" s="186"/>
      <c r="AH54" s="186"/>
      <c r="AI54" s="186"/>
      <c r="AJ54" s="186"/>
      <c r="AK54" s="188"/>
      <c r="AL54" s="211"/>
      <c r="AM54" s="187"/>
      <c r="AN54" s="187"/>
      <c r="AO54" s="189"/>
      <c r="AP54" s="190"/>
      <c r="AQ54" s="449"/>
      <c r="AR54" s="191">
        <f>IF(ISERROR(LOOKUP(AR$10,$O54:$AQ54,#REF!)),0,(LOOKUP(AR$10,$O54:$AQ54,#REF!)))</f>
        <v>0</v>
      </c>
      <c r="AS54" s="192">
        <f>IF(ISERROR(LOOKUP(AS$10,$O54:$AQ54,#REF!)),0,(LOOKUP(AS$10,$O54:$AQ54,#REF!)))</f>
        <v>0</v>
      </c>
      <c r="AT54" s="192">
        <f>IF(ISERROR(LOOKUP(AT$10,$O54:$AQ54,#REF!)),0,(LOOKUP(AT$10,$O54:$AQ54,#REF!)))</f>
        <v>0</v>
      </c>
      <c r="AU54" s="192">
        <f>IF(ISERROR(LOOKUP(AU$10,$O54:$AQ54,#REF!)),0,(LOOKUP(AU$10,$O54:$AQ54,#REF!)))</f>
        <v>0</v>
      </c>
      <c r="AV54" s="192">
        <f>IF(ISERROR(LOOKUP(AV$10,$O54:$AQ54,#REF!)),0,(LOOKUP(AV$10,$O54:$AQ54,#REF!)))</f>
        <v>0</v>
      </c>
      <c r="AW54" s="192">
        <f>IF(ISERROR(LOOKUP(AW$10,$O54:$AQ54,#REF!)),0,(LOOKUP(AW$10,$O54:$AQ54,#REF!)))</f>
        <v>0</v>
      </c>
      <c r="AX54" s="192">
        <f>IF(ISERROR(LOOKUP(AX$10,$O54:$AQ54,#REF!)),0,(LOOKUP(AX$10,$O54:$AQ54,#REF!)))</f>
        <v>0</v>
      </c>
      <c r="AY54" s="192">
        <f>IF(ISERROR(LOOKUP(AY$10,$O54:$AQ54,#REF!)),0,(LOOKUP(AY$10,$O54:$AQ54,#REF!)))</f>
        <v>0</v>
      </c>
      <c r="AZ54" s="192">
        <f>IF(ISERROR(LOOKUP(AZ$10,$O54:$AQ54,#REF!)),0,(LOOKUP(AZ$10,$O54:$AQ54,#REF!)))</f>
        <v>0</v>
      </c>
      <c r="BA54" s="192">
        <f>IF(ISERROR(LOOKUP(BA$10,$O54:$AQ54,#REF!)),0,(LOOKUP(BA$10,$O54:$AQ54,#REF!)))</f>
        <v>0</v>
      </c>
      <c r="BB54" s="192">
        <f ca="1">IF(ISERROR(LOOKUP(BB$10,$O54:$AQ54,#REF!)),0,(LOOKUP(BB$10,$O54:$AQ54,#REF!)))</f>
        <v>0</v>
      </c>
      <c r="BC54" s="156"/>
      <c r="BD54" s="176"/>
      <c r="BE54" s="176"/>
    </row>
    <row r="55" spans="1:57" s="78" customFormat="1" ht="15.4" thickTop="1" thickBot="1" x14ac:dyDescent="0.45">
      <c r="A55" s="458"/>
      <c r="B55" s="252" t="s">
        <v>153</v>
      </c>
      <c r="C55" s="253" t="s">
        <v>180</v>
      </c>
      <c r="D55" s="254" t="s">
        <v>181</v>
      </c>
      <c r="E55" s="202"/>
      <c r="F55" s="202" t="s">
        <v>70</v>
      </c>
      <c r="G55" s="427" t="s">
        <v>182</v>
      </c>
      <c r="H55" s="143" t="s">
        <v>158</v>
      </c>
      <c r="I55" s="140" t="s">
        <v>138</v>
      </c>
      <c r="J55" s="140" t="s">
        <v>95</v>
      </c>
      <c r="K55" s="140" t="s">
        <v>6</v>
      </c>
      <c r="L55" s="202" t="s">
        <v>183</v>
      </c>
      <c r="M55" s="145" t="s">
        <v>76</v>
      </c>
      <c r="N55" s="146" t="s">
        <v>77</v>
      </c>
      <c r="O55" s="147">
        <v>46174</v>
      </c>
      <c r="P55" s="147">
        <v>46177</v>
      </c>
      <c r="Q55" s="147">
        <v>46185</v>
      </c>
      <c r="R55" s="147">
        <v>46185</v>
      </c>
      <c r="S55" s="147">
        <v>46185</v>
      </c>
      <c r="T55" s="147">
        <v>46202</v>
      </c>
      <c r="U55" s="147">
        <v>46219</v>
      </c>
      <c r="V55" s="147">
        <v>46237</v>
      </c>
      <c r="W55" s="147"/>
      <c r="X55" s="147">
        <v>46248</v>
      </c>
      <c r="Y55" s="147">
        <v>46252</v>
      </c>
      <c r="Z55" s="147">
        <v>46259</v>
      </c>
      <c r="AA55" s="147">
        <v>46280</v>
      </c>
      <c r="AB55" s="147">
        <v>46294</v>
      </c>
      <c r="AC55" s="147">
        <v>46324</v>
      </c>
      <c r="AD55" s="147">
        <v>46327</v>
      </c>
      <c r="AE55" s="147">
        <v>46330</v>
      </c>
      <c r="AF55" s="147">
        <v>46422</v>
      </c>
      <c r="AG55" s="147">
        <v>46437</v>
      </c>
      <c r="AH55" s="147">
        <v>46444</v>
      </c>
      <c r="AI55" s="147">
        <v>46447</v>
      </c>
      <c r="AJ55" s="147">
        <v>46474</v>
      </c>
      <c r="AK55" s="149">
        <v>28</v>
      </c>
      <c r="AL55" s="150">
        <v>196</v>
      </c>
      <c r="AM55" s="151">
        <v>46444</v>
      </c>
      <c r="AN55" s="151">
        <v>46476</v>
      </c>
      <c r="AO55" s="225">
        <f>AN55-AM56</f>
        <v>32</v>
      </c>
      <c r="AP55" s="235" t="s">
        <v>171</v>
      </c>
      <c r="AQ55" s="447"/>
      <c r="AR55" s="154">
        <f>IF(ISERROR(LOOKUP(AR$10,$O55:$AQ55,#REF!)),0,(LOOKUP(AR$10,$O55:$AQ55,#REF!)))</f>
        <v>0</v>
      </c>
      <c r="AS55" s="155">
        <f>IF(ISERROR(LOOKUP(AS$10,$O55:$AQ55,#REF!)),0,(LOOKUP(AS$10,$O55:$AQ55,#REF!)))</f>
        <v>0</v>
      </c>
      <c r="AT55" s="155">
        <f>IF(ISERROR(LOOKUP(AT$10,$O55:$AQ55,#REF!)),0,(LOOKUP(AT$10,$O55:$AQ55,#REF!)))</f>
        <v>0</v>
      </c>
      <c r="AU55" s="155">
        <f>IF(ISERROR(LOOKUP(AU$10,$O55:$AQ55,#REF!)),0,(LOOKUP(AU$10,$O55:$AQ55,#REF!)))</f>
        <v>0</v>
      </c>
      <c r="AV55" s="155">
        <f>IF(ISERROR(LOOKUP(AV$10,$O55:$AQ55,#REF!)),0,(LOOKUP(AV$10,$O55:$AQ55,#REF!)))</f>
        <v>0</v>
      </c>
      <c r="AW55" s="155">
        <f>IF(ISERROR(LOOKUP(AW$10,$O55:$AQ55,#REF!)),0,(LOOKUP(AW$10,$O55:$AQ55,#REF!)))</f>
        <v>0</v>
      </c>
      <c r="AX55" s="155">
        <f>IF(ISERROR(LOOKUP(AX$10,$O55:$AQ55,#REF!)),0,(LOOKUP(AX$10,$O55:$AQ55,#REF!)))</f>
        <v>0</v>
      </c>
      <c r="AY55" s="155">
        <f>IF(ISERROR(LOOKUP(AY$10,$O55:$AQ55,#REF!)),0,(LOOKUP(AY$10,$O55:$AQ55,#REF!)))</f>
        <v>0</v>
      </c>
      <c r="AZ55" s="155">
        <f>IF(ISERROR(LOOKUP(AZ$10,$O55:$AQ55,#REF!)),0,(LOOKUP(AZ$10,$O55:$AQ55,#REF!)))</f>
        <v>0</v>
      </c>
      <c r="BA55" s="155">
        <f>IF(ISERROR(LOOKUP(BA$10,$O55:$AQ55,#REF!)),0,(LOOKUP(BA$10,$O55:$AQ55,#REF!)))</f>
        <v>0</v>
      </c>
      <c r="BB55" s="155">
        <f ca="1">IF(ISERROR(LOOKUP(BB$10,$O55:$AQ55,#REF!)),0,(LOOKUP(BB$10,$O55:$AQ55,#REF!)))</f>
        <v>0</v>
      </c>
      <c r="BC55" s="156"/>
      <c r="BD55" s="176"/>
      <c r="BE55" s="176"/>
    </row>
    <row r="56" spans="1:57" s="78" customFormat="1" ht="15.4" thickTop="1" thickBot="1" x14ac:dyDescent="0.45">
      <c r="A56" s="459"/>
      <c r="B56" s="255" t="s">
        <v>153</v>
      </c>
      <c r="C56" s="256" t="s">
        <v>180</v>
      </c>
      <c r="D56" s="257" t="s">
        <v>181</v>
      </c>
      <c r="E56" s="205"/>
      <c r="F56" s="205"/>
      <c r="G56" s="204" t="s">
        <v>182</v>
      </c>
      <c r="H56" s="228" t="s">
        <v>158</v>
      </c>
      <c r="I56" s="159" t="s">
        <v>138</v>
      </c>
      <c r="J56" s="159" t="s">
        <v>95</v>
      </c>
      <c r="K56" s="159" t="s">
        <v>6</v>
      </c>
      <c r="L56" s="205"/>
      <c r="M56" s="165" t="s">
        <v>76</v>
      </c>
      <c r="N56" s="166" t="s">
        <v>84</v>
      </c>
      <c r="O56" s="167"/>
      <c r="P56" s="168"/>
      <c r="Q56" s="168"/>
      <c r="R56" s="168"/>
      <c r="S56" s="168"/>
      <c r="T56" s="168"/>
      <c r="U56" s="168">
        <f>U55</f>
        <v>46219</v>
      </c>
      <c r="V56" s="168">
        <f>WORKDAY(U56,V8,IF(V12="China",'China Holidays'!$A$2:$A$84,'Thai Holidays'!$A$2:$A$65))</f>
        <v>46237</v>
      </c>
      <c r="W56" s="168"/>
      <c r="X56" s="168">
        <f>WORKDAY(V56,X8,IF(X12="China",'China Holidays'!$A$2:$A$84,'Thai Holidays'!$A$2:$A$65))</f>
        <v>46248</v>
      </c>
      <c r="Y56" s="168">
        <f>WORKDAY(X56,Y8,IF(Y12="China",'China Holidays'!$A$2:$A$84,'Thai Holidays'!$A$2:$A$65))</f>
        <v>46252</v>
      </c>
      <c r="Z56" s="168">
        <f>WORKDAY(Y56,Z8,IF(Z12="China",'China Holidays'!$A$2:$A$84,'Thai Holidays'!$A$2:$A$65))</f>
        <v>46259</v>
      </c>
      <c r="AA56" s="168">
        <f>WORKDAY(Z56,AA8,IF(AA12="China",'China Holidays'!$A$2:$A$84,'Thai Holidays'!$A$2:$A$65))</f>
        <v>46280</v>
      </c>
      <c r="AB56" s="168">
        <f>WORKDAY(AA56,AB8,IF(AB12="China",'China Holidays'!$A$2:$A$84,'Thai Holidays'!$A$2:$A$65))</f>
        <v>46294</v>
      </c>
      <c r="AC56" s="168">
        <f>AB56+30</f>
        <v>46324</v>
      </c>
      <c r="AD56" s="168">
        <f>AC56+3</f>
        <v>46327</v>
      </c>
      <c r="AE56" s="168">
        <f>AD56+3</f>
        <v>46330</v>
      </c>
      <c r="AF56" s="168">
        <f>AG56-15</f>
        <v>46422</v>
      </c>
      <c r="AG56" s="168">
        <f>AH56-7</f>
        <v>46437</v>
      </c>
      <c r="AH56" s="168">
        <f>AM56</f>
        <v>46444</v>
      </c>
      <c r="AI56" s="168">
        <f>AM55+3</f>
        <v>46447</v>
      </c>
      <c r="AJ56" s="168">
        <f>AM55+30</f>
        <v>46474</v>
      </c>
      <c r="AK56" s="199"/>
      <c r="AL56" s="206"/>
      <c r="AM56" s="170">
        <f>X56+AL55</f>
        <v>46444</v>
      </c>
      <c r="AN56" s="170"/>
      <c r="AO56" s="171"/>
      <c r="AP56" s="172"/>
      <c r="AQ56" s="448"/>
      <c r="AR56" s="154">
        <f>IF(ISERROR(LOOKUP(AR$10,$O56:$AQ56,#REF!)),0,(LOOKUP(AR$10,$O56:$AQ56,#REF!)))</f>
        <v>0</v>
      </c>
      <c r="AS56" s="155">
        <f>IF(ISERROR(LOOKUP(AS$10,$O56:$AQ56,#REF!)),0,(LOOKUP(AS$10,$O56:$AQ56,#REF!)))</f>
        <v>0</v>
      </c>
      <c r="AT56" s="155">
        <f>IF(ISERROR(LOOKUP(AT$10,$O56:$AQ56,#REF!)),0,(LOOKUP(AT$10,$O56:$AQ56,#REF!)))</f>
        <v>0</v>
      </c>
      <c r="AU56" s="155">
        <f>IF(ISERROR(LOOKUP(AU$10,$O56:$AQ56,#REF!)),0,(LOOKUP(AU$10,$O56:$AQ56,#REF!)))</f>
        <v>0</v>
      </c>
      <c r="AV56" s="155">
        <f>IF(ISERROR(LOOKUP(AV$10,$O56:$AQ56,#REF!)),0,(LOOKUP(AV$10,$O56:$AQ56,#REF!)))</f>
        <v>0</v>
      </c>
      <c r="AW56" s="155">
        <f>IF(ISERROR(LOOKUP(AW$10,$O56:$AQ56,#REF!)),0,(LOOKUP(AW$10,$O56:$AQ56,#REF!)))</f>
        <v>0</v>
      </c>
      <c r="AX56" s="155">
        <f>IF(ISERROR(LOOKUP(AX$10,$O56:$AQ56,#REF!)),0,(LOOKUP(AX$10,$O56:$AQ56,#REF!)))</f>
        <v>0</v>
      </c>
      <c r="AY56" s="155">
        <f>IF(ISERROR(LOOKUP(AY$10,$O56:$AQ56,#REF!)),0,(LOOKUP(AY$10,$O56:$AQ56,#REF!)))</f>
        <v>0</v>
      </c>
      <c r="AZ56" s="155">
        <f>IF(ISERROR(LOOKUP(AZ$10,$O56:$AQ56,#REF!)),0,(LOOKUP(AZ$10,$O56:$AQ56,#REF!)))</f>
        <v>0</v>
      </c>
      <c r="BA56" s="155">
        <f>IF(ISERROR(LOOKUP(BA$10,$O56:$AQ56,#REF!)),0,(LOOKUP(BA$10,$O56:$AQ56,#REF!)))</f>
        <v>0</v>
      </c>
      <c r="BB56" s="155">
        <f ca="1">IF(ISERROR(LOOKUP(BB$10,$O56:$AQ56,#REF!)),0,(LOOKUP(BB$10,$O56:$AQ56,#REF!)))</f>
        <v>0</v>
      </c>
      <c r="BC56" s="156"/>
      <c r="BD56" s="176"/>
      <c r="BE56" s="176"/>
    </row>
    <row r="57" spans="1:57" s="78" customFormat="1" ht="15.4" thickTop="1" thickBot="1" x14ac:dyDescent="0.45">
      <c r="A57" s="460"/>
      <c r="B57" s="258" t="s">
        <v>153</v>
      </c>
      <c r="C57" s="259" t="s">
        <v>180</v>
      </c>
      <c r="D57" s="260" t="s">
        <v>181</v>
      </c>
      <c r="E57" s="208"/>
      <c r="F57" s="208"/>
      <c r="G57" s="209" t="s">
        <v>182</v>
      </c>
      <c r="H57" s="182" t="s">
        <v>158</v>
      </c>
      <c r="I57" s="178" t="s">
        <v>138</v>
      </c>
      <c r="J57" s="178" t="s">
        <v>95</v>
      </c>
      <c r="K57" s="178" t="s">
        <v>6</v>
      </c>
      <c r="L57" s="208"/>
      <c r="M57" s="184" t="s">
        <v>76</v>
      </c>
      <c r="N57" s="185" t="s">
        <v>87</v>
      </c>
      <c r="O57" s="186">
        <v>46174</v>
      </c>
      <c r="P57" s="186">
        <v>46148</v>
      </c>
      <c r="Q57" s="186">
        <v>46165</v>
      </c>
      <c r="R57" s="186">
        <v>46182</v>
      </c>
      <c r="S57" s="186">
        <v>46182</v>
      </c>
      <c r="T57" s="186">
        <v>46202</v>
      </c>
      <c r="U57" s="186"/>
      <c r="V57" s="186"/>
      <c r="W57" s="186"/>
      <c r="X57" s="186"/>
      <c r="Y57" s="186"/>
      <c r="Z57" s="186"/>
      <c r="AA57" s="186"/>
      <c r="AB57" s="186"/>
      <c r="AC57" s="186"/>
      <c r="AD57" s="186"/>
      <c r="AE57" s="186"/>
      <c r="AF57" s="186"/>
      <c r="AG57" s="186"/>
      <c r="AH57" s="186"/>
      <c r="AI57" s="186"/>
      <c r="AJ57" s="186"/>
      <c r="AK57" s="188"/>
      <c r="AL57" s="211"/>
      <c r="AM57" s="187"/>
      <c r="AN57" s="187"/>
      <c r="AO57" s="189"/>
      <c r="AP57" s="190"/>
      <c r="AQ57" s="449"/>
      <c r="AR57" s="191">
        <f>IF(ISERROR(LOOKUP(AR$10,$O57:$AQ57,#REF!)),0,(LOOKUP(AR$10,$O57:$AQ57,#REF!)))</f>
        <v>0</v>
      </c>
      <c r="AS57" s="192">
        <f>IF(ISERROR(LOOKUP(AS$10,$O57:$AQ57,#REF!)),0,(LOOKUP(AS$10,$O57:$AQ57,#REF!)))</f>
        <v>0</v>
      </c>
      <c r="AT57" s="192">
        <f>IF(ISERROR(LOOKUP(AT$10,$O57:$AQ57,#REF!)),0,(LOOKUP(AT$10,$O57:$AQ57,#REF!)))</f>
        <v>0</v>
      </c>
      <c r="AU57" s="192">
        <f>IF(ISERROR(LOOKUP(AU$10,$O57:$AQ57,#REF!)),0,(LOOKUP(AU$10,$O57:$AQ57,#REF!)))</f>
        <v>0</v>
      </c>
      <c r="AV57" s="192">
        <f>IF(ISERROR(LOOKUP(AV$10,$O57:$AQ57,#REF!)),0,(LOOKUP(AV$10,$O57:$AQ57,#REF!)))</f>
        <v>0</v>
      </c>
      <c r="AW57" s="192">
        <f>IF(ISERROR(LOOKUP(AW$10,$O57:$AQ57,#REF!)),0,(LOOKUP(AW$10,$O57:$AQ57,#REF!)))</f>
        <v>0</v>
      </c>
      <c r="AX57" s="192">
        <f>IF(ISERROR(LOOKUP(AX$10,$O57:$AQ57,#REF!)),0,(LOOKUP(AX$10,$O57:$AQ57,#REF!)))</f>
        <v>0</v>
      </c>
      <c r="AY57" s="192">
        <f>IF(ISERROR(LOOKUP(AY$10,$O57:$AQ57,#REF!)),0,(LOOKUP(AY$10,$O57:$AQ57,#REF!)))</f>
        <v>0</v>
      </c>
      <c r="AZ57" s="192">
        <f>IF(ISERROR(LOOKUP(AZ$10,$O57:$AQ57,#REF!)),0,(LOOKUP(AZ$10,$O57:$AQ57,#REF!)))</f>
        <v>0</v>
      </c>
      <c r="BA57" s="192">
        <f>IF(ISERROR(LOOKUP(BA$10,$O57:$AQ57,#REF!)),0,(LOOKUP(BA$10,$O57:$AQ57,#REF!)))</f>
        <v>0</v>
      </c>
      <c r="BB57" s="192">
        <f ca="1">IF(ISERROR(LOOKUP(BB$10,$O57:$AQ57,#REF!)),0,(LOOKUP(BB$10,$O57:$AQ57,#REF!)))</f>
        <v>0</v>
      </c>
      <c r="BC57" s="156"/>
      <c r="BD57" s="176"/>
      <c r="BE57" s="176"/>
    </row>
    <row r="58" spans="1:57" s="78" customFormat="1" ht="15.4" thickTop="1" thickBot="1" x14ac:dyDescent="0.45">
      <c r="A58" s="458"/>
      <c r="B58" s="252" t="s">
        <v>153</v>
      </c>
      <c r="C58" s="253" t="s">
        <v>184</v>
      </c>
      <c r="D58" s="254" t="s">
        <v>185</v>
      </c>
      <c r="E58" s="202"/>
      <c r="F58" s="202" t="s">
        <v>70</v>
      </c>
      <c r="G58" s="427" t="s">
        <v>182</v>
      </c>
      <c r="H58" s="143" t="s">
        <v>158</v>
      </c>
      <c r="I58" s="140" t="s">
        <v>138</v>
      </c>
      <c r="J58" s="140" t="s">
        <v>95</v>
      </c>
      <c r="K58" s="140" t="s">
        <v>6</v>
      </c>
      <c r="L58" s="202" t="s">
        <v>183</v>
      </c>
      <c r="M58" s="145" t="s">
        <v>76</v>
      </c>
      <c r="N58" s="146" t="s">
        <v>77</v>
      </c>
      <c r="O58" s="147">
        <v>46174</v>
      </c>
      <c r="P58" s="147">
        <v>46177</v>
      </c>
      <c r="Q58" s="147">
        <v>46185</v>
      </c>
      <c r="R58" s="147">
        <v>46185</v>
      </c>
      <c r="S58" s="147">
        <v>46185</v>
      </c>
      <c r="T58" s="147">
        <v>46202</v>
      </c>
      <c r="U58" s="147">
        <v>46219</v>
      </c>
      <c r="V58" s="147">
        <v>46237</v>
      </c>
      <c r="W58" s="147"/>
      <c r="X58" s="147">
        <v>46248</v>
      </c>
      <c r="Y58" s="147">
        <v>46252</v>
      </c>
      <c r="Z58" s="147">
        <v>46259</v>
      </c>
      <c r="AA58" s="147">
        <v>46280</v>
      </c>
      <c r="AB58" s="147">
        <v>46294</v>
      </c>
      <c r="AC58" s="147">
        <v>46324</v>
      </c>
      <c r="AD58" s="147">
        <v>46327</v>
      </c>
      <c r="AE58" s="147">
        <v>46330</v>
      </c>
      <c r="AF58" s="147">
        <v>46422</v>
      </c>
      <c r="AG58" s="147">
        <v>46437</v>
      </c>
      <c r="AH58" s="147">
        <v>46444</v>
      </c>
      <c r="AI58" s="147">
        <v>46447</v>
      </c>
      <c r="AJ58" s="147">
        <v>46474</v>
      </c>
      <c r="AK58" s="149">
        <v>28</v>
      </c>
      <c r="AL58" s="150">
        <v>196</v>
      </c>
      <c r="AM58" s="151">
        <v>46444</v>
      </c>
      <c r="AN58" s="151">
        <v>46476</v>
      </c>
      <c r="AO58" s="225">
        <f>AN58-AM59</f>
        <v>32</v>
      </c>
      <c r="AP58" s="235" t="s">
        <v>171</v>
      </c>
      <c r="AQ58" s="447"/>
      <c r="AR58" s="154">
        <f>IF(ISERROR(LOOKUP(AR$10,$O58:$AQ58,#REF!)),0,(LOOKUP(AR$10,$O58:$AQ58,#REF!)))</f>
        <v>0</v>
      </c>
      <c r="AS58" s="155">
        <f>IF(ISERROR(LOOKUP(AS$10,$O58:$AQ58,#REF!)),0,(LOOKUP(AS$10,$O58:$AQ58,#REF!)))</f>
        <v>0</v>
      </c>
      <c r="AT58" s="155">
        <f>IF(ISERROR(LOOKUP(AT$10,$O58:$AQ58,#REF!)),0,(LOOKUP(AT$10,$O58:$AQ58,#REF!)))</f>
        <v>0</v>
      </c>
      <c r="AU58" s="155">
        <f>IF(ISERROR(LOOKUP(AU$10,$O58:$AQ58,#REF!)),0,(LOOKUP(AU$10,$O58:$AQ58,#REF!)))</f>
        <v>0</v>
      </c>
      <c r="AV58" s="155">
        <f>IF(ISERROR(LOOKUP(AV$10,$O58:$AQ58,#REF!)),0,(LOOKUP(AV$10,$O58:$AQ58,#REF!)))</f>
        <v>0</v>
      </c>
      <c r="AW58" s="155">
        <f>IF(ISERROR(LOOKUP(AW$10,$O58:$AQ58,#REF!)),0,(LOOKUP(AW$10,$O58:$AQ58,#REF!)))</f>
        <v>0</v>
      </c>
      <c r="AX58" s="155">
        <f>IF(ISERROR(LOOKUP(AX$10,$O58:$AQ58,#REF!)),0,(LOOKUP(AX$10,$O58:$AQ58,#REF!)))</f>
        <v>0</v>
      </c>
      <c r="AY58" s="155">
        <f>IF(ISERROR(LOOKUP(AY$10,$O58:$AQ58,#REF!)),0,(LOOKUP(AY$10,$O58:$AQ58,#REF!)))</f>
        <v>0</v>
      </c>
      <c r="AZ58" s="155">
        <f>IF(ISERROR(LOOKUP(AZ$10,$O58:$AQ58,#REF!)),0,(LOOKUP(AZ$10,$O58:$AQ58,#REF!)))</f>
        <v>0</v>
      </c>
      <c r="BA58" s="155">
        <f>IF(ISERROR(LOOKUP(BA$10,$O58:$AQ58,#REF!)),0,(LOOKUP(BA$10,$O58:$AQ58,#REF!)))</f>
        <v>0</v>
      </c>
      <c r="BB58" s="155">
        <f ca="1">IF(ISERROR(LOOKUP(BB$10,$O58:$AQ58,#REF!)),0,(LOOKUP(BB$10,$O58:$AQ58,#REF!)))</f>
        <v>0</v>
      </c>
      <c r="BC58" s="156"/>
      <c r="BD58" s="261"/>
      <c r="BE58" s="176"/>
    </row>
    <row r="59" spans="1:57" s="78" customFormat="1" ht="15.4" thickTop="1" thickBot="1" x14ac:dyDescent="0.45">
      <c r="A59" s="459"/>
      <c r="B59" s="255" t="s">
        <v>153</v>
      </c>
      <c r="C59" s="256" t="s">
        <v>184</v>
      </c>
      <c r="D59" s="257" t="s">
        <v>185</v>
      </c>
      <c r="E59" s="205"/>
      <c r="F59" s="205"/>
      <c r="G59" s="204" t="s">
        <v>182</v>
      </c>
      <c r="H59" s="228" t="s">
        <v>158</v>
      </c>
      <c r="I59" s="159" t="s">
        <v>138</v>
      </c>
      <c r="J59" s="159" t="s">
        <v>95</v>
      </c>
      <c r="K59" s="159" t="s">
        <v>6</v>
      </c>
      <c r="L59" s="204"/>
      <c r="M59" s="165" t="s">
        <v>76</v>
      </c>
      <c r="N59" s="166" t="s">
        <v>84</v>
      </c>
      <c r="O59" s="167"/>
      <c r="P59" s="168"/>
      <c r="Q59" s="168"/>
      <c r="R59" s="168"/>
      <c r="S59" s="168"/>
      <c r="T59" s="168"/>
      <c r="U59" s="168">
        <f>U58</f>
        <v>46219</v>
      </c>
      <c r="V59" s="168">
        <f>WORKDAY(U59,V8,IF(V12="China",'China Holidays'!$A$2:$A$84,'Thai Holidays'!$A$2:$A$65))</f>
        <v>46237</v>
      </c>
      <c r="W59" s="168"/>
      <c r="X59" s="168">
        <f>WORKDAY(V59,X8,IF(X12="China",'China Holidays'!$A$2:$A$84,'Thai Holidays'!$A$2:$A$65))</f>
        <v>46248</v>
      </c>
      <c r="Y59" s="168">
        <f>WORKDAY(X59,Y8,IF(Y12="China",'China Holidays'!$A$2:$A$84,'Thai Holidays'!$A$2:$A$65))</f>
        <v>46252</v>
      </c>
      <c r="Z59" s="168">
        <f>WORKDAY(Y59,Z8,IF(Z12="China",'China Holidays'!$A$2:$A$84,'Thai Holidays'!$A$2:$A$65))</f>
        <v>46259</v>
      </c>
      <c r="AA59" s="168">
        <f>WORKDAY(Z59,AA8,IF(AA12="China",'China Holidays'!$A$2:$A$84,'Thai Holidays'!$A$2:$A$65))</f>
        <v>46280</v>
      </c>
      <c r="AB59" s="168">
        <f>WORKDAY(AA59,AB8,IF(AB12="China",'China Holidays'!$A$2:$A$84,'Thai Holidays'!$A$2:$A$65))</f>
        <v>46294</v>
      </c>
      <c r="AC59" s="168">
        <f>AB59+30</f>
        <v>46324</v>
      </c>
      <c r="AD59" s="168">
        <f>AC59+3</f>
        <v>46327</v>
      </c>
      <c r="AE59" s="168">
        <f>AD59+3</f>
        <v>46330</v>
      </c>
      <c r="AF59" s="168">
        <f>AG59-15</f>
        <v>46422</v>
      </c>
      <c r="AG59" s="168">
        <f>AH59-7</f>
        <v>46437</v>
      </c>
      <c r="AH59" s="168">
        <f>AM59</f>
        <v>46444</v>
      </c>
      <c r="AI59" s="168">
        <f>AM58+3</f>
        <v>46447</v>
      </c>
      <c r="AJ59" s="168">
        <f>AM58+30</f>
        <v>46474</v>
      </c>
      <c r="AK59" s="199"/>
      <c r="AL59" s="206"/>
      <c r="AM59" s="170">
        <f>X59+AL58</f>
        <v>46444</v>
      </c>
      <c r="AN59" s="170"/>
      <c r="AO59" s="171"/>
      <c r="AP59" s="172"/>
      <c r="AQ59" s="448"/>
      <c r="AR59" s="154">
        <f>IF(ISERROR(LOOKUP(AR$10,$O59:$AQ59,#REF!)),0,(LOOKUP(AR$10,$O59:$AQ59,#REF!)))</f>
        <v>0</v>
      </c>
      <c r="AS59" s="155">
        <f>IF(ISERROR(LOOKUP(AS$10,$O59:$AQ59,#REF!)),0,(LOOKUP(AS$10,$O59:$AQ59,#REF!)))</f>
        <v>0</v>
      </c>
      <c r="AT59" s="155">
        <f>IF(ISERROR(LOOKUP(AT$10,$O59:$AQ59,#REF!)),0,(LOOKUP(AT$10,$O59:$AQ59,#REF!)))</f>
        <v>0</v>
      </c>
      <c r="AU59" s="155">
        <f>IF(ISERROR(LOOKUP(AU$10,$O59:$AQ59,#REF!)),0,(LOOKUP(AU$10,$O59:$AQ59,#REF!)))</f>
        <v>0</v>
      </c>
      <c r="AV59" s="155">
        <f>IF(ISERROR(LOOKUP(AV$10,$O59:$AQ59,#REF!)),0,(LOOKUP(AV$10,$O59:$AQ59,#REF!)))</f>
        <v>0</v>
      </c>
      <c r="AW59" s="155">
        <f>IF(ISERROR(LOOKUP(AW$10,$O59:$AQ59,#REF!)),0,(LOOKUP(AW$10,$O59:$AQ59,#REF!)))</f>
        <v>0</v>
      </c>
      <c r="AX59" s="155">
        <f>IF(ISERROR(LOOKUP(AX$10,$O59:$AQ59,#REF!)),0,(LOOKUP(AX$10,$O59:$AQ59,#REF!)))</f>
        <v>0</v>
      </c>
      <c r="AY59" s="155">
        <f>IF(ISERROR(LOOKUP(AY$10,$O59:$AQ59,#REF!)),0,(LOOKUP(AY$10,$O59:$AQ59,#REF!)))</f>
        <v>0</v>
      </c>
      <c r="AZ59" s="155">
        <f>IF(ISERROR(LOOKUP(AZ$10,$O59:$AQ59,#REF!)),0,(LOOKUP(AZ$10,$O59:$AQ59,#REF!)))</f>
        <v>0</v>
      </c>
      <c r="BA59" s="155">
        <f>IF(ISERROR(LOOKUP(BA$10,$O59:$AQ59,#REF!)),0,(LOOKUP(BA$10,$O59:$AQ59,#REF!)))</f>
        <v>0</v>
      </c>
      <c r="BB59" s="155">
        <f ca="1">IF(ISERROR(LOOKUP(BB$10,$O59:$AQ59,#REF!)),0,(LOOKUP(BB$10,$O59:$AQ59,#REF!)))</f>
        <v>0</v>
      </c>
      <c r="BC59" s="156"/>
      <c r="BD59" s="261"/>
      <c r="BE59" s="176"/>
    </row>
    <row r="60" spans="1:57" s="78" customFormat="1" ht="15.4" thickTop="1" thickBot="1" x14ac:dyDescent="0.45">
      <c r="A60" s="460"/>
      <c r="B60" s="258" t="s">
        <v>153</v>
      </c>
      <c r="C60" s="259" t="s">
        <v>184</v>
      </c>
      <c r="D60" s="260" t="s">
        <v>185</v>
      </c>
      <c r="E60" s="208"/>
      <c r="F60" s="208"/>
      <c r="G60" s="209" t="s">
        <v>182</v>
      </c>
      <c r="H60" s="182" t="s">
        <v>158</v>
      </c>
      <c r="I60" s="178" t="s">
        <v>138</v>
      </c>
      <c r="J60" s="178" t="s">
        <v>95</v>
      </c>
      <c r="K60" s="178" t="s">
        <v>6</v>
      </c>
      <c r="L60" s="209"/>
      <c r="M60" s="184" t="s">
        <v>76</v>
      </c>
      <c r="N60" s="185" t="s">
        <v>87</v>
      </c>
      <c r="O60" s="186">
        <v>46174</v>
      </c>
      <c r="P60" s="186">
        <v>46148</v>
      </c>
      <c r="Q60" s="186">
        <v>46165</v>
      </c>
      <c r="R60" s="186">
        <v>46182</v>
      </c>
      <c r="S60" s="186">
        <v>46182</v>
      </c>
      <c r="T60" s="186">
        <v>46202</v>
      </c>
      <c r="U60" s="186"/>
      <c r="V60" s="186"/>
      <c r="W60" s="186"/>
      <c r="X60" s="186"/>
      <c r="Y60" s="186"/>
      <c r="Z60" s="186"/>
      <c r="AA60" s="186"/>
      <c r="AB60" s="186"/>
      <c r="AC60" s="186"/>
      <c r="AD60" s="186"/>
      <c r="AE60" s="186"/>
      <c r="AF60" s="186"/>
      <c r="AG60" s="186"/>
      <c r="AH60" s="186"/>
      <c r="AI60" s="186"/>
      <c r="AJ60" s="186"/>
      <c r="AK60" s="188"/>
      <c r="AL60" s="211"/>
      <c r="AM60" s="187"/>
      <c r="AN60" s="187"/>
      <c r="AO60" s="189"/>
      <c r="AP60" s="190"/>
      <c r="AQ60" s="449"/>
      <c r="AR60" s="191">
        <f>IF(ISERROR(LOOKUP(AR$10,$O60:$AQ60,#REF!)),0,(LOOKUP(AR$10,$O60:$AQ60,#REF!)))</f>
        <v>0</v>
      </c>
      <c r="AS60" s="192">
        <f>IF(ISERROR(LOOKUP(AS$10,$O60:$AQ60,#REF!)),0,(LOOKUP(AS$10,$O60:$AQ60,#REF!)))</f>
        <v>0</v>
      </c>
      <c r="AT60" s="192">
        <f>IF(ISERROR(LOOKUP(AT$10,$O60:$AQ60,#REF!)),0,(LOOKUP(AT$10,$O60:$AQ60,#REF!)))</f>
        <v>0</v>
      </c>
      <c r="AU60" s="192">
        <f>IF(ISERROR(LOOKUP(AU$10,$O60:$AQ60,#REF!)),0,(LOOKUP(AU$10,$O60:$AQ60,#REF!)))</f>
        <v>0</v>
      </c>
      <c r="AV60" s="192">
        <f>IF(ISERROR(LOOKUP(AV$10,$O60:$AQ60,#REF!)),0,(LOOKUP(AV$10,$O60:$AQ60,#REF!)))</f>
        <v>0</v>
      </c>
      <c r="AW60" s="192">
        <f>IF(ISERROR(LOOKUP(AW$10,$O60:$AQ60,#REF!)),0,(LOOKUP(AW$10,$O60:$AQ60,#REF!)))</f>
        <v>0</v>
      </c>
      <c r="AX60" s="192">
        <f>IF(ISERROR(LOOKUP(AX$10,$O60:$AQ60,#REF!)),0,(LOOKUP(AX$10,$O60:$AQ60,#REF!)))</f>
        <v>0</v>
      </c>
      <c r="AY60" s="192">
        <f>IF(ISERROR(LOOKUP(AY$10,$O60:$AQ60,#REF!)),0,(LOOKUP(AY$10,$O60:$AQ60,#REF!)))</f>
        <v>0</v>
      </c>
      <c r="AZ60" s="192">
        <f>IF(ISERROR(LOOKUP(AZ$10,$O60:$AQ60,#REF!)),0,(LOOKUP(AZ$10,$O60:$AQ60,#REF!)))</f>
        <v>0</v>
      </c>
      <c r="BA60" s="192">
        <f>IF(ISERROR(LOOKUP(BA$10,$O60:$AQ60,#REF!)),0,(LOOKUP(BA$10,$O60:$AQ60,#REF!)))</f>
        <v>0</v>
      </c>
      <c r="BB60" s="192">
        <f ca="1">IF(ISERROR(LOOKUP(BB$10,$O60:$AQ60,#REF!)),0,(LOOKUP(BB$10,$O60:$AQ60,#REF!)))</f>
        <v>0</v>
      </c>
      <c r="BC60" s="156"/>
      <c r="BD60" s="261"/>
      <c r="BE60" s="176"/>
    </row>
    <row r="61" spans="1:57" s="78" customFormat="1" ht="15.4" thickTop="1" thickBot="1" x14ac:dyDescent="0.45">
      <c r="A61" s="458">
        <f>A52+1</f>
        <v>15</v>
      </c>
      <c r="B61" s="139" t="s">
        <v>153</v>
      </c>
      <c r="C61" s="247" t="s">
        <v>186</v>
      </c>
      <c r="D61" s="233" t="s">
        <v>187</v>
      </c>
      <c r="E61" s="202"/>
      <c r="F61" s="202" t="s">
        <v>188</v>
      </c>
      <c r="G61" s="427" t="s">
        <v>182</v>
      </c>
      <c r="H61" s="143" t="s">
        <v>158</v>
      </c>
      <c r="I61" s="140" t="s">
        <v>138</v>
      </c>
      <c r="J61" s="140" t="s">
        <v>95</v>
      </c>
      <c r="K61" s="140" t="s">
        <v>6</v>
      </c>
      <c r="L61" s="262" t="s">
        <v>189</v>
      </c>
      <c r="M61" s="145" t="s">
        <v>76</v>
      </c>
      <c r="N61" s="146" t="s">
        <v>77</v>
      </c>
      <c r="O61" s="147">
        <v>46174</v>
      </c>
      <c r="P61" s="147">
        <v>46177</v>
      </c>
      <c r="Q61" s="147">
        <v>46185</v>
      </c>
      <c r="R61" s="147">
        <v>46185</v>
      </c>
      <c r="S61" s="147">
        <v>46185</v>
      </c>
      <c r="T61" s="147">
        <v>46202</v>
      </c>
      <c r="U61" s="147">
        <v>46219</v>
      </c>
      <c r="V61" s="147">
        <v>46237</v>
      </c>
      <c r="W61" s="147"/>
      <c r="X61" s="148">
        <v>46248</v>
      </c>
      <c r="Y61" s="147">
        <v>46252</v>
      </c>
      <c r="Z61" s="147">
        <v>46259</v>
      </c>
      <c r="AA61" s="147">
        <v>46280</v>
      </c>
      <c r="AB61" s="147">
        <v>46294</v>
      </c>
      <c r="AC61" s="147">
        <v>46324</v>
      </c>
      <c r="AD61" s="147">
        <v>46327</v>
      </c>
      <c r="AE61" s="147">
        <v>46330</v>
      </c>
      <c r="AF61" s="147">
        <v>46422</v>
      </c>
      <c r="AG61" s="147">
        <v>46437</v>
      </c>
      <c r="AH61" s="147">
        <v>46444</v>
      </c>
      <c r="AI61" s="147">
        <v>46447</v>
      </c>
      <c r="AJ61" s="147">
        <v>46474</v>
      </c>
      <c r="AK61" s="149">
        <v>28</v>
      </c>
      <c r="AL61" s="150">
        <v>196</v>
      </c>
      <c r="AM61" s="151">
        <v>46444</v>
      </c>
      <c r="AN61" s="151">
        <v>46476</v>
      </c>
      <c r="AO61" s="225">
        <f>AN61-AM62</f>
        <v>32</v>
      </c>
      <c r="AP61" s="235" t="s">
        <v>171</v>
      </c>
      <c r="AQ61" s="447"/>
      <c r="AR61" s="154">
        <f>IF(ISERROR(LOOKUP(AR$10,$O61:$AQ61,#REF!)),0,(LOOKUP(AR$10,$O61:$AQ61,#REF!)))</f>
        <v>0</v>
      </c>
      <c r="AS61" s="155">
        <f>IF(ISERROR(LOOKUP(AS$10,$O61:$AQ61,#REF!)),0,(LOOKUP(AS$10,$O61:$AQ61,#REF!)))</f>
        <v>0</v>
      </c>
      <c r="AT61" s="155">
        <f>IF(ISERROR(LOOKUP(AT$10,$O61:$AQ61,#REF!)),0,(LOOKUP(AT$10,$O61:$AQ61,#REF!)))</f>
        <v>0</v>
      </c>
      <c r="AU61" s="155">
        <f>IF(ISERROR(LOOKUP(AU$10,$O61:$AQ61,#REF!)),0,(LOOKUP(AU$10,$O61:$AQ61,#REF!)))</f>
        <v>0</v>
      </c>
      <c r="AV61" s="155">
        <f>IF(ISERROR(LOOKUP(AV$10,$O61:$AQ61,#REF!)),0,(LOOKUP(AV$10,$O61:$AQ61,#REF!)))</f>
        <v>0</v>
      </c>
      <c r="AW61" s="155">
        <f>IF(ISERROR(LOOKUP(AW$10,$O61:$AQ61,#REF!)),0,(LOOKUP(AW$10,$O61:$AQ61,#REF!)))</f>
        <v>0</v>
      </c>
      <c r="AX61" s="155">
        <f>IF(ISERROR(LOOKUP(AX$10,$O61:$AQ61,#REF!)),0,(LOOKUP(AX$10,$O61:$AQ61,#REF!)))</f>
        <v>0</v>
      </c>
      <c r="AY61" s="155">
        <f>IF(ISERROR(LOOKUP(AY$10,$O61:$AQ61,#REF!)),0,(LOOKUP(AY$10,$O61:$AQ61,#REF!)))</f>
        <v>0</v>
      </c>
      <c r="AZ61" s="155">
        <f>IF(ISERROR(LOOKUP(AZ$10,$O61:$AQ61,#REF!)),0,(LOOKUP(AZ$10,$O61:$AQ61,#REF!)))</f>
        <v>0</v>
      </c>
      <c r="BA61" s="155">
        <f>IF(ISERROR(LOOKUP(BA$10,$O61:$AQ61,#REF!)),0,(LOOKUP(BA$10,$O61:$AQ61,#REF!)))</f>
        <v>0</v>
      </c>
      <c r="BB61" s="155">
        <f ca="1">IF(ISERROR(LOOKUP(BB$10,$O61:$AQ61,#REF!)),0,(LOOKUP(BB$10,$O61:$AQ61,#REF!)))</f>
        <v>0</v>
      </c>
      <c r="BC61" s="156" t="s">
        <v>80</v>
      </c>
      <c r="BD61" s="176" t="s">
        <v>172</v>
      </c>
      <c r="BE61" s="176"/>
    </row>
    <row r="62" spans="1:57" s="78" customFormat="1" ht="15.4" thickTop="1" thickBot="1" x14ac:dyDescent="0.45">
      <c r="A62" s="459"/>
      <c r="B62" s="158" t="s">
        <v>153</v>
      </c>
      <c r="C62" s="250" t="s">
        <v>186</v>
      </c>
      <c r="D62" s="160" t="s">
        <v>187</v>
      </c>
      <c r="E62" s="205"/>
      <c r="F62" s="205"/>
      <c r="G62" s="204" t="s">
        <v>182</v>
      </c>
      <c r="H62" s="228" t="s">
        <v>158</v>
      </c>
      <c r="I62" s="159" t="s">
        <v>138</v>
      </c>
      <c r="J62" s="159" t="s">
        <v>95</v>
      </c>
      <c r="K62" s="159" t="s">
        <v>6</v>
      </c>
      <c r="L62" s="263" t="s">
        <v>190</v>
      </c>
      <c r="M62" s="165" t="s">
        <v>76</v>
      </c>
      <c r="N62" s="166" t="s">
        <v>84</v>
      </c>
      <c r="O62" s="167"/>
      <c r="P62" s="168"/>
      <c r="Q62" s="168"/>
      <c r="R62" s="168"/>
      <c r="S62" s="168"/>
      <c r="T62" s="168"/>
      <c r="U62" s="168"/>
      <c r="V62" s="168"/>
      <c r="W62" s="168"/>
      <c r="X62" s="168">
        <v>46248</v>
      </c>
      <c r="Y62" s="168">
        <f>WORKDAY(X62,Y8,IF(Y12="China",'China Holidays'!$A$2:$A$84,'Thai Holidays'!$A$2:$A$65))</f>
        <v>46252</v>
      </c>
      <c r="Z62" s="168">
        <f>WORKDAY(Y62,Z8,IF(Z12="China",'China Holidays'!$A$2:$A$84,'Thai Holidays'!$A$2:$A$65))</f>
        <v>46259</v>
      </c>
      <c r="AA62" s="168">
        <f>WORKDAY(Z62,AA8,IF(AA12="China",'China Holidays'!$A$2:$A$84,'Thai Holidays'!$A$2:$A$65))</f>
        <v>46280</v>
      </c>
      <c r="AB62" s="168">
        <f>WORKDAY(AA62,AB8,IF(AB12="China",'China Holidays'!$A$2:$A$84,'Thai Holidays'!$A$2:$A$65))</f>
        <v>46294</v>
      </c>
      <c r="AC62" s="168">
        <f>AB62+30</f>
        <v>46324</v>
      </c>
      <c r="AD62" s="168">
        <f>AC62+3</f>
        <v>46327</v>
      </c>
      <c r="AE62" s="168">
        <f>AD62+3</f>
        <v>46330</v>
      </c>
      <c r="AF62" s="168">
        <f>AG62-15</f>
        <v>46422</v>
      </c>
      <c r="AG62" s="168">
        <f>AH62-7</f>
        <v>46437</v>
      </c>
      <c r="AH62" s="168">
        <f>AM62</f>
        <v>46444</v>
      </c>
      <c r="AI62" s="168">
        <f>AM61+3</f>
        <v>46447</v>
      </c>
      <c r="AJ62" s="168">
        <f>AM61+30</f>
        <v>46474</v>
      </c>
      <c r="AK62" s="199"/>
      <c r="AL62" s="206"/>
      <c r="AM62" s="170">
        <f>X62+AL61</f>
        <v>46444</v>
      </c>
      <c r="AN62" s="170"/>
      <c r="AO62" s="171"/>
      <c r="AP62" s="172"/>
      <c r="AQ62" s="448"/>
      <c r="AR62" s="154">
        <f>IF(ISERROR(LOOKUP(AR$10,$O62:$AQ62,#REF!)),0,(LOOKUP(AR$10,$O62:$AQ62,#REF!)))</f>
        <v>0</v>
      </c>
      <c r="AS62" s="155">
        <f>IF(ISERROR(LOOKUP(AS$10,$O62:$AQ62,#REF!)),0,(LOOKUP(AS$10,$O62:$AQ62,#REF!)))</f>
        <v>0</v>
      </c>
      <c r="AT62" s="155">
        <f>IF(ISERROR(LOOKUP(AT$10,$O62:$AQ62,#REF!)),0,(LOOKUP(AT$10,$O62:$AQ62,#REF!)))</f>
        <v>0</v>
      </c>
      <c r="AU62" s="155">
        <f>IF(ISERROR(LOOKUP(AU$10,$O62:$AQ62,#REF!)),0,(LOOKUP(AU$10,$O62:$AQ62,#REF!)))</f>
        <v>0</v>
      </c>
      <c r="AV62" s="155">
        <f>IF(ISERROR(LOOKUP(AV$10,$O62:$AQ62,#REF!)),0,(LOOKUP(AV$10,$O62:$AQ62,#REF!)))</f>
        <v>0</v>
      </c>
      <c r="AW62" s="155">
        <f>IF(ISERROR(LOOKUP(AW$10,$O62:$AQ62,#REF!)),0,(LOOKUP(AW$10,$O62:$AQ62,#REF!)))</f>
        <v>0</v>
      </c>
      <c r="AX62" s="155">
        <f>IF(ISERROR(LOOKUP(AX$10,$O62:$AQ62,#REF!)),0,(LOOKUP(AX$10,$O62:$AQ62,#REF!)))</f>
        <v>0</v>
      </c>
      <c r="AY62" s="155">
        <f>IF(ISERROR(LOOKUP(AY$10,$O62:$AQ62,#REF!)),0,(LOOKUP(AY$10,$O62:$AQ62,#REF!)))</f>
        <v>0</v>
      </c>
      <c r="AZ62" s="155">
        <f>IF(ISERROR(LOOKUP(AZ$10,$O62:$AQ62,#REF!)),0,(LOOKUP(AZ$10,$O62:$AQ62,#REF!)))</f>
        <v>0</v>
      </c>
      <c r="BA62" s="155">
        <f>IF(ISERROR(LOOKUP(BA$10,$O62:$AQ62,#REF!)),0,(LOOKUP(BA$10,$O62:$AQ62,#REF!)))</f>
        <v>0</v>
      </c>
      <c r="BB62" s="155">
        <f ca="1">IF(ISERROR(LOOKUP(BB$10,$O62:$AQ62,#REF!)),0,(LOOKUP(BB$10,$O62:$AQ62,#REF!)))</f>
        <v>0</v>
      </c>
      <c r="BC62" s="156" t="s">
        <v>85</v>
      </c>
      <c r="BD62" s="176" t="s">
        <v>173</v>
      </c>
      <c r="BE62" s="176"/>
    </row>
    <row r="63" spans="1:57" s="78" customFormat="1" ht="15.4" thickTop="1" thickBot="1" x14ac:dyDescent="0.45">
      <c r="A63" s="460"/>
      <c r="B63" s="177" t="s">
        <v>153</v>
      </c>
      <c r="C63" s="251" t="s">
        <v>186</v>
      </c>
      <c r="D63" s="179" t="s">
        <v>187</v>
      </c>
      <c r="E63" s="208"/>
      <c r="F63" s="208"/>
      <c r="G63" s="209" t="s">
        <v>182</v>
      </c>
      <c r="H63" s="182" t="s">
        <v>158</v>
      </c>
      <c r="I63" s="178" t="s">
        <v>138</v>
      </c>
      <c r="J63" s="178" t="s">
        <v>95</v>
      </c>
      <c r="K63" s="178" t="s">
        <v>6</v>
      </c>
      <c r="L63" s="264"/>
      <c r="M63" s="184" t="s">
        <v>76</v>
      </c>
      <c r="N63" s="185" t="s">
        <v>87</v>
      </c>
      <c r="O63" s="186">
        <v>46174</v>
      </c>
      <c r="P63" s="186">
        <v>46148</v>
      </c>
      <c r="Q63" s="186">
        <v>46165</v>
      </c>
      <c r="R63" s="186">
        <v>46182</v>
      </c>
      <c r="S63" s="186">
        <v>46182</v>
      </c>
      <c r="T63" s="186">
        <v>46202</v>
      </c>
      <c r="U63" s="186">
        <v>46219</v>
      </c>
      <c r="V63" s="186">
        <v>46233</v>
      </c>
      <c r="W63" s="186"/>
      <c r="X63" s="186"/>
      <c r="Y63" s="186"/>
      <c r="Z63" s="186"/>
      <c r="AA63" s="186"/>
      <c r="AB63" s="186"/>
      <c r="AC63" s="186"/>
      <c r="AD63" s="186"/>
      <c r="AE63" s="186"/>
      <c r="AF63" s="186"/>
      <c r="AG63" s="186"/>
      <c r="AH63" s="186"/>
      <c r="AI63" s="186"/>
      <c r="AJ63" s="186"/>
      <c r="AK63" s="188"/>
      <c r="AL63" s="211"/>
      <c r="AM63" s="187"/>
      <c r="AN63" s="187"/>
      <c r="AO63" s="189"/>
      <c r="AP63" s="190"/>
      <c r="AQ63" s="449"/>
      <c r="AR63" s="191">
        <f>IF(ISERROR(LOOKUP(AR$10,$O63:$AQ63,#REF!)),0,(LOOKUP(AR$10,$O63:$AQ63,#REF!)))</f>
        <v>0</v>
      </c>
      <c r="AS63" s="192">
        <f>IF(ISERROR(LOOKUP(AS$10,$O63:$AQ63,#REF!)),0,(LOOKUP(AS$10,$O63:$AQ63,#REF!)))</f>
        <v>0</v>
      </c>
      <c r="AT63" s="192">
        <f>IF(ISERROR(LOOKUP(AT$10,$O63:$AQ63,#REF!)),0,(LOOKUP(AT$10,$O63:$AQ63,#REF!)))</f>
        <v>0</v>
      </c>
      <c r="AU63" s="192">
        <f>IF(ISERROR(LOOKUP(AU$10,$O63:$AQ63,#REF!)),0,(LOOKUP(AU$10,$O63:$AQ63,#REF!)))</f>
        <v>0</v>
      </c>
      <c r="AV63" s="192">
        <f>IF(ISERROR(LOOKUP(AV$10,$O63:$AQ63,#REF!)),0,(LOOKUP(AV$10,$O63:$AQ63,#REF!)))</f>
        <v>0</v>
      </c>
      <c r="AW63" s="192">
        <f>IF(ISERROR(LOOKUP(AW$10,$O63:$AQ63,#REF!)),0,(LOOKUP(AW$10,$O63:$AQ63,#REF!)))</f>
        <v>0</v>
      </c>
      <c r="AX63" s="192">
        <f>IF(ISERROR(LOOKUP(AX$10,$O63:$AQ63,#REF!)),0,(LOOKUP(AX$10,$O63:$AQ63,#REF!)))</f>
        <v>0</v>
      </c>
      <c r="AY63" s="192">
        <f>IF(ISERROR(LOOKUP(AY$10,$O63:$AQ63,#REF!)),0,(LOOKUP(AY$10,$O63:$AQ63,#REF!)))</f>
        <v>0</v>
      </c>
      <c r="AZ63" s="192">
        <f>IF(ISERROR(LOOKUP(AZ$10,$O63:$AQ63,#REF!)),0,(LOOKUP(AZ$10,$O63:$AQ63,#REF!)))</f>
        <v>0</v>
      </c>
      <c r="BA63" s="192">
        <f>IF(ISERROR(LOOKUP(BA$10,$O63:$AQ63,#REF!)),0,(LOOKUP(BA$10,$O63:$AQ63,#REF!)))</f>
        <v>0</v>
      </c>
      <c r="BB63" s="192">
        <f ca="1">IF(ISERROR(LOOKUP(BB$10,$O63:$AQ63,#REF!)),0,(LOOKUP(BB$10,$O63:$AQ63,#REF!)))</f>
        <v>0</v>
      </c>
      <c r="BC63" s="156" t="s">
        <v>88</v>
      </c>
      <c r="BD63" s="176" t="s">
        <v>174</v>
      </c>
      <c r="BE63" s="176"/>
    </row>
    <row r="64" spans="1:57" s="78" customFormat="1" ht="15.4" thickTop="1" thickBot="1" x14ac:dyDescent="0.45">
      <c r="A64" s="458">
        <f t="shared" ref="A64" si="11">A61+1</f>
        <v>16</v>
      </c>
      <c r="B64" s="139" t="s">
        <v>153</v>
      </c>
      <c r="C64" s="247" t="s">
        <v>191</v>
      </c>
      <c r="D64" s="141" t="s">
        <v>192</v>
      </c>
      <c r="E64" s="202"/>
      <c r="F64" s="202" t="s">
        <v>193</v>
      </c>
      <c r="G64" s="427" t="s">
        <v>194</v>
      </c>
      <c r="H64" s="143" t="s">
        <v>158</v>
      </c>
      <c r="I64" s="140" t="s">
        <v>138</v>
      </c>
      <c r="J64" s="140" t="s">
        <v>74</v>
      </c>
      <c r="K64" s="140" t="s">
        <v>4</v>
      </c>
      <c r="L64" s="265" t="s">
        <v>195</v>
      </c>
      <c r="M64" s="145" t="s">
        <v>76</v>
      </c>
      <c r="N64" s="146" t="s">
        <v>77</v>
      </c>
      <c r="O64" s="147">
        <v>46174</v>
      </c>
      <c r="P64" s="147">
        <v>46177</v>
      </c>
      <c r="Q64" s="147">
        <v>46185</v>
      </c>
      <c r="R64" s="147">
        <v>46185</v>
      </c>
      <c r="S64" s="147">
        <v>46177</v>
      </c>
      <c r="T64" s="147">
        <v>46191</v>
      </c>
      <c r="U64" s="147">
        <v>46216</v>
      </c>
      <c r="V64" s="148">
        <v>46230</v>
      </c>
      <c r="W64" s="147"/>
      <c r="X64" s="147">
        <v>46244</v>
      </c>
      <c r="Y64" s="147">
        <v>46246</v>
      </c>
      <c r="Z64" s="147">
        <v>46253</v>
      </c>
      <c r="AA64" s="147">
        <v>46281</v>
      </c>
      <c r="AB64" s="147">
        <v>46295</v>
      </c>
      <c r="AC64" s="147">
        <v>46325</v>
      </c>
      <c r="AD64" s="147">
        <v>46328</v>
      </c>
      <c r="AE64" s="147">
        <v>46331</v>
      </c>
      <c r="AF64" s="147">
        <v>46420</v>
      </c>
      <c r="AG64" s="147">
        <v>46435</v>
      </c>
      <c r="AH64" s="147">
        <v>46440</v>
      </c>
      <c r="AI64" s="147">
        <v>46443</v>
      </c>
      <c r="AJ64" s="147">
        <v>46470</v>
      </c>
      <c r="AK64" s="149">
        <v>28</v>
      </c>
      <c r="AL64" s="150">
        <v>196</v>
      </c>
      <c r="AM64" s="151">
        <v>46440</v>
      </c>
      <c r="AN64" s="151">
        <v>46466</v>
      </c>
      <c r="AO64" s="225">
        <f>AN64-AM65</f>
        <v>26</v>
      </c>
      <c r="AP64" s="235" t="s">
        <v>159</v>
      </c>
      <c r="AQ64" s="447"/>
      <c r="AR64" s="154">
        <f>IF(ISERROR(LOOKUP(AR$10,$O64:$AQ64,#REF!)),0,(LOOKUP(AR$10,$O64:$AQ64,#REF!)))</f>
        <v>0</v>
      </c>
      <c r="AS64" s="155">
        <f>IF(ISERROR(LOOKUP(AS$10,$O64:$AQ64,#REF!)),0,(LOOKUP(AS$10,$O64:$AQ64,#REF!)))</f>
        <v>0</v>
      </c>
      <c r="AT64" s="155">
        <f>IF(ISERROR(LOOKUP(AT$10,$O64:$AQ64,#REF!)),0,(LOOKUP(AT$10,$O64:$AQ64,#REF!)))</f>
        <v>0</v>
      </c>
      <c r="AU64" s="155">
        <f>IF(ISERROR(LOOKUP(AU$10,$O64:$AQ64,#REF!)),0,(LOOKUP(AU$10,$O64:$AQ64,#REF!)))</f>
        <v>0</v>
      </c>
      <c r="AV64" s="155">
        <f>IF(ISERROR(LOOKUP(AV$10,$O64:$AQ64,#REF!)),0,(LOOKUP(AV$10,$O64:$AQ64,#REF!)))</f>
        <v>0</v>
      </c>
      <c r="AW64" s="155">
        <f>IF(ISERROR(LOOKUP(AW$10,$O64:$AQ64,#REF!)),0,(LOOKUP(AW$10,$O64:$AQ64,#REF!)))</f>
        <v>0</v>
      </c>
      <c r="AX64" s="155">
        <f>IF(ISERROR(LOOKUP(AX$10,$O64:$AQ64,#REF!)),0,(LOOKUP(AX$10,$O64:$AQ64,#REF!)))</f>
        <v>0</v>
      </c>
      <c r="AY64" s="155">
        <f>IF(ISERROR(LOOKUP(AY$10,$O64:$AQ64,#REF!)),0,(LOOKUP(AY$10,$O64:$AQ64,#REF!)))</f>
        <v>0</v>
      </c>
      <c r="AZ64" s="155">
        <f>IF(ISERROR(LOOKUP(AZ$10,$O64:$AQ64,#REF!)),0,(LOOKUP(AZ$10,$O64:$AQ64,#REF!)))</f>
        <v>0</v>
      </c>
      <c r="BA64" s="155">
        <f>IF(ISERROR(LOOKUP(BA$10,$O64:$AQ64,#REF!)),0,(LOOKUP(BA$10,$O64:$AQ64,#REF!)))</f>
        <v>0</v>
      </c>
      <c r="BB64" s="155">
        <f ca="1">IF(ISERROR(LOOKUP(BB$10,$O64:$AQ64,#REF!)),0,(LOOKUP(BB$10,$O64:$AQ64,#REF!)))</f>
        <v>0</v>
      </c>
      <c r="BC64" s="156" t="s">
        <v>196</v>
      </c>
      <c r="BD64" s="176"/>
      <c r="BE64" s="176"/>
    </row>
    <row r="65" spans="1:57" s="78" customFormat="1" ht="15.4" thickTop="1" thickBot="1" x14ac:dyDescent="0.45">
      <c r="A65" s="459"/>
      <c r="B65" s="158" t="s">
        <v>153</v>
      </c>
      <c r="C65" s="197" t="s">
        <v>191</v>
      </c>
      <c r="D65" s="160" t="s">
        <v>192</v>
      </c>
      <c r="E65" s="205"/>
      <c r="F65" s="205"/>
      <c r="G65" s="204" t="s">
        <v>194</v>
      </c>
      <c r="H65" s="228" t="s">
        <v>158</v>
      </c>
      <c r="I65" s="159" t="s">
        <v>138</v>
      </c>
      <c r="J65" s="197" t="s">
        <v>74</v>
      </c>
      <c r="K65" s="197" t="s">
        <v>4</v>
      </c>
      <c r="L65" s="266" t="s">
        <v>197</v>
      </c>
      <c r="M65" s="165" t="s">
        <v>76</v>
      </c>
      <c r="N65" s="166" t="s">
        <v>84</v>
      </c>
      <c r="O65" s="167"/>
      <c r="P65" s="168"/>
      <c r="Q65" s="168"/>
      <c r="R65" s="168"/>
      <c r="S65" s="168"/>
      <c r="T65" s="168"/>
      <c r="U65" s="168"/>
      <c r="V65" s="168">
        <v>46239</v>
      </c>
      <c r="W65" s="168">
        <v>46239</v>
      </c>
      <c r="X65" s="168">
        <f>X64</f>
        <v>46244</v>
      </c>
      <c r="Y65" s="168">
        <f>WORKDAY(X65,Y7,IF(Y12="China",'China Holidays'!$A$2:$A$84,'Thai Holidays'!$A$2:$A$65))</f>
        <v>46246</v>
      </c>
      <c r="Z65" s="168">
        <f>WORKDAY(Y65,Z7,IF(Z12="China",'China Holidays'!$A$2:$A$84,'Thai Holidays'!$A$2:$A$65))</f>
        <v>46253</v>
      </c>
      <c r="AA65" s="168">
        <f>WORKDAY(Z65,AA7,IF(AA12="China",'China Holidays'!$A$2:$A$84,'Thai Holidays'!$A$2:$A$65))</f>
        <v>46281</v>
      </c>
      <c r="AB65" s="168">
        <f>WORKDAY(AA65,AB7,IF(AB12="China",'China Holidays'!$A$2:$A$84,'Thai Holidays'!$A$2:$A$65))</f>
        <v>46295</v>
      </c>
      <c r="AC65" s="168">
        <f>AB65+30</f>
        <v>46325</v>
      </c>
      <c r="AD65" s="168">
        <f>AC65+3</f>
        <v>46328</v>
      </c>
      <c r="AE65" s="168">
        <f>AD65+3</f>
        <v>46331</v>
      </c>
      <c r="AF65" s="168">
        <f>AG65-10</f>
        <v>46425</v>
      </c>
      <c r="AG65" s="168">
        <f>AH65-5</f>
        <v>46435</v>
      </c>
      <c r="AH65" s="168">
        <f>AM65</f>
        <v>46440</v>
      </c>
      <c r="AI65" s="168">
        <f>AM64+3</f>
        <v>46443</v>
      </c>
      <c r="AJ65" s="168">
        <f>AM64+30</f>
        <v>46470</v>
      </c>
      <c r="AK65" s="169"/>
      <c r="AL65" s="230"/>
      <c r="AM65" s="170">
        <f>X65+AL64</f>
        <v>46440</v>
      </c>
      <c r="AN65" s="170"/>
      <c r="AO65" s="171"/>
      <c r="AP65" s="172"/>
      <c r="AQ65" s="448"/>
      <c r="AR65" s="154">
        <f>IF(ISERROR(LOOKUP(AR$10,$O65:$AQ65,#REF!)),0,(LOOKUP(AR$10,$O65:$AQ65,#REF!)))</f>
        <v>0</v>
      </c>
      <c r="AS65" s="155">
        <f>IF(ISERROR(LOOKUP(AS$10,$O65:$AQ65,#REF!)),0,(LOOKUP(AS$10,$O65:$AQ65,#REF!)))</f>
        <v>0</v>
      </c>
      <c r="AT65" s="155">
        <f>IF(ISERROR(LOOKUP(AT$10,$O65:$AQ65,#REF!)),0,(LOOKUP(AT$10,$O65:$AQ65,#REF!)))</f>
        <v>0</v>
      </c>
      <c r="AU65" s="155">
        <f>IF(ISERROR(LOOKUP(AU$10,$O65:$AQ65,#REF!)),0,(LOOKUP(AU$10,$O65:$AQ65,#REF!)))</f>
        <v>0</v>
      </c>
      <c r="AV65" s="155">
        <f>IF(ISERROR(LOOKUP(AV$10,$O65:$AQ65,#REF!)),0,(LOOKUP(AV$10,$O65:$AQ65,#REF!)))</f>
        <v>0</v>
      </c>
      <c r="AW65" s="155">
        <f>IF(ISERROR(LOOKUP(AW$10,$O65:$AQ65,#REF!)),0,(LOOKUP(AW$10,$O65:$AQ65,#REF!)))</f>
        <v>0</v>
      </c>
      <c r="AX65" s="155">
        <f>IF(ISERROR(LOOKUP(AX$10,$O65:$AQ65,#REF!)),0,(LOOKUP(AX$10,$O65:$AQ65,#REF!)))</f>
        <v>0</v>
      </c>
      <c r="AY65" s="155">
        <f>IF(ISERROR(LOOKUP(AY$10,$O65:$AQ65,#REF!)),0,(LOOKUP(AY$10,$O65:$AQ65,#REF!)))</f>
        <v>0</v>
      </c>
      <c r="AZ65" s="155">
        <f>IF(ISERROR(LOOKUP(AZ$10,$O65:$AQ65,#REF!)),0,(LOOKUP(AZ$10,$O65:$AQ65,#REF!)))</f>
        <v>0</v>
      </c>
      <c r="BA65" s="155">
        <f>IF(ISERROR(LOOKUP(BA$10,$O65:$AQ65,#REF!)),0,(LOOKUP(BA$10,$O65:$AQ65,#REF!)))</f>
        <v>0</v>
      </c>
      <c r="BB65" s="155">
        <f ca="1">IF(ISERROR(LOOKUP(BB$10,$O65:$AQ65,#REF!)),0,(LOOKUP(BB$10,$O65:$AQ65,#REF!)))</f>
        <v>0</v>
      </c>
      <c r="BC65" s="156"/>
      <c r="BD65" s="176"/>
      <c r="BE65" s="176"/>
    </row>
    <row r="66" spans="1:57" s="78" customFormat="1" ht="15.4" thickTop="1" thickBot="1" x14ac:dyDescent="0.45">
      <c r="A66" s="460"/>
      <c r="B66" s="177" t="s">
        <v>153</v>
      </c>
      <c r="C66" s="178" t="s">
        <v>191</v>
      </c>
      <c r="D66" s="179" t="s">
        <v>192</v>
      </c>
      <c r="E66" s="208"/>
      <c r="F66" s="208"/>
      <c r="G66" s="209" t="s">
        <v>194</v>
      </c>
      <c r="H66" s="182" t="s">
        <v>158</v>
      </c>
      <c r="I66" s="178" t="s">
        <v>138</v>
      </c>
      <c r="J66" s="178" t="s">
        <v>74</v>
      </c>
      <c r="K66" s="178" t="s">
        <v>4</v>
      </c>
      <c r="L66" s="267"/>
      <c r="M66" s="184" t="s">
        <v>76</v>
      </c>
      <c r="N66" s="185" t="s">
        <v>87</v>
      </c>
      <c r="O66" s="186">
        <v>46174</v>
      </c>
      <c r="P66" s="186">
        <v>46148</v>
      </c>
      <c r="Q66" s="186">
        <v>46165</v>
      </c>
      <c r="R66" s="186">
        <v>46174</v>
      </c>
      <c r="S66" s="186">
        <v>46174</v>
      </c>
      <c r="T66" s="186">
        <v>46188</v>
      </c>
      <c r="U66" s="186">
        <v>46213</v>
      </c>
      <c r="V66" s="186"/>
      <c r="W66" s="186"/>
      <c r="X66" s="186"/>
      <c r="Y66" s="186"/>
      <c r="Z66" s="186"/>
      <c r="AA66" s="186"/>
      <c r="AB66" s="186"/>
      <c r="AC66" s="186"/>
      <c r="AD66" s="186"/>
      <c r="AE66" s="186"/>
      <c r="AF66" s="186"/>
      <c r="AG66" s="186"/>
      <c r="AH66" s="186"/>
      <c r="AI66" s="186"/>
      <c r="AJ66" s="186"/>
      <c r="AK66" s="188"/>
      <c r="AL66" s="211"/>
      <c r="AM66" s="187"/>
      <c r="AN66" s="187"/>
      <c r="AO66" s="189"/>
      <c r="AP66" s="190"/>
      <c r="AQ66" s="449"/>
      <c r="AR66" s="191">
        <f>IF(ISERROR(LOOKUP(AR$10,$O66:$AQ66,#REF!)),0,(LOOKUP(AR$10,$O66:$AQ66,#REF!)))</f>
        <v>0</v>
      </c>
      <c r="AS66" s="192">
        <f>IF(ISERROR(LOOKUP(AS$10,$O66:$AQ66,#REF!)),0,(LOOKUP(AS$10,$O66:$AQ66,#REF!)))</f>
        <v>0</v>
      </c>
      <c r="AT66" s="192">
        <f>IF(ISERROR(LOOKUP(AT$10,$O66:$AQ66,#REF!)),0,(LOOKUP(AT$10,$O66:$AQ66,#REF!)))</f>
        <v>0</v>
      </c>
      <c r="AU66" s="192">
        <f>IF(ISERROR(LOOKUP(AU$10,$O66:$AQ66,#REF!)),0,(LOOKUP(AU$10,$O66:$AQ66,#REF!)))</f>
        <v>0</v>
      </c>
      <c r="AV66" s="192">
        <f>IF(ISERROR(LOOKUP(AV$10,$O66:$AQ66,#REF!)),0,(LOOKUP(AV$10,$O66:$AQ66,#REF!)))</f>
        <v>0</v>
      </c>
      <c r="AW66" s="192">
        <f>IF(ISERROR(LOOKUP(AW$10,$O66:$AQ66,#REF!)),0,(LOOKUP(AW$10,$O66:$AQ66,#REF!)))</f>
        <v>0</v>
      </c>
      <c r="AX66" s="192">
        <f>IF(ISERROR(LOOKUP(AX$10,$O66:$AQ66,#REF!)),0,(LOOKUP(AX$10,$O66:$AQ66,#REF!)))</f>
        <v>0</v>
      </c>
      <c r="AY66" s="192">
        <f>IF(ISERROR(LOOKUP(AY$10,$O66:$AQ66,#REF!)),0,(LOOKUP(AY$10,$O66:$AQ66,#REF!)))</f>
        <v>0</v>
      </c>
      <c r="AZ66" s="192">
        <f>IF(ISERROR(LOOKUP(AZ$10,$O66:$AQ66,#REF!)),0,(LOOKUP(AZ$10,$O66:$AQ66,#REF!)))</f>
        <v>0</v>
      </c>
      <c r="BA66" s="192">
        <f>IF(ISERROR(LOOKUP(BA$10,$O66:$AQ66,#REF!)),0,(LOOKUP(BA$10,$O66:$AQ66,#REF!)))</f>
        <v>0</v>
      </c>
      <c r="BB66" s="192">
        <f ca="1">IF(ISERROR(LOOKUP(BB$10,$O66:$AQ66,#REF!)),0,(LOOKUP(BB$10,$O66:$AQ66,#REF!)))</f>
        <v>0</v>
      </c>
      <c r="BC66" s="156"/>
      <c r="BD66" s="176"/>
      <c r="BE66" s="176"/>
    </row>
    <row r="67" spans="1:57" s="78" customFormat="1" ht="15.4" thickTop="1" thickBot="1" x14ac:dyDescent="0.45">
      <c r="A67" s="458">
        <f t="shared" ref="A67" si="12">A64+1</f>
        <v>17</v>
      </c>
      <c r="B67" s="139" t="s">
        <v>153</v>
      </c>
      <c r="C67" s="239" t="s">
        <v>198</v>
      </c>
      <c r="D67" s="233" t="s">
        <v>199</v>
      </c>
      <c r="E67" s="142"/>
      <c r="F67" s="142" t="s">
        <v>70</v>
      </c>
      <c r="G67" s="427" t="s">
        <v>182</v>
      </c>
      <c r="H67" s="143" t="s">
        <v>158</v>
      </c>
      <c r="I67" s="140" t="s">
        <v>138</v>
      </c>
      <c r="J67" s="140" t="s">
        <v>95</v>
      </c>
      <c r="K67" s="140" t="s">
        <v>6</v>
      </c>
      <c r="L67" s="202" t="s">
        <v>200</v>
      </c>
      <c r="M67" s="145" t="s">
        <v>76</v>
      </c>
      <c r="N67" s="146" t="s">
        <v>77</v>
      </c>
      <c r="O67" s="147">
        <v>46174</v>
      </c>
      <c r="P67" s="147">
        <v>46177</v>
      </c>
      <c r="Q67" s="147">
        <v>46184</v>
      </c>
      <c r="R67" s="147">
        <v>46185</v>
      </c>
      <c r="S67" s="147">
        <v>46192</v>
      </c>
      <c r="T67" s="147">
        <v>46206</v>
      </c>
      <c r="U67" s="147">
        <v>46227</v>
      </c>
      <c r="V67" s="147">
        <v>46234</v>
      </c>
      <c r="W67" s="147"/>
      <c r="X67" s="148">
        <v>46248</v>
      </c>
      <c r="Y67" s="147">
        <v>46252</v>
      </c>
      <c r="Z67" s="147">
        <v>46259</v>
      </c>
      <c r="AA67" s="147">
        <v>46280</v>
      </c>
      <c r="AB67" s="147">
        <v>46294</v>
      </c>
      <c r="AC67" s="147">
        <v>46324</v>
      </c>
      <c r="AD67" s="147">
        <v>46327</v>
      </c>
      <c r="AE67" s="147">
        <v>46330</v>
      </c>
      <c r="AF67" s="147">
        <v>46422</v>
      </c>
      <c r="AG67" s="147">
        <v>46437</v>
      </c>
      <c r="AH67" s="147">
        <v>46444</v>
      </c>
      <c r="AI67" s="147">
        <v>46447</v>
      </c>
      <c r="AJ67" s="147">
        <v>46474</v>
      </c>
      <c r="AK67" s="149">
        <v>28</v>
      </c>
      <c r="AL67" s="150">
        <v>196</v>
      </c>
      <c r="AM67" s="151">
        <v>46444</v>
      </c>
      <c r="AN67" s="151">
        <v>46476</v>
      </c>
      <c r="AO67" s="225">
        <f>AN67-AM68</f>
        <v>32</v>
      </c>
      <c r="AP67" s="235" t="s">
        <v>171</v>
      </c>
      <c r="AQ67" s="447" t="s">
        <v>201</v>
      </c>
      <c r="AR67" s="154">
        <f>IF(ISERROR(LOOKUP(AR$10,$O67:$AQ67,#REF!)),0,(LOOKUP(AR$10,$O67:$AQ67,#REF!)))</f>
        <v>0</v>
      </c>
      <c r="AS67" s="155">
        <f>IF(ISERROR(LOOKUP(AS$10,$O67:$AQ67,#REF!)),0,(LOOKUP(AS$10,$O67:$AQ67,#REF!)))</f>
        <v>0</v>
      </c>
      <c r="AT67" s="155">
        <f>IF(ISERROR(LOOKUP(AT$10,$O67:$AQ67,#REF!)),0,(LOOKUP(AT$10,$O67:$AQ67,#REF!)))</f>
        <v>0</v>
      </c>
      <c r="AU67" s="155">
        <f>IF(ISERROR(LOOKUP(AU$10,$O67:$AQ67,#REF!)),0,(LOOKUP(AU$10,$O67:$AQ67,#REF!)))</f>
        <v>0</v>
      </c>
      <c r="AV67" s="155">
        <f>IF(ISERROR(LOOKUP(AV$10,$O67:$AQ67,#REF!)),0,(LOOKUP(AV$10,$O67:$AQ67,#REF!)))</f>
        <v>0</v>
      </c>
      <c r="AW67" s="155">
        <f>IF(ISERROR(LOOKUP(AW$10,$O67:$AQ67,#REF!)),0,(LOOKUP(AW$10,$O67:$AQ67,#REF!)))</f>
        <v>0</v>
      </c>
      <c r="AX67" s="155">
        <f>IF(ISERROR(LOOKUP(AX$10,$O67:$AQ67,#REF!)),0,(LOOKUP(AX$10,$O67:$AQ67,#REF!)))</f>
        <v>0</v>
      </c>
      <c r="AY67" s="155">
        <f>IF(ISERROR(LOOKUP(AY$10,$O67:$AQ67,#REF!)),0,(LOOKUP(AY$10,$O67:$AQ67,#REF!)))</f>
        <v>0</v>
      </c>
      <c r="AZ67" s="155">
        <f>IF(ISERROR(LOOKUP(AZ$10,$O67:$AQ67,#REF!)),0,(LOOKUP(AZ$10,$O67:$AQ67,#REF!)))</f>
        <v>0</v>
      </c>
      <c r="BA67" s="155">
        <f>IF(ISERROR(LOOKUP(BA$10,$O67:$AQ67,#REF!)),0,(LOOKUP(BA$10,$O67:$AQ67,#REF!)))</f>
        <v>0</v>
      </c>
      <c r="BB67" s="155">
        <f ca="1">IF(ISERROR(LOOKUP(BB$10,$O67:$AQ67,#REF!)),0,(LOOKUP(BB$10,$O67:$AQ67,#REF!)))</f>
        <v>0</v>
      </c>
      <c r="BC67" s="156" t="s">
        <v>80</v>
      </c>
      <c r="BD67" s="176" t="s">
        <v>172</v>
      </c>
      <c r="BE67" s="176"/>
    </row>
    <row r="68" spans="1:57" s="78" customFormat="1" ht="15.4" thickTop="1" thickBot="1" x14ac:dyDescent="0.45">
      <c r="A68" s="459"/>
      <c r="B68" s="158" t="s">
        <v>153</v>
      </c>
      <c r="C68" s="241" t="s">
        <v>198</v>
      </c>
      <c r="D68" s="160" t="s">
        <v>199</v>
      </c>
      <c r="E68" s="161"/>
      <c r="F68" s="161"/>
      <c r="G68" s="204" t="s">
        <v>182</v>
      </c>
      <c r="H68" s="228" t="s">
        <v>158</v>
      </c>
      <c r="I68" s="159" t="s">
        <v>138</v>
      </c>
      <c r="J68" s="159" t="s">
        <v>95</v>
      </c>
      <c r="K68" s="159" t="s">
        <v>6</v>
      </c>
      <c r="L68" s="268"/>
      <c r="M68" s="165" t="s">
        <v>76</v>
      </c>
      <c r="N68" s="166" t="s">
        <v>84</v>
      </c>
      <c r="O68" s="167"/>
      <c r="P68" s="168"/>
      <c r="Q68" s="168"/>
      <c r="R68" s="168"/>
      <c r="S68" s="168"/>
      <c r="T68" s="168"/>
      <c r="U68" s="168"/>
      <c r="V68" s="168"/>
      <c r="W68" s="168"/>
      <c r="X68" s="168">
        <f>X67</f>
        <v>46248</v>
      </c>
      <c r="Y68" s="168">
        <f>WORKDAY(X68,Y8,IF(Y12="China",'China Holidays'!$A$2:$A$84,'Thai Holidays'!$A$2:$A$65))</f>
        <v>46252</v>
      </c>
      <c r="Z68" s="168">
        <f>WORKDAY(Y68,Z8,IF(Z12="China",'China Holidays'!$A$2:$A$84,'Thai Holidays'!$A$2:$A$65))</f>
        <v>46259</v>
      </c>
      <c r="AA68" s="168">
        <f>WORKDAY(Z68,AA8,IF(AA12="China",'China Holidays'!$A$2:$A$84,'Thai Holidays'!$A$2:$A$65))</f>
        <v>46280</v>
      </c>
      <c r="AB68" s="168">
        <f>WORKDAY(AA68,AB8,IF(AB12="China",'China Holidays'!$A$2:$A$84,'Thai Holidays'!$A$2:$A$65))</f>
        <v>46294</v>
      </c>
      <c r="AC68" s="168">
        <f>AB68+30</f>
        <v>46324</v>
      </c>
      <c r="AD68" s="168">
        <f>AC68+3</f>
        <v>46327</v>
      </c>
      <c r="AE68" s="168">
        <f>AD68+3</f>
        <v>46330</v>
      </c>
      <c r="AF68" s="168">
        <f>AG68-10</f>
        <v>46427</v>
      </c>
      <c r="AG68" s="168">
        <f>AH68-7</f>
        <v>46437</v>
      </c>
      <c r="AH68" s="168">
        <f>AM68</f>
        <v>46444</v>
      </c>
      <c r="AI68" s="168">
        <f>AM67+3</f>
        <v>46447</v>
      </c>
      <c r="AJ68" s="168">
        <f>AM67+30</f>
        <v>46474</v>
      </c>
      <c r="AK68" s="199"/>
      <c r="AL68" s="206"/>
      <c r="AM68" s="170">
        <f>X68+AL67</f>
        <v>46444</v>
      </c>
      <c r="AN68" s="170"/>
      <c r="AO68" s="171"/>
      <c r="AP68" s="172"/>
      <c r="AQ68" s="448"/>
      <c r="AR68" s="154">
        <f>IF(ISERROR(LOOKUP(AR$10,$O68:$AQ68,#REF!)),0,(LOOKUP(AR$10,$O68:$AQ68,#REF!)))</f>
        <v>0</v>
      </c>
      <c r="AS68" s="155">
        <f>IF(ISERROR(LOOKUP(AS$10,$O68:$AQ68,#REF!)),0,(LOOKUP(AS$10,$O68:$AQ68,#REF!)))</f>
        <v>0</v>
      </c>
      <c r="AT68" s="155">
        <f>IF(ISERROR(LOOKUP(AT$10,$O68:$AQ68,#REF!)),0,(LOOKUP(AT$10,$O68:$AQ68,#REF!)))</f>
        <v>0</v>
      </c>
      <c r="AU68" s="155">
        <f>IF(ISERROR(LOOKUP(AU$10,$O68:$AQ68,#REF!)),0,(LOOKUP(AU$10,$O68:$AQ68,#REF!)))</f>
        <v>0</v>
      </c>
      <c r="AV68" s="155">
        <f>IF(ISERROR(LOOKUP(AV$10,$O68:$AQ68,#REF!)),0,(LOOKUP(AV$10,$O68:$AQ68,#REF!)))</f>
        <v>0</v>
      </c>
      <c r="AW68" s="155">
        <f>IF(ISERROR(LOOKUP(AW$10,$O68:$AQ68,#REF!)),0,(LOOKUP(AW$10,$O68:$AQ68,#REF!)))</f>
        <v>0</v>
      </c>
      <c r="AX68" s="155">
        <f>IF(ISERROR(LOOKUP(AX$10,$O68:$AQ68,#REF!)),0,(LOOKUP(AX$10,$O68:$AQ68,#REF!)))</f>
        <v>0</v>
      </c>
      <c r="AY68" s="155">
        <f>IF(ISERROR(LOOKUP(AY$10,$O68:$AQ68,#REF!)),0,(LOOKUP(AY$10,$O68:$AQ68,#REF!)))</f>
        <v>0</v>
      </c>
      <c r="AZ68" s="155">
        <f>IF(ISERROR(LOOKUP(AZ$10,$O68:$AQ68,#REF!)),0,(LOOKUP(AZ$10,$O68:$AQ68,#REF!)))</f>
        <v>0</v>
      </c>
      <c r="BA68" s="155">
        <f>IF(ISERROR(LOOKUP(BA$10,$O68:$AQ68,#REF!)),0,(LOOKUP(BA$10,$O68:$AQ68,#REF!)))</f>
        <v>0</v>
      </c>
      <c r="BB68" s="155">
        <f ca="1">IF(ISERROR(LOOKUP(BB$10,$O68:$AQ68,#REF!)),0,(LOOKUP(BB$10,$O68:$AQ68,#REF!)))</f>
        <v>0</v>
      </c>
      <c r="BC68" s="156" t="s">
        <v>85</v>
      </c>
      <c r="BD68" s="176" t="s">
        <v>173</v>
      </c>
      <c r="BE68" s="176"/>
    </row>
    <row r="69" spans="1:57" s="78" customFormat="1" ht="15.4" thickTop="1" thickBot="1" x14ac:dyDescent="0.45">
      <c r="A69" s="460"/>
      <c r="B69" s="177" t="s">
        <v>153</v>
      </c>
      <c r="C69" s="237" t="s">
        <v>198</v>
      </c>
      <c r="D69" s="179" t="s">
        <v>199</v>
      </c>
      <c r="E69" s="243"/>
      <c r="F69" s="243"/>
      <c r="G69" s="209" t="s">
        <v>182</v>
      </c>
      <c r="H69" s="182" t="s">
        <v>158</v>
      </c>
      <c r="I69" s="178" t="s">
        <v>138</v>
      </c>
      <c r="J69" s="178" t="s">
        <v>95</v>
      </c>
      <c r="K69" s="178" t="s">
        <v>6</v>
      </c>
      <c r="L69" s="269"/>
      <c r="M69" s="184" t="s">
        <v>76</v>
      </c>
      <c r="N69" s="185" t="s">
        <v>87</v>
      </c>
      <c r="O69" s="186">
        <v>46183</v>
      </c>
      <c r="P69" s="186">
        <v>46148</v>
      </c>
      <c r="Q69" s="186">
        <v>46165</v>
      </c>
      <c r="R69" s="186">
        <v>46182</v>
      </c>
      <c r="S69" s="186">
        <v>46182</v>
      </c>
      <c r="T69" s="186">
        <v>46202</v>
      </c>
      <c r="U69" s="186">
        <v>46219</v>
      </c>
      <c r="V69" s="186">
        <v>46233</v>
      </c>
      <c r="W69" s="186"/>
      <c r="X69" s="186"/>
      <c r="Y69" s="186"/>
      <c r="Z69" s="186"/>
      <c r="AA69" s="186"/>
      <c r="AB69" s="186"/>
      <c r="AC69" s="186"/>
      <c r="AD69" s="186"/>
      <c r="AE69" s="186"/>
      <c r="AF69" s="186"/>
      <c r="AG69" s="186"/>
      <c r="AH69" s="186"/>
      <c r="AI69" s="186"/>
      <c r="AJ69" s="186"/>
      <c r="AK69" s="188"/>
      <c r="AL69" s="211"/>
      <c r="AM69" s="187"/>
      <c r="AN69" s="187"/>
      <c r="AO69" s="189"/>
      <c r="AP69" s="190"/>
      <c r="AQ69" s="449"/>
      <c r="AR69" s="191">
        <f>IF(ISERROR(LOOKUP(AR$10,$O69:$AQ69,#REF!)),0,(LOOKUP(AR$10,$O69:$AQ69,#REF!)))</f>
        <v>0</v>
      </c>
      <c r="AS69" s="192">
        <f>IF(ISERROR(LOOKUP(AS$10,$O69:$AQ69,#REF!)),0,(LOOKUP(AS$10,$O69:$AQ69,#REF!)))</f>
        <v>0</v>
      </c>
      <c r="AT69" s="192">
        <f>IF(ISERROR(LOOKUP(AT$10,$O69:$AQ69,#REF!)),0,(LOOKUP(AT$10,$O69:$AQ69,#REF!)))</f>
        <v>0</v>
      </c>
      <c r="AU69" s="192">
        <f>IF(ISERROR(LOOKUP(AU$10,$O69:$AQ69,#REF!)),0,(LOOKUP(AU$10,$O69:$AQ69,#REF!)))</f>
        <v>0</v>
      </c>
      <c r="AV69" s="192">
        <f>IF(ISERROR(LOOKUP(AV$10,$O69:$AQ69,#REF!)),0,(LOOKUP(AV$10,$O69:$AQ69,#REF!)))</f>
        <v>0</v>
      </c>
      <c r="AW69" s="192">
        <f>IF(ISERROR(LOOKUP(AW$10,$O69:$AQ69,#REF!)),0,(LOOKUP(AW$10,$O69:$AQ69,#REF!)))</f>
        <v>0</v>
      </c>
      <c r="AX69" s="192">
        <f>IF(ISERROR(LOOKUP(AX$10,$O69:$AQ69,#REF!)),0,(LOOKUP(AX$10,$O69:$AQ69,#REF!)))</f>
        <v>0</v>
      </c>
      <c r="AY69" s="192">
        <f>IF(ISERROR(LOOKUP(AY$10,$O69:$AQ69,#REF!)),0,(LOOKUP(AY$10,$O69:$AQ69,#REF!)))</f>
        <v>0</v>
      </c>
      <c r="AZ69" s="192">
        <f>IF(ISERROR(LOOKUP(AZ$10,$O69:$AQ69,#REF!)),0,(LOOKUP(AZ$10,$O69:$AQ69,#REF!)))</f>
        <v>0</v>
      </c>
      <c r="BA69" s="192">
        <f>IF(ISERROR(LOOKUP(BA$10,$O69:$AQ69,#REF!)),0,(LOOKUP(BA$10,$O69:$AQ69,#REF!)))</f>
        <v>0</v>
      </c>
      <c r="BB69" s="192">
        <f ca="1">IF(ISERROR(LOOKUP(BB$10,$O69:$AQ69,#REF!)),0,(LOOKUP(BB$10,$O69:$AQ69,#REF!)))</f>
        <v>0</v>
      </c>
      <c r="BC69" s="156" t="s">
        <v>88</v>
      </c>
      <c r="BD69" s="176" t="s">
        <v>174</v>
      </c>
      <c r="BE69" s="176"/>
    </row>
    <row r="70" spans="1:57" s="78" customFormat="1" ht="15.4" thickTop="1" thickBot="1" x14ac:dyDescent="0.45">
      <c r="A70" s="458">
        <f>A67+1</f>
        <v>18</v>
      </c>
      <c r="B70" s="139" t="s">
        <v>202</v>
      </c>
      <c r="C70" s="140" t="s">
        <v>203</v>
      </c>
      <c r="D70" s="233" t="s">
        <v>204</v>
      </c>
      <c r="E70" s="202" t="s">
        <v>205</v>
      </c>
      <c r="F70" s="202" t="s">
        <v>130</v>
      </c>
      <c r="G70" s="427" t="s">
        <v>206</v>
      </c>
      <c r="H70" s="143" t="s">
        <v>158</v>
      </c>
      <c r="I70" s="140" t="s">
        <v>138</v>
      </c>
      <c r="J70" s="140" t="s">
        <v>95</v>
      </c>
      <c r="K70" s="140" t="s">
        <v>2</v>
      </c>
      <c r="L70" s="203"/>
      <c r="M70" s="145" t="s">
        <v>76</v>
      </c>
      <c r="N70" s="146" t="s">
        <v>77</v>
      </c>
      <c r="O70" s="147">
        <v>46174</v>
      </c>
      <c r="P70" s="147">
        <v>46177</v>
      </c>
      <c r="Q70" s="147">
        <v>46184</v>
      </c>
      <c r="R70" s="147">
        <v>46185</v>
      </c>
      <c r="S70" s="147">
        <v>46192</v>
      </c>
      <c r="T70" s="147">
        <v>46206</v>
      </c>
      <c r="U70" s="148">
        <v>46227</v>
      </c>
      <c r="V70" s="147">
        <v>46234</v>
      </c>
      <c r="W70" s="147"/>
      <c r="X70" s="147">
        <v>46248</v>
      </c>
      <c r="Y70" s="147">
        <v>46252</v>
      </c>
      <c r="Z70" s="147">
        <v>46259</v>
      </c>
      <c r="AA70" s="147">
        <v>46280</v>
      </c>
      <c r="AB70" s="147">
        <v>46294</v>
      </c>
      <c r="AC70" s="147">
        <v>46324</v>
      </c>
      <c r="AD70" s="147">
        <v>46327</v>
      </c>
      <c r="AE70" s="147">
        <v>46330</v>
      </c>
      <c r="AF70" s="147">
        <v>46401</v>
      </c>
      <c r="AG70" s="147">
        <v>46411</v>
      </c>
      <c r="AH70" s="147">
        <v>46416</v>
      </c>
      <c r="AI70" s="147">
        <v>46419</v>
      </c>
      <c r="AJ70" s="147">
        <v>46446</v>
      </c>
      <c r="AK70" s="149">
        <v>24</v>
      </c>
      <c r="AL70" s="150">
        <v>168</v>
      </c>
      <c r="AM70" s="151">
        <v>46416</v>
      </c>
      <c r="AN70" s="151">
        <v>46485</v>
      </c>
      <c r="AO70" s="225">
        <f>AN70-AM71</f>
        <v>59</v>
      </c>
      <c r="AP70" s="235" t="s">
        <v>171</v>
      </c>
      <c r="AQ70" s="447"/>
      <c r="AR70" s="154">
        <f>IF(ISERROR(LOOKUP(AR$10,$O70:$AQ70,#REF!)),0,(LOOKUP(AR$10,$O70:$AQ70,#REF!)))</f>
        <v>0</v>
      </c>
      <c r="AS70" s="155">
        <f>IF(ISERROR(LOOKUP(AS$10,$O70:$AQ70,#REF!)),0,(LOOKUP(AS$10,$O70:$AQ70,#REF!)))</f>
        <v>0</v>
      </c>
      <c r="AT70" s="155">
        <f>IF(ISERROR(LOOKUP(AT$10,$O70:$AQ70,#REF!)),0,(LOOKUP(AT$10,$O70:$AQ70,#REF!)))</f>
        <v>0</v>
      </c>
      <c r="AU70" s="155">
        <f>IF(ISERROR(LOOKUP(AU$10,$O70:$AQ70,#REF!)),0,(LOOKUP(AU$10,$O70:$AQ70,#REF!)))</f>
        <v>0</v>
      </c>
      <c r="AV70" s="155">
        <f>IF(ISERROR(LOOKUP(AV$10,$O70:$AQ70,#REF!)),0,(LOOKUP(AV$10,$O70:$AQ70,#REF!)))</f>
        <v>0</v>
      </c>
      <c r="AW70" s="155">
        <f>IF(ISERROR(LOOKUP(AW$10,$O70:$AQ70,#REF!)),0,(LOOKUP(AW$10,$O70:$AQ70,#REF!)))</f>
        <v>0</v>
      </c>
      <c r="AX70" s="155">
        <f>IF(ISERROR(LOOKUP(AX$10,$O70:$AQ70,#REF!)),0,(LOOKUP(AX$10,$O70:$AQ70,#REF!)))</f>
        <v>0</v>
      </c>
      <c r="AY70" s="155">
        <f>IF(ISERROR(LOOKUP(AY$10,$O70:$AQ70,#REF!)),0,(LOOKUP(AY$10,$O70:$AQ70,#REF!)))</f>
        <v>0</v>
      </c>
      <c r="AZ70" s="155">
        <f>IF(ISERROR(LOOKUP(AZ$10,$O70:$AQ70,#REF!)),0,(LOOKUP(AZ$10,$O70:$AQ70,#REF!)))</f>
        <v>0</v>
      </c>
      <c r="BA70" s="155">
        <f>IF(ISERROR(LOOKUP(BA$10,$O70:$AQ70,#REF!)),0,(LOOKUP(BA$10,$O70:$AQ70,#REF!)))</f>
        <v>0</v>
      </c>
      <c r="BB70" s="155">
        <f ca="1">IF(ISERROR(LOOKUP(BB$10,$O70:$AQ70,#REF!)),0,(LOOKUP(BB$10,$O70:$AQ70,#REF!)))</f>
        <v>0</v>
      </c>
      <c r="BC70" s="156"/>
      <c r="BD70" s="176"/>
      <c r="BE70" s="176"/>
    </row>
    <row r="71" spans="1:57" s="78" customFormat="1" ht="15.4" thickTop="1" thickBot="1" x14ac:dyDescent="0.45">
      <c r="A71" s="459"/>
      <c r="B71" s="158" t="s">
        <v>202</v>
      </c>
      <c r="C71" s="197" t="s">
        <v>203</v>
      </c>
      <c r="D71" s="160" t="s">
        <v>204</v>
      </c>
      <c r="E71" s="205" t="s">
        <v>207</v>
      </c>
      <c r="F71" s="205" t="s">
        <v>130</v>
      </c>
      <c r="G71" s="204" t="s">
        <v>206</v>
      </c>
      <c r="H71" s="228" t="s">
        <v>158</v>
      </c>
      <c r="I71" s="159" t="s">
        <v>138</v>
      </c>
      <c r="J71" s="197" t="s">
        <v>95</v>
      </c>
      <c r="K71" s="197" t="s">
        <v>2</v>
      </c>
      <c r="L71" s="204"/>
      <c r="M71" s="165" t="s">
        <v>76</v>
      </c>
      <c r="N71" s="166" t="s">
        <v>84</v>
      </c>
      <c r="O71" s="167"/>
      <c r="P71" s="168"/>
      <c r="Q71" s="168"/>
      <c r="R71" s="168"/>
      <c r="S71" s="168"/>
      <c r="T71" s="168"/>
      <c r="U71" s="168">
        <v>46241</v>
      </c>
      <c r="V71" s="168">
        <f>WORKDAY(U71,V6,IF(V12="China",'China Holidays'!$A$2:$A$84,'Thai Holidays'!$A$2:$A$65))</f>
        <v>46258</v>
      </c>
      <c r="W71" s="168"/>
      <c r="X71" s="168">
        <f>V71</f>
        <v>46258</v>
      </c>
      <c r="Y71" s="168">
        <f>WORKDAY(X71,Y6,IF(Y12="China",'China Holidays'!$A$2:$A$84,'Thai Holidays'!$A$2:$A$65))</f>
        <v>46260</v>
      </c>
      <c r="Z71" s="168">
        <f>WORKDAY(Y71,Z6,IF(Z12="China",'China Holidays'!$A$2:$A$84,'Thai Holidays'!$A$2:$A$65))</f>
        <v>46267</v>
      </c>
      <c r="AA71" s="168">
        <f>WORKDAY(Z71,AA6,IF(AA12="China",'China Holidays'!$A$2:$A$84,'Thai Holidays'!$A$2:$A$65))</f>
        <v>46303</v>
      </c>
      <c r="AB71" s="168">
        <f>WORKDAY(AA71,AB6,IF(AB12="China",'China Holidays'!$A$2:$A$84,'Thai Holidays'!$A$2:$A$65))</f>
        <v>46321</v>
      </c>
      <c r="AC71" s="168">
        <f>AB71+23</f>
        <v>46344</v>
      </c>
      <c r="AD71" s="168">
        <f>AC71</f>
        <v>46344</v>
      </c>
      <c r="AE71" s="168">
        <f>AD71+3</f>
        <v>46347</v>
      </c>
      <c r="AF71" s="168">
        <f>AG71-10</f>
        <v>46411</v>
      </c>
      <c r="AG71" s="168">
        <f>AH71-5</f>
        <v>46421</v>
      </c>
      <c r="AH71" s="168">
        <f>AM71</f>
        <v>46426</v>
      </c>
      <c r="AI71" s="168">
        <f>AM70+3</f>
        <v>46419</v>
      </c>
      <c r="AJ71" s="168">
        <f>AM70+30</f>
        <v>46446</v>
      </c>
      <c r="AK71" s="169"/>
      <c r="AL71" s="230"/>
      <c r="AM71" s="170">
        <f>X71+AL70</f>
        <v>46426</v>
      </c>
      <c r="AN71" s="170"/>
      <c r="AO71" s="171"/>
      <c r="AP71" s="172"/>
      <c r="AQ71" s="448"/>
      <c r="AR71" s="154">
        <f>IF(ISERROR(LOOKUP(AR$10,$O71:$AQ71,#REF!)),0,(LOOKUP(AR$10,$O71:$AQ71,#REF!)))</f>
        <v>0</v>
      </c>
      <c r="AS71" s="155">
        <f>IF(ISERROR(LOOKUP(AS$10,$O71:$AQ71,#REF!)),0,(LOOKUP(AS$10,$O71:$AQ71,#REF!)))</f>
        <v>0</v>
      </c>
      <c r="AT71" s="155">
        <f>IF(ISERROR(LOOKUP(AT$10,$O71:$AQ71,#REF!)),0,(LOOKUP(AT$10,$O71:$AQ71,#REF!)))</f>
        <v>0</v>
      </c>
      <c r="AU71" s="155">
        <f>IF(ISERROR(LOOKUP(AU$10,$O71:$AQ71,#REF!)),0,(LOOKUP(AU$10,$O71:$AQ71,#REF!)))</f>
        <v>0</v>
      </c>
      <c r="AV71" s="155">
        <f>IF(ISERROR(LOOKUP(AV$10,$O71:$AQ71,#REF!)),0,(LOOKUP(AV$10,$O71:$AQ71,#REF!)))</f>
        <v>0</v>
      </c>
      <c r="AW71" s="155">
        <f>IF(ISERROR(LOOKUP(AW$10,$O71:$AQ71,#REF!)),0,(LOOKUP(AW$10,$O71:$AQ71,#REF!)))</f>
        <v>0</v>
      </c>
      <c r="AX71" s="155">
        <f>IF(ISERROR(LOOKUP(AX$10,$O71:$AQ71,#REF!)),0,(LOOKUP(AX$10,$O71:$AQ71,#REF!)))</f>
        <v>0</v>
      </c>
      <c r="AY71" s="155">
        <f>IF(ISERROR(LOOKUP(AY$10,$O71:$AQ71,#REF!)),0,(LOOKUP(AY$10,$O71:$AQ71,#REF!)))</f>
        <v>0</v>
      </c>
      <c r="AZ71" s="155">
        <f>IF(ISERROR(LOOKUP(AZ$10,$O71:$AQ71,#REF!)),0,(LOOKUP(AZ$10,$O71:$AQ71,#REF!)))</f>
        <v>0</v>
      </c>
      <c r="BA71" s="155">
        <f>IF(ISERROR(LOOKUP(BA$10,$O71:$AQ71,#REF!)),0,(LOOKUP(BA$10,$O71:$AQ71,#REF!)))</f>
        <v>0</v>
      </c>
      <c r="BB71" s="155">
        <f ca="1">IF(ISERROR(LOOKUP(BB$10,$O71:$AQ71,#REF!)),0,(LOOKUP(BB$10,$O71:$AQ71,#REF!)))</f>
        <v>0</v>
      </c>
      <c r="BC71" s="156"/>
      <c r="BD71" s="176"/>
      <c r="BE71" s="176"/>
    </row>
    <row r="72" spans="1:57" s="78" customFormat="1" ht="15.4" thickTop="1" thickBot="1" x14ac:dyDescent="0.45">
      <c r="A72" s="460"/>
      <c r="B72" s="177" t="s">
        <v>202</v>
      </c>
      <c r="C72" s="178" t="s">
        <v>203</v>
      </c>
      <c r="D72" s="179" t="s">
        <v>204</v>
      </c>
      <c r="E72" s="208" t="s">
        <v>208</v>
      </c>
      <c r="F72" s="208" t="s">
        <v>130</v>
      </c>
      <c r="G72" s="209" t="s">
        <v>206</v>
      </c>
      <c r="H72" s="182" t="s">
        <v>158</v>
      </c>
      <c r="I72" s="178" t="s">
        <v>138</v>
      </c>
      <c r="J72" s="178" t="s">
        <v>95</v>
      </c>
      <c r="K72" s="178" t="s">
        <v>2</v>
      </c>
      <c r="L72" s="209"/>
      <c r="M72" s="184" t="s">
        <v>76</v>
      </c>
      <c r="N72" s="185" t="s">
        <v>87</v>
      </c>
      <c r="O72" s="186">
        <v>46174</v>
      </c>
      <c r="P72" s="186">
        <v>46148</v>
      </c>
      <c r="Q72" s="186">
        <v>46166</v>
      </c>
      <c r="R72" s="186">
        <v>46182</v>
      </c>
      <c r="S72" s="186">
        <v>46185</v>
      </c>
      <c r="T72" s="186">
        <v>46224</v>
      </c>
      <c r="U72" s="186"/>
      <c r="V72" s="186"/>
      <c r="W72" s="186"/>
      <c r="X72" s="186"/>
      <c r="Y72" s="186"/>
      <c r="Z72" s="186"/>
      <c r="AA72" s="186"/>
      <c r="AB72" s="186"/>
      <c r="AC72" s="186"/>
      <c r="AD72" s="186"/>
      <c r="AE72" s="186"/>
      <c r="AF72" s="186"/>
      <c r="AG72" s="186"/>
      <c r="AH72" s="186"/>
      <c r="AI72" s="186"/>
      <c r="AJ72" s="186"/>
      <c r="AK72" s="188"/>
      <c r="AL72" s="211"/>
      <c r="AM72" s="187"/>
      <c r="AN72" s="187"/>
      <c r="AO72" s="189"/>
      <c r="AP72" s="190"/>
      <c r="AQ72" s="449"/>
      <c r="AR72" s="191">
        <f>IF(ISERROR(LOOKUP(AR$10,$O72:$AQ72,#REF!)),0,(LOOKUP(AR$10,$O72:$AQ72,#REF!)))</f>
        <v>0</v>
      </c>
      <c r="AS72" s="192">
        <f>IF(ISERROR(LOOKUP(AS$10,$O72:$AQ72,#REF!)),0,(LOOKUP(AS$10,$O72:$AQ72,#REF!)))</f>
        <v>0</v>
      </c>
      <c r="AT72" s="192">
        <f>IF(ISERROR(LOOKUP(AT$10,$O72:$AQ72,#REF!)),0,(LOOKUP(AT$10,$O72:$AQ72,#REF!)))</f>
        <v>0</v>
      </c>
      <c r="AU72" s="192">
        <f>IF(ISERROR(LOOKUP(AU$10,$O72:$AQ72,#REF!)),0,(LOOKUP(AU$10,$O72:$AQ72,#REF!)))</f>
        <v>0</v>
      </c>
      <c r="AV72" s="192">
        <f>IF(ISERROR(LOOKUP(AV$10,$O72:$AQ72,#REF!)),0,(LOOKUP(AV$10,$O72:$AQ72,#REF!)))</f>
        <v>0</v>
      </c>
      <c r="AW72" s="192">
        <f>IF(ISERROR(LOOKUP(AW$10,$O72:$AQ72,#REF!)),0,(LOOKUP(AW$10,$O72:$AQ72,#REF!)))</f>
        <v>0</v>
      </c>
      <c r="AX72" s="192">
        <f>IF(ISERROR(LOOKUP(AX$10,$O72:$AQ72,#REF!)),0,(LOOKUP(AX$10,$O72:$AQ72,#REF!)))</f>
        <v>0</v>
      </c>
      <c r="AY72" s="192">
        <f>IF(ISERROR(LOOKUP(AY$10,$O72:$AQ72,#REF!)),0,(LOOKUP(AY$10,$O72:$AQ72,#REF!)))</f>
        <v>0</v>
      </c>
      <c r="AZ72" s="192">
        <f>IF(ISERROR(LOOKUP(AZ$10,$O72:$AQ72,#REF!)),0,(LOOKUP(AZ$10,$O72:$AQ72,#REF!)))</f>
        <v>0</v>
      </c>
      <c r="BA72" s="192">
        <f>IF(ISERROR(LOOKUP(BA$10,$O72:$AQ72,#REF!)),0,(LOOKUP(BA$10,$O72:$AQ72,#REF!)))</f>
        <v>0</v>
      </c>
      <c r="BB72" s="192">
        <f ca="1">IF(ISERROR(LOOKUP(BB$10,$O72:$AQ72,#REF!)),0,(LOOKUP(BB$10,$O72:$AQ72,#REF!)))</f>
        <v>0</v>
      </c>
      <c r="BC72" s="156"/>
      <c r="BD72" s="176"/>
      <c r="BE72" s="176"/>
    </row>
    <row r="73" spans="1:57" s="78" customFormat="1" ht="15.4" thickTop="1" thickBot="1" x14ac:dyDescent="0.45">
      <c r="A73" s="458">
        <f t="shared" ref="A73" si="13">A70+1</f>
        <v>19</v>
      </c>
      <c r="B73" s="139" t="s">
        <v>202</v>
      </c>
      <c r="C73" s="140" t="s">
        <v>209</v>
      </c>
      <c r="D73" s="233" t="s">
        <v>210</v>
      </c>
      <c r="E73" s="202" t="s">
        <v>211</v>
      </c>
      <c r="F73" s="202">
        <v>2</v>
      </c>
      <c r="G73" s="427" t="s">
        <v>206</v>
      </c>
      <c r="H73" s="143" t="s">
        <v>158</v>
      </c>
      <c r="I73" s="140" t="s">
        <v>138</v>
      </c>
      <c r="J73" s="140" t="s">
        <v>95</v>
      </c>
      <c r="K73" s="140" t="s">
        <v>2</v>
      </c>
      <c r="L73" s="203"/>
      <c r="M73" s="145" t="s">
        <v>76</v>
      </c>
      <c r="N73" s="146" t="s">
        <v>77</v>
      </c>
      <c r="O73" s="147">
        <v>46164</v>
      </c>
      <c r="P73" s="147">
        <v>46167</v>
      </c>
      <c r="Q73" s="147">
        <v>46175</v>
      </c>
      <c r="R73" s="147">
        <v>46176</v>
      </c>
      <c r="S73" s="147">
        <v>46183</v>
      </c>
      <c r="T73" s="147">
        <v>46198</v>
      </c>
      <c r="U73" s="148">
        <v>46226</v>
      </c>
      <c r="V73" s="147">
        <v>46233</v>
      </c>
      <c r="W73" s="147"/>
      <c r="X73" s="223">
        <v>46247</v>
      </c>
      <c r="Y73" s="147">
        <v>46251</v>
      </c>
      <c r="Z73" s="147">
        <v>46258</v>
      </c>
      <c r="AA73" s="147">
        <v>46286</v>
      </c>
      <c r="AB73" s="147">
        <v>46300</v>
      </c>
      <c r="AC73" s="147">
        <v>46330</v>
      </c>
      <c r="AD73" s="147">
        <v>46330</v>
      </c>
      <c r="AE73" s="147">
        <v>46332</v>
      </c>
      <c r="AF73" s="147">
        <v>46421</v>
      </c>
      <c r="AG73" s="147">
        <v>46441</v>
      </c>
      <c r="AH73" s="147">
        <v>46471</v>
      </c>
      <c r="AI73" s="147">
        <v>46474</v>
      </c>
      <c r="AJ73" s="147">
        <v>46501</v>
      </c>
      <c r="AK73" s="149">
        <v>24</v>
      </c>
      <c r="AL73" s="150">
        <f>AK73*7</f>
        <v>168</v>
      </c>
      <c r="AM73" s="151">
        <v>46471</v>
      </c>
      <c r="AN73" s="151">
        <v>46485</v>
      </c>
      <c r="AO73" s="225">
        <f>AN73-AM74</f>
        <v>59</v>
      </c>
      <c r="AP73" s="235" t="s">
        <v>171</v>
      </c>
      <c r="AQ73" s="447" t="s">
        <v>212</v>
      </c>
      <c r="AR73" s="154"/>
      <c r="AS73" s="155"/>
      <c r="AT73" s="155"/>
      <c r="AU73" s="155"/>
      <c r="AV73" s="155"/>
      <c r="AW73" s="155"/>
      <c r="AX73" s="155"/>
      <c r="AY73" s="155"/>
      <c r="AZ73" s="155"/>
      <c r="BA73" s="155"/>
      <c r="BB73" s="155"/>
      <c r="BC73" s="156"/>
      <c r="BD73" s="176"/>
      <c r="BE73" s="176"/>
    </row>
    <row r="74" spans="1:57" s="78" customFormat="1" ht="15.4" thickTop="1" thickBot="1" x14ac:dyDescent="0.45">
      <c r="A74" s="459"/>
      <c r="B74" s="158" t="s">
        <v>202</v>
      </c>
      <c r="C74" s="197" t="s">
        <v>209</v>
      </c>
      <c r="D74" s="160" t="s">
        <v>210</v>
      </c>
      <c r="E74" s="205" t="s">
        <v>213</v>
      </c>
      <c r="F74" s="205"/>
      <c r="G74" s="204" t="s">
        <v>206</v>
      </c>
      <c r="H74" s="228" t="s">
        <v>158</v>
      </c>
      <c r="I74" s="159" t="s">
        <v>138</v>
      </c>
      <c r="J74" s="197" t="s">
        <v>95</v>
      </c>
      <c r="K74" s="159" t="s">
        <v>2</v>
      </c>
      <c r="L74" s="204"/>
      <c r="M74" s="165" t="s">
        <v>76</v>
      </c>
      <c r="N74" s="166" t="s">
        <v>84</v>
      </c>
      <c r="O74" s="167"/>
      <c r="P74" s="168"/>
      <c r="Q74" s="168"/>
      <c r="R74" s="168"/>
      <c r="S74" s="168"/>
      <c r="T74" s="168"/>
      <c r="U74" s="168">
        <v>46241</v>
      </c>
      <c r="V74" s="168">
        <f>WORKDAY(U74,V6,IF(V12="China",'China Holidays'!$A$2:$A$84,'Thai Holidays'!$A$2:$A$65))</f>
        <v>46258</v>
      </c>
      <c r="W74" s="168"/>
      <c r="X74" s="168">
        <f>V74</f>
        <v>46258</v>
      </c>
      <c r="Y74" s="168">
        <f>WORKDAY(X74,Y6,IF(Y12="China",'China Holidays'!$A$2:$A$84,'Thai Holidays'!$A$2:$A$65))</f>
        <v>46260</v>
      </c>
      <c r="Z74" s="168">
        <f>WORKDAY(Y74,Z6,IF(Z12="China",'China Holidays'!$A$2:$A$84,'Thai Holidays'!$A$2:$A$65))</f>
        <v>46267</v>
      </c>
      <c r="AA74" s="168">
        <f>WORKDAY(Z74,AA6,IF(AA12="China",'China Holidays'!$A$2:$A$84,'Thai Holidays'!$A$2:$A$65))</f>
        <v>46303</v>
      </c>
      <c r="AB74" s="168">
        <f>WORKDAY(AA74,AB6,IF(AB12="China",'China Holidays'!$A$2:$A$84,'Thai Holidays'!$A$2:$A$65))</f>
        <v>46321</v>
      </c>
      <c r="AC74" s="168">
        <f>AB74+30</f>
        <v>46351</v>
      </c>
      <c r="AD74" s="168">
        <f>WORKDAY(AC74,AD9,IF(AD15="China",'China Holidays'!$A$2:$A$84,'Thai Holidays'!$A$2:$A$65))</f>
        <v>46351</v>
      </c>
      <c r="AE74" s="168">
        <f>WORKDAY(AD74,AE9,IF(AE15="China",'China Holidays'!$A$2:$A$84,'Thai Holidays'!$A$2:$A$65))</f>
        <v>46351</v>
      </c>
      <c r="AF74" s="168">
        <f>AG74-20</f>
        <v>46376</v>
      </c>
      <c r="AG74" s="168">
        <f>AH74-30</f>
        <v>46396</v>
      </c>
      <c r="AH74" s="168">
        <f>AM74</f>
        <v>46426</v>
      </c>
      <c r="AI74" s="168">
        <f>AM73+3</f>
        <v>46474</v>
      </c>
      <c r="AJ74" s="168">
        <f>AM73+30</f>
        <v>46501</v>
      </c>
      <c r="AK74" s="169"/>
      <c r="AL74" s="230"/>
      <c r="AM74" s="170">
        <f>X74+AL73</f>
        <v>46426</v>
      </c>
      <c r="AN74" s="170"/>
      <c r="AO74" s="230"/>
      <c r="AP74" s="270"/>
      <c r="AQ74" s="448"/>
      <c r="AR74" s="154"/>
      <c r="AS74" s="155"/>
      <c r="AT74" s="155"/>
      <c r="AU74" s="155"/>
      <c r="AV74" s="155"/>
      <c r="AW74" s="155"/>
      <c r="AX74" s="155"/>
      <c r="AY74" s="155"/>
      <c r="AZ74" s="155"/>
      <c r="BA74" s="155"/>
      <c r="BB74" s="155"/>
      <c r="BC74" s="156"/>
      <c r="BD74" s="176"/>
      <c r="BE74" s="176"/>
    </row>
    <row r="75" spans="1:57" s="78" customFormat="1" ht="15.4" thickTop="1" thickBot="1" x14ac:dyDescent="0.45">
      <c r="A75" s="460"/>
      <c r="B75" s="177" t="s">
        <v>202</v>
      </c>
      <c r="C75" s="178" t="s">
        <v>209</v>
      </c>
      <c r="D75" s="179" t="s">
        <v>210</v>
      </c>
      <c r="E75" s="208"/>
      <c r="F75" s="208"/>
      <c r="G75" s="209" t="s">
        <v>206</v>
      </c>
      <c r="H75" s="182" t="s">
        <v>158</v>
      </c>
      <c r="I75" s="178" t="s">
        <v>138</v>
      </c>
      <c r="J75" s="178" t="s">
        <v>95</v>
      </c>
      <c r="K75" s="178" t="s">
        <v>2</v>
      </c>
      <c r="L75" s="209"/>
      <c r="M75" s="184" t="s">
        <v>76</v>
      </c>
      <c r="N75" s="185" t="s">
        <v>87</v>
      </c>
      <c r="O75" s="186">
        <v>46184</v>
      </c>
      <c r="P75" s="186">
        <v>46148</v>
      </c>
      <c r="Q75" s="186">
        <v>46166</v>
      </c>
      <c r="R75" s="186">
        <v>46185</v>
      </c>
      <c r="S75" s="186">
        <v>46185</v>
      </c>
      <c r="T75" s="186">
        <v>46199</v>
      </c>
      <c r="U75" s="186"/>
      <c r="V75" s="186"/>
      <c r="W75" s="186"/>
      <c r="X75" s="186"/>
      <c r="Y75" s="186"/>
      <c r="Z75" s="186"/>
      <c r="AA75" s="186"/>
      <c r="AB75" s="186"/>
      <c r="AC75" s="186"/>
      <c r="AD75" s="186"/>
      <c r="AE75" s="186"/>
      <c r="AF75" s="186"/>
      <c r="AG75" s="186"/>
      <c r="AH75" s="186"/>
      <c r="AI75" s="186"/>
      <c r="AJ75" s="186"/>
      <c r="AK75" s="188"/>
      <c r="AL75" s="211"/>
      <c r="AM75" s="187"/>
      <c r="AN75" s="187"/>
      <c r="AO75" s="211"/>
      <c r="AP75" s="271"/>
      <c r="AQ75" s="449"/>
      <c r="AR75" s="191"/>
      <c r="AS75" s="192"/>
      <c r="AT75" s="192"/>
      <c r="AU75" s="192"/>
      <c r="AV75" s="192"/>
      <c r="AW75" s="192"/>
      <c r="AX75" s="192"/>
      <c r="AY75" s="192"/>
      <c r="AZ75" s="192"/>
      <c r="BA75" s="192"/>
      <c r="BB75" s="192"/>
      <c r="BC75" s="156"/>
      <c r="BD75" s="176"/>
      <c r="BE75" s="176"/>
    </row>
    <row r="76" spans="1:57" s="78" customFormat="1" ht="15.4" thickTop="1" thickBot="1" x14ac:dyDescent="0.45">
      <c r="A76" s="458">
        <f t="shared" ref="A76" si="14">A73+1</f>
        <v>20</v>
      </c>
      <c r="B76" s="139" t="s">
        <v>202</v>
      </c>
      <c r="C76" s="140" t="s">
        <v>214</v>
      </c>
      <c r="D76" s="233" t="s">
        <v>215</v>
      </c>
      <c r="E76" s="202" t="s">
        <v>216</v>
      </c>
      <c r="F76" s="202">
        <v>1</v>
      </c>
      <c r="G76" s="427" t="s">
        <v>206</v>
      </c>
      <c r="H76" s="143" t="s">
        <v>158</v>
      </c>
      <c r="I76" s="140" t="s">
        <v>138</v>
      </c>
      <c r="J76" s="140" t="s">
        <v>95</v>
      </c>
      <c r="K76" s="140" t="s">
        <v>2</v>
      </c>
      <c r="L76" s="203"/>
      <c r="M76" s="145" t="s">
        <v>76</v>
      </c>
      <c r="N76" s="146" t="s">
        <v>77</v>
      </c>
      <c r="O76" s="147">
        <v>46164</v>
      </c>
      <c r="P76" s="147">
        <v>46167</v>
      </c>
      <c r="Q76" s="147">
        <v>46175</v>
      </c>
      <c r="R76" s="147">
        <v>46176</v>
      </c>
      <c r="S76" s="147">
        <v>46183</v>
      </c>
      <c r="T76" s="147">
        <v>46198</v>
      </c>
      <c r="U76" s="148">
        <v>46226</v>
      </c>
      <c r="V76" s="147">
        <v>46233</v>
      </c>
      <c r="W76" s="147"/>
      <c r="X76" s="223">
        <v>46247</v>
      </c>
      <c r="Y76" s="147">
        <v>46251</v>
      </c>
      <c r="Z76" s="147">
        <v>46258</v>
      </c>
      <c r="AA76" s="147">
        <v>46286</v>
      </c>
      <c r="AB76" s="147">
        <v>46300</v>
      </c>
      <c r="AC76" s="147">
        <v>46330</v>
      </c>
      <c r="AD76" s="147">
        <v>46330</v>
      </c>
      <c r="AE76" s="147">
        <v>46332</v>
      </c>
      <c r="AF76" s="147">
        <v>46421</v>
      </c>
      <c r="AG76" s="147">
        <v>46441</v>
      </c>
      <c r="AH76" s="147">
        <v>46471</v>
      </c>
      <c r="AI76" s="147">
        <v>46474</v>
      </c>
      <c r="AJ76" s="147">
        <v>46501</v>
      </c>
      <c r="AK76" s="149">
        <v>24</v>
      </c>
      <c r="AL76" s="150">
        <f>AK76*7</f>
        <v>168</v>
      </c>
      <c r="AM76" s="151">
        <v>46471</v>
      </c>
      <c r="AN76" s="151">
        <v>46485</v>
      </c>
      <c r="AO76" s="225">
        <f>AN76-AM77</f>
        <v>59</v>
      </c>
      <c r="AP76" s="235" t="s">
        <v>171</v>
      </c>
      <c r="AQ76" s="447"/>
      <c r="AR76" s="154"/>
      <c r="AS76" s="155"/>
      <c r="AT76" s="155"/>
      <c r="AU76" s="155"/>
      <c r="AV76" s="155"/>
      <c r="AW76" s="155"/>
      <c r="AX76" s="155"/>
      <c r="AY76" s="155"/>
      <c r="AZ76" s="155"/>
      <c r="BA76" s="155"/>
      <c r="BB76" s="155"/>
      <c r="BC76" s="156"/>
      <c r="BD76" s="176"/>
      <c r="BE76" s="176"/>
    </row>
    <row r="77" spans="1:57" s="78" customFormat="1" ht="15.4" thickTop="1" thickBot="1" x14ac:dyDescent="0.45">
      <c r="A77" s="459"/>
      <c r="B77" s="158" t="s">
        <v>202</v>
      </c>
      <c r="C77" s="197" t="s">
        <v>214</v>
      </c>
      <c r="D77" s="160" t="s">
        <v>215</v>
      </c>
      <c r="E77" s="205" t="s">
        <v>217</v>
      </c>
      <c r="F77" s="205">
        <v>1</v>
      </c>
      <c r="G77" s="204" t="s">
        <v>206</v>
      </c>
      <c r="H77" s="228" t="s">
        <v>158</v>
      </c>
      <c r="I77" s="159" t="s">
        <v>138</v>
      </c>
      <c r="J77" s="197" t="s">
        <v>95</v>
      </c>
      <c r="K77" s="159" t="s">
        <v>2</v>
      </c>
      <c r="L77" s="204"/>
      <c r="M77" s="165" t="s">
        <v>76</v>
      </c>
      <c r="N77" s="166" t="s">
        <v>84</v>
      </c>
      <c r="O77" s="167"/>
      <c r="P77" s="168"/>
      <c r="Q77" s="168"/>
      <c r="R77" s="168"/>
      <c r="S77" s="168"/>
      <c r="T77" s="168"/>
      <c r="U77" s="168">
        <v>46241</v>
      </c>
      <c r="V77" s="168">
        <f>WORKDAY(U77,V6,IF(V12="China",'China Holidays'!$A$2:$A$84,'Thai Holidays'!$A$2:$A$65))</f>
        <v>46258</v>
      </c>
      <c r="W77" s="168"/>
      <c r="X77" s="168">
        <f>V77</f>
        <v>46258</v>
      </c>
      <c r="Y77" s="168">
        <f>WORKDAY(X77,Y6,IF(Y12="China",'China Holidays'!$A$2:$A$84,'Thai Holidays'!$A$2:$A$65))</f>
        <v>46260</v>
      </c>
      <c r="Z77" s="168">
        <f>WORKDAY(Y77,Z6,IF(Z12="China",'China Holidays'!$A$2:$A$84,'Thai Holidays'!$A$2:$A$65))</f>
        <v>46267</v>
      </c>
      <c r="AA77" s="168">
        <f>WORKDAY(Z77,AA6,IF(AA12="China",'China Holidays'!$A$2:$A$84,'Thai Holidays'!$A$2:$A$65))</f>
        <v>46303</v>
      </c>
      <c r="AB77" s="168">
        <f>WORKDAY(AA77,AB6,IF(AB12="China",'China Holidays'!$A$2:$A$84,'Thai Holidays'!$A$2:$A$65))</f>
        <v>46321</v>
      </c>
      <c r="AC77" s="168">
        <f>AB77+30</f>
        <v>46351</v>
      </c>
      <c r="AD77" s="168">
        <f>WORKDAY(AC77,AD6,IF(AD12="China",'China Holidays'!$A$2:$A$84,'Thai Holidays'!$A$2:$A$65))</f>
        <v>46351</v>
      </c>
      <c r="AE77" s="168">
        <f>WORKDAY(AD77,AE6,IF(AE12="China",'China Holidays'!$A$2:$A$84,'Thai Holidays'!$A$2:$A$65))</f>
        <v>46351</v>
      </c>
      <c r="AF77" s="168">
        <f>AG77-20</f>
        <v>46376</v>
      </c>
      <c r="AG77" s="168">
        <f>AH77-30</f>
        <v>46396</v>
      </c>
      <c r="AH77" s="168">
        <f>AM77</f>
        <v>46426</v>
      </c>
      <c r="AI77" s="168">
        <f>AM76+3</f>
        <v>46474</v>
      </c>
      <c r="AJ77" s="168">
        <f>AM76+30</f>
        <v>46501</v>
      </c>
      <c r="AK77" s="169"/>
      <c r="AL77" s="230"/>
      <c r="AM77" s="170">
        <f>X77+AL76</f>
        <v>46426</v>
      </c>
      <c r="AN77" s="170"/>
      <c r="AO77" s="230"/>
      <c r="AP77" s="270"/>
      <c r="AQ77" s="448"/>
      <c r="AR77" s="154"/>
      <c r="AS77" s="155"/>
      <c r="AT77" s="155"/>
      <c r="AU77" s="155"/>
      <c r="AV77" s="155"/>
      <c r="AW77" s="155"/>
      <c r="AX77" s="155"/>
      <c r="AY77" s="155"/>
      <c r="AZ77" s="155"/>
      <c r="BA77" s="155"/>
      <c r="BB77" s="155"/>
      <c r="BC77" s="156"/>
      <c r="BD77" s="176"/>
      <c r="BE77" s="176"/>
    </row>
    <row r="78" spans="1:57" s="78" customFormat="1" ht="15.4" thickTop="1" thickBot="1" x14ac:dyDescent="0.45">
      <c r="A78" s="460"/>
      <c r="B78" s="177" t="s">
        <v>202</v>
      </c>
      <c r="C78" s="178" t="s">
        <v>214</v>
      </c>
      <c r="D78" s="179" t="s">
        <v>215</v>
      </c>
      <c r="E78" s="208"/>
      <c r="F78" s="208"/>
      <c r="G78" s="209" t="s">
        <v>206</v>
      </c>
      <c r="H78" s="182" t="s">
        <v>158</v>
      </c>
      <c r="I78" s="178" t="s">
        <v>138</v>
      </c>
      <c r="J78" s="178" t="s">
        <v>95</v>
      </c>
      <c r="K78" s="178" t="s">
        <v>2</v>
      </c>
      <c r="L78" s="209"/>
      <c r="M78" s="184" t="s">
        <v>76</v>
      </c>
      <c r="N78" s="185" t="s">
        <v>87</v>
      </c>
      <c r="O78" s="186">
        <v>46174</v>
      </c>
      <c r="P78" s="186">
        <v>46148</v>
      </c>
      <c r="Q78" s="186">
        <v>46166</v>
      </c>
      <c r="R78" s="186">
        <v>46183</v>
      </c>
      <c r="S78" s="186">
        <v>46183</v>
      </c>
      <c r="T78" s="186">
        <v>46199</v>
      </c>
      <c r="U78" s="186"/>
      <c r="V78" s="186"/>
      <c r="W78" s="186"/>
      <c r="X78" s="186"/>
      <c r="Y78" s="186"/>
      <c r="Z78" s="186"/>
      <c r="AA78" s="186"/>
      <c r="AB78" s="186"/>
      <c r="AC78" s="186"/>
      <c r="AD78" s="186"/>
      <c r="AE78" s="186"/>
      <c r="AF78" s="186"/>
      <c r="AG78" s="186"/>
      <c r="AH78" s="186"/>
      <c r="AI78" s="186"/>
      <c r="AJ78" s="186"/>
      <c r="AK78" s="188"/>
      <c r="AL78" s="211"/>
      <c r="AM78" s="187"/>
      <c r="AN78" s="187"/>
      <c r="AO78" s="211"/>
      <c r="AP78" s="271"/>
      <c r="AQ78" s="449"/>
      <c r="AR78" s="191"/>
      <c r="AS78" s="192"/>
      <c r="AT78" s="192"/>
      <c r="AU78" s="192"/>
      <c r="AV78" s="192"/>
      <c r="AW78" s="192"/>
      <c r="AX78" s="192"/>
      <c r="AY78" s="192"/>
      <c r="AZ78" s="192"/>
      <c r="BA78" s="192"/>
      <c r="BB78" s="192"/>
      <c r="BC78" s="156"/>
      <c r="BD78" s="176"/>
      <c r="BE78" s="176"/>
    </row>
    <row r="79" spans="1:57" s="78" customFormat="1" ht="21" thickTop="1" thickBot="1" x14ac:dyDescent="0.45">
      <c r="A79" s="458">
        <f t="shared" ref="A79" si="15">A76+1</f>
        <v>21</v>
      </c>
      <c r="B79" s="139" t="s">
        <v>202</v>
      </c>
      <c r="C79" s="247" t="s">
        <v>218</v>
      </c>
      <c r="D79" s="272" t="s">
        <v>219</v>
      </c>
      <c r="E79" s="202" t="s">
        <v>220</v>
      </c>
      <c r="F79" s="202" t="s">
        <v>221</v>
      </c>
      <c r="G79" s="427" t="s">
        <v>206</v>
      </c>
      <c r="H79" s="143" t="s">
        <v>158</v>
      </c>
      <c r="I79" s="140" t="s">
        <v>138</v>
      </c>
      <c r="J79" s="140" t="s">
        <v>95</v>
      </c>
      <c r="K79" s="140" t="s">
        <v>2</v>
      </c>
      <c r="L79" s="203"/>
      <c r="M79" s="145" t="s">
        <v>76</v>
      </c>
      <c r="N79" s="146" t="s">
        <v>77</v>
      </c>
      <c r="O79" s="147">
        <v>46164</v>
      </c>
      <c r="P79" s="147">
        <v>46167</v>
      </c>
      <c r="Q79" s="147">
        <v>46175</v>
      </c>
      <c r="R79" s="147">
        <v>46176</v>
      </c>
      <c r="S79" s="147">
        <v>46183</v>
      </c>
      <c r="T79" s="147">
        <v>46198</v>
      </c>
      <c r="U79" s="148">
        <v>46226</v>
      </c>
      <c r="V79" s="147">
        <v>46233</v>
      </c>
      <c r="W79" s="147"/>
      <c r="X79" s="223">
        <v>46247</v>
      </c>
      <c r="Y79" s="147">
        <v>46251</v>
      </c>
      <c r="Z79" s="147">
        <v>46258</v>
      </c>
      <c r="AA79" s="147">
        <v>46286</v>
      </c>
      <c r="AB79" s="147">
        <v>46300</v>
      </c>
      <c r="AC79" s="147">
        <v>46330</v>
      </c>
      <c r="AD79" s="147">
        <v>46330</v>
      </c>
      <c r="AE79" s="147">
        <v>46332</v>
      </c>
      <c r="AF79" s="147">
        <v>46421</v>
      </c>
      <c r="AG79" s="147">
        <v>46441</v>
      </c>
      <c r="AH79" s="147">
        <v>46471</v>
      </c>
      <c r="AI79" s="147">
        <v>46474</v>
      </c>
      <c r="AJ79" s="147">
        <v>46501</v>
      </c>
      <c r="AK79" s="149">
        <v>24</v>
      </c>
      <c r="AL79" s="150">
        <f>AK79*7</f>
        <v>168</v>
      </c>
      <c r="AM79" s="151">
        <v>46471</v>
      </c>
      <c r="AN79" s="151">
        <v>46485</v>
      </c>
      <c r="AO79" s="225">
        <f>AN79-AM80</f>
        <v>59</v>
      </c>
      <c r="AP79" s="235" t="s">
        <v>171</v>
      </c>
      <c r="AQ79" s="447" t="s">
        <v>212</v>
      </c>
      <c r="AR79" s="154"/>
      <c r="AS79" s="155"/>
      <c r="AT79" s="155"/>
      <c r="AU79" s="155"/>
      <c r="AV79" s="155"/>
      <c r="AW79" s="155"/>
      <c r="AX79" s="155"/>
      <c r="AY79" s="155"/>
      <c r="AZ79" s="155"/>
      <c r="BA79" s="155"/>
      <c r="BB79" s="155"/>
      <c r="BC79" s="156"/>
      <c r="BD79" s="176"/>
      <c r="BE79" s="176"/>
    </row>
    <row r="80" spans="1:57" s="78" customFormat="1" ht="21" thickTop="1" thickBot="1" x14ac:dyDescent="0.45">
      <c r="A80" s="459"/>
      <c r="B80" s="158" t="s">
        <v>202</v>
      </c>
      <c r="C80" s="250" t="s">
        <v>218</v>
      </c>
      <c r="D80" s="226" t="s">
        <v>219</v>
      </c>
      <c r="E80" s="205" t="s">
        <v>222</v>
      </c>
      <c r="F80" s="205" t="s">
        <v>221</v>
      </c>
      <c r="G80" s="204" t="s">
        <v>206</v>
      </c>
      <c r="H80" s="228" t="s">
        <v>158</v>
      </c>
      <c r="I80" s="159" t="s">
        <v>138</v>
      </c>
      <c r="J80" s="197" t="s">
        <v>95</v>
      </c>
      <c r="K80" s="159" t="s">
        <v>2</v>
      </c>
      <c r="L80" s="204"/>
      <c r="M80" s="165" t="s">
        <v>76</v>
      </c>
      <c r="N80" s="166" t="s">
        <v>84</v>
      </c>
      <c r="O80" s="167"/>
      <c r="P80" s="168"/>
      <c r="Q80" s="168"/>
      <c r="R80" s="168"/>
      <c r="S80" s="168"/>
      <c r="T80" s="168"/>
      <c r="U80" s="168">
        <v>46241</v>
      </c>
      <c r="V80" s="168">
        <f>WORKDAY(U80,V6,IF(V12="China",'China Holidays'!$A$2:$A$84,'Thai Holidays'!$A$2:$A$65))</f>
        <v>46258</v>
      </c>
      <c r="W80" s="168"/>
      <c r="X80" s="168">
        <f>V80</f>
        <v>46258</v>
      </c>
      <c r="Y80" s="168">
        <f>WORKDAY(X80,Y6,IF(Y12="China",'China Holidays'!$A$2:$A$84,'Thai Holidays'!$A$2:$A$65))</f>
        <v>46260</v>
      </c>
      <c r="Z80" s="168">
        <f>WORKDAY(Y80,Z6,IF(Z12="China",'China Holidays'!$A$2:$A$84,'Thai Holidays'!$A$2:$A$65))</f>
        <v>46267</v>
      </c>
      <c r="AA80" s="168">
        <f>WORKDAY(Z80,AA6,IF(AA12="China",'China Holidays'!$A$2:$A$84,'Thai Holidays'!$A$2:$A$65))</f>
        <v>46303</v>
      </c>
      <c r="AB80" s="168">
        <f>WORKDAY(AA80,AB6,IF(AB12="China",'China Holidays'!$A$2:$A$84,'Thai Holidays'!$A$2:$A$65))</f>
        <v>46321</v>
      </c>
      <c r="AC80" s="168">
        <f>WORKDAY(AB80,AC9,IF(AC15="China",'China Holidays'!$A$2:$A$84,'Thai Holidays'!$A$2:$A$65))</f>
        <v>46321</v>
      </c>
      <c r="AD80" s="168">
        <f>WORKDAY(AC80,AD9,IF(AD15="China",'China Holidays'!$A$2:$A$84,'Thai Holidays'!$A$2:$A$65))</f>
        <v>46321</v>
      </c>
      <c r="AE80" s="168">
        <f>WORKDAY(AD80,AE9,IF(AE15="China",'China Holidays'!$A$2:$A$84,'Thai Holidays'!$A$2:$A$65))</f>
        <v>46321</v>
      </c>
      <c r="AF80" s="168">
        <f>AG80-20</f>
        <v>46376</v>
      </c>
      <c r="AG80" s="168">
        <f>AH80-30</f>
        <v>46396</v>
      </c>
      <c r="AH80" s="168">
        <f>AM80</f>
        <v>46426</v>
      </c>
      <c r="AI80" s="168">
        <f>AM79+3</f>
        <v>46474</v>
      </c>
      <c r="AJ80" s="168">
        <f>AM79+30</f>
        <v>46501</v>
      </c>
      <c r="AK80" s="169"/>
      <c r="AL80" s="230"/>
      <c r="AM80" s="170">
        <f>X80+AL79</f>
        <v>46426</v>
      </c>
      <c r="AN80" s="170"/>
      <c r="AO80" s="230"/>
      <c r="AP80" s="270"/>
      <c r="AQ80" s="448"/>
      <c r="AR80" s="154"/>
      <c r="AS80" s="155"/>
      <c r="AT80" s="155"/>
      <c r="AU80" s="155"/>
      <c r="AV80" s="155"/>
      <c r="AW80" s="155"/>
      <c r="AX80" s="155"/>
      <c r="AY80" s="155"/>
      <c r="AZ80" s="155"/>
      <c r="BA80" s="155"/>
      <c r="BB80" s="155"/>
      <c r="BC80" s="156"/>
      <c r="BD80" s="176"/>
      <c r="BE80" s="176"/>
    </row>
    <row r="81" spans="1:57" s="78" customFormat="1" ht="21" thickTop="1" thickBot="1" x14ac:dyDescent="0.45">
      <c r="A81" s="460"/>
      <c r="B81" s="177" t="s">
        <v>202</v>
      </c>
      <c r="C81" s="251" t="s">
        <v>218</v>
      </c>
      <c r="D81" s="177" t="s">
        <v>219</v>
      </c>
      <c r="E81" s="208"/>
      <c r="F81" s="208"/>
      <c r="G81" s="209" t="s">
        <v>206</v>
      </c>
      <c r="H81" s="182" t="s">
        <v>158</v>
      </c>
      <c r="I81" s="178" t="s">
        <v>138</v>
      </c>
      <c r="J81" s="178" t="s">
        <v>95</v>
      </c>
      <c r="K81" s="178" t="s">
        <v>2</v>
      </c>
      <c r="L81" s="209"/>
      <c r="M81" s="184" t="s">
        <v>76</v>
      </c>
      <c r="N81" s="185" t="s">
        <v>87</v>
      </c>
      <c r="O81" s="186">
        <v>46184</v>
      </c>
      <c r="P81" s="186">
        <v>46148</v>
      </c>
      <c r="Q81" s="186">
        <v>46166</v>
      </c>
      <c r="R81" s="186">
        <v>46185</v>
      </c>
      <c r="S81" s="186">
        <v>46185</v>
      </c>
      <c r="T81" s="186">
        <v>46224</v>
      </c>
      <c r="U81" s="186"/>
      <c r="V81" s="186"/>
      <c r="W81" s="186"/>
      <c r="X81" s="186"/>
      <c r="Y81" s="186"/>
      <c r="Z81" s="186"/>
      <c r="AA81" s="186"/>
      <c r="AB81" s="186"/>
      <c r="AC81" s="186"/>
      <c r="AD81" s="186"/>
      <c r="AE81" s="186"/>
      <c r="AF81" s="186"/>
      <c r="AG81" s="186"/>
      <c r="AH81" s="186"/>
      <c r="AI81" s="186"/>
      <c r="AJ81" s="186"/>
      <c r="AK81" s="188"/>
      <c r="AL81" s="211"/>
      <c r="AM81" s="187"/>
      <c r="AN81" s="187"/>
      <c r="AO81" s="211"/>
      <c r="AP81" s="271"/>
      <c r="AQ81" s="449"/>
      <c r="AR81" s="191"/>
      <c r="AS81" s="192"/>
      <c r="AT81" s="192"/>
      <c r="AU81" s="192"/>
      <c r="AV81" s="192"/>
      <c r="AW81" s="192"/>
      <c r="AX81" s="192"/>
      <c r="AY81" s="192"/>
      <c r="AZ81" s="192"/>
      <c r="BA81" s="192"/>
      <c r="BB81" s="192"/>
      <c r="BC81" s="156"/>
      <c r="BD81" s="176"/>
      <c r="BE81" s="176"/>
    </row>
    <row r="82" spans="1:57" s="78" customFormat="1" ht="21" thickTop="1" thickBot="1" x14ac:dyDescent="0.45">
      <c r="A82" s="458">
        <f t="shared" ref="A82" si="16">A79+1</f>
        <v>22</v>
      </c>
      <c r="B82" s="139" t="s">
        <v>202</v>
      </c>
      <c r="C82" s="247" t="s">
        <v>223</v>
      </c>
      <c r="D82" s="272" t="s">
        <v>224</v>
      </c>
      <c r="E82" s="202" t="s">
        <v>225</v>
      </c>
      <c r="F82" s="202" t="s">
        <v>226</v>
      </c>
      <c r="G82" s="427" t="s">
        <v>206</v>
      </c>
      <c r="H82" s="143" t="s">
        <v>158</v>
      </c>
      <c r="I82" s="140" t="s">
        <v>138</v>
      </c>
      <c r="J82" s="140" t="s">
        <v>95</v>
      </c>
      <c r="K82" s="140" t="s">
        <v>2</v>
      </c>
      <c r="L82" s="273" t="s">
        <v>227</v>
      </c>
      <c r="M82" s="145" t="s">
        <v>76</v>
      </c>
      <c r="N82" s="146" t="s">
        <v>77</v>
      </c>
      <c r="O82" s="147">
        <v>46164</v>
      </c>
      <c r="P82" s="147">
        <v>46167</v>
      </c>
      <c r="Q82" s="147">
        <v>46175</v>
      </c>
      <c r="R82" s="147">
        <v>46176</v>
      </c>
      <c r="S82" s="147">
        <v>46183</v>
      </c>
      <c r="T82" s="147">
        <v>46198</v>
      </c>
      <c r="U82" s="148">
        <v>46226</v>
      </c>
      <c r="V82" s="147">
        <v>46233</v>
      </c>
      <c r="W82" s="147"/>
      <c r="X82" s="223">
        <v>46247</v>
      </c>
      <c r="Y82" s="147">
        <v>46251</v>
      </c>
      <c r="Z82" s="147">
        <v>46258</v>
      </c>
      <c r="AA82" s="147">
        <v>46286</v>
      </c>
      <c r="AB82" s="147">
        <v>46300</v>
      </c>
      <c r="AC82" s="147">
        <v>46330</v>
      </c>
      <c r="AD82" s="147">
        <v>46330</v>
      </c>
      <c r="AE82" s="147">
        <v>46332</v>
      </c>
      <c r="AF82" s="147">
        <v>46421</v>
      </c>
      <c r="AG82" s="147">
        <v>46441</v>
      </c>
      <c r="AH82" s="147">
        <v>46471</v>
      </c>
      <c r="AI82" s="147">
        <v>46474</v>
      </c>
      <c r="AJ82" s="147">
        <v>46501</v>
      </c>
      <c r="AK82" s="149">
        <v>24</v>
      </c>
      <c r="AL82" s="150">
        <f>AK82*7</f>
        <v>168</v>
      </c>
      <c r="AM82" s="151">
        <v>46471</v>
      </c>
      <c r="AN82" s="151">
        <v>46485</v>
      </c>
      <c r="AO82" s="225">
        <f>AN82-AM83</f>
        <v>59</v>
      </c>
      <c r="AP82" s="235" t="s">
        <v>171</v>
      </c>
      <c r="AQ82" s="447"/>
      <c r="AR82" s="154"/>
      <c r="AS82" s="155"/>
      <c r="AT82" s="155"/>
      <c r="AU82" s="155"/>
      <c r="AV82" s="155"/>
      <c r="AW82" s="155"/>
      <c r="AX82" s="155"/>
      <c r="AY82" s="155"/>
      <c r="AZ82" s="155"/>
      <c r="BA82" s="155"/>
      <c r="BB82" s="155"/>
      <c r="BC82" s="156"/>
      <c r="BD82" s="176"/>
      <c r="BE82" s="176"/>
    </row>
    <row r="83" spans="1:57" s="78" customFormat="1" ht="15" customHeight="1" thickTop="1" thickBot="1" x14ac:dyDescent="0.45">
      <c r="A83" s="459"/>
      <c r="B83" s="158" t="s">
        <v>202</v>
      </c>
      <c r="C83" s="250" t="s">
        <v>223</v>
      </c>
      <c r="D83" s="226" t="s">
        <v>224</v>
      </c>
      <c r="E83" s="205" t="s">
        <v>228</v>
      </c>
      <c r="F83" s="205"/>
      <c r="G83" s="204" t="s">
        <v>206</v>
      </c>
      <c r="H83" s="228" t="s">
        <v>158</v>
      </c>
      <c r="I83" s="159" t="s">
        <v>138</v>
      </c>
      <c r="J83" s="197" t="s">
        <v>95</v>
      </c>
      <c r="K83" s="159" t="s">
        <v>2</v>
      </c>
      <c r="L83" s="204"/>
      <c r="M83" s="165" t="s">
        <v>76</v>
      </c>
      <c r="N83" s="166" t="s">
        <v>84</v>
      </c>
      <c r="O83" s="167"/>
      <c r="P83" s="168"/>
      <c r="Q83" s="168"/>
      <c r="R83" s="168"/>
      <c r="S83" s="168"/>
      <c r="T83" s="168"/>
      <c r="U83" s="168">
        <v>46241</v>
      </c>
      <c r="V83" s="168">
        <f>WORKDAY(U83,V6,IF(V12="China",'China Holidays'!$A$2:$A$84,'Thai Holidays'!$A$2:$A$65))</f>
        <v>46258</v>
      </c>
      <c r="W83" s="168"/>
      <c r="X83" s="168">
        <f>V83</f>
        <v>46258</v>
      </c>
      <c r="Y83" s="168">
        <f>WORKDAY(X83,Y6,IF(Y12="China",'China Holidays'!$A$2:$A$84,'Thai Holidays'!$A$2:$A$65))</f>
        <v>46260</v>
      </c>
      <c r="Z83" s="168">
        <f>WORKDAY(Y83,Z6,IF(Z12="China",'China Holidays'!$A$2:$A$84,'Thai Holidays'!$A$2:$A$65))</f>
        <v>46267</v>
      </c>
      <c r="AA83" s="168">
        <f>WORKDAY(Z83,AA6,IF(AA12="China",'China Holidays'!$A$2:$A$84,'Thai Holidays'!$A$2:$A$65))</f>
        <v>46303</v>
      </c>
      <c r="AB83" s="168">
        <f>WORKDAY(AA83,AB6,IF(AB12="China",'China Holidays'!$A$2:$A$84,'Thai Holidays'!$A$2:$A$65))</f>
        <v>46321</v>
      </c>
      <c r="AC83" s="168">
        <f>AB83+30</f>
        <v>46351</v>
      </c>
      <c r="AD83" s="168">
        <f>AC83</f>
        <v>46351</v>
      </c>
      <c r="AE83" s="168">
        <f>AD83+2</f>
        <v>46353</v>
      </c>
      <c r="AF83" s="168">
        <f>AG83-20</f>
        <v>46376</v>
      </c>
      <c r="AG83" s="168">
        <f>AH83-30</f>
        <v>46396</v>
      </c>
      <c r="AH83" s="168">
        <f>AM83</f>
        <v>46426</v>
      </c>
      <c r="AI83" s="168">
        <f>AM82+3</f>
        <v>46474</v>
      </c>
      <c r="AJ83" s="168">
        <f>AM82+30</f>
        <v>46501</v>
      </c>
      <c r="AK83" s="169"/>
      <c r="AL83" s="230"/>
      <c r="AM83" s="170">
        <f>X83+AL82</f>
        <v>46426</v>
      </c>
      <c r="AN83" s="170"/>
      <c r="AO83" s="230"/>
      <c r="AP83" s="270"/>
      <c r="AQ83" s="448"/>
      <c r="AR83" s="154"/>
      <c r="AS83" s="155"/>
      <c r="AT83" s="155"/>
      <c r="AU83" s="155"/>
      <c r="AV83" s="155"/>
      <c r="AW83" s="155"/>
      <c r="AX83" s="155"/>
      <c r="AY83" s="155"/>
      <c r="AZ83" s="155"/>
      <c r="BA83" s="155"/>
      <c r="BB83" s="155"/>
      <c r="BC83" s="156"/>
      <c r="BD83" s="176"/>
      <c r="BE83" s="176"/>
    </row>
    <row r="84" spans="1:57" s="78" customFormat="1" ht="15.4" thickTop="1" thickBot="1" x14ac:dyDescent="0.45">
      <c r="A84" s="460"/>
      <c r="B84" s="177" t="s">
        <v>202</v>
      </c>
      <c r="C84" s="251" t="s">
        <v>223</v>
      </c>
      <c r="D84" s="177" t="s">
        <v>224</v>
      </c>
      <c r="E84" s="208"/>
      <c r="F84" s="208"/>
      <c r="G84" s="209" t="s">
        <v>206</v>
      </c>
      <c r="H84" s="182" t="s">
        <v>158</v>
      </c>
      <c r="I84" s="178" t="s">
        <v>138</v>
      </c>
      <c r="J84" s="178" t="s">
        <v>95</v>
      </c>
      <c r="K84" s="178" t="s">
        <v>2</v>
      </c>
      <c r="L84" s="209"/>
      <c r="M84" s="184" t="s">
        <v>76</v>
      </c>
      <c r="N84" s="185" t="s">
        <v>87</v>
      </c>
      <c r="O84" s="186">
        <v>46174</v>
      </c>
      <c r="P84" s="186">
        <v>46148</v>
      </c>
      <c r="Q84" s="186">
        <v>46166</v>
      </c>
      <c r="R84" s="186">
        <v>46185</v>
      </c>
      <c r="S84" s="186">
        <v>46185</v>
      </c>
      <c r="T84" s="186">
        <v>46225</v>
      </c>
      <c r="U84" s="186"/>
      <c r="V84" s="186"/>
      <c r="W84" s="186"/>
      <c r="X84" s="186"/>
      <c r="Y84" s="186"/>
      <c r="Z84" s="186"/>
      <c r="AA84" s="186"/>
      <c r="AB84" s="186"/>
      <c r="AC84" s="186"/>
      <c r="AD84" s="186"/>
      <c r="AE84" s="186"/>
      <c r="AF84" s="186"/>
      <c r="AG84" s="186"/>
      <c r="AH84" s="186"/>
      <c r="AI84" s="186"/>
      <c r="AJ84" s="186"/>
      <c r="AK84" s="188"/>
      <c r="AL84" s="211"/>
      <c r="AM84" s="187"/>
      <c r="AN84" s="187"/>
      <c r="AO84" s="211"/>
      <c r="AP84" s="271"/>
      <c r="AQ84" s="449"/>
      <c r="AR84" s="191"/>
      <c r="AS84" s="192"/>
      <c r="AT84" s="192"/>
      <c r="AU84" s="192"/>
      <c r="AV84" s="192"/>
      <c r="AW84" s="192"/>
      <c r="AX84" s="192"/>
      <c r="AY84" s="192"/>
      <c r="AZ84" s="192"/>
      <c r="BA84" s="192"/>
      <c r="BB84" s="192"/>
      <c r="BC84" s="156"/>
      <c r="BD84" s="176"/>
      <c r="BE84" s="176"/>
    </row>
    <row r="85" spans="1:57" s="78" customFormat="1" ht="15.4" thickTop="1" thickBot="1" x14ac:dyDescent="0.45">
      <c r="A85" s="458">
        <f t="shared" ref="A85" si="17">A82+1</f>
        <v>23</v>
      </c>
      <c r="B85" s="139" t="s">
        <v>202</v>
      </c>
      <c r="C85" s="247" t="s">
        <v>229</v>
      </c>
      <c r="D85" s="274" t="s">
        <v>230</v>
      </c>
      <c r="E85" s="202"/>
      <c r="F85" s="202">
        <v>2</v>
      </c>
      <c r="G85" s="427" t="s">
        <v>206</v>
      </c>
      <c r="H85" s="143" t="s">
        <v>158</v>
      </c>
      <c r="I85" s="140" t="s">
        <v>138</v>
      </c>
      <c r="J85" s="140" t="s">
        <v>95</v>
      </c>
      <c r="K85" s="140" t="s">
        <v>2</v>
      </c>
      <c r="L85" s="203"/>
      <c r="M85" s="145" t="s">
        <v>76</v>
      </c>
      <c r="N85" s="146" t="s">
        <v>77</v>
      </c>
      <c r="O85" s="148">
        <v>46164</v>
      </c>
      <c r="P85" s="147">
        <v>46167</v>
      </c>
      <c r="Q85" s="147">
        <v>46175</v>
      </c>
      <c r="R85" s="147">
        <v>46176</v>
      </c>
      <c r="S85" s="147">
        <v>46183</v>
      </c>
      <c r="T85" s="147">
        <v>46198</v>
      </c>
      <c r="U85" s="147">
        <v>46286</v>
      </c>
      <c r="V85" s="147">
        <v>46293</v>
      </c>
      <c r="W85" s="147"/>
      <c r="X85" s="223">
        <v>46307</v>
      </c>
      <c r="Y85" s="147">
        <v>46311</v>
      </c>
      <c r="Z85" s="147">
        <v>46318</v>
      </c>
      <c r="AA85" s="147">
        <v>46346</v>
      </c>
      <c r="AB85" s="147">
        <v>46360</v>
      </c>
      <c r="AC85" s="147">
        <v>46390</v>
      </c>
      <c r="AD85" s="147">
        <v>46390</v>
      </c>
      <c r="AE85" s="147">
        <v>46392</v>
      </c>
      <c r="AF85" s="147">
        <v>46481</v>
      </c>
      <c r="AG85" s="147">
        <v>46501</v>
      </c>
      <c r="AH85" s="147">
        <v>46531</v>
      </c>
      <c r="AI85" s="147">
        <v>46534</v>
      </c>
      <c r="AJ85" s="147">
        <v>46561</v>
      </c>
      <c r="AK85" s="149">
        <v>24</v>
      </c>
      <c r="AL85" s="150">
        <v>168</v>
      </c>
      <c r="AM85" s="151">
        <v>46471</v>
      </c>
      <c r="AN85" s="151">
        <v>46568</v>
      </c>
      <c r="AO85" s="225">
        <f>AN85-AM86</f>
        <v>93</v>
      </c>
      <c r="AP85" s="235" t="s">
        <v>171</v>
      </c>
      <c r="AQ85" s="447"/>
      <c r="AR85" s="154"/>
      <c r="AS85" s="155"/>
      <c r="AT85" s="155"/>
      <c r="AU85" s="155"/>
      <c r="AV85" s="155"/>
      <c r="AW85" s="155"/>
      <c r="AX85" s="155"/>
      <c r="AY85" s="155"/>
      <c r="AZ85" s="155"/>
      <c r="BA85" s="155"/>
      <c r="BB85" s="155"/>
      <c r="BC85" s="156"/>
      <c r="BD85" s="176"/>
      <c r="BE85" s="176"/>
    </row>
    <row r="86" spans="1:57" s="78" customFormat="1" ht="15.4" thickTop="1" thickBot="1" x14ac:dyDescent="0.45">
      <c r="A86" s="459"/>
      <c r="B86" s="158" t="s">
        <v>202</v>
      </c>
      <c r="C86" s="250" t="s">
        <v>229</v>
      </c>
      <c r="D86" s="160" t="s">
        <v>230</v>
      </c>
      <c r="E86" s="205"/>
      <c r="F86" s="205"/>
      <c r="G86" s="204" t="s">
        <v>206</v>
      </c>
      <c r="H86" s="228" t="s">
        <v>158</v>
      </c>
      <c r="I86" s="159" t="s">
        <v>138</v>
      </c>
      <c r="J86" s="197" t="s">
        <v>95</v>
      </c>
      <c r="K86" s="159" t="s">
        <v>2</v>
      </c>
      <c r="L86" s="204"/>
      <c r="M86" s="165" t="s">
        <v>76</v>
      </c>
      <c r="N86" s="166" t="s">
        <v>84</v>
      </c>
      <c r="O86" s="216">
        <v>46238</v>
      </c>
      <c r="P86" s="168"/>
      <c r="Q86" s="168"/>
      <c r="R86" s="168">
        <v>46238</v>
      </c>
      <c r="S86" s="168">
        <f>WORKDAY(R86,S6,IF(S12="China",'China Holidays'!$A$2:$A$84,'Thai Holidays'!$A$2:$A$65))</f>
        <v>46238</v>
      </c>
      <c r="T86" s="168">
        <v>46244</v>
      </c>
      <c r="U86" s="168">
        <v>46286</v>
      </c>
      <c r="V86" s="168">
        <v>46293</v>
      </c>
      <c r="W86" s="168"/>
      <c r="X86" s="168">
        <v>46307</v>
      </c>
      <c r="Y86" s="168">
        <v>46311</v>
      </c>
      <c r="Z86" s="168">
        <v>46318</v>
      </c>
      <c r="AA86" s="168">
        <v>46346</v>
      </c>
      <c r="AB86" s="168">
        <v>46360</v>
      </c>
      <c r="AC86" s="168">
        <v>46390</v>
      </c>
      <c r="AD86" s="168">
        <v>46390</v>
      </c>
      <c r="AE86" s="168">
        <v>46392</v>
      </c>
      <c r="AF86" s="168">
        <v>46481</v>
      </c>
      <c r="AG86" s="168">
        <v>46501</v>
      </c>
      <c r="AH86" s="168">
        <v>46531</v>
      </c>
      <c r="AI86" s="168">
        <v>46534</v>
      </c>
      <c r="AJ86" s="168">
        <v>46561</v>
      </c>
      <c r="AK86" s="169"/>
      <c r="AL86" s="230"/>
      <c r="AM86" s="170">
        <f>X86+AL85</f>
        <v>46475</v>
      </c>
      <c r="AN86" s="170"/>
      <c r="AO86" s="230"/>
      <c r="AP86" s="270"/>
      <c r="AQ86" s="448"/>
      <c r="AR86" s="154"/>
      <c r="AS86" s="155"/>
      <c r="AT86" s="155"/>
      <c r="AU86" s="155"/>
      <c r="AV86" s="155"/>
      <c r="AW86" s="155"/>
      <c r="AX86" s="155"/>
      <c r="AY86" s="155"/>
      <c r="AZ86" s="155"/>
      <c r="BA86" s="155"/>
      <c r="BB86" s="155"/>
      <c r="BC86" s="156"/>
      <c r="BD86" s="176"/>
      <c r="BE86" s="176"/>
    </row>
    <row r="87" spans="1:57" s="78" customFormat="1" ht="15.4" thickTop="1" thickBot="1" x14ac:dyDescent="0.45">
      <c r="A87" s="460"/>
      <c r="B87" s="177" t="s">
        <v>202</v>
      </c>
      <c r="C87" s="251" t="s">
        <v>229</v>
      </c>
      <c r="D87" s="179" t="s">
        <v>230</v>
      </c>
      <c r="E87" s="208"/>
      <c r="F87" s="208"/>
      <c r="G87" s="209" t="s">
        <v>206</v>
      </c>
      <c r="H87" s="182" t="s">
        <v>158</v>
      </c>
      <c r="I87" s="178" t="s">
        <v>138</v>
      </c>
      <c r="J87" s="178" t="s">
        <v>95</v>
      </c>
      <c r="K87" s="178" t="s">
        <v>2</v>
      </c>
      <c r="L87" s="209"/>
      <c r="M87" s="184" t="s">
        <v>76</v>
      </c>
      <c r="N87" s="185" t="s">
        <v>87</v>
      </c>
      <c r="O87" s="186"/>
      <c r="P87" s="186">
        <v>46148</v>
      </c>
      <c r="Q87" s="186">
        <v>46166</v>
      </c>
      <c r="R87" s="186"/>
      <c r="S87" s="186"/>
      <c r="T87" s="186"/>
      <c r="U87" s="186"/>
      <c r="V87" s="186"/>
      <c r="W87" s="186"/>
      <c r="X87" s="186"/>
      <c r="Y87" s="186"/>
      <c r="Z87" s="186"/>
      <c r="AA87" s="186"/>
      <c r="AB87" s="186"/>
      <c r="AC87" s="186"/>
      <c r="AD87" s="186"/>
      <c r="AE87" s="186"/>
      <c r="AF87" s="186"/>
      <c r="AG87" s="186"/>
      <c r="AH87" s="186"/>
      <c r="AI87" s="186"/>
      <c r="AJ87" s="186"/>
      <c r="AK87" s="188"/>
      <c r="AL87" s="211"/>
      <c r="AM87" s="187"/>
      <c r="AN87" s="187"/>
      <c r="AO87" s="211"/>
      <c r="AP87" s="271"/>
      <c r="AQ87" s="449"/>
      <c r="AR87" s="191"/>
      <c r="AS87" s="192"/>
      <c r="AT87" s="192"/>
      <c r="AU87" s="192"/>
      <c r="AV87" s="192"/>
      <c r="AW87" s="192"/>
      <c r="AX87" s="192"/>
      <c r="AY87" s="192"/>
      <c r="AZ87" s="192"/>
      <c r="BA87" s="192"/>
      <c r="BB87" s="192"/>
      <c r="BC87" s="156"/>
      <c r="BD87" s="176"/>
      <c r="BE87" s="176"/>
    </row>
    <row r="88" spans="1:57" s="78" customFormat="1" ht="15.4" thickTop="1" thickBot="1" x14ac:dyDescent="0.45">
      <c r="A88" s="458">
        <f t="shared" ref="A88" si="18">A85+1</f>
        <v>24</v>
      </c>
      <c r="B88" s="139" t="s">
        <v>202</v>
      </c>
      <c r="C88" s="140" t="s">
        <v>231</v>
      </c>
      <c r="D88" s="233" t="s">
        <v>232</v>
      </c>
      <c r="E88" s="202" t="s">
        <v>233</v>
      </c>
      <c r="F88" s="202">
        <v>1</v>
      </c>
      <c r="G88" s="427" t="s">
        <v>206</v>
      </c>
      <c r="H88" s="143" t="s">
        <v>158</v>
      </c>
      <c r="I88" s="140" t="s">
        <v>138</v>
      </c>
      <c r="J88" s="140" t="s">
        <v>95</v>
      </c>
      <c r="K88" s="140" t="s">
        <v>2</v>
      </c>
      <c r="L88" s="203"/>
      <c r="M88" s="145" t="s">
        <v>76</v>
      </c>
      <c r="N88" s="146" t="s">
        <v>77</v>
      </c>
      <c r="O88" s="147">
        <v>46164</v>
      </c>
      <c r="P88" s="147">
        <v>46167</v>
      </c>
      <c r="Q88" s="147">
        <v>46175</v>
      </c>
      <c r="R88" s="147">
        <v>46176</v>
      </c>
      <c r="S88" s="147">
        <v>46183</v>
      </c>
      <c r="T88" s="147">
        <v>46198</v>
      </c>
      <c r="U88" s="148">
        <v>46226</v>
      </c>
      <c r="V88" s="147">
        <v>46233</v>
      </c>
      <c r="W88" s="147"/>
      <c r="X88" s="223">
        <v>46247</v>
      </c>
      <c r="Y88" s="147">
        <v>46251</v>
      </c>
      <c r="Z88" s="147">
        <v>46258</v>
      </c>
      <c r="AA88" s="147">
        <v>46286</v>
      </c>
      <c r="AB88" s="147">
        <v>46300</v>
      </c>
      <c r="AC88" s="147">
        <v>46330</v>
      </c>
      <c r="AD88" s="147">
        <v>46330</v>
      </c>
      <c r="AE88" s="147">
        <v>46332</v>
      </c>
      <c r="AF88" s="147">
        <v>46421</v>
      </c>
      <c r="AG88" s="147">
        <v>46441</v>
      </c>
      <c r="AH88" s="147">
        <v>46471</v>
      </c>
      <c r="AI88" s="147">
        <v>46474</v>
      </c>
      <c r="AJ88" s="147">
        <v>46501</v>
      </c>
      <c r="AK88" s="149">
        <v>32</v>
      </c>
      <c r="AL88" s="150">
        <v>224</v>
      </c>
      <c r="AM88" s="151">
        <v>46471</v>
      </c>
      <c r="AN88" s="151">
        <v>46485</v>
      </c>
      <c r="AO88" s="225">
        <f>AN88-AM89</f>
        <v>-5</v>
      </c>
      <c r="AP88" s="235" t="s">
        <v>171</v>
      </c>
      <c r="AQ88" s="447"/>
      <c r="AR88" s="154"/>
      <c r="AS88" s="155"/>
      <c r="AT88" s="155"/>
      <c r="AU88" s="155"/>
      <c r="AV88" s="155"/>
      <c r="AW88" s="155"/>
      <c r="AX88" s="155"/>
      <c r="AY88" s="155"/>
      <c r="AZ88" s="155"/>
      <c r="BA88" s="155"/>
      <c r="BB88" s="155"/>
      <c r="BC88" s="156" t="s">
        <v>234</v>
      </c>
      <c r="BD88" s="176"/>
      <c r="BE88" s="176"/>
    </row>
    <row r="89" spans="1:57" s="78" customFormat="1" ht="15.4" thickTop="1" thickBot="1" x14ac:dyDescent="0.45">
      <c r="A89" s="459"/>
      <c r="B89" s="158" t="s">
        <v>202</v>
      </c>
      <c r="C89" s="197" t="s">
        <v>231</v>
      </c>
      <c r="D89" s="160" t="s">
        <v>232</v>
      </c>
      <c r="E89" s="205" t="s">
        <v>235</v>
      </c>
      <c r="F89" s="205">
        <v>1</v>
      </c>
      <c r="G89" s="204" t="s">
        <v>206</v>
      </c>
      <c r="H89" s="228" t="s">
        <v>158</v>
      </c>
      <c r="I89" s="159" t="s">
        <v>138</v>
      </c>
      <c r="J89" s="197" t="s">
        <v>95</v>
      </c>
      <c r="K89" s="159" t="s">
        <v>2</v>
      </c>
      <c r="L89" s="204"/>
      <c r="M89" s="165" t="s">
        <v>76</v>
      </c>
      <c r="N89" s="166" t="s">
        <v>84</v>
      </c>
      <c r="O89" s="167"/>
      <c r="P89" s="168"/>
      <c r="Q89" s="168"/>
      <c r="R89" s="168"/>
      <c r="S89" s="168"/>
      <c r="T89" s="168"/>
      <c r="U89" s="168">
        <f>WORKDAY(T90,U6,IF(U12="China",'China Holidays'!$A$2:$A$84,'Thai Holidays'!$A$2:$A$65))</f>
        <v>46253</v>
      </c>
      <c r="V89" s="168">
        <f>U89</f>
        <v>46253</v>
      </c>
      <c r="W89" s="168"/>
      <c r="X89" s="168">
        <f>WORKDAY(V89,X6,IF(X12="China",'China Holidays'!$A$2:$A$84,'Thai Holidays'!$A$2:$A$65))</f>
        <v>46266</v>
      </c>
      <c r="Y89" s="168">
        <f>WORKDAY(X89,Y6,IF(Y12="China",'China Holidays'!$A$2:$A$84,'Thai Holidays'!$A$2:$A$65))</f>
        <v>46268</v>
      </c>
      <c r="Z89" s="168">
        <f>WORKDAY(Y89,Z6,IF(Z12="China",'China Holidays'!$A$2:$A$84,'Thai Holidays'!$A$2:$A$65))</f>
        <v>46275</v>
      </c>
      <c r="AA89" s="168">
        <f>WORKDAY(Z89,AA6,IF(AA12="China",'China Holidays'!$A$2:$A$84,'Thai Holidays'!$A$2:$A$65))</f>
        <v>46311</v>
      </c>
      <c r="AB89" s="168">
        <f>WORKDAY(AA89,AB6,IF(AB12="China",'China Holidays'!$A$2:$A$84,'Thai Holidays'!$A$2:$A$65))</f>
        <v>46328</v>
      </c>
      <c r="AC89" s="168">
        <f>AB89+30</f>
        <v>46358</v>
      </c>
      <c r="AD89" s="168">
        <f>AC89</f>
        <v>46358</v>
      </c>
      <c r="AE89" s="168">
        <f>AD89+2</f>
        <v>46360</v>
      </c>
      <c r="AF89" s="168">
        <f>AG89-20</f>
        <v>46440</v>
      </c>
      <c r="AG89" s="168">
        <f>AH89-30</f>
        <v>46460</v>
      </c>
      <c r="AH89" s="168">
        <f>AM89</f>
        <v>46490</v>
      </c>
      <c r="AI89" s="168">
        <f>AM88+3</f>
        <v>46474</v>
      </c>
      <c r="AJ89" s="168">
        <f>AM88+30</f>
        <v>46501</v>
      </c>
      <c r="AK89" s="169"/>
      <c r="AL89" s="230"/>
      <c r="AM89" s="170">
        <f>X89+AL88</f>
        <v>46490</v>
      </c>
      <c r="AN89" s="170"/>
      <c r="AO89" s="230"/>
      <c r="AP89" s="270"/>
      <c r="AQ89" s="448"/>
      <c r="AR89" s="154"/>
      <c r="AS89" s="155"/>
      <c r="AT89" s="155"/>
      <c r="AU89" s="155"/>
      <c r="AV89" s="155"/>
      <c r="AW89" s="155"/>
      <c r="AX89" s="155"/>
      <c r="AY89" s="155"/>
      <c r="AZ89" s="155"/>
      <c r="BA89" s="155"/>
      <c r="BB89" s="155"/>
      <c r="BC89" s="156"/>
      <c r="BD89" s="176"/>
      <c r="BE89" s="176"/>
    </row>
    <row r="90" spans="1:57" s="78" customFormat="1" ht="15.4" thickTop="1" thickBot="1" x14ac:dyDescent="0.45">
      <c r="A90" s="460"/>
      <c r="B90" s="177" t="s">
        <v>202</v>
      </c>
      <c r="C90" s="178" t="s">
        <v>231</v>
      </c>
      <c r="D90" s="237" t="s">
        <v>232</v>
      </c>
      <c r="E90" s="208"/>
      <c r="F90" s="208"/>
      <c r="G90" s="209" t="s">
        <v>206</v>
      </c>
      <c r="H90" s="182" t="s">
        <v>158</v>
      </c>
      <c r="I90" s="178" t="s">
        <v>138</v>
      </c>
      <c r="J90" s="178" t="s">
        <v>95</v>
      </c>
      <c r="K90" s="178" t="s">
        <v>2</v>
      </c>
      <c r="L90" s="209"/>
      <c r="M90" s="184" t="s">
        <v>76</v>
      </c>
      <c r="N90" s="185" t="s">
        <v>87</v>
      </c>
      <c r="O90" s="186">
        <v>46174</v>
      </c>
      <c r="P90" s="186">
        <v>46148</v>
      </c>
      <c r="Q90" s="186">
        <v>46166</v>
      </c>
      <c r="R90" s="186">
        <v>46183</v>
      </c>
      <c r="S90" s="186">
        <v>46183</v>
      </c>
      <c r="T90" s="186">
        <v>46225</v>
      </c>
      <c r="U90" s="186"/>
      <c r="V90" s="186"/>
      <c r="W90" s="186"/>
      <c r="X90" s="186"/>
      <c r="Y90" s="186"/>
      <c r="Z90" s="186"/>
      <c r="AA90" s="186"/>
      <c r="AB90" s="186"/>
      <c r="AC90" s="186"/>
      <c r="AD90" s="186"/>
      <c r="AE90" s="186"/>
      <c r="AF90" s="186"/>
      <c r="AG90" s="186"/>
      <c r="AH90" s="186"/>
      <c r="AI90" s="186"/>
      <c r="AJ90" s="186"/>
      <c r="AK90" s="188"/>
      <c r="AL90" s="211"/>
      <c r="AM90" s="187"/>
      <c r="AN90" s="187"/>
      <c r="AO90" s="211"/>
      <c r="AP90" s="271"/>
      <c r="AQ90" s="449"/>
      <c r="AR90" s="191"/>
      <c r="AS90" s="192"/>
      <c r="AT90" s="192"/>
      <c r="AU90" s="192"/>
      <c r="AV90" s="192"/>
      <c r="AW90" s="192"/>
      <c r="AX90" s="192"/>
      <c r="AY90" s="192"/>
      <c r="AZ90" s="192"/>
      <c r="BA90" s="192"/>
      <c r="BB90" s="192"/>
      <c r="BC90" s="156"/>
      <c r="BD90" s="176"/>
      <c r="BE90" s="176"/>
    </row>
    <row r="91" spans="1:57" s="78" customFormat="1" ht="15.4" thickTop="1" thickBot="1" x14ac:dyDescent="0.45">
      <c r="A91" s="458">
        <f t="shared" ref="A91" si="19">A88+1</f>
        <v>25</v>
      </c>
      <c r="B91" s="139" t="s">
        <v>202</v>
      </c>
      <c r="C91" s="239" t="s">
        <v>236</v>
      </c>
      <c r="D91" s="233" t="s">
        <v>237</v>
      </c>
      <c r="E91" s="142" t="s">
        <v>238</v>
      </c>
      <c r="F91" s="142">
        <v>2</v>
      </c>
      <c r="G91" s="427" t="s">
        <v>206</v>
      </c>
      <c r="H91" s="143" t="s">
        <v>158</v>
      </c>
      <c r="I91" s="140" t="s">
        <v>138</v>
      </c>
      <c r="J91" s="140" t="s">
        <v>95</v>
      </c>
      <c r="K91" s="140" t="s">
        <v>2</v>
      </c>
      <c r="L91" s="203"/>
      <c r="M91" s="145" t="s">
        <v>76</v>
      </c>
      <c r="N91" s="146" t="s">
        <v>77</v>
      </c>
      <c r="O91" s="147">
        <v>46220</v>
      </c>
      <c r="P91" s="147">
        <v>46223</v>
      </c>
      <c r="Q91" s="147">
        <v>46230</v>
      </c>
      <c r="R91" s="147">
        <v>46231</v>
      </c>
      <c r="S91" s="147">
        <v>46239</v>
      </c>
      <c r="T91" s="147">
        <v>46253</v>
      </c>
      <c r="U91" s="148">
        <v>46281</v>
      </c>
      <c r="V91" s="147">
        <v>46286</v>
      </c>
      <c r="W91" s="147"/>
      <c r="X91" s="147">
        <v>46308</v>
      </c>
      <c r="Y91" s="147">
        <v>46310</v>
      </c>
      <c r="Z91" s="147">
        <v>46317</v>
      </c>
      <c r="AA91" s="147">
        <v>46345</v>
      </c>
      <c r="AB91" s="147">
        <v>46359</v>
      </c>
      <c r="AC91" s="147">
        <v>46389</v>
      </c>
      <c r="AD91" s="147">
        <v>46389</v>
      </c>
      <c r="AE91" s="147">
        <v>46391</v>
      </c>
      <c r="AF91" s="147">
        <v>46454</v>
      </c>
      <c r="AG91" s="147">
        <v>46474</v>
      </c>
      <c r="AH91" s="147">
        <v>46504</v>
      </c>
      <c r="AI91" s="147">
        <v>46507</v>
      </c>
      <c r="AJ91" s="147">
        <v>46534</v>
      </c>
      <c r="AK91" s="149">
        <v>28</v>
      </c>
      <c r="AL91" s="150">
        <v>196</v>
      </c>
      <c r="AM91" s="151">
        <v>46504</v>
      </c>
      <c r="AN91" s="151">
        <v>46515</v>
      </c>
      <c r="AO91" s="225">
        <f>AN91-AM92</f>
        <v>11</v>
      </c>
      <c r="AP91" s="235" t="s">
        <v>171</v>
      </c>
      <c r="AQ91" s="447" t="s">
        <v>201</v>
      </c>
      <c r="AR91" s="154">
        <f>IF(ISERROR(LOOKUP(AR$10,$O91:$AQ91,#REF!)),0,(LOOKUP(AR$10,$O91:$AQ91,#REF!)))</f>
        <v>0</v>
      </c>
      <c r="AS91" s="155">
        <f>IF(ISERROR(LOOKUP(AS$10,$O91:$AQ91,#REF!)),0,(LOOKUP(AS$10,$O91:$AQ91,#REF!)))</f>
        <v>0</v>
      </c>
      <c r="AT91" s="155">
        <f>IF(ISERROR(LOOKUP(AT$10,$O91:$AQ91,#REF!)),0,(LOOKUP(AT$10,$O91:$AQ91,#REF!)))</f>
        <v>0</v>
      </c>
      <c r="AU91" s="155">
        <f>IF(ISERROR(LOOKUP(AU$10,$O91:$AQ91,#REF!)),0,(LOOKUP(AU$10,$O91:$AQ91,#REF!)))</f>
        <v>0</v>
      </c>
      <c r="AV91" s="155">
        <f>IF(ISERROR(LOOKUP(AV$10,$O91:$AQ91,#REF!)),0,(LOOKUP(AV$10,$O91:$AQ91,#REF!)))</f>
        <v>0</v>
      </c>
      <c r="AW91" s="155">
        <f>IF(ISERROR(LOOKUP(AW$10,$O91:$AQ91,#REF!)),0,(LOOKUP(AW$10,$O91:$AQ91,#REF!)))</f>
        <v>0</v>
      </c>
      <c r="AX91" s="155">
        <f>IF(ISERROR(LOOKUP(AX$10,$O91:$AQ91,#REF!)),0,(LOOKUP(AX$10,$O91:$AQ91,#REF!)))</f>
        <v>0</v>
      </c>
      <c r="AY91" s="155">
        <f>IF(ISERROR(LOOKUP(AY$10,$O91:$AQ91,#REF!)),0,(LOOKUP(AY$10,$O91:$AQ91,#REF!)))</f>
        <v>0</v>
      </c>
      <c r="AZ91" s="155">
        <f>IF(ISERROR(LOOKUP(AZ$10,$O91:$AQ91,#REF!)),0,(LOOKUP(AZ$10,$O91:$AQ91,#REF!)))</f>
        <v>0</v>
      </c>
      <c r="BA91" s="155">
        <f>IF(ISERROR(LOOKUP(BA$10,$O91:$AQ91,#REF!)),0,(LOOKUP(BA$10,$O91:$AQ91,#REF!)))</f>
        <v>0</v>
      </c>
      <c r="BB91" s="155">
        <f ca="1">IF(ISERROR(LOOKUP(BB$10,$O91:$AQ91,#REF!)),0,(LOOKUP(BB$10,$O91:$AQ91,#REF!)))</f>
        <v>0</v>
      </c>
      <c r="BC91" s="156"/>
      <c r="BD91" s="176"/>
      <c r="BE91" s="176"/>
    </row>
    <row r="92" spans="1:57" s="78" customFormat="1" ht="15.4" thickTop="1" thickBot="1" x14ac:dyDescent="0.45">
      <c r="A92" s="459"/>
      <c r="B92" s="158" t="s">
        <v>202</v>
      </c>
      <c r="C92" s="241" t="s">
        <v>236</v>
      </c>
      <c r="D92" s="160" t="s">
        <v>237</v>
      </c>
      <c r="E92" s="161" t="s">
        <v>239</v>
      </c>
      <c r="F92" s="161">
        <v>2</v>
      </c>
      <c r="G92" s="204" t="s">
        <v>206</v>
      </c>
      <c r="H92" s="228" t="s">
        <v>158</v>
      </c>
      <c r="I92" s="159" t="s">
        <v>138</v>
      </c>
      <c r="J92" s="197" t="s">
        <v>95</v>
      </c>
      <c r="K92" s="197" t="s">
        <v>2</v>
      </c>
      <c r="L92" s="204"/>
      <c r="M92" s="165" t="s">
        <v>76</v>
      </c>
      <c r="N92" s="166" t="s">
        <v>84</v>
      </c>
      <c r="O92" s="167"/>
      <c r="P92" s="168"/>
      <c r="Q92" s="168"/>
      <c r="R92" s="168"/>
      <c r="S92" s="168"/>
      <c r="T92" s="168"/>
      <c r="U92" s="168">
        <f>U91</f>
        <v>46281</v>
      </c>
      <c r="V92" s="168">
        <f>WORKDAY(U92,V6,IF(V12="China",'China Holidays'!$A$2:$A$84,'Thai Holidays'!$A$2:$A$65))</f>
        <v>46295</v>
      </c>
      <c r="W92" s="168"/>
      <c r="X92" s="168">
        <f>X91</f>
        <v>46308</v>
      </c>
      <c r="Y92" s="168">
        <f>WORKDAY(X92,Y6,IF(Y12="China",'China Holidays'!$A$2:$A$84,'Thai Holidays'!$A$2:$A$65))</f>
        <v>46310</v>
      </c>
      <c r="Z92" s="168">
        <f>WORKDAY(Y92,Z6,IF(Z12="China",'China Holidays'!$A$2:$A$84,'Thai Holidays'!$A$2:$A$65))</f>
        <v>46317</v>
      </c>
      <c r="AA92" s="168">
        <f>WORKDAY(Z92,AA6,IF(AA12="China",'China Holidays'!$A$2:$A$84,'Thai Holidays'!$A$2:$A$65))</f>
        <v>46345</v>
      </c>
      <c r="AB92" s="168">
        <f>WORKDAY(AA92,AB6,IF(AB12="China",'China Holidays'!$A$2:$A$84,'Thai Holidays'!$A$2:$A$65))</f>
        <v>46359</v>
      </c>
      <c r="AC92" s="168">
        <f>AB92+30</f>
        <v>46389</v>
      </c>
      <c r="AD92" s="168">
        <f>AC92</f>
        <v>46389</v>
      </c>
      <c r="AE92" s="168">
        <f>AD92+2</f>
        <v>46391</v>
      </c>
      <c r="AF92" s="168">
        <f>AG92-15</f>
        <v>46459</v>
      </c>
      <c r="AG92" s="168">
        <f>AH92-30</f>
        <v>46474</v>
      </c>
      <c r="AH92" s="168">
        <f>AM92</f>
        <v>46504</v>
      </c>
      <c r="AI92" s="168">
        <f>AM91+3</f>
        <v>46507</v>
      </c>
      <c r="AJ92" s="168">
        <f>AM91+30</f>
        <v>46534</v>
      </c>
      <c r="AK92" s="199"/>
      <c r="AL92" s="199"/>
      <c r="AM92" s="170">
        <f>X92+AL91</f>
        <v>46504</v>
      </c>
      <c r="AN92" s="170"/>
      <c r="AO92" s="171"/>
      <c r="AP92" s="172"/>
      <c r="AQ92" s="448"/>
      <c r="AR92" s="154">
        <f>IF(ISERROR(LOOKUP(AR$10,$O92:$AQ92,#REF!)),0,(LOOKUP(AR$10,$O92:$AQ92,#REF!)))</f>
        <v>0</v>
      </c>
      <c r="AS92" s="155">
        <f>IF(ISERROR(LOOKUP(AS$10,$O92:$AQ92,#REF!)),0,(LOOKUP(AS$10,$O92:$AQ92,#REF!)))</f>
        <v>0</v>
      </c>
      <c r="AT92" s="155">
        <f>IF(ISERROR(LOOKUP(AT$10,$O92:$AQ92,#REF!)),0,(LOOKUP(AT$10,$O92:$AQ92,#REF!)))</f>
        <v>0</v>
      </c>
      <c r="AU92" s="155">
        <f>IF(ISERROR(LOOKUP(AU$10,$O92:$AQ92,#REF!)),0,(LOOKUP(AU$10,$O92:$AQ92,#REF!)))</f>
        <v>0</v>
      </c>
      <c r="AV92" s="155">
        <f>IF(ISERROR(LOOKUP(AV$10,$O92:$AQ92,#REF!)),0,(LOOKUP(AV$10,$O92:$AQ92,#REF!)))</f>
        <v>0</v>
      </c>
      <c r="AW92" s="155">
        <f>IF(ISERROR(LOOKUP(AW$10,$O92:$AQ92,#REF!)),0,(LOOKUP(AW$10,$O92:$AQ92,#REF!)))</f>
        <v>0</v>
      </c>
      <c r="AX92" s="155">
        <f>IF(ISERROR(LOOKUP(AX$10,$O92:$AQ92,#REF!)),0,(LOOKUP(AX$10,$O92:$AQ92,#REF!)))</f>
        <v>0</v>
      </c>
      <c r="AY92" s="155">
        <f>IF(ISERROR(LOOKUP(AY$10,$O92:$AQ92,#REF!)),0,(LOOKUP(AY$10,$O92:$AQ92,#REF!)))</f>
        <v>0</v>
      </c>
      <c r="AZ92" s="155">
        <f>IF(ISERROR(LOOKUP(AZ$10,$O92:$AQ92,#REF!)),0,(LOOKUP(AZ$10,$O92:$AQ92,#REF!)))</f>
        <v>0</v>
      </c>
      <c r="BA92" s="155">
        <f>IF(ISERROR(LOOKUP(BA$10,$O92:$AQ92,#REF!)),0,(LOOKUP(BA$10,$O92:$AQ92,#REF!)))</f>
        <v>0</v>
      </c>
      <c r="BB92" s="155">
        <f ca="1">IF(ISERROR(LOOKUP(BB$10,$O92:$AQ92,#REF!)),0,(LOOKUP(BB$10,$O92:$AQ92,#REF!)))</f>
        <v>0</v>
      </c>
      <c r="BC92" s="156"/>
      <c r="BD92" s="176"/>
      <c r="BE92" s="176"/>
    </row>
    <row r="93" spans="1:57" s="78" customFormat="1" ht="15.4" thickTop="1" thickBot="1" x14ac:dyDescent="0.45">
      <c r="A93" s="460"/>
      <c r="B93" s="177" t="s">
        <v>202</v>
      </c>
      <c r="C93" s="237" t="s">
        <v>236</v>
      </c>
      <c r="D93" s="237" t="s">
        <v>237</v>
      </c>
      <c r="E93" s="243" t="s">
        <v>240</v>
      </c>
      <c r="F93" s="243">
        <v>1</v>
      </c>
      <c r="G93" s="209" t="s">
        <v>206</v>
      </c>
      <c r="H93" s="182" t="s">
        <v>158</v>
      </c>
      <c r="I93" s="178" t="s">
        <v>138</v>
      </c>
      <c r="J93" s="178" t="s">
        <v>95</v>
      </c>
      <c r="K93" s="178" t="s">
        <v>2</v>
      </c>
      <c r="L93" s="209"/>
      <c r="M93" s="184" t="s">
        <v>76</v>
      </c>
      <c r="N93" s="185" t="s">
        <v>87</v>
      </c>
      <c r="O93" s="186">
        <v>46184</v>
      </c>
      <c r="P93" s="186">
        <v>46148</v>
      </c>
      <c r="Q93" s="186">
        <v>46166</v>
      </c>
      <c r="R93" s="186">
        <v>46184</v>
      </c>
      <c r="S93" s="186">
        <v>46184</v>
      </c>
      <c r="T93" s="186">
        <v>46195</v>
      </c>
      <c r="U93" s="186"/>
      <c r="V93" s="186"/>
      <c r="W93" s="186"/>
      <c r="X93" s="186"/>
      <c r="Y93" s="186"/>
      <c r="Z93" s="186"/>
      <c r="AA93" s="186"/>
      <c r="AB93" s="186"/>
      <c r="AC93" s="186"/>
      <c r="AD93" s="186"/>
      <c r="AE93" s="186"/>
      <c r="AF93" s="186"/>
      <c r="AG93" s="186"/>
      <c r="AH93" s="186"/>
      <c r="AI93" s="186"/>
      <c r="AJ93" s="186"/>
      <c r="AK93" s="188"/>
      <c r="AL93" s="211"/>
      <c r="AM93" s="187"/>
      <c r="AN93" s="187"/>
      <c r="AO93" s="189"/>
      <c r="AP93" s="190"/>
      <c r="AQ93" s="449"/>
      <c r="AR93" s="191">
        <f>IF(ISERROR(LOOKUP(AR$10,$O93:$AQ93,#REF!)),0,(LOOKUP(AR$10,$O93:$AQ93,#REF!)))</f>
        <v>0</v>
      </c>
      <c r="AS93" s="192">
        <f>IF(ISERROR(LOOKUP(AS$10,$O93:$AQ93,#REF!)),0,(LOOKUP(AS$10,$O93:$AQ93,#REF!)))</f>
        <v>0</v>
      </c>
      <c r="AT93" s="192">
        <f>IF(ISERROR(LOOKUP(AT$10,$O93:$AQ93,#REF!)),0,(LOOKUP(AT$10,$O93:$AQ93,#REF!)))</f>
        <v>0</v>
      </c>
      <c r="AU93" s="192">
        <f>IF(ISERROR(LOOKUP(AU$10,$O93:$AQ93,#REF!)),0,(LOOKUP(AU$10,$O93:$AQ93,#REF!)))</f>
        <v>0</v>
      </c>
      <c r="AV93" s="192">
        <f>IF(ISERROR(LOOKUP(AV$10,$O93:$AQ93,#REF!)),0,(LOOKUP(AV$10,$O93:$AQ93,#REF!)))</f>
        <v>0</v>
      </c>
      <c r="AW93" s="192">
        <f>IF(ISERROR(LOOKUP(AW$10,$O93:$AQ93,#REF!)),0,(LOOKUP(AW$10,$O93:$AQ93,#REF!)))</f>
        <v>0</v>
      </c>
      <c r="AX93" s="192">
        <f>IF(ISERROR(LOOKUP(AX$10,$O93:$AQ93,#REF!)),0,(LOOKUP(AX$10,$O93:$AQ93,#REF!)))</f>
        <v>0</v>
      </c>
      <c r="AY93" s="192">
        <f>IF(ISERROR(LOOKUP(AY$10,$O93:$AQ93,#REF!)),0,(LOOKUP(AY$10,$O93:$AQ93,#REF!)))</f>
        <v>0</v>
      </c>
      <c r="AZ93" s="192">
        <f>IF(ISERROR(LOOKUP(AZ$10,$O93:$AQ93,#REF!)),0,(LOOKUP(AZ$10,$O93:$AQ93,#REF!)))</f>
        <v>0</v>
      </c>
      <c r="BA93" s="192">
        <f>IF(ISERROR(LOOKUP(BA$10,$O93:$AQ93,#REF!)),0,(LOOKUP(BA$10,$O93:$AQ93,#REF!)))</f>
        <v>0</v>
      </c>
      <c r="BB93" s="192">
        <f ca="1">IF(ISERROR(LOOKUP(BB$10,$O93:$AQ93,#REF!)),0,(LOOKUP(BB$10,$O93:$AQ93,#REF!)))</f>
        <v>0</v>
      </c>
      <c r="BC93" s="156"/>
      <c r="BD93" s="176"/>
      <c r="BE93" s="176"/>
    </row>
    <row r="94" spans="1:57" s="78" customFormat="1" ht="24" thickTop="1" thickBot="1" x14ac:dyDescent="0.45">
      <c r="A94" s="458">
        <f t="shared" ref="A94" si="20">A91+1</f>
        <v>26</v>
      </c>
      <c r="B94" s="139" t="s">
        <v>202</v>
      </c>
      <c r="C94" s="239" t="s">
        <v>236</v>
      </c>
      <c r="D94" s="233" t="s">
        <v>241</v>
      </c>
      <c r="E94" s="142" t="s">
        <v>242</v>
      </c>
      <c r="F94" s="142">
        <v>4</v>
      </c>
      <c r="G94" s="427" t="s">
        <v>206</v>
      </c>
      <c r="H94" s="143" t="s">
        <v>158</v>
      </c>
      <c r="I94" s="140" t="s">
        <v>138</v>
      </c>
      <c r="J94" s="140" t="s">
        <v>95</v>
      </c>
      <c r="K94" s="140" t="s">
        <v>2</v>
      </c>
      <c r="L94" s="273" t="s">
        <v>243</v>
      </c>
      <c r="M94" s="145" t="s">
        <v>76</v>
      </c>
      <c r="N94" s="146" t="s">
        <v>77</v>
      </c>
      <c r="O94" s="147">
        <v>46220</v>
      </c>
      <c r="P94" s="147">
        <v>46223</v>
      </c>
      <c r="Q94" s="147">
        <v>46230</v>
      </c>
      <c r="R94" s="147">
        <v>46231</v>
      </c>
      <c r="S94" s="147">
        <v>46239</v>
      </c>
      <c r="T94" s="147">
        <v>46253</v>
      </c>
      <c r="U94" s="148">
        <v>46281</v>
      </c>
      <c r="V94" s="147">
        <v>46286</v>
      </c>
      <c r="W94" s="147"/>
      <c r="X94" s="147">
        <v>46308</v>
      </c>
      <c r="Y94" s="147">
        <v>46310</v>
      </c>
      <c r="Z94" s="147">
        <v>46317</v>
      </c>
      <c r="AA94" s="147">
        <v>46345</v>
      </c>
      <c r="AB94" s="147">
        <v>46359</v>
      </c>
      <c r="AC94" s="147">
        <v>46389</v>
      </c>
      <c r="AD94" s="147">
        <v>46389</v>
      </c>
      <c r="AE94" s="147">
        <v>46391</v>
      </c>
      <c r="AF94" s="147">
        <v>46454</v>
      </c>
      <c r="AG94" s="147">
        <v>46474</v>
      </c>
      <c r="AH94" s="147">
        <v>46504</v>
      </c>
      <c r="AI94" s="147">
        <v>46507</v>
      </c>
      <c r="AJ94" s="147">
        <v>46534</v>
      </c>
      <c r="AK94" s="149">
        <v>28</v>
      </c>
      <c r="AL94" s="150">
        <v>196</v>
      </c>
      <c r="AM94" s="151">
        <v>46504</v>
      </c>
      <c r="AN94" s="151">
        <v>46515</v>
      </c>
      <c r="AO94" s="225">
        <f>AN94-AM95</f>
        <v>11</v>
      </c>
      <c r="AP94" s="235"/>
      <c r="AQ94" s="447"/>
      <c r="AR94" s="154">
        <f>IF(ISERROR(LOOKUP(AR$10,$O94:$AQ94,#REF!)),0,(LOOKUP(AR$10,$O94:$AQ94,#REF!)))</f>
        <v>0</v>
      </c>
      <c r="AS94" s="155">
        <f>IF(ISERROR(LOOKUP(AS$10,$O94:$AQ94,#REF!)),0,(LOOKUP(AS$10,$O94:$AQ94,#REF!)))</f>
        <v>0</v>
      </c>
      <c r="AT94" s="155">
        <f>IF(ISERROR(LOOKUP(AT$10,$O94:$AQ94,#REF!)),0,(LOOKUP(AT$10,$O94:$AQ94,#REF!)))</f>
        <v>0</v>
      </c>
      <c r="AU94" s="155">
        <f>IF(ISERROR(LOOKUP(AU$10,$O94:$AQ94,#REF!)),0,(LOOKUP(AU$10,$O94:$AQ94,#REF!)))</f>
        <v>0</v>
      </c>
      <c r="AV94" s="155">
        <f>IF(ISERROR(LOOKUP(AV$10,$O94:$AQ94,#REF!)),0,(LOOKUP(AV$10,$O94:$AQ94,#REF!)))</f>
        <v>0</v>
      </c>
      <c r="AW94" s="155">
        <f>IF(ISERROR(LOOKUP(AW$10,$O94:$AQ94,#REF!)),0,(LOOKUP(AW$10,$O94:$AQ94,#REF!)))</f>
        <v>0</v>
      </c>
      <c r="AX94" s="155">
        <f>IF(ISERROR(LOOKUP(AX$10,$O94:$AQ94,#REF!)),0,(LOOKUP(AX$10,$O94:$AQ94,#REF!)))</f>
        <v>0</v>
      </c>
      <c r="AY94" s="155">
        <f>IF(ISERROR(LOOKUP(AY$10,$O94:$AQ94,#REF!)),0,(LOOKUP(AY$10,$O94:$AQ94,#REF!)))</f>
        <v>0</v>
      </c>
      <c r="AZ94" s="155">
        <f>IF(ISERROR(LOOKUP(AZ$10,$O94:$AQ94,#REF!)),0,(LOOKUP(AZ$10,$O94:$AQ94,#REF!)))</f>
        <v>0</v>
      </c>
      <c r="BA94" s="155">
        <f>IF(ISERROR(LOOKUP(BA$10,$O94:$AQ94,#REF!)),0,(LOOKUP(BA$10,$O94:$AQ94,#REF!)))</f>
        <v>0</v>
      </c>
      <c r="BB94" s="155">
        <f ca="1">IF(ISERROR(LOOKUP(BB$10,$O94:$AQ94,#REF!)),0,(LOOKUP(BB$10,$O94:$AQ94,#REF!)))</f>
        <v>0</v>
      </c>
      <c r="BC94" s="156"/>
      <c r="BD94" s="176"/>
      <c r="BE94" s="176"/>
    </row>
    <row r="95" spans="1:57" s="78" customFormat="1" ht="24" thickTop="1" thickBot="1" x14ac:dyDescent="0.45">
      <c r="A95" s="459"/>
      <c r="B95" s="158" t="s">
        <v>202</v>
      </c>
      <c r="C95" s="241" t="s">
        <v>236</v>
      </c>
      <c r="D95" s="275" t="s">
        <v>241</v>
      </c>
      <c r="E95" s="161" t="s">
        <v>244</v>
      </c>
      <c r="F95" s="161">
        <v>1</v>
      </c>
      <c r="G95" s="204" t="s">
        <v>206</v>
      </c>
      <c r="H95" s="228" t="s">
        <v>158</v>
      </c>
      <c r="I95" s="159" t="s">
        <v>138</v>
      </c>
      <c r="J95" s="197" t="s">
        <v>95</v>
      </c>
      <c r="K95" s="197" t="s">
        <v>2</v>
      </c>
      <c r="L95" s="204"/>
      <c r="M95" s="165" t="s">
        <v>76</v>
      </c>
      <c r="N95" s="166" t="s">
        <v>84</v>
      </c>
      <c r="O95" s="167"/>
      <c r="P95" s="168"/>
      <c r="Q95" s="168"/>
      <c r="R95" s="168"/>
      <c r="S95" s="168"/>
      <c r="T95" s="168"/>
      <c r="U95" s="168">
        <f>U94</f>
        <v>46281</v>
      </c>
      <c r="V95" s="168">
        <f>WORKDAY(U95,V6,IF(V12="China",'China Holidays'!$A$2:$A$84,'Thai Holidays'!$A$2:$A$65))</f>
        <v>46295</v>
      </c>
      <c r="W95" s="168"/>
      <c r="X95" s="168">
        <f>X94</f>
        <v>46308</v>
      </c>
      <c r="Y95" s="168">
        <f>WORKDAY(X95,Y6,IF(Y12="China",'China Holidays'!$A$2:$A$84,'Thai Holidays'!$A$2:$A$65))</f>
        <v>46310</v>
      </c>
      <c r="Z95" s="168">
        <f>WORKDAY(Y95,Z6,IF(Z12="China",'China Holidays'!$A$2:$A$84,'Thai Holidays'!$A$2:$A$65))</f>
        <v>46317</v>
      </c>
      <c r="AA95" s="168">
        <f>WORKDAY(Z95,AA6,IF(AA12="China",'China Holidays'!$A$2:$A$84,'Thai Holidays'!$A$2:$A$65))</f>
        <v>46345</v>
      </c>
      <c r="AB95" s="168">
        <f>WORKDAY(AA95,AB6,IF(AB12="China",'China Holidays'!$A$2:$A$84,'Thai Holidays'!$A$2:$A$65))</f>
        <v>46359</v>
      </c>
      <c r="AC95" s="168">
        <f>AB95+30</f>
        <v>46389</v>
      </c>
      <c r="AD95" s="168">
        <f>AC95</f>
        <v>46389</v>
      </c>
      <c r="AE95" s="168">
        <f>AD95+2</f>
        <v>46391</v>
      </c>
      <c r="AF95" s="168">
        <f>AG95-15</f>
        <v>46459</v>
      </c>
      <c r="AG95" s="168">
        <f>AH95-30</f>
        <v>46474</v>
      </c>
      <c r="AH95" s="168">
        <f>AM95</f>
        <v>46504</v>
      </c>
      <c r="AI95" s="168">
        <f>AM94+3</f>
        <v>46507</v>
      </c>
      <c r="AJ95" s="168">
        <f>AM94+30</f>
        <v>46534</v>
      </c>
      <c r="AK95" s="199"/>
      <c r="AL95" s="199"/>
      <c r="AM95" s="170">
        <f>X95+AL94</f>
        <v>46504</v>
      </c>
      <c r="AN95" s="170"/>
      <c r="AO95" s="171"/>
      <c r="AP95" s="172"/>
      <c r="AQ95" s="448"/>
      <c r="AR95" s="154">
        <f>IF(ISERROR(LOOKUP(AR$10,$O95:$AQ95,#REF!)),0,(LOOKUP(AR$10,$O95:$AQ95,#REF!)))</f>
        <v>0</v>
      </c>
      <c r="AS95" s="155">
        <f>IF(ISERROR(LOOKUP(AS$10,$O95:$AQ95,#REF!)),0,(LOOKUP(AS$10,$O95:$AQ95,#REF!)))</f>
        <v>0</v>
      </c>
      <c r="AT95" s="155">
        <f>IF(ISERROR(LOOKUP(AT$10,$O95:$AQ95,#REF!)),0,(LOOKUP(AT$10,$O95:$AQ95,#REF!)))</f>
        <v>0</v>
      </c>
      <c r="AU95" s="155">
        <f>IF(ISERROR(LOOKUP(AU$10,$O95:$AQ95,#REF!)),0,(LOOKUP(AU$10,$O95:$AQ95,#REF!)))</f>
        <v>0</v>
      </c>
      <c r="AV95" s="155">
        <f>IF(ISERROR(LOOKUP(AV$10,$O95:$AQ95,#REF!)),0,(LOOKUP(AV$10,$O95:$AQ95,#REF!)))</f>
        <v>0</v>
      </c>
      <c r="AW95" s="155">
        <f>IF(ISERROR(LOOKUP(AW$10,$O95:$AQ95,#REF!)),0,(LOOKUP(AW$10,$O95:$AQ95,#REF!)))</f>
        <v>0</v>
      </c>
      <c r="AX95" s="155">
        <f>IF(ISERROR(LOOKUP(AX$10,$O95:$AQ95,#REF!)),0,(LOOKUP(AX$10,$O95:$AQ95,#REF!)))</f>
        <v>0</v>
      </c>
      <c r="AY95" s="155">
        <f>IF(ISERROR(LOOKUP(AY$10,$O95:$AQ95,#REF!)),0,(LOOKUP(AY$10,$O95:$AQ95,#REF!)))</f>
        <v>0</v>
      </c>
      <c r="AZ95" s="155">
        <f>IF(ISERROR(LOOKUP(AZ$10,$O95:$AQ95,#REF!)),0,(LOOKUP(AZ$10,$O95:$AQ95,#REF!)))</f>
        <v>0</v>
      </c>
      <c r="BA95" s="155">
        <f>IF(ISERROR(LOOKUP(BA$10,$O95:$AQ95,#REF!)),0,(LOOKUP(BA$10,$O95:$AQ95,#REF!)))</f>
        <v>0</v>
      </c>
      <c r="BB95" s="155">
        <f ca="1">IF(ISERROR(LOOKUP(BB$10,$O95:$AQ95,#REF!)),0,(LOOKUP(BB$10,$O95:$AQ95,#REF!)))</f>
        <v>0</v>
      </c>
      <c r="BC95" s="156"/>
      <c r="BD95" s="176"/>
      <c r="BE95" s="176"/>
    </row>
    <row r="96" spans="1:57" s="78" customFormat="1" ht="24" thickTop="1" thickBot="1" x14ac:dyDescent="0.45">
      <c r="A96" s="460"/>
      <c r="B96" s="177" t="s">
        <v>202</v>
      </c>
      <c r="C96" s="237" t="s">
        <v>236</v>
      </c>
      <c r="D96" s="179" t="s">
        <v>241</v>
      </c>
      <c r="E96" s="243" t="s">
        <v>245</v>
      </c>
      <c r="F96" s="243">
        <v>2</v>
      </c>
      <c r="G96" s="209" t="s">
        <v>206</v>
      </c>
      <c r="H96" s="182" t="s">
        <v>158</v>
      </c>
      <c r="I96" s="178" t="s">
        <v>138</v>
      </c>
      <c r="J96" s="178" t="s">
        <v>95</v>
      </c>
      <c r="K96" s="178" t="s">
        <v>2</v>
      </c>
      <c r="L96" s="209"/>
      <c r="M96" s="184" t="s">
        <v>76</v>
      </c>
      <c r="N96" s="185" t="s">
        <v>87</v>
      </c>
      <c r="O96" s="186">
        <v>46184</v>
      </c>
      <c r="P96" s="186">
        <v>46148</v>
      </c>
      <c r="Q96" s="186">
        <v>46166</v>
      </c>
      <c r="R96" s="186">
        <v>46184</v>
      </c>
      <c r="S96" s="186">
        <v>46184</v>
      </c>
      <c r="T96" s="186">
        <v>46195</v>
      </c>
      <c r="U96" s="186"/>
      <c r="V96" s="186"/>
      <c r="W96" s="186"/>
      <c r="X96" s="186"/>
      <c r="Y96" s="186"/>
      <c r="Z96" s="186"/>
      <c r="AA96" s="186"/>
      <c r="AB96" s="186"/>
      <c r="AC96" s="186"/>
      <c r="AD96" s="186"/>
      <c r="AE96" s="186"/>
      <c r="AF96" s="186"/>
      <c r="AG96" s="186"/>
      <c r="AH96" s="186"/>
      <c r="AI96" s="186"/>
      <c r="AJ96" s="186"/>
      <c r="AK96" s="188"/>
      <c r="AL96" s="211"/>
      <c r="AM96" s="187"/>
      <c r="AN96" s="187"/>
      <c r="AO96" s="189"/>
      <c r="AP96" s="190"/>
      <c r="AQ96" s="449"/>
      <c r="AR96" s="191">
        <f>IF(ISERROR(LOOKUP(AR$10,$O96:$AQ96,#REF!)),0,(LOOKUP(AR$10,$O96:$AQ96,#REF!)))</f>
        <v>0</v>
      </c>
      <c r="AS96" s="192">
        <f>IF(ISERROR(LOOKUP(AS$10,$O96:$AQ96,#REF!)),0,(LOOKUP(AS$10,$O96:$AQ96,#REF!)))</f>
        <v>0</v>
      </c>
      <c r="AT96" s="192">
        <f>IF(ISERROR(LOOKUP(AT$10,$O96:$AQ96,#REF!)),0,(LOOKUP(AT$10,$O96:$AQ96,#REF!)))</f>
        <v>0</v>
      </c>
      <c r="AU96" s="192">
        <f>IF(ISERROR(LOOKUP(AU$10,$O96:$AQ96,#REF!)),0,(LOOKUP(AU$10,$O96:$AQ96,#REF!)))</f>
        <v>0</v>
      </c>
      <c r="AV96" s="192">
        <f>IF(ISERROR(LOOKUP(AV$10,$O96:$AQ96,#REF!)),0,(LOOKUP(AV$10,$O96:$AQ96,#REF!)))</f>
        <v>0</v>
      </c>
      <c r="AW96" s="192">
        <f>IF(ISERROR(LOOKUP(AW$10,$O96:$AQ96,#REF!)),0,(LOOKUP(AW$10,$O96:$AQ96,#REF!)))</f>
        <v>0</v>
      </c>
      <c r="AX96" s="192">
        <f>IF(ISERROR(LOOKUP(AX$10,$O96:$AQ96,#REF!)),0,(LOOKUP(AX$10,$O96:$AQ96,#REF!)))</f>
        <v>0</v>
      </c>
      <c r="AY96" s="192">
        <f>IF(ISERROR(LOOKUP(AY$10,$O96:$AQ96,#REF!)),0,(LOOKUP(AY$10,$O96:$AQ96,#REF!)))</f>
        <v>0</v>
      </c>
      <c r="AZ96" s="192">
        <f>IF(ISERROR(LOOKUP(AZ$10,$O96:$AQ96,#REF!)),0,(LOOKUP(AZ$10,$O96:$AQ96,#REF!)))</f>
        <v>0</v>
      </c>
      <c r="BA96" s="192">
        <f>IF(ISERROR(LOOKUP(BA$10,$O96:$AQ96,#REF!)),0,(LOOKUP(BA$10,$O96:$AQ96,#REF!)))</f>
        <v>0</v>
      </c>
      <c r="BB96" s="192">
        <f ca="1">IF(ISERROR(LOOKUP(BB$10,$O96:$AQ96,#REF!)),0,(LOOKUP(BB$10,$O96:$AQ96,#REF!)))</f>
        <v>0</v>
      </c>
      <c r="BC96" s="156"/>
      <c r="BD96" s="176"/>
      <c r="BE96" s="176"/>
    </row>
    <row r="97" spans="1:57" s="78" customFormat="1" ht="15.4" thickTop="1" thickBot="1" x14ac:dyDescent="0.45">
      <c r="A97" s="458">
        <f t="shared" ref="A97" si="21">A94+1</f>
        <v>27</v>
      </c>
      <c r="B97" s="139" t="s">
        <v>246</v>
      </c>
      <c r="C97" s="194" t="s">
        <v>247</v>
      </c>
      <c r="D97" s="233" t="s">
        <v>248</v>
      </c>
      <c r="E97" s="142" t="s">
        <v>249</v>
      </c>
      <c r="F97" s="142">
        <v>24</v>
      </c>
      <c r="G97" s="427" t="s">
        <v>206</v>
      </c>
      <c r="H97" s="143" t="s">
        <v>158</v>
      </c>
      <c r="I97" s="140" t="s">
        <v>138</v>
      </c>
      <c r="J97" s="140" t="s">
        <v>74</v>
      </c>
      <c r="K97" s="140" t="s">
        <v>2</v>
      </c>
      <c r="L97" s="203"/>
      <c r="M97" s="145" t="s">
        <v>76</v>
      </c>
      <c r="N97" s="146" t="s">
        <v>77</v>
      </c>
      <c r="O97" s="147">
        <v>46220</v>
      </c>
      <c r="P97" s="147">
        <v>46223</v>
      </c>
      <c r="Q97" s="147">
        <v>46230</v>
      </c>
      <c r="R97" s="147">
        <v>46231</v>
      </c>
      <c r="S97" s="147">
        <v>46239</v>
      </c>
      <c r="T97" s="148">
        <v>46253</v>
      </c>
      <c r="U97" s="147">
        <v>46281</v>
      </c>
      <c r="V97" s="147">
        <v>46286</v>
      </c>
      <c r="W97" s="147"/>
      <c r="X97" s="147">
        <v>46308</v>
      </c>
      <c r="Y97" s="147">
        <v>46310</v>
      </c>
      <c r="Z97" s="147">
        <v>46317</v>
      </c>
      <c r="AA97" s="147">
        <v>46345</v>
      </c>
      <c r="AB97" s="147">
        <v>46359</v>
      </c>
      <c r="AC97" s="147">
        <v>46389</v>
      </c>
      <c r="AD97" s="147">
        <v>46389</v>
      </c>
      <c r="AE97" s="147">
        <v>46391</v>
      </c>
      <c r="AF97" s="147">
        <v>46454</v>
      </c>
      <c r="AG97" s="147">
        <v>46474</v>
      </c>
      <c r="AH97" s="147">
        <v>46504</v>
      </c>
      <c r="AI97" s="147">
        <v>46507</v>
      </c>
      <c r="AJ97" s="147">
        <v>46534</v>
      </c>
      <c r="AK97" s="149">
        <v>28</v>
      </c>
      <c r="AL97" s="150">
        <v>196</v>
      </c>
      <c r="AM97" s="151">
        <v>46504</v>
      </c>
      <c r="AN97" s="151">
        <v>46515</v>
      </c>
      <c r="AO97" s="225">
        <f>AN97-AM98</f>
        <v>11</v>
      </c>
      <c r="AP97" s="235"/>
      <c r="AQ97" s="447"/>
      <c r="AR97" s="154">
        <f>IF(ISERROR(LOOKUP(AR$10,$O97:$AQ97,#REF!)),0,(LOOKUP(AR$10,$O97:$AQ97,#REF!)))</f>
        <v>0</v>
      </c>
      <c r="AS97" s="155">
        <f>IF(ISERROR(LOOKUP(AS$10,$O97:$AQ97,#REF!)),0,(LOOKUP(AS$10,$O97:$AQ97,#REF!)))</f>
        <v>0</v>
      </c>
      <c r="AT97" s="155">
        <f>IF(ISERROR(LOOKUP(AT$10,$O97:$AQ97,#REF!)),0,(LOOKUP(AT$10,$O97:$AQ97,#REF!)))</f>
        <v>0</v>
      </c>
      <c r="AU97" s="155">
        <f>IF(ISERROR(LOOKUP(AU$10,$O97:$AQ97,#REF!)),0,(LOOKUP(AU$10,$O97:$AQ97,#REF!)))</f>
        <v>0</v>
      </c>
      <c r="AV97" s="155">
        <f>IF(ISERROR(LOOKUP(AV$10,$O97:$AQ97,#REF!)),0,(LOOKUP(AV$10,$O97:$AQ97,#REF!)))</f>
        <v>0</v>
      </c>
      <c r="AW97" s="155">
        <f>IF(ISERROR(LOOKUP(AW$10,$O97:$AQ97,#REF!)),0,(LOOKUP(AW$10,$O97:$AQ97,#REF!)))</f>
        <v>0</v>
      </c>
      <c r="AX97" s="155">
        <f>IF(ISERROR(LOOKUP(AX$10,$O97:$AQ97,#REF!)),0,(LOOKUP(AX$10,$O97:$AQ97,#REF!)))</f>
        <v>0</v>
      </c>
      <c r="AY97" s="155">
        <f>IF(ISERROR(LOOKUP(AY$10,$O97:$AQ97,#REF!)),0,(LOOKUP(AY$10,$O97:$AQ97,#REF!)))</f>
        <v>0</v>
      </c>
      <c r="AZ97" s="155">
        <f>IF(ISERROR(LOOKUP(AZ$10,$O97:$AQ97,#REF!)),0,(LOOKUP(AZ$10,$O97:$AQ97,#REF!)))</f>
        <v>0</v>
      </c>
      <c r="BA97" s="155">
        <f>IF(ISERROR(LOOKUP(BA$10,$O97:$AQ97,#REF!)),0,(LOOKUP(BA$10,$O97:$AQ97,#REF!)))</f>
        <v>0</v>
      </c>
      <c r="BB97" s="155">
        <f ca="1">IF(ISERROR(LOOKUP(BB$10,$O97:$AQ97,#REF!)),0,(LOOKUP(BB$10,$O97:$AQ97,#REF!)))</f>
        <v>0</v>
      </c>
      <c r="BC97" s="156"/>
      <c r="BD97" s="176"/>
      <c r="BE97" s="176"/>
    </row>
    <row r="98" spans="1:57" s="78" customFormat="1" ht="15.4" thickTop="1" thickBot="1" x14ac:dyDescent="0.45">
      <c r="A98" s="459"/>
      <c r="B98" s="158" t="s">
        <v>246</v>
      </c>
      <c r="C98" s="275" t="s">
        <v>247</v>
      </c>
      <c r="D98" s="160" t="s">
        <v>248</v>
      </c>
      <c r="E98" s="161" t="s">
        <v>250</v>
      </c>
      <c r="F98" s="161">
        <f>23-5</f>
        <v>18</v>
      </c>
      <c r="G98" s="204" t="s">
        <v>206</v>
      </c>
      <c r="H98" s="228" t="s">
        <v>158</v>
      </c>
      <c r="I98" s="159" t="s">
        <v>138</v>
      </c>
      <c r="J98" s="197" t="s">
        <v>74</v>
      </c>
      <c r="K98" s="197" t="s">
        <v>2</v>
      </c>
      <c r="L98" s="204"/>
      <c r="M98" s="165" t="s">
        <v>76</v>
      </c>
      <c r="N98" s="166" t="s">
        <v>84</v>
      </c>
      <c r="O98" s="167">
        <v>46231</v>
      </c>
      <c r="P98" s="168"/>
      <c r="Q98" s="168"/>
      <c r="R98" s="168"/>
      <c r="S98" s="168"/>
      <c r="T98" s="168">
        <v>46253</v>
      </c>
      <c r="U98" s="168">
        <f>U97</f>
        <v>46281</v>
      </c>
      <c r="V98" s="168">
        <v>46286</v>
      </c>
      <c r="W98" s="168"/>
      <c r="X98" s="168">
        <v>46308</v>
      </c>
      <c r="Y98" s="168">
        <v>46310</v>
      </c>
      <c r="Z98" s="168">
        <v>46317</v>
      </c>
      <c r="AA98" s="168">
        <v>46345</v>
      </c>
      <c r="AB98" s="168">
        <v>46359</v>
      </c>
      <c r="AC98" s="168">
        <v>46389</v>
      </c>
      <c r="AD98" s="168">
        <v>46389</v>
      </c>
      <c r="AE98" s="168">
        <v>46391</v>
      </c>
      <c r="AF98" s="168">
        <v>46454</v>
      </c>
      <c r="AG98" s="168">
        <v>46474</v>
      </c>
      <c r="AH98" s="168">
        <v>46504</v>
      </c>
      <c r="AI98" s="168">
        <v>46507</v>
      </c>
      <c r="AJ98" s="168">
        <v>46534</v>
      </c>
      <c r="AK98" s="199"/>
      <c r="AL98" s="199"/>
      <c r="AM98" s="170">
        <f>X98+AL97</f>
        <v>46504</v>
      </c>
      <c r="AN98" s="170"/>
      <c r="AO98" s="171"/>
      <c r="AP98" s="172"/>
      <c r="AQ98" s="448"/>
      <c r="AR98" s="154">
        <f>IF(ISERROR(LOOKUP(AR$10,$O98:$AQ98,#REF!)),0,(LOOKUP(AR$10,$O98:$AQ98,#REF!)))</f>
        <v>0</v>
      </c>
      <c r="AS98" s="155">
        <f>IF(ISERROR(LOOKUP(AS$10,$O98:$AQ98,#REF!)),0,(LOOKUP(AS$10,$O98:$AQ98,#REF!)))</f>
        <v>0</v>
      </c>
      <c r="AT98" s="155">
        <f>IF(ISERROR(LOOKUP(AT$10,$O98:$AQ98,#REF!)),0,(LOOKUP(AT$10,$O98:$AQ98,#REF!)))</f>
        <v>0</v>
      </c>
      <c r="AU98" s="155">
        <f>IF(ISERROR(LOOKUP(AU$10,$O98:$AQ98,#REF!)),0,(LOOKUP(AU$10,$O98:$AQ98,#REF!)))</f>
        <v>0</v>
      </c>
      <c r="AV98" s="155">
        <f>IF(ISERROR(LOOKUP(AV$10,$O98:$AQ98,#REF!)),0,(LOOKUP(AV$10,$O98:$AQ98,#REF!)))</f>
        <v>0</v>
      </c>
      <c r="AW98" s="155">
        <f>IF(ISERROR(LOOKUP(AW$10,$O98:$AQ98,#REF!)),0,(LOOKUP(AW$10,$O98:$AQ98,#REF!)))</f>
        <v>0</v>
      </c>
      <c r="AX98" s="155">
        <f>IF(ISERROR(LOOKUP(AX$10,$O98:$AQ98,#REF!)),0,(LOOKUP(AX$10,$O98:$AQ98,#REF!)))</f>
        <v>0</v>
      </c>
      <c r="AY98" s="155">
        <f>IF(ISERROR(LOOKUP(AY$10,$O98:$AQ98,#REF!)),0,(LOOKUP(AY$10,$O98:$AQ98,#REF!)))</f>
        <v>0</v>
      </c>
      <c r="AZ98" s="155">
        <f>IF(ISERROR(LOOKUP(AZ$10,$O98:$AQ98,#REF!)),0,(LOOKUP(AZ$10,$O98:$AQ98,#REF!)))</f>
        <v>0</v>
      </c>
      <c r="BA98" s="155">
        <f>IF(ISERROR(LOOKUP(BA$10,$O98:$AQ98,#REF!)),0,(LOOKUP(BA$10,$O98:$AQ98,#REF!)))</f>
        <v>0</v>
      </c>
      <c r="BB98" s="155">
        <f ca="1">IF(ISERROR(LOOKUP(BB$10,$O98:$AQ98,#REF!)),0,(LOOKUP(BB$10,$O98:$AQ98,#REF!)))</f>
        <v>0</v>
      </c>
      <c r="BC98" s="156"/>
      <c r="BD98" s="176"/>
      <c r="BE98" s="176"/>
    </row>
    <row r="99" spans="1:57" s="78" customFormat="1" ht="15.4" thickTop="1" thickBot="1" x14ac:dyDescent="0.45">
      <c r="A99" s="460"/>
      <c r="B99" s="177" t="s">
        <v>246</v>
      </c>
      <c r="C99" s="179" t="s">
        <v>247</v>
      </c>
      <c r="D99" s="179" t="s">
        <v>248</v>
      </c>
      <c r="E99" s="243"/>
      <c r="F99" s="243"/>
      <c r="G99" s="209" t="s">
        <v>206</v>
      </c>
      <c r="H99" s="182" t="s">
        <v>158</v>
      </c>
      <c r="I99" s="178" t="s">
        <v>138</v>
      </c>
      <c r="J99" s="178" t="s">
        <v>74</v>
      </c>
      <c r="K99" s="178" t="s">
        <v>2</v>
      </c>
      <c r="L99" s="209"/>
      <c r="M99" s="184" t="s">
        <v>76</v>
      </c>
      <c r="N99" s="185" t="s">
        <v>87</v>
      </c>
      <c r="O99" s="186"/>
      <c r="P99" s="186">
        <v>46217</v>
      </c>
      <c r="Q99" s="186">
        <v>46231</v>
      </c>
      <c r="R99" s="186">
        <v>46230</v>
      </c>
      <c r="S99" s="186">
        <v>46230</v>
      </c>
      <c r="T99" s="186"/>
      <c r="U99" s="186"/>
      <c r="V99" s="186"/>
      <c r="W99" s="186"/>
      <c r="X99" s="186"/>
      <c r="Y99" s="186"/>
      <c r="Z99" s="186"/>
      <c r="AA99" s="186"/>
      <c r="AB99" s="186"/>
      <c r="AC99" s="186"/>
      <c r="AD99" s="186"/>
      <c r="AE99" s="186"/>
      <c r="AF99" s="186"/>
      <c r="AG99" s="186"/>
      <c r="AH99" s="186"/>
      <c r="AI99" s="186"/>
      <c r="AJ99" s="186"/>
      <c r="AK99" s="188"/>
      <c r="AL99" s="211"/>
      <c r="AM99" s="187"/>
      <c r="AN99" s="187"/>
      <c r="AO99" s="189"/>
      <c r="AP99" s="190"/>
      <c r="AQ99" s="449"/>
      <c r="AR99" s="191">
        <f>IF(ISERROR(LOOKUP(AR$10,$O99:$AQ99,#REF!)),0,(LOOKUP(AR$10,$O99:$AQ99,#REF!)))</f>
        <v>0</v>
      </c>
      <c r="AS99" s="192">
        <f>IF(ISERROR(LOOKUP(AS$10,$O99:$AQ99,#REF!)),0,(LOOKUP(AS$10,$O99:$AQ99,#REF!)))</f>
        <v>0</v>
      </c>
      <c r="AT99" s="192">
        <f>IF(ISERROR(LOOKUP(AT$10,$O99:$AQ99,#REF!)),0,(LOOKUP(AT$10,$O99:$AQ99,#REF!)))</f>
        <v>0</v>
      </c>
      <c r="AU99" s="192">
        <f>IF(ISERROR(LOOKUP(AU$10,$O99:$AQ99,#REF!)),0,(LOOKUP(AU$10,$O99:$AQ99,#REF!)))</f>
        <v>0</v>
      </c>
      <c r="AV99" s="192">
        <f>IF(ISERROR(LOOKUP(AV$10,$O99:$AQ99,#REF!)),0,(LOOKUP(AV$10,$O99:$AQ99,#REF!)))</f>
        <v>0</v>
      </c>
      <c r="AW99" s="192">
        <f>IF(ISERROR(LOOKUP(AW$10,$O99:$AQ99,#REF!)),0,(LOOKUP(AW$10,$O99:$AQ99,#REF!)))</f>
        <v>0</v>
      </c>
      <c r="AX99" s="192">
        <f>IF(ISERROR(LOOKUP(AX$10,$O99:$AQ99,#REF!)),0,(LOOKUP(AX$10,$O99:$AQ99,#REF!)))</f>
        <v>0</v>
      </c>
      <c r="AY99" s="192">
        <f>IF(ISERROR(LOOKUP(AY$10,$O99:$AQ99,#REF!)),0,(LOOKUP(AY$10,$O99:$AQ99,#REF!)))</f>
        <v>0</v>
      </c>
      <c r="AZ99" s="192">
        <f>IF(ISERROR(LOOKUP(AZ$10,$O99:$AQ99,#REF!)),0,(LOOKUP(AZ$10,$O99:$AQ99,#REF!)))</f>
        <v>0</v>
      </c>
      <c r="BA99" s="192">
        <f>IF(ISERROR(LOOKUP(BA$10,$O99:$AQ99,#REF!)),0,(LOOKUP(BA$10,$O99:$AQ99,#REF!)))</f>
        <v>0</v>
      </c>
      <c r="BB99" s="192">
        <f ca="1">IF(ISERROR(LOOKUP(BB$10,$O99:$AQ99,#REF!)),0,(LOOKUP(BB$10,$O99:$AQ99,#REF!)))</f>
        <v>0</v>
      </c>
      <c r="BC99" s="156"/>
      <c r="BD99" s="176"/>
      <c r="BE99" s="176"/>
    </row>
    <row r="100" spans="1:57" s="78" customFormat="1" ht="15.4" thickTop="1" thickBot="1" x14ac:dyDescent="0.45">
      <c r="A100" s="458">
        <v>27</v>
      </c>
      <c r="B100" s="139" t="s">
        <v>246</v>
      </c>
      <c r="C100" s="194" t="s">
        <v>251</v>
      </c>
      <c r="D100" s="233" t="s">
        <v>878</v>
      </c>
      <c r="E100" s="239"/>
      <c r="F100" s="140"/>
      <c r="G100" s="427" t="s">
        <v>206</v>
      </c>
      <c r="H100" s="143" t="s">
        <v>158</v>
      </c>
      <c r="I100" s="140" t="s">
        <v>138</v>
      </c>
      <c r="J100" s="140" t="s">
        <v>74</v>
      </c>
      <c r="K100" s="140" t="s">
        <v>2</v>
      </c>
      <c r="L100" s="276"/>
      <c r="M100" s="145" t="s">
        <v>150</v>
      </c>
      <c r="N100" s="146" t="s">
        <v>77</v>
      </c>
      <c r="O100" s="147">
        <v>46220</v>
      </c>
      <c r="P100" s="147">
        <v>46223</v>
      </c>
      <c r="Q100" s="147">
        <v>46230</v>
      </c>
      <c r="R100" s="147">
        <v>46231</v>
      </c>
      <c r="S100" s="147">
        <v>46239</v>
      </c>
      <c r="T100" s="148">
        <v>46253</v>
      </c>
      <c r="U100" s="147">
        <v>46281</v>
      </c>
      <c r="V100" s="147">
        <v>46286</v>
      </c>
      <c r="W100" s="147"/>
      <c r="X100" s="147">
        <v>46308</v>
      </c>
      <c r="Y100" s="147">
        <v>46310</v>
      </c>
      <c r="Z100" s="147">
        <v>46317</v>
      </c>
      <c r="AA100" s="147">
        <v>46345</v>
      </c>
      <c r="AB100" s="147">
        <v>46359</v>
      </c>
      <c r="AC100" s="147">
        <v>46389</v>
      </c>
      <c r="AD100" s="147">
        <v>46389</v>
      </c>
      <c r="AE100" s="147">
        <v>46391</v>
      </c>
      <c r="AF100" s="147">
        <v>46454</v>
      </c>
      <c r="AG100" s="147">
        <v>46474</v>
      </c>
      <c r="AH100" s="147">
        <v>46504</v>
      </c>
      <c r="AI100" s="147">
        <v>46507</v>
      </c>
      <c r="AJ100" s="147">
        <v>46534</v>
      </c>
      <c r="AK100" s="149">
        <v>28</v>
      </c>
      <c r="AL100" s="150">
        <v>196</v>
      </c>
      <c r="AM100" s="151">
        <v>46504</v>
      </c>
      <c r="AN100" s="151">
        <v>46515</v>
      </c>
      <c r="AO100" s="225">
        <v>26</v>
      </c>
      <c r="AP100" s="235"/>
      <c r="AQ100" s="173"/>
      <c r="AR100" s="191"/>
      <c r="AS100" s="192"/>
      <c r="AT100" s="192"/>
      <c r="AU100" s="192"/>
      <c r="AV100" s="192"/>
      <c r="AW100" s="192"/>
      <c r="AX100" s="192"/>
      <c r="AY100" s="192"/>
      <c r="AZ100" s="192"/>
      <c r="BA100" s="192"/>
      <c r="BB100" s="192"/>
      <c r="BC100" s="156"/>
      <c r="BD100" s="176"/>
      <c r="BE100" s="176"/>
    </row>
    <row r="101" spans="1:57" s="78" customFormat="1" ht="15" thickBot="1" x14ac:dyDescent="0.45">
      <c r="A101" s="459"/>
      <c r="B101" s="158" t="s">
        <v>246</v>
      </c>
      <c r="C101" s="275" t="s">
        <v>251</v>
      </c>
      <c r="D101" s="160" t="s">
        <v>252</v>
      </c>
      <c r="E101" s="241"/>
      <c r="F101" s="159"/>
      <c r="G101" s="204" t="s">
        <v>206</v>
      </c>
      <c r="H101" s="228" t="s">
        <v>158</v>
      </c>
      <c r="I101" s="159" t="s">
        <v>138</v>
      </c>
      <c r="J101" s="197" t="s">
        <v>74</v>
      </c>
      <c r="K101" s="197" t="s">
        <v>2</v>
      </c>
      <c r="L101" s="204"/>
      <c r="M101" s="165" t="s">
        <v>150</v>
      </c>
      <c r="N101" s="166" t="s">
        <v>84</v>
      </c>
      <c r="O101" s="167">
        <v>46231</v>
      </c>
      <c r="P101" s="168"/>
      <c r="Q101" s="168"/>
      <c r="R101" s="168"/>
      <c r="S101" s="168"/>
      <c r="T101" s="168">
        <f>T100</f>
        <v>46253</v>
      </c>
      <c r="U101" s="168">
        <f>U100</f>
        <v>46281</v>
      </c>
      <c r="V101" s="168">
        <v>46286</v>
      </c>
      <c r="W101" s="168"/>
      <c r="X101" s="168">
        <f t="shared" ref="X101:AE101" si="22">X100</f>
        <v>46308</v>
      </c>
      <c r="Y101" s="168">
        <f t="shared" si="22"/>
        <v>46310</v>
      </c>
      <c r="Z101" s="168">
        <f t="shared" si="22"/>
        <v>46317</v>
      </c>
      <c r="AA101" s="168">
        <f t="shared" si="22"/>
        <v>46345</v>
      </c>
      <c r="AB101" s="168">
        <f t="shared" si="22"/>
        <v>46359</v>
      </c>
      <c r="AC101" s="168">
        <f t="shared" si="22"/>
        <v>46389</v>
      </c>
      <c r="AD101" s="168">
        <f t="shared" si="22"/>
        <v>46389</v>
      </c>
      <c r="AE101" s="168">
        <f t="shared" si="22"/>
        <v>46391</v>
      </c>
      <c r="AF101" s="168">
        <v>46454</v>
      </c>
      <c r="AG101" s="168">
        <v>46474</v>
      </c>
      <c r="AH101" s="168">
        <v>46504</v>
      </c>
      <c r="AI101" s="168">
        <v>46507</v>
      </c>
      <c r="AJ101" s="168">
        <v>46534</v>
      </c>
      <c r="AK101" s="199"/>
      <c r="AL101" s="199"/>
      <c r="AM101" s="170">
        <f>X101+AL100</f>
        <v>46504</v>
      </c>
      <c r="AN101" s="170"/>
      <c r="AO101" s="171"/>
      <c r="AP101" s="172"/>
      <c r="AQ101" s="173"/>
      <c r="AR101" s="191"/>
      <c r="AS101" s="192"/>
      <c r="AT101" s="192"/>
      <c r="AU101" s="192"/>
      <c r="AV101" s="192"/>
      <c r="AW101" s="192"/>
      <c r="AX101" s="192"/>
      <c r="AY101" s="192"/>
      <c r="AZ101" s="192"/>
      <c r="BA101" s="192"/>
      <c r="BB101" s="192"/>
      <c r="BC101" s="156"/>
      <c r="BD101" s="176"/>
      <c r="BE101" s="176"/>
    </row>
    <row r="102" spans="1:57" s="78" customFormat="1" ht="15" thickBot="1" x14ac:dyDescent="0.45">
      <c r="A102" s="460"/>
      <c r="B102" s="177" t="s">
        <v>246</v>
      </c>
      <c r="C102" s="179" t="s">
        <v>251</v>
      </c>
      <c r="D102" s="179" t="s">
        <v>252</v>
      </c>
      <c r="E102" s="237"/>
      <c r="F102" s="178"/>
      <c r="G102" s="209" t="s">
        <v>206</v>
      </c>
      <c r="H102" s="182" t="s">
        <v>158</v>
      </c>
      <c r="I102" s="178" t="s">
        <v>138</v>
      </c>
      <c r="J102" s="178" t="s">
        <v>74</v>
      </c>
      <c r="K102" s="178" t="s">
        <v>2</v>
      </c>
      <c r="L102" s="209"/>
      <c r="M102" s="184" t="s">
        <v>150</v>
      </c>
      <c r="N102" s="185" t="s">
        <v>87</v>
      </c>
      <c r="O102" s="186"/>
      <c r="P102" s="186">
        <v>46217</v>
      </c>
      <c r="Q102" s="186">
        <v>46231</v>
      </c>
      <c r="R102" s="186">
        <v>46230</v>
      </c>
      <c r="S102" s="186">
        <v>46230</v>
      </c>
      <c r="T102" s="186"/>
      <c r="U102" s="186"/>
      <c r="V102" s="186"/>
      <c r="W102" s="186"/>
      <c r="X102" s="186"/>
      <c r="Y102" s="186"/>
      <c r="Z102" s="186"/>
      <c r="AA102" s="186"/>
      <c r="AB102" s="186"/>
      <c r="AC102" s="186"/>
      <c r="AD102" s="186"/>
      <c r="AE102" s="186"/>
      <c r="AF102" s="186"/>
      <c r="AG102" s="186"/>
      <c r="AH102" s="186"/>
      <c r="AI102" s="186"/>
      <c r="AJ102" s="186"/>
      <c r="AK102" s="188"/>
      <c r="AL102" s="211"/>
      <c r="AM102" s="187"/>
      <c r="AN102" s="187"/>
      <c r="AO102" s="189"/>
      <c r="AP102" s="277"/>
      <c r="AQ102" s="173"/>
      <c r="AR102" s="191"/>
      <c r="AS102" s="192"/>
      <c r="AT102" s="192"/>
      <c r="AU102" s="192"/>
      <c r="AV102" s="192"/>
      <c r="AW102" s="192"/>
      <c r="AX102" s="192"/>
      <c r="AY102" s="192"/>
      <c r="AZ102" s="192"/>
      <c r="BA102" s="192"/>
      <c r="BB102" s="192"/>
      <c r="BC102" s="156"/>
      <c r="BD102" s="176"/>
      <c r="BE102" s="176"/>
    </row>
    <row r="103" spans="1:57" s="78" customFormat="1" ht="23.25" thickTop="1" thickBot="1" x14ac:dyDescent="0.45">
      <c r="A103" s="458"/>
      <c r="B103" s="139"/>
      <c r="C103" s="278" t="s">
        <v>253</v>
      </c>
      <c r="D103" s="254" t="s">
        <v>254</v>
      </c>
      <c r="E103" s="202"/>
      <c r="F103" s="202"/>
      <c r="G103" s="427" t="s">
        <v>206</v>
      </c>
      <c r="H103" s="143" t="s">
        <v>158</v>
      </c>
      <c r="I103" s="140" t="s">
        <v>138</v>
      </c>
      <c r="J103" s="140" t="s">
        <v>139</v>
      </c>
      <c r="K103" s="140" t="s">
        <v>6</v>
      </c>
      <c r="L103" s="279" t="s">
        <v>255</v>
      </c>
      <c r="M103" s="196" t="s">
        <v>76</v>
      </c>
      <c r="N103" s="146" t="s">
        <v>77</v>
      </c>
      <c r="O103" s="280">
        <v>46174</v>
      </c>
      <c r="P103" s="280">
        <v>46177</v>
      </c>
      <c r="Q103" s="281">
        <v>46184</v>
      </c>
      <c r="R103" s="280">
        <v>46185</v>
      </c>
      <c r="S103" s="280">
        <v>46192</v>
      </c>
      <c r="T103" s="280">
        <v>46206</v>
      </c>
      <c r="U103" s="280">
        <v>46227</v>
      </c>
      <c r="V103" s="280">
        <v>46234</v>
      </c>
      <c r="W103" s="280"/>
      <c r="X103" s="280">
        <v>46248</v>
      </c>
      <c r="Y103" s="280">
        <v>46252</v>
      </c>
      <c r="Z103" s="280">
        <v>46259</v>
      </c>
      <c r="AA103" s="280">
        <v>46280</v>
      </c>
      <c r="AB103" s="280">
        <v>46294</v>
      </c>
      <c r="AC103" s="280">
        <v>46324</v>
      </c>
      <c r="AD103" s="280">
        <v>46324</v>
      </c>
      <c r="AE103" s="280">
        <v>46327</v>
      </c>
      <c r="AF103" s="280">
        <v>46399</v>
      </c>
      <c r="AG103" s="280">
        <v>46409</v>
      </c>
      <c r="AH103" s="280">
        <v>46416</v>
      </c>
      <c r="AI103" s="280">
        <v>46419</v>
      </c>
      <c r="AJ103" s="280">
        <v>46446</v>
      </c>
      <c r="AK103" s="149">
        <v>24</v>
      </c>
      <c r="AL103" s="150">
        <v>168</v>
      </c>
      <c r="AM103" s="151"/>
      <c r="AN103" s="151"/>
      <c r="AO103" s="225"/>
      <c r="AP103" s="235"/>
      <c r="AQ103" s="447"/>
      <c r="AR103" s="154">
        <f>IF(ISERROR(LOOKUP(AR$10,$O103:$AQ103,#REF!)),0,(LOOKUP(AR$10,$O103:$AQ103,#REF!)))</f>
        <v>0</v>
      </c>
      <c r="AS103" s="155">
        <f>IF(ISERROR(LOOKUP(AS$10,$O103:$AQ103,#REF!)),0,(LOOKUP(AS$10,$O103:$AQ103,#REF!)))</f>
        <v>0</v>
      </c>
      <c r="AT103" s="155">
        <f>IF(ISERROR(LOOKUP(AT$10,$O103:$AQ103,#REF!)),0,(LOOKUP(AT$10,$O103:$AQ103,#REF!)))</f>
        <v>0</v>
      </c>
      <c r="AU103" s="155">
        <f>IF(ISERROR(LOOKUP(AU$10,$O103:$AQ103,#REF!)),0,(LOOKUP(AU$10,$O103:$AQ103,#REF!)))</f>
        <v>0</v>
      </c>
      <c r="AV103" s="155">
        <f>IF(ISERROR(LOOKUP(AV$10,$O103:$AQ103,#REF!)),0,(LOOKUP(AV$10,$O103:$AQ103,#REF!)))</f>
        <v>0</v>
      </c>
      <c r="AW103" s="155">
        <f>IF(ISERROR(LOOKUP(AW$10,$O103:$AQ103,#REF!)),0,(LOOKUP(AW$10,$O103:$AQ103,#REF!)))</f>
        <v>0</v>
      </c>
      <c r="AX103" s="155">
        <f>IF(ISERROR(LOOKUP(AX$10,$O103:$AQ103,#REF!)),0,(LOOKUP(AX$10,$O103:$AQ103,#REF!)))</f>
        <v>0</v>
      </c>
      <c r="AY103" s="155">
        <f>IF(ISERROR(LOOKUP(AY$10,$O103:$AQ103,#REF!)),0,(LOOKUP(AY$10,$O103:$AQ103,#REF!)))</f>
        <v>0</v>
      </c>
      <c r="AZ103" s="155">
        <f>IF(ISERROR(LOOKUP(AZ$10,$O103:$AQ103,#REF!)),0,(LOOKUP(AZ$10,$O103:$AQ103,#REF!)))</f>
        <v>0</v>
      </c>
      <c r="BA103" s="155">
        <f>IF(ISERROR(LOOKUP(BA$10,$O103:$AQ103,#REF!)),0,(LOOKUP(BA$10,$O103:$AQ103,#REF!)))</f>
        <v>0</v>
      </c>
      <c r="BB103" s="155">
        <f ca="1">IF(ISERROR(LOOKUP(BB$10,$O103:$AQ103,#REF!)),0,(LOOKUP(BB$10,$O103:$AQ103,#REF!)))</f>
        <v>0</v>
      </c>
      <c r="BC103" s="156"/>
      <c r="BD103" s="176"/>
      <c r="BE103" s="176"/>
    </row>
    <row r="104" spans="1:57" s="78" customFormat="1" ht="15.4" thickTop="1" thickBot="1" x14ac:dyDescent="0.45">
      <c r="A104" s="459"/>
      <c r="B104" s="158"/>
      <c r="C104" s="282" t="s">
        <v>253</v>
      </c>
      <c r="D104" s="257" t="s">
        <v>254</v>
      </c>
      <c r="E104" s="205"/>
      <c r="F104" s="205"/>
      <c r="G104" s="204" t="s">
        <v>206</v>
      </c>
      <c r="H104" s="228" t="s">
        <v>158</v>
      </c>
      <c r="I104" s="159" t="s">
        <v>138</v>
      </c>
      <c r="J104" s="197" t="s">
        <v>139</v>
      </c>
      <c r="K104" s="197" t="s">
        <v>6</v>
      </c>
      <c r="L104" s="204"/>
      <c r="M104" s="198" t="s">
        <v>76</v>
      </c>
      <c r="N104" s="166" t="s">
        <v>84</v>
      </c>
      <c r="O104" s="283">
        <v>46193</v>
      </c>
      <c r="P104" s="283">
        <v>46183</v>
      </c>
      <c r="Q104" s="284">
        <f>WORKDAY(P104,Q9,IF(S12="China",'[1]China Holidays'!$A$2:$A$84,'[1]Thai Holidays'!$A$2:$A$65))</f>
        <v>46197</v>
      </c>
      <c r="R104" s="283">
        <f>WORKDAY(Q104,R9,IF(T12="China",'[1]China Holidays'!$A$2:$A$84,'[1]Thai Holidays'!$A$2:$A$65))</f>
        <v>46197</v>
      </c>
      <c r="S104" s="283">
        <f>WORKDAY(R104,S9,IF(U12="China",'[1]China Holidays'!$A$2:$A$84,'[1]Thai Holidays'!$A$2:$A$65))</f>
        <v>46197</v>
      </c>
      <c r="T104" s="283">
        <f>WORKDAY(S104,T9,IF(V12="China",'[1]China Holidays'!$A$2:$A$84,'[1]Thai Holidays'!$A$2:$A$65))</f>
        <v>46204</v>
      </c>
      <c r="U104" s="283">
        <f>WORKDAY(T104,U9,IF(X12="China",'[1]China Holidays'!$A$2:$A$84,'[1]Thai Holidays'!$A$2:$A$65))</f>
        <v>46213</v>
      </c>
      <c r="V104" s="283">
        <f>WORKDAY(U104,V9,IF(Y12="China",'[1]China Holidays'!$A$2:$A$84,'[1]Thai Holidays'!$A$2:$A$65))</f>
        <v>46227</v>
      </c>
      <c r="W104" s="283"/>
      <c r="X104" s="283">
        <f>WORKDAY(V104,X9,IF(Z12="China",'[1]China Holidays'!$A$2:$A$84,'[1]Thai Holidays'!$A$2:$A$65))</f>
        <v>46234</v>
      </c>
      <c r="Y104" s="283">
        <f>WORKDAY(X104,Y9,IF(AA12="China",'[1]China Holidays'!$A$2:$A$84,'[1]Thai Holidays'!$A$2:$A$65))</f>
        <v>46238</v>
      </c>
      <c r="Z104" s="283">
        <f>WORKDAY(Y104,Z9,IF(AB12="China",'[1]China Holidays'!$A$2:$A$84,'[1]Thai Holidays'!$A$2:$A$65))</f>
        <v>46245</v>
      </c>
      <c r="AA104" s="283">
        <f>WORKDAY(Z104,AA9,IF(AC12="China",'[1]China Holidays'!$A$2:$A$84,'[1]Thai Holidays'!$A$2:$A$65))</f>
        <v>46260</v>
      </c>
      <c r="AB104" s="283">
        <f>WORKDAY(AA104,AB9,IF(AD12="China",'[1]China Holidays'!$A$2:$A$84,'[1]Thai Holidays'!$A$2:$A$65))</f>
        <v>46274</v>
      </c>
      <c r="AC104" s="283">
        <f>AB104+30</f>
        <v>46304</v>
      </c>
      <c r="AD104" s="283">
        <f>AC104</f>
        <v>46304</v>
      </c>
      <c r="AE104" s="283">
        <f>AD104+3</f>
        <v>46307</v>
      </c>
      <c r="AF104" s="283"/>
      <c r="AG104" s="283"/>
      <c r="AH104" s="283"/>
      <c r="AI104" s="283"/>
      <c r="AJ104" s="283"/>
      <c r="AK104" s="169"/>
      <c r="AL104" s="230"/>
      <c r="AM104" s="170"/>
      <c r="AN104" s="170"/>
      <c r="AO104" s="171"/>
      <c r="AP104" s="172"/>
      <c r="AQ104" s="448"/>
      <c r="AR104" s="154">
        <f>IF(ISERROR(LOOKUP(AR$10,$O104:$AQ104,#REF!)),0,(LOOKUP(AR$10,$O104:$AQ104,#REF!)))</f>
        <v>0</v>
      </c>
      <c r="AS104" s="155">
        <f>IF(ISERROR(LOOKUP(AS$10,$O104:$AQ104,#REF!)),0,(LOOKUP(AS$10,$O104:$AQ104,#REF!)))</f>
        <v>0</v>
      </c>
      <c r="AT104" s="155">
        <f>IF(ISERROR(LOOKUP(AT$10,$O104:$AQ104,#REF!)),0,(LOOKUP(AT$10,$O104:$AQ104,#REF!)))</f>
        <v>0</v>
      </c>
      <c r="AU104" s="155">
        <f>IF(ISERROR(LOOKUP(AU$10,$O104:$AQ104,#REF!)),0,(LOOKUP(AU$10,$O104:$AQ104,#REF!)))</f>
        <v>0</v>
      </c>
      <c r="AV104" s="155">
        <f>IF(ISERROR(LOOKUP(AV$10,$O104:$AQ104,#REF!)),0,(LOOKUP(AV$10,$O104:$AQ104,#REF!)))</f>
        <v>0</v>
      </c>
      <c r="AW104" s="155">
        <f>IF(ISERROR(LOOKUP(AW$10,$O104:$AQ104,#REF!)),0,(LOOKUP(AW$10,$O104:$AQ104,#REF!)))</f>
        <v>0</v>
      </c>
      <c r="AX104" s="155">
        <f>IF(ISERROR(LOOKUP(AX$10,$O104:$AQ104,#REF!)),0,(LOOKUP(AX$10,$O104:$AQ104,#REF!)))</f>
        <v>0</v>
      </c>
      <c r="AY104" s="155">
        <f>IF(ISERROR(LOOKUP(AY$10,$O104:$AQ104,#REF!)),0,(LOOKUP(AY$10,$O104:$AQ104,#REF!)))</f>
        <v>0</v>
      </c>
      <c r="AZ104" s="155">
        <f>IF(ISERROR(LOOKUP(AZ$10,$O104:$AQ104,#REF!)),0,(LOOKUP(AZ$10,$O104:$AQ104,#REF!)))</f>
        <v>0</v>
      </c>
      <c r="BA104" s="155">
        <f>IF(ISERROR(LOOKUP(BA$10,$O104:$AQ104,#REF!)),0,(LOOKUP(BA$10,$O104:$AQ104,#REF!)))</f>
        <v>0</v>
      </c>
      <c r="BB104" s="155">
        <f ca="1">IF(ISERROR(LOOKUP(BB$10,$O104:$AQ104,#REF!)),0,(LOOKUP(BB$10,$O104:$AQ104,#REF!)))</f>
        <v>0</v>
      </c>
      <c r="BC104" s="156"/>
      <c r="BD104" s="176"/>
      <c r="BE104" s="176"/>
    </row>
    <row r="105" spans="1:57" s="78" customFormat="1" ht="15.4" thickTop="1" thickBot="1" x14ac:dyDescent="0.45">
      <c r="A105" s="460"/>
      <c r="B105" s="177"/>
      <c r="C105" s="285" t="s">
        <v>253</v>
      </c>
      <c r="D105" s="286" t="s">
        <v>254</v>
      </c>
      <c r="E105" s="208"/>
      <c r="F105" s="208"/>
      <c r="G105" s="209" t="s">
        <v>206</v>
      </c>
      <c r="H105" s="182" t="s">
        <v>158</v>
      </c>
      <c r="I105" s="178" t="s">
        <v>138</v>
      </c>
      <c r="J105" s="178" t="s">
        <v>139</v>
      </c>
      <c r="K105" s="178" t="s">
        <v>6</v>
      </c>
      <c r="L105" s="209"/>
      <c r="M105" s="200" t="s">
        <v>76</v>
      </c>
      <c r="N105" s="185" t="s">
        <v>87</v>
      </c>
      <c r="O105" s="287"/>
      <c r="P105" s="287"/>
      <c r="Q105" s="287"/>
      <c r="R105" s="287"/>
      <c r="S105" s="287"/>
      <c r="T105" s="287"/>
      <c r="U105" s="287"/>
      <c r="V105" s="287"/>
      <c r="W105" s="287"/>
      <c r="X105" s="287"/>
      <c r="Y105" s="287"/>
      <c r="Z105" s="287"/>
      <c r="AA105" s="287"/>
      <c r="AB105" s="287"/>
      <c r="AC105" s="287"/>
      <c r="AD105" s="287"/>
      <c r="AE105" s="287"/>
      <c r="AF105" s="287"/>
      <c r="AG105" s="287"/>
      <c r="AH105" s="287"/>
      <c r="AI105" s="287"/>
      <c r="AJ105" s="287"/>
      <c r="AK105" s="188"/>
      <c r="AL105" s="211"/>
      <c r="AM105" s="187"/>
      <c r="AN105" s="187"/>
      <c r="AO105" s="189"/>
      <c r="AP105" s="190"/>
      <c r="AQ105" s="449"/>
      <c r="AR105" s="191">
        <f>IF(ISERROR(LOOKUP(AR$10,$O105:$AQ105,#REF!)),0,(LOOKUP(AR$10,$O105:$AQ105,#REF!)))</f>
        <v>0</v>
      </c>
      <c r="AS105" s="192">
        <f>IF(ISERROR(LOOKUP(AS$10,$O105:$AQ105,#REF!)),0,(LOOKUP(AS$10,$O105:$AQ105,#REF!)))</f>
        <v>0</v>
      </c>
      <c r="AT105" s="192">
        <f>IF(ISERROR(LOOKUP(AT$10,$O105:$AQ105,#REF!)),0,(LOOKUP(AT$10,$O105:$AQ105,#REF!)))</f>
        <v>0</v>
      </c>
      <c r="AU105" s="192">
        <f>IF(ISERROR(LOOKUP(AU$10,$O105:$AQ105,#REF!)),0,(LOOKUP(AU$10,$O105:$AQ105,#REF!)))</f>
        <v>0</v>
      </c>
      <c r="AV105" s="192">
        <f>IF(ISERROR(LOOKUP(AV$10,$O105:$AQ105,#REF!)),0,(LOOKUP(AV$10,$O105:$AQ105,#REF!)))</f>
        <v>0</v>
      </c>
      <c r="AW105" s="192">
        <f>IF(ISERROR(LOOKUP(AW$10,$O105:$AQ105,#REF!)),0,(LOOKUP(AW$10,$O105:$AQ105,#REF!)))</f>
        <v>0</v>
      </c>
      <c r="AX105" s="192">
        <f>IF(ISERROR(LOOKUP(AX$10,$O105:$AQ105,#REF!)),0,(LOOKUP(AX$10,$O105:$AQ105,#REF!)))</f>
        <v>0</v>
      </c>
      <c r="AY105" s="192">
        <f>IF(ISERROR(LOOKUP(AY$10,$O105:$AQ105,#REF!)),0,(LOOKUP(AY$10,$O105:$AQ105,#REF!)))</f>
        <v>0</v>
      </c>
      <c r="AZ105" s="192">
        <f>IF(ISERROR(LOOKUP(AZ$10,$O105:$AQ105,#REF!)),0,(LOOKUP(AZ$10,$O105:$AQ105,#REF!)))</f>
        <v>0</v>
      </c>
      <c r="BA105" s="192">
        <f>IF(ISERROR(LOOKUP(BA$10,$O105:$AQ105,#REF!)),0,(LOOKUP(BA$10,$O105:$AQ105,#REF!)))</f>
        <v>0</v>
      </c>
      <c r="BB105" s="192">
        <f ca="1">IF(ISERROR(LOOKUP(BB$10,$O105:$AQ105,#REF!)),0,(LOOKUP(BB$10,$O105:$AQ105,#REF!)))</f>
        <v>0</v>
      </c>
      <c r="BC105" s="156"/>
      <c r="BD105" s="176"/>
      <c r="BE105" s="176"/>
    </row>
    <row r="106" spans="1:57" s="78" customFormat="1" ht="15.4" thickTop="1" thickBot="1" x14ac:dyDescent="0.45">
      <c r="A106" s="458">
        <f>A97+1</f>
        <v>28</v>
      </c>
      <c r="B106" s="139" t="s">
        <v>256</v>
      </c>
      <c r="C106" s="140" t="s">
        <v>257</v>
      </c>
      <c r="D106" s="233" t="s">
        <v>258</v>
      </c>
      <c r="E106" s="202"/>
      <c r="F106" s="202"/>
      <c r="G106" s="427" t="s">
        <v>206</v>
      </c>
      <c r="H106" s="143" t="s">
        <v>158</v>
      </c>
      <c r="I106" s="140" t="s">
        <v>138</v>
      </c>
      <c r="J106" s="140" t="s">
        <v>95</v>
      </c>
      <c r="K106" s="140" t="s">
        <v>9</v>
      </c>
      <c r="L106" s="203"/>
      <c r="M106" s="145" t="s">
        <v>150</v>
      </c>
      <c r="N106" s="146" t="s">
        <v>77</v>
      </c>
      <c r="O106" s="147">
        <v>46189</v>
      </c>
      <c r="P106" s="147">
        <v>46192</v>
      </c>
      <c r="Q106" s="147">
        <v>46199</v>
      </c>
      <c r="R106" s="147">
        <v>46202</v>
      </c>
      <c r="S106" s="147">
        <v>46205</v>
      </c>
      <c r="T106" s="147">
        <v>46212</v>
      </c>
      <c r="U106" s="147">
        <v>46223</v>
      </c>
      <c r="V106" s="148">
        <v>46225</v>
      </c>
      <c r="W106" s="280"/>
      <c r="X106" s="147">
        <v>46232</v>
      </c>
      <c r="Y106" s="147">
        <v>46234</v>
      </c>
      <c r="Z106" s="147">
        <v>46241</v>
      </c>
      <c r="AA106" s="147">
        <v>46255</v>
      </c>
      <c r="AB106" s="147">
        <v>46269</v>
      </c>
      <c r="AC106" s="147">
        <v>46276</v>
      </c>
      <c r="AD106" s="147">
        <v>46276</v>
      </c>
      <c r="AE106" s="147">
        <v>46278</v>
      </c>
      <c r="AF106" s="147">
        <v>46312</v>
      </c>
      <c r="AG106" s="147">
        <v>46317</v>
      </c>
      <c r="AH106" s="147">
        <v>46322</v>
      </c>
      <c r="AI106" s="147">
        <v>46325</v>
      </c>
      <c r="AJ106" s="147">
        <v>46352</v>
      </c>
      <c r="AK106" s="149">
        <v>12.8571428571429</v>
      </c>
      <c r="AL106" s="150">
        <v>90</v>
      </c>
      <c r="AM106" s="151">
        <v>46322</v>
      </c>
      <c r="AN106" s="151">
        <v>46364</v>
      </c>
      <c r="AO106" s="225">
        <f>AN106-AM107</f>
        <v>27</v>
      </c>
      <c r="AP106" s="235"/>
      <c r="AQ106" s="447"/>
      <c r="AR106" s="154">
        <f>IF(ISERROR(LOOKUP(AR$10,$O106:$AQ106,#REF!)),0,(LOOKUP(AR$10,$O106:$AQ106,#REF!)))</f>
        <v>0</v>
      </c>
      <c r="AS106" s="155">
        <f>IF(ISERROR(LOOKUP(AS$10,$O106:$AQ106,#REF!)),0,(LOOKUP(AS$10,$O106:$AQ106,#REF!)))</f>
        <v>0</v>
      </c>
      <c r="AT106" s="155">
        <f>IF(ISERROR(LOOKUP(AT$10,$O106:$AQ106,#REF!)),0,(LOOKUP(AT$10,$O106:$AQ106,#REF!)))</f>
        <v>0</v>
      </c>
      <c r="AU106" s="155">
        <f>IF(ISERROR(LOOKUP(AU$10,$O106:$AQ106,#REF!)),0,(LOOKUP(AU$10,$O106:$AQ106,#REF!)))</f>
        <v>0</v>
      </c>
      <c r="AV106" s="155">
        <f>IF(ISERROR(LOOKUP(AV$10,$O106:$AQ106,#REF!)),0,(LOOKUP(AV$10,$O106:$AQ106,#REF!)))</f>
        <v>0</v>
      </c>
      <c r="AW106" s="155">
        <f>IF(ISERROR(LOOKUP(AW$10,$O106:$AQ106,#REF!)),0,(LOOKUP(AW$10,$O106:$AQ106,#REF!)))</f>
        <v>0</v>
      </c>
      <c r="AX106" s="155">
        <f>IF(ISERROR(LOOKUP(AX$10,$O106:$AQ106,#REF!)),0,(LOOKUP(AX$10,$O106:$AQ106,#REF!)))</f>
        <v>0</v>
      </c>
      <c r="AY106" s="155">
        <f>IF(ISERROR(LOOKUP(AY$10,$O106:$AQ106,#REF!)),0,(LOOKUP(AY$10,$O106:$AQ106,#REF!)))</f>
        <v>0</v>
      </c>
      <c r="AZ106" s="155">
        <f>IF(ISERROR(LOOKUP(AZ$10,$O106:$AQ106,#REF!)),0,(LOOKUP(AZ$10,$O106:$AQ106,#REF!)))</f>
        <v>0</v>
      </c>
      <c r="BA106" s="155">
        <f>IF(ISERROR(LOOKUP(BA$10,$O106:$AQ106,#REF!)),0,(LOOKUP(BA$10,$O106:$AQ106,#REF!)))</f>
        <v>0</v>
      </c>
      <c r="BB106" s="155">
        <f ca="1">IF(ISERROR(LOOKUP(BB$10,$O106:$AQ106,#REF!)),0,(LOOKUP(BB$10,$O106:$AQ106,#REF!)))</f>
        <v>0</v>
      </c>
      <c r="BC106" s="156"/>
      <c r="BD106" s="176"/>
      <c r="BE106" s="176"/>
    </row>
    <row r="107" spans="1:57" s="78" customFormat="1" ht="15.4" thickTop="1" thickBot="1" x14ac:dyDescent="0.45">
      <c r="A107" s="459"/>
      <c r="B107" s="158" t="s">
        <v>256</v>
      </c>
      <c r="C107" s="197" t="s">
        <v>257</v>
      </c>
      <c r="D107" s="204" t="s">
        <v>258</v>
      </c>
      <c r="E107" s="205"/>
      <c r="F107" s="205"/>
      <c r="G107" s="204" t="s">
        <v>206</v>
      </c>
      <c r="H107" s="228" t="s">
        <v>158</v>
      </c>
      <c r="I107" s="159" t="s">
        <v>138</v>
      </c>
      <c r="J107" s="197" t="s">
        <v>95</v>
      </c>
      <c r="K107" s="197" t="s">
        <v>9</v>
      </c>
      <c r="L107" s="204"/>
      <c r="M107" s="165" t="s">
        <v>150</v>
      </c>
      <c r="N107" s="166" t="s">
        <v>84</v>
      </c>
      <c r="O107" s="167"/>
      <c r="P107" s="168"/>
      <c r="Q107" s="168"/>
      <c r="R107" s="168"/>
      <c r="S107" s="168"/>
      <c r="T107" s="168"/>
      <c r="U107" s="168"/>
      <c r="V107" s="168">
        <f>WORKDAY(U108,V9,IF(V12="China",'China Holidays'!$A$2:$A$84,'Thai Holidays'!$A$2:$A$65))</f>
        <v>46247</v>
      </c>
      <c r="W107" s="168"/>
      <c r="X107" s="168">
        <f>V107</f>
        <v>46247</v>
      </c>
      <c r="Y107" s="168">
        <f>WORKDAY(X107,Y9,IF(Y12="China",'China Holidays'!$A$2:$A$84,'Thai Holidays'!$A$2:$A$65))</f>
        <v>46251</v>
      </c>
      <c r="Z107" s="168">
        <f>WORKDAY(Y107,Z9,IF(Z12="China",'China Holidays'!$A$2:$A$84,'Thai Holidays'!$A$2:$A$65))</f>
        <v>46258</v>
      </c>
      <c r="AA107" s="168">
        <f>WORKDAY(Z107,AA9,IF(AA12="China",'China Holidays'!$A$2:$A$84,'Thai Holidays'!$A$2:$A$65))</f>
        <v>46272</v>
      </c>
      <c r="AB107" s="168">
        <f>WORKDAY(AA107,AB9,IF(AB12="China",'China Holidays'!$A$2:$A$84,'Thai Holidays'!$A$2:$A$65))</f>
        <v>46286</v>
      </c>
      <c r="AC107" s="168">
        <f>AB107+7</f>
        <v>46293</v>
      </c>
      <c r="AD107" s="168">
        <f>AC107</f>
        <v>46293</v>
      </c>
      <c r="AE107" s="168">
        <f>AD107+2</f>
        <v>46295</v>
      </c>
      <c r="AF107" s="168">
        <f>AG107-5</f>
        <v>46327</v>
      </c>
      <c r="AG107" s="168">
        <f>AH107-5</f>
        <v>46332</v>
      </c>
      <c r="AH107" s="168">
        <f>AM107</f>
        <v>46337</v>
      </c>
      <c r="AI107" s="168">
        <f>AM106+3</f>
        <v>46325</v>
      </c>
      <c r="AJ107" s="168">
        <f>AM106+30</f>
        <v>46352</v>
      </c>
      <c r="AK107" s="169"/>
      <c r="AL107" s="230"/>
      <c r="AM107" s="170">
        <f>X107+AL106</f>
        <v>46337</v>
      </c>
      <c r="AN107" s="170"/>
      <c r="AO107" s="171"/>
      <c r="AP107" s="172"/>
      <c r="AQ107" s="448"/>
      <c r="AR107" s="154">
        <f>IF(ISERROR(LOOKUP(AR$10,$O107:$AQ107,#REF!)),0,(LOOKUP(AR$10,$O107:$AQ107,#REF!)))</f>
        <v>0</v>
      </c>
      <c r="AS107" s="155">
        <f>IF(ISERROR(LOOKUP(AS$10,$O107:$AQ107,#REF!)),0,(LOOKUP(AS$10,$O107:$AQ107,#REF!)))</f>
        <v>0</v>
      </c>
      <c r="AT107" s="155">
        <f>IF(ISERROR(LOOKUP(AT$10,$O107:$AQ107,#REF!)),0,(LOOKUP(AT$10,$O107:$AQ107,#REF!)))</f>
        <v>0</v>
      </c>
      <c r="AU107" s="155">
        <f>IF(ISERROR(LOOKUP(AU$10,$O107:$AQ107,#REF!)),0,(LOOKUP(AU$10,$O107:$AQ107,#REF!)))</f>
        <v>0</v>
      </c>
      <c r="AV107" s="155">
        <f>IF(ISERROR(LOOKUP(AV$10,$O107:$AQ107,#REF!)),0,(LOOKUP(AV$10,$O107:$AQ107,#REF!)))</f>
        <v>0</v>
      </c>
      <c r="AW107" s="155">
        <f>IF(ISERROR(LOOKUP(AW$10,$O107:$AQ107,#REF!)),0,(LOOKUP(AW$10,$O107:$AQ107,#REF!)))</f>
        <v>0</v>
      </c>
      <c r="AX107" s="155">
        <f>IF(ISERROR(LOOKUP(AX$10,$O107:$AQ107,#REF!)),0,(LOOKUP(AX$10,$O107:$AQ107,#REF!)))</f>
        <v>0</v>
      </c>
      <c r="AY107" s="155">
        <f>IF(ISERROR(LOOKUP(AY$10,$O107:$AQ107,#REF!)),0,(LOOKUP(AY$10,$O107:$AQ107,#REF!)))</f>
        <v>0</v>
      </c>
      <c r="AZ107" s="155">
        <f>IF(ISERROR(LOOKUP(AZ$10,$O107:$AQ107,#REF!)),0,(LOOKUP(AZ$10,$O107:$AQ107,#REF!)))</f>
        <v>0</v>
      </c>
      <c r="BA107" s="155">
        <f>IF(ISERROR(LOOKUP(BA$10,$O107:$AQ107,#REF!)),0,(LOOKUP(BA$10,$O107:$AQ107,#REF!)))</f>
        <v>0</v>
      </c>
      <c r="BB107" s="155">
        <f ca="1">IF(ISERROR(LOOKUP(BB$10,$O107:$AQ107,#REF!)),0,(LOOKUP(BB$10,$O107:$AQ107,#REF!)))</f>
        <v>0</v>
      </c>
      <c r="BC107" s="156"/>
      <c r="BD107" s="176"/>
      <c r="BE107" s="176"/>
    </row>
    <row r="108" spans="1:57" s="78" customFormat="1" ht="15.4" thickTop="1" thickBot="1" x14ac:dyDescent="0.45">
      <c r="A108" s="460"/>
      <c r="B108" s="177" t="s">
        <v>256</v>
      </c>
      <c r="C108" s="178" t="s">
        <v>257</v>
      </c>
      <c r="D108" s="209" t="s">
        <v>258</v>
      </c>
      <c r="E108" s="208"/>
      <c r="F108" s="208"/>
      <c r="G108" s="209" t="s">
        <v>206</v>
      </c>
      <c r="H108" s="182" t="s">
        <v>158</v>
      </c>
      <c r="I108" s="178" t="s">
        <v>138</v>
      </c>
      <c r="J108" s="178" t="s">
        <v>95</v>
      </c>
      <c r="K108" s="178" t="s">
        <v>9</v>
      </c>
      <c r="L108" s="209"/>
      <c r="M108" s="184" t="s">
        <v>150</v>
      </c>
      <c r="N108" s="185" t="s">
        <v>87</v>
      </c>
      <c r="O108" s="186">
        <v>46184</v>
      </c>
      <c r="P108" s="186">
        <v>46148</v>
      </c>
      <c r="Q108" s="186">
        <v>46165</v>
      </c>
      <c r="R108" s="186">
        <v>46184</v>
      </c>
      <c r="S108" s="186">
        <v>46184</v>
      </c>
      <c r="T108" s="186">
        <v>46213</v>
      </c>
      <c r="U108" s="186">
        <v>46230</v>
      </c>
      <c r="V108" s="186"/>
      <c r="W108" s="186"/>
      <c r="X108" s="186"/>
      <c r="Y108" s="186"/>
      <c r="Z108" s="186"/>
      <c r="AA108" s="186"/>
      <c r="AB108" s="186"/>
      <c r="AC108" s="186"/>
      <c r="AD108" s="186"/>
      <c r="AE108" s="186"/>
      <c r="AF108" s="186"/>
      <c r="AG108" s="186"/>
      <c r="AH108" s="186"/>
      <c r="AI108" s="186"/>
      <c r="AJ108" s="186"/>
      <c r="AK108" s="188"/>
      <c r="AL108" s="211"/>
      <c r="AM108" s="187"/>
      <c r="AN108" s="187"/>
      <c r="AO108" s="189"/>
      <c r="AP108" s="190"/>
      <c r="AQ108" s="449"/>
      <c r="AR108" s="191">
        <f>IF(ISERROR(LOOKUP(AR$10,$O108:$AQ108,#REF!)),0,(LOOKUP(AR$10,$O108:$AQ108,#REF!)))</f>
        <v>0</v>
      </c>
      <c r="AS108" s="192">
        <f>IF(ISERROR(LOOKUP(AS$10,$O108:$AQ108,#REF!)),0,(LOOKUP(AS$10,$O108:$AQ108,#REF!)))</f>
        <v>0</v>
      </c>
      <c r="AT108" s="192">
        <f>IF(ISERROR(LOOKUP(AT$10,$O108:$AQ108,#REF!)),0,(LOOKUP(AT$10,$O108:$AQ108,#REF!)))</f>
        <v>0</v>
      </c>
      <c r="AU108" s="192">
        <f>IF(ISERROR(LOOKUP(AU$10,$O108:$AQ108,#REF!)),0,(LOOKUP(AU$10,$O108:$AQ108,#REF!)))</f>
        <v>0</v>
      </c>
      <c r="AV108" s="192">
        <f>IF(ISERROR(LOOKUP(AV$10,$O108:$AQ108,#REF!)),0,(LOOKUP(AV$10,$O108:$AQ108,#REF!)))</f>
        <v>0</v>
      </c>
      <c r="AW108" s="192">
        <f>IF(ISERROR(LOOKUP(AW$10,$O108:$AQ108,#REF!)),0,(LOOKUP(AW$10,$O108:$AQ108,#REF!)))</f>
        <v>0</v>
      </c>
      <c r="AX108" s="192">
        <f>IF(ISERROR(LOOKUP(AX$10,$O108:$AQ108,#REF!)),0,(LOOKUP(AX$10,$O108:$AQ108,#REF!)))</f>
        <v>0</v>
      </c>
      <c r="AY108" s="192">
        <f>IF(ISERROR(LOOKUP(AY$10,$O108:$AQ108,#REF!)),0,(LOOKUP(AY$10,$O108:$AQ108,#REF!)))</f>
        <v>0</v>
      </c>
      <c r="AZ108" s="192">
        <f>IF(ISERROR(LOOKUP(AZ$10,$O108:$AQ108,#REF!)),0,(LOOKUP(AZ$10,$O108:$AQ108,#REF!)))</f>
        <v>0</v>
      </c>
      <c r="BA108" s="192">
        <f>IF(ISERROR(LOOKUP(BA$10,$O108:$AQ108,#REF!)),0,(LOOKUP(BA$10,$O108:$AQ108,#REF!)))</f>
        <v>0</v>
      </c>
      <c r="BB108" s="192">
        <f ca="1">IF(ISERROR(LOOKUP(BB$10,$O108:$AQ108,#REF!)),0,(LOOKUP(BB$10,$O108:$AQ108,#REF!)))</f>
        <v>0</v>
      </c>
      <c r="BC108" s="156"/>
      <c r="BD108" s="176"/>
      <c r="BE108" s="176"/>
    </row>
    <row r="109" spans="1:57" s="78" customFormat="1" ht="15.4" thickTop="1" thickBot="1" x14ac:dyDescent="0.45">
      <c r="A109" s="458">
        <f t="shared" ref="A109" si="23">A106+1</f>
        <v>29</v>
      </c>
      <c r="B109" s="139" t="s">
        <v>256</v>
      </c>
      <c r="C109" s="140" t="s">
        <v>259</v>
      </c>
      <c r="D109" s="233" t="s">
        <v>260</v>
      </c>
      <c r="E109" s="202"/>
      <c r="F109" s="202"/>
      <c r="G109" s="427" t="s">
        <v>206</v>
      </c>
      <c r="H109" s="143" t="s">
        <v>158</v>
      </c>
      <c r="I109" s="140" t="s">
        <v>138</v>
      </c>
      <c r="J109" s="140" t="s">
        <v>74</v>
      </c>
      <c r="K109" s="140" t="s">
        <v>6</v>
      </c>
      <c r="L109" s="203"/>
      <c r="M109" s="145" t="s">
        <v>150</v>
      </c>
      <c r="N109" s="146" t="s">
        <v>77</v>
      </c>
      <c r="O109" s="147">
        <v>46168</v>
      </c>
      <c r="P109" s="147">
        <v>46171</v>
      </c>
      <c r="Q109" s="147">
        <v>46182</v>
      </c>
      <c r="R109" s="147">
        <v>46183</v>
      </c>
      <c r="S109" s="147">
        <v>46190</v>
      </c>
      <c r="T109" s="147">
        <v>46205</v>
      </c>
      <c r="U109" s="147">
        <v>46226</v>
      </c>
      <c r="V109" s="148">
        <v>46233</v>
      </c>
      <c r="W109" s="280"/>
      <c r="X109" s="147">
        <v>46247</v>
      </c>
      <c r="Y109" s="147">
        <v>46251</v>
      </c>
      <c r="Z109" s="147">
        <v>46258</v>
      </c>
      <c r="AA109" s="147">
        <v>46279</v>
      </c>
      <c r="AB109" s="147">
        <v>46293</v>
      </c>
      <c r="AC109" s="147">
        <v>46323</v>
      </c>
      <c r="AD109" s="147">
        <v>46323</v>
      </c>
      <c r="AE109" s="147">
        <v>46325</v>
      </c>
      <c r="AF109" s="147">
        <v>46380</v>
      </c>
      <c r="AG109" s="147">
        <v>46385</v>
      </c>
      <c r="AH109" s="147">
        <v>46415</v>
      </c>
      <c r="AI109" s="147">
        <v>46418</v>
      </c>
      <c r="AJ109" s="147">
        <v>46445</v>
      </c>
      <c r="AK109" s="149">
        <v>24</v>
      </c>
      <c r="AL109" s="150">
        <v>168</v>
      </c>
      <c r="AM109" s="151">
        <v>46415</v>
      </c>
      <c r="AN109" s="151">
        <v>46426</v>
      </c>
      <c r="AO109" s="225">
        <f>AN109-AM110</f>
        <v>13</v>
      </c>
      <c r="AP109" s="235" t="s">
        <v>261</v>
      </c>
      <c r="AQ109" s="447" t="s">
        <v>262</v>
      </c>
      <c r="AR109" s="154">
        <f>IF(ISERROR(LOOKUP(AR$10,$O109:$AQ109,#REF!)),0,(LOOKUP(AR$10,$O109:$AQ109,#REF!)))</f>
        <v>0</v>
      </c>
      <c r="AS109" s="155">
        <f>IF(ISERROR(LOOKUP(AS$10,$O109:$AQ109,#REF!)),0,(LOOKUP(AS$10,$O109:$AQ109,#REF!)))</f>
        <v>0</v>
      </c>
      <c r="AT109" s="155">
        <f>IF(ISERROR(LOOKUP(AT$10,$O109:$AQ109,#REF!)),0,(LOOKUP(AT$10,$O109:$AQ109,#REF!)))</f>
        <v>0</v>
      </c>
      <c r="AU109" s="155">
        <f>IF(ISERROR(LOOKUP(AU$10,$O109:$AQ109,#REF!)),0,(LOOKUP(AU$10,$O109:$AQ109,#REF!)))</f>
        <v>0</v>
      </c>
      <c r="AV109" s="155">
        <f>IF(ISERROR(LOOKUP(AV$10,$O109:$AQ109,#REF!)),0,(LOOKUP(AV$10,$O109:$AQ109,#REF!)))</f>
        <v>0</v>
      </c>
      <c r="AW109" s="155">
        <f>IF(ISERROR(LOOKUP(AW$10,$O109:$AQ109,#REF!)),0,(LOOKUP(AW$10,$O109:$AQ109,#REF!)))</f>
        <v>0</v>
      </c>
      <c r="AX109" s="155">
        <f>IF(ISERROR(LOOKUP(AX$10,$O109:$AQ109,#REF!)),0,(LOOKUP(AX$10,$O109:$AQ109,#REF!)))</f>
        <v>0</v>
      </c>
      <c r="AY109" s="155">
        <f>IF(ISERROR(LOOKUP(AY$10,$O109:$AQ109,#REF!)),0,(LOOKUP(AY$10,$O109:$AQ109,#REF!)))</f>
        <v>0</v>
      </c>
      <c r="AZ109" s="155">
        <f>IF(ISERROR(LOOKUP(AZ$10,$O109:$AQ109,#REF!)),0,(LOOKUP(AZ$10,$O109:$AQ109,#REF!)))</f>
        <v>0</v>
      </c>
      <c r="BA109" s="155">
        <f>IF(ISERROR(LOOKUP(BA$10,$O109:$AQ109,#REF!)),0,(LOOKUP(BA$10,$O109:$AQ109,#REF!)))</f>
        <v>0</v>
      </c>
      <c r="BB109" s="155">
        <f ca="1">IF(ISERROR(LOOKUP(BB$10,$O109:$AQ109,#REF!)),0,(LOOKUP(BB$10,$O109:$AQ109,#REF!)))</f>
        <v>0</v>
      </c>
      <c r="BC109" s="156"/>
      <c r="BD109" s="176"/>
      <c r="BE109" s="176"/>
    </row>
    <row r="110" spans="1:57" s="78" customFormat="1" ht="15.4" thickTop="1" thickBot="1" x14ac:dyDescent="0.45">
      <c r="A110" s="459"/>
      <c r="B110" s="158" t="s">
        <v>256</v>
      </c>
      <c r="C110" s="197" t="s">
        <v>259</v>
      </c>
      <c r="D110" s="204" t="s">
        <v>260</v>
      </c>
      <c r="E110" s="205"/>
      <c r="F110" s="205"/>
      <c r="G110" s="204" t="s">
        <v>206</v>
      </c>
      <c r="H110" s="228" t="s">
        <v>158</v>
      </c>
      <c r="I110" s="159" t="s">
        <v>138</v>
      </c>
      <c r="J110" s="197" t="s">
        <v>74</v>
      </c>
      <c r="K110" s="197" t="s">
        <v>6</v>
      </c>
      <c r="L110" s="204"/>
      <c r="M110" s="165" t="s">
        <v>150</v>
      </c>
      <c r="N110" s="166" t="s">
        <v>84</v>
      </c>
      <c r="O110" s="167"/>
      <c r="P110" s="168"/>
      <c r="Q110" s="168"/>
      <c r="R110" s="168"/>
      <c r="S110" s="168"/>
      <c r="T110" s="168"/>
      <c r="U110" s="168"/>
      <c r="V110" s="168">
        <f>WORKDAY(U111,V8,IF(V12="China",'China Holidays'!$A$2:$A$84,'Thai Holidays'!$A$2:$A$65))</f>
        <v>46245</v>
      </c>
      <c r="W110" s="168"/>
      <c r="X110" s="168">
        <f>V110</f>
        <v>46245</v>
      </c>
      <c r="Y110" s="168">
        <f>WORKDAY(X110,Y8,IF(Y12="China",'China Holidays'!$A$2:$A$84,'Thai Holidays'!$A$2:$A$65))</f>
        <v>46247</v>
      </c>
      <c r="Z110" s="168">
        <f>WORKDAY(Y110,Z8,IF(Z12="China",'China Holidays'!$A$2:$A$84,'Thai Holidays'!$A$2:$A$65))</f>
        <v>46254</v>
      </c>
      <c r="AA110" s="168">
        <f>WORKDAY(Z110,AA8,IF(AA12="China",'China Holidays'!$A$2:$A$84,'Thai Holidays'!$A$2:$A$65))</f>
        <v>46275</v>
      </c>
      <c r="AB110" s="168">
        <f>WORKDAY(AA110,AB8,IF(AB12="China",'China Holidays'!$A$2:$A$84,'Thai Holidays'!$A$2:$A$65))</f>
        <v>46289</v>
      </c>
      <c r="AC110" s="168">
        <f>AB110+30</f>
        <v>46319</v>
      </c>
      <c r="AD110" s="168">
        <f>AC110</f>
        <v>46319</v>
      </c>
      <c r="AE110" s="168">
        <f>AD110+2</f>
        <v>46321</v>
      </c>
      <c r="AF110" s="168">
        <f>AG110-5</f>
        <v>46378</v>
      </c>
      <c r="AG110" s="168">
        <f>AH110-30</f>
        <v>46383</v>
      </c>
      <c r="AH110" s="168">
        <f>AM110</f>
        <v>46413</v>
      </c>
      <c r="AI110" s="168">
        <f>AM109+3</f>
        <v>46418</v>
      </c>
      <c r="AJ110" s="168">
        <f>AM109+30</f>
        <v>46445</v>
      </c>
      <c r="AK110" s="199"/>
      <c r="AL110" s="199"/>
      <c r="AM110" s="170">
        <f>X110+AL109</f>
        <v>46413</v>
      </c>
      <c r="AN110" s="170"/>
      <c r="AO110" s="171"/>
      <c r="AP110" s="172"/>
      <c r="AQ110" s="448"/>
      <c r="AR110" s="154">
        <f>IF(ISERROR(LOOKUP(AR$10,$O110:$AQ110,#REF!)),0,(LOOKUP(AR$10,$O110:$AQ110,#REF!)))</f>
        <v>0</v>
      </c>
      <c r="AS110" s="155">
        <f>IF(ISERROR(LOOKUP(AS$10,$O110:$AQ110,#REF!)),0,(LOOKUP(AS$10,$O110:$AQ110,#REF!)))</f>
        <v>0</v>
      </c>
      <c r="AT110" s="155">
        <f>IF(ISERROR(LOOKUP(AT$10,$O110:$AQ110,#REF!)),0,(LOOKUP(AT$10,$O110:$AQ110,#REF!)))</f>
        <v>0</v>
      </c>
      <c r="AU110" s="155">
        <f>IF(ISERROR(LOOKUP(AU$10,$O110:$AQ110,#REF!)),0,(LOOKUP(AU$10,$O110:$AQ110,#REF!)))</f>
        <v>0</v>
      </c>
      <c r="AV110" s="155">
        <f>IF(ISERROR(LOOKUP(AV$10,$O110:$AQ110,#REF!)),0,(LOOKUP(AV$10,$O110:$AQ110,#REF!)))</f>
        <v>0</v>
      </c>
      <c r="AW110" s="155">
        <f>IF(ISERROR(LOOKUP(AW$10,$O110:$AQ110,#REF!)),0,(LOOKUP(AW$10,$O110:$AQ110,#REF!)))</f>
        <v>0</v>
      </c>
      <c r="AX110" s="155">
        <f>IF(ISERROR(LOOKUP(AX$10,$O110:$AQ110,#REF!)),0,(LOOKUP(AX$10,$O110:$AQ110,#REF!)))</f>
        <v>0</v>
      </c>
      <c r="AY110" s="155">
        <f>IF(ISERROR(LOOKUP(AY$10,$O110:$AQ110,#REF!)),0,(LOOKUP(AY$10,$O110:$AQ110,#REF!)))</f>
        <v>0</v>
      </c>
      <c r="AZ110" s="155">
        <f>IF(ISERROR(LOOKUP(AZ$10,$O110:$AQ110,#REF!)),0,(LOOKUP(AZ$10,$O110:$AQ110,#REF!)))</f>
        <v>0</v>
      </c>
      <c r="BA110" s="155">
        <f>IF(ISERROR(LOOKUP(BA$10,$O110:$AQ110,#REF!)),0,(LOOKUP(BA$10,$O110:$AQ110,#REF!)))</f>
        <v>0</v>
      </c>
      <c r="BB110" s="155">
        <f ca="1">IF(ISERROR(LOOKUP(BB$10,$O110:$AQ110,#REF!)),0,(LOOKUP(BB$10,$O110:$AQ110,#REF!)))</f>
        <v>0</v>
      </c>
      <c r="BC110" s="156"/>
      <c r="BD110" s="176"/>
      <c r="BE110" s="176"/>
    </row>
    <row r="111" spans="1:57" s="78" customFormat="1" ht="15.4" thickTop="1" thickBot="1" x14ac:dyDescent="0.45">
      <c r="A111" s="460"/>
      <c r="B111" s="177" t="s">
        <v>256</v>
      </c>
      <c r="C111" s="178" t="s">
        <v>259</v>
      </c>
      <c r="D111" s="209" t="s">
        <v>260</v>
      </c>
      <c r="E111" s="208"/>
      <c r="F111" s="208"/>
      <c r="G111" s="209" t="s">
        <v>206</v>
      </c>
      <c r="H111" s="182" t="s">
        <v>158</v>
      </c>
      <c r="I111" s="178" t="s">
        <v>138</v>
      </c>
      <c r="J111" s="178" t="s">
        <v>74</v>
      </c>
      <c r="K111" s="178" t="s">
        <v>6</v>
      </c>
      <c r="L111" s="209"/>
      <c r="M111" s="184" t="s">
        <v>150</v>
      </c>
      <c r="N111" s="185" t="s">
        <v>87</v>
      </c>
      <c r="O111" s="186">
        <v>46184</v>
      </c>
      <c r="P111" s="186">
        <v>46148</v>
      </c>
      <c r="Q111" s="186">
        <v>46165</v>
      </c>
      <c r="R111" s="186">
        <v>46184</v>
      </c>
      <c r="S111" s="186">
        <v>46184</v>
      </c>
      <c r="T111" s="186">
        <v>46214</v>
      </c>
      <c r="U111" s="186">
        <v>46227</v>
      </c>
      <c r="V111" s="186"/>
      <c r="W111" s="186"/>
      <c r="X111" s="186"/>
      <c r="Y111" s="186"/>
      <c r="Z111" s="186"/>
      <c r="AA111" s="186"/>
      <c r="AB111" s="186"/>
      <c r="AC111" s="186"/>
      <c r="AD111" s="186"/>
      <c r="AE111" s="186"/>
      <c r="AF111" s="186"/>
      <c r="AG111" s="186"/>
      <c r="AH111" s="186"/>
      <c r="AI111" s="186"/>
      <c r="AJ111" s="186"/>
      <c r="AK111" s="188"/>
      <c r="AL111" s="211"/>
      <c r="AM111" s="187"/>
      <c r="AN111" s="187"/>
      <c r="AO111" s="189"/>
      <c r="AP111" s="190"/>
      <c r="AQ111" s="449"/>
      <c r="AR111" s="191">
        <f>IF(ISERROR(LOOKUP(AR$10,$O111:$AQ111,#REF!)),0,(LOOKUP(AR$10,$O111:$AQ111,#REF!)))</f>
        <v>0</v>
      </c>
      <c r="AS111" s="192">
        <f>IF(ISERROR(LOOKUP(AS$10,$O111:$AQ111,#REF!)),0,(LOOKUP(AS$10,$O111:$AQ111,#REF!)))</f>
        <v>0</v>
      </c>
      <c r="AT111" s="192">
        <f>IF(ISERROR(LOOKUP(AT$10,$O111:$AQ111,#REF!)),0,(LOOKUP(AT$10,$O111:$AQ111,#REF!)))</f>
        <v>0</v>
      </c>
      <c r="AU111" s="192">
        <f>IF(ISERROR(LOOKUP(AU$10,$O111:$AQ111,#REF!)),0,(LOOKUP(AU$10,$O111:$AQ111,#REF!)))</f>
        <v>0</v>
      </c>
      <c r="AV111" s="192">
        <f>IF(ISERROR(LOOKUP(AV$10,$O111:$AQ111,#REF!)),0,(LOOKUP(AV$10,$O111:$AQ111,#REF!)))</f>
        <v>0</v>
      </c>
      <c r="AW111" s="192">
        <f>IF(ISERROR(LOOKUP(AW$10,$O111:$AQ111,#REF!)),0,(LOOKUP(AW$10,$O111:$AQ111,#REF!)))</f>
        <v>0</v>
      </c>
      <c r="AX111" s="192">
        <f>IF(ISERROR(LOOKUP(AX$10,$O111:$AQ111,#REF!)),0,(LOOKUP(AX$10,$O111:$AQ111,#REF!)))</f>
        <v>0</v>
      </c>
      <c r="AY111" s="192">
        <f>IF(ISERROR(LOOKUP(AY$10,$O111:$AQ111,#REF!)),0,(LOOKUP(AY$10,$O111:$AQ111,#REF!)))</f>
        <v>0</v>
      </c>
      <c r="AZ111" s="192">
        <f>IF(ISERROR(LOOKUP(AZ$10,$O111:$AQ111,#REF!)),0,(LOOKUP(AZ$10,$O111:$AQ111,#REF!)))</f>
        <v>0</v>
      </c>
      <c r="BA111" s="192">
        <f>IF(ISERROR(LOOKUP(BA$10,$O111:$AQ111,#REF!)),0,(LOOKUP(BA$10,$O111:$AQ111,#REF!)))</f>
        <v>0</v>
      </c>
      <c r="BB111" s="192">
        <f ca="1">IF(ISERROR(LOOKUP(BB$10,$O111:$AQ111,#REF!)),0,(LOOKUP(BB$10,$O111:$AQ111,#REF!)))</f>
        <v>0</v>
      </c>
      <c r="BC111" s="156"/>
      <c r="BD111" s="176"/>
      <c r="BE111" s="176"/>
    </row>
    <row r="112" spans="1:57" s="78" customFormat="1" ht="15.4" thickTop="1" thickBot="1" x14ac:dyDescent="0.45">
      <c r="A112" s="458">
        <f t="shared" ref="A112" si="24">A109+1</f>
        <v>30</v>
      </c>
      <c r="B112" s="139" t="s">
        <v>256</v>
      </c>
      <c r="C112" s="140" t="s">
        <v>263</v>
      </c>
      <c r="D112" s="233" t="s">
        <v>264</v>
      </c>
      <c r="E112" s="202"/>
      <c r="F112" s="202"/>
      <c r="G112" s="427" t="s">
        <v>206</v>
      </c>
      <c r="H112" s="143" t="s">
        <v>158</v>
      </c>
      <c r="I112" s="140" t="s">
        <v>138</v>
      </c>
      <c r="J112" s="140" t="s">
        <v>95</v>
      </c>
      <c r="K112" s="140" t="s">
        <v>9</v>
      </c>
      <c r="L112" s="203"/>
      <c r="M112" s="145" t="s">
        <v>150</v>
      </c>
      <c r="N112" s="146" t="s">
        <v>77</v>
      </c>
      <c r="O112" s="147">
        <v>46254</v>
      </c>
      <c r="P112" s="147">
        <v>46259</v>
      </c>
      <c r="Q112" s="147">
        <v>46266</v>
      </c>
      <c r="R112" s="147">
        <v>46267</v>
      </c>
      <c r="S112" s="147">
        <v>46272</v>
      </c>
      <c r="T112" s="147">
        <v>46279</v>
      </c>
      <c r="U112" s="147">
        <v>46288</v>
      </c>
      <c r="V112" s="148">
        <v>46290</v>
      </c>
      <c r="W112" s="147"/>
      <c r="X112" s="147">
        <v>46304</v>
      </c>
      <c r="Y112" s="147">
        <v>46308</v>
      </c>
      <c r="Z112" s="147">
        <v>46315</v>
      </c>
      <c r="AA112" s="147">
        <v>46329</v>
      </c>
      <c r="AB112" s="147">
        <v>46343</v>
      </c>
      <c r="AC112" s="147">
        <v>46353</v>
      </c>
      <c r="AD112" s="147">
        <v>46353</v>
      </c>
      <c r="AE112" s="147">
        <v>46355</v>
      </c>
      <c r="AF112" s="147">
        <v>46385</v>
      </c>
      <c r="AG112" s="147">
        <v>46390</v>
      </c>
      <c r="AH112" s="147">
        <v>46394</v>
      </c>
      <c r="AI112" s="147">
        <v>46397</v>
      </c>
      <c r="AJ112" s="147">
        <v>46424</v>
      </c>
      <c r="AK112" s="149">
        <v>12.8571428571429</v>
      </c>
      <c r="AL112" s="150">
        <v>90</v>
      </c>
      <c r="AM112" s="151">
        <v>46394</v>
      </c>
      <c r="AN112" s="151">
        <v>46410</v>
      </c>
      <c r="AO112" s="225">
        <f>AN112-AM113</f>
        <v>73</v>
      </c>
      <c r="AP112" s="235" t="s">
        <v>261</v>
      </c>
      <c r="AQ112" s="447"/>
      <c r="AR112" s="154">
        <f>IF(ISERROR(LOOKUP(AR$10,$O112:$AQ112,#REF!)),0,(LOOKUP(AR$10,$O112:$AQ112,#REF!)))</f>
        <v>0</v>
      </c>
      <c r="AS112" s="155">
        <f>IF(ISERROR(LOOKUP(AS$10,$O112:$AQ112,#REF!)),0,(LOOKUP(AS$10,$O112:$AQ112,#REF!)))</f>
        <v>0</v>
      </c>
      <c r="AT112" s="155">
        <f>IF(ISERROR(LOOKUP(AT$10,$O112:$AQ112,#REF!)),0,(LOOKUP(AT$10,$O112:$AQ112,#REF!)))</f>
        <v>0</v>
      </c>
      <c r="AU112" s="155">
        <f>IF(ISERROR(LOOKUP(AU$10,$O112:$AQ112,#REF!)),0,(LOOKUP(AU$10,$O112:$AQ112,#REF!)))</f>
        <v>0</v>
      </c>
      <c r="AV112" s="155">
        <f>IF(ISERROR(LOOKUP(AV$10,$O112:$AQ112,#REF!)),0,(LOOKUP(AV$10,$O112:$AQ112,#REF!)))</f>
        <v>0</v>
      </c>
      <c r="AW112" s="155">
        <f>IF(ISERROR(LOOKUP(AW$10,$O112:$AQ112,#REF!)),0,(LOOKUP(AW$10,$O112:$AQ112,#REF!)))</f>
        <v>0</v>
      </c>
      <c r="AX112" s="155">
        <f>IF(ISERROR(LOOKUP(AX$10,$O112:$AQ112,#REF!)),0,(LOOKUP(AX$10,$O112:$AQ112,#REF!)))</f>
        <v>0</v>
      </c>
      <c r="AY112" s="155">
        <f>IF(ISERROR(LOOKUP(AY$10,$O112:$AQ112,#REF!)),0,(LOOKUP(AY$10,$O112:$AQ112,#REF!)))</f>
        <v>0</v>
      </c>
      <c r="AZ112" s="155">
        <f>IF(ISERROR(LOOKUP(AZ$10,$O112:$AQ112,#REF!)),0,(LOOKUP(AZ$10,$O112:$AQ112,#REF!)))</f>
        <v>0</v>
      </c>
      <c r="BA112" s="155">
        <f>IF(ISERROR(LOOKUP(BA$10,$O112:$AQ112,#REF!)),0,(LOOKUP(BA$10,$O112:$AQ112,#REF!)))</f>
        <v>0</v>
      </c>
      <c r="BB112" s="155">
        <f ca="1">IF(ISERROR(LOOKUP(BB$10,$O112:$AQ112,#REF!)),0,(LOOKUP(BB$10,$O112:$AQ112,#REF!)))</f>
        <v>0</v>
      </c>
      <c r="BC112" s="156"/>
      <c r="BD112" s="176"/>
      <c r="BE112" s="176"/>
    </row>
    <row r="113" spans="1:57" s="78" customFormat="1" ht="15.4" thickTop="1" thickBot="1" x14ac:dyDescent="0.45">
      <c r="A113" s="459"/>
      <c r="B113" s="158" t="s">
        <v>256</v>
      </c>
      <c r="C113" s="197" t="s">
        <v>263</v>
      </c>
      <c r="D113" s="204" t="s">
        <v>264</v>
      </c>
      <c r="E113" s="205"/>
      <c r="F113" s="205"/>
      <c r="G113" s="204" t="s">
        <v>206</v>
      </c>
      <c r="H113" s="228" t="s">
        <v>158</v>
      </c>
      <c r="I113" s="159" t="s">
        <v>138</v>
      </c>
      <c r="J113" s="197" t="s">
        <v>95</v>
      </c>
      <c r="K113" s="197" t="s">
        <v>9</v>
      </c>
      <c r="L113" s="204"/>
      <c r="M113" s="165" t="s">
        <v>150</v>
      </c>
      <c r="N113" s="166" t="s">
        <v>84</v>
      </c>
      <c r="O113" s="167"/>
      <c r="P113" s="168"/>
      <c r="Q113" s="168"/>
      <c r="R113" s="168"/>
      <c r="S113" s="168"/>
      <c r="T113" s="168"/>
      <c r="U113" s="168"/>
      <c r="V113" s="168">
        <f>WORKDAY(U114,V9,IF(V12="China",'China Holidays'!$A$2:$A$84,'Thai Holidays'!$A$2:$A$65))</f>
        <v>46247</v>
      </c>
      <c r="W113" s="168"/>
      <c r="X113" s="168">
        <f>V113</f>
        <v>46247</v>
      </c>
      <c r="Y113" s="168">
        <f>WORKDAY(X113,Y9,IF(Y12="China",'China Holidays'!$A$2:$A$84,'Thai Holidays'!$A$2:$A$65))</f>
        <v>46251</v>
      </c>
      <c r="Z113" s="168">
        <f>WORKDAY(Y113,Z9,IF(Z12="China",'China Holidays'!$A$2:$A$84,'Thai Holidays'!$A$2:$A$65))</f>
        <v>46258</v>
      </c>
      <c r="AA113" s="168">
        <f>WORKDAY(Z113,AA9,IF(AA12="China",'China Holidays'!$A$2:$A$84,'Thai Holidays'!$A$2:$A$65))</f>
        <v>46272</v>
      </c>
      <c r="AB113" s="168">
        <f>WORKDAY(AA113,AB9,IF(AB12="China",'China Holidays'!$A$2:$A$84,'Thai Holidays'!$A$2:$A$65))</f>
        <v>46286</v>
      </c>
      <c r="AC113" s="168">
        <f>AB113+10</f>
        <v>46296</v>
      </c>
      <c r="AD113" s="168">
        <f>AC113</f>
        <v>46296</v>
      </c>
      <c r="AE113" s="168">
        <f>AD113+2</f>
        <v>46298</v>
      </c>
      <c r="AF113" s="168">
        <f>AG113-5</f>
        <v>46328</v>
      </c>
      <c r="AG113" s="168">
        <f>AH113-4</f>
        <v>46333</v>
      </c>
      <c r="AH113" s="168">
        <f>AM113</f>
        <v>46337</v>
      </c>
      <c r="AI113" s="168">
        <f>AM112+3</f>
        <v>46397</v>
      </c>
      <c r="AJ113" s="168">
        <f>AM112+30</f>
        <v>46424</v>
      </c>
      <c r="AK113" s="199"/>
      <c r="AL113" s="206"/>
      <c r="AM113" s="170">
        <f>X113+AL112</f>
        <v>46337</v>
      </c>
      <c r="AN113" s="170"/>
      <c r="AO113" s="171"/>
      <c r="AP113" s="172"/>
      <c r="AQ113" s="448"/>
      <c r="AR113" s="154">
        <f>IF(ISERROR(LOOKUP(AR$10,$O113:$AQ113,#REF!)),0,(LOOKUP(AR$10,$O113:$AQ113,#REF!)))</f>
        <v>0</v>
      </c>
      <c r="AS113" s="155">
        <f>IF(ISERROR(LOOKUP(AS$10,$O113:$AQ113,#REF!)),0,(LOOKUP(AS$10,$O113:$AQ113,#REF!)))</f>
        <v>0</v>
      </c>
      <c r="AT113" s="155">
        <f>IF(ISERROR(LOOKUP(AT$10,$O113:$AQ113,#REF!)),0,(LOOKUP(AT$10,$O113:$AQ113,#REF!)))</f>
        <v>0</v>
      </c>
      <c r="AU113" s="155">
        <f>IF(ISERROR(LOOKUP(AU$10,$O113:$AQ113,#REF!)),0,(LOOKUP(AU$10,$O113:$AQ113,#REF!)))</f>
        <v>0</v>
      </c>
      <c r="AV113" s="155">
        <f>IF(ISERROR(LOOKUP(AV$10,$O113:$AQ113,#REF!)),0,(LOOKUP(AV$10,$O113:$AQ113,#REF!)))</f>
        <v>0</v>
      </c>
      <c r="AW113" s="155">
        <f>IF(ISERROR(LOOKUP(AW$10,$O113:$AQ113,#REF!)),0,(LOOKUP(AW$10,$O113:$AQ113,#REF!)))</f>
        <v>0</v>
      </c>
      <c r="AX113" s="155">
        <f>IF(ISERROR(LOOKUP(AX$10,$O113:$AQ113,#REF!)),0,(LOOKUP(AX$10,$O113:$AQ113,#REF!)))</f>
        <v>0</v>
      </c>
      <c r="AY113" s="155">
        <f>IF(ISERROR(LOOKUP(AY$10,$O113:$AQ113,#REF!)),0,(LOOKUP(AY$10,$O113:$AQ113,#REF!)))</f>
        <v>0</v>
      </c>
      <c r="AZ113" s="155">
        <f>IF(ISERROR(LOOKUP(AZ$10,$O113:$AQ113,#REF!)),0,(LOOKUP(AZ$10,$O113:$AQ113,#REF!)))</f>
        <v>0</v>
      </c>
      <c r="BA113" s="155">
        <f>IF(ISERROR(LOOKUP(BA$10,$O113:$AQ113,#REF!)),0,(LOOKUP(BA$10,$O113:$AQ113,#REF!)))</f>
        <v>0</v>
      </c>
      <c r="BB113" s="155">
        <f ca="1">IF(ISERROR(LOOKUP(BB$10,$O113:$AQ113,#REF!)),0,(LOOKUP(BB$10,$O113:$AQ113,#REF!)))</f>
        <v>0</v>
      </c>
      <c r="BC113" s="156"/>
      <c r="BD113" s="176"/>
      <c r="BE113" s="176"/>
    </row>
    <row r="114" spans="1:57" s="78" customFormat="1" ht="15.4" thickTop="1" thickBot="1" x14ac:dyDescent="0.45">
      <c r="A114" s="460"/>
      <c r="B114" s="177" t="s">
        <v>256</v>
      </c>
      <c r="C114" s="178" t="s">
        <v>263</v>
      </c>
      <c r="D114" s="209" t="s">
        <v>264</v>
      </c>
      <c r="E114" s="208"/>
      <c r="F114" s="208"/>
      <c r="G114" s="209" t="s">
        <v>206</v>
      </c>
      <c r="H114" s="182" t="s">
        <v>158</v>
      </c>
      <c r="I114" s="178" t="s">
        <v>138</v>
      </c>
      <c r="J114" s="178" t="s">
        <v>95</v>
      </c>
      <c r="K114" s="178" t="s">
        <v>9</v>
      </c>
      <c r="L114" s="209"/>
      <c r="M114" s="184" t="s">
        <v>150</v>
      </c>
      <c r="N114" s="185" t="s">
        <v>87</v>
      </c>
      <c r="O114" s="186">
        <v>46184</v>
      </c>
      <c r="P114" s="186">
        <v>46148</v>
      </c>
      <c r="Q114" s="186">
        <v>46165</v>
      </c>
      <c r="R114" s="186">
        <v>46209</v>
      </c>
      <c r="S114" s="186">
        <v>46209</v>
      </c>
      <c r="T114" s="186">
        <v>46216</v>
      </c>
      <c r="U114" s="186">
        <v>46230</v>
      </c>
      <c r="V114" s="186"/>
      <c r="W114" s="186"/>
      <c r="X114" s="186"/>
      <c r="Y114" s="186"/>
      <c r="Z114" s="186"/>
      <c r="AA114" s="186"/>
      <c r="AB114" s="186"/>
      <c r="AC114" s="186"/>
      <c r="AD114" s="186"/>
      <c r="AE114" s="186"/>
      <c r="AF114" s="186"/>
      <c r="AG114" s="186"/>
      <c r="AH114" s="186"/>
      <c r="AI114" s="186"/>
      <c r="AJ114" s="186"/>
      <c r="AK114" s="188"/>
      <c r="AL114" s="211"/>
      <c r="AM114" s="187"/>
      <c r="AN114" s="187"/>
      <c r="AO114" s="189"/>
      <c r="AP114" s="190"/>
      <c r="AQ114" s="449"/>
      <c r="AR114" s="191">
        <f>IF(ISERROR(LOOKUP(AR$10,$O114:$AQ114,#REF!)),0,(LOOKUP(AR$10,$O114:$AQ114,#REF!)))</f>
        <v>0</v>
      </c>
      <c r="AS114" s="192">
        <f>IF(ISERROR(LOOKUP(AS$10,$O114:$AQ114,#REF!)),0,(LOOKUP(AS$10,$O114:$AQ114,#REF!)))</f>
        <v>0</v>
      </c>
      <c r="AT114" s="192">
        <f>IF(ISERROR(LOOKUP(AT$10,$O114:$AQ114,#REF!)),0,(LOOKUP(AT$10,$O114:$AQ114,#REF!)))</f>
        <v>0</v>
      </c>
      <c r="AU114" s="192">
        <f>IF(ISERROR(LOOKUP(AU$10,$O114:$AQ114,#REF!)),0,(LOOKUP(AU$10,$O114:$AQ114,#REF!)))</f>
        <v>0</v>
      </c>
      <c r="AV114" s="192">
        <f>IF(ISERROR(LOOKUP(AV$10,$O114:$AQ114,#REF!)),0,(LOOKUP(AV$10,$O114:$AQ114,#REF!)))</f>
        <v>0</v>
      </c>
      <c r="AW114" s="192">
        <f>IF(ISERROR(LOOKUP(AW$10,$O114:$AQ114,#REF!)),0,(LOOKUP(AW$10,$O114:$AQ114,#REF!)))</f>
        <v>0</v>
      </c>
      <c r="AX114" s="192">
        <f>IF(ISERROR(LOOKUP(AX$10,$O114:$AQ114,#REF!)),0,(LOOKUP(AX$10,$O114:$AQ114,#REF!)))</f>
        <v>0</v>
      </c>
      <c r="AY114" s="192">
        <f>IF(ISERROR(LOOKUP(AY$10,$O114:$AQ114,#REF!)),0,(LOOKUP(AY$10,$O114:$AQ114,#REF!)))</f>
        <v>0</v>
      </c>
      <c r="AZ114" s="192">
        <f>IF(ISERROR(LOOKUP(AZ$10,$O114:$AQ114,#REF!)),0,(LOOKUP(AZ$10,$O114:$AQ114,#REF!)))</f>
        <v>0</v>
      </c>
      <c r="BA114" s="192">
        <f>IF(ISERROR(LOOKUP(BA$10,$O114:$AQ114,#REF!)),0,(LOOKUP(BA$10,$O114:$AQ114,#REF!)))</f>
        <v>0</v>
      </c>
      <c r="BB114" s="192">
        <f ca="1">IF(ISERROR(LOOKUP(BB$10,$O114:$AQ114,#REF!)),0,(LOOKUP(BB$10,$O114:$AQ114,#REF!)))</f>
        <v>0</v>
      </c>
      <c r="BC114" s="156"/>
      <c r="BD114" s="176"/>
      <c r="BE114" s="176"/>
    </row>
    <row r="115" spans="1:57" s="78" customFormat="1" ht="15.4" thickTop="1" thickBot="1" x14ac:dyDescent="0.45">
      <c r="A115" s="458">
        <f t="shared" ref="A115" si="25">A112+1</f>
        <v>31</v>
      </c>
      <c r="B115" s="139" t="s">
        <v>256</v>
      </c>
      <c r="C115" s="140" t="s">
        <v>265</v>
      </c>
      <c r="D115" s="233" t="s">
        <v>266</v>
      </c>
      <c r="E115" s="202"/>
      <c r="F115" s="202"/>
      <c r="G115" s="427" t="s">
        <v>206</v>
      </c>
      <c r="H115" s="143" t="s">
        <v>158</v>
      </c>
      <c r="I115" s="140" t="s">
        <v>138</v>
      </c>
      <c r="J115" s="140" t="s">
        <v>74</v>
      </c>
      <c r="K115" s="140" t="s">
        <v>6</v>
      </c>
      <c r="L115" s="203"/>
      <c r="M115" s="145" t="s">
        <v>150</v>
      </c>
      <c r="N115" s="146" t="s">
        <v>77</v>
      </c>
      <c r="O115" s="147">
        <v>46191</v>
      </c>
      <c r="P115" s="147">
        <v>46197</v>
      </c>
      <c r="Q115" s="147">
        <v>46204</v>
      </c>
      <c r="R115" s="147">
        <v>46205</v>
      </c>
      <c r="S115" s="147">
        <v>46212</v>
      </c>
      <c r="T115" s="147">
        <v>46226</v>
      </c>
      <c r="U115" s="147">
        <v>46252</v>
      </c>
      <c r="V115" s="148">
        <v>46255</v>
      </c>
      <c r="W115" s="147"/>
      <c r="X115" s="147">
        <v>46269</v>
      </c>
      <c r="Y115" s="147">
        <v>46273</v>
      </c>
      <c r="Z115" s="147">
        <v>46280</v>
      </c>
      <c r="AA115" s="147">
        <v>46309</v>
      </c>
      <c r="AB115" s="147">
        <v>46324</v>
      </c>
      <c r="AC115" s="147">
        <v>46354</v>
      </c>
      <c r="AD115" s="147">
        <v>46354</v>
      </c>
      <c r="AE115" s="147">
        <v>46356</v>
      </c>
      <c r="AF115" s="147">
        <v>46355.4</v>
      </c>
      <c r="AG115" s="147">
        <v>46360.4</v>
      </c>
      <c r="AH115" s="147">
        <v>46390.400000000001</v>
      </c>
      <c r="AI115" s="147">
        <v>46393.4</v>
      </c>
      <c r="AJ115" s="147">
        <v>46420.4</v>
      </c>
      <c r="AK115" s="149">
        <v>17.2</v>
      </c>
      <c r="AL115" s="150">
        <v>120.4</v>
      </c>
      <c r="AM115" s="151">
        <v>46390.400000000001</v>
      </c>
      <c r="AN115" s="151">
        <v>46426</v>
      </c>
      <c r="AO115" s="225">
        <f>AN115-AM116</f>
        <v>54.599999999998545</v>
      </c>
      <c r="AP115" s="235" t="s">
        <v>261</v>
      </c>
      <c r="AQ115" s="447" t="s">
        <v>262</v>
      </c>
      <c r="AR115" s="154">
        <f>IF(ISERROR(LOOKUP(AR$10,$O115:$AQ115,#REF!)),0,(LOOKUP(AR$10,$O115:$AQ115,#REF!)))</f>
        <v>0</v>
      </c>
      <c r="AS115" s="155">
        <f>IF(ISERROR(LOOKUP(AS$10,$O115:$AQ115,#REF!)),0,(LOOKUP(AS$10,$O115:$AQ115,#REF!)))</f>
        <v>0</v>
      </c>
      <c r="AT115" s="155">
        <f>IF(ISERROR(LOOKUP(AT$10,$O115:$AQ115,#REF!)),0,(LOOKUP(AT$10,$O115:$AQ115,#REF!)))</f>
        <v>0</v>
      </c>
      <c r="AU115" s="155">
        <f>IF(ISERROR(LOOKUP(AU$10,$O115:$AQ115,#REF!)),0,(LOOKUP(AU$10,$O115:$AQ115,#REF!)))</f>
        <v>0</v>
      </c>
      <c r="AV115" s="155">
        <f>IF(ISERROR(LOOKUP(AV$10,$O115:$AQ115,#REF!)),0,(LOOKUP(AV$10,$O115:$AQ115,#REF!)))</f>
        <v>0</v>
      </c>
      <c r="AW115" s="155">
        <f>IF(ISERROR(LOOKUP(AW$10,$O115:$AQ115,#REF!)),0,(LOOKUP(AW$10,$O115:$AQ115,#REF!)))</f>
        <v>0</v>
      </c>
      <c r="AX115" s="155">
        <f>IF(ISERROR(LOOKUP(AX$10,$O115:$AQ115,#REF!)),0,(LOOKUP(AX$10,$O115:$AQ115,#REF!)))</f>
        <v>0</v>
      </c>
      <c r="AY115" s="155">
        <f>IF(ISERROR(LOOKUP(AY$10,$O115:$AQ115,#REF!)),0,(LOOKUP(AY$10,$O115:$AQ115,#REF!)))</f>
        <v>0</v>
      </c>
      <c r="AZ115" s="155">
        <f>IF(ISERROR(LOOKUP(AZ$10,$O115:$AQ115,#REF!)),0,(LOOKUP(AZ$10,$O115:$AQ115,#REF!)))</f>
        <v>0</v>
      </c>
      <c r="BA115" s="155">
        <f>IF(ISERROR(LOOKUP(BA$10,$O115:$AQ115,#REF!)),0,(LOOKUP(BA$10,$O115:$AQ115,#REF!)))</f>
        <v>0</v>
      </c>
      <c r="BB115" s="155">
        <f ca="1">IF(ISERROR(LOOKUP(BB$10,$O115:$AQ115,#REF!)),0,(LOOKUP(BB$10,$O115:$AQ115,#REF!)))</f>
        <v>0</v>
      </c>
      <c r="BC115" s="156"/>
      <c r="BD115" s="176"/>
      <c r="BE115" s="176"/>
    </row>
    <row r="116" spans="1:57" s="78" customFormat="1" ht="15.4" thickTop="1" thickBot="1" x14ac:dyDescent="0.45">
      <c r="A116" s="459"/>
      <c r="B116" s="158" t="s">
        <v>256</v>
      </c>
      <c r="C116" s="197" t="s">
        <v>265</v>
      </c>
      <c r="D116" s="204" t="s">
        <v>266</v>
      </c>
      <c r="E116" s="205"/>
      <c r="F116" s="205"/>
      <c r="G116" s="204" t="s">
        <v>206</v>
      </c>
      <c r="H116" s="228" t="s">
        <v>158</v>
      </c>
      <c r="I116" s="159" t="s">
        <v>138</v>
      </c>
      <c r="J116" s="197" t="s">
        <v>74</v>
      </c>
      <c r="K116" s="197" t="s">
        <v>6</v>
      </c>
      <c r="L116" s="204"/>
      <c r="M116" s="165" t="s">
        <v>150</v>
      </c>
      <c r="N116" s="166" t="s">
        <v>84</v>
      </c>
      <c r="O116" s="167"/>
      <c r="P116" s="168"/>
      <c r="Q116" s="168"/>
      <c r="R116" s="168"/>
      <c r="S116" s="168"/>
      <c r="T116" s="168"/>
      <c r="U116" s="168"/>
      <c r="V116" s="168">
        <f>WORKDAY(U117,V8,IF(V12="China",'China Holidays'!$A$2:$A$84,'Thai Holidays'!$A$2:$A$65))</f>
        <v>46238</v>
      </c>
      <c r="W116" s="168"/>
      <c r="X116" s="168">
        <v>46250</v>
      </c>
      <c r="Y116" s="168">
        <f>WORKDAY(X116,Y8,IF(Y12="China",'China Holidays'!$A$2:$A$84,'Thai Holidays'!$A$2:$A$65))</f>
        <v>46252</v>
      </c>
      <c r="Z116" s="168">
        <f>WORKDAY(Y116,Z8,IF(Z12="China",'China Holidays'!$A$2:$A$84,'Thai Holidays'!$A$2:$A$65))</f>
        <v>46259</v>
      </c>
      <c r="AA116" s="168">
        <f>WORKDAY(Z116,AA8,IF(AA12="China",'China Holidays'!$A$2:$A$84,'Thai Holidays'!$A$2:$A$65))</f>
        <v>46280</v>
      </c>
      <c r="AB116" s="168">
        <f>WORKDAY(AA116,AB8,IF(AB12="China",'China Holidays'!$A$2:$A$84,'Thai Holidays'!$A$2:$A$65))</f>
        <v>46294</v>
      </c>
      <c r="AC116" s="168">
        <f>AB116+30</f>
        <v>46324</v>
      </c>
      <c r="AD116" s="168">
        <f>AC116</f>
        <v>46324</v>
      </c>
      <c r="AE116" s="168">
        <f>AD116+2</f>
        <v>46326</v>
      </c>
      <c r="AF116" s="168">
        <f>AG116-5</f>
        <v>46336.4</v>
      </c>
      <c r="AG116" s="168">
        <f>AH116-30</f>
        <v>46341.4</v>
      </c>
      <c r="AH116" s="168">
        <f>AM116</f>
        <v>46371.4</v>
      </c>
      <c r="AI116" s="168">
        <f>AM115+3</f>
        <v>46393.4</v>
      </c>
      <c r="AJ116" s="168">
        <f>AM115+30</f>
        <v>46420.4</v>
      </c>
      <c r="AK116" s="199"/>
      <c r="AL116" s="206"/>
      <c r="AM116" s="170">
        <f>X116+AL115+1</f>
        <v>46371.4</v>
      </c>
      <c r="AN116" s="170"/>
      <c r="AO116" s="171"/>
      <c r="AP116" s="172"/>
      <c r="AQ116" s="448"/>
      <c r="AR116" s="154">
        <f>IF(ISERROR(LOOKUP(AR$10,$O116:$AQ116,#REF!)),0,(LOOKUP(AR$10,$O116:$AQ116,#REF!)))</f>
        <v>0</v>
      </c>
      <c r="AS116" s="155">
        <f>IF(ISERROR(LOOKUP(AS$10,$O116:$AQ116,#REF!)),0,(LOOKUP(AS$10,$O116:$AQ116,#REF!)))</f>
        <v>0</v>
      </c>
      <c r="AT116" s="155">
        <f>IF(ISERROR(LOOKUP(AT$10,$O116:$AQ116,#REF!)),0,(LOOKUP(AT$10,$O116:$AQ116,#REF!)))</f>
        <v>0</v>
      </c>
      <c r="AU116" s="155">
        <f>IF(ISERROR(LOOKUP(AU$10,$O116:$AQ116,#REF!)),0,(LOOKUP(AU$10,$O116:$AQ116,#REF!)))</f>
        <v>0</v>
      </c>
      <c r="AV116" s="155">
        <f>IF(ISERROR(LOOKUP(AV$10,$O116:$AQ116,#REF!)),0,(LOOKUP(AV$10,$O116:$AQ116,#REF!)))</f>
        <v>0</v>
      </c>
      <c r="AW116" s="155">
        <f>IF(ISERROR(LOOKUP(AW$10,$O116:$AQ116,#REF!)),0,(LOOKUP(AW$10,$O116:$AQ116,#REF!)))</f>
        <v>0</v>
      </c>
      <c r="AX116" s="155">
        <f>IF(ISERROR(LOOKUP(AX$10,$O116:$AQ116,#REF!)),0,(LOOKUP(AX$10,$O116:$AQ116,#REF!)))</f>
        <v>0</v>
      </c>
      <c r="AY116" s="155">
        <f>IF(ISERROR(LOOKUP(AY$10,$O116:$AQ116,#REF!)),0,(LOOKUP(AY$10,$O116:$AQ116,#REF!)))</f>
        <v>0</v>
      </c>
      <c r="AZ116" s="155">
        <f>IF(ISERROR(LOOKUP(AZ$10,$O116:$AQ116,#REF!)),0,(LOOKUP(AZ$10,$O116:$AQ116,#REF!)))</f>
        <v>0</v>
      </c>
      <c r="BA116" s="155">
        <f>IF(ISERROR(LOOKUP(BA$10,$O116:$AQ116,#REF!)),0,(LOOKUP(BA$10,$O116:$AQ116,#REF!)))</f>
        <v>0</v>
      </c>
      <c r="BB116" s="155">
        <f ca="1">IF(ISERROR(LOOKUP(BB$10,$O116:$AQ116,#REF!)),0,(LOOKUP(BB$10,$O116:$AQ116,#REF!)))</f>
        <v>0</v>
      </c>
      <c r="BC116" s="156"/>
      <c r="BD116" s="176"/>
      <c r="BE116" s="176"/>
    </row>
    <row r="117" spans="1:57" s="78" customFormat="1" ht="15.4" thickTop="1" thickBot="1" x14ac:dyDescent="0.45">
      <c r="A117" s="460"/>
      <c r="B117" s="177" t="s">
        <v>256</v>
      </c>
      <c r="C117" s="178" t="s">
        <v>265</v>
      </c>
      <c r="D117" s="209" t="s">
        <v>266</v>
      </c>
      <c r="E117" s="208"/>
      <c r="F117" s="208"/>
      <c r="G117" s="209" t="s">
        <v>206</v>
      </c>
      <c r="H117" s="182" t="s">
        <v>158</v>
      </c>
      <c r="I117" s="178" t="s">
        <v>138</v>
      </c>
      <c r="J117" s="178" t="s">
        <v>74</v>
      </c>
      <c r="K117" s="178" t="s">
        <v>6</v>
      </c>
      <c r="L117" s="209"/>
      <c r="M117" s="184" t="s">
        <v>150</v>
      </c>
      <c r="N117" s="185" t="s">
        <v>87</v>
      </c>
      <c r="O117" s="186">
        <v>46184</v>
      </c>
      <c r="P117" s="186">
        <v>46148</v>
      </c>
      <c r="Q117" s="186">
        <v>46165</v>
      </c>
      <c r="R117" s="186">
        <v>46184</v>
      </c>
      <c r="S117" s="186">
        <v>46184</v>
      </c>
      <c r="T117" s="186">
        <v>46199</v>
      </c>
      <c r="U117" s="186">
        <v>46220</v>
      </c>
      <c r="V117" s="186"/>
      <c r="W117" s="186"/>
      <c r="X117" s="186"/>
      <c r="Y117" s="186"/>
      <c r="Z117" s="186"/>
      <c r="AA117" s="186"/>
      <c r="AB117" s="186"/>
      <c r="AC117" s="186"/>
      <c r="AD117" s="186"/>
      <c r="AE117" s="186"/>
      <c r="AF117" s="186"/>
      <c r="AG117" s="186"/>
      <c r="AH117" s="186"/>
      <c r="AI117" s="186"/>
      <c r="AJ117" s="186"/>
      <c r="AK117" s="188"/>
      <c r="AL117" s="211"/>
      <c r="AM117" s="187"/>
      <c r="AN117" s="187"/>
      <c r="AO117" s="189"/>
      <c r="AP117" s="190"/>
      <c r="AQ117" s="449"/>
      <c r="AR117" s="191">
        <f>IF(ISERROR(LOOKUP(AR$10,$O117:$AQ117,#REF!)),0,(LOOKUP(AR$10,$O117:$AQ117,#REF!)))</f>
        <v>0</v>
      </c>
      <c r="AS117" s="192">
        <f>IF(ISERROR(LOOKUP(AS$10,$O117:$AQ117,#REF!)),0,(LOOKUP(AS$10,$O117:$AQ117,#REF!)))</f>
        <v>0</v>
      </c>
      <c r="AT117" s="192">
        <f>IF(ISERROR(LOOKUP(AT$10,$O117:$AQ117,#REF!)),0,(LOOKUP(AT$10,$O117:$AQ117,#REF!)))</f>
        <v>0</v>
      </c>
      <c r="AU117" s="192">
        <f>IF(ISERROR(LOOKUP(AU$10,$O117:$AQ117,#REF!)),0,(LOOKUP(AU$10,$O117:$AQ117,#REF!)))</f>
        <v>0</v>
      </c>
      <c r="AV117" s="192">
        <f>IF(ISERROR(LOOKUP(AV$10,$O117:$AQ117,#REF!)),0,(LOOKUP(AV$10,$O117:$AQ117,#REF!)))</f>
        <v>0</v>
      </c>
      <c r="AW117" s="192">
        <f>IF(ISERROR(LOOKUP(AW$10,$O117:$AQ117,#REF!)),0,(LOOKUP(AW$10,$O117:$AQ117,#REF!)))</f>
        <v>0</v>
      </c>
      <c r="AX117" s="192">
        <f>IF(ISERROR(LOOKUP(AX$10,$O117:$AQ117,#REF!)),0,(LOOKUP(AX$10,$O117:$AQ117,#REF!)))</f>
        <v>0</v>
      </c>
      <c r="AY117" s="192">
        <f>IF(ISERROR(LOOKUP(AY$10,$O117:$AQ117,#REF!)),0,(LOOKUP(AY$10,$O117:$AQ117,#REF!)))</f>
        <v>0</v>
      </c>
      <c r="AZ117" s="192">
        <f>IF(ISERROR(LOOKUP(AZ$10,$O117:$AQ117,#REF!)),0,(LOOKUP(AZ$10,$O117:$AQ117,#REF!)))</f>
        <v>0</v>
      </c>
      <c r="BA117" s="192">
        <f>IF(ISERROR(LOOKUP(BA$10,$O117:$AQ117,#REF!)),0,(LOOKUP(BA$10,$O117:$AQ117,#REF!)))</f>
        <v>0</v>
      </c>
      <c r="BB117" s="192">
        <f ca="1">IF(ISERROR(LOOKUP(BB$10,$O117:$AQ117,#REF!)),0,(LOOKUP(BB$10,$O117:$AQ117,#REF!)))</f>
        <v>0</v>
      </c>
      <c r="BC117" s="156"/>
      <c r="BD117" s="176"/>
      <c r="BE117" s="176"/>
    </row>
    <row r="118" spans="1:57" s="78" customFormat="1" ht="24" thickTop="1" thickBot="1" x14ac:dyDescent="0.45">
      <c r="A118" s="458"/>
      <c r="B118" s="252" t="s">
        <v>256</v>
      </c>
      <c r="C118" s="278" t="s">
        <v>267</v>
      </c>
      <c r="D118" s="254" t="s">
        <v>268</v>
      </c>
      <c r="E118" s="202"/>
      <c r="F118" s="202"/>
      <c r="G118" s="427" t="s">
        <v>206</v>
      </c>
      <c r="H118" s="143" t="s">
        <v>158</v>
      </c>
      <c r="I118" s="140" t="s">
        <v>138</v>
      </c>
      <c r="J118" s="140" t="s">
        <v>95</v>
      </c>
      <c r="K118" s="140" t="s">
        <v>9</v>
      </c>
      <c r="L118" s="273" t="s">
        <v>269</v>
      </c>
      <c r="M118" s="145" t="s">
        <v>150</v>
      </c>
      <c r="N118" s="146" t="s">
        <v>77</v>
      </c>
      <c r="O118" s="223">
        <v>46199</v>
      </c>
      <c r="P118" s="223">
        <v>46204</v>
      </c>
      <c r="Q118" s="223">
        <v>46211</v>
      </c>
      <c r="R118" s="223">
        <v>46212</v>
      </c>
      <c r="S118" s="223">
        <v>46217</v>
      </c>
      <c r="T118" s="223">
        <v>46224</v>
      </c>
      <c r="U118" s="223">
        <v>46237</v>
      </c>
      <c r="V118" s="223">
        <v>46239</v>
      </c>
      <c r="W118" s="223"/>
      <c r="X118" s="223">
        <v>46246</v>
      </c>
      <c r="Y118" s="223">
        <v>46248</v>
      </c>
      <c r="Z118" s="223">
        <v>46255</v>
      </c>
      <c r="AA118" s="223">
        <v>46269</v>
      </c>
      <c r="AB118" s="223">
        <v>46283</v>
      </c>
      <c r="AC118" s="223">
        <v>46293</v>
      </c>
      <c r="AD118" s="223">
        <v>46293</v>
      </c>
      <c r="AE118" s="223">
        <v>46295</v>
      </c>
      <c r="AF118" s="223">
        <v>46324</v>
      </c>
      <c r="AG118" s="223">
        <v>46329</v>
      </c>
      <c r="AH118" s="223">
        <v>46336</v>
      </c>
      <c r="AI118" s="223">
        <v>46339</v>
      </c>
      <c r="AJ118" s="223">
        <v>46366</v>
      </c>
      <c r="AK118" s="150">
        <v>12.8571428571429</v>
      </c>
      <c r="AL118" s="150">
        <v>90</v>
      </c>
      <c r="AM118" s="151">
        <v>46336</v>
      </c>
      <c r="AN118" s="151">
        <v>46364</v>
      </c>
      <c r="AO118" s="225">
        <f>AN118-AM119</f>
        <v>22</v>
      </c>
      <c r="AP118" s="235"/>
      <c r="AQ118" s="447" t="s">
        <v>270</v>
      </c>
      <c r="AR118" s="154">
        <f>IF(ISERROR(LOOKUP(AR$10,$O118:$AQ118,#REF!)),0,(LOOKUP(AR$10,$O118:$AQ118,#REF!)))</f>
        <v>0</v>
      </c>
      <c r="AS118" s="155">
        <f>IF(ISERROR(LOOKUP(AS$10,$O118:$AQ118,#REF!)),0,(LOOKUP(AS$10,$O118:$AQ118,#REF!)))</f>
        <v>0</v>
      </c>
      <c r="AT118" s="155">
        <f>IF(ISERROR(LOOKUP(AT$10,$O118:$AQ118,#REF!)),0,(LOOKUP(AT$10,$O118:$AQ118,#REF!)))</f>
        <v>0</v>
      </c>
      <c r="AU118" s="155">
        <f>IF(ISERROR(LOOKUP(AU$10,$O118:$AQ118,#REF!)),0,(LOOKUP(AU$10,$O118:$AQ118,#REF!)))</f>
        <v>0</v>
      </c>
      <c r="AV118" s="155">
        <f>IF(ISERROR(LOOKUP(AV$10,$O118:$AQ118,#REF!)),0,(LOOKUP(AV$10,$O118:$AQ118,#REF!)))</f>
        <v>0</v>
      </c>
      <c r="AW118" s="155">
        <f>IF(ISERROR(LOOKUP(AW$10,$O118:$AQ118,#REF!)),0,(LOOKUP(AW$10,$O118:$AQ118,#REF!)))</f>
        <v>0</v>
      </c>
      <c r="AX118" s="155">
        <f>IF(ISERROR(LOOKUP(AX$10,$O118:$AQ118,#REF!)),0,(LOOKUP(AX$10,$O118:$AQ118,#REF!)))</f>
        <v>0</v>
      </c>
      <c r="AY118" s="155">
        <f>IF(ISERROR(LOOKUP(AY$10,$O118:$AQ118,#REF!)),0,(LOOKUP(AY$10,$O118:$AQ118,#REF!)))</f>
        <v>0</v>
      </c>
      <c r="AZ118" s="155">
        <f>IF(ISERROR(LOOKUP(AZ$10,$O118:$AQ118,#REF!)),0,(LOOKUP(AZ$10,$O118:$AQ118,#REF!)))</f>
        <v>0</v>
      </c>
      <c r="BA118" s="155">
        <f>IF(ISERROR(LOOKUP(BA$10,$O118:$AQ118,#REF!)),0,(LOOKUP(BA$10,$O118:$AQ118,#REF!)))</f>
        <v>0</v>
      </c>
      <c r="BB118" s="155">
        <f ca="1">IF(ISERROR(LOOKUP(BB$10,$O118:$AQ118,#REF!)),0,(LOOKUP(BB$10,$O118:$AQ118,#REF!)))</f>
        <v>0</v>
      </c>
      <c r="BC118" s="156"/>
      <c r="BD118" s="176"/>
      <c r="BE118" s="176"/>
    </row>
    <row r="119" spans="1:57" s="78" customFormat="1" ht="22.5" customHeight="1" thickTop="1" thickBot="1" x14ac:dyDescent="0.45">
      <c r="A119" s="459"/>
      <c r="B119" s="255" t="s">
        <v>256</v>
      </c>
      <c r="C119" s="282" t="s">
        <v>267</v>
      </c>
      <c r="D119" s="288" t="s">
        <v>268</v>
      </c>
      <c r="E119" s="205"/>
      <c r="F119" s="205"/>
      <c r="G119" s="204" t="s">
        <v>206</v>
      </c>
      <c r="H119" s="228" t="s">
        <v>158</v>
      </c>
      <c r="I119" s="159" t="s">
        <v>138</v>
      </c>
      <c r="J119" s="197" t="s">
        <v>95</v>
      </c>
      <c r="K119" s="197" t="s">
        <v>9</v>
      </c>
      <c r="L119" s="204"/>
      <c r="M119" s="165" t="s">
        <v>150</v>
      </c>
      <c r="N119" s="166" t="s">
        <v>84</v>
      </c>
      <c r="O119" s="167"/>
      <c r="P119" s="168"/>
      <c r="Q119" s="168"/>
      <c r="R119" s="168"/>
      <c r="S119" s="168"/>
      <c r="T119" s="168">
        <v>46231</v>
      </c>
      <c r="U119" s="168">
        <f>U118</f>
        <v>46237</v>
      </c>
      <c r="V119" s="168">
        <f>WORKDAY(U119,V9,IF(V12="China",'China Holidays'!$A$2:$A$84,'Thai Holidays'!$A$2:$A$65))</f>
        <v>46252</v>
      </c>
      <c r="W119" s="168"/>
      <c r="X119" s="168">
        <f>V119</f>
        <v>46252</v>
      </c>
      <c r="Y119" s="168">
        <f>WORKDAY(X119,Y9,IF(Y12="China",'China Holidays'!$A$2:$A$84,'Thai Holidays'!$A$2:$A$65))</f>
        <v>46254</v>
      </c>
      <c r="Z119" s="168">
        <f>WORKDAY(Y119,Z9,IF(Z12="China",'China Holidays'!$A$2:$A$84,'Thai Holidays'!$A$2:$A$65))</f>
        <v>46261</v>
      </c>
      <c r="AA119" s="168">
        <f>WORKDAY(Z119,AA9,IF(AA12="China",'China Holidays'!$A$2:$A$84,'Thai Holidays'!$A$2:$A$65))</f>
        <v>46275</v>
      </c>
      <c r="AB119" s="168">
        <f>WORKDAY(AA119,AB9,IF(AB12="China",'China Holidays'!$A$2:$A$84,'Thai Holidays'!$A$2:$A$65))</f>
        <v>46289</v>
      </c>
      <c r="AC119" s="168">
        <f>AB119+10</f>
        <v>46299</v>
      </c>
      <c r="AD119" s="168">
        <f>AC119</f>
        <v>46299</v>
      </c>
      <c r="AE119" s="168">
        <f>AD119+2</f>
        <v>46301</v>
      </c>
      <c r="AF119" s="168">
        <f>AG119-5</f>
        <v>46330</v>
      </c>
      <c r="AG119" s="168">
        <f>AH119-7</f>
        <v>46335</v>
      </c>
      <c r="AH119" s="168">
        <f>AM119</f>
        <v>46342</v>
      </c>
      <c r="AI119" s="168">
        <f>AM118+3</f>
        <v>46339</v>
      </c>
      <c r="AJ119" s="168">
        <f>AM118+30</f>
        <v>46366</v>
      </c>
      <c r="AK119" s="169"/>
      <c r="AL119" s="230"/>
      <c r="AM119" s="170">
        <f>X119+AL118</f>
        <v>46342</v>
      </c>
      <c r="AN119" s="170"/>
      <c r="AO119" s="171"/>
      <c r="AP119" s="172"/>
      <c r="AQ119" s="448"/>
      <c r="AR119" s="154">
        <f>IF(ISERROR(LOOKUP(AR$10,$O119:$AQ119,#REF!)),0,(LOOKUP(AR$10,$O119:$AQ119,#REF!)))</f>
        <v>0</v>
      </c>
      <c r="AS119" s="155">
        <f>IF(ISERROR(LOOKUP(AS$10,$O119:$AQ119,#REF!)),0,(LOOKUP(AS$10,$O119:$AQ119,#REF!)))</f>
        <v>0</v>
      </c>
      <c r="AT119" s="155">
        <f>IF(ISERROR(LOOKUP(AT$10,$O119:$AQ119,#REF!)),0,(LOOKUP(AT$10,$O119:$AQ119,#REF!)))</f>
        <v>0</v>
      </c>
      <c r="AU119" s="155">
        <f>IF(ISERROR(LOOKUP(AU$10,$O119:$AQ119,#REF!)),0,(LOOKUP(AU$10,$O119:$AQ119,#REF!)))</f>
        <v>0</v>
      </c>
      <c r="AV119" s="155">
        <f>IF(ISERROR(LOOKUP(AV$10,$O119:$AQ119,#REF!)),0,(LOOKUP(AV$10,$O119:$AQ119,#REF!)))</f>
        <v>0</v>
      </c>
      <c r="AW119" s="155">
        <f>IF(ISERROR(LOOKUP(AW$10,$O119:$AQ119,#REF!)),0,(LOOKUP(AW$10,$O119:$AQ119,#REF!)))</f>
        <v>0</v>
      </c>
      <c r="AX119" s="155">
        <f>IF(ISERROR(LOOKUP(AX$10,$O119:$AQ119,#REF!)),0,(LOOKUP(AX$10,$O119:$AQ119,#REF!)))</f>
        <v>0</v>
      </c>
      <c r="AY119" s="155">
        <f>IF(ISERROR(LOOKUP(AY$10,$O119:$AQ119,#REF!)),0,(LOOKUP(AY$10,$O119:$AQ119,#REF!)))</f>
        <v>0</v>
      </c>
      <c r="AZ119" s="155">
        <f>IF(ISERROR(LOOKUP(AZ$10,$O119:$AQ119,#REF!)),0,(LOOKUP(AZ$10,$O119:$AQ119,#REF!)))</f>
        <v>0</v>
      </c>
      <c r="BA119" s="155">
        <f>IF(ISERROR(LOOKUP(BA$10,$O119:$AQ119,#REF!)),0,(LOOKUP(BA$10,$O119:$AQ119,#REF!)))</f>
        <v>0</v>
      </c>
      <c r="BB119" s="155">
        <f ca="1">IF(ISERROR(LOOKUP(BB$10,$O119:$AQ119,#REF!)),0,(LOOKUP(BB$10,$O119:$AQ119,#REF!)))</f>
        <v>0</v>
      </c>
      <c r="BC119" s="156"/>
      <c r="BD119" s="176"/>
      <c r="BE119" s="176"/>
    </row>
    <row r="120" spans="1:57" s="78" customFormat="1" ht="24" thickTop="1" thickBot="1" x14ac:dyDescent="0.45">
      <c r="A120" s="460"/>
      <c r="B120" s="258" t="s">
        <v>256</v>
      </c>
      <c r="C120" s="285" t="s">
        <v>267</v>
      </c>
      <c r="D120" s="289" t="s">
        <v>268</v>
      </c>
      <c r="E120" s="208"/>
      <c r="F120" s="208"/>
      <c r="G120" s="209" t="s">
        <v>206</v>
      </c>
      <c r="H120" s="182" t="s">
        <v>158</v>
      </c>
      <c r="I120" s="178" t="s">
        <v>138</v>
      </c>
      <c r="J120" s="178" t="s">
        <v>95</v>
      </c>
      <c r="K120" s="178" t="s">
        <v>9</v>
      </c>
      <c r="L120" s="209"/>
      <c r="M120" s="184" t="s">
        <v>150</v>
      </c>
      <c r="N120" s="185" t="s">
        <v>87</v>
      </c>
      <c r="O120" s="186">
        <v>46185</v>
      </c>
      <c r="P120" s="186">
        <v>46148</v>
      </c>
      <c r="Q120" s="186">
        <v>46165</v>
      </c>
      <c r="R120" s="186">
        <v>46197</v>
      </c>
      <c r="S120" s="186">
        <v>46197</v>
      </c>
      <c r="T120" s="290"/>
      <c r="U120" s="186"/>
      <c r="V120" s="186"/>
      <c r="W120" s="186"/>
      <c r="X120" s="186"/>
      <c r="Y120" s="186"/>
      <c r="Z120" s="186"/>
      <c r="AA120" s="186"/>
      <c r="AB120" s="186"/>
      <c r="AC120" s="186"/>
      <c r="AD120" s="186"/>
      <c r="AE120" s="186"/>
      <c r="AF120" s="186"/>
      <c r="AG120" s="186"/>
      <c r="AH120" s="186"/>
      <c r="AI120" s="186"/>
      <c r="AJ120" s="186"/>
      <c r="AK120" s="188"/>
      <c r="AL120" s="211"/>
      <c r="AM120" s="187"/>
      <c r="AN120" s="187"/>
      <c r="AO120" s="189"/>
      <c r="AP120" s="190"/>
      <c r="AQ120" s="449"/>
      <c r="AR120" s="191">
        <f>IF(ISERROR(LOOKUP(AR$10,$O120:$AQ120,#REF!)),0,(LOOKUP(AR$10,$O120:$AQ120,#REF!)))</f>
        <v>0</v>
      </c>
      <c r="AS120" s="192">
        <f>IF(ISERROR(LOOKUP(AS$10,$O120:$AQ120,#REF!)),0,(LOOKUP(AS$10,$O120:$AQ120,#REF!)))</f>
        <v>0</v>
      </c>
      <c r="AT120" s="192">
        <f>IF(ISERROR(LOOKUP(AT$10,$O120:$AQ120,#REF!)),0,(LOOKUP(AT$10,$O120:$AQ120,#REF!)))</f>
        <v>0</v>
      </c>
      <c r="AU120" s="192">
        <f>IF(ISERROR(LOOKUP(AU$10,$O120:$AQ120,#REF!)),0,(LOOKUP(AU$10,$O120:$AQ120,#REF!)))</f>
        <v>0</v>
      </c>
      <c r="AV120" s="192">
        <f>IF(ISERROR(LOOKUP(AV$10,$O120:$AQ120,#REF!)),0,(LOOKUP(AV$10,$O120:$AQ120,#REF!)))</f>
        <v>0</v>
      </c>
      <c r="AW120" s="192">
        <f>IF(ISERROR(LOOKUP(AW$10,$O120:$AQ120,#REF!)),0,(LOOKUP(AW$10,$O120:$AQ120,#REF!)))</f>
        <v>0</v>
      </c>
      <c r="AX120" s="192">
        <f>IF(ISERROR(LOOKUP(AX$10,$O120:$AQ120,#REF!)),0,(LOOKUP(AX$10,$O120:$AQ120,#REF!)))</f>
        <v>0</v>
      </c>
      <c r="AY120" s="192">
        <f>IF(ISERROR(LOOKUP(AY$10,$O120:$AQ120,#REF!)),0,(LOOKUP(AY$10,$O120:$AQ120,#REF!)))</f>
        <v>0</v>
      </c>
      <c r="AZ120" s="192">
        <f>IF(ISERROR(LOOKUP(AZ$10,$O120:$AQ120,#REF!)),0,(LOOKUP(AZ$10,$O120:$AQ120,#REF!)))</f>
        <v>0</v>
      </c>
      <c r="BA120" s="192">
        <f>IF(ISERROR(LOOKUP(BA$10,$O120:$AQ120,#REF!)),0,(LOOKUP(BA$10,$O120:$AQ120,#REF!)))</f>
        <v>0</v>
      </c>
      <c r="BB120" s="192">
        <f ca="1">IF(ISERROR(LOOKUP(BB$10,$O120:$AQ120,#REF!)),0,(LOOKUP(BB$10,$O120:$AQ120,#REF!)))</f>
        <v>0</v>
      </c>
      <c r="BC120" s="156"/>
      <c r="BD120" s="176"/>
      <c r="BE120" s="176"/>
    </row>
    <row r="121" spans="1:57" s="78" customFormat="1" ht="24" thickTop="1" thickBot="1" x14ac:dyDescent="0.45">
      <c r="A121" s="458">
        <f>A115+1</f>
        <v>32</v>
      </c>
      <c r="B121" s="139" t="s">
        <v>256</v>
      </c>
      <c r="C121" s="140" t="s">
        <v>271</v>
      </c>
      <c r="D121" s="233" t="s">
        <v>272</v>
      </c>
      <c r="E121" s="202"/>
      <c r="F121" s="202"/>
      <c r="G121" s="427" t="s">
        <v>206</v>
      </c>
      <c r="H121" s="143" t="s">
        <v>158</v>
      </c>
      <c r="I121" s="140" t="s">
        <v>138</v>
      </c>
      <c r="J121" s="140" t="s">
        <v>95</v>
      </c>
      <c r="K121" s="140" t="s">
        <v>9</v>
      </c>
      <c r="L121" s="203"/>
      <c r="M121" s="145" t="s">
        <v>150</v>
      </c>
      <c r="N121" s="146" t="s">
        <v>77</v>
      </c>
      <c r="O121" s="147">
        <v>46189</v>
      </c>
      <c r="P121" s="147">
        <v>46192</v>
      </c>
      <c r="Q121" s="147">
        <v>46199</v>
      </c>
      <c r="R121" s="223">
        <v>46202</v>
      </c>
      <c r="S121" s="147">
        <v>46205</v>
      </c>
      <c r="T121" s="147">
        <v>46212</v>
      </c>
      <c r="U121" s="147">
        <v>46223</v>
      </c>
      <c r="V121" s="148">
        <v>46225</v>
      </c>
      <c r="W121" s="147"/>
      <c r="X121" s="147">
        <v>46232</v>
      </c>
      <c r="Y121" s="147">
        <v>46234</v>
      </c>
      <c r="Z121" s="147">
        <v>46241</v>
      </c>
      <c r="AA121" s="147">
        <v>46255</v>
      </c>
      <c r="AB121" s="147">
        <v>46269</v>
      </c>
      <c r="AC121" s="147">
        <v>46279</v>
      </c>
      <c r="AD121" s="147">
        <v>46279</v>
      </c>
      <c r="AE121" s="147">
        <v>46281</v>
      </c>
      <c r="AF121" s="147">
        <v>46313</v>
      </c>
      <c r="AG121" s="147">
        <v>46318</v>
      </c>
      <c r="AH121" s="147">
        <v>46322</v>
      </c>
      <c r="AI121" s="147">
        <v>46325</v>
      </c>
      <c r="AJ121" s="147">
        <v>46352</v>
      </c>
      <c r="AK121" s="149">
        <v>12.8571428571429</v>
      </c>
      <c r="AL121" s="150">
        <v>90</v>
      </c>
      <c r="AM121" s="151">
        <v>46322</v>
      </c>
      <c r="AN121" s="151">
        <v>46347</v>
      </c>
      <c r="AO121" s="225">
        <f>AN121-AM122</f>
        <v>10</v>
      </c>
      <c r="AP121" s="235"/>
      <c r="AQ121" s="447"/>
      <c r="AR121" s="154">
        <f>IF(ISERROR(LOOKUP(AR$10,$O121:$AQ121,#REF!)),0,(LOOKUP(AR$10,$O121:$AQ121,#REF!)))</f>
        <v>0</v>
      </c>
      <c r="AS121" s="155">
        <f>IF(ISERROR(LOOKUP(AS$10,$O121:$AQ121,#REF!)),0,(LOOKUP(AS$10,$O121:$AQ121,#REF!)))</f>
        <v>0</v>
      </c>
      <c r="AT121" s="155">
        <f>IF(ISERROR(LOOKUP(AT$10,$O121:$AQ121,#REF!)),0,(LOOKUP(AT$10,$O121:$AQ121,#REF!)))</f>
        <v>0</v>
      </c>
      <c r="AU121" s="155">
        <f>IF(ISERROR(LOOKUP(AU$10,$O121:$AQ121,#REF!)),0,(LOOKUP(AU$10,$O121:$AQ121,#REF!)))</f>
        <v>0</v>
      </c>
      <c r="AV121" s="155">
        <f>IF(ISERROR(LOOKUP(AV$10,$O121:$AQ121,#REF!)),0,(LOOKUP(AV$10,$O121:$AQ121,#REF!)))</f>
        <v>0</v>
      </c>
      <c r="AW121" s="155">
        <f>IF(ISERROR(LOOKUP(AW$10,$O121:$AQ121,#REF!)),0,(LOOKUP(AW$10,$O121:$AQ121,#REF!)))</f>
        <v>0</v>
      </c>
      <c r="AX121" s="155">
        <f>IF(ISERROR(LOOKUP(AX$10,$O121:$AQ121,#REF!)),0,(LOOKUP(AX$10,$O121:$AQ121,#REF!)))</f>
        <v>0</v>
      </c>
      <c r="AY121" s="155">
        <f>IF(ISERROR(LOOKUP(AY$10,$O121:$AQ121,#REF!)),0,(LOOKUP(AY$10,$O121:$AQ121,#REF!)))</f>
        <v>0</v>
      </c>
      <c r="AZ121" s="155">
        <f>IF(ISERROR(LOOKUP(AZ$10,$O121:$AQ121,#REF!)),0,(LOOKUP(AZ$10,$O121:$AQ121,#REF!)))</f>
        <v>0</v>
      </c>
      <c r="BA121" s="155">
        <f>IF(ISERROR(LOOKUP(BA$10,$O121:$AQ121,#REF!)),0,(LOOKUP(BA$10,$O121:$AQ121,#REF!)))</f>
        <v>0</v>
      </c>
      <c r="BB121" s="155">
        <f ca="1">IF(ISERROR(LOOKUP(BB$10,$O121:$AQ121,#REF!)),0,(LOOKUP(BB$10,$O121:$AQ121,#REF!)))</f>
        <v>0</v>
      </c>
      <c r="BC121" s="156"/>
      <c r="BD121" s="176"/>
      <c r="BE121" s="176"/>
    </row>
    <row r="122" spans="1:57" s="78" customFormat="1" ht="24" thickTop="1" thickBot="1" x14ac:dyDescent="0.45">
      <c r="A122" s="459"/>
      <c r="B122" s="158" t="s">
        <v>256</v>
      </c>
      <c r="C122" s="197" t="s">
        <v>271</v>
      </c>
      <c r="D122" s="232" t="s">
        <v>272</v>
      </c>
      <c r="E122" s="205"/>
      <c r="F122" s="205"/>
      <c r="G122" s="204" t="s">
        <v>206</v>
      </c>
      <c r="H122" s="228" t="s">
        <v>158</v>
      </c>
      <c r="I122" s="159" t="s">
        <v>138</v>
      </c>
      <c r="J122" s="197" t="s">
        <v>95</v>
      </c>
      <c r="K122" s="197" t="s">
        <v>9</v>
      </c>
      <c r="L122" s="204"/>
      <c r="M122" s="165" t="s">
        <v>150</v>
      </c>
      <c r="N122" s="166" t="s">
        <v>84</v>
      </c>
      <c r="O122" s="167"/>
      <c r="P122" s="168"/>
      <c r="Q122" s="168"/>
      <c r="R122" s="168"/>
      <c r="S122" s="168"/>
      <c r="T122" s="168"/>
      <c r="U122" s="168"/>
      <c r="V122" s="168">
        <f>WORKDAY(U123,V9,IF(V12="China",'China Holidays'!$A$2:$A$84,'Thai Holidays'!$A$2:$A$65))</f>
        <v>46247</v>
      </c>
      <c r="W122" s="168"/>
      <c r="X122" s="168">
        <f>V122</f>
        <v>46247</v>
      </c>
      <c r="Y122" s="168">
        <f>WORKDAY(X122,Y9,IF(Y12="China",'China Holidays'!$A$2:$A$84,'Thai Holidays'!$A$2:$A$65))</f>
        <v>46251</v>
      </c>
      <c r="Z122" s="168">
        <f>WORKDAY(Y122,Z9,IF(Z12="China",'China Holidays'!$A$2:$A$84,'Thai Holidays'!$A$2:$A$65))</f>
        <v>46258</v>
      </c>
      <c r="AA122" s="168">
        <f>WORKDAY(Z122,AA9,IF(AA12="China",'China Holidays'!$A$2:$A$84,'Thai Holidays'!$A$2:$A$65))</f>
        <v>46272</v>
      </c>
      <c r="AB122" s="168">
        <f>WORKDAY(AA122,AB9,IF(AB12="China",'China Holidays'!$A$2:$A$84,'Thai Holidays'!$A$2:$A$65))</f>
        <v>46286</v>
      </c>
      <c r="AC122" s="168">
        <f>AB122+10</f>
        <v>46296</v>
      </c>
      <c r="AD122" s="168">
        <f>AC122</f>
        <v>46296</v>
      </c>
      <c r="AE122" s="168">
        <f>AD122+2</f>
        <v>46298</v>
      </c>
      <c r="AF122" s="168">
        <f>AG122-5</f>
        <v>46328</v>
      </c>
      <c r="AG122" s="168">
        <f>AH122-4</f>
        <v>46333</v>
      </c>
      <c r="AH122" s="168">
        <f>AM122</f>
        <v>46337</v>
      </c>
      <c r="AI122" s="168">
        <f>AM121+3</f>
        <v>46325</v>
      </c>
      <c r="AJ122" s="168">
        <f>AM121+30</f>
        <v>46352</v>
      </c>
      <c r="AK122" s="169"/>
      <c r="AL122" s="230"/>
      <c r="AM122" s="170">
        <f>X122+AL121</f>
        <v>46337</v>
      </c>
      <c r="AN122" s="170"/>
      <c r="AO122" s="171"/>
      <c r="AP122" s="172"/>
      <c r="AQ122" s="448"/>
      <c r="AR122" s="154">
        <f>IF(ISERROR(LOOKUP(AR$10,$O122:$AQ122,#REF!)),0,(LOOKUP(AR$10,$O122:$AQ122,#REF!)))</f>
        <v>0</v>
      </c>
      <c r="AS122" s="155">
        <f>IF(ISERROR(LOOKUP(AS$10,$O122:$AQ122,#REF!)),0,(LOOKUP(AS$10,$O122:$AQ122,#REF!)))</f>
        <v>0</v>
      </c>
      <c r="AT122" s="155">
        <f>IF(ISERROR(LOOKUP(AT$10,$O122:$AQ122,#REF!)),0,(LOOKUP(AT$10,$O122:$AQ122,#REF!)))</f>
        <v>0</v>
      </c>
      <c r="AU122" s="155">
        <f>IF(ISERROR(LOOKUP(AU$10,$O122:$AQ122,#REF!)),0,(LOOKUP(AU$10,$O122:$AQ122,#REF!)))</f>
        <v>0</v>
      </c>
      <c r="AV122" s="155">
        <f>IF(ISERROR(LOOKUP(AV$10,$O122:$AQ122,#REF!)),0,(LOOKUP(AV$10,$O122:$AQ122,#REF!)))</f>
        <v>0</v>
      </c>
      <c r="AW122" s="155">
        <f>IF(ISERROR(LOOKUP(AW$10,$O122:$AQ122,#REF!)),0,(LOOKUP(AW$10,$O122:$AQ122,#REF!)))</f>
        <v>0</v>
      </c>
      <c r="AX122" s="155">
        <f>IF(ISERROR(LOOKUP(AX$10,$O122:$AQ122,#REF!)),0,(LOOKUP(AX$10,$O122:$AQ122,#REF!)))</f>
        <v>0</v>
      </c>
      <c r="AY122" s="155">
        <f>IF(ISERROR(LOOKUP(AY$10,$O122:$AQ122,#REF!)),0,(LOOKUP(AY$10,$O122:$AQ122,#REF!)))</f>
        <v>0</v>
      </c>
      <c r="AZ122" s="155">
        <f>IF(ISERROR(LOOKUP(AZ$10,$O122:$AQ122,#REF!)),0,(LOOKUP(AZ$10,$O122:$AQ122,#REF!)))</f>
        <v>0</v>
      </c>
      <c r="BA122" s="155">
        <f>IF(ISERROR(LOOKUP(BA$10,$O122:$AQ122,#REF!)),0,(LOOKUP(BA$10,$O122:$AQ122,#REF!)))</f>
        <v>0</v>
      </c>
      <c r="BB122" s="155">
        <f ca="1">IF(ISERROR(LOOKUP(BB$10,$O122:$AQ122,#REF!)),0,(LOOKUP(BB$10,$O122:$AQ122,#REF!)))</f>
        <v>0</v>
      </c>
      <c r="BC122" s="156"/>
      <c r="BD122" s="176"/>
      <c r="BE122" s="176"/>
    </row>
    <row r="123" spans="1:57" s="78" customFormat="1" ht="24" thickTop="1" thickBot="1" x14ac:dyDescent="0.45">
      <c r="A123" s="460"/>
      <c r="B123" s="177" t="s">
        <v>256</v>
      </c>
      <c r="C123" s="178" t="s">
        <v>271</v>
      </c>
      <c r="D123" s="207" t="s">
        <v>272</v>
      </c>
      <c r="E123" s="208"/>
      <c r="F123" s="208"/>
      <c r="G123" s="209" t="s">
        <v>206</v>
      </c>
      <c r="H123" s="182" t="s">
        <v>158</v>
      </c>
      <c r="I123" s="178" t="s">
        <v>138</v>
      </c>
      <c r="J123" s="178" t="s">
        <v>95</v>
      </c>
      <c r="K123" s="178" t="s">
        <v>9</v>
      </c>
      <c r="L123" s="209"/>
      <c r="M123" s="184" t="s">
        <v>150</v>
      </c>
      <c r="N123" s="185" t="s">
        <v>87</v>
      </c>
      <c r="O123" s="186">
        <v>46185</v>
      </c>
      <c r="P123" s="186">
        <v>46148</v>
      </c>
      <c r="Q123" s="186">
        <v>46165</v>
      </c>
      <c r="R123" s="186">
        <v>46197</v>
      </c>
      <c r="S123" s="186">
        <v>46197</v>
      </c>
      <c r="T123" s="186">
        <v>46212</v>
      </c>
      <c r="U123" s="186">
        <v>46230</v>
      </c>
      <c r="V123" s="186"/>
      <c r="W123" s="186"/>
      <c r="X123" s="186"/>
      <c r="Y123" s="186"/>
      <c r="Z123" s="186"/>
      <c r="AA123" s="186"/>
      <c r="AB123" s="186"/>
      <c r="AC123" s="186"/>
      <c r="AD123" s="186"/>
      <c r="AE123" s="186"/>
      <c r="AF123" s="186"/>
      <c r="AG123" s="186"/>
      <c r="AH123" s="186"/>
      <c r="AI123" s="186"/>
      <c r="AJ123" s="186"/>
      <c r="AK123" s="188"/>
      <c r="AL123" s="211"/>
      <c r="AM123" s="187"/>
      <c r="AN123" s="187"/>
      <c r="AO123" s="189"/>
      <c r="AP123" s="190"/>
      <c r="AQ123" s="449"/>
      <c r="AR123" s="191">
        <f>IF(ISERROR(LOOKUP(AR$10,$O123:$AQ123,#REF!)),0,(LOOKUP(AR$10,$O123:$AQ123,#REF!)))</f>
        <v>0</v>
      </c>
      <c r="AS123" s="192">
        <f>IF(ISERROR(LOOKUP(AS$10,$O123:$AQ123,#REF!)),0,(LOOKUP(AS$10,$O123:$AQ123,#REF!)))</f>
        <v>0</v>
      </c>
      <c r="AT123" s="192">
        <f>IF(ISERROR(LOOKUP(AT$10,$O123:$AQ123,#REF!)),0,(LOOKUP(AT$10,$O123:$AQ123,#REF!)))</f>
        <v>0</v>
      </c>
      <c r="AU123" s="192">
        <f>IF(ISERROR(LOOKUP(AU$10,$O123:$AQ123,#REF!)),0,(LOOKUP(AU$10,$O123:$AQ123,#REF!)))</f>
        <v>0</v>
      </c>
      <c r="AV123" s="192">
        <f>IF(ISERROR(LOOKUP(AV$10,$O123:$AQ123,#REF!)),0,(LOOKUP(AV$10,$O123:$AQ123,#REF!)))</f>
        <v>0</v>
      </c>
      <c r="AW123" s="192">
        <f>IF(ISERROR(LOOKUP(AW$10,$O123:$AQ123,#REF!)),0,(LOOKUP(AW$10,$O123:$AQ123,#REF!)))</f>
        <v>0</v>
      </c>
      <c r="AX123" s="192">
        <f>IF(ISERROR(LOOKUP(AX$10,$O123:$AQ123,#REF!)),0,(LOOKUP(AX$10,$O123:$AQ123,#REF!)))</f>
        <v>0</v>
      </c>
      <c r="AY123" s="192">
        <f>IF(ISERROR(LOOKUP(AY$10,$O123:$AQ123,#REF!)),0,(LOOKUP(AY$10,$O123:$AQ123,#REF!)))</f>
        <v>0</v>
      </c>
      <c r="AZ123" s="192">
        <f>IF(ISERROR(LOOKUP(AZ$10,$O123:$AQ123,#REF!)),0,(LOOKUP(AZ$10,$O123:$AQ123,#REF!)))</f>
        <v>0</v>
      </c>
      <c r="BA123" s="192">
        <f>IF(ISERROR(LOOKUP(BA$10,$O123:$AQ123,#REF!)),0,(LOOKUP(BA$10,$O123:$AQ123,#REF!)))</f>
        <v>0</v>
      </c>
      <c r="BB123" s="192">
        <f ca="1">IF(ISERROR(LOOKUP(BB$10,$O123:$AQ123,#REF!)),0,(LOOKUP(BB$10,$O123:$AQ123,#REF!)))</f>
        <v>0</v>
      </c>
      <c r="BC123" s="156"/>
      <c r="BD123" s="176"/>
      <c r="BE123" s="176"/>
    </row>
    <row r="124" spans="1:57" s="78" customFormat="1" ht="15.4" thickTop="1" thickBot="1" x14ac:dyDescent="0.45">
      <c r="A124" s="458">
        <f t="shared" ref="A124" si="26">A121+1</f>
        <v>33</v>
      </c>
      <c r="B124" s="139" t="s">
        <v>256</v>
      </c>
      <c r="C124" s="140" t="s">
        <v>273</v>
      </c>
      <c r="D124" s="233" t="s">
        <v>274</v>
      </c>
      <c r="E124" s="202"/>
      <c r="F124" s="202"/>
      <c r="G124" s="427" t="s">
        <v>206</v>
      </c>
      <c r="H124" s="143" t="s">
        <v>158</v>
      </c>
      <c r="I124" s="140" t="s">
        <v>138</v>
      </c>
      <c r="J124" s="140" t="s">
        <v>95</v>
      </c>
      <c r="K124" s="140" t="s">
        <v>6</v>
      </c>
      <c r="L124" s="203"/>
      <c r="M124" s="145" t="s">
        <v>150</v>
      </c>
      <c r="N124" s="146" t="s">
        <v>77</v>
      </c>
      <c r="O124" s="147">
        <v>46168</v>
      </c>
      <c r="P124" s="147">
        <v>46171</v>
      </c>
      <c r="Q124" s="147">
        <v>46182</v>
      </c>
      <c r="R124" s="147">
        <v>46183</v>
      </c>
      <c r="S124" s="147">
        <v>46190</v>
      </c>
      <c r="T124" s="147">
        <v>46205</v>
      </c>
      <c r="U124" s="148">
        <v>46226</v>
      </c>
      <c r="V124" s="147">
        <v>46233</v>
      </c>
      <c r="W124" s="147"/>
      <c r="X124" s="147">
        <v>46247</v>
      </c>
      <c r="Y124" s="147">
        <v>46251</v>
      </c>
      <c r="Z124" s="147">
        <v>46258</v>
      </c>
      <c r="AA124" s="147">
        <v>46279</v>
      </c>
      <c r="AB124" s="147">
        <v>46293</v>
      </c>
      <c r="AC124" s="147">
        <v>46323</v>
      </c>
      <c r="AD124" s="147">
        <v>46323</v>
      </c>
      <c r="AE124" s="147">
        <v>46325</v>
      </c>
      <c r="AF124" s="147">
        <v>46380</v>
      </c>
      <c r="AG124" s="147">
        <v>46385</v>
      </c>
      <c r="AH124" s="147">
        <v>46415</v>
      </c>
      <c r="AI124" s="147">
        <v>46418</v>
      </c>
      <c r="AJ124" s="147">
        <v>46445</v>
      </c>
      <c r="AK124" s="149">
        <v>24</v>
      </c>
      <c r="AL124" s="150">
        <v>168</v>
      </c>
      <c r="AM124" s="151">
        <v>46415</v>
      </c>
      <c r="AN124" s="151">
        <v>46426</v>
      </c>
      <c r="AO124" s="225">
        <f>AN124-AM125</f>
        <v>11</v>
      </c>
      <c r="AP124" s="235" t="s">
        <v>261</v>
      </c>
      <c r="AQ124" s="447" t="s">
        <v>262</v>
      </c>
      <c r="AR124" s="154">
        <f>IF(ISERROR(LOOKUP(AR$10,$O124:$AQ124,#REF!)),0,(LOOKUP(AR$10,$O124:$AQ124,#REF!)))</f>
        <v>0</v>
      </c>
      <c r="AS124" s="155">
        <f>IF(ISERROR(LOOKUP(AS$10,$O124:$AQ124,#REF!)),0,(LOOKUP(AS$10,$O124:$AQ124,#REF!)))</f>
        <v>0</v>
      </c>
      <c r="AT124" s="155">
        <f>IF(ISERROR(LOOKUP(AT$10,$O124:$AQ124,#REF!)),0,(LOOKUP(AT$10,$O124:$AQ124,#REF!)))</f>
        <v>0</v>
      </c>
      <c r="AU124" s="155">
        <f>IF(ISERROR(LOOKUP(AU$10,$O124:$AQ124,#REF!)),0,(LOOKUP(AU$10,$O124:$AQ124,#REF!)))</f>
        <v>0</v>
      </c>
      <c r="AV124" s="155">
        <f>IF(ISERROR(LOOKUP(AV$10,$O124:$AQ124,#REF!)),0,(LOOKUP(AV$10,$O124:$AQ124,#REF!)))</f>
        <v>0</v>
      </c>
      <c r="AW124" s="155">
        <f>IF(ISERROR(LOOKUP(AW$10,$O124:$AQ124,#REF!)),0,(LOOKUP(AW$10,$O124:$AQ124,#REF!)))</f>
        <v>0</v>
      </c>
      <c r="AX124" s="155">
        <f>IF(ISERROR(LOOKUP(AX$10,$O124:$AQ124,#REF!)),0,(LOOKUP(AX$10,$O124:$AQ124,#REF!)))</f>
        <v>0</v>
      </c>
      <c r="AY124" s="155">
        <f>IF(ISERROR(LOOKUP(AY$10,$O124:$AQ124,#REF!)),0,(LOOKUP(AY$10,$O124:$AQ124,#REF!)))</f>
        <v>0</v>
      </c>
      <c r="AZ124" s="155">
        <f>IF(ISERROR(LOOKUP(AZ$10,$O124:$AQ124,#REF!)),0,(LOOKUP(AZ$10,$O124:$AQ124,#REF!)))</f>
        <v>0</v>
      </c>
      <c r="BA124" s="155">
        <f>IF(ISERROR(LOOKUP(BA$10,$O124:$AQ124,#REF!)),0,(LOOKUP(BA$10,$O124:$AQ124,#REF!)))</f>
        <v>0</v>
      </c>
      <c r="BB124" s="155">
        <f ca="1">IF(ISERROR(LOOKUP(BB$10,$O124:$AQ124,#REF!)),0,(LOOKUP(BB$10,$O124:$AQ124,#REF!)))</f>
        <v>0</v>
      </c>
      <c r="BC124" s="156"/>
      <c r="BD124" s="176"/>
      <c r="BE124" s="176"/>
    </row>
    <row r="125" spans="1:57" s="78" customFormat="1" ht="15.4" thickTop="1" thickBot="1" x14ac:dyDescent="0.45">
      <c r="A125" s="459"/>
      <c r="B125" s="158" t="s">
        <v>256</v>
      </c>
      <c r="C125" s="197" t="s">
        <v>273</v>
      </c>
      <c r="D125" s="204" t="s">
        <v>274</v>
      </c>
      <c r="E125" s="205"/>
      <c r="F125" s="205"/>
      <c r="G125" s="204" t="s">
        <v>206</v>
      </c>
      <c r="H125" s="228" t="s">
        <v>158</v>
      </c>
      <c r="I125" s="159" t="s">
        <v>138</v>
      </c>
      <c r="J125" s="197" t="s">
        <v>95</v>
      </c>
      <c r="K125" s="197" t="s">
        <v>6</v>
      </c>
      <c r="L125" s="204"/>
      <c r="M125" s="165" t="s">
        <v>150</v>
      </c>
      <c r="N125" s="166" t="s">
        <v>84</v>
      </c>
      <c r="O125" s="167"/>
      <c r="P125" s="168"/>
      <c r="Q125" s="168"/>
      <c r="R125" s="168"/>
      <c r="S125" s="168"/>
      <c r="T125" s="168"/>
      <c r="U125" s="168">
        <v>46232</v>
      </c>
      <c r="V125" s="168">
        <f>WORKDAY(U125,V8,IF(V12="China",'China Holidays'!$A$2:$A$84,'Thai Holidays'!$A$2:$A$65))</f>
        <v>46247</v>
      </c>
      <c r="W125" s="168"/>
      <c r="X125" s="168">
        <f>V125</f>
        <v>46247</v>
      </c>
      <c r="Y125" s="168">
        <f>WORKDAY(X125,Y8,IF(Y12="China",'China Holidays'!$A$2:$A$84,'Thai Holidays'!$A$2:$A$65))</f>
        <v>46251</v>
      </c>
      <c r="Z125" s="168">
        <f>WORKDAY(Y125,Z8,IF(Z12="China",'China Holidays'!$A$2:$A$84,'Thai Holidays'!$A$2:$A$65))</f>
        <v>46258</v>
      </c>
      <c r="AA125" s="168">
        <f>WORKDAY(Z125,AA8,IF(AA12="China",'China Holidays'!$A$2:$A$84,'Thai Holidays'!$A$2:$A$65))</f>
        <v>46279</v>
      </c>
      <c r="AB125" s="168">
        <f>WORKDAY(AA125,AB8,IF(AB12="China",'China Holidays'!$A$2:$A$84,'Thai Holidays'!$A$2:$A$65))</f>
        <v>46293</v>
      </c>
      <c r="AC125" s="168">
        <f>AB125+30</f>
        <v>46323</v>
      </c>
      <c r="AD125" s="168">
        <f>AC125</f>
        <v>46323</v>
      </c>
      <c r="AE125" s="168">
        <f>AD125+2</f>
        <v>46325</v>
      </c>
      <c r="AF125" s="168">
        <f>AG125-5</f>
        <v>46380</v>
      </c>
      <c r="AG125" s="168">
        <f>AH125-30</f>
        <v>46385</v>
      </c>
      <c r="AH125" s="168">
        <f>AM125</f>
        <v>46415</v>
      </c>
      <c r="AI125" s="168">
        <f>AM124+3</f>
        <v>46418</v>
      </c>
      <c r="AJ125" s="168">
        <f>AM124+30</f>
        <v>46445</v>
      </c>
      <c r="AK125" s="169"/>
      <c r="AL125" s="230"/>
      <c r="AM125" s="170">
        <f>X125+AL124</f>
        <v>46415</v>
      </c>
      <c r="AN125" s="170"/>
      <c r="AO125" s="171"/>
      <c r="AP125" s="172"/>
      <c r="AQ125" s="448"/>
      <c r="AR125" s="154">
        <f>IF(ISERROR(LOOKUP(AR$10,$O125:$AQ125,#REF!)),0,(LOOKUP(AR$10,$O125:$AQ125,#REF!)))</f>
        <v>0</v>
      </c>
      <c r="AS125" s="155">
        <f>IF(ISERROR(LOOKUP(AS$10,$O125:$AQ125,#REF!)),0,(LOOKUP(AS$10,$O125:$AQ125,#REF!)))</f>
        <v>0</v>
      </c>
      <c r="AT125" s="155">
        <f>IF(ISERROR(LOOKUP(AT$10,$O125:$AQ125,#REF!)),0,(LOOKUP(AT$10,$O125:$AQ125,#REF!)))</f>
        <v>0</v>
      </c>
      <c r="AU125" s="155">
        <f>IF(ISERROR(LOOKUP(AU$10,$O125:$AQ125,#REF!)),0,(LOOKUP(AU$10,$O125:$AQ125,#REF!)))</f>
        <v>0</v>
      </c>
      <c r="AV125" s="155">
        <f>IF(ISERROR(LOOKUP(AV$10,$O125:$AQ125,#REF!)),0,(LOOKUP(AV$10,$O125:$AQ125,#REF!)))</f>
        <v>0</v>
      </c>
      <c r="AW125" s="155">
        <f>IF(ISERROR(LOOKUP(AW$10,$O125:$AQ125,#REF!)),0,(LOOKUP(AW$10,$O125:$AQ125,#REF!)))</f>
        <v>0</v>
      </c>
      <c r="AX125" s="155">
        <f>IF(ISERROR(LOOKUP(AX$10,$O125:$AQ125,#REF!)),0,(LOOKUP(AX$10,$O125:$AQ125,#REF!)))</f>
        <v>0</v>
      </c>
      <c r="AY125" s="155">
        <f>IF(ISERROR(LOOKUP(AY$10,$O125:$AQ125,#REF!)),0,(LOOKUP(AY$10,$O125:$AQ125,#REF!)))</f>
        <v>0</v>
      </c>
      <c r="AZ125" s="155">
        <f>IF(ISERROR(LOOKUP(AZ$10,$O125:$AQ125,#REF!)),0,(LOOKUP(AZ$10,$O125:$AQ125,#REF!)))</f>
        <v>0</v>
      </c>
      <c r="BA125" s="155">
        <f>IF(ISERROR(LOOKUP(BA$10,$O125:$AQ125,#REF!)),0,(LOOKUP(BA$10,$O125:$AQ125,#REF!)))</f>
        <v>0</v>
      </c>
      <c r="BB125" s="155">
        <f ca="1">IF(ISERROR(LOOKUP(BB$10,$O125:$AQ125,#REF!)),0,(LOOKUP(BB$10,$O125:$AQ125,#REF!)))</f>
        <v>0</v>
      </c>
      <c r="BC125" s="156"/>
      <c r="BD125" s="176"/>
      <c r="BE125" s="176"/>
    </row>
    <row r="126" spans="1:57" s="78" customFormat="1" ht="15.4" thickTop="1" thickBot="1" x14ac:dyDescent="0.45">
      <c r="A126" s="460"/>
      <c r="B126" s="177" t="s">
        <v>256</v>
      </c>
      <c r="C126" s="178" t="s">
        <v>273</v>
      </c>
      <c r="D126" s="209" t="s">
        <v>274</v>
      </c>
      <c r="E126" s="208"/>
      <c r="F126" s="208"/>
      <c r="G126" s="209" t="s">
        <v>206</v>
      </c>
      <c r="H126" s="182" t="s">
        <v>158</v>
      </c>
      <c r="I126" s="178" t="s">
        <v>138</v>
      </c>
      <c r="J126" s="178" t="s">
        <v>95</v>
      </c>
      <c r="K126" s="178" t="s">
        <v>6</v>
      </c>
      <c r="L126" s="209"/>
      <c r="M126" s="184" t="s">
        <v>150</v>
      </c>
      <c r="N126" s="185" t="s">
        <v>87</v>
      </c>
      <c r="O126" s="186">
        <v>46184</v>
      </c>
      <c r="P126" s="186">
        <v>46148</v>
      </c>
      <c r="Q126" s="186">
        <v>46165</v>
      </c>
      <c r="R126" s="186">
        <v>46185</v>
      </c>
      <c r="S126" s="186">
        <v>46185</v>
      </c>
      <c r="T126" s="186">
        <v>46209</v>
      </c>
      <c r="U126" s="186"/>
      <c r="V126" s="186"/>
      <c r="W126" s="186"/>
      <c r="X126" s="186"/>
      <c r="Y126" s="186"/>
      <c r="Z126" s="186"/>
      <c r="AA126" s="186"/>
      <c r="AB126" s="186"/>
      <c r="AC126" s="186"/>
      <c r="AD126" s="186"/>
      <c r="AE126" s="186"/>
      <c r="AF126" s="186"/>
      <c r="AG126" s="186"/>
      <c r="AH126" s="186"/>
      <c r="AI126" s="186"/>
      <c r="AJ126" s="186"/>
      <c r="AK126" s="188"/>
      <c r="AL126" s="211"/>
      <c r="AM126" s="187"/>
      <c r="AN126" s="187"/>
      <c r="AO126" s="189"/>
      <c r="AP126" s="190"/>
      <c r="AQ126" s="449"/>
      <c r="AR126" s="191">
        <f>IF(ISERROR(LOOKUP(AR$10,$O126:$AQ126,#REF!)),0,(LOOKUP(AR$10,$O126:$AQ126,#REF!)))</f>
        <v>0</v>
      </c>
      <c r="AS126" s="192">
        <f>IF(ISERROR(LOOKUP(AS$10,$O126:$AQ126,#REF!)),0,(LOOKUP(AS$10,$O126:$AQ126,#REF!)))</f>
        <v>0</v>
      </c>
      <c r="AT126" s="192">
        <f>IF(ISERROR(LOOKUP(AT$10,$O126:$AQ126,#REF!)),0,(LOOKUP(AT$10,$O126:$AQ126,#REF!)))</f>
        <v>0</v>
      </c>
      <c r="AU126" s="192">
        <f>IF(ISERROR(LOOKUP(AU$10,$O126:$AQ126,#REF!)),0,(LOOKUP(AU$10,$O126:$AQ126,#REF!)))</f>
        <v>0</v>
      </c>
      <c r="AV126" s="192">
        <f>IF(ISERROR(LOOKUP(AV$10,$O126:$AQ126,#REF!)),0,(LOOKUP(AV$10,$O126:$AQ126,#REF!)))</f>
        <v>0</v>
      </c>
      <c r="AW126" s="192">
        <f>IF(ISERROR(LOOKUP(AW$10,$O126:$AQ126,#REF!)),0,(LOOKUP(AW$10,$O126:$AQ126,#REF!)))</f>
        <v>0</v>
      </c>
      <c r="AX126" s="192">
        <f>IF(ISERROR(LOOKUP(AX$10,$O126:$AQ126,#REF!)),0,(LOOKUP(AX$10,$O126:$AQ126,#REF!)))</f>
        <v>0</v>
      </c>
      <c r="AY126" s="192">
        <f>IF(ISERROR(LOOKUP(AY$10,$O126:$AQ126,#REF!)),0,(LOOKUP(AY$10,$O126:$AQ126,#REF!)))</f>
        <v>0</v>
      </c>
      <c r="AZ126" s="192">
        <f>IF(ISERROR(LOOKUP(AZ$10,$O126:$AQ126,#REF!)),0,(LOOKUP(AZ$10,$O126:$AQ126,#REF!)))</f>
        <v>0</v>
      </c>
      <c r="BA126" s="192">
        <f>IF(ISERROR(LOOKUP(BA$10,$O126:$AQ126,#REF!)),0,(LOOKUP(BA$10,$O126:$AQ126,#REF!)))</f>
        <v>0</v>
      </c>
      <c r="BB126" s="192">
        <f ca="1">IF(ISERROR(LOOKUP(BB$10,$O126:$AQ126,#REF!)),0,(LOOKUP(BB$10,$O126:$AQ126,#REF!)))</f>
        <v>0</v>
      </c>
      <c r="BC126" s="156"/>
      <c r="BD126" s="176"/>
      <c r="BE126" s="176"/>
    </row>
    <row r="127" spans="1:57" s="78" customFormat="1" ht="15.4" thickTop="1" thickBot="1" x14ac:dyDescent="0.45">
      <c r="A127" s="458">
        <f t="shared" ref="A127" si="27">A124+1</f>
        <v>34</v>
      </c>
      <c r="B127" s="252" t="s">
        <v>256</v>
      </c>
      <c r="C127" s="278" t="s">
        <v>275</v>
      </c>
      <c r="D127" s="254" t="s">
        <v>276</v>
      </c>
      <c r="E127" s="202"/>
      <c r="F127" s="202"/>
      <c r="G127" s="427" t="s">
        <v>206</v>
      </c>
      <c r="H127" s="291" t="s">
        <v>158</v>
      </c>
      <c r="I127" s="278" t="s">
        <v>138</v>
      </c>
      <c r="J127" s="278" t="s">
        <v>95</v>
      </c>
      <c r="K127" s="278" t="s">
        <v>9</v>
      </c>
      <c r="L127" s="273" t="s">
        <v>277</v>
      </c>
      <c r="M127" s="145" t="s">
        <v>150</v>
      </c>
      <c r="N127" s="146" t="s">
        <v>77</v>
      </c>
      <c r="O127" s="147">
        <v>46199</v>
      </c>
      <c r="P127" s="147">
        <v>46204</v>
      </c>
      <c r="Q127" s="147">
        <v>46211</v>
      </c>
      <c r="R127" s="147">
        <v>46212</v>
      </c>
      <c r="S127" s="147">
        <v>46217</v>
      </c>
      <c r="T127" s="147">
        <v>46224</v>
      </c>
      <c r="U127" s="147">
        <v>46237</v>
      </c>
      <c r="V127" s="147">
        <v>46239</v>
      </c>
      <c r="W127" s="147"/>
      <c r="X127" s="147">
        <v>46246</v>
      </c>
      <c r="Y127" s="147">
        <v>46248</v>
      </c>
      <c r="Z127" s="147">
        <v>46255</v>
      </c>
      <c r="AA127" s="147">
        <v>46269</v>
      </c>
      <c r="AB127" s="147">
        <v>46283</v>
      </c>
      <c r="AC127" s="147">
        <v>46303</v>
      </c>
      <c r="AD127" s="147">
        <v>46303</v>
      </c>
      <c r="AE127" s="147">
        <v>46305</v>
      </c>
      <c r="AF127" s="147">
        <v>46326</v>
      </c>
      <c r="AG127" s="147">
        <v>46331</v>
      </c>
      <c r="AH127" s="147">
        <v>46336</v>
      </c>
      <c r="AI127" s="147">
        <v>46339</v>
      </c>
      <c r="AJ127" s="147">
        <v>46366</v>
      </c>
      <c r="AK127" s="149">
        <v>12.8571428571429</v>
      </c>
      <c r="AL127" s="150">
        <v>90</v>
      </c>
      <c r="AM127" s="151">
        <v>46336</v>
      </c>
      <c r="AN127" s="151">
        <v>46364</v>
      </c>
      <c r="AO127" s="225">
        <f>AN127-AM128</f>
        <v>22</v>
      </c>
      <c r="AP127" s="235" t="s">
        <v>261</v>
      </c>
      <c r="AQ127" s="447" t="s">
        <v>262</v>
      </c>
      <c r="AR127" s="154">
        <f>IF(ISERROR(LOOKUP(AR$10,$O127:$AQ127,#REF!)),0,(LOOKUP(AR$10,$O127:$AQ127,#REF!)))</f>
        <v>0</v>
      </c>
      <c r="AS127" s="155">
        <f>IF(ISERROR(LOOKUP(AS$10,$O127:$AQ127,#REF!)),0,(LOOKUP(AS$10,$O127:$AQ127,#REF!)))</f>
        <v>0</v>
      </c>
      <c r="AT127" s="155">
        <f>IF(ISERROR(LOOKUP(AT$10,$O127:$AQ127,#REF!)),0,(LOOKUP(AT$10,$O127:$AQ127,#REF!)))</f>
        <v>0</v>
      </c>
      <c r="AU127" s="155">
        <f>IF(ISERROR(LOOKUP(AU$10,$O127:$AQ127,#REF!)),0,(LOOKUP(AU$10,$O127:$AQ127,#REF!)))</f>
        <v>0</v>
      </c>
      <c r="AV127" s="155">
        <f>IF(ISERROR(LOOKUP(AV$10,$O127:$AQ127,#REF!)),0,(LOOKUP(AV$10,$O127:$AQ127,#REF!)))</f>
        <v>0</v>
      </c>
      <c r="AW127" s="155">
        <f>IF(ISERROR(LOOKUP(AW$10,$O127:$AQ127,#REF!)),0,(LOOKUP(AW$10,$O127:$AQ127,#REF!)))</f>
        <v>0</v>
      </c>
      <c r="AX127" s="155">
        <f>IF(ISERROR(LOOKUP(AX$10,$O127:$AQ127,#REF!)),0,(LOOKUP(AX$10,$O127:$AQ127,#REF!)))</f>
        <v>0</v>
      </c>
      <c r="AY127" s="155">
        <f>IF(ISERROR(LOOKUP(AY$10,$O127:$AQ127,#REF!)),0,(LOOKUP(AY$10,$O127:$AQ127,#REF!)))</f>
        <v>0</v>
      </c>
      <c r="AZ127" s="155">
        <f>IF(ISERROR(LOOKUP(AZ$10,$O127:$AQ127,#REF!)),0,(LOOKUP(AZ$10,$O127:$AQ127,#REF!)))</f>
        <v>0</v>
      </c>
      <c r="BA127" s="155">
        <f>IF(ISERROR(LOOKUP(BA$10,$O127:$AQ127,#REF!)),0,(LOOKUP(BA$10,$O127:$AQ127,#REF!)))</f>
        <v>0</v>
      </c>
      <c r="BB127" s="155">
        <f ca="1">IF(ISERROR(LOOKUP(BB$10,$O127:$AQ127,#REF!)),0,(LOOKUP(BB$10,$O127:$AQ127,#REF!)))</f>
        <v>0</v>
      </c>
      <c r="BC127" s="156"/>
      <c r="BD127" s="176"/>
      <c r="BE127" s="176"/>
    </row>
    <row r="128" spans="1:57" s="78" customFormat="1" ht="15.4" thickTop="1" thickBot="1" x14ac:dyDescent="0.45">
      <c r="A128" s="459"/>
      <c r="B128" s="255" t="s">
        <v>256</v>
      </c>
      <c r="C128" s="282" t="s">
        <v>275</v>
      </c>
      <c r="D128" s="292" t="s">
        <v>276</v>
      </c>
      <c r="E128" s="205"/>
      <c r="F128" s="205"/>
      <c r="G128" s="204" t="s">
        <v>206</v>
      </c>
      <c r="H128" s="293" t="s">
        <v>158</v>
      </c>
      <c r="I128" s="294" t="s">
        <v>138</v>
      </c>
      <c r="J128" s="282" t="s">
        <v>95</v>
      </c>
      <c r="K128" s="282" t="s">
        <v>9</v>
      </c>
      <c r="L128" s="204"/>
      <c r="M128" s="165" t="s">
        <v>150</v>
      </c>
      <c r="N128" s="166" t="s">
        <v>84</v>
      </c>
      <c r="O128" s="167"/>
      <c r="P128" s="168"/>
      <c r="Q128" s="168"/>
      <c r="R128" s="168"/>
      <c r="S128" s="168"/>
      <c r="T128" s="168"/>
      <c r="U128" s="168">
        <f>U127</f>
        <v>46237</v>
      </c>
      <c r="V128" s="168">
        <f>WORKDAY(U128,V9,IF(V12="China",'China Holidays'!$A$2:$A$84,'Thai Holidays'!$A$2:$A$65))</f>
        <v>46252</v>
      </c>
      <c r="W128" s="168"/>
      <c r="X128" s="168">
        <f>V128</f>
        <v>46252</v>
      </c>
      <c r="Y128" s="168">
        <f>WORKDAY(X128,Y9,IF(Y12="China",'China Holidays'!$A$2:$A$84,'Thai Holidays'!$A$2:$A$65))</f>
        <v>46254</v>
      </c>
      <c r="Z128" s="168">
        <f>WORKDAY(Y128,Z9,IF(Z12="China",'China Holidays'!$A$2:$A$84,'Thai Holidays'!$A$2:$A$65))</f>
        <v>46261</v>
      </c>
      <c r="AA128" s="168">
        <f>WORKDAY(Z128,AA9,IF(AA12="China",'China Holidays'!$A$2:$A$84,'Thai Holidays'!$A$2:$A$65))</f>
        <v>46275</v>
      </c>
      <c r="AB128" s="168">
        <f>WORKDAY(AA128,AB9,IF(AB12="China",'China Holidays'!$A$2:$A$84,'Thai Holidays'!$A$2:$A$65))</f>
        <v>46289</v>
      </c>
      <c r="AC128" s="168">
        <f>AB128+20</f>
        <v>46309</v>
      </c>
      <c r="AD128" s="168">
        <f>AC128</f>
        <v>46309</v>
      </c>
      <c r="AE128" s="168">
        <f>AD128+2</f>
        <v>46311</v>
      </c>
      <c r="AF128" s="168">
        <f>AG128-5</f>
        <v>46332</v>
      </c>
      <c r="AG128" s="168">
        <f>AH128-5</f>
        <v>46337</v>
      </c>
      <c r="AH128" s="168">
        <f>AM128</f>
        <v>46342</v>
      </c>
      <c r="AI128" s="168">
        <f>AM127+3</f>
        <v>46339</v>
      </c>
      <c r="AJ128" s="168">
        <f>AM127+30</f>
        <v>46366</v>
      </c>
      <c r="AK128" s="169"/>
      <c r="AL128" s="230"/>
      <c r="AM128" s="170">
        <f>X128+AL127</f>
        <v>46342</v>
      </c>
      <c r="AN128" s="170"/>
      <c r="AO128" s="171"/>
      <c r="AP128" s="172"/>
      <c r="AQ128" s="448"/>
      <c r="AR128" s="154">
        <f>IF(ISERROR(LOOKUP(AR$10,$O128:$AQ128,#REF!)),0,(LOOKUP(AR$10,$O128:$AQ128,#REF!)))</f>
        <v>0</v>
      </c>
      <c r="AS128" s="155">
        <f>IF(ISERROR(LOOKUP(AS$10,$O128:$AQ128,#REF!)),0,(LOOKUP(AS$10,$O128:$AQ128,#REF!)))</f>
        <v>0</v>
      </c>
      <c r="AT128" s="155">
        <f>IF(ISERROR(LOOKUP(AT$10,$O128:$AQ128,#REF!)),0,(LOOKUP(AT$10,$O128:$AQ128,#REF!)))</f>
        <v>0</v>
      </c>
      <c r="AU128" s="155">
        <f>IF(ISERROR(LOOKUP(AU$10,$O128:$AQ128,#REF!)),0,(LOOKUP(AU$10,$O128:$AQ128,#REF!)))</f>
        <v>0</v>
      </c>
      <c r="AV128" s="155">
        <f>IF(ISERROR(LOOKUP(AV$10,$O128:$AQ128,#REF!)),0,(LOOKUP(AV$10,$O128:$AQ128,#REF!)))</f>
        <v>0</v>
      </c>
      <c r="AW128" s="155">
        <f>IF(ISERROR(LOOKUP(AW$10,$O128:$AQ128,#REF!)),0,(LOOKUP(AW$10,$O128:$AQ128,#REF!)))</f>
        <v>0</v>
      </c>
      <c r="AX128" s="155">
        <f>IF(ISERROR(LOOKUP(AX$10,$O128:$AQ128,#REF!)),0,(LOOKUP(AX$10,$O128:$AQ128,#REF!)))</f>
        <v>0</v>
      </c>
      <c r="AY128" s="155">
        <f>IF(ISERROR(LOOKUP(AY$10,$O128:$AQ128,#REF!)),0,(LOOKUP(AY$10,$O128:$AQ128,#REF!)))</f>
        <v>0</v>
      </c>
      <c r="AZ128" s="155">
        <f>IF(ISERROR(LOOKUP(AZ$10,$O128:$AQ128,#REF!)),0,(LOOKUP(AZ$10,$O128:$AQ128,#REF!)))</f>
        <v>0</v>
      </c>
      <c r="BA128" s="155">
        <f>IF(ISERROR(LOOKUP(BA$10,$O128:$AQ128,#REF!)),0,(LOOKUP(BA$10,$O128:$AQ128,#REF!)))</f>
        <v>0</v>
      </c>
      <c r="BB128" s="155">
        <f ca="1">IF(ISERROR(LOOKUP(BB$10,$O128:$AQ128,#REF!)),0,(LOOKUP(BB$10,$O128:$AQ128,#REF!)))</f>
        <v>0</v>
      </c>
      <c r="BC128" s="156"/>
      <c r="BD128" s="176"/>
      <c r="BE128" s="176"/>
    </row>
    <row r="129" spans="1:57" s="78" customFormat="1" ht="15.4" thickTop="1" thickBot="1" x14ac:dyDescent="0.45">
      <c r="A129" s="460"/>
      <c r="B129" s="258" t="s">
        <v>256</v>
      </c>
      <c r="C129" s="285" t="s">
        <v>275</v>
      </c>
      <c r="D129" s="295" t="s">
        <v>276</v>
      </c>
      <c r="E129" s="208"/>
      <c r="F129" s="208"/>
      <c r="G129" s="209" t="s">
        <v>206</v>
      </c>
      <c r="H129" s="296" t="s">
        <v>158</v>
      </c>
      <c r="I129" s="285" t="s">
        <v>138</v>
      </c>
      <c r="J129" s="285" t="s">
        <v>95</v>
      </c>
      <c r="K129" s="285" t="s">
        <v>9</v>
      </c>
      <c r="L129" s="209"/>
      <c r="M129" s="184" t="s">
        <v>150</v>
      </c>
      <c r="N129" s="185" t="s">
        <v>87</v>
      </c>
      <c r="O129" s="186">
        <v>46185</v>
      </c>
      <c r="P129" s="186">
        <v>46148</v>
      </c>
      <c r="Q129" s="186">
        <v>46165</v>
      </c>
      <c r="R129" s="186">
        <v>46191</v>
      </c>
      <c r="S129" s="186">
        <v>46191</v>
      </c>
      <c r="T129" s="186">
        <v>46199</v>
      </c>
      <c r="U129" s="186"/>
      <c r="V129" s="186"/>
      <c r="W129" s="186"/>
      <c r="X129" s="186"/>
      <c r="Y129" s="186"/>
      <c r="Z129" s="186"/>
      <c r="AA129" s="186"/>
      <c r="AB129" s="186"/>
      <c r="AC129" s="186"/>
      <c r="AD129" s="186"/>
      <c r="AE129" s="186"/>
      <c r="AF129" s="186"/>
      <c r="AG129" s="186"/>
      <c r="AH129" s="186"/>
      <c r="AI129" s="186"/>
      <c r="AJ129" s="186"/>
      <c r="AK129" s="188"/>
      <c r="AL129" s="211"/>
      <c r="AM129" s="187"/>
      <c r="AN129" s="187"/>
      <c r="AO129" s="189"/>
      <c r="AP129" s="190"/>
      <c r="AQ129" s="449"/>
      <c r="AR129" s="191">
        <f>IF(ISERROR(LOOKUP(AR$10,$O129:$AQ129,#REF!)),0,(LOOKUP(AR$10,$O129:$AQ129,#REF!)))</f>
        <v>0</v>
      </c>
      <c r="AS129" s="192">
        <f>IF(ISERROR(LOOKUP(AS$10,$O129:$AQ129,#REF!)),0,(LOOKUP(AS$10,$O129:$AQ129,#REF!)))</f>
        <v>0</v>
      </c>
      <c r="AT129" s="192">
        <f>IF(ISERROR(LOOKUP(AT$10,$O129:$AQ129,#REF!)),0,(LOOKUP(AT$10,$O129:$AQ129,#REF!)))</f>
        <v>0</v>
      </c>
      <c r="AU129" s="192">
        <f>IF(ISERROR(LOOKUP(AU$10,$O129:$AQ129,#REF!)),0,(LOOKUP(AU$10,$O129:$AQ129,#REF!)))</f>
        <v>0</v>
      </c>
      <c r="AV129" s="192">
        <f>IF(ISERROR(LOOKUP(AV$10,$O129:$AQ129,#REF!)),0,(LOOKUP(AV$10,$O129:$AQ129,#REF!)))</f>
        <v>0</v>
      </c>
      <c r="AW129" s="192">
        <f>IF(ISERROR(LOOKUP(AW$10,$O129:$AQ129,#REF!)),0,(LOOKUP(AW$10,$O129:$AQ129,#REF!)))</f>
        <v>0</v>
      </c>
      <c r="AX129" s="192">
        <f>IF(ISERROR(LOOKUP(AX$10,$O129:$AQ129,#REF!)),0,(LOOKUP(AX$10,$O129:$AQ129,#REF!)))</f>
        <v>0</v>
      </c>
      <c r="AY129" s="192">
        <f>IF(ISERROR(LOOKUP(AY$10,$O129:$AQ129,#REF!)),0,(LOOKUP(AY$10,$O129:$AQ129,#REF!)))</f>
        <v>0</v>
      </c>
      <c r="AZ129" s="192">
        <f>IF(ISERROR(LOOKUP(AZ$10,$O129:$AQ129,#REF!)),0,(LOOKUP(AZ$10,$O129:$AQ129,#REF!)))</f>
        <v>0</v>
      </c>
      <c r="BA129" s="192">
        <f>IF(ISERROR(LOOKUP(BA$10,$O129:$AQ129,#REF!)),0,(LOOKUP(BA$10,$O129:$AQ129,#REF!)))</f>
        <v>0</v>
      </c>
      <c r="BB129" s="192">
        <f ca="1">IF(ISERROR(LOOKUP(BB$10,$O129:$AQ129,#REF!)),0,(LOOKUP(BB$10,$O129:$AQ129,#REF!)))</f>
        <v>0</v>
      </c>
      <c r="BC129" s="156"/>
      <c r="BD129" s="176"/>
      <c r="BE129" s="176"/>
    </row>
    <row r="130" spans="1:57" s="78" customFormat="1" ht="15.4" thickTop="1" thickBot="1" x14ac:dyDescent="0.45">
      <c r="A130" s="458">
        <f t="shared" ref="A130" si="28">A127+1</f>
        <v>35</v>
      </c>
      <c r="B130" s="139" t="s">
        <v>256</v>
      </c>
      <c r="C130" s="247" t="s">
        <v>278</v>
      </c>
      <c r="D130" s="233" t="s">
        <v>877</v>
      </c>
      <c r="E130" s="202"/>
      <c r="F130" s="202"/>
      <c r="G130" s="427" t="s">
        <v>206</v>
      </c>
      <c r="H130" s="143" t="s">
        <v>158</v>
      </c>
      <c r="I130" s="140" t="s">
        <v>138</v>
      </c>
      <c r="J130" s="140" t="s">
        <v>95</v>
      </c>
      <c r="K130" s="140" t="s">
        <v>6</v>
      </c>
      <c r="L130" s="203"/>
      <c r="M130" s="145" t="s">
        <v>150</v>
      </c>
      <c r="N130" s="146" t="s">
        <v>77</v>
      </c>
      <c r="O130" s="147">
        <v>46231</v>
      </c>
      <c r="P130" s="147">
        <v>46171</v>
      </c>
      <c r="Q130" s="147">
        <v>46182</v>
      </c>
      <c r="R130" s="147">
        <v>46233</v>
      </c>
      <c r="S130" s="147">
        <v>46232</v>
      </c>
      <c r="T130" s="148">
        <v>46238</v>
      </c>
      <c r="U130" s="147">
        <v>46226</v>
      </c>
      <c r="V130" s="147">
        <v>46233</v>
      </c>
      <c r="W130" s="147"/>
      <c r="X130" s="147">
        <v>46247</v>
      </c>
      <c r="Y130" s="147">
        <v>46251</v>
      </c>
      <c r="Z130" s="147">
        <v>46258</v>
      </c>
      <c r="AA130" s="147">
        <v>46279</v>
      </c>
      <c r="AB130" s="147">
        <v>46293</v>
      </c>
      <c r="AC130" s="147">
        <v>46323</v>
      </c>
      <c r="AD130" s="147">
        <v>46323</v>
      </c>
      <c r="AE130" s="147">
        <v>46325</v>
      </c>
      <c r="AF130" s="147">
        <v>46380</v>
      </c>
      <c r="AG130" s="147">
        <v>46385</v>
      </c>
      <c r="AH130" s="147">
        <v>46415</v>
      </c>
      <c r="AI130" s="147">
        <v>46418</v>
      </c>
      <c r="AJ130" s="147">
        <v>46445</v>
      </c>
      <c r="AK130" s="149">
        <v>12.8571428571429</v>
      </c>
      <c r="AL130" s="150">
        <v>90</v>
      </c>
      <c r="AM130" s="151">
        <v>46415</v>
      </c>
      <c r="AN130" s="151">
        <v>46426</v>
      </c>
      <c r="AO130" s="225">
        <f>AN130-AM131</f>
        <v>53</v>
      </c>
      <c r="AP130" s="235"/>
      <c r="AQ130" s="447" t="s">
        <v>280</v>
      </c>
      <c r="AR130" s="154">
        <f>IF(ISERROR(LOOKUP(AR$10,$O130:$AQ130,#REF!)),0,(LOOKUP(AR$10,$O130:$AQ130,#REF!)))</f>
        <v>0</v>
      </c>
      <c r="AS130" s="155">
        <f>IF(ISERROR(LOOKUP(AS$10,$O130:$AQ130,#REF!)),0,(LOOKUP(AS$10,$O130:$AQ130,#REF!)))</f>
        <v>0</v>
      </c>
      <c r="AT130" s="155">
        <f>IF(ISERROR(LOOKUP(AT$10,$O130:$AQ130,#REF!)),0,(LOOKUP(AT$10,$O130:$AQ130,#REF!)))</f>
        <v>0</v>
      </c>
      <c r="AU130" s="155">
        <f>IF(ISERROR(LOOKUP(AU$10,$O130:$AQ130,#REF!)),0,(LOOKUP(AU$10,$O130:$AQ130,#REF!)))</f>
        <v>0</v>
      </c>
      <c r="AV130" s="155">
        <f>IF(ISERROR(LOOKUP(AV$10,$O130:$AQ130,#REF!)),0,(LOOKUP(AV$10,$O130:$AQ130,#REF!)))</f>
        <v>0</v>
      </c>
      <c r="AW130" s="155">
        <f>IF(ISERROR(LOOKUP(AW$10,$O130:$AQ130,#REF!)),0,(LOOKUP(AW$10,$O130:$AQ130,#REF!)))</f>
        <v>0</v>
      </c>
      <c r="AX130" s="155">
        <f>IF(ISERROR(LOOKUP(AX$10,$O130:$AQ130,#REF!)),0,(LOOKUP(AX$10,$O130:$AQ130,#REF!)))</f>
        <v>0</v>
      </c>
      <c r="AY130" s="155">
        <f>IF(ISERROR(LOOKUP(AY$10,$O130:$AQ130,#REF!)),0,(LOOKUP(AY$10,$O130:$AQ130,#REF!)))</f>
        <v>0</v>
      </c>
      <c r="AZ130" s="155">
        <f>IF(ISERROR(LOOKUP(AZ$10,$O130:$AQ130,#REF!)),0,(LOOKUP(AZ$10,$O130:$AQ130,#REF!)))</f>
        <v>0</v>
      </c>
      <c r="BA130" s="155">
        <f>IF(ISERROR(LOOKUP(BA$10,$O130:$AQ130,#REF!)),0,(LOOKUP(BA$10,$O130:$AQ130,#REF!)))</f>
        <v>0</v>
      </c>
      <c r="BB130" s="155">
        <f ca="1">IF(ISERROR(LOOKUP(BB$10,$O130:$AQ130,#REF!)),0,(LOOKUP(BB$10,$O130:$AQ130,#REF!)))</f>
        <v>0</v>
      </c>
      <c r="BC130" s="156"/>
      <c r="BD130" s="176"/>
      <c r="BE130" s="176"/>
    </row>
    <row r="131" spans="1:57" s="78" customFormat="1" ht="15.4" thickTop="1" thickBot="1" x14ac:dyDescent="0.45">
      <c r="A131" s="459"/>
      <c r="B131" s="158" t="s">
        <v>256</v>
      </c>
      <c r="C131" s="250" t="s">
        <v>278</v>
      </c>
      <c r="D131" s="204" t="s">
        <v>279</v>
      </c>
      <c r="E131" s="205"/>
      <c r="F131" s="205"/>
      <c r="G131" s="204" t="s">
        <v>206</v>
      </c>
      <c r="H131" s="228" t="s">
        <v>158</v>
      </c>
      <c r="I131" s="159" t="s">
        <v>138</v>
      </c>
      <c r="J131" s="197" t="s">
        <v>95</v>
      </c>
      <c r="K131" s="197" t="s">
        <v>6</v>
      </c>
      <c r="L131" s="204"/>
      <c r="M131" s="165" t="s">
        <v>150</v>
      </c>
      <c r="N131" s="166" t="s">
        <v>84</v>
      </c>
      <c r="O131" s="167"/>
      <c r="P131" s="168"/>
      <c r="Q131" s="168"/>
      <c r="R131" s="168"/>
      <c r="S131" s="168"/>
      <c r="T131" s="168">
        <v>46238</v>
      </c>
      <c r="U131" s="168">
        <f>WORKDAY(T131,U8,IF(U12="China",'China Holidays'!$A$2:$A$84,'Thai Holidays'!$A$2:$A$65))</f>
        <v>46258</v>
      </c>
      <c r="V131" s="168">
        <f>WORKDAY(U131,V8,IF(V12="China",'China Holidays'!$A$2:$A$84,'Thai Holidays'!$A$2:$A$65))</f>
        <v>46272</v>
      </c>
      <c r="W131" s="168"/>
      <c r="X131" s="168">
        <f>WORKDAY(V131,X8,IF(X12="China",'China Holidays'!$A$2:$A$84,'Thai Holidays'!$A$2:$A$65))</f>
        <v>46283</v>
      </c>
      <c r="Y131" s="168">
        <f>WORKDAY(X131,Y8,IF(Y12="China",'China Holidays'!$A$2:$A$84,'Thai Holidays'!$A$2:$A$65))</f>
        <v>46287</v>
      </c>
      <c r="Z131" s="168">
        <f>WORKDAY(Y131,Z8,IF(Z12="China",'China Holidays'!$A$2:$A$84,'Thai Holidays'!$A$2:$A$65))</f>
        <v>46295</v>
      </c>
      <c r="AA131" s="168">
        <f>WORKDAY(Z131,AA8,IF(AA12="China",'China Holidays'!$A$2:$A$84,'Thai Holidays'!$A$2:$A$65))</f>
        <v>46323</v>
      </c>
      <c r="AB131" s="168">
        <f>WORKDAY(AA131,AB8,IF(AB12="China",'China Holidays'!$A$2:$A$84,'Thai Holidays'!$A$2:$A$65))</f>
        <v>46337</v>
      </c>
      <c r="AC131" s="168">
        <f>AB131+30</f>
        <v>46367</v>
      </c>
      <c r="AD131" s="168">
        <f>AC131</f>
        <v>46367</v>
      </c>
      <c r="AE131" s="168">
        <f>AD131+2</f>
        <v>46369</v>
      </c>
      <c r="AF131" s="168">
        <f>AG131-5</f>
        <v>46338</v>
      </c>
      <c r="AG131" s="168">
        <f>AH131-30</f>
        <v>46343</v>
      </c>
      <c r="AH131" s="168">
        <f>AM131</f>
        <v>46373</v>
      </c>
      <c r="AI131" s="168">
        <f>AM130+3</f>
        <v>46418</v>
      </c>
      <c r="AJ131" s="168">
        <f>AM130+30</f>
        <v>46445</v>
      </c>
      <c r="AK131" s="169"/>
      <c r="AL131" s="230"/>
      <c r="AM131" s="170">
        <f>X131+AL130</f>
        <v>46373</v>
      </c>
      <c r="AN131" s="170"/>
      <c r="AO131" s="171"/>
      <c r="AP131" s="172"/>
      <c r="AQ131" s="448"/>
      <c r="AR131" s="154">
        <f>IF(ISERROR(LOOKUP(AR$10,$O131:$AQ131,#REF!)),0,(LOOKUP(AR$10,$O131:$AQ131,#REF!)))</f>
        <v>0</v>
      </c>
      <c r="AS131" s="155">
        <f>IF(ISERROR(LOOKUP(AS$10,$O131:$AQ131,#REF!)),0,(LOOKUP(AS$10,$O131:$AQ131,#REF!)))</f>
        <v>0</v>
      </c>
      <c r="AT131" s="155">
        <f>IF(ISERROR(LOOKUP(AT$10,$O131:$AQ131,#REF!)),0,(LOOKUP(AT$10,$O131:$AQ131,#REF!)))</f>
        <v>0</v>
      </c>
      <c r="AU131" s="155">
        <f>IF(ISERROR(LOOKUP(AU$10,$O131:$AQ131,#REF!)),0,(LOOKUP(AU$10,$O131:$AQ131,#REF!)))</f>
        <v>0</v>
      </c>
      <c r="AV131" s="155">
        <f>IF(ISERROR(LOOKUP(AV$10,$O131:$AQ131,#REF!)),0,(LOOKUP(AV$10,$O131:$AQ131,#REF!)))</f>
        <v>0</v>
      </c>
      <c r="AW131" s="155">
        <f>IF(ISERROR(LOOKUP(AW$10,$O131:$AQ131,#REF!)),0,(LOOKUP(AW$10,$O131:$AQ131,#REF!)))</f>
        <v>0</v>
      </c>
      <c r="AX131" s="155">
        <f>IF(ISERROR(LOOKUP(AX$10,$O131:$AQ131,#REF!)),0,(LOOKUP(AX$10,$O131:$AQ131,#REF!)))</f>
        <v>0</v>
      </c>
      <c r="AY131" s="155">
        <f>IF(ISERROR(LOOKUP(AY$10,$O131:$AQ131,#REF!)),0,(LOOKUP(AY$10,$O131:$AQ131,#REF!)))</f>
        <v>0</v>
      </c>
      <c r="AZ131" s="155">
        <f>IF(ISERROR(LOOKUP(AZ$10,$O131:$AQ131,#REF!)),0,(LOOKUP(AZ$10,$O131:$AQ131,#REF!)))</f>
        <v>0</v>
      </c>
      <c r="BA131" s="155">
        <f>IF(ISERROR(LOOKUP(BA$10,$O131:$AQ131,#REF!)),0,(LOOKUP(BA$10,$O131:$AQ131,#REF!)))</f>
        <v>0</v>
      </c>
      <c r="BB131" s="155">
        <f ca="1">IF(ISERROR(LOOKUP(BB$10,$O131:$AQ131,#REF!)),0,(LOOKUP(BB$10,$O131:$AQ131,#REF!)))</f>
        <v>0</v>
      </c>
      <c r="BC131" s="156"/>
      <c r="BD131" s="176"/>
      <c r="BE131" s="176"/>
    </row>
    <row r="132" spans="1:57" s="78" customFormat="1" ht="15.4" thickTop="1" thickBot="1" x14ac:dyDescent="0.45">
      <c r="A132" s="460"/>
      <c r="B132" s="177" t="s">
        <v>256</v>
      </c>
      <c r="C132" s="251" t="s">
        <v>278</v>
      </c>
      <c r="D132" s="207" t="s">
        <v>279</v>
      </c>
      <c r="E132" s="208"/>
      <c r="F132" s="208"/>
      <c r="G132" s="209" t="s">
        <v>206</v>
      </c>
      <c r="H132" s="182" t="s">
        <v>158</v>
      </c>
      <c r="I132" s="178" t="s">
        <v>138</v>
      </c>
      <c r="J132" s="178" t="s">
        <v>95</v>
      </c>
      <c r="K132" s="178" t="s">
        <v>6</v>
      </c>
      <c r="L132" s="209"/>
      <c r="M132" s="184" t="s">
        <v>150</v>
      </c>
      <c r="N132" s="185" t="s">
        <v>87</v>
      </c>
      <c r="O132" s="186">
        <v>46185</v>
      </c>
      <c r="P132" s="186">
        <v>46148</v>
      </c>
      <c r="Q132" s="186">
        <v>46165</v>
      </c>
      <c r="R132" s="186">
        <v>46222</v>
      </c>
      <c r="S132" s="186">
        <v>46222</v>
      </c>
      <c r="T132" s="186"/>
      <c r="U132" s="186"/>
      <c r="V132" s="186"/>
      <c r="W132" s="186"/>
      <c r="X132" s="186"/>
      <c r="Y132" s="186"/>
      <c r="Z132" s="186"/>
      <c r="AA132" s="186"/>
      <c r="AB132" s="186"/>
      <c r="AC132" s="186"/>
      <c r="AD132" s="186"/>
      <c r="AE132" s="186"/>
      <c r="AF132" s="186"/>
      <c r="AG132" s="186"/>
      <c r="AH132" s="186"/>
      <c r="AI132" s="186"/>
      <c r="AJ132" s="186"/>
      <c r="AK132" s="188"/>
      <c r="AL132" s="211"/>
      <c r="AM132" s="187"/>
      <c r="AN132" s="187"/>
      <c r="AO132" s="189"/>
      <c r="AP132" s="190"/>
      <c r="AQ132" s="449"/>
      <c r="AR132" s="191">
        <f>IF(ISERROR(LOOKUP(AR$10,$O132:$AQ132,#REF!)),0,(LOOKUP(AR$10,$O132:$AQ132,#REF!)))</f>
        <v>0</v>
      </c>
      <c r="AS132" s="192">
        <f>IF(ISERROR(LOOKUP(AS$10,$O132:$AQ132,#REF!)),0,(LOOKUP(AS$10,$O132:$AQ132,#REF!)))</f>
        <v>0</v>
      </c>
      <c r="AT132" s="192">
        <f>IF(ISERROR(LOOKUP(AT$10,$O132:$AQ132,#REF!)),0,(LOOKUP(AT$10,$O132:$AQ132,#REF!)))</f>
        <v>0</v>
      </c>
      <c r="AU132" s="192">
        <f>IF(ISERROR(LOOKUP(AU$10,$O132:$AQ132,#REF!)),0,(LOOKUP(AU$10,$O132:$AQ132,#REF!)))</f>
        <v>0</v>
      </c>
      <c r="AV132" s="192">
        <f>IF(ISERROR(LOOKUP(AV$10,$O132:$AQ132,#REF!)),0,(LOOKUP(AV$10,$O132:$AQ132,#REF!)))</f>
        <v>0</v>
      </c>
      <c r="AW132" s="192">
        <f>IF(ISERROR(LOOKUP(AW$10,$O132:$AQ132,#REF!)),0,(LOOKUP(AW$10,$O132:$AQ132,#REF!)))</f>
        <v>0</v>
      </c>
      <c r="AX132" s="192">
        <f>IF(ISERROR(LOOKUP(AX$10,$O132:$AQ132,#REF!)),0,(LOOKUP(AX$10,$O132:$AQ132,#REF!)))</f>
        <v>0</v>
      </c>
      <c r="AY132" s="192">
        <f>IF(ISERROR(LOOKUP(AY$10,$O132:$AQ132,#REF!)),0,(LOOKUP(AY$10,$O132:$AQ132,#REF!)))</f>
        <v>0</v>
      </c>
      <c r="AZ132" s="192">
        <f>IF(ISERROR(LOOKUP(AZ$10,$O132:$AQ132,#REF!)),0,(LOOKUP(AZ$10,$O132:$AQ132,#REF!)))</f>
        <v>0</v>
      </c>
      <c r="BA132" s="192">
        <f>IF(ISERROR(LOOKUP(BA$10,$O132:$AQ132,#REF!)),0,(LOOKUP(BA$10,$O132:$AQ132,#REF!)))</f>
        <v>0</v>
      </c>
      <c r="BB132" s="192">
        <f ca="1">IF(ISERROR(LOOKUP(BB$10,$O132:$AQ132,#REF!)),0,(LOOKUP(BB$10,$O132:$AQ132,#REF!)))</f>
        <v>0</v>
      </c>
      <c r="BC132" s="156"/>
      <c r="BD132" s="176"/>
      <c r="BE132" s="176"/>
    </row>
    <row r="133" spans="1:57" s="78" customFormat="1" ht="21" customHeight="1" thickTop="1" thickBot="1" x14ac:dyDescent="0.45">
      <c r="A133" s="458"/>
      <c r="B133" s="252" t="s">
        <v>281</v>
      </c>
      <c r="C133" s="278" t="s">
        <v>282</v>
      </c>
      <c r="D133" s="254" t="s">
        <v>283</v>
      </c>
      <c r="E133" s="297" t="s">
        <v>284</v>
      </c>
      <c r="F133" s="297" t="s">
        <v>70</v>
      </c>
      <c r="G133" s="432" t="s">
        <v>285</v>
      </c>
      <c r="H133" s="291" t="s">
        <v>158</v>
      </c>
      <c r="I133" s="278" t="s">
        <v>138</v>
      </c>
      <c r="J133" s="278" t="s">
        <v>74</v>
      </c>
      <c r="K133" s="140" t="s">
        <v>2</v>
      </c>
      <c r="L133" s="298" t="s">
        <v>286</v>
      </c>
      <c r="M133" s="196" t="s">
        <v>76</v>
      </c>
      <c r="N133" s="299" t="s">
        <v>77</v>
      </c>
      <c r="O133" s="280">
        <v>46164</v>
      </c>
      <c r="P133" s="280">
        <v>46167</v>
      </c>
      <c r="Q133" s="280">
        <v>46175</v>
      </c>
      <c r="R133" s="280">
        <v>46176</v>
      </c>
      <c r="S133" s="280">
        <v>46183</v>
      </c>
      <c r="T133" s="280">
        <v>46198</v>
      </c>
      <c r="U133" s="280">
        <v>46226</v>
      </c>
      <c r="V133" s="280">
        <v>46233</v>
      </c>
      <c r="W133" s="280"/>
      <c r="X133" s="280">
        <v>46247</v>
      </c>
      <c r="Y133" s="280">
        <v>46251</v>
      </c>
      <c r="Z133" s="280">
        <v>46258</v>
      </c>
      <c r="AA133" s="280">
        <v>46286</v>
      </c>
      <c r="AB133" s="280">
        <v>46300</v>
      </c>
      <c r="AC133" s="280">
        <v>46335</v>
      </c>
      <c r="AD133" s="280">
        <v>46338</v>
      </c>
      <c r="AE133" s="280">
        <v>46341</v>
      </c>
      <c r="AF133" s="280">
        <v>46441</v>
      </c>
      <c r="AG133" s="280">
        <v>46456</v>
      </c>
      <c r="AH133" s="280">
        <v>46471</v>
      </c>
      <c r="AI133" s="280">
        <v>46474</v>
      </c>
      <c r="AJ133" s="280">
        <v>46501</v>
      </c>
      <c r="AK133" s="300">
        <v>32</v>
      </c>
      <c r="AL133" s="301">
        <v>224</v>
      </c>
      <c r="AM133" s="302">
        <v>46471</v>
      </c>
      <c r="AN133" s="302">
        <v>46500</v>
      </c>
      <c r="AO133" s="225"/>
      <c r="AP133" s="235" t="s">
        <v>97</v>
      </c>
      <c r="AQ133" s="447"/>
      <c r="AR133" s="154">
        <f>IF(ISERROR(LOOKUP(AR$10,$O133:$AQ133,#REF!)),0,(LOOKUP(AR$10,$O133:$AQ133,#REF!)))</f>
        <v>0</v>
      </c>
      <c r="AS133" s="155">
        <f>IF(ISERROR(LOOKUP(AS$10,$O133:$AQ133,#REF!)),0,(LOOKUP(AS$10,$O133:$AQ133,#REF!)))</f>
        <v>0</v>
      </c>
      <c r="AT133" s="155">
        <f>IF(ISERROR(LOOKUP(AT$10,$O133:$AQ133,#REF!)),0,(LOOKUP(AT$10,$O133:$AQ133,#REF!)))</f>
        <v>0</v>
      </c>
      <c r="AU133" s="155">
        <f>IF(ISERROR(LOOKUP(AU$10,$O133:$AQ133,#REF!)),0,(LOOKUP(AU$10,$O133:$AQ133,#REF!)))</f>
        <v>0</v>
      </c>
      <c r="AV133" s="155">
        <f>IF(ISERROR(LOOKUP(AV$10,$O133:$AQ133,#REF!)),0,(LOOKUP(AV$10,$O133:$AQ133,#REF!)))</f>
        <v>0</v>
      </c>
      <c r="AW133" s="155">
        <f>IF(ISERROR(LOOKUP(AW$10,$O133:$AQ133,#REF!)),0,(LOOKUP(AW$10,$O133:$AQ133,#REF!)))</f>
        <v>0</v>
      </c>
      <c r="AX133" s="155">
        <f>IF(ISERROR(LOOKUP(AX$10,$O133:$AQ133,#REF!)),0,(LOOKUP(AX$10,$O133:$AQ133,#REF!)))</f>
        <v>0</v>
      </c>
      <c r="AY133" s="155">
        <f>IF(ISERROR(LOOKUP(AY$10,$O133:$AQ133,#REF!)),0,(LOOKUP(AY$10,$O133:$AQ133,#REF!)))</f>
        <v>0</v>
      </c>
      <c r="AZ133" s="155">
        <f>IF(ISERROR(LOOKUP(AZ$10,$O133:$AQ133,#REF!)),0,(LOOKUP(AZ$10,$O133:$AQ133,#REF!)))</f>
        <v>0</v>
      </c>
      <c r="BA133" s="155">
        <f>IF(ISERROR(LOOKUP(BA$10,$O133:$AQ133,#REF!)),0,(LOOKUP(BA$10,$O133:$AQ133,#REF!)))</f>
        <v>0</v>
      </c>
      <c r="BB133" s="155">
        <f ca="1">IF(ISERROR(LOOKUP(BB$10,$O133:$AQ133,#REF!)),0,(LOOKUP(BB$10,$O133:$AQ133,#REF!)))</f>
        <v>0</v>
      </c>
      <c r="BC133" s="156"/>
      <c r="BD133" s="176"/>
      <c r="BE133" s="176"/>
    </row>
    <row r="134" spans="1:57" s="78" customFormat="1" ht="15.75" thickTop="1" thickBot="1" x14ac:dyDescent="0.45">
      <c r="A134" s="459"/>
      <c r="B134" s="303" t="s">
        <v>281</v>
      </c>
      <c r="C134" s="282" t="s">
        <v>282</v>
      </c>
      <c r="D134" s="304" t="s">
        <v>283</v>
      </c>
      <c r="E134" s="305" t="s">
        <v>287</v>
      </c>
      <c r="F134" s="306">
        <v>2</v>
      </c>
      <c r="G134" s="433" t="s">
        <v>285</v>
      </c>
      <c r="H134" s="307" t="s">
        <v>158</v>
      </c>
      <c r="I134" s="294" t="s">
        <v>138</v>
      </c>
      <c r="J134" s="294" t="s">
        <v>74</v>
      </c>
      <c r="K134" s="159" t="s">
        <v>2</v>
      </c>
      <c r="L134" s="158"/>
      <c r="M134" s="198" t="s">
        <v>76</v>
      </c>
      <c r="N134" s="308" t="s">
        <v>84</v>
      </c>
      <c r="O134" s="283">
        <v>46164</v>
      </c>
      <c r="P134" s="309">
        <v>46167</v>
      </c>
      <c r="Q134" s="310">
        <v>46175</v>
      </c>
      <c r="R134" s="310">
        <v>46176</v>
      </c>
      <c r="S134" s="310">
        <v>46183</v>
      </c>
      <c r="T134" s="310">
        <v>46198</v>
      </c>
      <c r="U134" s="310">
        <v>46226</v>
      </c>
      <c r="V134" s="310">
        <v>46233</v>
      </c>
      <c r="W134" s="310"/>
      <c r="X134" s="310">
        <f>X133</f>
        <v>46247</v>
      </c>
      <c r="Y134" s="310">
        <f>WORKDAY(X134,Y6,IF(Y12="China",'China Holidays'!$A$2:$A$84,'Thai Holidays'!$A$2:$A$65))</f>
        <v>46251</v>
      </c>
      <c r="Z134" s="310">
        <f>WORKDAY(Y134,Z6,IF(Z12="China",'China Holidays'!$A$2:$A$84,'Thai Holidays'!$A$2:$A$65))</f>
        <v>46258</v>
      </c>
      <c r="AA134" s="310">
        <f>WORKDAY(Z134,AA6,IF(AA12="China",'China Holidays'!$A$2:$A$84,'Thai Holidays'!$A$2:$A$65))</f>
        <v>46286</v>
      </c>
      <c r="AB134" s="310">
        <f>WORKDAY(AA134,AB6,IF(AB12="China",'China Holidays'!$A$2:$A$84,'Thai Holidays'!$A$2:$A$65))</f>
        <v>46300</v>
      </c>
      <c r="AC134" s="310">
        <f>AB134+35</f>
        <v>46335</v>
      </c>
      <c r="AD134" s="310">
        <f>AC134+3</f>
        <v>46338</v>
      </c>
      <c r="AE134" s="310">
        <f>AD134+3</f>
        <v>46341</v>
      </c>
      <c r="AF134" s="310">
        <f>AG134-15</f>
        <v>46446</v>
      </c>
      <c r="AG134" s="310">
        <f>AH134-15</f>
        <v>46461</v>
      </c>
      <c r="AH134" s="310">
        <f>AM134</f>
        <v>46476</v>
      </c>
      <c r="AI134" s="310">
        <f>AM133+3</f>
        <v>46474</v>
      </c>
      <c r="AJ134" s="310">
        <f>AM133+30</f>
        <v>46501</v>
      </c>
      <c r="AK134" s="311"/>
      <c r="AL134" s="311"/>
      <c r="AM134" s="309">
        <v>46476</v>
      </c>
      <c r="AN134" s="309"/>
      <c r="AO134" s="171"/>
      <c r="AP134" s="172"/>
      <c r="AQ134" s="448"/>
      <c r="AR134" s="154">
        <f>IF(ISERROR(LOOKUP(AR$10,$O134:$AQ134,#REF!)),0,(LOOKUP(AR$10,$O134:$AQ134,#REF!)))</f>
        <v>0</v>
      </c>
      <c r="AS134" s="155">
        <f>IF(ISERROR(LOOKUP(AS$10,$O134:$AQ134,#REF!)),0,(LOOKUP(AS$10,$O134:$AQ134,#REF!)))</f>
        <v>0</v>
      </c>
      <c r="AT134" s="155">
        <f>IF(ISERROR(LOOKUP(AT$10,$O134:$AQ134,#REF!)),0,(LOOKUP(AT$10,$O134:$AQ134,#REF!)))</f>
        <v>0</v>
      </c>
      <c r="AU134" s="155">
        <f>IF(ISERROR(LOOKUP(AU$10,$O134:$AQ134,#REF!)),0,(LOOKUP(AU$10,$O134:$AQ134,#REF!)))</f>
        <v>0</v>
      </c>
      <c r="AV134" s="155">
        <f>IF(ISERROR(LOOKUP(AV$10,$O134:$AQ134,#REF!)),0,(LOOKUP(AV$10,$O134:$AQ134,#REF!)))</f>
        <v>0</v>
      </c>
      <c r="AW134" s="155">
        <f>IF(ISERROR(LOOKUP(AW$10,$O134:$AQ134,#REF!)),0,(LOOKUP(AW$10,$O134:$AQ134,#REF!)))</f>
        <v>0</v>
      </c>
      <c r="AX134" s="155">
        <f>IF(ISERROR(LOOKUP(AX$10,$O134:$AQ134,#REF!)),0,(LOOKUP(AX$10,$O134:$AQ134,#REF!)))</f>
        <v>0</v>
      </c>
      <c r="AY134" s="155">
        <f>IF(ISERROR(LOOKUP(AY$10,$O134:$AQ134,#REF!)),0,(LOOKUP(AY$10,$O134:$AQ134,#REF!)))</f>
        <v>0</v>
      </c>
      <c r="AZ134" s="155">
        <f>IF(ISERROR(LOOKUP(AZ$10,$O134:$AQ134,#REF!)),0,(LOOKUP(AZ$10,$O134:$AQ134,#REF!)))</f>
        <v>0</v>
      </c>
      <c r="BA134" s="155">
        <f>IF(ISERROR(LOOKUP(BA$10,$O134:$AQ134,#REF!)),0,(LOOKUP(BA$10,$O134:$AQ134,#REF!)))</f>
        <v>0</v>
      </c>
      <c r="BB134" s="155">
        <f ca="1">IF(ISERROR(LOOKUP(BB$10,$O134:$AQ134,#REF!)),0,(LOOKUP(BB$10,$O134:$AQ134,#REF!)))</f>
        <v>0</v>
      </c>
      <c r="BC134" s="156"/>
      <c r="BD134" s="176"/>
      <c r="BE134" s="176"/>
    </row>
    <row r="135" spans="1:57" s="78" customFormat="1" ht="15.75" thickTop="1" thickBot="1" x14ac:dyDescent="0.45">
      <c r="A135" s="460"/>
      <c r="B135" s="258" t="s">
        <v>281</v>
      </c>
      <c r="C135" s="285" t="s">
        <v>282</v>
      </c>
      <c r="D135" s="312" t="s">
        <v>283</v>
      </c>
      <c r="E135" s="313" t="s">
        <v>288</v>
      </c>
      <c r="F135" s="313">
        <v>2</v>
      </c>
      <c r="G135" s="434" t="s">
        <v>285</v>
      </c>
      <c r="H135" s="296" t="s">
        <v>158</v>
      </c>
      <c r="I135" s="285" t="s">
        <v>138</v>
      </c>
      <c r="J135" s="285" t="s">
        <v>74</v>
      </c>
      <c r="K135" s="178" t="s">
        <v>2</v>
      </c>
      <c r="L135" s="177"/>
      <c r="M135" s="200" t="s">
        <v>76</v>
      </c>
      <c r="N135" s="185" t="s">
        <v>87</v>
      </c>
      <c r="O135" s="287"/>
      <c r="P135" s="287"/>
      <c r="Q135" s="287"/>
      <c r="R135" s="186"/>
      <c r="S135" s="186"/>
      <c r="T135" s="186"/>
      <c r="U135" s="186"/>
      <c r="V135" s="186"/>
      <c r="W135" s="186"/>
      <c r="X135" s="186"/>
      <c r="Y135" s="186"/>
      <c r="Z135" s="186"/>
      <c r="AA135" s="186"/>
      <c r="AB135" s="186"/>
      <c r="AC135" s="186"/>
      <c r="AD135" s="186"/>
      <c r="AE135" s="186"/>
      <c r="AF135" s="186"/>
      <c r="AG135" s="186"/>
      <c r="AH135" s="186"/>
      <c r="AI135" s="186"/>
      <c r="AJ135" s="186"/>
      <c r="AK135" s="188"/>
      <c r="AL135" s="188"/>
      <c r="AM135" s="187"/>
      <c r="AN135" s="187"/>
      <c r="AO135" s="189"/>
      <c r="AP135" s="190"/>
      <c r="AQ135" s="449"/>
      <c r="AR135" s="191">
        <f>IF(ISERROR(LOOKUP(AR$10,$O135:$AQ135,#REF!)),0,(LOOKUP(AR$10,$O135:$AQ135,#REF!)))</f>
        <v>0</v>
      </c>
      <c r="AS135" s="192">
        <f>IF(ISERROR(LOOKUP(AS$10,$O135:$AQ135,#REF!)),0,(LOOKUP(AS$10,$O135:$AQ135,#REF!)))</f>
        <v>0</v>
      </c>
      <c r="AT135" s="192">
        <f>IF(ISERROR(LOOKUP(AT$10,$O135:$AQ135,#REF!)),0,(LOOKUP(AT$10,$O135:$AQ135,#REF!)))</f>
        <v>0</v>
      </c>
      <c r="AU135" s="192">
        <f>IF(ISERROR(LOOKUP(AU$10,$O135:$AQ135,#REF!)),0,(LOOKUP(AU$10,$O135:$AQ135,#REF!)))</f>
        <v>0</v>
      </c>
      <c r="AV135" s="192">
        <f>IF(ISERROR(LOOKUP(AV$10,$O135:$AQ135,#REF!)),0,(LOOKUP(AV$10,$O135:$AQ135,#REF!)))</f>
        <v>0</v>
      </c>
      <c r="AW135" s="192">
        <f>IF(ISERROR(LOOKUP(AW$10,$O135:$AQ135,#REF!)),0,(LOOKUP(AW$10,$O135:$AQ135,#REF!)))</f>
        <v>0</v>
      </c>
      <c r="AX135" s="192">
        <f>IF(ISERROR(LOOKUP(AX$10,$O135:$AQ135,#REF!)),0,(LOOKUP(AX$10,$O135:$AQ135,#REF!)))</f>
        <v>0</v>
      </c>
      <c r="AY135" s="192">
        <f>IF(ISERROR(LOOKUP(AY$10,$O135:$AQ135,#REF!)),0,(LOOKUP(AY$10,$O135:$AQ135,#REF!)))</f>
        <v>0</v>
      </c>
      <c r="AZ135" s="192">
        <f>IF(ISERROR(LOOKUP(AZ$10,$O135:$AQ135,#REF!)),0,(LOOKUP(AZ$10,$O135:$AQ135,#REF!)))</f>
        <v>0</v>
      </c>
      <c r="BA135" s="192">
        <f>IF(ISERROR(LOOKUP(BA$10,$O135:$AQ135,#REF!)),0,(LOOKUP(BA$10,$O135:$AQ135,#REF!)))</f>
        <v>0</v>
      </c>
      <c r="BB135" s="192">
        <f ca="1">IF(ISERROR(LOOKUP(BB$10,$O135:$AQ135,#REF!)),0,(LOOKUP(BB$10,$O135:$AQ135,#REF!)))</f>
        <v>0</v>
      </c>
      <c r="BC135" s="156"/>
      <c r="BD135" s="176"/>
      <c r="BE135" s="176"/>
    </row>
    <row r="136" spans="1:57" s="78" customFormat="1" ht="24" thickTop="1" thickBot="1" x14ac:dyDescent="0.45">
      <c r="A136" s="458">
        <f>A127+1</f>
        <v>35</v>
      </c>
      <c r="B136" s="139" t="s">
        <v>202</v>
      </c>
      <c r="C136" s="140" t="s">
        <v>289</v>
      </c>
      <c r="D136" s="233" t="s">
        <v>290</v>
      </c>
      <c r="E136" s="142" t="s">
        <v>284</v>
      </c>
      <c r="F136" s="142" t="s">
        <v>70</v>
      </c>
      <c r="G136" s="424" t="s">
        <v>285</v>
      </c>
      <c r="H136" s="143" t="s">
        <v>158</v>
      </c>
      <c r="I136" s="140" t="s">
        <v>138</v>
      </c>
      <c r="J136" s="140" t="s">
        <v>74</v>
      </c>
      <c r="K136" s="140" t="s">
        <v>2</v>
      </c>
      <c r="L136" s="194"/>
      <c r="M136" s="145" t="s">
        <v>150</v>
      </c>
      <c r="N136" s="146" t="s">
        <v>77</v>
      </c>
      <c r="O136" s="147">
        <v>46164</v>
      </c>
      <c r="P136" s="147">
        <v>46167</v>
      </c>
      <c r="Q136" s="147">
        <v>46175</v>
      </c>
      <c r="R136" s="147">
        <v>46176</v>
      </c>
      <c r="S136" s="147">
        <v>46183</v>
      </c>
      <c r="T136" s="147">
        <v>46198</v>
      </c>
      <c r="U136" s="147">
        <v>46226</v>
      </c>
      <c r="V136" s="148">
        <v>46233</v>
      </c>
      <c r="W136" s="147"/>
      <c r="X136" s="147">
        <v>46247</v>
      </c>
      <c r="Y136" s="147">
        <v>46251</v>
      </c>
      <c r="Z136" s="147">
        <v>46258</v>
      </c>
      <c r="AA136" s="147">
        <v>46286</v>
      </c>
      <c r="AB136" s="147">
        <v>46300</v>
      </c>
      <c r="AC136" s="147">
        <v>46335</v>
      </c>
      <c r="AD136" s="147">
        <v>46338</v>
      </c>
      <c r="AE136" s="147">
        <v>46341</v>
      </c>
      <c r="AF136" s="147">
        <v>46441</v>
      </c>
      <c r="AG136" s="147">
        <v>46456</v>
      </c>
      <c r="AH136" s="147">
        <v>46471</v>
      </c>
      <c r="AI136" s="147">
        <v>46474</v>
      </c>
      <c r="AJ136" s="147">
        <v>46501</v>
      </c>
      <c r="AK136" s="149">
        <v>32</v>
      </c>
      <c r="AL136" s="150">
        <v>224</v>
      </c>
      <c r="AM136" s="151">
        <v>46471</v>
      </c>
      <c r="AN136" s="151">
        <v>46500</v>
      </c>
      <c r="AO136" s="225">
        <f>AN136-AM137</f>
        <v>29</v>
      </c>
      <c r="AP136" s="235" t="s">
        <v>291</v>
      </c>
      <c r="AQ136" s="447" t="s">
        <v>292</v>
      </c>
      <c r="AR136" s="154">
        <f>IF(ISERROR(LOOKUP(AR$10,$O136:$AQ136,#REF!)),0,(LOOKUP(AR$10,$O136:$AQ136,#REF!)))</f>
        <v>0</v>
      </c>
      <c r="AS136" s="155">
        <f>IF(ISERROR(LOOKUP(AS$10,$O136:$AQ136,#REF!)),0,(LOOKUP(AS$10,$O136:$AQ136,#REF!)))</f>
        <v>0</v>
      </c>
      <c r="AT136" s="155">
        <f>IF(ISERROR(LOOKUP(AT$10,$O136:$AQ136,#REF!)),0,(LOOKUP(AT$10,$O136:$AQ136,#REF!)))</f>
        <v>0</v>
      </c>
      <c r="AU136" s="155">
        <f>IF(ISERROR(LOOKUP(AU$10,$O136:$AQ136,#REF!)),0,(LOOKUP(AU$10,$O136:$AQ136,#REF!)))</f>
        <v>0</v>
      </c>
      <c r="AV136" s="155">
        <f>IF(ISERROR(LOOKUP(AV$10,$O136:$AQ136,#REF!)),0,(LOOKUP(AV$10,$O136:$AQ136,#REF!)))</f>
        <v>0</v>
      </c>
      <c r="AW136" s="155">
        <f>IF(ISERROR(LOOKUP(AW$10,$O136:$AQ136,#REF!)),0,(LOOKUP(AW$10,$O136:$AQ136,#REF!)))</f>
        <v>0</v>
      </c>
      <c r="AX136" s="155">
        <f>IF(ISERROR(LOOKUP(AX$10,$O136:$AQ136,#REF!)),0,(LOOKUP(AX$10,$O136:$AQ136,#REF!)))</f>
        <v>0</v>
      </c>
      <c r="AY136" s="155">
        <f>IF(ISERROR(LOOKUP(AY$10,$O136:$AQ136,#REF!)),0,(LOOKUP(AY$10,$O136:$AQ136,#REF!)))</f>
        <v>0</v>
      </c>
      <c r="AZ136" s="155">
        <f>IF(ISERROR(LOOKUP(AZ$10,$O136:$AQ136,#REF!)),0,(LOOKUP(AZ$10,$O136:$AQ136,#REF!)))</f>
        <v>0</v>
      </c>
      <c r="BA136" s="155">
        <f>IF(ISERROR(LOOKUP(BA$10,$O136:$AQ136,#REF!)),0,(LOOKUP(BA$10,$O136:$AQ136,#REF!)))</f>
        <v>0</v>
      </c>
      <c r="BB136" s="155">
        <f ca="1">IF(ISERROR(LOOKUP(BB$10,$O136:$AQ136,#REF!)),0,(LOOKUP(BB$10,$O136:$AQ136,#REF!)))</f>
        <v>0</v>
      </c>
      <c r="BC136" s="156"/>
      <c r="BD136" s="176"/>
      <c r="BE136" s="176"/>
    </row>
    <row r="137" spans="1:57" s="78" customFormat="1" ht="24" thickTop="1" thickBot="1" x14ac:dyDescent="0.45">
      <c r="A137" s="459"/>
      <c r="B137" s="226" t="s">
        <v>202</v>
      </c>
      <c r="C137" s="197" t="s">
        <v>289</v>
      </c>
      <c r="D137" s="275" t="s">
        <v>290</v>
      </c>
      <c r="E137" s="314" t="s">
        <v>287</v>
      </c>
      <c r="F137" s="161">
        <v>2</v>
      </c>
      <c r="G137" s="425" t="s">
        <v>285</v>
      </c>
      <c r="H137" s="163" t="s">
        <v>158</v>
      </c>
      <c r="I137" s="159" t="s">
        <v>138</v>
      </c>
      <c r="J137" s="159" t="s">
        <v>74</v>
      </c>
      <c r="K137" s="159" t="s">
        <v>2</v>
      </c>
      <c r="L137" s="160"/>
      <c r="M137" s="165" t="s">
        <v>150</v>
      </c>
      <c r="N137" s="166" t="s">
        <v>84</v>
      </c>
      <c r="O137" s="167"/>
      <c r="P137" s="219"/>
      <c r="Q137" s="168"/>
      <c r="R137" s="168"/>
      <c r="S137" s="168"/>
      <c r="T137" s="168"/>
      <c r="U137" s="168"/>
      <c r="V137" s="168">
        <f>WORKDAY(U138,V6,IF(V12="China",'China Holidays'!$A$2:$A$84,'Thai Holidays'!$A$2:$A$65))</f>
        <v>46245</v>
      </c>
      <c r="W137" s="168"/>
      <c r="X137" s="168">
        <f>X136</f>
        <v>46247</v>
      </c>
      <c r="Y137" s="168">
        <f>WORKDAY(X137,Y6,IF(Y12="China",'China Holidays'!$A$2:$A$84,'Thai Holidays'!$A$2:$A$65))</f>
        <v>46251</v>
      </c>
      <c r="Z137" s="168">
        <f>Z136</f>
        <v>46258</v>
      </c>
      <c r="AA137" s="168">
        <f>WORKDAY(Z137,AA6,IF(AA12="China",'China Holidays'!$A$2:$A$84,'Thai Holidays'!$A$2:$A$65))</f>
        <v>46286</v>
      </c>
      <c r="AB137" s="168">
        <f>WORKDAY(AA137,AB6,IF(AB12="China",'China Holidays'!$A$2:$A$84,'Thai Holidays'!$A$2:$A$65))</f>
        <v>46300</v>
      </c>
      <c r="AC137" s="168">
        <f>AB137+30</f>
        <v>46330</v>
      </c>
      <c r="AD137" s="168">
        <f>AC137+3</f>
        <v>46333</v>
      </c>
      <c r="AE137" s="168">
        <f>AD137+3</f>
        <v>46336</v>
      </c>
      <c r="AF137" s="168">
        <f>AG137-15</f>
        <v>46441</v>
      </c>
      <c r="AG137" s="168">
        <f>AH137-15</f>
        <v>46456</v>
      </c>
      <c r="AH137" s="168">
        <f>AM137</f>
        <v>46471</v>
      </c>
      <c r="AI137" s="168">
        <f>AM136+3</f>
        <v>46474</v>
      </c>
      <c r="AJ137" s="168">
        <f>AM136+30</f>
        <v>46501</v>
      </c>
      <c r="AK137" s="199"/>
      <c r="AL137" s="199"/>
      <c r="AM137" s="170">
        <f>X137+AL136</f>
        <v>46471</v>
      </c>
      <c r="AN137" s="170"/>
      <c r="AO137" s="171"/>
      <c r="AP137" s="172"/>
      <c r="AQ137" s="448"/>
      <c r="AR137" s="154">
        <f>IF(ISERROR(LOOKUP(AR$10,$O137:$AQ137,#REF!)),0,(LOOKUP(AR$10,$O137:$AQ137,#REF!)))</f>
        <v>0</v>
      </c>
      <c r="AS137" s="155">
        <f>IF(ISERROR(LOOKUP(AS$10,$O137:$AQ137,#REF!)),0,(LOOKUP(AS$10,$O137:$AQ137,#REF!)))</f>
        <v>0</v>
      </c>
      <c r="AT137" s="155">
        <f>IF(ISERROR(LOOKUP(AT$10,$O137:$AQ137,#REF!)),0,(LOOKUP(AT$10,$O137:$AQ137,#REF!)))</f>
        <v>0</v>
      </c>
      <c r="AU137" s="155">
        <f>IF(ISERROR(LOOKUP(AU$10,$O137:$AQ137,#REF!)),0,(LOOKUP(AU$10,$O137:$AQ137,#REF!)))</f>
        <v>0</v>
      </c>
      <c r="AV137" s="155">
        <f>IF(ISERROR(LOOKUP(AV$10,$O137:$AQ137,#REF!)),0,(LOOKUP(AV$10,$O137:$AQ137,#REF!)))</f>
        <v>0</v>
      </c>
      <c r="AW137" s="155">
        <f>IF(ISERROR(LOOKUP(AW$10,$O137:$AQ137,#REF!)),0,(LOOKUP(AW$10,$O137:$AQ137,#REF!)))</f>
        <v>0</v>
      </c>
      <c r="AX137" s="155">
        <f>IF(ISERROR(LOOKUP(AX$10,$O137:$AQ137,#REF!)),0,(LOOKUP(AX$10,$O137:$AQ137,#REF!)))</f>
        <v>0</v>
      </c>
      <c r="AY137" s="155">
        <f>IF(ISERROR(LOOKUP(AY$10,$O137:$AQ137,#REF!)),0,(LOOKUP(AY$10,$O137:$AQ137,#REF!)))</f>
        <v>0</v>
      </c>
      <c r="AZ137" s="155">
        <f>IF(ISERROR(LOOKUP(AZ$10,$O137:$AQ137,#REF!)),0,(LOOKUP(AZ$10,$O137:$AQ137,#REF!)))</f>
        <v>0</v>
      </c>
      <c r="BA137" s="155">
        <f>IF(ISERROR(LOOKUP(BA$10,$O137:$AQ137,#REF!)),0,(LOOKUP(BA$10,$O137:$AQ137,#REF!)))</f>
        <v>0</v>
      </c>
      <c r="BB137" s="155">
        <f ca="1">IF(ISERROR(LOOKUP(BB$10,$O137:$AQ137,#REF!)),0,(LOOKUP(BB$10,$O137:$AQ137,#REF!)))</f>
        <v>0</v>
      </c>
      <c r="BC137" s="156"/>
      <c r="BD137" s="176"/>
      <c r="BE137" s="176"/>
    </row>
    <row r="138" spans="1:57" s="78" customFormat="1" ht="24" thickTop="1" thickBot="1" x14ac:dyDescent="0.45">
      <c r="A138" s="460"/>
      <c r="B138" s="177" t="s">
        <v>202</v>
      </c>
      <c r="C138" s="178" t="s">
        <v>289</v>
      </c>
      <c r="D138" s="315" t="s">
        <v>290</v>
      </c>
      <c r="E138" s="180" t="s">
        <v>288</v>
      </c>
      <c r="F138" s="180">
        <v>2</v>
      </c>
      <c r="G138" s="426" t="s">
        <v>285</v>
      </c>
      <c r="H138" s="182" t="s">
        <v>158</v>
      </c>
      <c r="I138" s="178" t="s">
        <v>138</v>
      </c>
      <c r="J138" s="178" t="s">
        <v>74</v>
      </c>
      <c r="K138" s="178" t="s">
        <v>2</v>
      </c>
      <c r="L138" s="179"/>
      <c r="M138" s="184" t="s">
        <v>150</v>
      </c>
      <c r="N138" s="185" t="s">
        <v>87</v>
      </c>
      <c r="O138" s="186">
        <v>46174</v>
      </c>
      <c r="P138" s="186">
        <v>46148</v>
      </c>
      <c r="Q138" s="186">
        <v>46165</v>
      </c>
      <c r="R138" s="186">
        <v>46183</v>
      </c>
      <c r="S138" s="186">
        <v>46183</v>
      </c>
      <c r="T138" s="186">
        <v>46198</v>
      </c>
      <c r="U138" s="186">
        <v>46228</v>
      </c>
      <c r="V138" s="186"/>
      <c r="W138" s="186"/>
      <c r="X138" s="186"/>
      <c r="Y138" s="186"/>
      <c r="Z138" s="186"/>
      <c r="AA138" s="186"/>
      <c r="AB138" s="186"/>
      <c r="AC138" s="186"/>
      <c r="AD138" s="186"/>
      <c r="AE138" s="186"/>
      <c r="AF138" s="186"/>
      <c r="AG138" s="186"/>
      <c r="AH138" s="186"/>
      <c r="AI138" s="186"/>
      <c r="AJ138" s="186"/>
      <c r="AK138" s="188"/>
      <c r="AL138" s="188"/>
      <c r="AM138" s="187"/>
      <c r="AN138" s="187"/>
      <c r="AO138" s="189"/>
      <c r="AP138" s="190"/>
      <c r="AQ138" s="449"/>
      <c r="AR138" s="191">
        <f>IF(ISERROR(LOOKUP(AR$10,$O138:$AQ138,#REF!)),0,(LOOKUP(AR$10,$O138:$AQ138,#REF!)))</f>
        <v>0</v>
      </c>
      <c r="AS138" s="192">
        <f>IF(ISERROR(LOOKUP(AS$10,$O138:$AQ138,#REF!)),0,(LOOKUP(AS$10,$O138:$AQ138,#REF!)))</f>
        <v>0</v>
      </c>
      <c r="AT138" s="192">
        <f>IF(ISERROR(LOOKUP(AT$10,$O138:$AQ138,#REF!)),0,(LOOKUP(AT$10,$O138:$AQ138,#REF!)))</f>
        <v>0</v>
      </c>
      <c r="AU138" s="192">
        <f>IF(ISERROR(LOOKUP(AU$10,$O138:$AQ138,#REF!)),0,(LOOKUP(AU$10,$O138:$AQ138,#REF!)))</f>
        <v>0</v>
      </c>
      <c r="AV138" s="192">
        <f>IF(ISERROR(LOOKUP(AV$10,$O138:$AQ138,#REF!)),0,(LOOKUP(AV$10,$O138:$AQ138,#REF!)))</f>
        <v>0</v>
      </c>
      <c r="AW138" s="192">
        <f>IF(ISERROR(LOOKUP(AW$10,$O138:$AQ138,#REF!)),0,(LOOKUP(AW$10,$O138:$AQ138,#REF!)))</f>
        <v>0</v>
      </c>
      <c r="AX138" s="192">
        <f>IF(ISERROR(LOOKUP(AX$10,$O138:$AQ138,#REF!)),0,(LOOKUP(AX$10,$O138:$AQ138,#REF!)))</f>
        <v>0</v>
      </c>
      <c r="AY138" s="192">
        <f>IF(ISERROR(LOOKUP(AY$10,$O138:$AQ138,#REF!)),0,(LOOKUP(AY$10,$O138:$AQ138,#REF!)))</f>
        <v>0</v>
      </c>
      <c r="AZ138" s="192">
        <f>IF(ISERROR(LOOKUP(AZ$10,$O138:$AQ138,#REF!)),0,(LOOKUP(AZ$10,$O138:$AQ138,#REF!)))</f>
        <v>0</v>
      </c>
      <c r="BA138" s="192">
        <f>IF(ISERROR(LOOKUP(BA$10,$O138:$AQ138,#REF!)),0,(LOOKUP(BA$10,$O138:$AQ138,#REF!)))</f>
        <v>0</v>
      </c>
      <c r="BB138" s="192">
        <f ca="1">IF(ISERROR(LOOKUP(BB$10,$O138:$AQ138,#REF!)),0,(LOOKUP(BB$10,$O138:$AQ138,#REF!)))</f>
        <v>0</v>
      </c>
      <c r="BC138" s="156"/>
      <c r="BD138" s="176"/>
      <c r="BE138" s="176"/>
    </row>
    <row r="139" spans="1:57" s="78" customFormat="1" ht="15.4" thickTop="1" thickBot="1" x14ac:dyDescent="0.45">
      <c r="A139" s="458">
        <f>A136+1</f>
        <v>36</v>
      </c>
      <c r="B139" s="139"/>
      <c r="C139" s="140" t="s">
        <v>293</v>
      </c>
      <c r="D139" s="203" t="s">
        <v>294</v>
      </c>
      <c r="E139" s="202"/>
      <c r="F139" s="202"/>
      <c r="G139" s="427" t="s">
        <v>295</v>
      </c>
      <c r="H139" s="143" t="s">
        <v>158</v>
      </c>
      <c r="I139" s="140" t="s">
        <v>138</v>
      </c>
      <c r="J139" s="140" t="s">
        <v>139</v>
      </c>
      <c r="K139" s="140" t="s">
        <v>9</v>
      </c>
      <c r="L139" s="203"/>
      <c r="M139" s="145" t="s">
        <v>150</v>
      </c>
      <c r="N139" s="146" t="s">
        <v>77</v>
      </c>
      <c r="O139" s="147">
        <v>46224</v>
      </c>
      <c r="P139" s="147">
        <v>46216</v>
      </c>
      <c r="Q139" s="147">
        <v>46230</v>
      </c>
      <c r="R139" s="147">
        <v>46230</v>
      </c>
      <c r="S139" s="147">
        <v>46230</v>
      </c>
      <c r="T139" s="148">
        <v>46237</v>
      </c>
      <c r="U139" s="147">
        <v>46247</v>
      </c>
      <c r="V139" s="147">
        <v>46261</v>
      </c>
      <c r="W139" s="147"/>
      <c r="X139" s="223">
        <v>46269</v>
      </c>
      <c r="Y139" s="147">
        <v>46273</v>
      </c>
      <c r="Z139" s="147">
        <v>46280</v>
      </c>
      <c r="AA139" s="147">
        <v>46295</v>
      </c>
      <c r="AB139" s="147">
        <v>46310</v>
      </c>
      <c r="AC139" s="147"/>
      <c r="AD139" s="147"/>
      <c r="AE139" s="147"/>
      <c r="AF139" s="147"/>
      <c r="AG139" s="147">
        <v>46320</v>
      </c>
      <c r="AH139" s="147">
        <v>46325</v>
      </c>
      <c r="AI139" s="147">
        <v>46328</v>
      </c>
      <c r="AJ139" s="147">
        <v>46355</v>
      </c>
      <c r="AK139" s="149">
        <v>8</v>
      </c>
      <c r="AL139" s="150">
        <v>56</v>
      </c>
      <c r="AM139" s="151">
        <v>46325</v>
      </c>
      <c r="AN139" s="151">
        <v>46342</v>
      </c>
      <c r="AO139" s="225">
        <f>AN139-AM140</f>
        <v>17</v>
      </c>
      <c r="AP139" s="235"/>
      <c r="AQ139" s="447"/>
      <c r="AR139" s="154"/>
      <c r="AS139" s="155"/>
      <c r="AT139" s="155"/>
      <c r="AU139" s="155"/>
      <c r="AV139" s="155"/>
      <c r="AW139" s="155"/>
      <c r="AX139" s="155"/>
      <c r="AY139" s="155"/>
      <c r="AZ139" s="155"/>
      <c r="BA139" s="155"/>
      <c r="BB139" s="155"/>
      <c r="BC139" s="156"/>
      <c r="BD139" s="176"/>
      <c r="BE139" s="176"/>
    </row>
    <row r="140" spans="1:57" s="78" customFormat="1" ht="15.4" thickTop="1" thickBot="1" x14ac:dyDescent="0.45">
      <c r="A140" s="459"/>
      <c r="B140" s="158"/>
      <c r="C140" s="197" t="s">
        <v>293</v>
      </c>
      <c r="D140" s="204" t="s">
        <v>294</v>
      </c>
      <c r="E140" s="205"/>
      <c r="F140" s="205"/>
      <c r="G140" s="204" t="s">
        <v>295</v>
      </c>
      <c r="H140" s="228" t="s">
        <v>158</v>
      </c>
      <c r="I140" s="159" t="s">
        <v>138</v>
      </c>
      <c r="J140" s="197" t="s">
        <v>139</v>
      </c>
      <c r="K140" s="197" t="s">
        <v>9</v>
      </c>
      <c r="L140" s="204"/>
      <c r="M140" s="165" t="s">
        <v>150</v>
      </c>
      <c r="N140" s="166" t="s">
        <v>84</v>
      </c>
      <c r="O140" s="167"/>
      <c r="P140" s="168"/>
      <c r="Q140" s="168"/>
      <c r="R140" s="168"/>
      <c r="S140" s="168"/>
      <c r="T140" s="168">
        <v>46237</v>
      </c>
      <c r="U140" s="168">
        <f>WORKDAY(T140,U9,IF(U12="China",'China Holidays'!$A$2:$A$84,'Thai Holidays'!$A$2:$A$65))</f>
        <v>46247</v>
      </c>
      <c r="V140" s="168">
        <f>WORKDAY(U140,V9,IF(V12="China",'China Holidays'!$A$2:$A$84,'Thai Holidays'!$A$2:$A$65))</f>
        <v>46261</v>
      </c>
      <c r="W140" s="168"/>
      <c r="X140" s="168">
        <f>WORKDAY(V140,X9,IF(X12="China",'China Holidays'!$A$2:$A$84,'Thai Holidays'!$A$2:$A$65))</f>
        <v>46268</v>
      </c>
      <c r="Y140" s="168">
        <f>WORKDAY(X140,Y9,IF(Y12="China",'China Holidays'!$A$2:$A$84,'Thai Holidays'!$A$2:$A$65))</f>
        <v>46272</v>
      </c>
      <c r="Z140" s="168">
        <f>WORKDAY(Y140,Z9,IF(Z12="China",'China Holidays'!$A$2:$A$84,'Thai Holidays'!$A$2:$A$65))</f>
        <v>46279</v>
      </c>
      <c r="AA140" s="168">
        <f>WORKDAY(Z140,AA9,IF(AA12="China",'China Holidays'!$A$2:$A$84,'Thai Holidays'!$A$2:$A$65))</f>
        <v>46294</v>
      </c>
      <c r="AB140" s="168">
        <f>WORKDAY(AA140,AB9,IF(AB12="China",'China Holidays'!$A$2:$A$84,'Thai Holidays'!$A$2:$A$65))</f>
        <v>46309</v>
      </c>
      <c r="AC140" s="168"/>
      <c r="AD140" s="168"/>
      <c r="AE140" s="168"/>
      <c r="AF140" s="168"/>
      <c r="AG140" s="168">
        <f>AH140-5</f>
        <v>46320</v>
      </c>
      <c r="AH140" s="168">
        <f>AM139</f>
        <v>46325</v>
      </c>
      <c r="AI140" s="168">
        <f>AM139+3</f>
        <v>46328</v>
      </c>
      <c r="AJ140" s="168">
        <f>AM139+30</f>
        <v>46355</v>
      </c>
      <c r="AK140" s="169"/>
      <c r="AL140" s="230"/>
      <c r="AM140" s="170">
        <f>AH140</f>
        <v>46325</v>
      </c>
      <c r="AN140" s="170"/>
      <c r="AO140" s="230"/>
      <c r="AP140" s="270"/>
      <c r="AQ140" s="448"/>
      <c r="AR140" s="154"/>
      <c r="AS140" s="155"/>
      <c r="AT140" s="155"/>
      <c r="AU140" s="155"/>
      <c r="AV140" s="155"/>
      <c r="AW140" s="155"/>
      <c r="AX140" s="155"/>
      <c r="AY140" s="155"/>
      <c r="AZ140" s="155"/>
      <c r="BA140" s="155"/>
      <c r="BB140" s="155"/>
      <c r="BC140" s="156"/>
      <c r="BD140" s="176"/>
      <c r="BE140" s="176"/>
    </row>
    <row r="141" spans="1:57" s="78" customFormat="1" ht="15.4" thickTop="1" thickBot="1" x14ac:dyDescent="0.45">
      <c r="A141" s="460"/>
      <c r="B141" s="177"/>
      <c r="C141" s="178" t="s">
        <v>293</v>
      </c>
      <c r="D141" s="207" t="s">
        <v>294</v>
      </c>
      <c r="E141" s="208"/>
      <c r="F141" s="208"/>
      <c r="G141" s="209" t="s">
        <v>295</v>
      </c>
      <c r="H141" s="182" t="s">
        <v>158</v>
      </c>
      <c r="I141" s="178" t="s">
        <v>138</v>
      </c>
      <c r="J141" s="178" t="s">
        <v>139</v>
      </c>
      <c r="K141" s="178" t="s">
        <v>9</v>
      </c>
      <c r="L141" s="209"/>
      <c r="M141" s="184" t="s">
        <v>150</v>
      </c>
      <c r="N141" s="185" t="s">
        <v>87</v>
      </c>
      <c r="O141" s="186">
        <v>46217</v>
      </c>
      <c r="P141" s="186">
        <v>46230</v>
      </c>
      <c r="Q141" s="186">
        <v>46230</v>
      </c>
      <c r="R141" s="186">
        <v>46230</v>
      </c>
      <c r="S141" s="186">
        <v>46230</v>
      </c>
      <c r="T141" s="186"/>
      <c r="U141" s="186"/>
      <c r="V141" s="186"/>
      <c r="W141" s="186"/>
      <c r="X141" s="186"/>
      <c r="Y141" s="186"/>
      <c r="Z141" s="186"/>
      <c r="AA141" s="186"/>
      <c r="AB141" s="186"/>
      <c r="AC141" s="186"/>
      <c r="AD141" s="186"/>
      <c r="AE141" s="186"/>
      <c r="AF141" s="186"/>
      <c r="AG141" s="186"/>
      <c r="AH141" s="186"/>
      <c r="AI141" s="186"/>
      <c r="AJ141" s="186"/>
      <c r="AK141" s="188"/>
      <c r="AL141" s="211"/>
      <c r="AM141" s="187"/>
      <c r="AN141" s="187"/>
      <c r="AO141" s="211"/>
      <c r="AP141" s="271"/>
      <c r="AQ141" s="449"/>
      <c r="AR141" s="191"/>
      <c r="AS141" s="192"/>
      <c r="AT141" s="192"/>
      <c r="AU141" s="192"/>
      <c r="AV141" s="192"/>
      <c r="AW141" s="192"/>
      <c r="AX141" s="192"/>
      <c r="AY141" s="192"/>
      <c r="AZ141" s="192"/>
      <c r="BA141" s="192"/>
      <c r="BB141" s="192"/>
      <c r="BC141" s="156"/>
      <c r="BD141" s="176"/>
      <c r="BE141" s="176"/>
    </row>
    <row r="142" spans="1:57" s="78" customFormat="1" ht="15.4" thickTop="1" thickBot="1" x14ac:dyDescent="0.45">
      <c r="A142" s="458">
        <f>A139+1</f>
        <v>37</v>
      </c>
      <c r="B142" s="139" t="s">
        <v>296</v>
      </c>
      <c r="C142" s="140" t="s">
        <v>297</v>
      </c>
      <c r="D142" s="316" t="s">
        <v>298</v>
      </c>
      <c r="E142" s="317" t="s">
        <v>299</v>
      </c>
      <c r="F142" s="317">
        <v>4</v>
      </c>
      <c r="G142" s="435" t="s">
        <v>300</v>
      </c>
      <c r="H142" s="143" t="s">
        <v>301</v>
      </c>
      <c r="I142" s="140" t="s">
        <v>138</v>
      </c>
      <c r="J142" s="140" t="s">
        <v>95</v>
      </c>
      <c r="K142" s="140" t="s">
        <v>2</v>
      </c>
      <c r="L142" s="144" t="s">
        <v>302</v>
      </c>
      <c r="M142" s="145" t="s">
        <v>76</v>
      </c>
      <c r="N142" s="146" t="s">
        <v>77</v>
      </c>
      <c r="O142" s="147">
        <v>46136</v>
      </c>
      <c r="P142" s="147">
        <v>46139</v>
      </c>
      <c r="Q142" s="147">
        <v>46148</v>
      </c>
      <c r="R142" s="147">
        <v>46149</v>
      </c>
      <c r="S142" s="147">
        <v>46156</v>
      </c>
      <c r="T142" s="147">
        <v>46170</v>
      </c>
      <c r="U142" s="147">
        <v>46202</v>
      </c>
      <c r="V142" s="147">
        <v>46205</v>
      </c>
      <c r="W142" s="147"/>
      <c r="X142" s="148">
        <v>46219</v>
      </c>
      <c r="Y142" s="147">
        <v>46223</v>
      </c>
      <c r="Z142" s="147">
        <v>46230</v>
      </c>
      <c r="AA142" s="147">
        <v>46258</v>
      </c>
      <c r="AB142" s="147">
        <v>46272</v>
      </c>
      <c r="AC142" s="147">
        <v>46292</v>
      </c>
      <c r="AD142" s="147">
        <v>46292</v>
      </c>
      <c r="AE142" s="147">
        <v>46295</v>
      </c>
      <c r="AF142" s="147">
        <v>46446</v>
      </c>
      <c r="AG142" s="147">
        <v>46461</v>
      </c>
      <c r="AH142" s="147">
        <v>46471</v>
      </c>
      <c r="AI142" s="147">
        <v>46474</v>
      </c>
      <c r="AJ142" s="147">
        <v>46501</v>
      </c>
      <c r="AK142" s="149">
        <v>36</v>
      </c>
      <c r="AL142" s="150">
        <v>252</v>
      </c>
      <c r="AM142" s="151">
        <v>46471</v>
      </c>
      <c r="AN142" s="151">
        <v>46492</v>
      </c>
      <c r="AO142" s="225">
        <f>AN142-AM143</f>
        <v>23</v>
      </c>
      <c r="AP142" s="235" t="s">
        <v>171</v>
      </c>
      <c r="AQ142" s="438" t="s">
        <v>303</v>
      </c>
      <c r="AR142" s="154">
        <f>IF(ISERROR(LOOKUP(AR$10,$O142:$AQ142,#REF!)),0,(LOOKUP(AR$10,$O142:$AQ142,#REF!)))</f>
        <v>0</v>
      </c>
      <c r="AS142" s="155">
        <f>IF(ISERROR(LOOKUP(AS$10,$O142:$AQ142,#REF!)),0,(LOOKUP(AS$10,$O142:$AQ142,#REF!)))</f>
        <v>0</v>
      </c>
      <c r="AT142" s="155">
        <f>IF(ISERROR(LOOKUP(AT$10,$O142:$AQ142,#REF!)),0,(LOOKUP(AT$10,$O142:$AQ142,#REF!)))</f>
        <v>0</v>
      </c>
      <c r="AU142" s="155">
        <f>IF(ISERROR(LOOKUP(AU$10,$O142:$AQ142,#REF!)),0,(LOOKUP(AU$10,$O142:$AQ142,#REF!)))</f>
        <v>0</v>
      </c>
      <c r="AV142" s="155">
        <f>IF(ISERROR(LOOKUP(AV$10,$O142:$AQ142,#REF!)),0,(LOOKUP(AV$10,$O142:$AQ142,#REF!)))</f>
        <v>0</v>
      </c>
      <c r="AW142" s="155">
        <f>IF(ISERROR(LOOKUP(AW$10,$O142:$AQ142,#REF!)),0,(LOOKUP(AW$10,$O142:$AQ142,#REF!)))</f>
        <v>0</v>
      </c>
      <c r="AX142" s="155">
        <f>IF(ISERROR(LOOKUP(AX$10,$O142:$AQ142,#REF!)),0,(LOOKUP(AX$10,$O142:$AQ142,#REF!)))</f>
        <v>0</v>
      </c>
      <c r="AY142" s="155">
        <f>IF(ISERROR(LOOKUP(AY$10,$O142:$AQ142,#REF!)),0,(LOOKUP(AY$10,$O142:$AQ142,#REF!)))</f>
        <v>0</v>
      </c>
      <c r="AZ142" s="155">
        <f>IF(ISERROR(LOOKUP(AZ$10,$O142:$AQ142,#REF!)),0,(LOOKUP(AZ$10,$O142:$AQ142,#REF!)))</f>
        <v>0</v>
      </c>
      <c r="BA142" s="155">
        <f>IF(ISERROR(LOOKUP(BA$10,$O142:$AQ142,#REF!)),0,(LOOKUP(BA$10,$O142:$AQ142,#REF!)))</f>
        <v>0</v>
      </c>
      <c r="BB142" s="155">
        <f ca="1">IF(ISERROR(LOOKUP(BB$10,$O142:$AQ142,#REF!)),0,(LOOKUP(BB$10,$O142:$AQ142,#REF!)))</f>
        <v>0</v>
      </c>
      <c r="BC142" s="156" t="s">
        <v>80</v>
      </c>
      <c r="BD142" s="193" t="s">
        <v>304</v>
      </c>
      <c r="BE142" s="176"/>
    </row>
    <row r="143" spans="1:57" s="78" customFormat="1" ht="15.4" thickTop="1" thickBot="1" x14ac:dyDescent="0.45">
      <c r="A143" s="459"/>
      <c r="B143" s="158" t="s">
        <v>296</v>
      </c>
      <c r="C143" s="197" t="s">
        <v>297</v>
      </c>
      <c r="D143" s="160" t="s">
        <v>298</v>
      </c>
      <c r="E143" s="205" t="s">
        <v>305</v>
      </c>
      <c r="F143" s="205">
        <v>4</v>
      </c>
      <c r="G143" s="204" t="s">
        <v>300</v>
      </c>
      <c r="H143" s="228" t="s">
        <v>301</v>
      </c>
      <c r="I143" s="159" t="s">
        <v>138</v>
      </c>
      <c r="J143" s="197" t="s">
        <v>95</v>
      </c>
      <c r="K143" s="197" t="s">
        <v>2</v>
      </c>
      <c r="L143" s="164" t="s">
        <v>306</v>
      </c>
      <c r="M143" s="165" t="s">
        <v>76</v>
      </c>
      <c r="N143" s="166" t="s">
        <v>84</v>
      </c>
      <c r="O143" s="167"/>
      <c r="P143" s="168"/>
      <c r="Q143" s="168"/>
      <c r="R143" s="168"/>
      <c r="S143" s="168"/>
      <c r="T143" s="168"/>
      <c r="U143" s="168"/>
      <c r="V143" s="168"/>
      <c r="W143" s="168"/>
      <c r="X143" s="168">
        <v>46245</v>
      </c>
      <c r="Y143" s="168">
        <f>WORKDAY(X143,Y6,IF(Y12="China",'China Holidays'!$A$2:$A$84,'Thai Holidays'!$A$2:$A$65))</f>
        <v>46247</v>
      </c>
      <c r="Z143" s="168"/>
      <c r="AA143" s="168">
        <f>AA142</f>
        <v>46258</v>
      </c>
      <c r="AB143" s="168">
        <f>WORKDAY(AA143,AB6,IF(AB12="China",'China Holidays'!$A$2:$A$84,'Thai Holidays'!$A$2:$A$65))</f>
        <v>46272</v>
      </c>
      <c r="AC143" s="168">
        <f>AB143+20</f>
        <v>46292</v>
      </c>
      <c r="AD143" s="168">
        <f>AC143</f>
        <v>46292</v>
      </c>
      <c r="AE143" s="168">
        <f>AD143+3</f>
        <v>46295</v>
      </c>
      <c r="AF143" s="168">
        <f>AG143-20</f>
        <v>46439</v>
      </c>
      <c r="AG143" s="168">
        <f>AH143-10</f>
        <v>46459</v>
      </c>
      <c r="AH143" s="168">
        <f>AM143</f>
        <v>46469</v>
      </c>
      <c r="AI143" s="168">
        <f>AM142+3</f>
        <v>46474</v>
      </c>
      <c r="AJ143" s="168">
        <f>AM142+30</f>
        <v>46501</v>
      </c>
      <c r="AK143" s="199">
        <v>32</v>
      </c>
      <c r="AL143" s="206">
        <f>AK143*7</f>
        <v>224</v>
      </c>
      <c r="AM143" s="170">
        <f>X143+AL143</f>
        <v>46469</v>
      </c>
      <c r="AN143" s="170"/>
      <c r="AO143" s="171"/>
      <c r="AP143" s="172"/>
      <c r="AQ143" s="448"/>
      <c r="AR143" s="154">
        <f>IF(ISERROR(LOOKUP(AR$10,$O143:$AQ143,#REF!)),0,(LOOKUP(AR$10,$O143:$AQ143,#REF!)))</f>
        <v>0</v>
      </c>
      <c r="AS143" s="155">
        <f>IF(ISERROR(LOOKUP(AS$10,$O143:$AQ143,#REF!)),0,(LOOKUP(AS$10,$O143:$AQ143,#REF!)))</f>
        <v>0</v>
      </c>
      <c r="AT143" s="155">
        <f>IF(ISERROR(LOOKUP(AT$10,$O143:$AQ143,#REF!)),0,(LOOKUP(AT$10,$O143:$AQ143,#REF!)))</f>
        <v>0</v>
      </c>
      <c r="AU143" s="155">
        <f>IF(ISERROR(LOOKUP(AU$10,$O143:$AQ143,#REF!)),0,(LOOKUP(AU$10,$O143:$AQ143,#REF!)))</f>
        <v>0</v>
      </c>
      <c r="AV143" s="155">
        <f>IF(ISERROR(LOOKUP(AV$10,$O143:$AQ143,#REF!)),0,(LOOKUP(AV$10,$O143:$AQ143,#REF!)))</f>
        <v>0</v>
      </c>
      <c r="AW143" s="155">
        <f>IF(ISERROR(LOOKUP(AW$10,$O143:$AQ143,#REF!)),0,(LOOKUP(AW$10,$O143:$AQ143,#REF!)))</f>
        <v>0</v>
      </c>
      <c r="AX143" s="155">
        <f>IF(ISERROR(LOOKUP(AX$10,$O143:$AQ143,#REF!)),0,(LOOKUP(AX$10,$O143:$AQ143,#REF!)))</f>
        <v>0</v>
      </c>
      <c r="AY143" s="155">
        <f>IF(ISERROR(LOOKUP(AY$10,$O143:$AQ143,#REF!)),0,(LOOKUP(AY$10,$O143:$AQ143,#REF!)))</f>
        <v>0</v>
      </c>
      <c r="AZ143" s="155">
        <f>IF(ISERROR(LOOKUP(AZ$10,$O143:$AQ143,#REF!)),0,(LOOKUP(AZ$10,$O143:$AQ143,#REF!)))</f>
        <v>0</v>
      </c>
      <c r="BA143" s="155">
        <f>IF(ISERROR(LOOKUP(BA$10,$O143:$AQ143,#REF!)),0,(LOOKUP(BA$10,$O143:$AQ143,#REF!)))</f>
        <v>0</v>
      </c>
      <c r="BB143" s="155">
        <f ca="1">IF(ISERROR(LOOKUP(BB$10,$O143:$AQ143,#REF!)),0,(LOOKUP(BB$10,$O143:$AQ143,#REF!)))</f>
        <v>0</v>
      </c>
      <c r="BC143" s="156" t="s">
        <v>85</v>
      </c>
      <c r="BD143" s="193" t="s">
        <v>307</v>
      </c>
      <c r="BE143" s="176"/>
    </row>
    <row r="144" spans="1:57" s="78" customFormat="1" ht="15.4" thickTop="1" thickBot="1" x14ac:dyDescent="0.45">
      <c r="A144" s="460"/>
      <c r="B144" s="177" t="s">
        <v>296</v>
      </c>
      <c r="C144" s="178" t="s">
        <v>297</v>
      </c>
      <c r="D144" s="179" t="s">
        <v>298</v>
      </c>
      <c r="E144" s="215" t="s">
        <v>308</v>
      </c>
      <c r="F144" s="215">
        <v>12</v>
      </c>
      <c r="G144" s="209" t="s">
        <v>300</v>
      </c>
      <c r="H144" s="182" t="s">
        <v>301</v>
      </c>
      <c r="I144" s="178" t="s">
        <v>138</v>
      </c>
      <c r="J144" s="178" t="s">
        <v>95</v>
      </c>
      <c r="K144" s="178" t="s">
        <v>2</v>
      </c>
      <c r="L144" s="318"/>
      <c r="M144" s="184" t="s">
        <v>76</v>
      </c>
      <c r="N144" s="185" t="s">
        <v>87</v>
      </c>
      <c r="O144" s="186">
        <v>46133</v>
      </c>
      <c r="P144" s="186">
        <v>46136</v>
      </c>
      <c r="Q144" s="186">
        <v>46153</v>
      </c>
      <c r="R144" s="186">
        <v>46153</v>
      </c>
      <c r="S144" s="186">
        <v>46153</v>
      </c>
      <c r="T144" s="186">
        <v>46164</v>
      </c>
      <c r="U144" s="186">
        <v>46205</v>
      </c>
      <c r="V144" s="186">
        <v>46207</v>
      </c>
      <c r="W144" s="186">
        <v>46227</v>
      </c>
      <c r="X144" s="186"/>
      <c r="Y144" s="186"/>
      <c r="Z144" s="186">
        <v>46233</v>
      </c>
      <c r="AA144" s="186"/>
      <c r="AB144" s="186"/>
      <c r="AC144" s="186"/>
      <c r="AD144" s="186"/>
      <c r="AE144" s="186"/>
      <c r="AF144" s="186"/>
      <c r="AG144" s="186"/>
      <c r="AH144" s="186"/>
      <c r="AI144" s="186"/>
      <c r="AJ144" s="186"/>
      <c r="AK144" s="188"/>
      <c r="AL144" s="211"/>
      <c r="AM144" s="187"/>
      <c r="AN144" s="187"/>
      <c r="AO144" s="189"/>
      <c r="AP144" s="190"/>
      <c r="AQ144" s="449"/>
      <c r="AR144" s="191">
        <f>IF(ISERROR(LOOKUP(AR$10,$O144:$AQ144,#REF!)),0,(LOOKUP(AR$10,$O144:$AQ144,#REF!)))</f>
        <v>0</v>
      </c>
      <c r="AS144" s="192">
        <f>IF(ISERROR(LOOKUP(AS$10,$O144:$AQ144,#REF!)),0,(LOOKUP(AS$10,$O144:$AQ144,#REF!)))</f>
        <v>0</v>
      </c>
      <c r="AT144" s="192">
        <f>IF(ISERROR(LOOKUP(AT$10,$O144:$AQ144,#REF!)),0,(LOOKUP(AT$10,$O144:$AQ144,#REF!)))</f>
        <v>0</v>
      </c>
      <c r="AU144" s="192">
        <f>IF(ISERROR(LOOKUP(AU$10,$O144:$AQ144,#REF!)),0,(LOOKUP(AU$10,$O144:$AQ144,#REF!)))</f>
        <v>0</v>
      </c>
      <c r="AV144" s="192">
        <f>IF(ISERROR(LOOKUP(AV$10,$O144:$AQ144,#REF!)),0,(LOOKUP(AV$10,$O144:$AQ144,#REF!)))</f>
        <v>0</v>
      </c>
      <c r="AW144" s="192">
        <f>IF(ISERROR(LOOKUP(AW$10,$O144:$AQ144,#REF!)),0,(LOOKUP(AW$10,$O144:$AQ144,#REF!)))</f>
        <v>0</v>
      </c>
      <c r="AX144" s="192">
        <f>IF(ISERROR(LOOKUP(AX$10,$O144:$AQ144,#REF!)),0,(LOOKUP(AX$10,$O144:$AQ144,#REF!)))</f>
        <v>0</v>
      </c>
      <c r="AY144" s="192">
        <f>IF(ISERROR(LOOKUP(AY$10,$O144:$AQ144,#REF!)),0,(LOOKUP(AY$10,$O144:$AQ144,#REF!)))</f>
        <v>0</v>
      </c>
      <c r="AZ144" s="192">
        <f>IF(ISERROR(LOOKUP(AZ$10,$O144:$AQ144,#REF!)),0,(LOOKUP(AZ$10,$O144:$AQ144,#REF!)))</f>
        <v>0</v>
      </c>
      <c r="BA144" s="192">
        <f>IF(ISERROR(LOOKUP(BA$10,$O144:$AQ144,#REF!)),0,(LOOKUP(BA$10,$O144:$AQ144,#REF!)))</f>
        <v>0</v>
      </c>
      <c r="BB144" s="192">
        <f ca="1">IF(ISERROR(LOOKUP(BB$10,$O144:$AQ144,#REF!)),0,(LOOKUP(BB$10,$O144:$AQ144,#REF!)))</f>
        <v>0</v>
      </c>
      <c r="BC144" s="156" t="s">
        <v>88</v>
      </c>
      <c r="BD144" s="193" t="s">
        <v>309</v>
      </c>
      <c r="BE144" s="176"/>
    </row>
    <row r="145" spans="1:57" s="78" customFormat="1" ht="15.4" thickTop="1" thickBot="1" x14ac:dyDescent="0.45">
      <c r="A145" s="458">
        <f t="shared" ref="A145" si="29">A142+1</f>
        <v>38</v>
      </c>
      <c r="B145" s="139" t="s">
        <v>310</v>
      </c>
      <c r="C145" s="140" t="s">
        <v>311</v>
      </c>
      <c r="D145" s="141" t="s">
        <v>312</v>
      </c>
      <c r="E145" s="142" t="s">
        <v>313</v>
      </c>
      <c r="F145" s="142">
        <v>4</v>
      </c>
      <c r="G145" s="203"/>
      <c r="H145" s="143" t="s">
        <v>301</v>
      </c>
      <c r="I145" s="140" t="s">
        <v>73</v>
      </c>
      <c r="J145" s="140" t="s">
        <v>95</v>
      </c>
      <c r="K145" s="140" t="s">
        <v>4</v>
      </c>
      <c r="L145" s="144" t="s">
        <v>302</v>
      </c>
      <c r="M145" s="145" t="s">
        <v>76</v>
      </c>
      <c r="N145" s="146" t="s">
        <v>77</v>
      </c>
      <c r="O145" s="147">
        <v>46136</v>
      </c>
      <c r="P145" s="147">
        <v>46139</v>
      </c>
      <c r="Q145" s="147">
        <v>46148</v>
      </c>
      <c r="R145" s="147">
        <v>46149</v>
      </c>
      <c r="S145" s="147">
        <v>46156</v>
      </c>
      <c r="T145" s="147">
        <v>46170</v>
      </c>
      <c r="U145" s="147">
        <v>46202</v>
      </c>
      <c r="V145" s="147">
        <v>46205</v>
      </c>
      <c r="W145" s="147"/>
      <c r="X145" s="148">
        <v>46219</v>
      </c>
      <c r="Y145" s="147">
        <v>46223</v>
      </c>
      <c r="Z145" s="147">
        <v>46230</v>
      </c>
      <c r="AA145" s="147">
        <v>46258</v>
      </c>
      <c r="AB145" s="147">
        <v>46272</v>
      </c>
      <c r="AC145" s="147">
        <v>46292</v>
      </c>
      <c r="AD145" s="147">
        <v>46292</v>
      </c>
      <c r="AE145" s="147">
        <v>46295</v>
      </c>
      <c r="AF145" s="147">
        <v>46469</v>
      </c>
      <c r="AG145" s="147">
        <v>46489</v>
      </c>
      <c r="AH145" s="147">
        <v>46499</v>
      </c>
      <c r="AI145" s="147">
        <v>46502</v>
      </c>
      <c r="AJ145" s="147">
        <v>46529</v>
      </c>
      <c r="AK145" s="149">
        <v>40</v>
      </c>
      <c r="AL145" s="150">
        <v>280</v>
      </c>
      <c r="AM145" s="151">
        <v>46493</v>
      </c>
      <c r="AN145" s="151">
        <v>46498</v>
      </c>
      <c r="AO145" s="225">
        <f>AN145-AM146</f>
        <v>29</v>
      </c>
      <c r="AP145" s="235" t="s">
        <v>171</v>
      </c>
      <c r="AQ145" s="438" t="s">
        <v>314</v>
      </c>
      <c r="AR145" s="154">
        <f>IF(ISERROR(LOOKUP(AR$10,$O145:$AQ145,#REF!)),0,(LOOKUP(AR$10,$O145:$AQ145,#REF!)))</f>
        <v>0</v>
      </c>
      <c r="AS145" s="155">
        <f>IF(ISERROR(LOOKUP(AS$10,$O145:$AQ145,#REF!)),0,(LOOKUP(AS$10,$O145:$AQ145,#REF!)))</f>
        <v>0</v>
      </c>
      <c r="AT145" s="155">
        <f>IF(ISERROR(LOOKUP(AT$10,$O145:$AQ145,#REF!)),0,(LOOKUP(AT$10,$O145:$AQ145,#REF!)))</f>
        <v>0</v>
      </c>
      <c r="AU145" s="155">
        <f>IF(ISERROR(LOOKUP(AU$10,$O145:$AQ145,#REF!)),0,(LOOKUP(AU$10,$O145:$AQ145,#REF!)))</f>
        <v>0</v>
      </c>
      <c r="AV145" s="155">
        <f>IF(ISERROR(LOOKUP(AV$10,$O145:$AQ145,#REF!)),0,(LOOKUP(AV$10,$O145:$AQ145,#REF!)))</f>
        <v>0</v>
      </c>
      <c r="AW145" s="155">
        <f>IF(ISERROR(LOOKUP(AW$10,$O145:$AQ145,#REF!)),0,(LOOKUP(AW$10,$O145:$AQ145,#REF!)))</f>
        <v>0</v>
      </c>
      <c r="AX145" s="155">
        <f>IF(ISERROR(LOOKUP(AX$10,$O145:$AQ145,#REF!)),0,(LOOKUP(AX$10,$O145:$AQ145,#REF!)))</f>
        <v>0</v>
      </c>
      <c r="AY145" s="155">
        <f>IF(ISERROR(LOOKUP(AY$10,$O145:$AQ145,#REF!)),0,(LOOKUP(AY$10,$O145:$AQ145,#REF!)))</f>
        <v>0</v>
      </c>
      <c r="AZ145" s="155">
        <f>IF(ISERROR(LOOKUP(AZ$10,$O145:$AQ145,#REF!)),0,(LOOKUP(AZ$10,$O145:$AQ145,#REF!)))</f>
        <v>0</v>
      </c>
      <c r="BA145" s="155">
        <f>IF(ISERROR(LOOKUP(BA$10,$O145:$AQ145,#REF!)),0,(LOOKUP(BA$10,$O145:$AQ145,#REF!)))</f>
        <v>0</v>
      </c>
      <c r="BB145" s="155">
        <f ca="1">IF(ISERROR(LOOKUP(BB$10,$O145:$AQ145,#REF!)),0,(LOOKUP(BB$10,$O145:$AQ145,#REF!)))</f>
        <v>0</v>
      </c>
      <c r="BC145" s="156" t="s">
        <v>80</v>
      </c>
      <c r="BD145" s="193" t="s">
        <v>315</v>
      </c>
      <c r="BE145" s="176"/>
    </row>
    <row r="146" spans="1:57" s="78" customFormat="1" ht="15.4" thickTop="1" thickBot="1" x14ac:dyDescent="0.45">
      <c r="A146" s="459"/>
      <c r="B146" s="158" t="s">
        <v>310</v>
      </c>
      <c r="C146" s="197" t="s">
        <v>311</v>
      </c>
      <c r="D146" s="160" t="s">
        <v>312</v>
      </c>
      <c r="E146" s="161" t="s">
        <v>316</v>
      </c>
      <c r="F146" s="161">
        <v>4</v>
      </c>
      <c r="G146" s="204"/>
      <c r="H146" s="228" t="s">
        <v>301</v>
      </c>
      <c r="I146" s="159" t="s">
        <v>73</v>
      </c>
      <c r="J146" s="197" t="s">
        <v>95</v>
      </c>
      <c r="K146" s="197" t="s">
        <v>4</v>
      </c>
      <c r="L146" s="164" t="s">
        <v>306</v>
      </c>
      <c r="M146" s="165" t="s">
        <v>76</v>
      </c>
      <c r="N146" s="166" t="s">
        <v>84</v>
      </c>
      <c r="O146" s="167"/>
      <c r="P146" s="168"/>
      <c r="Q146" s="168"/>
      <c r="R146" s="168"/>
      <c r="S146" s="168"/>
      <c r="T146" s="168"/>
      <c r="U146" s="168"/>
      <c r="V146" s="168"/>
      <c r="W146" s="168"/>
      <c r="X146" s="168">
        <v>46245</v>
      </c>
      <c r="Y146" s="168">
        <f>WORKDAY(X146,Y7,IF(Y12="China",'China Holidays'!$A$2:$A$84,'Thai Holidays'!$A$2:$A$65))</f>
        <v>46247</v>
      </c>
      <c r="Z146" s="168"/>
      <c r="AA146" s="168">
        <f>AA145</f>
        <v>46258</v>
      </c>
      <c r="AB146" s="168">
        <f>WORKDAY(AA146,AB7,IF(AB12="China",'China Holidays'!$A$2:$A$84,'Thai Holidays'!$A$2:$A$65))</f>
        <v>46272</v>
      </c>
      <c r="AC146" s="168">
        <f>AB146+20</f>
        <v>46292</v>
      </c>
      <c r="AD146" s="168">
        <f>AC146</f>
        <v>46292</v>
      </c>
      <c r="AE146" s="168">
        <f>AD146+3</f>
        <v>46295</v>
      </c>
      <c r="AF146" s="168">
        <f>AG146-20</f>
        <v>46439</v>
      </c>
      <c r="AG146" s="168">
        <f>AH146-10</f>
        <v>46459</v>
      </c>
      <c r="AH146" s="168">
        <f>AM146</f>
        <v>46469</v>
      </c>
      <c r="AI146" s="168">
        <f>AM145+3</f>
        <v>46496</v>
      </c>
      <c r="AJ146" s="168">
        <f>AM145+30</f>
        <v>46523</v>
      </c>
      <c r="AK146" s="199">
        <v>32</v>
      </c>
      <c r="AL146" s="206">
        <f>AK146*7</f>
        <v>224</v>
      </c>
      <c r="AM146" s="170">
        <f>X146+AL146</f>
        <v>46469</v>
      </c>
      <c r="AN146" s="170"/>
      <c r="AO146" s="171"/>
      <c r="AP146" s="172"/>
      <c r="AQ146" s="448"/>
      <c r="AR146" s="154">
        <f>IF(ISERROR(LOOKUP(AR$10,$O146:$AQ146,#REF!)),0,(LOOKUP(AR$10,$O146:$AQ146,#REF!)))</f>
        <v>0</v>
      </c>
      <c r="AS146" s="155">
        <f>IF(ISERROR(LOOKUP(AS$10,$O146:$AQ146,#REF!)),0,(LOOKUP(AS$10,$O146:$AQ146,#REF!)))</f>
        <v>0</v>
      </c>
      <c r="AT146" s="155">
        <f>IF(ISERROR(LOOKUP(AT$10,$O146:$AQ146,#REF!)),0,(LOOKUP(AT$10,$O146:$AQ146,#REF!)))</f>
        <v>0</v>
      </c>
      <c r="AU146" s="155">
        <f>IF(ISERROR(LOOKUP(AU$10,$O146:$AQ146,#REF!)),0,(LOOKUP(AU$10,$O146:$AQ146,#REF!)))</f>
        <v>0</v>
      </c>
      <c r="AV146" s="155">
        <f>IF(ISERROR(LOOKUP(AV$10,$O146:$AQ146,#REF!)),0,(LOOKUP(AV$10,$O146:$AQ146,#REF!)))</f>
        <v>0</v>
      </c>
      <c r="AW146" s="155">
        <f>IF(ISERROR(LOOKUP(AW$10,$O146:$AQ146,#REF!)),0,(LOOKUP(AW$10,$O146:$AQ146,#REF!)))</f>
        <v>0</v>
      </c>
      <c r="AX146" s="155">
        <f>IF(ISERROR(LOOKUP(AX$10,$O146:$AQ146,#REF!)),0,(LOOKUP(AX$10,$O146:$AQ146,#REF!)))</f>
        <v>0</v>
      </c>
      <c r="AY146" s="155">
        <f>IF(ISERROR(LOOKUP(AY$10,$O146:$AQ146,#REF!)),0,(LOOKUP(AY$10,$O146:$AQ146,#REF!)))</f>
        <v>0</v>
      </c>
      <c r="AZ146" s="155">
        <f>IF(ISERROR(LOOKUP(AZ$10,$O146:$AQ146,#REF!)),0,(LOOKUP(AZ$10,$O146:$AQ146,#REF!)))</f>
        <v>0</v>
      </c>
      <c r="BA146" s="155">
        <f>IF(ISERROR(LOOKUP(BA$10,$O146:$AQ146,#REF!)),0,(LOOKUP(BA$10,$O146:$AQ146,#REF!)))</f>
        <v>0</v>
      </c>
      <c r="BB146" s="155">
        <f ca="1">IF(ISERROR(LOOKUP(BB$10,$O146:$AQ146,#REF!)),0,(LOOKUP(BB$10,$O146:$AQ146,#REF!)))</f>
        <v>0</v>
      </c>
      <c r="BC146" s="156" t="s">
        <v>85</v>
      </c>
      <c r="BD146" s="176" t="s">
        <v>317</v>
      </c>
      <c r="BE146" s="176"/>
    </row>
    <row r="147" spans="1:57" s="78" customFormat="1" ht="15.4" thickTop="1" thickBot="1" x14ac:dyDescent="0.45">
      <c r="A147" s="460"/>
      <c r="B147" s="177" t="s">
        <v>310</v>
      </c>
      <c r="C147" s="178" t="s">
        <v>311</v>
      </c>
      <c r="D147" s="179" t="s">
        <v>312</v>
      </c>
      <c r="E147" s="180"/>
      <c r="F147" s="180"/>
      <c r="G147" s="207"/>
      <c r="H147" s="182" t="s">
        <v>301</v>
      </c>
      <c r="I147" s="178" t="s">
        <v>73</v>
      </c>
      <c r="J147" s="178" t="s">
        <v>95</v>
      </c>
      <c r="K147" s="178" t="s">
        <v>4</v>
      </c>
      <c r="L147" s="318"/>
      <c r="M147" s="184" t="s">
        <v>76</v>
      </c>
      <c r="N147" s="185" t="s">
        <v>87</v>
      </c>
      <c r="O147" s="186">
        <v>46133</v>
      </c>
      <c r="P147" s="186">
        <v>46140</v>
      </c>
      <c r="Q147" s="186">
        <v>46153</v>
      </c>
      <c r="R147" s="186">
        <v>46153</v>
      </c>
      <c r="S147" s="186">
        <v>46153</v>
      </c>
      <c r="T147" s="186">
        <v>46164</v>
      </c>
      <c r="U147" s="186">
        <v>46210</v>
      </c>
      <c r="V147" s="186">
        <v>46211</v>
      </c>
      <c r="W147" s="186">
        <v>46227</v>
      </c>
      <c r="X147" s="186"/>
      <c r="Y147" s="186"/>
      <c r="Z147" s="186">
        <v>46233</v>
      </c>
      <c r="AA147" s="186"/>
      <c r="AB147" s="186"/>
      <c r="AC147" s="186"/>
      <c r="AD147" s="186"/>
      <c r="AE147" s="186"/>
      <c r="AF147" s="186"/>
      <c r="AG147" s="186"/>
      <c r="AH147" s="186"/>
      <c r="AI147" s="186"/>
      <c r="AJ147" s="186"/>
      <c r="AK147" s="188"/>
      <c r="AL147" s="211"/>
      <c r="AM147" s="187"/>
      <c r="AN147" s="187"/>
      <c r="AO147" s="189"/>
      <c r="AP147" s="190"/>
      <c r="AQ147" s="449"/>
      <c r="AR147" s="191">
        <f>IF(ISERROR(LOOKUP(AR$10,$O147:$AQ147,#REF!)),0,(LOOKUP(AR$10,$O147:$AQ147,#REF!)))</f>
        <v>0</v>
      </c>
      <c r="AS147" s="192">
        <f>IF(ISERROR(LOOKUP(AS$10,$O147:$AQ147,#REF!)),0,(LOOKUP(AS$10,$O147:$AQ147,#REF!)))</f>
        <v>0</v>
      </c>
      <c r="AT147" s="192">
        <f>IF(ISERROR(LOOKUP(AT$10,$O147:$AQ147,#REF!)),0,(LOOKUP(AT$10,$O147:$AQ147,#REF!)))</f>
        <v>0</v>
      </c>
      <c r="AU147" s="192">
        <f>IF(ISERROR(LOOKUP(AU$10,$O147:$AQ147,#REF!)),0,(LOOKUP(AU$10,$O147:$AQ147,#REF!)))</f>
        <v>0</v>
      </c>
      <c r="AV147" s="192">
        <f>IF(ISERROR(LOOKUP(AV$10,$O147:$AQ147,#REF!)),0,(LOOKUP(AV$10,$O147:$AQ147,#REF!)))</f>
        <v>0</v>
      </c>
      <c r="AW147" s="192">
        <f>IF(ISERROR(LOOKUP(AW$10,$O147:$AQ147,#REF!)),0,(LOOKUP(AW$10,$O147:$AQ147,#REF!)))</f>
        <v>0</v>
      </c>
      <c r="AX147" s="192">
        <f>IF(ISERROR(LOOKUP(AX$10,$O147:$AQ147,#REF!)),0,(LOOKUP(AX$10,$O147:$AQ147,#REF!)))</f>
        <v>0</v>
      </c>
      <c r="AY147" s="192">
        <f>IF(ISERROR(LOOKUP(AY$10,$O147:$AQ147,#REF!)),0,(LOOKUP(AY$10,$O147:$AQ147,#REF!)))</f>
        <v>0</v>
      </c>
      <c r="AZ147" s="192">
        <f>IF(ISERROR(LOOKUP(AZ$10,$O147:$AQ147,#REF!)),0,(LOOKUP(AZ$10,$O147:$AQ147,#REF!)))</f>
        <v>0</v>
      </c>
      <c r="BA147" s="192">
        <f>IF(ISERROR(LOOKUP(BA$10,$O147:$AQ147,#REF!)),0,(LOOKUP(BA$10,$O147:$AQ147,#REF!)))</f>
        <v>0</v>
      </c>
      <c r="BB147" s="192">
        <f ca="1">IF(ISERROR(LOOKUP(BB$10,$O147:$AQ147,#REF!)),0,(LOOKUP(BB$10,$O147:$AQ147,#REF!)))</f>
        <v>0</v>
      </c>
      <c r="BC147" s="156" t="s">
        <v>88</v>
      </c>
      <c r="BD147" s="193" t="s">
        <v>318</v>
      </c>
      <c r="BE147" s="176"/>
    </row>
    <row r="148" spans="1:57" s="78" customFormat="1" ht="15.4" thickTop="1" thickBot="1" x14ac:dyDescent="0.45">
      <c r="A148" s="458">
        <f t="shared" ref="A148" si="30">A145+1</f>
        <v>39</v>
      </c>
      <c r="B148" s="139" t="s">
        <v>319</v>
      </c>
      <c r="C148" s="140" t="s">
        <v>320</v>
      </c>
      <c r="D148" s="141" t="s">
        <v>321</v>
      </c>
      <c r="E148" s="202" t="s">
        <v>322</v>
      </c>
      <c r="F148" s="202">
        <v>4</v>
      </c>
      <c r="G148" s="427" t="s">
        <v>323</v>
      </c>
      <c r="H148" s="143" t="s">
        <v>301</v>
      </c>
      <c r="I148" s="140" t="s">
        <v>73</v>
      </c>
      <c r="J148" s="140" t="s">
        <v>95</v>
      </c>
      <c r="K148" s="140" t="s">
        <v>4</v>
      </c>
      <c r="L148" s="144" t="s">
        <v>302</v>
      </c>
      <c r="M148" s="145" t="s">
        <v>76</v>
      </c>
      <c r="N148" s="146" t="s">
        <v>77</v>
      </c>
      <c r="O148" s="147">
        <v>46136</v>
      </c>
      <c r="P148" s="147">
        <v>46139</v>
      </c>
      <c r="Q148" s="147">
        <v>46148</v>
      </c>
      <c r="R148" s="147">
        <v>46149</v>
      </c>
      <c r="S148" s="147">
        <v>46156</v>
      </c>
      <c r="T148" s="147">
        <v>46170</v>
      </c>
      <c r="U148" s="147">
        <v>46202</v>
      </c>
      <c r="V148" s="147">
        <v>46205</v>
      </c>
      <c r="W148" s="147"/>
      <c r="X148" s="148">
        <v>46219</v>
      </c>
      <c r="Y148" s="147">
        <v>46223</v>
      </c>
      <c r="Z148" s="147">
        <v>46230</v>
      </c>
      <c r="AA148" s="147">
        <v>46258</v>
      </c>
      <c r="AB148" s="147">
        <v>46272</v>
      </c>
      <c r="AC148" s="147">
        <v>46292</v>
      </c>
      <c r="AD148" s="147">
        <v>46292</v>
      </c>
      <c r="AE148" s="147">
        <v>46295</v>
      </c>
      <c r="AF148" s="147">
        <v>46469</v>
      </c>
      <c r="AG148" s="147">
        <v>46489</v>
      </c>
      <c r="AH148" s="147">
        <v>46499</v>
      </c>
      <c r="AI148" s="147">
        <v>46502</v>
      </c>
      <c r="AJ148" s="147">
        <v>46529</v>
      </c>
      <c r="AK148" s="149">
        <v>40</v>
      </c>
      <c r="AL148" s="150">
        <v>280</v>
      </c>
      <c r="AM148" s="151">
        <v>46493</v>
      </c>
      <c r="AN148" s="151">
        <v>46498</v>
      </c>
      <c r="AO148" s="225">
        <f>AN148-AM149</f>
        <v>29</v>
      </c>
      <c r="AP148" s="235" t="s">
        <v>171</v>
      </c>
      <c r="AQ148" s="438" t="s">
        <v>314</v>
      </c>
      <c r="AR148" s="154">
        <f>IF(ISERROR(LOOKUP(AR$10,$O148:$AQ148,#REF!)),0,(LOOKUP(AR$10,$O148:$AQ148,#REF!)))</f>
        <v>0</v>
      </c>
      <c r="AS148" s="155">
        <f>IF(ISERROR(LOOKUP(AS$10,$O148:$AQ148,#REF!)),0,(LOOKUP(AS$10,$O148:$AQ148,#REF!)))</f>
        <v>0</v>
      </c>
      <c r="AT148" s="155">
        <f>IF(ISERROR(LOOKUP(AT$10,$O148:$AQ148,#REF!)),0,(LOOKUP(AT$10,$O148:$AQ148,#REF!)))</f>
        <v>0</v>
      </c>
      <c r="AU148" s="155">
        <f>IF(ISERROR(LOOKUP(AU$10,$O148:$AQ148,#REF!)),0,(LOOKUP(AU$10,$O148:$AQ148,#REF!)))</f>
        <v>0</v>
      </c>
      <c r="AV148" s="155">
        <f>IF(ISERROR(LOOKUP(AV$10,$O148:$AQ148,#REF!)),0,(LOOKUP(AV$10,$O148:$AQ148,#REF!)))</f>
        <v>0</v>
      </c>
      <c r="AW148" s="155">
        <f>IF(ISERROR(LOOKUP(AW$10,$O148:$AQ148,#REF!)),0,(LOOKUP(AW$10,$O148:$AQ148,#REF!)))</f>
        <v>0</v>
      </c>
      <c r="AX148" s="155">
        <f>IF(ISERROR(LOOKUP(AX$10,$O148:$AQ148,#REF!)),0,(LOOKUP(AX$10,$O148:$AQ148,#REF!)))</f>
        <v>0</v>
      </c>
      <c r="AY148" s="155">
        <f>IF(ISERROR(LOOKUP(AY$10,$O148:$AQ148,#REF!)),0,(LOOKUP(AY$10,$O148:$AQ148,#REF!)))</f>
        <v>0</v>
      </c>
      <c r="AZ148" s="155">
        <f>IF(ISERROR(LOOKUP(AZ$10,$O148:$AQ148,#REF!)),0,(LOOKUP(AZ$10,$O148:$AQ148,#REF!)))</f>
        <v>0</v>
      </c>
      <c r="BA148" s="155">
        <f>IF(ISERROR(LOOKUP(BA$10,$O148:$AQ148,#REF!)),0,(LOOKUP(BA$10,$O148:$AQ148,#REF!)))</f>
        <v>0</v>
      </c>
      <c r="BB148" s="155">
        <f ca="1">IF(ISERROR(LOOKUP(BB$10,$O148:$AQ148,#REF!)),0,(LOOKUP(BB$10,$O148:$AQ148,#REF!)))</f>
        <v>0</v>
      </c>
      <c r="BC148" s="156" t="s">
        <v>80</v>
      </c>
      <c r="BD148" s="193" t="s">
        <v>315</v>
      </c>
      <c r="BE148" s="176"/>
    </row>
    <row r="149" spans="1:57" s="78" customFormat="1" ht="15.4" thickTop="1" thickBot="1" x14ac:dyDescent="0.45">
      <c r="A149" s="459"/>
      <c r="B149" s="158" t="s">
        <v>319</v>
      </c>
      <c r="C149" s="197" t="s">
        <v>320</v>
      </c>
      <c r="D149" s="160" t="s">
        <v>321</v>
      </c>
      <c r="E149" s="205"/>
      <c r="F149" s="205"/>
      <c r="G149" s="204" t="s">
        <v>323</v>
      </c>
      <c r="H149" s="228" t="s">
        <v>301</v>
      </c>
      <c r="I149" s="159" t="s">
        <v>73</v>
      </c>
      <c r="J149" s="197" t="s">
        <v>95</v>
      </c>
      <c r="K149" s="197" t="s">
        <v>4</v>
      </c>
      <c r="L149" s="164" t="s">
        <v>306</v>
      </c>
      <c r="M149" s="165" t="s">
        <v>76</v>
      </c>
      <c r="N149" s="166" t="s">
        <v>84</v>
      </c>
      <c r="O149" s="167"/>
      <c r="P149" s="168"/>
      <c r="Q149" s="168"/>
      <c r="R149" s="168"/>
      <c r="S149" s="168"/>
      <c r="T149" s="168"/>
      <c r="U149" s="168"/>
      <c r="V149" s="168"/>
      <c r="W149" s="168"/>
      <c r="X149" s="168">
        <v>46245</v>
      </c>
      <c r="Y149" s="168">
        <f>WORKDAY(X149,Y7,IF(Y12="China",'China Holidays'!$A$2:$A$84,'Thai Holidays'!$A$2:$A$65))</f>
        <v>46247</v>
      </c>
      <c r="Z149" s="168"/>
      <c r="AA149" s="168">
        <f>AA148</f>
        <v>46258</v>
      </c>
      <c r="AB149" s="168">
        <f>WORKDAY(AA149,AB7,IF(AB12="China",'China Holidays'!$A$2:$A$84,'Thai Holidays'!$A$2:$A$65))</f>
        <v>46272</v>
      </c>
      <c r="AC149" s="168">
        <f>AB149+20</f>
        <v>46292</v>
      </c>
      <c r="AD149" s="168">
        <f>AC149</f>
        <v>46292</v>
      </c>
      <c r="AE149" s="168">
        <f>AD149+3</f>
        <v>46295</v>
      </c>
      <c r="AF149" s="168">
        <f>AG149-20</f>
        <v>46439</v>
      </c>
      <c r="AG149" s="168">
        <f>AH149-10</f>
        <v>46459</v>
      </c>
      <c r="AH149" s="168">
        <f>AM149</f>
        <v>46469</v>
      </c>
      <c r="AI149" s="168">
        <f>AM148+3</f>
        <v>46496</v>
      </c>
      <c r="AJ149" s="168">
        <f>AM148+30</f>
        <v>46523</v>
      </c>
      <c r="AK149" s="199">
        <v>32</v>
      </c>
      <c r="AL149" s="206">
        <f>AK149*7</f>
        <v>224</v>
      </c>
      <c r="AM149" s="170">
        <f>X149+AL149</f>
        <v>46469</v>
      </c>
      <c r="AN149" s="170"/>
      <c r="AO149" s="171"/>
      <c r="AP149" s="172"/>
      <c r="AQ149" s="448"/>
      <c r="AR149" s="154">
        <f>IF(ISERROR(LOOKUP(AR$10,$O149:$AQ149,#REF!)),0,(LOOKUP(AR$10,$O149:$AQ149,#REF!)))</f>
        <v>0</v>
      </c>
      <c r="AS149" s="155">
        <f>IF(ISERROR(LOOKUP(AS$10,$O149:$AQ149,#REF!)),0,(LOOKUP(AS$10,$O149:$AQ149,#REF!)))</f>
        <v>0</v>
      </c>
      <c r="AT149" s="155">
        <f>IF(ISERROR(LOOKUP(AT$10,$O149:$AQ149,#REF!)),0,(LOOKUP(AT$10,$O149:$AQ149,#REF!)))</f>
        <v>0</v>
      </c>
      <c r="AU149" s="155">
        <f>IF(ISERROR(LOOKUP(AU$10,$O149:$AQ149,#REF!)),0,(LOOKUP(AU$10,$O149:$AQ149,#REF!)))</f>
        <v>0</v>
      </c>
      <c r="AV149" s="155">
        <f>IF(ISERROR(LOOKUP(AV$10,$O149:$AQ149,#REF!)),0,(LOOKUP(AV$10,$O149:$AQ149,#REF!)))</f>
        <v>0</v>
      </c>
      <c r="AW149" s="155">
        <f>IF(ISERROR(LOOKUP(AW$10,$O149:$AQ149,#REF!)),0,(LOOKUP(AW$10,$O149:$AQ149,#REF!)))</f>
        <v>0</v>
      </c>
      <c r="AX149" s="155">
        <f>IF(ISERROR(LOOKUP(AX$10,$O149:$AQ149,#REF!)),0,(LOOKUP(AX$10,$O149:$AQ149,#REF!)))</f>
        <v>0</v>
      </c>
      <c r="AY149" s="155">
        <f>IF(ISERROR(LOOKUP(AY$10,$O149:$AQ149,#REF!)),0,(LOOKUP(AY$10,$O149:$AQ149,#REF!)))</f>
        <v>0</v>
      </c>
      <c r="AZ149" s="155">
        <f>IF(ISERROR(LOOKUP(AZ$10,$O149:$AQ149,#REF!)),0,(LOOKUP(AZ$10,$O149:$AQ149,#REF!)))</f>
        <v>0</v>
      </c>
      <c r="BA149" s="155">
        <f>IF(ISERROR(LOOKUP(BA$10,$O149:$AQ149,#REF!)),0,(LOOKUP(BA$10,$O149:$AQ149,#REF!)))</f>
        <v>0</v>
      </c>
      <c r="BB149" s="155">
        <f ca="1">IF(ISERROR(LOOKUP(BB$10,$O149:$AQ149,#REF!)),0,(LOOKUP(BB$10,$O149:$AQ149,#REF!)))</f>
        <v>0</v>
      </c>
      <c r="BC149" s="156" t="s">
        <v>85</v>
      </c>
      <c r="BD149" s="176" t="s">
        <v>317</v>
      </c>
      <c r="BE149" s="176"/>
    </row>
    <row r="150" spans="1:57" s="78" customFormat="1" ht="15.4" thickTop="1" thickBot="1" x14ac:dyDescent="0.45">
      <c r="A150" s="460"/>
      <c r="B150" s="177" t="s">
        <v>319</v>
      </c>
      <c r="C150" s="178" t="s">
        <v>320</v>
      </c>
      <c r="D150" s="179" t="s">
        <v>321</v>
      </c>
      <c r="E150" s="215"/>
      <c r="F150" s="215"/>
      <c r="G150" s="207" t="s">
        <v>323</v>
      </c>
      <c r="H150" s="182" t="s">
        <v>301</v>
      </c>
      <c r="I150" s="178" t="s">
        <v>73</v>
      </c>
      <c r="J150" s="178" t="s">
        <v>95</v>
      </c>
      <c r="K150" s="178" t="s">
        <v>4</v>
      </c>
      <c r="L150" s="318"/>
      <c r="M150" s="184" t="s">
        <v>76</v>
      </c>
      <c r="N150" s="185" t="s">
        <v>87</v>
      </c>
      <c r="O150" s="186">
        <v>46133</v>
      </c>
      <c r="P150" s="186">
        <v>46140</v>
      </c>
      <c r="Q150" s="186">
        <v>46153</v>
      </c>
      <c r="R150" s="186">
        <v>46153</v>
      </c>
      <c r="S150" s="186">
        <v>46153</v>
      </c>
      <c r="T150" s="186">
        <v>46164</v>
      </c>
      <c r="U150" s="186">
        <v>46210</v>
      </c>
      <c r="V150" s="186">
        <v>46215</v>
      </c>
      <c r="W150" s="186">
        <v>46227</v>
      </c>
      <c r="X150" s="186"/>
      <c r="Y150" s="186"/>
      <c r="Z150" s="186">
        <v>46233</v>
      </c>
      <c r="AA150" s="186"/>
      <c r="AB150" s="186"/>
      <c r="AC150" s="186"/>
      <c r="AD150" s="186"/>
      <c r="AE150" s="186"/>
      <c r="AF150" s="186"/>
      <c r="AG150" s="186"/>
      <c r="AH150" s="186"/>
      <c r="AI150" s="186"/>
      <c r="AJ150" s="186"/>
      <c r="AK150" s="188"/>
      <c r="AL150" s="211"/>
      <c r="AM150" s="187"/>
      <c r="AN150" s="187"/>
      <c r="AO150" s="189"/>
      <c r="AP150" s="190"/>
      <c r="AQ150" s="449"/>
      <c r="AR150" s="191">
        <f>IF(ISERROR(LOOKUP(AR$10,$O150:$AQ150,#REF!)),0,(LOOKUP(AR$10,$O150:$AQ150,#REF!)))</f>
        <v>0</v>
      </c>
      <c r="AS150" s="192">
        <f>IF(ISERROR(LOOKUP(AS$10,$O150:$AQ150,#REF!)),0,(LOOKUP(AS$10,$O150:$AQ150,#REF!)))</f>
        <v>0</v>
      </c>
      <c r="AT150" s="192">
        <f>IF(ISERROR(LOOKUP(AT$10,$O150:$AQ150,#REF!)),0,(LOOKUP(AT$10,$O150:$AQ150,#REF!)))</f>
        <v>0</v>
      </c>
      <c r="AU150" s="192">
        <f>IF(ISERROR(LOOKUP(AU$10,$O150:$AQ150,#REF!)),0,(LOOKUP(AU$10,$O150:$AQ150,#REF!)))</f>
        <v>0</v>
      </c>
      <c r="AV150" s="192">
        <f>IF(ISERROR(LOOKUP(AV$10,$O150:$AQ150,#REF!)),0,(LOOKUP(AV$10,$O150:$AQ150,#REF!)))</f>
        <v>0</v>
      </c>
      <c r="AW150" s="192">
        <f>IF(ISERROR(LOOKUP(AW$10,$O150:$AQ150,#REF!)),0,(LOOKUP(AW$10,$O150:$AQ150,#REF!)))</f>
        <v>0</v>
      </c>
      <c r="AX150" s="192">
        <f>IF(ISERROR(LOOKUP(AX$10,$O150:$AQ150,#REF!)),0,(LOOKUP(AX$10,$O150:$AQ150,#REF!)))</f>
        <v>0</v>
      </c>
      <c r="AY150" s="192">
        <f>IF(ISERROR(LOOKUP(AY$10,$O150:$AQ150,#REF!)),0,(LOOKUP(AY$10,$O150:$AQ150,#REF!)))</f>
        <v>0</v>
      </c>
      <c r="AZ150" s="192">
        <f>IF(ISERROR(LOOKUP(AZ$10,$O150:$AQ150,#REF!)),0,(LOOKUP(AZ$10,$O150:$AQ150,#REF!)))</f>
        <v>0</v>
      </c>
      <c r="BA150" s="192">
        <f>IF(ISERROR(LOOKUP(BA$10,$O150:$AQ150,#REF!)),0,(LOOKUP(BA$10,$O150:$AQ150,#REF!)))</f>
        <v>0</v>
      </c>
      <c r="BB150" s="192">
        <f ca="1">IF(ISERROR(LOOKUP(BB$10,$O150:$AQ150,#REF!)),0,(LOOKUP(BB$10,$O150:$AQ150,#REF!)))</f>
        <v>0</v>
      </c>
      <c r="BC150" s="156" t="s">
        <v>88</v>
      </c>
      <c r="BD150" s="193" t="s">
        <v>318</v>
      </c>
      <c r="BE150" s="176"/>
    </row>
    <row r="151" spans="1:57" s="78" customFormat="1" ht="22.9" customHeight="1" thickTop="1" thickBot="1" x14ac:dyDescent="0.45">
      <c r="A151" s="458">
        <f t="shared" ref="A151" si="31">A148+1</f>
        <v>40</v>
      </c>
      <c r="B151" s="139" t="s">
        <v>324</v>
      </c>
      <c r="C151" s="140" t="s">
        <v>325</v>
      </c>
      <c r="D151" s="265" t="s">
        <v>326</v>
      </c>
      <c r="E151" s="202" t="s">
        <v>327</v>
      </c>
      <c r="F151" s="202">
        <v>24</v>
      </c>
      <c r="G151" s="427" t="s">
        <v>328</v>
      </c>
      <c r="H151" s="143" t="s">
        <v>301</v>
      </c>
      <c r="I151" s="140" t="s">
        <v>73</v>
      </c>
      <c r="J151" s="140" t="s">
        <v>139</v>
      </c>
      <c r="K151" s="140" t="s">
        <v>4</v>
      </c>
      <c r="L151" s="144" t="s">
        <v>302</v>
      </c>
      <c r="M151" s="145" t="s">
        <v>76</v>
      </c>
      <c r="N151" s="146" t="s">
        <v>77</v>
      </c>
      <c r="O151" s="223">
        <v>46149</v>
      </c>
      <c r="P151" s="223">
        <v>46150</v>
      </c>
      <c r="Q151" s="223">
        <v>46157</v>
      </c>
      <c r="R151" s="223">
        <v>46160</v>
      </c>
      <c r="S151" s="223">
        <v>46167</v>
      </c>
      <c r="T151" s="223">
        <v>46181</v>
      </c>
      <c r="U151" s="223">
        <v>46209</v>
      </c>
      <c r="V151" s="148">
        <v>46212</v>
      </c>
      <c r="W151" s="223"/>
      <c r="X151" s="147">
        <v>46226</v>
      </c>
      <c r="Y151" s="147">
        <v>46230</v>
      </c>
      <c r="Z151" s="147">
        <v>46237</v>
      </c>
      <c r="AA151" s="147">
        <v>46265</v>
      </c>
      <c r="AB151" s="147">
        <v>46279</v>
      </c>
      <c r="AC151" s="147">
        <v>46309</v>
      </c>
      <c r="AD151" s="147">
        <v>46309</v>
      </c>
      <c r="AE151" s="147">
        <v>46312</v>
      </c>
      <c r="AF151" s="147">
        <v>46470</v>
      </c>
      <c r="AG151" s="147">
        <v>46490</v>
      </c>
      <c r="AH151" s="147">
        <v>46520</v>
      </c>
      <c r="AI151" s="147">
        <v>46523</v>
      </c>
      <c r="AJ151" s="147">
        <v>46550</v>
      </c>
      <c r="AK151" s="149">
        <v>42</v>
      </c>
      <c r="AL151" s="150">
        <v>294</v>
      </c>
      <c r="AM151" s="151">
        <v>46520</v>
      </c>
      <c r="AN151" s="151">
        <v>46530</v>
      </c>
      <c r="AO151" s="225">
        <f>AN151-AM152</f>
        <v>61</v>
      </c>
      <c r="AP151" s="235" t="s">
        <v>171</v>
      </c>
      <c r="AQ151" s="438" t="s">
        <v>329</v>
      </c>
      <c r="AR151" s="154">
        <f>IF(ISERROR(LOOKUP(AR$10,$O151:$AQ151,#REF!)),0,(LOOKUP(AR$10,$O151:$AQ151,#REF!)))</f>
        <v>0</v>
      </c>
      <c r="AS151" s="155">
        <f>IF(ISERROR(LOOKUP(AS$10,$O151:$AQ151,#REF!)),0,(LOOKUP(AS$10,$O151:$AQ151,#REF!)))</f>
        <v>0</v>
      </c>
      <c r="AT151" s="155">
        <f>IF(ISERROR(LOOKUP(AT$10,$O151:$AQ151,#REF!)),0,(LOOKUP(AT$10,$O151:$AQ151,#REF!)))</f>
        <v>0</v>
      </c>
      <c r="AU151" s="155">
        <f>IF(ISERROR(LOOKUP(AU$10,$O151:$AQ151,#REF!)),0,(LOOKUP(AU$10,$O151:$AQ151,#REF!)))</f>
        <v>0</v>
      </c>
      <c r="AV151" s="155">
        <f>IF(ISERROR(LOOKUP(AV$10,$O151:$AQ151,#REF!)),0,(LOOKUP(AV$10,$O151:$AQ151,#REF!)))</f>
        <v>0</v>
      </c>
      <c r="AW151" s="155">
        <f>IF(ISERROR(LOOKUP(AW$10,$O151:$AQ151,#REF!)),0,(LOOKUP(AW$10,$O151:$AQ151,#REF!)))</f>
        <v>0</v>
      </c>
      <c r="AX151" s="155">
        <f>IF(ISERROR(LOOKUP(AX$10,$O151:$AQ151,#REF!)),0,(LOOKUP(AX$10,$O151:$AQ151,#REF!)))</f>
        <v>0</v>
      </c>
      <c r="AY151" s="155">
        <f>IF(ISERROR(LOOKUP(AY$10,$O151:$AQ151,#REF!)),0,(LOOKUP(AY$10,$O151:$AQ151,#REF!)))</f>
        <v>0</v>
      </c>
      <c r="AZ151" s="155">
        <f>IF(ISERROR(LOOKUP(AZ$10,$O151:$AQ151,#REF!)),0,(LOOKUP(AZ$10,$O151:$AQ151,#REF!)))</f>
        <v>0</v>
      </c>
      <c r="BA151" s="155">
        <f>IF(ISERROR(LOOKUP(BA$10,$O151:$AQ151,#REF!)),0,(LOOKUP(BA$10,$O151:$AQ151,#REF!)))</f>
        <v>0</v>
      </c>
      <c r="BB151" s="155">
        <f ca="1">IF(ISERROR(LOOKUP(BB$10,$O151:$AQ151,#REF!)),0,(LOOKUP(BB$10,$O151:$AQ151,#REF!)))</f>
        <v>0</v>
      </c>
      <c r="BC151" s="156" t="s">
        <v>80</v>
      </c>
      <c r="BD151" s="193" t="s">
        <v>330</v>
      </c>
      <c r="BE151" s="176"/>
    </row>
    <row r="152" spans="1:57" s="78" customFormat="1" ht="21" thickTop="1" thickBot="1" x14ac:dyDescent="0.45">
      <c r="A152" s="459"/>
      <c r="B152" s="158" t="s">
        <v>324</v>
      </c>
      <c r="C152" s="197" t="s">
        <v>325</v>
      </c>
      <c r="D152" s="226" t="s">
        <v>326</v>
      </c>
      <c r="E152" s="227" t="s">
        <v>331</v>
      </c>
      <c r="F152" s="227">
        <v>12</v>
      </c>
      <c r="G152" s="204" t="s">
        <v>328</v>
      </c>
      <c r="H152" s="228" t="s">
        <v>301</v>
      </c>
      <c r="I152" s="159" t="s">
        <v>73</v>
      </c>
      <c r="J152" s="197" t="s">
        <v>139</v>
      </c>
      <c r="K152" s="197" t="s">
        <v>4</v>
      </c>
      <c r="L152" s="164" t="s">
        <v>306</v>
      </c>
      <c r="M152" s="165" t="s">
        <v>76</v>
      </c>
      <c r="N152" s="166" t="s">
        <v>84</v>
      </c>
      <c r="O152" s="167"/>
      <c r="P152" s="168"/>
      <c r="Q152" s="219"/>
      <c r="R152" s="168"/>
      <c r="S152" s="168"/>
      <c r="T152" s="168"/>
      <c r="U152" s="168"/>
      <c r="V152" s="168">
        <v>46245</v>
      </c>
      <c r="W152" s="168"/>
      <c r="X152" s="168">
        <v>46245</v>
      </c>
      <c r="Y152" s="168">
        <f>WORKDAY(X152,Y7,IF(Y12="China",'China Holidays'!$A$2:$A$84,'Thai Holidays'!$A$2:$A$65))</f>
        <v>46247</v>
      </c>
      <c r="Z152" s="168"/>
      <c r="AA152" s="168">
        <f>AA151</f>
        <v>46265</v>
      </c>
      <c r="AB152" s="168">
        <f>WORKDAY(AA152,AC7,IF(AB12="China",'China Holidays'!$A$2:$A$84,'Thai Holidays'!$A$2:$A$65))</f>
        <v>46265</v>
      </c>
      <c r="AC152" s="168">
        <f>AB152+30</f>
        <v>46295</v>
      </c>
      <c r="AD152" s="168">
        <f>AC152</f>
        <v>46295</v>
      </c>
      <c r="AE152" s="168">
        <f>AD152+3</f>
        <v>46298</v>
      </c>
      <c r="AF152" s="168">
        <f>AG152-20</f>
        <v>46419</v>
      </c>
      <c r="AG152" s="168">
        <f>AH152-30</f>
        <v>46439</v>
      </c>
      <c r="AH152" s="168">
        <f>AM152</f>
        <v>46469</v>
      </c>
      <c r="AI152" s="168">
        <f>AM151+3</f>
        <v>46523</v>
      </c>
      <c r="AJ152" s="168">
        <f>AM151+30</f>
        <v>46550</v>
      </c>
      <c r="AK152" s="199">
        <v>32</v>
      </c>
      <c r="AL152" s="206">
        <f>AK152*7</f>
        <v>224</v>
      </c>
      <c r="AM152" s="170">
        <f>X152+AL152</f>
        <v>46469</v>
      </c>
      <c r="AN152" s="170"/>
      <c r="AO152" s="171"/>
      <c r="AP152" s="172"/>
      <c r="AQ152" s="448"/>
      <c r="AR152" s="154">
        <f>IF(ISERROR(LOOKUP(AR$10,$O152:$AQ152,#REF!)),0,(LOOKUP(AR$10,$O152:$AQ152,#REF!)))</f>
        <v>0</v>
      </c>
      <c r="AS152" s="155">
        <f>IF(ISERROR(LOOKUP(AS$10,$O152:$AQ152,#REF!)),0,(LOOKUP(AS$10,$O152:$AQ152,#REF!)))</f>
        <v>0</v>
      </c>
      <c r="AT152" s="155">
        <f>IF(ISERROR(LOOKUP(AT$10,$O152:$AQ152,#REF!)),0,(LOOKUP(AT$10,$O152:$AQ152,#REF!)))</f>
        <v>0</v>
      </c>
      <c r="AU152" s="155">
        <f>IF(ISERROR(LOOKUP(AU$10,$O152:$AQ152,#REF!)),0,(LOOKUP(AU$10,$O152:$AQ152,#REF!)))</f>
        <v>0</v>
      </c>
      <c r="AV152" s="155">
        <f>IF(ISERROR(LOOKUP(AV$10,$O152:$AQ152,#REF!)),0,(LOOKUP(AV$10,$O152:$AQ152,#REF!)))</f>
        <v>0</v>
      </c>
      <c r="AW152" s="155">
        <f>IF(ISERROR(LOOKUP(AW$10,$O152:$AQ152,#REF!)),0,(LOOKUP(AW$10,$O152:$AQ152,#REF!)))</f>
        <v>0</v>
      </c>
      <c r="AX152" s="155">
        <f>IF(ISERROR(LOOKUP(AX$10,$O152:$AQ152,#REF!)),0,(LOOKUP(AX$10,$O152:$AQ152,#REF!)))</f>
        <v>0</v>
      </c>
      <c r="AY152" s="155">
        <f>IF(ISERROR(LOOKUP(AY$10,$O152:$AQ152,#REF!)),0,(LOOKUP(AY$10,$O152:$AQ152,#REF!)))</f>
        <v>0</v>
      </c>
      <c r="AZ152" s="155">
        <f>IF(ISERROR(LOOKUP(AZ$10,$O152:$AQ152,#REF!)),0,(LOOKUP(AZ$10,$O152:$AQ152,#REF!)))</f>
        <v>0</v>
      </c>
      <c r="BA152" s="155">
        <f>IF(ISERROR(LOOKUP(BA$10,$O152:$AQ152,#REF!)),0,(LOOKUP(BA$10,$O152:$AQ152,#REF!)))</f>
        <v>0</v>
      </c>
      <c r="BB152" s="155">
        <f ca="1">IF(ISERROR(LOOKUP(BB$10,$O152:$AQ152,#REF!)),0,(LOOKUP(BB$10,$O152:$AQ152,#REF!)))</f>
        <v>0</v>
      </c>
      <c r="BC152" s="156" t="s">
        <v>85</v>
      </c>
      <c r="BD152" s="193" t="s">
        <v>332</v>
      </c>
      <c r="BE152" s="176"/>
    </row>
    <row r="153" spans="1:57" s="78" customFormat="1" ht="21" thickTop="1" thickBot="1" x14ac:dyDescent="0.45">
      <c r="A153" s="460"/>
      <c r="B153" s="177" t="s">
        <v>324</v>
      </c>
      <c r="C153" s="178" t="s">
        <v>325</v>
      </c>
      <c r="D153" s="319" t="s">
        <v>326</v>
      </c>
      <c r="E153" s="208" t="s">
        <v>333</v>
      </c>
      <c r="F153" s="208">
        <v>8</v>
      </c>
      <c r="G153" s="209" t="s">
        <v>328</v>
      </c>
      <c r="H153" s="182" t="s">
        <v>301</v>
      </c>
      <c r="I153" s="178" t="s">
        <v>73</v>
      </c>
      <c r="J153" s="178" t="s">
        <v>139</v>
      </c>
      <c r="K153" s="178" t="s">
        <v>4</v>
      </c>
      <c r="L153" s="320"/>
      <c r="M153" s="184" t="s">
        <v>76</v>
      </c>
      <c r="N153" s="185" t="s">
        <v>87</v>
      </c>
      <c r="O153" s="186">
        <v>46133</v>
      </c>
      <c r="P153" s="186">
        <v>46142</v>
      </c>
      <c r="Q153" s="186">
        <v>46160</v>
      </c>
      <c r="R153" s="186">
        <v>46160</v>
      </c>
      <c r="S153" s="186">
        <v>46160</v>
      </c>
      <c r="T153" s="186">
        <v>46163</v>
      </c>
      <c r="U153" s="186">
        <v>46213</v>
      </c>
      <c r="V153" s="186"/>
      <c r="W153" s="186"/>
      <c r="X153" s="186"/>
      <c r="Y153" s="186"/>
      <c r="Z153" s="186">
        <v>46233</v>
      </c>
      <c r="AA153" s="186"/>
      <c r="AB153" s="186"/>
      <c r="AC153" s="186"/>
      <c r="AD153" s="186"/>
      <c r="AE153" s="186"/>
      <c r="AF153" s="186"/>
      <c r="AG153" s="186"/>
      <c r="AH153" s="186"/>
      <c r="AI153" s="186"/>
      <c r="AJ153" s="186"/>
      <c r="AK153" s="188"/>
      <c r="AL153" s="211"/>
      <c r="AM153" s="187"/>
      <c r="AN153" s="187"/>
      <c r="AO153" s="189"/>
      <c r="AP153" s="190"/>
      <c r="AQ153" s="449"/>
      <c r="AR153" s="191">
        <f>IF(ISERROR(LOOKUP(AR$10,$O153:$AQ153,#REF!)),0,(LOOKUP(AR$10,$O153:$AQ153,#REF!)))</f>
        <v>0</v>
      </c>
      <c r="AS153" s="192">
        <f>IF(ISERROR(LOOKUP(AS$10,$O153:$AQ153,#REF!)),0,(LOOKUP(AS$10,$O153:$AQ153,#REF!)))</f>
        <v>0</v>
      </c>
      <c r="AT153" s="192">
        <f>IF(ISERROR(LOOKUP(AT$10,$O153:$AQ153,#REF!)),0,(LOOKUP(AT$10,$O153:$AQ153,#REF!)))</f>
        <v>0</v>
      </c>
      <c r="AU153" s="192">
        <f>IF(ISERROR(LOOKUP(AU$10,$O153:$AQ153,#REF!)),0,(LOOKUP(AU$10,$O153:$AQ153,#REF!)))</f>
        <v>0</v>
      </c>
      <c r="AV153" s="192">
        <f>IF(ISERROR(LOOKUP(AV$10,$O153:$AQ153,#REF!)),0,(LOOKUP(AV$10,$O153:$AQ153,#REF!)))</f>
        <v>0</v>
      </c>
      <c r="AW153" s="192">
        <f>IF(ISERROR(LOOKUP(AW$10,$O153:$AQ153,#REF!)),0,(LOOKUP(AW$10,$O153:$AQ153,#REF!)))</f>
        <v>0</v>
      </c>
      <c r="AX153" s="192">
        <f>IF(ISERROR(LOOKUP(AX$10,$O153:$AQ153,#REF!)),0,(LOOKUP(AX$10,$O153:$AQ153,#REF!)))</f>
        <v>0</v>
      </c>
      <c r="AY153" s="192">
        <f>IF(ISERROR(LOOKUP(AY$10,$O153:$AQ153,#REF!)),0,(LOOKUP(AY$10,$O153:$AQ153,#REF!)))</f>
        <v>0</v>
      </c>
      <c r="AZ153" s="192">
        <f>IF(ISERROR(LOOKUP(AZ$10,$O153:$AQ153,#REF!)),0,(LOOKUP(AZ$10,$O153:$AQ153,#REF!)))</f>
        <v>0</v>
      </c>
      <c r="BA153" s="192">
        <f>IF(ISERROR(LOOKUP(BA$10,$O153:$AQ153,#REF!)),0,(LOOKUP(BA$10,$O153:$AQ153,#REF!)))</f>
        <v>0</v>
      </c>
      <c r="BB153" s="192">
        <f ca="1">IF(ISERROR(LOOKUP(BB$10,$O153:$AQ153,#REF!)),0,(LOOKUP(BB$10,$O153:$AQ153,#REF!)))</f>
        <v>0</v>
      </c>
      <c r="BC153" s="156" t="s">
        <v>88</v>
      </c>
      <c r="BD153" s="193" t="s">
        <v>334</v>
      </c>
      <c r="BE153" s="176"/>
    </row>
    <row r="154" spans="1:57" s="78" customFormat="1" ht="15.4" thickTop="1" thickBot="1" x14ac:dyDescent="0.45">
      <c r="A154" s="458">
        <f t="shared" ref="A154" si="32">A151+1</f>
        <v>41</v>
      </c>
      <c r="B154" s="139" t="s">
        <v>335</v>
      </c>
      <c r="C154" s="140" t="s">
        <v>336</v>
      </c>
      <c r="D154" s="233" t="s">
        <v>337</v>
      </c>
      <c r="E154" s="202"/>
      <c r="F154" s="202"/>
      <c r="G154" s="427" t="s">
        <v>338</v>
      </c>
      <c r="H154" s="143" t="s">
        <v>301</v>
      </c>
      <c r="I154" s="140" t="s">
        <v>138</v>
      </c>
      <c r="J154" s="140" t="s">
        <v>95</v>
      </c>
      <c r="K154" s="140" t="s">
        <v>9</v>
      </c>
      <c r="L154" s="273"/>
      <c r="M154" s="145" t="s">
        <v>150</v>
      </c>
      <c r="N154" s="146" t="s">
        <v>77</v>
      </c>
      <c r="O154" s="147">
        <v>46262</v>
      </c>
      <c r="P154" s="147">
        <v>46258</v>
      </c>
      <c r="Q154" s="147">
        <v>46272</v>
      </c>
      <c r="R154" s="147">
        <v>46272</v>
      </c>
      <c r="S154" s="147">
        <v>46272</v>
      </c>
      <c r="T154" s="147">
        <v>46279</v>
      </c>
      <c r="U154" s="148">
        <v>46288</v>
      </c>
      <c r="V154" s="147">
        <v>46302</v>
      </c>
      <c r="W154" s="147"/>
      <c r="X154" s="147">
        <v>46309</v>
      </c>
      <c r="Y154" s="147">
        <v>46311</v>
      </c>
      <c r="Z154" s="147">
        <v>46318</v>
      </c>
      <c r="AA154" s="147">
        <v>46332</v>
      </c>
      <c r="AB154" s="147">
        <v>46346</v>
      </c>
      <c r="AC154" s="147">
        <v>46356</v>
      </c>
      <c r="AD154" s="147">
        <v>46356</v>
      </c>
      <c r="AE154" s="147">
        <v>46358</v>
      </c>
      <c r="AF154" s="147">
        <v>46391</v>
      </c>
      <c r="AG154" s="147">
        <v>46398</v>
      </c>
      <c r="AH154" s="147">
        <v>46403</v>
      </c>
      <c r="AI154" s="147">
        <v>46406</v>
      </c>
      <c r="AJ154" s="147">
        <v>46433</v>
      </c>
      <c r="AK154" s="149">
        <v>13.4285714285714</v>
      </c>
      <c r="AL154" s="150">
        <v>94</v>
      </c>
      <c r="AM154" s="151">
        <v>46403</v>
      </c>
      <c r="AN154" s="151">
        <v>46524</v>
      </c>
      <c r="AO154" s="225">
        <f>AN154-AM155</f>
        <v>121</v>
      </c>
      <c r="AP154" s="235" t="s">
        <v>339</v>
      </c>
      <c r="AQ154" s="447" t="s">
        <v>340</v>
      </c>
      <c r="AR154" s="154">
        <f>IF(ISERROR(LOOKUP(AR$10,$O154:$AQ154,#REF!)),0,(LOOKUP(AR$10,$O154:$AQ154,#REF!)))</f>
        <v>0</v>
      </c>
      <c r="AS154" s="155">
        <f>IF(ISERROR(LOOKUP(AS$10,$O154:$AQ154,#REF!)),0,(LOOKUP(AS$10,$O154:$AQ154,#REF!)))</f>
        <v>0</v>
      </c>
      <c r="AT154" s="155">
        <f>IF(ISERROR(LOOKUP(AT$10,$O154:$AQ154,#REF!)),0,(LOOKUP(AT$10,$O154:$AQ154,#REF!)))</f>
        <v>0</v>
      </c>
      <c r="AU154" s="155">
        <f>IF(ISERROR(LOOKUP(AU$10,$O154:$AQ154,#REF!)),0,(LOOKUP(AU$10,$O154:$AQ154,#REF!)))</f>
        <v>0</v>
      </c>
      <c r="AV154" s="155">
        <f>IF(ISERROR(LOOKUP(AV$10,$O154:$AQ154,#REF!)),0,(LOOKUP(AV$10,$O154:$AQ154,#REF!)))</f>
        <v>0</v>
      </c>
      <c r="AW154" s="155">
        <f>IF(ISERROR(LOOKUP(AW$10,$O154:$AQ154,#REF!)),0,(LOOKUP(AW$10,$O154:$AQ154,#REF!)))</f>
        <v>0</v>
      </c>
      <c r="AX154" s="155">
        <f>IF(ISERROR(LOOKUP(AX$10,$O154:$AQ154,#REF!)),0,(LOOKUP(AX$10,$O154:$AQ154,#REF!)))</f>
        <v>0</v>
      </c>
      <c r="AY154" s="155">
        <f>IF(ISERROR(LOOKUP(AY$10,$O154:$AQ154,#REF!)),0,(LOOKUP(AY$10,$O154:$AQ154,#REF!)))</f>
        <v>0</v>
      </c>
      <c r="AZ154" s="155">
        <f>IF(ISERROR(LOOKUP(AZ$10,$O154:$AQ154,#REF!)),0,(LOOKUP(AZ$10,$O154:$AQ154,#REF!)))</f>
        <v>0</v>
      </c>
      <c r="BA154" s="155">
        <f>IF(ISERROR(LOOKUP(BA$10,$O154:$AQ154,#REF!)),0,(LOOKUP(BA$10,$O154:$AQ154,#REF!)))</f>
        <v>0</v>
      </c>
      <c r="BB154" s="155">
        <f ca="1">IF(ISERROR(LOOKUP(BB$10,$O154:$AQ154,#REF!)),0,(LOOKUP(BB$10,$O154:$AQ154,#REF!)))</f>
        <v>0</v>
      </c>
      <c r="BC154" s="156"/>
      <c r="BD154" s="176"/>
      <c r="BE154" s="176"/>
    </row>
    <row r="155" spans="1:57" s="78" customFormat="1" ht="15.4" thickTop="1" thickBot="1" x14ac:dyDescent="0.45">
      <c r="A155" s="459"/>
      <c r="B155" s="158" t="s">
        <v>335</v>
      </c>
      <c r="C155" s="197" t="s">
        <v>336</v>
      </c>
      <c r="D155" s="204" t="s">
        <v>337</v>
      </c>
      <c r="E155" s="205"/>
      <c r="F155" s="205"/>
      <c r="G155" s="204" t="s">
        <v>338</v>
      </c>
      <c r="H155" s="228" t="s">
        <v>301</v>
      </c>
      <c r="I155" s="159" t="s">
        <v>138</v>
      </c>
      <c r="J155" s="197" t="s">
        <v>95</v>
      </c>
      <c r="K155" s="197" t="s">
        <v>9</v>
      </c>
      <c r="L155" s="268"/>
      <c r="M155" s="165" t="s">
        <v>150</v>
      </c>
      <c r="N155" s="166" t="s">
        <v>84</v>
      </c>
      <c r="O155" s="167"/>
      <c r="P155" s="168"/>
      <c r="Q155" s="168"/>
      <c r="R155" s="168"/>
      <c r="S155" s="168"/>
      <c r="T155" s="168"/>
      <c r="U155" s="168">
        <f>U154</f>
        <v>46288</v>
      </c>
      <c r="V155" s="168">
        <f>WORKDAY(U155,V9,IF(V12="China",'China Holidays'!$A$2:$A$84,'Thai Holidays'!$A$2:$A$65))</f>
        <v>46302</v>
      </c>
      <c r="W155" s="168"/>
      <c r="X155" s="168">
        <f>WORKDAY(V155,X9,IF(X12="China",'China Holidays'!$A$2:$A$84,'Thai Holidays'!$A$2:$A$65))</f>
        <v>46309</v>
      </c>
      <c r="Y155" s="168">
        <f>WORKDAY(X155,Y9,IF(Y12="China",'China Holidays'!$A$2:$A$84,'Thai Holidays'!$A$2:$A$65))</f>
        <v>46311</v>
      </c>
      <c r="Z155" s="168">
        <f>WORKDAY(Y155,Z9,IF(Z12="China",'China Holidays'!$A$2:$A$84,'Thai Holidays'!$A$2:$A$65))</f>
        <v>46318</v>
      </c>
      <c r="AA155" s="168">
        <f>WORKDAY(Z155,AA9,IF(AA12="China",'China Holidays'!$A$2:$A$84,'Thai Holidays'!$A$2:$A$65))</f>
        <v>46332</v>
      </c>
      <c r="AB155" s="168">
        <f>WORKDAY(AA155,AB9,IF(AB12="China",'China Holidays'!$A$2:$A$84,'Thai Holidays'!$A$2:$A$65))</f>
        <v>46346</v>
      </c>
      <c r="AC155" s="168">
        <f>AB155+10</f>
        <v>46356</v>
      </c>
      <c r="AD155" s="168">
        <f>AC155</f>
        <v>46356</v>
      </c>
      <c r="AE155" s="168">
        <f>AD155+2</f>
        <v>46358</v>
      </c>
      <c r="AF155" s="168">
        <f>AG155-7</f>
        <v>46391</v>
      </c>
      <c r="AG155" s="168">
        <f>AH155-5</f>
        <v>46398</v>
      </c>
      <c r="AH155" s="168">
        <f>AM154</f>
        <v>46403</v>
      </c>
      <c r="AI155" s="168">
        <f>AM154+3</f>
        <v>46406</v>
      </c>
      <c r="AJ155" s="168">
        <f>AM154+30</f>
        <v>46433</v>
      </c>
      <c r="AK155" s="169"/>
      <c r="AL155" s="230"/>
      <c r="AM155" s="170">
        <f>X155+AL154</f>
        <v>46403</v>
      </c>
      <c r="AN155" s="170"/>
      <c r="AO155" s="171"/>
      <c r="AP155" s="172"/>
      <c r="AQ155" s="448"/>
      <c r="AR155" s="154">
        <f>IF(ISERROR(LOOKUP(AR$10,$O155:$AQ155,#REF!)),0,(LOOKUP(AR$10,$O155:$AQ155,#REF!)))</f>
        <v>0</v>
      </c>
      <c r="AS155" s="155">
        <f>IF(ISERROR(LOOKUP(AS$10,$O155:$AQ155,#REF!)),0,(LOOKUP(AS$10,$O155:$AQ155,#REF!)))</f>
        <v>0</v>
      </c>
      <c r="AT155" s="155">
        <f>IF(ISERROR(LOOKUP(AT$10,$O155:$AQ155,#REF!)),0,(LOOKUP(AT$10,$O155:$AQ155,#REF!)))</f>
        <v>0</v>
      </c>
      <c r="AU155" s="155">
        <f>IF(ISERROR(LOOKUP(AU$10,$O155:$AQ155,#REF!)),0,(LOOKUP(AU$10,$O155:$AQ155,#REF!)))</f>
        <v>0</v>
      </c>
      <c r="AV155" s="155">
        <f>IF(ISERROR(LOOKUP(AV$10,$O155:$AQ155,#REF!)),0,(LOOKUP(AV$10,$O155:$AQ155,#REF!)))</f>
        <v>0</v>
      </c>
      <c r="AW155" s="155">
        <f>IF(ISERROR(LOOKUP(AW$10,$O155:$AQ155,#REF!)),0,(LOOKUP(AW$10,$O155:$AQ155,#REF!)))</f>
        <v>0</v>
      </c>
      <c r="AX155" s="155">
        <f>IF(ISERROR(LOOKUP(AX$10,$O155:$AQ155,#REF!)),0,(LOOKUP(AX$10,$O155:$AQ155,#REF!)))</f>
        <v>0</v>
      </c>
      <c r="AY155" s="155">
        <f>IF(ISERROR(LOOKUP(AY$10,$O155:$AQ155,#REF!)),0,(LOOKUP(AY$10,$O155:$AQ155,#REF!)))</f>
        <v>0</v>
      </c>
      <c r="AZ155" s="155">
        <f>IF(ISERROR(LOOKUP(AZ$10,$O155:$AQ155,#REF!)),0,(LOOKUP(AZ$10,$O155:$AQ155,#REF!)))</f>
        <v>0</v>
      </c>
      <c r="BA155" s="155">
        <f>IF(ISERROR(LOOKUP(BA$10,$O155:$AQ155,#REF!)),0,(LOOKUP(BA$10,$O155:$AQ155,#REF!)))</f>
        <v>0</v>
      </c>
      <c r="BB155" s="155">
        <f ca="1">IF(ISERROR(LOOKUP(BB$10,$O155:$AQ155,#REF!)),0,(LOOKUP(BB$10,$O155:$AQ155,#REF!)))</f>
        <v>0</v>
      </c>
      <c r="BC155" s="156"/>
      <c r="BD155" s="176"/>
      <c r="BE155" s="176"/>
    </row>
    <row r="156" spans="1:57" s="78" customFormat="1" ht="15.4" thickTop="1" thickBot="1" x14ac:dyDescent="0.45">
      <c r="A156" s="460"/>
      <c r="B156" s="177" t="s">
        <v>335</v>
      </c>
      <c r="C156" s="178" t="s">
        <v>336</v>
      </c>
      <c r="D156" s="209" t="s">
        <v>337</v>
      </c>
      <c r="E156" s="208"/>
      <c r="F156" s="208"/>
      <c r="G156" s="209" t="s">
        <v>338</v>
      </c>
      <c r="H156" s="182" t="s">
        <v>301</v>
      </c>
      <c r="I156" s="178" t="s">
        <v>138</v>
      </c>
      <c r="J156" s="178" t="s">
        <v>95</v>
      </c>
      <c r="K156" s="178" t="s">
        <v>9</v>
      </c>
      <c r="L156" s="321"/>
      <c r="M156" s="184" t="s">
        <v>150</v>
      </c>
      <c r="N156" s="185" t="s">
        <v>87</v>
      </c>
      <c r="O156" s="186">
        <v>46189</v>
      </c>
      <c r="P156" s="186">
        <v>46160</v>
      </c>
      <c r="Q156" s="186">
        <v>46188</v>
      </c>
      <c r="R156" s="186">
        <v>46190</v>
      </c>
      <c r="S156" s="186">
        <v>46190</v>
      </c>
      <c r="T156" s="186">
        <v>46212</v>
      </c>
      <c r="U156" s="186"/>
      <c r="V156" s="186"/>
      <c r="W156" s="186"/>
      <c r="X156" s="186"/>
      <c r="Y156" s="186"/>
      <c r="Z156" s="186"/>
      <c r="AA156" s="186"/>
      <c r="AB156" s="186"/>
      <c r="AC156" s="186"/>
      <c r="AD156" s="186"/>
      <c r="AE156" s="186"/>
      <c r="AF156" s="186"/>
      <c r="AG156" s="186"/>
      <c r="AH156" s="186"/>
      <c r="AI156" s="186"/>
      <c r="AJ156" s="186"/>
      <c r="AK156" s="188"/>
      <c r="AL156" s="211"/>
      <c r="AM156" s="187"/>
      <c r="AN156" s="187"/>
      <c r="AO156" s="189"/>
      <c r="AP156" s="190"/>
      <c r="AQ156" s="449"/>
      <c r="AR156" s="191">
        <f>IF(ISERROR(LOOKUP(AR$10,$O156:$AQ156,#REF!)),0,(LOOKUP(AR$10,$O156:$AQ156,#REF!)))</f>
        <v>0</v>
      </c>
      <c r="AS156" s="192">
        <f>IF(ISERROR(LOOKUP(AS$10,$O156:$AQ156,#REF!)),0,(LOOKUP(AS$10,$O156:$AQ156,#REF!)))</f>
        <v>0</v>
      </c>
      <c r="AT156" s="192">
        <f>IF(ISERROR(LOOKUP(AT$10,$O156:$AQ156,#REF!)),0,(LOOKUP(AT$10,$O156:$AQ156,#REF!)))</f>
        <v>0</v>
      </c>
      <c r="AU156" s="192">
        <f>IF(ISERROR(LOOKUP(AU$10,$O156:$AQ156,#REF!)),0,(LOOKUP(AU$10,$O156:$AQ156,#REF!)))</f>
        <v>0</v>
      </c>
      <c r="AV156" s="192">
        <f>IF(ISERROR(LOOKUP(AV$10,$O156:$AQ156,#REF!)),0,(LOOKUP(AV$10,$O156:$AQ156,#REF!)))</f>
        <v>0</v>
      </c>
      <c r="AW156" s="192">
        <f>IF(ISERROR(LOOKUP(AW$10,$O156:$AQ156,#REF!)),0,(LOOKUP(AW$10,$O156:$AQ156,#REF!)))</f>
        <v>0</v>
      </c>
      <c r="AX156" s="192">
        <f>IF(ISERROR(LOOKUP(AX$10,$O156:$AQ156,#REF!)),0,(LOOKUP(AX$10,$O156:$AQ156,#REF!)))</f>
        <v>0</v>
      </c>
      <c r="AY156" s="192">
        <f>IF(ISERROR(LOOKUP(AY$10,$O156:$AQ156,#REF!)),0,(LOOKUP(AY$10,$O156:$AQ156,#REF!)))</f>
        <v>0</v>
      </c>
      <c r="AZ156" s="192">
        <f>IF(ISERROR(LOOKUP(AZ$10,$O156:$AQ156,#REF!)),0,(LOOKUP(AZ$10,$O156:$AQ156,#REF!)))</f>
        <v>0</v>
      </c>
      <c r="BA156" s="192">
        <f>IF(ISERROR(LOOKUP(BA$10,$O156:$AQ156,#REF!)),0,(LOOKUP(BA$10,$O156:$AQ156,#REF!)))</f>
        <v>0</v>
      </c>
      <c r="BB156" s="192">
        <f ca="1">IF(ISERROR(LOOKUP(BB$10,$O156:$AQ156,#REF!)),0,(LOOKUP(BB$10,$O156:$AQ156,#REF!)))</f>
        <v>0</v>
      </c>
      <c r="BC156" s="156"/>
      <c r="BD156" s="176"/>
      <c r="BE156" s="176"/>
    </row>
    <row r="157" spans="1:57" s="78" customFormat="1" ht="15.4" thickTop="1" thickBot="1" x14ac:dyDescent="0.45">
      <c r="A157" s="458">
        <f t="shared" ref="A157" si="33">A154+1</f>
        <v>42</v>
      </c>
      <c r="B157" s="139" t="s">
        <v>335</v>
      </c>
      <c r="C157" s="140" t="s">
        <v>341</v>
      </c>
      <c r="D157" s="203" t="s">
        <v>342</v>
      </c>
      <c r="E157" s="202"/>
      <c r="F157" s="202"/>
      <c r="G157" s="427" t="s">
        <v>338</v>
      </c>
      <c r="H157" s="143" t="s">
        <v>301</v>
      </c>
      <c r="I157" s="140" t="s">
        <v>138</v>
      </c>
      <c r="J157" s="140" t="s">
        <v>139</v>
      </c>
      <c r="K157" s="140" t="s">
        <v>9</v>
      </c>
      <c r="L157" s="273"/>
      <c r="M157" s="145" t="s">
        <v>150</v>
      </c>
      <c r="N157" s="146" t="s">
        <v>77</v>
      </c>
      <c r="O157" s="147">
        <v>46262</v>
      </c>
      <c r="P157" s="147">
        <v>46258</v>
      </c>
      <c r="Q157" s="147">
        <v>46272</v>
      </c>
      <c r="R157" s="147">
        <v>46272</v>
      </c>
      <c r="S157" s="147">
        <v>46272</v>
      </c>
      <c r="T157" s="223">
        <v>46279</v>
      </c>
      <c r="U157" s="223">
        <v>46288</v>
      </c>
      <c r="V157" s="147">
        <v>46302</v>
      </c>
      <c r="W157" s="147"/>
      <c r="X157" s="147">
        <v>46309</v>
      </c>
      <c r="Y157" s="147">
        <v>46311</v>
      </c>
      <c r="Z157" s="147">
        <v>46318</v>
      </c>
      <c r="AA157" s="147">
        <v>46332</v>
      </c>
      <c r="AB157" s="147">
        <v>46346</v>
      </c>
      <c r="AC157" s="147">
        <v>46356</v>
      </c>
      <c r="AD157" s="147">
        <v>46356</v>
      </c>
      <c r="AE157" s="147">
        <v>46358</v>
      </c>
      <c r="AF157" s="147">
        <v>46391</v>
      </c>
      <c r="AG157" s="147">
        <v>46398</v>
      </c>
      <c r="AH157" s="147">
        <v>46403</v>
      </c>
      <c r="AI157" s="147">
        <v>46406</v>
      </c>
      <c r="AJ157" s="147">
        <v>46433</v>
      </c>
      <c r="AK157" s="149">
        <v>13.4285714285714</v>
      </c>
      <c r="AL157" s="150">
        <v>94</v>
      </c>
      <c r="AM157" s="151">
        <v>46403</v>
      </c>
      <c r="AN157" s="151">
        <v>46530</v>
      </c>
      <c r="AO157" s="225">
        <f>AN157-AM158</f>
        <v>127</v>
      </c>
      <c r="AP157" s="235"/>
      <c r="AQ157" s="447"/>
      <c r="AR157" s="154"/>
      <c r="AS157" s="155"/>
      <c r="AT157" s="155"/>
      <c r="AU157" s="155"/>
      <c r="AV157" s="155"/>
      <c r="AW157" s="155"/>
      <c r="AX157" s="155"/>
      <c r="AY157" s="155"/>
      <c r="AZ157" s="155"/>
      <c r="BA157" s="155"/>
      <c r="BB157" s="155"/>
      <c r="BC157" s="156"/>
      <c r="BD157" s="176"/>
      <c r="BE157" s="176"/>
    </row>
    <row r="158" spans="1:57" s="78" customFormat="1" ht="15.4" thickTop="1" thickBot="1" x14ac:dyDescent="0.45">
      <c r="A158" s="459"/>
      <c r="B158" s="158" t="s">
        <v>335</v>
      </c>
      <c r="C158" s="197" t="s">
        <v>341</v>
      </c>
      <c r="D158" s="204" t="s">
        <v>342</v>
      </c>
      <c r="E158" s="205"/>
      <c r="F158" s="205"/>
      <c r="G158" s="204" t="s">
        <v>338</v>
      </c>
      <c r="H158" s="228" t="s">
        <v>301</v>
      </c>
      <c r="I158" s="159" t="s">
        <v>138</v>
      </c>
      <c r="J158" s="197" t="s">
        <v>139</v>
      </c>
      <c r="K158" s="197" t="s">
        <v>9</v>
      </c>
      <c r="L158" s="268"/>
      <c r="M158" s="165" t="s">
        <v>150</v>
      </c>
      <c r="N158" s="166" t="s">
        <v>84</v>
      </c>
      <c r="O158" s="167">
        <f>O157</f>
        <v>46262</v>
      </c>
      <c r="P158" s="168">
        <f>P157</f>
        <v>46258</v>
      </c>
      <c r="Q158" s="168">
        <f>WORKDAY(P158,Q9,IF(Q12="China",'China Holidays'!$A$2:$A$84,'Thai Holidays'!$A$2:$A$65))</f>
        <v>46272</v>
      </c>
      <c r="R158" s="168">
        <f>WORKDAY(Q158,R9,IF(R12="China",'China Holidays'!$A$2:$A$84,'Thai Holidays'!$A$2:$A$65))</f>
        <v>46272</v>
      </c>
      <c r="S158" s="168">
        <f>WORKDAY(R158,S9,IF(S12="China",'China Holidays'!$A$2:$A$84,'Thai Holidays'!$A$2:$A$65))</f>
        <v>46272</v>
      </c>
      <c r="T158" s="168">
        <f>WORKDAY(S158,T9,IF(T12="China",'China Holidays'!$A$2:$A$84,'Thai Holidays'!$A$2:$A$65))</f>
        <v>46279</v>
      </c>
      <c r="U158" s="168">
        <f>WORKDAY(T158,U9,IF(U12="China",'China Holidays'!$A$2:$A$84,'Thai Holidays'!$A$2:$A$65))</f>
        <v>46288</v>
      </c>
      <c r="V158" s="168">
        <f>WORKDAY(U158,V9,IF(V12="China",'China Holidays'!$A$2:$A$84,'Thai Holidays'!$A$2:$A$65))</f>
        <v>46302</v>
      </c>
      <c r="W158" s="168"/>
      <c r="X158" s="168">
        <f>WORKDAY(V158,X9,IF(X12="China",'China Holidays'!$A$2:$A$84,'Thai Holidays'!$A$2:$A$65))</f>
        <v>46309</v>
      </c>
      <c r="Y158" s="168">
        <f>WORKDAY(X158,Y9,IF(Y12="China",'China Holidays'!$A$2:$A$84,'Thai Holidays'!$A$2:$A$65))</f>
        <v>46311</v>
      </c>
      <c r="Z158" s="168">
        <f>WORKDAY(Y158,Z9,IF(Z12="China",'China Holidays'!$A$2:$A$84,'Thai Holidays'!$A$2:$A$65))</f>
        <v>46318</v>
      </c>
      <c r="AA158" s="168">
        <f>WORKDAY(Z158,AA9,IF(AA12="China",'China Holidays'!$A$2:$A$84,'Thai Holidays'!$A$2:$A$65))</f>
        <v>46332</v>
      </c>
      <c r="AB158" s="168">
        <f>WORKDAY(AA158,AB9,IF(AB12="China",'China Holidays'!$A$2:$A$84,'Thai Holidays'!$A$2:$A$65))</f>
        <v>46346</v>
      </c>
      <c r="AC158" s="168">
        <f>AB158+10</f>
        <v>46356</v>
      </c>
      <c r="AD158" s="168">
        <f>AC158</f>
        <v>46356</v>
      </c>
      <c r="AE158" s="168">
        <f>AD158+2</f>
        <v>46358</v>
      </c>
      <c r="AF158" s="168">
        <f>AG158-7</f>
        <v>46391</v>
      </c>
      <c r="AG158" s="168">
        <f>AH158-5</f>
        <v>46398</v>
      </c>
      <c r="AH158" s="168">
        <f>AM157</f>
        <v>46403</v>
      </c>
      <c r="AI158" s="168">
        <f>AM157+3</f>
        <v>46406</v>
      </c>
      <c r="AJ158" s="168">
        <f>AM157+30</f>
        <v>46433</v>
      </c>
      <c r="AK158" s="169"/>
      <c r="AL158" s="230"/>
      <c r="AM158" s="170">
        <f>X158+AL157</f>
        <v>46403</v>
      </c>
      <c r="AN158" s="170"/>
      <c r="AO158" s="171"/>
      <c r="AP158" s="172"/>
      <c r="AQ158" s="448"/>
      <c r="AR158" s="154"/>
      <c r="AS158" s="155"/>
      <c r="AT158" s="155"/>
      <c r="AU158" s="155"/>
      <c r="AV158" s="155"/>
      <c r="AW158" s="155"/>
      <c r="AX158" s="155"/>
      <c r="AY158" s="155"/>
      <c r="AZ158" s="155"/>
      <c r="BA158" s="155"/>
      <c r="BB158" s="155"/>
      <c r="BC158" s="156"/>
      <c r="BD158" s="176"/>
      <c r="BE158" s="176"/>
    </row>
    <row r="159" spans="1:57" s="78" customFormat="1" ht="15.4" thickTop="1" thickBot="1" x14ac:dyDescent="0.45">
      <c r="A159" s="460"/>
      <c r="B159" s="177" t="s">
        <v>335</v>
      </c>
      <c r="C159" s="178" t="s">
        <v>341</v>
      </c>
      <c r="D159" s="207" t="s">
        <v>342</v>
      </c>
      <c r="E159" s="215"/>
      <c r="F159" s="215"/>
      <c r="G159" s="209" t="s">
        <v>338</v>
      </c>
      <c r="H159" s="182" t="s">
        <v>301</v>
      </c>
      <c r="I159" s="178" t="s">
        <v>138</v>
      </c>
      <c r="J159" s="178" t="s">
        <v>139</v>
      </c>
      <c r="K159" s="178" t="s">
        <v>9</v>
      </c>
      <c r="L159" s="322"/>
      <c r="M159" s="184" t="s">
        <v>150</v>
      </c>
      <c r="N159" s="185" t="s">
        <v>87</v>
      </c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  <c r="AE159" s="186"/>
      <c r="AF159" s="186"/>
      <c r="AG159" s="186"/>
      <c r="AH159" s="186"/>
      <c r="AI159" s="186"/>
      <c r="AJ159" s="186"/>
      <c r="AK159" s="188"/>
      <c r="AL159" s="211"/>
      <c r="AM159" s="187"/>
      <c r="AN159" s="187"/>
      <c r="AO159" s="189"/>
      <c r="AP159" s="190"/>
      <c r="AQ159" s="449"/>
      <c r="AR159" s="191"/>
      <c r="AS159" s="192"/>
      <c r="AT159" s="192"/>
      <c r="AU159" s="192"/>
      <c r="AV159" s="192"/>
      <c r="AW159" s="192"/>
      <c r="AX159" s="192"/>
      <c r="AY159" s="192"/>
      <c r="AZ159" s="192"/>
      <c r="BA159" s="192"/>
      <c r="BB159" s="192"/>
      <c r="BC159" s="156"/>
      <c r="BD159" s="176"/>
      <c r="BE159" s="176"/>
    </row>
    <row r="160" spans="1:57" s="78" customFormat="1" ht="21" customHeight="1" thickTop="1" thickBot="1" x14ac:dyDescent="0.45">
      <c r="A160" s="458">
        <f t="shared" ref="A160" si="34">A157+1</f>
        <v>43</v>
      </c>
      <c r="B160" s="139" t="s">
        <v>343</v>
      </c>
      <c r="C160" s="140" t="s">
        <v>344</v>
      </c>
      <c r="D160" s="233" t="s">
        <v>345</v>
      </c>
      <c r="E160" s="202"/>
      <c r="F160" s="202" t="s">
        <v>346</v>
      </c>
      <c r="G160" s="427" t="s">
        <v>338</v>
      </c>
      <c r="H160" s="143" t="s">
        <v>301</v>
      </c>
      <c r="I160" s="140" t="s">
        <v>138</v>
      </c>
      <c r="J160" s="140" t="s">
        <v>139</v>
      </c>
      <c r="K160" s="140" t="s">
        <v>9</v>
      </c>
      <c r="L160" s="273"/>
      <c r="M160" s="145" t="s">
        <v>150</v>
      </c>
      <c r="N160" s="146" t="s">
        <v>77</v>
      </c>
      <c r="O160" s="147">
        <v>46176</v>
      </c>
      <c r="P160" s="147">
        <v>46168</v>
      </c>
      <c r="Q160" s="147">
        <v>46182</v>
      </c>
      <c r="R160" s="147">
        <v>46182</v>
      </c>
      <c r="S160" s="147">
        <v>46182</v>
      </c>
      <c r="T160" s="147">
        <v>46189</v>
      </c>
      <c r="U160" s="148">
        <v>46226</v>
      </c>
      <c r="V160" s="147">
        <v>46240</v>
      </c>
      <c r="W160" s="147"/>
      <c r="X160" s="147">
        <v>46247</v>
      </c>
      <c r="Y160" s="147">
        <v>46251</v>
      </c>
      <c r="Z160" s="147">
        <v>46258</v>
      </c>
      <c r="AA160" s="147">
        <v>46272</v>
      </c>
      <c r="AB160" s="147">
        <v>46287</v>
      </c>
      <c r="AC160" s="147">
        <v>46297</v>
      </c>
      <c r="AD160" s="147">
        <v>46297</v>
      </c>
      <c r="AE160" s="147">
        <v>46299</v>
      </c>
      <c r="AF160" s="147">
        <v>46428</v>
      </c>
      <c r="AG160" s="147">
        <v>46438</v>
      </c>
      <c r="AH160" s="147">
        <v>46443</v>
      </c>
      <c r="AI160" s="147">
        <v>46446</v>
      </c>
      <c r="AJ160" s="147">
        <v>46473</v>
      </c>
      <c r="AK160" s="149">
        <v>28</v>
      </c>
      <c r="AL160" s="150">
        <v>196</v>
      </c>
      <c r="AM160" s="151">
        <v>46415</v>
      </c>
      <c r="AN160" s="151">
        <v>46492</v>
      </c>
      <c r="AO160" s="225">
        <f>AN160-AM161</f>
        <v>42</v>
      </c>
      <c r="AP160" s="235" t="s">
        <v>339</v>
      </c>
      <c r="AQ160" s="447" t="s">
        <v>347</v>
      </c>
      <c r="AR160" s="154"/>
      <c r="AS160" s="155"/>
      <c r="AT160" s="155"/>
      <c r="AU160" s="155"/>
      <c r="AV160" s="155"/>
      <c r="AW160" s="155"/>
      <c r="AX160" s="155"/>
      <c r="AY160" s="155"/>
      <c r="AZ160" s="155"/>
      <c r="BA160" s="155"/>
      <c r="BB160" s="155"/>
      <c r="BC160" s="156"/>
      <c r="BD160" s="176"/>
      <c r="BE160" s="176"/>
    </row>
    <row r="161" spans="1:57" s="78" customFormat="1" ht="25.15" customHeight="1" thickTop="1" thickBot="1" x14ac:dyDescent="0.45">
      <c r="A161" s="459"/>
      <c r="B161" s="158" t="s">
        <v>343</v>
      </c>
      <c r="C161" s="197" t="s">
        <v>344</v>
      </c>
      <c r="D161" s="204" t="s">
        <v>345</v>
      </c>
      <c r="E161" s="205"/>
      <c r="F161" s="205"/>
      <c r="G161" s="204" t="s">
        <v>338</v>
      </c>
      <c r="H161" s="228" t="s">
        <v>301</v>
      </c>
      <c r="I161" s="159" t="s">
        <v>138</v>
      </c>
      <c r="J161" s="197" t="s">
        <v>139</v>
      </c>
      <c r="K161" s="197" t="s">
        <v>9</v>
      </c>
      <c r="L161" s="268"/>
      <c r="M161" s="165" t="s">
        <v>150</v>
      </c>
      <c r="N161" s="166" t="s">
        <v>84</v>
      </c>
      <c r="O161" s="167"/>
      <c r="P161" s="168"/>
      <c r="Q161" s="168"/>
      <c r="R161" s="168"/>
      <c r="S161" s="168"/>
      <c r="T161" s="219"/>
      <c r="U161" s="168">
        <v>46239</v>
      </c>
      <c r="V161" s="168">
        <f>WORKDAY(U161,V9,IF(V12="China",'China Holidays'!$A$2:$A$84,'Thai Holidays'!$A$2:$A$65))</f>
        <v>46254</v>
      </c>
      <c r="W161" s="168"/>
      <c r="X161" s="168">
        <f>V161</f>
        <v>46254</v>
      </c>
      <c r="Y161" s="168">
        <f>WORKDAY(X161,Y9,IF(Y12="China",'China Holidays'!$A$2:$A$84,'Thai Holidays'!$A$2:$A$65))</f>
        <v>46258</v>
      </c>
      <c r="Z161" s="168">
        <f>WORKDAY(Y161,Z9,IF(Z12="China",'China Holidays'!$A$2:$A$84,'Thai Holidays'!$A$2:$A$65))</f>
        <v>46265</v>
      </c>
      <c r="AA161" s="168">
        <f>WORKDAY(Z161,AA9,IF(AA12="China",'China Holidays'!$A$2:$A$84,'Thai Holidays'!$A$2:$A$65))</f>
        <v>46279</v>
      </c>
      <c r="AB161" s="168">
        <f>WORKDAY(AA161,AB9,IF(AB12="China",'China Holidays'!$A$2:$A$84,'Thai Holidays'!$A$2:$A$65))</f>
        <v>46293</v>
      </c>
      <c r="AC161" s="168">
        <f>AB161+10</f>
        <v>46303</v>
      </c>
      <c r="AD161" s="168">
        <f>AC161</f>
        <v>46303</v>
      </c>
      <c r="AE161" s="168">
        <f>AD161+2</f>
        <v>46305</v>
      </c>
      <c r="AF161" s="168">
        <f>AG161-10</f>
        <v>46435</v>
      </c>
      <c r="AG161" s="168">
        <f>AH161-5</f>
        <v>46445</v>
      </c>
      <c r="AH161" s="168">
        <f>AM161</f>
        <v>46450</v>
      </c>
      <c r="AI161" s="168">
        <f>AM160+3</f>
        <v>46418</v>
      </c>
      <c r="AJ161" s="168">
        <f>AM160+30</f>
        <v>46445</v>
      </c>
      <c r="AK161" s="199"/>
      <c r="AL161" s="206"/>
      <c r="AM161" s="170">
        <f>X161+AL160</f>
        <v>46450</v>
      </c>
      <c r="AN161" s="170"/>
      <c r="AO161" s="171"/>
      <c r="AP161" s="172"/>
      <c r="AQ161" s="448"/>
      <c r="AR161" s="154"/>
      <c r="AS161" s="155"/>
      <c r="AT161" s="155"/>
      <c r="AU161" s="155"/>
      <c r="AV161" s="155"/>
      <c r="AW161" s="155"/>
      <c r="AX161" s="155"/>
      <c r="AY161" s="155"/>
      <c r="AZ161" s="155"/>
      <c r="BA161" s="155"/>
      <c r="BB161" s="155"/>
      <c r="BC161" s="156"/>
      <c r="BD161" s="176"/>
      <c r="BE161" s="176"/>
    </row>
    <row r="162" spans="1:57" s="78" customFormat="1" ht="15.4" thickTop="1" thickBot="1" x14ac:dyDescent="0.45">
      <c r="A162" s="460"/>
      <c r="B162" s="177" t="s">
        <v>343</v>
      </c>
      <c r="C162" s="178" t="s">
        <v>344</v>
      </c>
      <c r="D162" s="207" t="s">
        <v>345</v>
      </c>
      <c r="E162" s="215"/>
      <c r="F162" s="215"/>
      <c r="G162" s="209" t="s">
        <v>338</v>
      </c>
      <c r="H162" s="182" t="s">
        <v>301</v>
      </c>
      <c r="I162" s="178" t="s">
        <v>138</v>
      </c>
      <c r="J162" s="178" t="s">
        <v>139</v>
      </c>
      <c r="K162" s="178" t="s">
        <v>9</v>
      </c>
      <c r="L162" s="322"/>
      <c r="M162" s="184" t="s">
        <v>150</v>
      </c>
      <c r="N162" s="185" t="s">
        <v>87</v>
      </c>
      <c r="O162" s="186">
        <v>46189</v>
      </c>
      <c r="P162" s="186">
        <v>46142</v>
      </c>
      <c r="Q162" s="186">
        <v>46160</v>
      </c>
      <c r="R162" s="186">
        <v>46190</v>
      </c>
      <c r="S162" s="186">
        <v>46190</v>
      </c>
      <c r="T162" s="186">
        <v>46202</v>
      </c>
      <c r="U162" s="186"/>
      <c r="V162" s="186"/>
      <c r="W162" s="186"/>
      <c r="X162" s="186"/>
      <c r="Y162" s="186"/>
      <c r="Z162" s="186"/>
      <c r="AA162" s="186"/>
      <c r="AB162" s="186"/>
      <c r="AC162" s="186"/>
      <c r="AD162" s="186"/>
      <c r="AE162" s="186"/>
      <c r="AF162" s="186"/>
      <c r="AG162" s="186"/>
      <c r="AH162" s="186"/>
      <c r="AI162" s="186"/>
      <c r="AJ162" s="186"/>
      <c r="AK162" s="188"/>
      <c r="AL162" s="211"/>
      <c r="AM162" s="187"/>
      <c r="AN162" s="187"/>
      <c r="AO162" s="189"/>
      <c r="AP162" s="190"/>
      <c r="AQ162" s="449"/>
      <c r="AR162" s="191"/>
      <c r="AS162" s="192"/>
      <c r="AT162" s="192"/>
      <c r="AU162" s="192"/>
      <c r="AV162" s="192"/>
      <c r="AW162" s="192"/>
      <c r="AX162" s="192"/>
      <c r="AY162" s="192"/>
      <c r="AZ162" s="192"/>
      <c r="BA162" s="192"/>
      <c r="BB162" s="192"/>
      <c r="BC162" s="156"/>
      <c r="BD162" s="176"/>
      <c r="BE162" s="176"/>
    </row>
    <row r="163" spans="1:57" s="78" customFormat="1" ht="15.4" thickTop="1" thickBot="1" x14ac:dyDescent="0.45">
      <c r="A163" s="458">
        <f t="shared" ref="A163" si="35">A160+1</f>
        <v>44</v>
      </c>
      <c r="B163" s="139" t="s">
        <v>348</v>
      </c>
      <c r="C163" s="140" t="s">
        <v>349</v>
      </c>
      <c r="D163" s="194" t="s">
        <v>350</v>
      </c>
      <c r="E163" s="202"/>
      <c r="F163" s="202"/>
      <c r="G163" s="427" t="s">
        <v>338</v>
      </c>
      <c r="H163" s="143" t="s">
        <v>301</v>
      </c>
      <c r="I163" s="140" t="s">
        <v>138</v>
      </c>
      <c r="J163" s="140" t="s">
        <v>139</v>
      </c>
      <c r="K163" s="140" t="s">
        <v>9</v>
      </c>
      <c r="L163" s="273"/>
      <c r="M163" s="145" t="s">
        <v>150</v>
      </c>
      <c r="N163" s="146" t="s">
        <v>77</v>
      </c>
      <c r="O163" s="147">
        <v>46262</v>
      </c>
      <c r="P163" s="147">
        <v>46258</v>
      </c>
      <c r="Q163" s="147">
        <v>46272</v>
      </c>
      <c r="R163" s="148">
        <v>46272</v>
      </c>
      <c r="S163" s="147">
        <v>46272</v>
      </c>
      <c r="T163" s="147">
        <v>46279</v>
      </c>
      <c r="U163" s="147">
        <v>46288</v>
      </c>
      <c r="V163" s="147">
        <v>46302</v>
      </c>
      <c r="W163" s="147"/>
      <c r="X163" s="147">
        <v>46309</v>
      </c>
      <c r="Y163" s="147">
        <v>46311</v>
      </c>
      <c r="Z163" s="147">
        <v>46318</v>
      </c>
      <c r="AA163" s="147">
        <v>46332</v>
      </c>
      <c r="AB163" s="147">
        <v>46346</v>
      </c>
      <c r="AC163" s="147">
        <v>46356</v>
      </c>
      <c r="AD163" s="147">
        <v>46356</v>
      </c>
      <c r="AE163" s="147">
        <v>46358</v>
      </c>
      <c r="AF163" s="147">
        <v>46391</v>
      </c>
      <c r="AG163" s="147">
        <v>46398</v>
      </c>
      <c r="AH163" s="147">
        <v>46403</v>
      </c>
      <c r="AI163" s="147">
        <v>46406</v>
      </c>
      <c r="AJ163" s="147">
        <v>46433</v>
      </c>
      <c r="AK163" s="149">
        <v>13.4285714285714</v>
      </c>
      <c r="AL163" s="150">
        <v>94</v>
      </c>
      <c r="AM163" s="151">
        <v>46403</v>
      </c>
      <c r="AN163" s="151">
        <v>46486</v>
      </c>
      <c r="AO163" s="225">
        <f>AN163-AM164</f>
        <v>83</v>
      </c>
      <c r="AP163" s="235"/>
      <c r="AQ163" s="447"/>
      <c r="AR163" s="154"/>
      <c r="AS163" s="155"/>
      <c r="AT163" s="155"/>
      <c r="AU163" s="155"/>
      <c r="AV163" s="155"/>
      <c r="AW163" s="155"/>
      <c r="AX163" s="155"/>
      <c r="AY163" s="155"/>
      <c r="AZ163" s="155"/>
      <c r="BA163" s="155"/>
      <c r="BB163" s="155"/>
      <c r="BC163" s="156"/>
      <c r="BD163" s="176"/>
      <c r="BE163" s="176"/>
    </row>
    <row r="164" spans="1:57" s="78" customFormat="1" ht="15.4" thickTop="1" thickBot="1" x14ac:dyDescent="0.45">
      <c r="A164" s="459"/>
      <c r="B164" s="158" t="s">
        <v>348</v>
      </c>
      <c r="C164" s="197" t="s">
        <v>349</v>
      </c>
      <c r="D164" s="204" t="s">
        <v>350</v>
      </c>
      <c r="E164" s="205"/>
      <c r="F164" s="205"/>
      <c r="G164" s="204" t="s">
        <v>338</v>
      </c>
      <c r="H164" s="228" t="s">
        <v>301</v>
      </c>
      <c r="I164" s="159" t="s">
        <v>138</v>
      </c>
      <c r="J164" s="197" t="s">
        <v>139</v>
      </c>
      <c r="K164" s="197" t="s">
        <v>9</v>
      </c>
      <c r="L164" s="268"/>
      <c r="M164" s="165" t="s">
        <v>150</v>
      </c>
      <c r="N164" s="166" t="s">
        <v>84</v>
      </c>
      <c r="O164" s="167">
        <f>O163</f>
        <v>46262</v>
      </c>
      <c r="P164" s="168"/>
      <c r="Q164" s="168"/>
      <c r="R164" s="168">
        <f>R163</f>
        <v>46272</v>
      </c>
      <c r="S164" s="168">
        <f>WORKDAY(R164,S9,IF(S12="China",'China Holidays'!$A$2:$A$84,'Thai Holidays'!$A$2:$A$65))</f>
        <v>46272</v>
      </c>
      <c r="T164" s="168">
        <f>WORKDAY(S164,T9,IF(T12="China",'China Holidays'!$A$2:$A$84,'Thai Holidays'!$A$2:$A$65))</f>
        <v>46279</v>
      </c>
      <c r="U164" s="168">
        <f>WORKDAY(T164,U9,IF(U12="China",'China Holidays'!$A$2:$A$84,'Thai Holidays'!$A$2:$A$65))</f>
        <v>46288</v>
      </c>
      <c r="V164" s="168">
        <f>WORKDAY(U164,V9,IF(V12="China",'China Holidays'!$A$2:$A$84,'Thai Holidays'!$A$2:$A$65))</f>
        <v>46302</v>
      </c>
      <c r="W164" s="168"/>
      <c r="X164" s="168">
        <f>WORKDAY(V164,X9,IF(X12="China",'China Holidays'!$A$2:$A$84,'Thai Holidays'!$A$2:$A$65))</f>
        <v>46309</v>
      </c>
      <c r="Y164" s="168">
        <f>WORKDAY(X164,Y9,IF(Y12="China",'China Holidays'!$A$2:$A$84,'Thai Holidays'!$A$2:$A$65))</f>
        <v>46311</v>
      </c>
      <c r="Z164" s="168">
        <f>WORKDAY(Y164,Z9,IF(Z12="China",'China Holidays'!$A$2:$A$84,'Thai Holidays'!$A$2:$A$65))</f>
        <v>46318</v>
      </c>
      <c r="AA164" s="168">
        <f>WORKDAY(Z164,AA9,IF(AA12="China",'China Holidays'!$A$2:$A$84,'Thai Holidays'!$A$2:$A$65))</f>
        <v>46332</v>
      </c>
      <c r="AB164" s="168">
        <f>WORKDAY(AA164,AB9,IF(AB12="China",'China Holidays'!$A$2:$A$84,'Thai Holidays'!$A$2:$A$65))</f>
        <v>46346</v>
      </c>
      <c r="AC164" s="168">
        <f>AB164+10</f>
        <v>46356</v>
      </c>
      <c r="AD164" s="168">
        <f>AC164</f>
        <v>46356</v>
      </c>
      <c r="AE164" s="168">
        <f>AD164+2</f>
        <v>46358</v>
      </c>
      <c r="AF164" s="168">
        <f>AG164-7</f>
        <v>46391</v>
      </c>
      <c r="AG164" s="168">
        <f>AH164-5</f>
        <v>46398</v>
      </c>
      <c r="AH164" s="168">
        <f>AM164</f>
        <v>46403</v>
      </c>
      <c r="AI164" s="168">
        <f>AM163+3</f>
        <v>46406</v>
      </c>
      <c r="AJ164" s="168">
        <f>AM163+30</f>
        <v>46433</v>
      </c>
      <c r="AK164" s="169"/>
      <c r="AL164" s="230"/>
      <c r="AM164" s="170">
        <f>X164+AL163</f>
        <v>46403</v>
      </c>
      <c r="AN164" s="170"/>
      <c r="AO164" s="171"/>
      <c r="AP164" s="172"/>
      <c r="AQ164" s="448"/>
      <c r="AR164" s="154"/>
      <c r="AS164" s="155"/>
      <c r="AT164" s="155"/>
      <c r="AU164" s="155"/>
      <c r="AV164" s="155"/>
      <c r="AW164" s="155"/>
      <c r="AX164" s="155"/>
      <c r="AY164" s="155"/>
      <c r="AZ164" s="155"/>
      <c r="BA164" s="155"/>
      <c r="BB164" s="155"/>
      <c r="BC164" s="156"/>
      <c r="BD164" s="176"/>
      <c r="BE164" s="176"/>
    </row>
    <row r="165" spans="1:57" s="78" customFormat="1" ht="15.4" thickTop="1" thickBot="1" x14ac:dyDescent="0.45">
      <c r="A165" s="460"/>
      <c r="B165" s="177" t="s">
        <v>348</v>
      </c>
      <c r="C165" s="178" t="s">
        <v>349</v>
      </c>
      <c r="D165" s="207" t="s">
        <v>350</v>
      </c>
      <c r="E165" s="215"/>
      <c r="F165" s="215"/>
      <c r="G165" s="209" t="s">
        <v>338</v>
      </c>
      <c r="H165" s="182" t="s">
        <v>301</v>
      </c>
      <c r="I165" s="178" t="s">
        <v>138</v>
      </c>
      <c r="J165" s="178" t="s">
        <v>139</v>
      </c>
      <c r="K165" s="178" t="s">
        <v>9</v>
      </c>
      <c r="L165" s="322"/>
      <c r="M165" s="184" t="s">
        <v>150</v>
      </c>
      <c r="N165" s="185" t="s">
        <v>87</v>
      </c>
      <c r="O165" s="186"/>
      <c r="P165" s="186">
        <v>46194</v>
      </c>
      <c r="Q165" s="186">
        <v>46210</v>
      </c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  <c r="AC165" s="186"/>
      <c r="AD165" s="186"/>
      <c r="AE165" s="186"/>
      <c r="AF165" s="186"/>
      <c r="AG165" s="186"/>
      <c r="AH165" s="186"/>
      <c r="AI165" s="186"/>
      <c r="AJ165" s="186"/>
      <c r="AK165" s="188"/>
      <c r="AL165" s="211"/>
      <c r="AM165" s="187"/>
      <c r="AN165" s="187"/>
      <c r="AO165" s="189"/>
      <c r="AP165" s="190"/>
      <c r="AQ165" s="449"/>
      <c r="AR165" s="191"/>
      <c r="AS165" s="192"/>
      <c r="AT165" s="192"/>
      <c r="AU165" s="192"/>
      <c r="AV165" s="192"/>
      <c r="AW165" s="192"/>
      <c r="AX165" s="192"/>
      <c r="AY165" s="192"/>
      <c r="AZ165" s="192"/>
      <c r="BA165" s="192"/>
      <c r="BB165" s="192"/>
      <c r="BC165" s="156"/>
      <c r="BD165" s="176"/>
      <c r="BE165" s="176"/>
    </row>
    <row r="166" spans="1:57" s="78" customFormat="1" ht="15.4" thickTop="1" thickBot="1" x14ac:dyDescent="0.45">
      <c r="A166" s="458">
        <f t="shared" ref="A166" si="36">A163+1</f>
        <v>45</v>
      </c>
      <c r="B166" s="139" t="s">
        <v>351</v>
      </c>
      <c r="C166" s="140" t="s">
        <v>352</v>
      </c>
      <c r="D166" s="194" t="s">
        <v>353</v>
      </c>
      <c r="E166" s="202"/>
      <c r="F166" s="202"/>
      <c r="G166" s="427" t="s">
        <v>338</v>
      </c>
      <c r="H166" s="143" t="s">
        <v>301</v>
      </c>
      <c r="I166" s="140" t="s">
        <v>138</v>
      </c>
      <c r="J166" s="140" t="s">
        <v>139</v>
      </c>
      <c r="K166" s="140" t="s">
        <v>9</v>
      </c>
      <c r="L166" s="273"/>
      <c r="M166" s="145" t="s">
        <v>150</v>
      </c>
      <c r="N166" s="146" t="s">
        <v>77</v>
      </c>
      <c r="O166" s="147">
        <v>46247</v>
      </c>
      <c r="P166" s="147">
        <v>46238</v>
      </c>
      <c r="Q166" s="147">
        <v>46253</v>
      </c>
      <c r="R166" s="148">
        <v>46253</v>
      </c>
      <c r="S166" s="147">
        <v>46253</v>
      </c>
      <c r="T166" s="147">
        <v>46260</v>
      </c>
      <c r="U166" s="147">
        <v>46269</v>
      </c>
      <c r="V166" s="147">
        <v>46283</v>
      </c>
      <c r="W166" s="147"/>
      <c r="X166" s="147">
        <v>46293</v>
      </c>
      <c r="Y166" s="147">
        <v>46295</v>
      </c>
      <c r="Z166" s="147">
        <v>46309</v>
      </c>
      <c r="AA166" s="147">
        <v>46323</v>
      </c>
      <c r="AB166" s="147">
        <v>46337</v>
      </c>
      <c r="AC166" s="147">
        <v>46352</v>
      </c>
      <c r="AD166" s="147">
        <v>46352</v>
      </c>
      <c r="AE166" s="147">
        <v>46354</v>
      </c>
      <c r="AF166" s="147">
        <v>46391</v>
      </c>
      <c r="AG166" s="147">
        <v>46400</v>
      </c>
      <c r="AH166" s="147">
        <v>46405</v>
      </c>
      <c r="AI166" s="147">
        <v>46408</v>
      </c>
      <c r="AJ166" s="147">
        <v>46435</v>
      </c>
      <c r="AK166" s="149">
        <v>16</v>
      </c>
      <c r="AL166" s="150">
        <v>112</v>
      </c>
      <c r="AM166" s="151">
        <v>46405</v>
      </c>
      <c r="AN166" s="151">
        <v>46486</v>
      </c>
      <c r="AO166" s="225">
        <v>44</v>
      </c>
      <c r="AP166" s="235"/>
      <c r="AQ166" s="447"/>
      <c r="AR166" s="154"/>
      <c r="AS166" s="155"/>
      <c r="AT166" s="155"/>
      <c r="AU166" s="155"/>
      <c r="AV166" s="155"/>
      <c r="AW166" s="155"/>
      <c r="AX166" s="155"/>
      <c r="AY166" s="155"/>
      <c r="AZ166" s="155"/>
      <c r="BA166" s="155"/>
      <c r="BB166" s="155"/>
      <c r="BC166" s="156"/>
      <c r="BD166" s="176"/>
      <c r="BE166" s="176"/>
    </row>
    <row r="167" spans="1:57" s="78" customFormat="1" ht="15.4" thickTop="1" thickBot="1" x14ac:dyDescent="0.45">
      <c r="A167" s="459"/>
      <c r="B167" s="158" t="s">
        <v>351</v>
      </c>
      <c r="C167" s="197" t="s">
        <v>352</v>
      </c>
      <c r="D167" s="204" t="s">
        <v>353</v>
      </c>
      <c r="E167" s="205"/>
      <c r="F167" s="205"/>
      <c r="G167" s="204" t="s">
        <v>338</v>
      </c>
      <c r="H167" s="228" t="s">
        <v>301</v>
      </c>
      <c r="I167" s="159" t="s">
        <v>138</v>
      </c>
      <c r="J167" s="197" t="s">
        <v>139</v>
      </c>
      <c r="K167" s="197" t="s">
        <v>9</v>
      </c>
      <c r="L167" s="268"/>
      <c r="M167" s="165" t="s">
        <v>150</v>
      </c>
      <c r="N167" s="166" t="s">
        <v>84</v>
      </c>
      <c r="O167" s="167">
        <f>O166</f>
        <v>46247</v>
      </c>
      <c r="P167" s="168"/>
      <c r="Q167" s="168"/>
      <c r="R167" s="168">
        <f>R166</f>
        <v>46253</v>
      </c>
      <c r="S167" s="168">
        <f>WORKDAY(R167,S9,IF(S12="China",'China Holidays'!$A$2:$A$84,'Thai Holidays'!$A$2:$A$65))</f>
        <v>46253</v>
      </c>
      <c r="T167" s="168">
        <f>WORKDAY(S167,T9,IF(T12="China",'China Holidays'!$A$2:$A$84,'Thai Holidays'!$A$2:$A$65))</f>
        <v>46260</v>
      </c>
      <c r="U167" s="168">
        <f>WORKDAY(T167,U9,IF(U12="China",'China Holidays'!$A$2:$A$84,'Thai Holidays'!$A$2:$A$65))</f>
        <v>46269</v>
      </c>
      <c r="V167" s="168">
        <f>WORKDAY(U167,V9,IF(V12="China",'China Holidays'!$A$2:$A$84,'Thai Holidays'!$A$2:$A$65))</f>
        <v>46283</v>
      </c>
      <c r="W167" s="168"/>
      <c r="X167" s="168">
        <f>WORKDAY(V167,X9,IF(X12="China",'China Holidays'!$A$2:$A$84,'Thai Holidays'!$A$2:$A$65))</f>
        <v>46293</v>
      </c>
      <c r="Y167" s="168">
        <f>WORKDAY(X167,Y9,IF(Y12="China",'China Holidays'!$A$2:$A$84,'Thai Holidays'!$A$2:$A$65))</f>
        <v>46295</v>
      </c>
      <c r="Z167" s="168">
        <f>WORKDAY(Y167,Z9,IF(Z12="China",'China Holidays'!$A$2:$A$84,'Thai Holidays'!$A$2:$A$65))</f>
        <v>46309</v>
      </c>
      <c r="AA167" s="168">
        <f>WORKDAY(Z167,AA9,IF(AA12="China",'China Holidays'!$A$2:$A$84,'Thai Holidays'!$A$2:$A$65))</f>
        <v>46323</v>
      </c>
      <c r="AB167" s="168">
        <f>WORKDAY(AA167,AB9,IF(AB12="China",'China Holidays'!$A$2:$A$84,'Thai Holidays'!$A$2:$A$65))</f>
        <v>46337</v>
      </c>
      <c r="AC167" s="168">
        <f>AB167+15</f>
        <v>46352</v>
      </c>
      <c r="AD167" s="168">
        <f>AC167</f>
        <v>46352</v>
      </c>
      <c r="AE167" s="168">
        <f>AD167+2</f>
        <v>46354</v>
      </c>
      <c r="AF167" s="168">
        <f>AG167-9</f>
        <v>46391</v>
      </c>
      <c r="AG167" s="168">
        <f>AH167-5</f>
        <v>46400</v>
      </c>
      <c r="AH167" s="168">
        <f>AM167</f>
        <v>46405</v>
      </c>
      <c r="AI167" s="168">
        <f>AM166+3</f>
        <v>46408</v>
      </c>
      <c r="AJ167" s="168">
        <f>AM166+30</f>
        <v>46435</v>
      </c>
      <c r="AK167" s="169"/>
      <c r="AL167" s="230"/>
      <c r="AM167" s="170">
        <f>X167+AL166</f>
        <v>46405</v>
      </c>
      <c r="AN167" s="170"/>
      <c r="AO167" s="171"/>
      <c r="AP167" s="172"/>
      <c r="AQ167" s="448"/>
      <c r="AR167" s="154"/>
      <c r="AS167" s="155"/>
      <c r="AT167" s="155"/>
      <c r="AU167" s="155"/>
      <c r="AV167" s="155"/>
      <c r="AW167" s="155"/>
      <c r="AX167" s="155"/>
      <c r="AY167" s="155"/>
      <c r="AZ167" s="155"/>
      <c r="BA167" s="155"/>
      <c r="BB167" s="155"/>
      <c r="BC167" s="156"/>
      <c r="BD167" s="176"/>
      <c r="BE167" s="176"/>
    </row>
    <row r="168" spans="1:57" s="78" customFormat="1" ht="15.4" thickTop="1" thickBot="1" x14ac:dyDescent="0.45">
      <c r="A168" s="460"/>
      <c r="B168" s="177" t="s">
        <v>351</v>
      </c>
      <c r="C168" s="178" t="s">
        <v>352</v>
      </c>
      <c r="D168" s="207" t="s">
        <v>353</v>
      </c>
      <c r="E168" s="215"/>
      <c r="F168" s="215"/>
      <c r="G168" s="209" t="s">
        <v>338</v>
      </c>
      <c r="H168" s="182" t="s">
        <v>301</v>
      </c>
      <c r="I168" s="178" t="s">
        <v>138</v>
      </c>
      <c r="J168" s="178" t="s">
        <v>139</v>
      </c>
      <c r="K168" s="178" t="s">
        <v>9</v>
      </c>
      <c r="L168" s="322"/>
      <c r="M168" s="184" t="s">
        <v>150</v>
      </c>
      <c r="N168" s="185" t="s">
        <v>87</v>
      </c>
      <c r="O168" s="186"/>
      <c r="P168" s="186">
        <v>46185</v>
      </c>
      <c r="Q168" s="186">
        <v>46201</v>
      </c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6"/>
      <c r="AC168" s="186"/>
      <c r="AD168" s="186"/>
      <c r="AE168" s="186"/>
      <c r="AF168" s="186"/>
      <c r="AG168" s="186"/>
      <c r="AH168" s="186"/>
      <c r="AI168" s="186"/>
      <c r="AJ168" s="186"/>
      <c r="AK168" s="188"/>
      <c r="AL168" s="211"/>
      <c r="AM168" s="187"/>
      <c r="AN168" s="187"/>
      <c r="AO168" s="189"/>
      <c r="AP168" s="190"/>
      <c r="AQ168" s="449"/>
      <c r="AR168" s="191"/>
      <c r="AS168" s="192"/>
      <c r="AT168" s="192"/>
      <c r="AU168" s="192"/>
      <c r="AV168" s="192"/>
      <c r="AW168" s="192"/>
      <c r="AX168" s="192"/>
      <c r="AY168" s="192"/>
      <c r="AZ168" s="192"/>
      <c r="BA168" s="192"/>
      <c r="BB168" s="192"/>
      <c r="BC168" s="156"/>
      <c r="BD168" s="176"/>
      <c r="BE168" s="176"/>
    </row>
    <row r="169" spans="1:57" s="78" customFormat="1" ht="21" thickTop="1" thickBot="1" x14ac:dyDescent="0.45">
      <c r="A169" s="458">
        <f t="shared" ref="A169" si="37">A166+1</f>
        <v>46</v>
      </c>
      <c r="B169" s="139" t="s">
        <v>354</v>
      </c>
      <c r="C169" s="140" t="s">
        <v>355</v>
      </c>
      <c r="D169" s="323" t="s">
        <v>356</v>
      </c>
      <c r="E169" s="324"/>
      <c r="F169" s="324"/>
      <c r="G169" s="427" t="s">
        <v>338</v>
      </c>
      <c r="H169" s="143" t="s">
        <v>301</v>
      </c>
      <c r="I169" s="140" t="s">
        <v>138</v>
      </c>
      <c r="J169" s="140" t="s">
        <v>139</v>
      </c>
      <c r="K169" s="140" t="s">
        <v>9</v>
      </c>
      <c r="L169" s="273"/>
      <c r="M169" s="145" t="s">
        <v>150</v>
      </c>
      <c r="N169" s="146" t="s">
        <v>77</v>
      </c>
      <c r="O169" s="147">
        <v>46247</v>
      </c>
      <c r="P169" s="147">
        <v>46238</v>
      </c>
      <c r="Q169" s="147">
        <v>46253</v>
      </c>
      <c r="R169" s="148">
        <v>46253</v>
      </c>
      <c r="S169" s="147">
        <v>46253</v>
      </c>
      <c r="T169" s="147">
        <v>46260</v>
      </c>
      <c r="U169" s="147">
        <v>46269</v>
      </c>
      <c r="V169" s="147">
        <v>46283</v>
      </c>
      <c r="W169" s="147"/>
      <c r="X169" s="147">
        <v>46293</v>
      </c>
      <c r="Y169" s="147">
        <v>46295</v>
      </c>
      <c r="Z169" s="147">
        <v>46309</v>
      </c>
      <c r="AA169" s="147">
        <v>46323</v>
      </c>
      <c r="AB169" s="147">
        <v>46337</v>
      </c>
      <c r="AC169" s="147">
        <v>46352</v>
      </c>
      <c r="AD169" s="147">
        <v>46352</v>
      </c>
      <c r="AE169" s="147">
        <v>46354</v>
      </c>
      <c r="AF169" s="147">
        <v>46390</v>
      </c>
      <c r="AG169" s="147">
        <v>46400</v>
      </c>
      <c r="AH169" s="147">
        <v>46405</v>
      </c>
      <c r="AI169" s="147">
        <v>46408</v>
      </c>
      <c r="AJ169" s="147">
        <v>46435</v>
      </c>
      <c r="AK169" s="149">
        <v>16</v>
      </c>
      <c r="AL169" s="150">
        <v>112</v>
      </c>
      <c r="AM169" s="151">
        <v>46405</v>
      </c>
      <c r="AN169" s="151">
        <v>46486</v>
      </c>
      <c r="AO169" s="225">
        <f>AN169-AM170</f>
        <v>81</v>
      </c>
      <c r="AP169" s="235"/>
      <c r="AQ169" s="447"/>
      <c r="AR169" s="154"/>
      <c r="AS169" s="155"/>
      <c r="AT169" s="155"/>
      <c r="AU169" s="155"/>
      <c r="AV169" s="155"/>
      <c r="AW169" s="155"/>
      <c r="AX169" s="155"/>
      <c r="AY169" s="155"/>
      <c r="AZ169" s="155"/>
      <c r="BA169" s="155"/>
      <c r="BB169" s="155"/>
      <c r="BC169" s="156"/>
      <c r="BD169" s="176"/>
      <c r="BE169" s="176"/>
    </row>
    <row r="170" spans="1:57" s="78" customFormat="1" ht="21" thickTop="1" thickBot="1" x14ac:dyDescent="0.45">
      <c r="A170" s="459"/>
      <c r="B170" s="158" t="s">
        <v>354</v>
      </c>
      <c r="C170" s="197" t="s">
        <v>355</v>
      </c>
      <c r="D170" s="323" t="s">
        <v>356</v>
      </c>
      <c r="E170" s="227"/>
      <c r="F170" s="227"/>
      <c r="G170" s="204" t="s">
        <v>338</v>
      </c>
      <c r="H170" s="228" t="s">
        <v>301</v>
      </c>
      <c r="I170" s="159" t="s">
        <v>138</v>
      </c>
      <c r="J170" s="197" t="s">
        <v>139</v>
      </c>
      <c r="K170" s="197" t="s">
        <v>9</v>
      </c>
      <c r="L170" s="268"/>
      <c r="M170" s="165" t="s">
        <v>150</v>
      </c>
      <c r="N170" s="166" t="s">
        <v>84</v>
      </c>
      <c r="O170" s="167">
        <f>O169</f>
        <v>46247</v>
      </c>
      <c r="P170" s="168"/>
      <c r="Q170" s="168"/>
      <c r="R170" s="168">
        <f>R169</f>
        <v>46253</v>
      </c>
      <c r="S170" s="168">
        <f>WORKDAY(R170,S9,IF(S12="China",'China Holidays'!$A$2:$A$84,'Thai Holidays'!$A$2:$A$65))</f>
        <v>46253</v>
      </c>
      <c r="T170" s="168">
        <f>WORKDAY(S170,T9,IF(T12="China",'China Holidays'!$A$2:$A$84,'Thai Holidays'!$A$2:$A$65))</f>
        <v>46260</v>
      </c>
      <c r="U170" s="168">
        <f>WORKDAY(T170,U9,IF(U12="China",'China Holidays'!$A$2:$A$84,'Thai Holidays'!$A$2:$A$65))</f>
        <v>46269</v>
      </c>
      <c r="V170" s="168">
        <f>WORKDAY(U170,V9,IF(V12="China",'China Holidays'!$A$2:$A$84,'Thai Holidays'!$A$2:$A$65))</f>
        <v>46283</v>
      </c>
      <c r="W170" s="168"/>
      <c r="X170" s="168">
        <f>WORKDAY(V170,X9,IF(X12="China",'China Holidays'!$A$2:$A$84,'Thai Holidays'!$A$2:$A$65))</f>
        <v>46293</v>
      </c>
      <c r="Y170" s="168">
        <f>WORKDAY(X170,Y9,IF(Y12="China",'China Holidays'!$A$2:$A$84,'Thai Holidays'!$A$2:$A$65))</f>
        <v>46295</v>
      </c>
      <c r="Z170" s="168">
        <f>WORKDAY(Y170,Z9,IF(Z12="China",'China Holidays'!$A$2:$A$84,'Thai Holidays'!$A$2:$A$65))</f>
        <v>46309</v>
      </c>
      <c r="AA170" s="168">
        <f>WORKDAY(Z170,AA9,IF(AA12="China",'China Holidays'!$A$2:$A$84,'Thai Holidays'!$A$2:$A$65))</f>
        <v>46323</v>
      </c>
      <c r="AB170" s="168">
        <f>WORKDAY(AA170,AB9,IF(AB12="China",'China Holidays'!$A$2:$A$84,'Thai Holidays'!$A$2:$A$65))</f>
        <v>46337</v>
      </c>
      <c r="AC170" s="168">
        <f>AB170+15</f>
        <v>46352</v>
      </c>
      <c r="AD170" s="168">
        <f>AC170</f>
        <v>46352</v>
      </c>
      <c r="AE170" s="168">
        <f>AD170+2</f>
        <v>46354</v>
      </c>
      <c r="AF170" s="168">
        <f>AG170-10</f>
        <v>46390</v>
      </c>
      <c r="AG170" s="168">
        <f>AH170-5</f>
        <v>46400</v>
      </c>
      <c r="AH170" s="168">
        <f>AM170</f>
        <v>46405</v>
      </c>
      <c r="AI170" s="168">
        <f>AM169+3</f>
        <v>46408</v>
      </c>
      <c r="AJ170" s="168">
        <f>AM169+30</f>
        <v>46435</v>
      </c>
      <c r="AK170" s="169"/>
      <c r="AL170" s="230"/>
      <c r="AM170" s="170">
        <f>X170+AL169</f>
        <v>46405</v>
      </c>
      <c r="AN170" s="170"/>
      <c r="AO170" s="171"/>
      <c r="AP170" s="172"/>
      <c r="AQ170" s="448"/>
      <c r="AR170" s="154"/>
      <c r="AS170" s="155"/>
      <c r="AT170" s="155"/>
      <c r="AU170" s="155"/>
      <c r="AV170" s="155"/>
      <c r="AW170" s="155"/>
      <c r="AX170" s="155"/>
      <c r="AY170" s="155"/>
      <c r="AZ170" s="155"/>
      <c r="BA170" s="155"/>
      <c r="BB170" s="155"/>
      <c r="BC170" s="156"/>
      <c r="BD170" s="176"/>
      <c r="BE170" s="176"/>
    </row>
    <row r="171" spans="1:57" s="78" customFormat="1" ht="21" thickTop="1" thickBot="1" x14ac:dyDescent="0.45">
      <c r="A171" s="460"/>
      <c r="B171" s="177" t="s">
        <v>354</v>
      </c>
      <c r="C171" s="178" t="s">
        <v>355</v>
      </c>
      <c r="D171" s="322" t="s">
        <v>356</v>
      </c>
      <c r="E171" s="215"/>
      <c r="F171" s="215"/>
      <c r="G171" s="209" t="s">
        <v>338</v>
      </c>
      <c r="H171" s="182" t="s">
        <v>301</v>
      </c>
      <c r="I171" s="178" t="s">
        <v>138</v>
      </c>
      <c r="J171" s="178" t="s">
        <v>139</v>
      </c>
      <c r="K171" s="178" t="s">
        <v>9</v>
      </c>
      <c r="L171" s="322"/>
      <c r="M171" s="184" t="s">
        <v>150</v>
      </c>
      <c r="N171" s="185" t="s">
        <v>87</v>
      </c>
      <c r="O171" s="186"/>
      <c r="P171" s="186">
        <v>46191</v>
      </c>
      <c r="Q171" s="186">
        <v>46207</v>
      </c>
      <c r="R171" s="186"/>
      <c r="S171" s="186"/>
      <c r="T171" s="186"/>
      <c r="U171" s="186"/>
      <c r="V171" s="186"/>
      <c r="W171" s="186"/>
      <c r="X171" s="186"/>
      <c r="Y171" s="186"/>
      <c r="Z171" s="186"/>
      <c r="AA171" s="186"/>
      <c r="AB171" s="186"/>
      <c r="AC171" s="186"/>
      <c r="AD171" s="186"/>
      <c r="AE171" s="186"/>
      <c r="AF171" s="186"/>
      <c r="AG171" s="186"/>
      <c r="AH171" s="186"/>
      <c r="AI171" s="186"/>
      <c r="AJ171" s="186"/>
      <c r="AK171" s="188"/>
      <c r="AL171" s="211"/>
      <c r="AM171" s="187"/>
      <c r="AN171" s="187"/>
      <c r="AO171" s="189"/>
      <c r="AP171" s="190"/>
      <c r="AQ171" s="449"/>
      <c r="AR171" s="191"/>
      <c r="AS171" s="192"/>
      <c r="AT171" s="192"/>
      <c r="AU171" s="192"/>
      <c r="AV171" s="192"/>
      <c r="AW171" s="192"/>
      <c r="AX171" s="192"/>
      <c r="AY171" s="192"/>
      <c r="AZ171" s="192"/>
      <c r="BA171" s="192"/>
      <c r="BB171" s="192"/>
      <c r="BC171" s="156"/>
      <c r="BD171" s="176"/>
      <c r="BE171" s="176"/>
    </row>
    <row r="172" spans="1:57" s="78" customFormat="1" ht="15.4" thickTop="1" thickBot="1" x14ac:dyDescent="0.45">
      <c r="A172" s="458">
        <f t="shared" ref="A172" si="38">A169+1</f>
        <v>47</v>
      </c>
      <c r="B172" s="139" t="s">
        <v>357</v>
      </c>
      <c r="C172" s="140" t="s">
        <v>358</v>
      </c>
      <c r="D172" s="141" t="s">
        <v>359</v>
      </c>
      <c r="E172" s="202"/>
      <c r="F172" s="202">
        <v>32</v>
      </c>
      <c r="G172" s="431" t="s">
        <v>360</v>
      </c>
      <c r="H172" s="143" t="s">
        <v>361</v>
      </c>
      <c r="I172" s="247" t="s">
        <v>73</v>
      </c>
      <c r="J172" s="140" t="s">
        <v>95</v>
      </c>
      <c r="K172" s="140" t="s">
        <v>2</v>
      </c>
      <c r="L172" s="144" t="s">
        <v>362</v>
      </c>
      <c r="M172" s="145" t="s">
        <v>76</v>
      </c>
      <c r="N172" s="146" t="s">
        <v>77</v>
      </c>
      <c r="O172" s="147">
        <v>46129</v>
      </c>
      <c r="P172" s="223">
        <v>46130</v>
      </c>
      <c r="Q172" s="147">
        <v>46139</v>
      </c>
      <c r="R172" s="147">
        <v>46140</v>
      </c>
      <c r="S172" s="147">
        <v>46147</v>
      </c>
      <c r="T172" s="147">
        <v>46154</v>
      </c>
      <c r="U172" s="147">
        <v>46163</v>
      </c>
      <c r="V172" s="147">
        <v>46167</v>
      </c>
      <c r="W172" s="147"/>
      <c r="X172" s="147">
        <v>46174</v>
      </c>
      <c r="Y172" s="147">
        <v>46176</v>
      </c>
      <c r="Z172" s="147">
        <v>46183</v>
      </c>
      <c r="AA172" s="148">
        <v>46198</v>
      </c>
      <c r="AB172" s="147">
        <v>46212</v>
      </c>
      <c r="AC172" s="147">
        <v>46272</v>
      </c>
      <c r="AD172" s="147">
        <v>46272</v>
      </c>
      <c r="AE172" s="147">
        <v>46274</v>
      </c>
      <c r="AF172" s="147">
        <v>46432</v>
      </c>
      <c r="AG172" s="147">
        <v>46452</v>
      </c>
      <c r="AH172" s="147">
        <v>46482</v>
      </c>
      <c r="AI172" s="147">
        <v>46485</v>
      </c>
      <c r="AJ172" s="147">
        <v>46512</v>
      </c>
      <c r="AK172" s="149">
        <v>44</v>
      </c>
      <c r="AL172" s="150">
        <v>308</v>
      </c>
      <c r="AM172" s="151">
        <v>46482</v>
      </c>
      <c r="AN172" s="151">
        <v>46515</v>
      </c>
      <c r="AO172" s="225">
        <f>AN172-AM173</f>
        <v>61</v>
      </c>
      <c r="AP172" s="235" t="s">
        <v>159</v>
      </c>
      <c r="AQ172" s="438" t="s">
        <v>363</v>
      </c>
      <c r="AR172" s="154"/>
      <c r="AS172" s="155"/>
      <c r="AT172" s="155"/>
      <c r="AU172" s="155"/>
      <c r="AV172" s="155"/>
      <c r="AW172" s="155"/>
      <c r="AX172" s="155"/>
      <c r="AY172" s="155"/>
      <c r="AZ172" s="155"/>
      <c r="BA172" s="155"/>
      <c r="BB172" s="155"/>
      <c r="BC172" s="156" t="s">
        <v>364</v>
      </c>
      <c r="BD172" s="325" t="s">
        <v>365</v>
      </c>
      <c r="BE172" s="326"/>
    </row>
    <row r="173" spans="1:57" s="78" customFormat="1" ht="15.4" thickTop="1" thickBot="1" x14ac:dyDescent="0.45">
      <c r="A173" s="459"/>
      <c r="B173" s="158" t="s">
        <v>357</v>
      </c>
      <c r="C173" s="197" t="s">
        <v>358</v>
      </c>
      <c r="D173" s="160" t="s">
        <v>359</v>
      </c>
      <c r="E173" s="205"/>
      <c r="F173" s="205"/>
      <c r="G173" s="204" t="s">
        <v>360</v>
      </c>
      <c r="H173" s="228" t="s">
        <v>361</v>
      </c>
      <c r="I173" s="250" t="s">
        <v>73</v>
      </c>
      <c r="J173" s="197" t="s">
        <v>95</v>
      </c>
      <c r="K173" s="197" t="s">
        <v>2</v>
      </c>
      <c r="L173" s="164" t="s">
        <v>366</v>
      </c>
      <c r="M173" s="165" t="s">
        <v>76</v>
      </c>
      <c r="N173" s="166" t="s">
        <v>84</v>
      </c>
      <c r="O173" s="167"/>
      <c r="P173" s="168"/>
      <c r="Q173" s="170"/>
      <c r="R173" s="168"/>
      <c r="S173" s="168"/>
      <c r="T173" s="168"/>
      <c r="U173" s="219"/>
      <c r="V173" s="168"/>
      <c r="W173" s="168"/>
      <c r="X173" s="168"/>
      <c r="Y173" s="168"/>
      <c r="Z173" s="168"/>
      <c r="AA173" s="168">
        <f>WORKDAY(Z174,AA6,IF(AA12="China",'China Holidays'!$A$2:$A$84,'Thai Holidays'!$A$2:$A$65))</f>
        <v>46241</v>
      </c>
      <c r="AB173" s="168">
        <f>WORKDAY(AA173,AB6,IF(AB12="China",'China Holidays'!$A$2:$A$84,'Thai Holidays'!$A$2:$A$65))</f>
        <v>46258</v>
      </c>
      <c r="AC173" s="168">
        <f>AB173+60</f>
        <v>46318</v>
      </c>
      <c r="AD173" s="168">
        <f>AC173+2</f>
        <v>46320</v>
      </c>
      <c r="AE173" s="168">
        <f>AD173+2</f>
        <v>46322</v>
      </c>
      <c r="AF173" s="168">
        <f>AG173-20</f>
        <v>46041</v>
      </c>
      <c r="AG173" s="168">
        <v>46061</v>
      </c>
      <c r="AH173" s="168">
        <f>AM173</f>
        <v>46454</v>
      </c>
      <c r="AI173" s="168">
        <f>AM172+3</f>
        <v>46485</v>
      </c>
      <c r="AJ173" s="168">
        <f>AM172+30</f>
        <v>46512</v>
      </c>
      <c r="AK173" s="169">
        <v>36</v>
      </c>
      <c r="AL173" s="230">
        <f>AK173*7</f>
        <v>252</v>
      </c>
      <c r="AM173" s="170">
        <v>46454</v>
      </c>
      <c r="AN173" s="170"/>
      <c r="AO173" s="171"/>
      <c r="AP173" s="172"/>
      <c r="AQ173" s="448"/>
      <c r="AR173" s="154"/>
      <c r="AS173" s="155"/>
      <c r="AT173" s="155"/>
      <c r="AU173" s="155"/>
      <c r="AV173" s="155"/>
      <c r="AW173" s="155"/>
      <c r="AX173" s="155"/>
      <c r="AY173" s="155"/>
      <c r="AZ173" s="155"/>
      <c r="BA173" s="155"/>
      <c r="BB173" s="155"/>
      <c r="BC173" s="156"/>
      <c r="BD173" s="325" t="s">
        <v>367</v>
      </c>
      <c r="BE173" s="326"/>
    </row>
    <row r="174" spans="1:57" s="78" customFormat="1" ht="15.4" thickTop="1" thickBot="1" x14ac:dyDescent="0.45">
      <c r="A174" s="460"/>
      <c r="B174" s="177" t="s">
        <v>357</v>
      </c>
      <c r="C174" s="178" t="s">
        <v>358</v>
      </c>
      <c r="D174" s="179" t="s">
        <v>359</v>
      </c>
      <c r="E174" s="215"/>
      <c r="F174" s="215"/>
      <c r="G174" s="207" t="s">
        <v>360</v>
      </c>
      <c r="H174" s="182" t="s">
        <v>361</v>
      </c>
      <c r="I174" s="251" t="s">
        <v>73</v>
      </c>
      <c r="J174" s="178" t="s">
        <v>95</v>
      </c>
      <c r="K174" s="178" t="s">
        <v>2</v>
      </c>
      <c r="L174" s="183"/>
      <c r="M174" s="184" t="s">
        <v>76</v>
      </c>
      <c r="N174" s="185" t="s">
        <v>87</v>
      </c>
      <c r="O174" s="186">
        <v>46133</v>
      </c>
      <c r="P174" s="186">
        <v>46122</v>
      </c>
      <c r="Q174" s="186">
        <v>46140</v>
      </c>
      <c r="R174" s="186">
        <v>46151</v>
      </c>
      <c r="S174" s="186">
        <v>46151</v>
      </c>
      <c r="T174" s="186">
        <v>46164</v>
      </c>
      <c r="U174" s="186">
        <v>46185</v>
      </c>
      <c r="V174" s="186">
        <v>46191</v>
      </c>
      <c r="W174" s="186">
        <v>46203</v>
      </c>
      <c r="X174" s="186">
        <v>46206</v>
      </c>
      <c r="Y174" s="186">
        <v>46220</v>
      </c>
      <c r="Z174" s="186">
        <v>46213</v>
      </c>
      <c r="AA174" s="186"/>
      <c r="AB174" s="186"/>
      <c r="AC174" s="186"/>
      <c r="AD174" s="186"/>
      <c r="AE174" s="186"/>
      <c r="AF174" s="186"/>
      <c r="AG174" s="186"/>
      <c r="AH174" s="186"/>
      <c r="AI174" s="186"/>
      <c r="AJ174" s="186"/>
      <c r="AK174" s="188"/>
      <c r="AL174" s="211"/>
      <c r="AM174" s="327" t="s">
        <v>368</v>
      </c>
      <c r="AN174" s="187"/>
      <c r="AO174" s="189"/>
      <c r="AP174" s="190"/>
      <c r="AQ174" s="449"/>
      <c r="AR174" s="191"/>
      <c r="AS174" s="192"/>
      <c r="AT174" s="192"/>
      <c r="AU174" s="192"/>
      <c r="AV174" s="192"/>
      <c r="AW174" s="192"/>
      <c r="AX174" s="192"/>
      <c r="AY174" s="192"/>
      <c r="AZ174" s="192"/>
      <c r="BA174" s="192"/>
      <c r="BB174" s="192"/>
      <c r="BC174" s="156"/>
      <c r="BD174" s="328"/>
      <c r="BE174" s="328"/>
    </row>
    <row r="175" spans="1:57" s="78" customFormat="1" ht="17.25" customHeight="1" thickTop="1" thickBot="1" x14ac:dyDescent="0.45">
      <c r="A175" s="458">
        <f t="shared" ref="A175" si="39">A172+1</f>
        <v>48</v>
      </c>
      <c r="B175" s="139" t="s">
        <v>369</v>
      </c>
      <c r="C175" s="140" t="s">
        <v>370</v>
      </c>
      <c r="D175" s="141" t="s">
        <v>371</v>
      </c>
      <c r="E175" s="202" t="s">
        <v>372</v>
      </c>
      <c r="F175" s="202" t="s">
        <v>373</v>
      </c>
      <c r="G175" s="427" t="s">
        <v>157</v>
      </c>
      <c r="H175" s="143" t="s">
        <v>361</v>
      </c>
      <c r="I175" s="140" t="s">
        <v>138</v>
      </c>
      <c r="J175" s="140" t="s">
        <v>95</v>
      </c>
      <c r="K175" s="140" t="s">
        <v>4</v>
      </c>
      <c r="L175" s="144" t="s">
        <v>195</v>
      </c>
      <c r="M175" s="145" t="s">
        <v>76</v>
      </c>
      <c r="N175" s="146" t="s">
        <v>77</v>
      </c>
      <c r="O175" s="147">
        <v>46141</v>
      </c>
      <c r="P175" s="147">
        <v>46142</v>
      </c>
      <c r="Q175" s="147">
        <v>46153</v>
      </c>
      <c r="R175" s="147">
        <v>46154</v>
      </c>
      <c r="S175" s="147">
        <v>46161</v>
      </c>
      <c r="T175" s="147">
        <v>46175</v>
      </c>
      <c r="U175" s="147">
        <v>46204</v>
      </c>
      <c r="V175" s="148">
        <v>46209</v>
      </c>
      <c r="W175" s="147"/>
      <c r="X175" s="147">
        <v>46223</v>
      </c>
      <c r="Y175" s="147">
        <v>46225</v>
      </c>
      <c r="Z175" s="147">
        <v>46232</v>
      </c>
      <c r="AA175" s="147">
        <v>46260</v>
      </c>
      <c r="AB175" s="147">
        <v>46274</v>
      </c>
      <c r="AC175" s="147">
        <v>46334</v>
      </c>
      <c r="AD175" s="147">
        <v>46334</v>
      </c>
      <c r="AE175" s="147">
        <v>46336</v>
      </c>
      <c r="AF175" s="147">
        <v>46420</v>
      </c>
      <c r="AG175" s="147">
        <v>46445</v>
      </c>
      <c r="AH175" s="147">
        <v>46475</v>
      </c>
      <c r="AI175" s="147">
        <v>46478</v>
      </c>
      <c r="AJ175" s="147">
        <v>46505</v>
      </c>
      <c r="AK175" s="149">
        <v>36</v>
      </c>
      <c r="AL175" s="150">
        <v>252</v>
      </c>
      <c r="AM175" s="151">
        <v>46475</v>
      </c>
      <c r="AN175" s="151">
        <v>46507</v>
      </c>
      <c r="AO175" s="225">
        <f>AN175-AM176</f>
        <v>8</v>
      </c>
      <c r="AP175" s="235" t="s">
        <v>159</v>
      </c>
      <c r="AQ175" s="438" t="s">
        <v>374</v>
      </c>
      <c r="AR175" s="154"/>
      <c r="AS175" s="155"/>
      <c r="AT175" s="155"/>
      <c r="AU175" s="155"/>
      <c r="AV175" s="155"/>
      <c r="AW175" s="155"/>
      <c r="AX175" s="155"/>
      <c r="AY175" s="155"/>
      <c r="AZ175" s="155"/>
      <c r="BA175" s="155"/>
      <c r="BB175" s="155"/>
      <c r="BC175" s="156" t="s">
        <v>80</v>
      </c>
      <c r="BD175" s="193" t="s">
        <v>375</v>
      </c>
      <c r="BE175" s="193"/>
    </row>
    <row r="176" spans="1:57" s="78" customFormat="1" ht="16.5" customHeight="1" thickTop="1" thickBot="1" x14ac:dyDescent="0.45">
      <c r="A176" s="459"/>
      <c r="B176" s="158" t="s">
        <v>369</v>
      </c>
      <c r="C176" s="197" t="s">
        <v>370</v>
      </c>
      <c r="D176" s="160" t="s">
        <v>371</v>
      </c>
      <c r="E176" s="205" t="s">
        <v>376</v>
      </c>
      <c r="F176" s="205">
        <v>11</v>
      </c>
      <c r="G176" s="204" t="s">
        <v>157</v>
      </c>
      <c r="H176" s="228" t="s">
        <v>361</v>
      </c>
      <c r="I176" s="159" t="s">
        <v>138</v>
      </c>
      <c r="J176" s="197" t="s">
        <v>95</v>
      </c>
      <c r="K176" s="197" t="s">
        <v>4</v>
      </c>
      <c r="L176" s="164" t="s">
        <v>377</v>
      </c>
      <c r="M176" s="165" t="s">
        <v>76</v>
      </c>
      <c r="N176" s="166" t="s">
        <v>84</v>
      </c>
      <c r="O176" s="167"/>
      <c r="P176" s="168"/>
      <c r="Q176" s="170"/>
      <c r="R176" s="168"/>
      <c r="S176" s="168"/>
      <c r="T176" s="168"/>
      <c r="U176" s="168"/>
      <c r="V176" s="168">
        <f>WORKDAY(U177,V7,IF(V12="China",'China Holidays'!$A$2:$A$84,'Thai Holidays'!$A$2:$A$65))</f>
        <v>46247</v>
      </c>
      <c r="W176" s="168">
        <v>46247</v>
      </c>
      <c r="X176" s="168">
        <f>V176</f>
        <v>46247</v>
      </c>
      <c r="Y176" s="168">
        <f>WORKDAY(X176,Y7,IF(Y12="China",'China Holidays'!$A$2:$A$84,'Thai Holidays'!$A$2:$A$65))</f>
        <v>46251</v>
      </c>
      <c r="Z176" s="168">
        <f>WORKDAY(Y176,Z7,IF(Z12="China",'China Holidays'!$A$2:$A$84,'Thai Holidays'!$A$2:$A$65))</f>
        <v>46258</v>
      </c>
      <c r="AA176" s="168">
        <f>WORKDAY(Z176,AA7,IF(AA12="China",'China Holidays'!$A$2:$A$84,'Thai Holidays'!$A$2:$A$65))</f>
        <v>46286</v>
      </c>
      <c r="AB176" s="168">
        <f>WORKDAY(AA176,AB7,IF(AB12="China",'China Holidays'!$A$2:$A$84,'Thai Holidays'!$A$2:$A$65))</f>
        <v>46300</v>
      </c>
      <c r="AC176" s="168">
        <f>AB176+60</f>
        <v>46360</v>
      </c>
      <c r="AD176" s="168">
        <f>AC176</f>
        <v>46360</v>
      </c>
      <c r="AE176" s="168">
        <f>AD176+2</f>
        <v>46362</v>
      </c>
      <c r="AF176" s="168">
        <f>AG176-25</f>
        <v>46444</v>
      </c>
      <c r="AG176" s="168">
        <f>AH176-30</f>
        <v>46469</v>
      </c>
      <c r="AH176" s="168">
        <f>AM176</f>
        <v>46499</v>
      </c>
      <c r="AI176" s="168">
        <f>AM175+3</f>
        <v>46478</v>
      </c>
      <c r="AJ176" s="168">
        <f>AM175+30</f>
        <v>46505</v>
      </c>
      <c r="AK176" s="169"/>
      <c r="AL176" s="230"/>
      <c r="AM176" s="170">
        <f>X176+AL175</f>
        <v>46499</v>
      </c>
      <c r="AN176" s="170"/>
      <c r="AO176" s="171"/>
      <c r="AP176" s="172"/>
      <c r="AQ176" s="448"/>
      <c r="AR176" s="154"/>
      <c r="AS176" s="155"/>
      <c r="AT176" s="155"/>
      <c r="AU176" s="155"/>
      <c r="AV176" s="155"/>
      <c r="AW176" s="155"/>
      <c r="AX176" s="155"/>
      <c r="AY176" s="155"/>
      <c r="AZ176" s="155"/>
      <c r="BA176" s="155"/>
      <c r="BB176" s="155"/>
      <c r="BC176" s="156" t="s">
        <v>85</v>
      </c>
      <c r="BD176" s="193" t="s">
        <v>378</v>
      </c>
      <c r="BE176" s="193"/>
    </row>
    <row r="177" spans="1:58" s="78" customFormat="1" ht="16.899999999999999" customHeight="1" thickTop="1" thickBot="1" x14ac:dyDescent="0.45">
      <c r="A177" s="460"/>
      <c r="B177" s="177" t="s">
        <v>369</v>
      </c>
      <c r="C177" s="178" t="s">
        <v>370</v>
      </c>
      <c r="D177" s="237" t="s">
        <v>371</v>
      </c>
      <c r="E177" s="208"/>
      <c r="F177" s="208"/>
      <c r="G177" s="209" t="s">
        <v>157</v>
      </c>
      <c r="H177" s="182" t="s">
        <v>361</v>
      </c>
      <c r="I177" s="178" t="s">
        <v>138</v>
      </c>
      <c r="J177" s="178" t="s">
        <v>95</v>
      </c>
      <c r="K177" s="178" t="s">
        <v>4</v>
      </c>
      <c r="L177" s="329"/>
      <c r="M177" s="184" t="s">
        <v>76</v>
      </c>
      <c r="N177" s="185" t="s">
        <v>87</v>
      </c>
      <c r="O177" s="186">
        <v>46164</v>
      </c>
      <c r="P177" s="186">
        <v>46133</v>
      </c>
      <c r="Q177" s="186">
        <v>46153</v>
      </c>
      <c r="R177" s="186">
        <v>46167</v>
      </c>
      <c r="S177" s="186">
        <v>46167</v>
      </c>
      <c r="T177" s="186">
        <v>46179</v>
      </c>
      <c r="U177" s="186">
        <v>46230</v>
      </c>
      <c r="V177" s="186"/>
      <c r="W177" s="186"/>
      <c r="X177" s="186"/>
      <c r="Y177" s="186"/>
      <c r="Z177" s="186"/>
      <c r="AA177" s="186"/>
      <c r="AB177" s="186"/>
      <c r="AC177" s="186"/>
      <c r="AD177" s="186"/>
      <c r="AE177" s="186"/>
      <c r="AF177" s="186"/>
      <c r="AG177" s="186"/>
      <c r="AH177" s="186"/>
      <c r="AI177" s="186"/>
      <c r="AJ177" s="186"/>
      <c r="AK177" s="188"/>
      <c r="AL177" s="211"/>
      <c r="AM177" s="187"/>
      <c r="AN177" s="187"/>
      <c r="AO177" s="189"/>
      <c r="AP177" s="190"/>
      <c r="AQ177" s="449"/>
      <c r="AR177" s="191"/>
      <c r="AS177" s="192"/>
      <c r="AT177" s="192"/>
      <c r="AU177" s="192"/>
      <c r="AV177" s="192"/>
      <c r="AW177" s="192"/>
      <c r="AX177" s="192"/>
      <c r="AY177" s="192"/>
      <c r="AZ177" s="192"/>
      <c r="BA177" s="192"/>
      <c r="BB177" s="192"/>
      <c r="BC177" s="156"/>
      <c r="BD177" s="176"/>
      <c r="BE177" s="176"/>
    </row>
    <row r="178" spans="1:58" s="78" customFormat="1" ht="15.4" thickTop="1" thickBot="1" x14ac:dyDescent="0.45">
      <c r="A178" s="458">
        <f t="shared" ref="A178" si="40">A175+1</f>
        <v>49</v>
      </c>
      <c r="B178" s="139" t="s">
        <v>379</v>
      </c>
      <c r="C178" s="140" t="s">
        <v>380</v>
      </c>
      <c r="D178" s="141" t="s">
        <v>381</v>
      </c>
      <c r="E178" s="202"/>
      <c r="F178" s="202">
        <v>64</v>
      </c>
      <c r="G178" s="427" t="s">
        <v>382</v>
      </c>
      <c r="H178" s="143" t="s">
        <v>361</v>
      </c>
      <c r="I178" s="140" t="s">
        <v>73</v>
      </c>
      <c r="J178" s="140" t="s">
        <v>74</v>
      </c>
      <c r="K178" s="140" t="s">
        <v>2</v>
      </c>
      <c r="L178" s="195" t="s">
        <v>383</v>
      </c>
      <c r="M178" s="145" t="s">
        <v>76</v>
      </c>
      <c r="N178" s="146" t="s">
        <v>77</v>
      </c>
      <c r="O178" s="147">
        <v>46140</v>
      </c>
      <c r="P178" s="223">
        <v>46141</v>
      </c>
      <c r="Q178" s="147">
        <v>46150</v>
      </c>
      <c r="R178" s="147">
        <v>46153</v>
      </c>
      <c r="S178" s="147">
        <v>46160</v>
      </c>
      <c r="T178" s="147">
        <v>46174</v>
      </c>
      <c r="U178" s="147">
        <v>46203</v>
      </c>
      <c r="V178" s="147">
        <v>46206</v>
      </c>
      <c r="W178" s="147"/>
      <c r="X178" s="147">
        <v>46220</v>
      </c>
      <c r="Y178" s="148">
        <v>46224</v>
      </c>
      <c r="Z178" s="147">
        <v>46231</v>
      </c>
      <c r="AA178" s="147">
        <v>46259</v>
      </c>
      <c r="AB178" s="147">
        <v>46273</v>
      </c>
      <c r="AC178" s="147">
        <v>46333</v>
      </c>
      <c r="AD178" s="147">
        <v>46333</v>
      </c>
      <c r="AE178" s="147">
        <v>46335</v>
      </c>
      <c r="AF178" s="147">
        <v>46450</v>
      </c>
      <c r="AG178" s="147">
        <v>46470</v>
      </c>
      <c r="AH178" s="147">
        <v>46500</v>
      </c>
      <c r="AI178" s="147">
        <v>46503</v>
      </c>
      <c r="AJ178" s="147">
        <v>46530</v>
      </c>
      <c r="AK178" s="149">
        <v>40</v>
      </c>
      <c r="AL178" s="150">
        <v>280</v>
      </c>
      <c r="AM178" s="151">
        <f>AN178-7</f>
        <v>46500</v>
      </c>
      <c r="AN178" s="151">
        <v>46507</v>
      </c>
      <c r="AO178" s="225">
        <f>AN178-AM179</f>
        <v>46227</v>
      </c>
      <c r="AP178" s="235" t="s">
        <v>159</v>
      </c>
      <c r="AQ178" s="438" t="s">
        <v>384</v>
      </c>
      <c r="AR178" s="154"/>
      <c r="AS178" s="155"/>
      <c r="AT178" s="155"/>
      <c r="AU178" s="155"/>
      <c r="AV178" s="155"/>
      <c r="AW178" s="155"/>
      <c r="AX178" s="155"/>
      <c r="AY178" s="155"/>
      <c r="AZ178" s="155"/>
      <c r="BA178" s="155"/>
      <c r="BB178" s="155"/>
      <c r="BC178" s="330" t="s">
        <v>80</v>
      </c>
      <c r="BD178" s="331" t="s">
        <v>385</v>
      </c>
      <c r="BE178" s="193" t="s">
        <v>386</v>
      </c>
    </row>
    <row r="179" spans="1:58" s="78" customFormat="1" ht="15.4" thickTop="1" thickBot="1" x14ac:dyDescent="0.45">
      <c r="A179" s="459"/>
      <c r="B179" s="158" t="s">
        <v>379</v>
      </c>
      <c r="C179" s="197" t="s">
        <v>380</v>
      </c>
      <c r="D179" s="160" t="s">
        <v>381</v>
      </c>
      <c r="E179" s="205"/>
      <c r="F179" s="205"/>
      <c r="G179" s="204" t="s">
        <v>382</v>
      </c>
      <c r="H179" s="228" t="s">
        <v>361</v>
      </c>
      <c r="I179" s="159" t="s">
        <v>73</v>
      </c>
      <c r="J179" s="197" t="s">
        <v>74</v>
      </c>
      <c r="K179" s="197" t="s">
        <v>2</v>
      </c>
      <c r="L179" s="164" t="s">
        <v>387</v>
      </c>
      <c r="M179" s="165" t="s">
        <v>76</v>
      </c>
      <c r="N179" s="166" t="s">
        <v>84</v>
      </c>
      <c r="O179" s="167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>
        <f>WORKDAY(X180,Y6,IF(Y12="China",'China Holidays'!$A$2:$A$84,'Thai Holidays'!$A$2:$A$65))</f>
        <v>46238</v>
      </c>
      <c r="Z179" s="168"/>
      <c r="AA179" s="168">
        <f>AA178</f>
        <v>46259</v>
      </c>
      <c r="AB179" s="168">
        <f>WORKDAY(AA179,AB6,IF(AB12="China",'China Holidays'!$A$2:$A$84,'Thai Holidays'!$A$2:$A$65))</f>
        <v>46273</v>
      </c>
      <c r="AC179" s="168">
        <f>AB179+60</f>
        <v>46333</v>
      </c>
      <c r="AD179" s="168">
        <f>AC179</f>
        <v>46333</v>
      </c>
      <c r="AE179" s="168">
        <f>AD179+2</f>
        <v>46335</v>
      </c>
      <c r="AF179" s="168">
        <f>AG179-20</f>
        <v>230</v>
      </c>
      <c r="AG179" s="168">
        <f>AH179-30</f>
        <v>250</v>
      </c>
      <c r="AH179" s="168">
        <f>AM179</f>
        <v>280</v>
      </c>
      <c r="AI179" s="168">
        <f>AM178+3</f>
        <v>46503</v>
      </c>
      <c r="AJ179" s="168">
        <f>AM178+30</f>
        <v>46530</v>
      </c>
      <c r="AK179" s="169"/>
      <c r="AL179" s="230"/>
      <c r="AM179" s="170">
        <f>X179+AL178</f>
        <v>280</v>
      </c>
      <c r="AN179" s="170"/>
      <c r="AO179" s="171"/>
      <c r="AP179" s="172"/>
      <c r="AQ179" s="448"/>
      <c r="AR179" s="154"/>
      <c r="AS179" s="155"/>
      <c r="AT179" s="155"/>
      <c r="AU179" s="155"/>
      <c r="AV179" s="155"/>
      <c r="AW179" s="155"/>
      <c r="AX179" s="155"/>
      <c r="AY179" s="155"/>
      <c r="AZ179" s="155"/>
      <c r="BA179" s="155"/>
      <c r="BB179" s="155"/>
      <c r="BC179" s="156" t="s">
        <v>85</v>
      </c>
      <c r="BD179" s="193" t="s">
        <v>388</v>
      </c>
      <c r="BE179" s="176"/>
    </row>
    <row r="180" spans="1:58" s="78" customFormat="1" ht="15.4" thickTop="1" thickBot="1" x14ac:dyDescent="0.45">
      <c r="A180" s="460"/>
      <c r="B180" s="177" t="s">
        <v>379</v>
      </c>
      <c r="C180" s="178" t="s">
        <v>380</v>
      </c>
      <c r="D180" s="237" t="s">
        <v>381</v>
      </c>
      <c r="E180" s="208"/>
      <c r="F180" s="208"/>
      <c r="G180" s="209" t="s">
        <v>382</v>
      </c>
      <c r="H180" s="182" t="s">
        <v>361</v>
      </c>
      <c r="I180" s="178" t="s">
        <v>73</v>
      </c>
      <c r="J180" s="178" t="s">
        <v>74</v>
      </c>
      <c r="K180" s="178" t="s">
        <v>2</v>
      </c>
      <c r="L180" s="318"/>
      <c r="M180" s="184" t="s">
        <v>76</v>
      </c>
      <c r="N180" s="185" t="s">
        <v>87</v>
      </c>
      <c r="O180" s="186">
        <v>46133</v>
      </c>
      <c r="P180" s="187">
        <v>46133</v>
      </c>
      <c r="Q180" s="186">
        <v>46153</v>
      </c>
      <c r="R180" s="186">
        <v>46153</v>
      </c>
      <c r="S180" s="186">
        <v>46153</v>
      </c>
      <c r="T180" s="186">
        <v>46178</v>
      </c>
      <c r="U180" s="186">
        <v>46217</v>
      </c>
      <c r="V180" s="186">
        <v>46230</v>
      </c>
      <c r="W180" s="186">
        <v>46224</v>
      </c>
      <c r="X180" s="186">
        <v>46234</v>
      </c>
      <c r="Y180" s="186"/>
      <c r="Z180" s="186">
        <v>46234</v>
      </c>
      <c r="AA180" s="186"/>
      <c r="AB180" s="186"/>
      <c r="AC180" s="186"/>
      <c r="AD180" s="186"/>
      <c r="AE180" s="186"/>
      <c r="AF180" s="186"/>
      <c r="AG180" s="186"/>
      <c r="AH180" s="186"/>
      <c r="AI180" s="186"/>
      <c r="AJ180" s="186"/>
      <c r="AK180" s="188"/>
      <c r="AL180" s="211"/>
      <c r="AM180" s="187"/>
      <c r="AN180" s="187"/>
      <c r="AO180" s="189"/>
      <c r="AP180" s="190"/>
      <c r="AQ180" s="449"/>
      <c r="AR180" s="191"/>
      <c r="AS180" s="192"/>
      <c r="AT180" s="192"/>
      <c r="AU180" s="192"/>
      <c r="AV180" s="192"/>
      <c r="AW180" s="192"/>
      <c r="AX180" s="192"/>
      <c r="AY180" s="192"/>
      <c r="AZ180" s="192"/>
      <c r="BA180" s="192"/>
      <c r="BB180" s="192"/>
      <c r="BC180" s="156" t="s">
        <v>88</v>
      </c>
      <c r="BD180" s="193" t="s">
        <v>389</v>
      </c>
      <c r="BE180" s="176"/>
    </row>
    <row r="181" spans="1:58" s="78" customFormat="1" ht="15.4" thickTop="1" thickBot="1" x14ac:dyDescent="0.45">
      <c r="A181" s="458">
        <f t="shared" ref="A181" si="41">A178+1</f>
        <v>50</v>
      </c>
      <c r="B181" s="139" t="s">
        <v>390</v>
      </c>
      <c r="C181" s="140" t="s">
        <v>391</v>
      </c>
      <c r="D181" s="233" t="s">
        <v>392</v>
      </c>
      <c r="E181" s="202"/>
      <c r="F181" s="202"/>
      <c r="G181" s="427" t="s">
        <v>393</v>
      </c>
      <c r="H181" s="143" t="s">
        <v>361</v>
      </c>
      <c r="I181" s="140" t="s">
        <v>138</v>
      </c>
      <c r="J181" s="140" t="s">
        <v>95</v>
      </c>
      <c r="K181" s="140" t="s">
        <v>4</v>
      </c>
      <c r="L181" s="276"/>
      <c r="M181" s="145" t="s">
        <v>76</v>
      </c>
      <c r="N181" s="146" t="s">
        <v>77</v>
      </c>
      <c r="O181" s="147">
        <v>46176</v>
      </c>
      <c r="P181" s="147">
        <v>46177</v>
      </c>
      <c r="Q181" s="147">
        <v>46184</v>
      </c>
      <c r="R181" s="147">
        <v>46185</v>
      </c>
      <c r="S181" s="147">
        <v>46192</v>
      </c>
      <c r="T181" s="147">
        <v>46206</v>
      </c>
      <c r="U181" s="147">
        <v>46238</v>
      </c>
      <c r="V181" s="148">
        <v>46241</v>
      </c>
      <c r="W181" s="147"/>
      <c r="X181" s="147">
        <v>46255</v>
      </c>
      <c r="Y181" s="147">
        <v>46259</v>
      </c>
      <c r="Z181" s="147">
        <v>46266</v>
      </c>
      <c r="AA181" s="147">
        <v>46295</v>
      </c>
      <c r="AB181" s="147">
        <v>46310</v>
      </c>
      <c r="AC181" s="147">
        <v>46370</v>
      </c>
      <c r="AD181" s="147">
        <v>46370</v>
      </c>
      <c r="AE181" s="147">
        <v>46372</v>
      </c>
      <c r="AF181" s="147">
        <v>46434</v>
      </c>
      <c r="AG181" s="147">
        <v>46449</v>
      </c>
      <c r="AH181" s="147">
        <v>46479</v>
      </c>
      <c r="AI181" s="147">
        <v>46482</v>
      </c>
      <c r="AJ181" s="147">
        <v>46509</v>
      </c>
      <c r="AK181" s="149">
        <v>32</v>
      </c>
      <c r="AL181" s="150">
        <v>224</v>
      </c>
      <c r="AM181" s="151">
        <v>46479</v>
      </c>
      <c r="AN181" s="151">
        <v>46507</v>
      </c>
      <c r="AO181" s="225">
        <f>AN181-AM182</f>
        <v>28</v>
      </c>
      <c r="AP181" s="235" t="s">
        <v>159</v>
      </c>
      <c r="AQ181" s="441" t="s">
        <v>374</v>
      </c>
      <c r="AR181" s="154"/>
      <c r="AS181" s="155"/>
      <c r="AT181" s="155"/>
      <c r="AU181" s="155"/>
      <c r="AV181" s="155"/>
      <c r="AW181" s="155"/>
      <c r="AX181" s="155"/>
      <c r="AY181" s="155"/>
      <c r="AZ181" s="155"/>
      <c r="BA181" s="155"/>
      <c r="BB181" s="155"/>
      <c r="BC181" s="156" t="s">
        <v>80</v>
      </c>
      <c r="BD181" s="193" t="s">
        <v>394</v>
      </c>
      <c r="BE181" s="176"/>
    </row>
    <row r="182" spans="1:58" s="78" customFormat="1" ht="15.4" thickTop="1" thickBot="1" x14ac:dyDescent="0.45">
      <c r="A182" s="459"/>
      <c r="B182" s="158" t="s">
        <v>390</v>
      </c>
      <c r="C182" s="197" t="s">
        <v>391</v>
      </c>
      <c r="D182" s="160" t="s">
        <v>392</v>
      </c>
      <c r="E182" s="205"/>
      <c r="F182" s="205"/>
      <c r="G182" s="204" t="s">
        <v>393</v>
      </c>
      <c r="H182" s="228" t="s">
        <v>361</v>
      </c>
      <c r="I182" s="159" t="s">
        <v>138</v>
      </c>
      <c r="J182" s="197" t="s">
        <v>95</v>
      </c>
      <c r="K182" s="197" t="s">
        <v>4</v>
      </c>
      <c r="L182" s="332"/>
      <c r="M182" s="165" t="s">
        <v>76</v>
      </c>
      <c r="N182" s="166" t="s">
        <v>84</v>
      </c>
      <c r="O182" s="167"/>
      <c r="P182" s="168"/>
      <c r="Q182" s="170"/>
      <c r="R182" s="168"/>
      <c r="S182" s="168"/>
      <c r="T182" s="168"/>
      <c r="U182" s="168"/>
      <c r="V182" s="168">
        <f>WORKDAY(U183,V7,IF(V12="China",'China Holidays'!$A$2:$A$84,'Thai Holidays'!$A$2:$A$65))</f>
        <v>46245</v>
      </c>
      <c r="W182" s="168"/>
      <c r="X182" s="168">
        <f>X181</f>
        <v>46255</v>
      </c>
      <c r="Y182" s="168">
        <f>WORKDAY(X182,Y7,IF(Y12="China",'China Holidays'!$A$2:$A$84,'Thai Holidays'!$A$2:$A$65))</f>
        <v>46259</v>
      </c>
      <c r="Z182" s="168">
        <f>WORKDAY(Y182,Z7,IF(Z12="China",'China Holidays'!$A$2:$A$84,'Thai Holidays'!$A$2:$A$65))</f>
        <v>46266</v>
      </c>
      <c r="AA182" s="168">
        <f>WORKDAY(Z182,AA7,IF(AA12="China",'China Holidays'!$A$2:$A$84,'Thai Holidays'!$A$2:$A$65))</f>
        <v>46295</v>
      </c>
      <c r="AB182" s="168">
        <f>WORKDAY(AA182,AB7,IF(AB12="China",'China Holidays'!$A$2:$A$84,'Thai Holidays'!$A$2:$A$65))</f>
        <v>46310</v>
      </c>
      <c r="AC182" s="168">
        <f>AB182+60</f>
        <v>46370</v>
      </c>
      <c r="AD182" s="168">
        <f>AC182</f>
        <v>46370</v>
      </c>
      <c r="AE182" s="168">
        <f>AD182+2</f>
        <v>46372</v>
      </c>
      <c r="AF182" s="168">
        <f>AG182-15</f>
        <v>46434</v>
      </c>
      <c r="AG182" s="168">
        <f>AH182-30</f>
        <v>46449</v>
      </c>
      <c r="AH182" s="168">
        <f>AM181</f>
        <v>46479</v>
      </c>
      <c r="AI182" s="168">
        <f>AM181+3</f>
        <v>46482</v>
      </c>
      <c r="AJ182" s="168">
        <f>AM181+30</f>
        <v>46509</v>
      </c>
      <c r="AK182" s="169"/>
      <c r="AL182" s="230"/>
      <c r="AM182" s="170">
        <f>X182+AL181</f>
        <v>46479</v>
      </c>
      <c r="AN182" s="170"/>
      <c r="AO182" s="171"/>
      <c r="AP182" s="172"/>
      <c r="AQ182" s="456"/>
      <c r="AR182" s="154"/>
      <c r="AS182" s="155"/>
      <c r="AT182" s="155"/>
      <c r="AU182" s="155"/>
      <c r="AV182" s="155"/>
      <c r="AW182" s="155"/>
      <c r="AX182" s="155"/>
      <c r="AY182" s="155"/>
      <c r="AZ182" s="155"/>
      <c r="BA182" s="155"/>
      <c r="BB182" s="155"/>
      <c r="BC182" s="156" t="s">
        <v>85</v>
      </c>
      <c r="BD182" s="193" t="s">
        <v>395</v>
      </c>
      <c r="BE182" s="176"/>
    </row>
    <row r="183" spans="1:58" s="78" customFormat="1" ht="15.4" thickTop="1" thickBot="1" x14ac:dyDescent="0.45">
      <c r="A183" s="460"/>
      <c r="B183" s="177" t="s">
        <v>390</v>
      </c>
      <c r="C183" s="178" t="s">
        <v>391</v>
      </c>
      <c r="D183" s="237" t="s">
        <v>392</v>
      </c>
      <c r="E183" s="208"/>
      <c r="F183" s="208"/>
      <c r="G183" s="209" t="s">
        <v>393</v>
      </c>
      <c r="H183" s="182" t="s">
        <v>361</v>
      </c>
      <c r="I183" s="178" t="s">
        <v>138</v>
      </c>
      <c r="J183" s="178" t="s">
        <v>95</v>
      </c>
      <c r="K183" s="178" t="s">
        <v>4</v>
      </c>
      <c r="L183" s="209"/>
      <c r="M183" s="184" t="s">
        <v>76</v>
      </c>
      <c r="N183" s="185" t="s">
        <v>87</v>
      </c>
      <c r="O183" s="186">
        <v>46164</v>
      </c>
      <c r="P183" s="186">
        <v>46125</v>
      </c>
      <c r="Q183" s="186">
        <v>46147</v>
      </c>
      <c r="R183" s="186">
        <v>46170</v>
      </c>
      <c r="S183" s="186">
        <v>46170</v>
      </c>
      <c r="T183" s="186">
        <v>46183</v>
      </c>
      <c r="U183" s="186">
        <v>46227</v>
      </c>
      <c r="V183" s="186"/>
      <c r="W183" s="186"/>
      <c r="X183" s="186"/>
      <c r="Y183" s="186"/>
      <c r="Z183" s="186"/>
      <c r="AA183" s="186"/>
      <c r="AB183" s="186"/>
      <c r="AC183" s="186"/>
      <c r="AD183" s="186"/>
      <c r="AE183" s="186"/>
      <c r="AF183" s="186"/>
      <c r="AG183" s="186"/>
      <c r="AH183" s="186"/>
      <c r="AI183" s="186"/>
      <c r="AJ183" s="186"/>
      <c r="AK183" s="188"/>
      <c r="AL183" s="211"/>
      <c r="AM183" s="187"/>
      <c r="AN183" s="187"/>
      <c r="AO183" s="189"/>
      <c r="AP183" s="190"/>
      <c r="AQ183" s="457"/>
      <c r="AR183" s="191"/>
      <c r="AS183" s="192"/>
      <c r="AT183" s="192"/>
      <c r="AU183" s="192"/>
      <c r="AV183" s="192"/>
      <c r="AW183" s="192"/>
      <c r="AX183" s="192"/>
      <c r="AY183" s="192"/>
      <c r="AZ183" s="192"/>
      <c r="BA183" s="192"/>
      <c r="BB183" s="192"/>
      <c r="BC183" s="330" t="s">
        <v>88</v>
      </c>
      <c r="BD183" s="331" t="s">
        <v>396</v>
      </c>
      <c r="BE183" s="176"/>
    </row>
    <row r="184" spans="1:58" s="78" customFormat="1" ht="15.4" thickTop="1" thickBot="1" x14ac:dyDescent="0.45">
      <c r="A184" s="458">
        <f t="shared" ref="A184" si="42">A181+1</f>
        <v>51</v>
      </c>
      <c r="B184" s="139" t="s">
        <v>397</v>
      </c>
      <c r="C184" s="140" t="s">
        <v>398</v>
      </c>
      <c r="D184" s="194" t="s">
        <v>399</v>
      </c>
      <c r="E184" s="202" t="s">
        <v>400</v>
      </c>
      <c r="F184" s="202" t="s">
        <v>70</v>
      </c>
      <c r="G184" s="427" t="s">
        <v>401</v>
      </c>
      <c r="H184" s="143" t="s">
        <v>361</v>
      </c>
      <c r="I184" s="140" t="s">
        <v>138</v>
      </c>
      <c r="J184" s="140" t="s">
        <v>95</v>
      </c>
      <c r="K184" s="140" t="s">
        <v>6</v>
      </c>
      <c r="L184" s="333"/>
      <c r="M184" s="145" t="s">
        <v>76</v>
      </c>
      <c r="N184" s="146" t="s">
        <v>77</v>
      </c>
      <c r="O184" s="148">
        <v>46240</v>
      </c>
      <c r="P184" s="147">
        <v>46243</v>
      </c>
      <c r="Q184" s="147">
        <v>46258</v>
      </c>
      <c r="R184" s="147">
        <v>46258</v>
      </c>
      <c r="S184" s="147">
        <v>46258</v>
      </c>
      <c r="T184" s="147">
        <v>46272</v>
      </c>
      <c r="U184" s="147">
        <v>46289</v>
      </c>
      <c r="V184" s="147">
        <v>46303</v>
      </c>
      <c r="W184" s="147"/>
      <c r="X184" s="147">
        <v>46316</v>
      </c>
      <c r="Y184" s="147">
        <v>46318</v>
      </c>
      <c r="Z184" s="147">
        <v>46325</v>
      </c>
      <c r="AA184" s="147">
        <v>46346</v>
      </c>
      <c r="AB184" s="147">
        <v>46360</v>
      </c>
      <c r="AC184" s="147">
        <v>46380</v>
      </c>
      <c r="AD184" s="147">
        <v>46380</v>
      </c>
      <c r="AE184" s="147">
        <v>46382</v>
      </c>
      <c r="AF184" s="147">
        <v>46440.97</v>
      </c>
      <c r="AG184" s="147">
        <v>46450.97</v>
      </c>
      <c r="AH184" s="147">
        <v>46460.97</v>
      </c>
      <c r="AI184" s="147">
        <v>46463.97</v>
      </c>
      <c r="AJ184" s="147">
        <v>46490.97</v>
      </c>
      <c r="AK184" s="149">
        <v>20.71</v>
      </c>
      <c r="AL184" s="150">
        <v>144.97</v>
      </c>
      <c r="AM184" s="151">
        <v>46460.97</v>
      </c>
      <c r="AN184" s="151">
        <v>46507</v>
      </c>
      <c r="AO184" s="225">
        <f>AN184-AM185</f>
        <v>46.029999999998836</v>
      </c>
      <c r="AP184" s="235"/>
      <c r="AQ184" s="447"/>
      <c r="AR184" s="154"/>
      <c r="AS184" s="155"/>
      <c r="AT184" s="155"/>
      <c r="AU184" s="155"/>
      <c r="AV184" s="155"/>
      <c r="AW184" s="155"/>
      <c r="AX184" s="155"/>
      <c r="AY184" s="155"/>
      <c r="AZ184" s="155"/>
      <c r="BA184" s="155"/>
      <c r="BB184" s="155"/>
      <c r="BC184" s="156"/>
      <c r="BD184" s="176"/>
      <c r="BE184" s="176"/>
    </row>
    <row r="185" spans="1:58" s="78" customFormat="1" ht="15.4" thickTop="1" thickBot="1" x14ac:dyDescent="0.45">
      <c r="A185" s="459"/>
      <c r="B185" s="158" t="s">
        <v>397</v>
      </c>
      <c r="C185" s="197" t="s">
        <v>398</v>
      </c>
      <c r="D185" s="160" t="s">
        <v>399</v>
      </c>
      <c r="E185" s="205"/>
      <c r="F185" s="205"/>
      <c r="G185" s="204" t="s">
        <v>401</v>
      </c>
      <c r="H185" s="228" t="s">
        <v>361</v>
      </c>
      <c r="I185" s="159" t="s">
        <v>138</v>
      </c>
      <c r="J185" s="197" t="s">
        <v>95</v>
      </c>
      <c r="K185" s="197" t="s">
        <v>6</v>
      </c>
      <c r="L185" s="334"/>
      <c r="M185" s="165" t="s">
        <v>76</v>
      </c>
      <c r="N185" s="166" t="s">
        <v>84</v>
      </c>
      <c r="O185" s="167">
        <f>O184</f>
        <v>46240</v>
      </c>
      <c r="P185" s="168"/>
      <c r="Q185" s="168"/>
      <c r="R185" s="168">
        <f>R184</f>
        <v>46258</v>
      </c>
      <c r="S185" s="168">
        <f>WORKDAY(R185,S8,IF(S12="China",'China Holidays'!$A$2:$A$84,'Thai Holidays'!$A$2:$A$65))</f>
        <v>46258</v>
      </c>
      <c r="T185" s="168">
        <f>WORKDAY(S185,T8,IF(T12="China",'China Holidays'!$A$2:$A$84,'Thai Holidays'!$A$2:$A$65))</f>
        <v>46272</v>
      </c>
      <c r="U185" s="168">
        <f>U184</f>
        <v>46289</v>
      </c>
      <c r="V185" s="168">
        <f>WORKDAY(U185,V8,IF(V12="China",'China Holidays'!$A$2:$A$84,'Thai Holidays'!$A$2:$A$65))</f>
        <v>46303</v>
      </c>
      <c r="W185" s="168"/>
      <c r="X185" s="168">
        <f>WORKDAY(V185,X8,IF(X12="China",'China Holidays'!$A$2:$A$84,'Thai Holidays'!$A$2:$A$65))</f>
        <v>46316</v>
      </c>
      <c r="Y185" s="168">
        <f>WORKDAY(X185,Y8,IF(Y12="China",'China Holidays'!$A$2:$A$84,'Thai Holidays'!$A$2:$A$65))</f>
        <v>46318</v>
      </c>
      <c r="Z185" s="168">
        <f>WORKDAY(Y185,Z8,IF(Z12="China",'China Holidays'!$A$2:$A$84,'Thai Holidays'!$A$2:$A$65))</f>
        <v>46325</v>
      </c>
      <c r="AA185" s="168">
        <f>WORKDAY(Z185,AA8,IF(AA12="China",'China Holidays'!$A$2:$A$84,'Thai Holidays'!$A$2:$A$65))</f>
        <v>46346</v>
      </c>
      <c r="AB185" s="168">
        <f>WORKDAY(AA185,AB8,IF(AB12="China",'China Holidays'!$A$2:$A$84,'Thai Holidays'!$A$2:$A$65))</f>
        <v>46360</v>
      </c>
      <c r="AC185" s="168">
        <f>AB185+20</f>
        <v>46380</v>
      </c>
      <c r="AD185" s="168">
        <f>AC185</f>
        <v>46380</v>
      </c>
      <c r="AE185" s="168">
        <f>AD185+2</f>
        <v>46382</v>
      </c>
      <c r="AF185" s="168">
        <f>AG185-10</f>
        <v>46440.97</v>
      </c>
      <c r="AG185" s="168">
        <f>AH185-10</f>
        <v>46450.97</v>
      </c>
      <c r="AH185" s="168">
        <f>AM184</f>
        <v>46460.97</v>
      </c>
      <c r="AI185" s="168">
        <f>AM184+3</f>
        <v>46463.97</v>
      </c>
      <c r="AJ185" s="168">
        <f>AM184+30</f>
        <v>46490.97</v>
      </c>
      <c r="AK185" s="169"/>
      <c r="AL185" s="230"/>
      <c r="AM185" s="170">
        <f>X185+AL184</f>
        <v>46460.97</v>
      </c>
      <c r="AN185" s="170"/>
      <c r="AO185" s="171"/>
      <c r="AP185" s="172"/>
      <c r="AQ185" s="448"/>
      <c r="AR185" s="154"/>
      <c r="AS185" s="155"/>
      <c r="AT185" s="155"/>
      <c r="AU185" s="155"/>
      <c r="AV185" s="155"/>
      <c r="AW185" s="155"/>
      <c r="AX185" s="155"/>
      <c r="AY185" s="155"/>
      <c r="AZ185" s="155"/>
      <c r="BA185" s="155"/>
      <c r="BB185" s="155"/>
      <c r="BC185" s="156"/>
      <c r="BD185" s="176"/>
      <c r="BE185" s="176"/>
    </row>
    <row r="186" spans="1:58" s="78" customFormat="1" ht="15.4" thickTop="1" thickBot="1" x14ac:dyDescent="0.45">
      <c r="A186" s="460"/>
      <c r="B186" s="177" t="s">
        <v>397</v>
      </c>
      <c r="C186" s="178" t="s">
        <v>398</v>
      </c>
      <c r="D186" s="237" t="s">
        <v>399</v>
      </c>
      <c r="E186" s="208"/>
      <c r="F186" s="208"/>
      <c r="G186" s="209" t="s">
        <v>401</v>
      </c>
      <c r="H186" s="182" t="s">
        <v>361</v>
      </c>
      <c r="I186" s="178" t="s">
        <v>138</v>
      </c>
      <c r="J186" s="178" t="s">
        <v>95</v>
      </c>
      <c r="K186" s="178" t="s">
        <v>6</v>
      </c>
      <c r="L186" s="209"/>
      <c r="M186" s="184" t="s">
        <v>76</v>
      </c>
      <c r="N186" s="185" t="s">
        <v>87</v>
      </c>
      <c r="O186" s="186"/>
      <c r="P186" s="186">
        <v>46153</v>
      </c>
      <c r="Q186" s="186">
        <v>46172</v>
      </c>
      <c r="R186" s="186"/>
      <c r="S186" s="186"/>
      <c r="T186" s="186"/>
      <c r="U186" s="186"/>
      <c r="V186" s="186"/>
      <c r="W186" s="186"/>
      <c r="X186" s="186"/>
      <c r="Y186" s="186"/>
      <c r="Z186" s="186"/>
      <c r="AA186" s="186"/>
      <c r="AB186" s="186"/>
      <c r="AC186" s="186"/>
      <c r="AD186" s="186"/>
      <c r="AE186" s="186"/>
      <c r="AF186" s="186"/>
      <c r="AG186" s="186"/>
      <c r="AH186" s="186"/>
      <c r="AI186" s="186"/>
      <c r="AJ186" s="186"/>
      <c r="AK186" s="188"/>
      <c r="AL186" s="211"/>
      <c r="AM186" s="187"/>
      <c r="AN186" s="187"/>
      <c r="AO186" s="189"/>
      <c r="AP186" s="190"/>
      <c r="AQ186" s="449"/>
      <c r="AR186" s="191"/>
      <c r="AS186" s="192"/>
      <c r="AT186" s="192"/>
      <c r="AU186" s="192"/>
      <c r="AV186" s="192"/>
      <c r="AW186" s="192"/>
      <c r="AX186" s="192"/>
      <c r="AY186" s="192"/>
      <c r="AZ186" s="192"/>
      <c r="BA186" s="192"/>
      <c r="BB186" s="192"/>
      <c r="BC186" s="156"/>
      <c r="BD186" s="176"/>
      <c r="BE186" s="176"/>
    </row>
    <row r="187" spans="1:58" s="78" customFormat="1" ht="15.4" thickTop="1" thickBot="1" x14ac:dyDescent="0.45">
      <c r="A187" s="458">
        <f t="shared" ref="A187" si="43">A184+1</f>
        <v>52</v>
      </c>
      <c r="B187" s="139" t="s">
        <v>402</v>
      </c>
      <c r="C187" s="140" t="s">
        <v>403</v>
      </c>
      <c r="D187" s="141" t="s">
        <v>404</v>
      </c>
      <c r="E187" s="202"/>
      <c r="F187" s="202"/>
      <c r="G187" s="427" t="s">
        <v>405</v>
      </c>
      <c r="H187" s="143" t="s">
        <v>361</v>
      </c>
      <c r="I187" s="140" t="s">
        <v>73</v>
      </c>
      <c r="J187" s="140" t="s">
        <v>74</v>
      </c>
      <c r="K187" s="140" t="s">
        <v>2</v>
      </c>
      <c r="L187" s="195" t="s">
        <v>406</v>
      </c>
      <c r="M187" s="145" t="s">
        <v>76</v>
      </c>
      <c r="N187" s="146" t="s">
        <v>77</v>
      </c>
      <c r="O187" s="147">
        <v>46135</v>
      </c>
      <c r="P187" s="147">
        <v>46136</v>
      </c>
      <c r="Q187" s="147">
        <v>46147</v>
      </c>
      <c r="R187" s="147">
        <v>46148</v>
      </c>
      <c r="S187" s="147">
        <v>46155</v>
      </c>
      <c r="T187" s="147">
        <v>46169</v>
      </c>
      <c r="U187" s="147">
        <v>46199</v>
      </c>
      <c r="V187" s="147">
        <v>46204</v>
      </c>
      <c r="W187" s="147"/>
      <c r="X187" s="147">
        <v>46218</v>
      </c>
      <c r="Y187" s="148">
        <v>46220</v>
      </c>
      <c r="Z187" s="147">
        <v>46227</v>
      </c>
      <c r="AA187" s="147">
        <v>46255</v>
      </c>
      <c r="AB187" s="147">
        <v>46269</v>
      </c>
      <c r="AC187" s="147">
        <v>46309</v>
      </c>
      <c r="AD187" s="147">
        <v>46309</v>
      </c>
      <c r="AE187" s="147">
        <v>46311</v>
      </c>
      <c r="AF187" s="147">
        <v>46440</v>
      </c>
      <c r="AG187" s="147">
        <v>46460</v>
      </c>
      <c r="AH187" s="147">
        <v>46470</v>
      </c>
      <c r="AI187" s="147">
        <v>46473</v>
      </c>
      <c r="AJ187" s="147">
        <v>46500</v>
      </c>
      <c r="AK187" s="149">
        <v>32</v>
      </c>
      <c r="AL187" s="150">
        <v>252</v>
      </c>
      <c r="AM187" s="151">
        <v>46469</v>
      </c>
      <c r="AN187" s="151">
        <v>46469</v>
      </c>
      <c r="AO187" s="225">
        <f>AN187-AM188</f>
        <v>-9</v>
      </c>
      <c r="AP187" s="235" t="s">
        <v>407</v>
      </c>
      <c r="AQ187" s="438" t="s">
        <v>408</v>
      </c>
      <c r="AR187" s="154"/>
      <c r="AS187" s="155"/>
      <c r="AT187" s="155"/>
      <c r="AU187" s="155"/>
      <c r="AV187" s="155"/>
      <c r="AW187" s="155"/>
      <c r="AX187" s="155"/>
      <c r="AY187" s="155"/>
      <c r="AZ187" s="155"/>
      <c r="BA187" s="155"/>
      <c r="BB187" s="155"/>
      <c r="BC187" s="335"/>
      <c r="BD187" s="336" t="s">
        <v>409</v>
      </c>
      <c r="BE187" s="176"/>
      <c r="BF187" s="337"/>
    </row>
    <row r="188" spans="1:58" s="78" customFormat="1" ht="15.4" thickTop="1" thickBot="1" x14ac:dyDescent="0.45">
      <c r="A188" s="459"/>
      <c r="B188" s="158" t="s">
        <v>402</v>
      </c>
      <c r="C188" s="197" t="s">
        <v>403</v>
      </c>
      <c r="D188" s="160" t="s">
        <v>404</v>
      </c>
      <c r="E188" s="205"/>
      <c r="F188" s="205"/>
      <c r="G188" s="204" t="s">
        <v>405</v>
      </c>
      <c r="H188" s="228" t="s">
        <v>361</v>
      </c>
      <c r="I188" s="159" t="s">
        <v>73</v>
      </c>
      <c r="J188" s="197" t="s">
        <v>74</v>
      </c>
      <c r="K188" s="197" t="s">
        <v>2</v>
      </c>
      <c r="L188" s="164" t="s">
        <v>410</v>
      </c>
      <c r="M188" s="165" t="s">
        <v>76</v>
      </c>
      <c r="N188" s="166" t="s">
        <v>84</v>
      </c>
      <c r="O188" s="167"/>
      <c r="P188" s="168"/>
      <c r="Q188" s="170"/>
      <c r="R188" s="168"/>
      <c r="S188" s="168"/>
      <c r="T188" s="168"/>
      <c r="U188" s="168"/>
      <c r="V188" s="168"/>
      <c r="W188" s="168"/>
      <c r="X188" s="168"/>
      <c r="Y188" s="168">
        <f>WORKDAY(X189,Y6,IF(Y12="China",'China Holidays'!$A$2:$A$84,'Thai Holidays'!$A$2:$A$65))</f>
        <v>46238</v>
      </c>
      <c r="Z188" s="168"/>
      <c r="AA188" s="168">
        <f>AA187</f>
        <v>46255</v>
      </c>
      <c r="AB188" s="168">
        <f>WORKDAY(AA188,AB6,IF(AB12="China",'China Holidays'!$A$2:$A$84,'Thai Holidays'!$A$2:$A$65))</f>
        <v>46269</v>
      </c>
      <c r="AC188" s="168">
        <f>AB188+40</f>
        <v>46309</v>
      </c>
      <c r="AD188" s="168">
        <f>AC188</f>
        <v>46309</v>
      </c>
      <c r="AE188" s="168">
        <f>AD188+2</f>
        <v>46311</v>
      </c>
      <c r="AF188" s="168">
        <f>AG188-20</f>
        <v>46439</v>
      </c>
      <c r="AG188" s="168">
        <f>AH188-10</f>
        <v>46459</v>
      </c>
      <c r="AH188" s="168">
        <f>AM187</f>
        <v>46469</v>
      </c>
      <c r="AI188" s="168">
        <f>AM187+3</f>
        <v>46472</v>
      </c>
      <c r="AJ188" s="168">
        <f>AM187+30</f>
        <v>46499</v>
      </c>
      <c r="AK188" s="169"/>
      <c r="AL188" s="230"/>
      <c r="AM188" s="170">
        <f>W189+AL187</f>
        <v>46478</v>
      </c>
      <c r="AN188" s="170"/>
      <c r="AO188" s="171"/>
      <c r="AP188" s="172"/>
      <c r="AQ188" s="448"/>
      <c r="AR188" s="154"/>
      <c r="AS188" s="155"/>
      <c r="AT188" s="155"/>
      <c r="AU188" s="155"/>
      <c r="AV188" s="155"/>
      <c r="AW188" s="155"/>
      <c r="AX188" s="155"/>
      <c r="AY188" s="155"/>
      <c r="AZ188" s="155"/>
      <c r="BA188" s="155"/>
      <c r="BB188" s="155"/>
      <c r="BC188" s="335"/>
      <c r="BD188" s="336" t="s">
        <v>411</v>
      </c>
      <c r="BE188" s="176"/>
    </row>
    <row r="189" spans="1:58" s="78" customFormat="1" ht="15.4" thickTop="1" thickBot="1" x14ac:dyDescent="0.45">
      <c r="A189" s="460"/>
      <c r="B189" s="177" t="s">
        <v>402</v>
      </c>
      <c r="C189" s="178" t="s">
        <v>403</v>
      </c>
      <c r="D189" s="237" t="s">
        <v>404</v>
      </c>
      <c r="E189" s="208"/>
      <c r="F189" s="208"/>
      <c r="G189" s="209" t="s">
        <v>405</v>
      </c>
      <c r="H189" s="182" t="s">
        <v>361</v>
      </c>
      <c r="I189" s="178" t="s">
        <v>73</v>
      </c>
      <c r="J189" s="178" t="s">
        <v>74</v>
      </c>
      <c r="K189" s="178" t="s">
        <v>2</v>
      </c>
      <c r="L189" s="183"/>
      <c r="M189" s="184" t="s">
        <v>76</v>
      </c>
      <c r="N189" s="185" t="s">
        <v>87</v>
      </c>
      <c r="O189" s="186">
        <v>46133</v>
      </c>
      <c r="P189" s="187">
        <v>46133</v>
      </c>
      <c r="Q189" s="186">
        <v>46153</v>
      </c>
      <c r="R189" s="186">
        <v>46153</v>
      </c>
      <c r="S189" s="186">
        <v>46153</v>
      </c>
      <c r="T189" s="186">
        <v>46169</v>
      </c>
      <c r="U189" s="186">
        <v>46217</v>
      </c>
      <c r="V189" s="186">
        <v>46217</v>
      </c>
      <c r="W189" s="186">
        <v>46226</v>
      </c>
      <c r="X189" s="186">
        <v>46234</v>
      </c>
      <c r="Y189" s="186"/>
      <c r="Z189" s="186">
        <v>46234</v>
      </c>
      <c r="AA189" s="186"/>
      <c r="AB189" s="186"/>
      <c r="AC189" s="186"/>
      <c r="AD189" s="186"/>
      <c r="AE189" s="186"/>
      <c r="AF189" s="186"/>
      <c r="AG189" s="186"/>
      <c r="AH189" s="186"/>
      <c r="AI189" s="186"/>
      <c r="AJ189" s="186"/>
      <c r="AK189" s="188"/>
      <c r="AL189" s="211"/>
      <c r="AM189" s="187"/>
      <c r="AN189" s="187"/>
      <c r="AO189" s="189"/>
      <c r="AP189" s="190"/>
      <c r="AQ189" s="449"/>
      <c r="AR189" s="191"/>
      <c r="AS189" s="192"/>
      <c r="AT189" s="192"/>
      <c r="AU189" s="192"/>
      <c r="AV189" s="192"/>
      <c r="AW189" s="192"/>
      <c r="AX189" s="192"/>
      <c r="AY189" s="192"/>
      <c r="AZ189" s="192"/>
      <c r="BA189" s="192"/>
      <c r="BB189" s="192"/>
      <c r="BC189" s="156"/>
      <c r="BD189" s="176"/>
      <c r="BE189" s="176"/>
    </row>
    <row r="190" spans="1:58" s="78" customFormat="1" ht="15.4" thickTop="1" thickBot="1" x14ac:dyDescent="0.45">
      <c r="A190" s="458">
        <f t="shared" ref="A190" si="44">A187+1</f>
        <v>53</v>
      </c>
      <c r="B190" s="139" t="s">
        <v>412</v>
      </c>
      <c r="C190" s="140" t="s">
        <v>413</v>
      </c>
      <c r="D190" s="233" t="s">
        <v>414</v>
      </c>
      <c r="E190" s="202"/>
      <c r="F190" s="202"/>
      <c r="G190" s="427" t="s">
        <v>415</v>
      </c>
      <c r="H190" s="143" t="s">
        <v>361</v>
      </c>
      <c r="I190" s="140" t="s">
        <v>138</v>
      </c>
      <c r="J190" s="140" t="s">
        <v>95</v>
      </c>
      <c r="K190" s="140" t="s">
        <v>4</v>
      </c>
      <c r="L190" s="276"/>
      <c r="M190" s="145" t="s">
        <v>76</v>
      </c>
      <c r="N190" s="146" t="s">
        <v>77</v>
      </c>
      <c r="O190" s="147">
        <v>46168</v>
      </c>
      <c r="P190" s="223">
        <v>46169</v>
      </c>
      <c r="Q190" s="147">
        <v>46178</v>
      </c>
      <c r="R190" s="147">
        <v>46181</v>
      </c>
      <c r="S190" s="147">
        <v>46188</v>
      </c>
      <c r="T190" s="147">
        <v>46203</v>
      </c>
      <c r="U190" s="147">
        <v>46233</v>
      </c>
      <c r="V190" s="148">
        <v>46238</v>
      </c>
      <c r="W190" s="147"/>
      <c r="X190" s="147">
        <v>46252</v>
      </c>
      <c r="Y190" s="147">
        <v>46254</v>
      </c>
      <c r="Z190" s="147">
        <v>46261</v>
      </c>
      <c r="AA190" s="147">
        <v>46289</v>
      </c>
      <c r="AB190" s="147">
        <v>46303</v>
      </c>
      <c r="AC190" s="147">
        <v>46333</v>
      </c>
      <c r="AD190" s="147">
        <v>46333</v>
      </c>
      <c r="AE190" s="147">
        <v>46335</v>
      </c>
      <c r="AF190" s="147">
        <v>46454</v>
      </c>
      <c r="AG190" s="147">
        <v>46474</v>
      </c>
      <c r="AH190" s="147">
        <v>46504</v>
      </c>
      <c r="AI190" s="147">
        <v>46507</v>
      </c>
      <c r="AJ190" s="147">
        <v>46534</v>
      </c>
      <c r="AK190" s="149">
        <v>36</v>
      </c>
      <c r="AL190" s="150">
        <v>252</v>
      </c>
      <c r="AM190" s="151">
        <v>46504</v>
      </c>
      <c r="AN190" s="151">
        <v>46515</v>
      </c>
      <c r="AO190" s="225">
        <f>AN190-AM191</f>
        <v>11</v>
      </c>
      <c r="AP190" s="235" t="s">
        <v>171</v>
      </c>
      <c r="AQ190" s="447"/>
      <c r="AR190" s="154"/>
      <c r="AS190" s="155"/>
      <c r="AT190" s="155"/>
      <c r="AU190" s="155"/>
      <c r="AV190" s="155"/>
      <c r="AW190" s="155"/>
      <c r="AX190" s="155"/>
      <c r="AY190" s="155"/>
      <c r="AZ190" s="155"/>
      <c r="BA190" s="155"/>
      <c r="BB190" s="155"/>
      <c r="BC190" s="156" t="s">
        <v>416</v>
      </c>
      <c r="BD190" s="338" t="s">
        <v>417</v>
      </c>
      <c r="BE190" s="176"/>
    </row>
    <row r="191" spans="1:58" s="78" customFormat="1" ht="15.4" thickTop="1" thickBot="1" x14ac:dyDescent="0.45">
      <c r="A191" s="459"/>
      <c r="B191" s="158" t="s">
        <v>412</v>
      </c>
      <c r="C191" s="197" t="s">
        <v>413</v>
      </c>
      <c r="D191" s="160" t="s">
        <v>414</v>
      </c>
      <c r="E191" s="205"/>
      <c r="F191" s="205"/>
      <c r="G191" s="204" t="s">
        <v>415</v>
      </c>
      <c r="H191" s="228" t="s">
        <v>361</v>
      </c>
      <c r="I191" s="159" t="s">
        <v>138</v>
      </c>
      <c r="J191" s="197" t="s">
        <v>95</v>
      </c>
      <c r="K191" s="197" t="s">
        <v>4</v>
      </c>
      <c r="L191" s="204"/>
      <c r="M191" s="165" t="s">
        <v>76</v>
      </c>
      <c r="N191" s="166" t="s">
        <v>84</v>
      </c>
      <c r="O191" s="167"/>
      <c r="P191" s="168"/>
      <c r="Q191" s="168"/>
      <c r="R191" s="168"/>
      <c r="S191" s="168"/>
      <c r="T191" s="168"/>
      <c r="U191" s="168"/>
      <c r="V191" s="168">
        <f>WORKDAY(U192,V7,IF(V12="China",'China Holidays'!$A$2:$A$84,'Thai Holidays'!$A$2:$A$65))</f>
        <v>46251</v>
      </c>
      <c r="W191" s="168"/>
      <c r="X191" s="168">
        <f>X190</f>
        <v>46252</v>
      </c>
      <c r="Y191" s="168">
        <f>WORKDAY(X191,Y7,IF(Y12="China",'China Holidays'!$A$2:$A$84,'Thai Holidays'!$A$2:$A$65))</f>
        <v>46254</v>
      </c>
      <c r="Z191" s="168">
        <f>WORKDAY(Y191,Z7,IF(Z12="China",'China Holidays'!$A$2:$A$84,'Thai Holidays'!$A$2:$A$65))</f>
        <v>46261</v>
      </c>
      <c r="AA191" s="168">
        <f>WORKDAY(Z191,AA7,IF(AA12="China",'China Holidays'!$A$2:$A$84,'Thai Holidays'!$A$2:$A$65))</f>
        <v>46289</v>
      </c>
      <c r="AB191" s="168">
        <f>WORKDAY(AA191,AB7,IF(AB12="China",'China Holidays'!$A$2:$A$84,'Thai Holidays'!$A$2:$A$65))</f>
        <v>46303</v>
      </c>
      <c r="AC191" s="168">
        <f>AB191+30</f>
        <v>46333</v>
      </c>
      <c r="AD191" s="168">
        <f>AC191</f>
        <v>46333</v>
      </c>
      <c r="AE191" s="168">
        <f>AD191+2</f>
        <v>46335</v>
      </c>
      <c r="AF191" s="168">
        <f>AG191-20</f>
        <v>46454</v>
      </c>
      <c r="AG191" s="168">
        <f>AH191-30</f>
        <v>46474</v>
      </c>
      <c r="AH191" s="168">
        <f>AM190</f>
        <v>46504</v>
      </c>
      <c r="AI191" s="168">
        <f>AM190+3</f>
        <v>46507</v>
      </c>
      <c r="AJ191" s="168">
        <f>AM190+30</f>
        <v>46534</v>
      </c>
      <c r="AK191" s="169"/>
      <c r="AL191" s="230"/>
      <c r="AM191" s="170">
        <f>X191+AL190</f>
        <v>46504</v>
      </c>
      <c r="AN191" s="170"/>
      <c r="AO191" s="171"/>
      <c r="AP191" s="172"/>
      <c r="AQ191" s="448"/>
      <c r="AR191" s="154"/>
      <c r="AS191" s="155"/>
      <c r="AT191" s="155"/>
      <c r="AU191" s="155"/>
      <c r="AV191" s="155"/>
      <c r="AW191" s="155"/>
      <c r="AX191" s="155"/>
      <c r="AY191" s="155"/>
      <c r="AZ191" s="155"/>
      <c r="BA191" s="155"/>
      <c r="BB191" s="155"/>
      <c r="BC191" s="156"/>
      <c r="BD191" s="261"/>
      <c r="BE191" s="176"/>
    </row>
    <row r="192" spans="1:58" s="78" customFormat="1" ht="15.4" thickTop="1" thickBot="1" x14ac:dyDescent="0.45">
      <c r="A192" s="460"/>
      <c r="B192" s="177" t="s">
        <v>412</v>
      </c>
      <c r="C192" s="251" t="s">
        <v>413</v>
      </c>
      <c r="D192" s="179" t="s">
        <v>414</v>
      </c>
      <c r="E192" s="215"/>
      <c r="F192" s="215"/>
      <c r="G192" s="209" t="s">
        <v>415</v>
      </c>
      <c r="H192" s="182" t="s">
        <v>361</v>
      </c>
      <c r="I192" s="178" t="s">
        <v>138</v>
      </c>
      <c r="J192" s="178" t="s">
        <v>95</v>
      </c>
      <c r="K192" s="178" t="s">
        <v>4</v>
      </c>
      <c r="L192" s="209"/>
      <c r="M192" s="184" t="s">
        <v>76</v>
      </c>
      <c r="N192" s="185" t="s">
        <v>87</v>
      </c>
      <c r="O192" s="186">
        <v>46133</v>
      </c>
      <c r="P192" s="186">
        <v>46134</v>
      </c>
      <c r="Q192" s="186">
        <v>46155</v>
      </c>
      <c r="R192" s="186">
        <v>46177</v>
      </c>
      <c r="S192" s="186">
        <v>46177</v>
      </c>
      <c r="T192" s="186">
        <v>46188</v>
      </c>
      <c r="U192" s="186">
        <v>46234</v>
      </c>
      <c r="V192" s="186"/>
      <c r="W192" s="186"/>
      <c r="X192" s="186"/>
      <c r="Y192" s="186"/>
      <c r="Z192" s="186"/>
      <c r="AA192" s="186"/>
      <c r="AB192" s="186"/>
      <c r="AC192" s="186"/>
      <c r="AD192" s="186"/>
      <c r="AE192" s="186"/>
      <c r="AF192" s="186"/>
      <c r="AG192" s="186"/>
      <c r="AH192" s="186"/>
      <c r="AI192" s="186"/>
      <c r="AJ192" s="186"/>
      <c r="AK192" s="188"/>
      <c r="AL192" s="211"/>
      <c r="AM192" s="187"/>
      <c r="AN192" s="187"/>
      <c r="AO192" s="189"/>
      <c r="AP192" s="190"/>
      <c r="AQ192" s="449"/>
      <c r="AR192" s="191"/>
      <c r="AS192" s="192"/>
      <c r="AT192" s="192"/>
      <c r="AU192" s="192"/>
      <c r="AV192" s="192"/>
      <c r="AW192" s="192"/>
      <c r="AX192" s="192"/>
      <c r="AY192" s="192"/>
      <c r="AZ192" s="192"/>
      <c r="BA192" s="192"/>
      <c r="BB192" s="192"/>
      <c r="BC192" s="156"/>
      <c r="BD192" s="261"/>
      <c r="BE192" s="176"/>
    </row>
    <row r="193" spans="1:57" s="78" customFormat="1" ht="18" customHeight="1" thickTop="1" thickBot="1" x14ac:dyDescent="0.45">
      <c r="A193" s="458">
        <f t="shared" ref="A193" si="45">A190+1</f>
        <v>54</v>
      </c>
      <c r="B193" s="139" t="s">
        <v>418</v>
      </c>
      <c r="C193" s="247" t="s">
        <v>419</v>
      </c>
      <c r="D193" s="233" t="s">
        <v>420</v>
      </c>
      <c r="E193" s="202" t="s">
        <v>421</v>
      </c>
      <c r="F193" s="202" t="s">
        <v>70</v>
      </c>
      <c r="G193" s="427" t="s">
        <v>422</v>
      </c>
      <c r="H193" s="143" t="s">
        <v>361</v>
      </c>
      <c r="I193" s="140" t="s">
        <v>138</v>
      </c>
      <c r="J193" s="140" t="s">
        <v>74</v>
      </c>
      <c r="K193" s="140" t="s">
        <v>4</v>
      </c>
      <c r="L193" s="339"/>
      <c r="M193" s="145" t="s">
        <v>76</v>
      </c>
      <c r="N193" s="146" t="s">
        <v>77</v>
      </c>
      <c r="O193" s="147">
        <v>46164</v>
      </c>
      <c r="P193" s="147">
        <v>46167</v>
      </c>
      <c r="Q193" s="147">
        <v>46175</v>
      </c>
      <c r="R193" s="147">
        <v>46176</v>
      </c>
      <c r="S193" s="147">
        <v>46183</v>
      </c>
      <c r="T193" s="147">
        <v>46198</v>
      </c>
      <c r="U193" s="147">
        <v>46226</v>
      </c>
      <c r="V193" s="148">
        <v>46233</v>
      </c>
      <c r="W193" s="147"/>
      <c r="X193" s="147">
        <v>46247</v>
      </c>
      <c r="Y193" s="147">
        <v>46251</v>
      </c>
      <c r="Z193" s="147">
        <v>46258</v>
      </c>
      <c r="AA193" s="147">
        <v>46286</v>
      </c>
      <c r="AB193" s="147">
        <v>46300</v>
      </c>
      <c r="AC193" s="147">
        <v>46360</v>
      </c>
      <c r="AD193" s="147">
        <v>46360</v>
      </c>
      <c r="AE193" s="147">
        <v>46362</v>
      </c>
      <c r="AF193" s="147">
        <v>46453</v>
      </c>
      <c r="AG193" s="147">
        <v>46468</v>
      </c>
      <c r="AH193" s="147">
        <v>46478</v>
      </c>
      <c r="AI193" s="147">
        <v>46481</v>
      </c>
      <c r="AJ193" s="147">
        <v>46508</v>
      </c>
      <c r="AK193" s="149">
        <v>33</v>
      </c>
      <c r="AL193" s="150">
        <v>231</v>
      </c>
      <c r="AM193" s="151">
        <v>46478</v>
      </c>
      <c r="AN193" s="151">
        <v>46507</v>
      </c>
      <c r="AO193" s="225">
        <f>AN193-AM194</f>
        <v>25</v>
      </c>
      <c r="AP193" s="235" t="s">
        <v>159</v>
      </c>
      <c r="AQ193" s="438" t="s">
        <v>374</v>
      </c>
      <c r="AR193" s="154"/>
      <c r="AS193" s="155"/>
      <c r="AT193" s="155"/>
      <c r="AU193" s="155"/>
      <c r="AV193" s="155"/>
      <c r="AW193" s="155"/>
      <c r="AX193" s="155"/>
      <c r="AY193" s="155"/>
      <c r="AZ193" s="155"/>
      <c r="BA193" s="155"/>
      <c r="BB193" s="155"/>
      <c r="BC193" s="156" t="s">
        <v>80</v>
      </c>
      <c r="BD193" s="193" t="s">
        <v>423</v>
      </c>
      <c r="BE193" s="176"/>
    </row>
    <row r="194" spans="1:57" s="78" customFormat="1" ht="15.4" thickTop="1" thickBot="1" x14ac:dyDescent="0.45">
      <c r="A194" s="459"/>
      <c r="B194" s="158" t="s">
        <v>418</v>
      </c>
      <c r="C194" s="250" t="s">
        <v>419</v>
      </c>
      <c r="D194" s="160" t="s">
        <v>420</v>
      </c>
      <c r="E194" s="205" t="s">
        <v>424</v>
      </c>
      <c r="F194" s="205" t="s">
        <v>130</v>
      </c>
      <c r="G194" s="204" t="s">
        <v>422</v>
      </c>
      <c r="H194" s="228" t="s">
        <v>361</v>
      </c>
      <c r="I194" s="159" t="s">
        <v>138</v>
      </c>
      <c r="J194" s="197" t="s">
        <v>74</v>
      </c>
      <c r="K194" s="197" t="s">
        <v>4</v>
      </c>
      <c r="L194" s="158"/>
      <c r="M194" s="165" t="s">
        <v>76</v>
      </c>
      <c r="N194" s="166" t="s">
        <v>84</v>
      </c>
      <c r="O194" s="167"/>
      <c r="P194" s="168"/>
      <c r="Q194" s="168"/>
      <c r="R194" s="168"/>
      <c r="S194" s="168"/>
      <c r="T194" s="168"/>
      <c r="U194" s="168"/>
      <c r="V194" s="168">
        <f>WORKDAY(U195,V7,IF(V12="China",'China Holidays'!$A$2:$A$84,'Thai Holidays'!$A$2:$A$65))</f>
        <v>46251</v>
      </c>
      <c r="W194" s="168"/>
      <c r="X194" s="168">
        <f>V194</f>
        <v>46251</v>
      </c>
      <c r="Y194" s="168">
        <f>WORKDAY(X194,Y7,IF(Y12="China",'China Holidays'!$A$2:$A$84,'Thai Holidays'!$A$2:$A$65))</f>
        <v>46253</v>
      </c>
      <c r="Z194" s="168">
        <f>WORKDAY(Y194,Z7,IF(Z12="China",'China Holidays'!$A$2:$A$84,'Thai Holidays'!$A$2:$A$65))</f>
        <v>46260</v>
      </c>
      <c r="AA194" s="168">
        <f>WORKDAY(Z194,AA7,IF(AA12="China",'China Holidays'!$A$2:$A$84,'Thai Holidays'!$A$2:$A$65))</f>
        <v>46288</v>
      </c>
      <c r="AB194" s="168">
        <f>WORKDAY(AA194,AB7,IF(AB12="China",'China Holidays'!$A$2:$A$84,'Thai Holidays'!$A$2:$A$65))</f>
        <v>46302</v>
      </c>
      <c r="AC194" s="168">
        <f>AB194+60</f>
        <v>46362</v>
      </c>
      <c r="AD194" s="168">
        <f>AC194</f>
        <v>46362</v>
      </c>
      <c r="AE194" s="168">
        <f>AD194+2</f>
        <v>46364</v>
      </c>
      <c r="AF194" s="168">
        <f>AG194-15</f>
        <v>46453</v>
      </c>
      <c r="AG194" s="168">
        <f>AH194-10</f>
        <v>46468</v>
      </c>
      <c r="AH194" s="168">
        <f>AM193</f>
        <v>46478</v>
      </c>
      <c r="AI194" s="168">
        <f>AM193+3</f>
        <v>46481</v>
      </c>
      <c r="AJ194" s="168">
        <f>AM193+30</f>
        <v>46508</v>
      </c>
      <c r="AK194" s="169"/>
      <c r="AL194" s="230"/>
      <c r="AM194" s="170">
        <f>X194+AL193</f>
        <v>46482</v>
      </c>
      <c r="AN194" s="170"/>
      <c r="AO194" s="171"/>
      <c r="AP194" s="172"/>
      <c r="AQ194" s="448"/>
      <c r="AR194" s="154"/>
      <c r="AS194" s="155"/>
      <c r="AT194" s="155"/>
      <c r="AU194" s="155"/>
      <c r="AV194" s="155"/>
      <c r="AW194" s="155"/>
      <c r="AX194" s="155"/>
      <c r="AY194" s="155"/>
      <c r="AZ194" s="155"/>
      <c r="BA194" s="155"/>
      <c r="BB194" s="155"/>
      <c r="BC194" s="156" t="s">
        <v>85</v>
      </c>
      <c r="BD194" s="193" t="s">
        <v>395</v>
      </c>
      <c r="BE194" s="176"/>
    </row>
    <row r="195" spans="1:57" s="78" customFormat="1" ht="17.25" customHeight="1" thickTop="1" thickBot="1" x14ac:dyDescent="0.45">
      <c r="A195" s="460"/>
      <c r="B195" s="177" t="s">
        <v>418</v>
      </c>
      <c r="C195" s="251" t="s">
        <v>419</v>
      </c>
      <c r="D195" s="179" t="s">
        <v>420</v>
      </c>
      <c r="E195" s="215"/>
      <c r="F195" s="215"/>
      <c r="G195" s="209" t="s">
        <v>422</v>
      </c>
      <c r="H195" s="182" t="s">
        <v>361</v>
      </c>
      <c r="I195" s="178" t="s">
        <v>138</v>
      </c>
      <c r="J195" s="178" t="s">
        <v>74</v>
      </c>
      <c r="K195" s="178" t="s">
        <v>4</v>
      </c>
      <c r="L195" s="209"/>
      <c r="M195" s="184" t="s">
        <v>76</v>
      </c>
      <c r="N195" s="185" t="s">
        <v>87</v>
      </c>
      <c r="O195" s="186">
        <v>46133</v>
      </c>
      <c r="P195" s="186">
        <v>46134</v>
      </c>
      <c r="Q195" s="186">
        <v>46155</v>
      </c>
      <c r="R195" s="186">
        <v>46167</v>
      </c>
      <c r="S195" s="186">
        <v>46167</v>
      </c>
      <c r="T195" s="186">
        <v>46188</v>
      </c>
      <c r="U195" s="186">
        <v>46234</v>
      </c>
      <c r="V195" s="186"/>
      <c r="W195" s="186"/>
      <c r="X195" s="186"/>
      <c r="Y195" s="186"/>
      <c r="Z195" s="186"/>
      <c r="AA195" s="186"/>
      <c r="AB195" s="186"/>
      <c r="AC195" s="186"/>
      <c r="AD195" s="186"/>
      <c r="AE195" s="186"/>
      <c r="AF195" s="186"/>
      <c r="AG195" s="186"/>
      <c r="AH195" s="186"/>
      <c r="AI195" s="186"/>
      <c r="AJ195" s="186"/>
      <c r="AK195" s="188"/>
      <c r="AL195" s="211"/>
      <c r="AM195" s="187"/>
      <c r="AN195" s="187"/>
      <c r="AO195" s="189"/>
      <c r="AP195" s="190"/>
      <c r="AQ195" s="449"/>
      <c r="AR195" s="191"/>
      <c r="AS195" s="192"/>
      <c r="AT195" s="192"/>
      <c r="AU195" s="192"/>
      <c r="AV195" s="192"/>
      <c r="AW195" s="192"/>
      <c r="AX195" s="192"/>
      <c r="AY195" s="192"/>
      <c r="AZ195" s="192"/>
      <c r="BA195" s="192"/>
      <c r="BB195" s="192"/>
      <c r="BC195" s="156"/>
      <c r="BD195" s="176"/>
      <c r="BE195" s="176"/>
    </row>
    <row r="196" spans="1:57" s="78" customFormat="1" ht="17.25" customHeight="1" thickTop="1" thickBot="1" x14ac:dyDescent="0.45">
      <c r="A196" s="458">
        <f t="shared" ref="A196" si="46">A193+1</f>
        <v>55</v>
      </c>
      <c r="B196" s="139" t="s">
        <v>425</v>
      </c>
      <c r="C196" s="247" t="s">
        <v>426</v>
      </c>
      <c r="D196" s="233" t="s">
        <v>427</v>
      </c>
      <c r="E196" s="202" t="s">
        <v>428</v>
      </c>
      <c r="F196" s="202" t="s">
        <v>130</v>
      </c>
      <c r="G196" s="427" t="s">
        <v>422</v>
      </c>
      <c r="H196" s="143" t="s">
        <v>361</v>
      </c>
      <c r="I196" s="140" t="s">
        <v>138</v>
      </c>
      <c r="J196" s="140" t="s">
        <v>95</v>
      </c>
      <c r="K196" s="140" t="s">
        <v>4</v>
      </c>
      <c r="L196" s="273" t="s">
        <v>429</v>
      </c>
      <c r="M196" s="145" t="s">
        <v>76</v>
      </c>
      <c r="N196" s="146" t="s">
        <v>77</v>
      </c>
      <c r="O196" s="147">
        <v>46176</v>
      </c>
      <c r="P196" s="147">
        <v>46177</v>
      </c>
      <c r="Q196" s="147">
        <v>46184</v>
      </c>
      <c r="R196" s="147">
        <v>46185</v>
      </c>
      <c r="S196" s="147">
        <v>46192</v>
      </c>
      <c r="T196" s="147">
        <v>46206</v>
      </c>
      <c r="U196" s="147">
        <v>46238</v>
      </c>
      <c r="V196" s="148">
        <v>46241</v>
      </c>
      <c r="W196" s="147"/>
      <c r="X196" s="147">
        <v>46255</v>
      </c>
      <c r="Y196" s="147">
        <v>46259</v>
      </c>
      <c r="Z196" s="147">
        <v>46266</v>
      </c>
      <c r="AA196" s="147">
        <v>46295</v>
      </c>
      <c r="AB196" s="147">
        <v>46310</v>
      </c>
      <c r="AC196" s="147">
        <v>46370</v>
      </c>
      <c r="AD196" s="147">
        <v>46370</v>
      </c>
      <c r="AE196" s="147">
        <v>46372</v>
      </c>
      <c r="AF196" s="147">
        <v>46454</v>
      </c>
      <c r="AG196" s="147">
        <v>46469</v>
      </c>
      <c r="AH196" s="147">
        <v>46479</v>
      </c>
      <c r="AI196" s="147">
        <v>46482</v>
      </c>
      <c r="AJ196" s="147">
        <v>46507</v>
      </c>
      <c r="AK196" s="149">
        <v>32</v>
      </c>
      <c r="AL196" s="150">
        <v>224</v>
      </c>
      <c r="AM196" s="151">
        <v>46479</v>
      </c>
      <c r="AN196" s="151">
        <v>46507</v>
      </c>
      <c r="AO196" s="225">
        <f>AN196-AM197</f>
        <v>36</v>
      </c>
      <c r="AP196" s="235" t="s">
        <v>159</v>
      </c>
      <c r="AQ196" s="438" t="s">
        <v>374</v>
      </c>
      <c r="AR196" s="154"/>
      <c r="AS196" s="155"/>
      <c r="AT196" s="155"/>
      <c r="AU196" s="155"/>
      <c r="AV196" s="155"/>
      <c r="AW196" s="155"/>
      <c r="AX196" s="155"/>
      <c r="AY196" s="155"/>
      <c r="AZ196" s="155"/>
      <c r="BA196" s="155"/>
      <c r="BB196" s="155"/>
      <c r="BC196" s="156"/>
      <c r="BD196" s="176"/>
      <c r="BE196" s="176"/>
    </row>
    <row r="197" spans="1:57" s="78" customFormat="1" ht="17.649999999999999" customHeight="1" thickTop="1" thickBot="1" x14ac:dyDescent="0.45">
      <c r="A197" s="459"/>
      <c r="B197" s="158" t="s">
        <v>425</v>
      </c>
      <c r="C197" s="250" t="s">
        <v>426</v>
      </c>
      <c r="D197" s="158" t="s">
        <v>427</v>
      </c>
      <c r="E197" s="205"/>
      <c r="F197" s="205"/>
      <c r="G197" s="204" t="s">
        <v>422</v>
      </c>
      <c r="H197" s="228" t="s">
        <v>361</v>
      </c>
      <c r="I197" s="159" t="s">
        <v>138</v>
      </c>
      <c r="J197" s="197" t="s">
        <v>95</v>
      </c>
      <c r="K197" s="197" t="s">
        <v>4</v>
      </c>
      <c r="L197" s="204"/>
      <c r="M197" s="165" t="s">
        <v>76</v>
      </c>
      <c r="N197" s="166" t="s">
        <v>84</v>
      </c>
      <c r="O197" s="167"/>
      <c r="P197" s="168"/>
      <c r="Q197" s="170"/>
      <c r="R197" s="168"/>
      <c r="S197" s="168"/>
      <c r="T197" s="168"/>
      <c r="U197" s="168"/>
      <c r="V197" s="168">
        <f>WORKDAY(U198,V7,IF(V12="China",'China Holidays'!$A$2:$A$84,'Thai Holidays'!$A$2:$A$65))</f>
        <v>46245</v>
      </c>
      <c r="W197" s="168"/>
      <c r="X197" s="168">
        <v>46247</v>
      </c>
      <c r="Y197" s="168">
        <f>WORKDAY(X197,Y7,IF(Y12="China",'China Holidays'!$A$2:$A$84,'Thai Holidays'!$A$2:$A$65))</f>
        <v>46251</v>
      </c>
      <c r="Z197" s="168">
        <f>WORKDAY(Y197,Z7,IF(Z12="China",'China Holidays'!$A$2:$A$84,'Thai Holidays'!$A$2:$A$65))</f>
        <v>46258</v>
      </c>
      <c r="AA197" s="168">
        <f>WORKDAY(Z197,AA7,IF(AA12="China",'China Holidays'!$A$2:$A$84,'Thai Holidays'!$A$2:$A$65))</f>
        <v>46286</v>
      </c>
      <c r="AB197" s="168">
        <f>WORKDAY(AA197,AB7,IF(AB12="China",'China Holidays'!$A$2:$A$84,'Thai Holidays'!$A$2:$A$65))</f>
        <v>46300</v>
      </c>
      <c r="AC197" s="168">
        <f>AB197+60</f>
        <v>46360</v>
      </c>
      <c r="AD197" s="168">
        <f>AC197</f>
        <v>46360</v>
      </c>
      <c r="AE197" s="168">
        <f>AD197+2</f>
        <v>46362</v>
      </c>
      <c r="AF197" s="168">
        <f>AG197-15</f>
        <v>46454</v>
      </c>
      <c r="AG197" s="168">
        <f>AH197-10</f>
        <v>46469</v>
      </c>
      <c r="AH197" s="168">
        <f>AM196</f>
        <v>46479</v>
      </c>
      <c r="AI197" s="168">
        <f>AM196+3</f>
        <v>46482</v>
      </c>
      <c r="AJ197" s="168">
        <f>AM196+28</f>
        <v>46507</v>
      </c>
      <c r="AK197" s="169"/>
      <c r="AL197" s="230"/>
      <c r="AM197" s="170">
        <f>X197+AL196</f>
        <v>46471</v>
      </c>
      <c r="AN197" s="170"/>
      <c r="AO197" s="171"/>
      <c r="AP197" s="172"/>
      <c r="AQ197" s="448"/>
      <c r="AR197" s="154"/>
      <c r="AS197" s="155"/>
      <c r="AT197" s="155"/>
      <c r="AU197" s="155"/>
      <c r="AV197" s="155"/>
      <c r="AW197" s="155"/>
      <c r="AX197" s="155"/>
      <c r="AY197" s="155"/>
      <c r="AZ197" s="155"/>
      <c r="BA197" s="155"/>
      <c r="BB197" s="155"/>
      <c r="BC197" s="156"/>
      <c r="BD197" s="176"/>
      <c r="BE197" s="176"/>
    </row>
    <row r="198" spans="1:57" s="78" customFormat="1" ht="16.149999999999999" customHeight="1" thickTop="1" thickBot="1" x14ac:dyDescent="0.45">
      <c r="A198" s="460"/>
      <c r="B198" s="177" t="s">
        <v>425</v>
      </c>
      <c r="C198" s="251" t="s">
        <v>426</v>
      </c>
      <c r="D198" s="177" t="s">
        <v>427</v>
      </c>
      <c r="E198" s="215"/>
      <c r="F198" s="215"/>
      <c r="G198" s="209" t="s">
        <v>422</v>
      </c>
      <c r="H198" s="182" t="s">
        <v>361</v>
      </c>
      <c r="I198" s="178" t="s">
        <v>138</v>
      </c>
      <c r="J198" s="178" t="s">
        <v>95</v>
      </c>
      <c r="K198" s="178" t="s">
        <v>4</v>
      </c>
      <c r="L198" s="209"/>
      <c r="M198" s="184" t="s">
        <v>76</v>
      </c>
      <c r="N198" s="185" t="s">
        <v>87</v>
      </c>
      <c r="O198" s="186" t="s">
        <v>430</v>
      </c>
      <c r="P198" s="186">
        <v>46133</v>
      </c>
      <c r="Q198" s="186">
        <v>46153</v>
      </c>
      <c r="R198" s="186">
        <v>46167</v>
      </c>
      <c r="S198" s="186">
        <v>46167</v>
      </c>
      <c r="T198" s="186">
        <v>46188</v>
      </c>
      <c r="U198" s="186">
        <v>46227</v>
      </c>
      <c r="V198" s="186"/>
      <c r="W198" s="186"/>
      <c r="X198" s="186"/>
      <c r="Y198" s="186"/>
      <c r="Z198" s="186"/>
      <c r="AA198" s="186"/>
      <c r="AB198" s="186"/>
      <c r="AC198" s="186"/>
      <c r="AD198" s="186"/>
      <c r="AE198" s="186"/>
      <c r="AF198" s="186"/>
      <c r="AG198" s="186"/>
      <c r="AH198" s="186"/>
      <c r="AI198" s="186"/>
      <c r="AJ198" s="186"/>
      <c r="AK198" s="188"/>
      <c r="AL198" s="211"/>
      <c r="AM198" s="187"/>
      <c r="AN198" s="187"/>
      <c r="AO198" s="189"/>
      <c r="AP198" s="190"/>
      <c r="AQ198" s="449"/>
      <c r="AR198" s="191"/>
      <c r="AS198" s="192"/>
      <c r="AT198" s="192"/>
      <c r="AU198" s="192"/>
      <c r="AV198" s="192"/>
      <c r="AW198" s="192"/>
      <c r="AX198" s="192"/>
      <c r="AY198" s="192"/>
      <c r="AZ198" s="192"/>
      <c r="BA198" s="192"/>
      <c r="BB198" s="192"/>
      <c r="BC198" s="156"/>
      <c r="BD198" s="176"/>
      <c r="BE198" s="176"/>
    </row>
    <row r="199" spans="1:57" s="78" customFormat="1" ht="15.4" thickTop="1" thickBot="1" x14ac:dyDescent="0.45">
      <c r="A199" s="458">
        <f t="shared" ref="A199" si="47">A196+1</f>
        <v>56</v>
      </c>
      <c r="B199" s="139" t="s">
        <v>431</v>
      </c>
      <c r="C199" s="140" t="s">
        <v>432</v>
      </c>
      <c r="D199" s="194" t="s">
        <v>433</v>
      </c>
      <c r="E199" s="202" t="s">
        <v>434</v>
      </c>
      <c r="F199" s="202" t="s">
        <v>130</v>
      </c>
      <c r="G199" s="427" t="s">
        <v>104</v>
      </c>
      <c r="H199" s="143" t="s">
        <v>361</v>
      </c>
      <c r="I199" s="140" t="s">
        <v>138</v>
      </c>
      <c r="J199" s="140" t="s">
        <v>95</v>
      </c>
      <c r="K199" s="140" t="s">
        <v>6</v>
      </c>
      <c r="L199" s="203"/>
      <c r="M199" s="145" t="s">
        <v>76</v>
      </c>
      <c r="N199" s="146" t="s">
        <v>77</v>
      </c>
      <c r="O199" s="147">
        <v>46248</v>
      </c>
      <c r="P199" s="147">
        <v>46253</v>
      </c>
      <c r="Q199" s="147">
        <v>46260</v>
      </c>
      <c r="R199" s="147">
        <v>46261</v>
      </c>
      <c r="S199" s="147">
        <v>46268</v>
      </c>
      <c r="T199" s="147">
        <v>46282</v>
      </c>
      <c r="U199" s="147">
        <v>46303</v>
      </c>
      <c r="V199" s="147">
        <v>46309</v>
      </c>
      <c r="W199" s="147"/>
      <c r="X199" s="147">
        <v>46323</v>
      </c>
      <c r="Y199" s="147">
        <v>46325</v>
      </c>
      <c r="Z199" s="147">
        <v>46332</v>
      </c>
      <c r="AA199" s="147">
        <v>46353</v>
      </c>
      <c r="AB199" s="147">
        <v>46370</v>
      </c>
      <c r="AC199" s="147">
        <v>46390</v>
      </c>
      <c r="AD199" s="147">
        <v>46390</v>
      </c>
      <c r="AE199" s="147">
        <v>46392</v>
      </c>
      <c r="AF199" s="147">
        <v>46431</v>
      </c>
      <c r="AG199" s="147">
        <v>46446</v>
      </c>
      <c r="AH199" s="147">
        <v>46456</v>
      </c>
      <c r="AI199" s="147">
        <v>46459</v>
      </c>
      <c r="AJ199" s="147">
        <v>46486</v>
      </c>
      <c r="AK199" s="149">
        <v>19</v>
      </c>
      <c r="AL199" s="150">
        <v>133</v>
      </c>
      <c r="AM199" s="151">
        <v>46456</v>
      </c>
      <c r="AN199" s="151">
        <v>46507</v>
      </c>
      <c r="AO199" s="225">
        <f>AN199-AM200</f>
        <v>51</v>
      </c>
      <c r="AP199" s="235"/>
      <c r="AQ199" s="447"/>
      <c r="AR199" s="154"/>
      <c r="AS199" s="155"/>
      <c r="AT199" s="155"/>
      <c r="AU199" s="155"/>
      <c r="AV199" s="155"/>
      <c r="AW199" s="155"/>
      <c r="AX199" s="155"/>
      <c r="AY199" s="155"/>
      <c r="AZ199" s="155"/>
      <c r="BA199" s="155"/>
      <c r="BB199" s="155"/>
      <c r="BC199" s="156"/>
      <c r="BD199" s="176"/>
      <c r="BE199" s="176"/>
    </row>
    <row r="200" spans="1:57" s="78" customFormat="1" ht="15.4" thickTop="1" thickBot="1" x14ac:dyDescent="0.45">
      <c r="A200" s="459"/>
      <c r="B200" s="158" t="s">
        <v>431</v>
      </c>
      <c r="C200" s="197" t="s">
        <v>432</v>
      </c>
      <c r="D200" s="160" t="s">
        <v>433</v>
      </c>
      <c r="E200" s="205" t="s">
        <v>435</v>
      </c>
      <c r="F200" s="205" t="s">
        <v>436</v>
      </c>
      <c r="G200" s="204" t="s">
        <v>104</v>
      </c>
      <c r="H200" s="228" t="s">
        <v>361</v>
      </c>
      <c r="I200" s="159" t="s">
        <v>138</v>
      </c>
      <c r="J200" s="197" t="s">
        <v>95</v>
      </c>
      <c r="K200" s="197" t="s">
        <v>6</v>
      </c>
      <c r="L200" s="204"/>
      <c r="M200" s="165" t="s">
        <v>76</v>
      </c>
      <c r="N200" s="166" t="s">
        <v>84</v>
      </c>
      <c r="O200" s="167">
        <f>O199</f>
        <v>46248</v>
      </c>
      <c r="P200" s="168"/>
      <c r="Q200" s="168"/>
      <c r="R200" s="168">
        <f>R199</f>
        <v>46261</v>
      </c>
      <c r="S200" s="168">
        <f>WORKDAY(R200,S8,IF(S12="China",'China Holidays'!$A$2:$A$84,'Thai Holidays'!$A$2:$A$65))</f>
        <v>46261</v>
      </c>
      <c r="T200" s="168">
        <f>WORKDAY(S200,T8,IF(T12="China",'China Holidays'!$A$2:$A$84,'Thai Holidays'!$A$2:$A$65))</f>
        <v>46275</v>
      </c>
      <c r="U200" s="168">
        <f>U199</f>
        <v>46303</v>
      </c>
      <c r="V200" s="168">
        <f>WORKDAY(U200,V8,IF(V12="China",'China Holidays'!$A$2:$A$84,'Thai Holidays'!$A$2:$A$65))</f>
        <v>46321</v>
      </c>
      <c r="W200" s="168"/>
      <c r="X200" s="168">
        <f>X199</f>
        <v>46323</v>
      </c>
      <c r="Y200" s="168">
        <f>WORKDAY(X200,Y8,IF(Y12="China",'China Holidays'!$A$2:$A$84,'Thai Holidays'!$A$2:$A$65))</f>
        <v>46325</v>
      </c>
      <c r="Z200" s="168">
        <f>WORKDAY(Y200,Z8,IF(Z12="China",'China Holidays'!$A$2:$A$84,'Thai Holidays'!$A$2:$A$65))</f>
        <v>46332</v>
      </c>
      <c r="AA200" s="168">
        <f>WORKDAY(Z200,AA8,IF(AA12="China",'China Holidays'!$A$2:$A$84,'Thai Holidays'!$A$2:$A$65))</f>
        <v>46353</v>
      </c>
      <c r="AB200" s="168">
        <f>WORKDAY(AA200,AB8,IF(AB12="China",'China Holidays'!$A$2:$A$84,'Thai Holidays'!$A$2:$A$65))</f>
        <v>46370</v>
      </c>
      <c r="AC200" s="168">
        <f>AB200+20</f>
        <v>46390</v>
      </c>
      <c r="AD200" s="168">
        <f>AC200</f>
        <v>46390</v>
      </c>
      <c r="AE200" s="168">
        <f>AD200+2</f>
        <v>46392</v>
      </c>
      <c r="AF200" s="168">
        <f>AG200-15</f>
        <v>46431</v>
      </c>
      <c r="AG200" s="168">
        <f>AH200-10</f>
        <v>46446</v>
      </c>
      <c r="AH200" s="168">
        <f>AM199</f>
        <v>46456</v>
      </c>
      <c r="AI200" s="168">
        <f>AM199+3</f>
        <v>46459</v>
      </c>
      <c r="AJ200" s="168">
        <f>AM199+30</f>
        <v>46486</v>
      </c>
      <c r="AK200" s="169"/>
      <c r="AL200" s="230"/>
      <c r="AM200" s="170">
        <f>X200+AL199</f>
        <v>46456</v>
      </c>
      <c r="AN200" s="170"/>
      <c r="AO200" s="171"/>
      <c r="AP200" s="172"/>
      <c r="AQ200" s="448"/>
      <c r="AR200" s="154"/>
      <c r="AS200" s="155"/>
      <c r="AT200" s="155"/>
      <c r="AU200" s="155"/>
      <c r="AV200" s="155"/>
      <c r="AW200" s="155"/>
      <c r="AX200" s="155"/>
      <c r="AY200" s="155"/>
      <c r="AZ200" s="155"/>
      <c r="BA200" s="155"/>
      <c r="BB200" s="155"/>
      <c r="BC200" s="156"/>
      <c r="BD200" s="176"/>
      <c r="BE200" s="176"/>
    </row>
    <row r="201" spans="1:57" s="78" customFormat="1" ht="15.4" thickTop="1" thickBot="1" x14ac:dyDescent="0.45">
      <c r="A201" s="460"/>
      <c r="B201" s="177" t="s">
        <v>431</v>
      </c>
      <c r="C201" s="178" t="s">
        <v>432</v>
      </c>
      <c r="D201" s="237" t="s">
        <v>433</v>
      </c>
      <c r="E201" s="208"/>
      <c r="F201" s="208"/>
      <c r="G201" s="209" t="s">
        <v>104</v>
      </c>
      <c r="H201" s="182" t="s">
        <v>361</v>
      </c>
      <c r="I201" s="178" t="s">
        <v>138</v>
      </c>
      <c r="J201" s="178" t="s">
        <v>95</v>
      </c>
      <c r="K201" s="178" t="s">
        <v>6</v>
      </c>
      <c r="L201" s="209"/>
      <c r="M201" s="184" t="s">
        <v>76</v>
      </c>
      <c r="N201" s="185" t="s">
        <v>87</v>
      </c>
      <c r="O201" s="186"/>
      <c r="P201" s="186">
        <v>46151</v>
      </c>
      <c r="Q201" s="186">
        <v>46166</v>
      </c>
      <c r="R201" s="186"/>
      <c r="S201" s="186"/>
      <c r="T201" s="186"/>
      <c r="U201" s="186"/>
      <c r="V201" s="186"/>
      <c r="W201" s="186"/>
      <c r="X201" s="186"/>
      <c r="Y201" s="186"/>
      <c r="Z201" s="186"/>
      <c r="AA201" s="186"/>
      <c r="AB201" s="186"/>
      <c r="AC201" s="186"/>
      <c r="AD201" s="186"/>
      <c r="AE201" s="186"/>
      <c r="AF201" s="186"/>
      <c r="AG201" s="186"/>
      <c r="AH201" s="186"/>
      <c r="AI201" s="186"/>
      <c r="AJ201" s="186"/>
      <c r="AK201" s="188"/>
      <c r="AL201" s="211"/>
      <c r="AM201" s="187"/>
      <c r="AN201" s="187"/>
      <c r="AO201" s="189"/>
      <c r="AP201" s="190"/>
      <c r="AQ201" s="449"/>
      <c r="AR201" s="191"/>
      <c r="AS201" s="192"/>
      <c r="AT201" s="192"/>
      <c r="AU201" s="192"/>
      <c r="AV201" s="192"/>
      <c r="AW201" s="192"/>
      <c r="AX201" s="192"/>
      <c r="AY201" s="192"/>
      <c r="AZ201" s="192"/>
      <c r="BA201" s="192"/>
      <c r="BB201" s="192"/>
      <c r="BC201" s="156"/>
      <c r="BD201" s="176"/>
      <c r="BE201" s="176"/>
    </row>
    <row r="202" spans="1:57" s="78" customFormat="1" ht="15.4" thickTop="1" thickBot="1" x14ac:dyDescent="0.45">
      <c r="A202" s="458">
        <f t="shared" ref="A202" si="48">A199+1</f>
        <v>57</v>
      </c>
      <c r="B202" s="139" t="s">
        <v>437</v>
      </c>
      <c r="C202" s="140" t="s">
        <v>438</v>
      </c>
      <c r="D202" s="204" t="s">
        <v>439</v>
      </c>
      <c r="E202" s="317"/>
      <c r="F202" s="317"/>
      <c r="G202" s="427" t="s">
        <v>440</v>
      </c>
      <c r="H202" s="143" t="s">
        <v>361</v>
      </c>
      <c r="I202" s="140" t="s">
        <v>138</v>
      </c>
      <c r="J202" s="140" t="s">
        <v>95</v>
      </c>
      <c r="K202" s="140" t="s">
        <v>9</v>
      </c>
      <c r="L202" s="203"/>
      <c r="M202" s="145" t="s">
        <v>150</v>
      </c>
      <c r="N202" s="146" t="s">
        <v>77</v>
      </c>
      <c r="O202" s="147">
        <v>46322</v>
      </c>
      <c r="P202" s="147">
        <v>46313</v>
      </c>
      <c r="Q202" s="147">
        <v>46328</v>
      </c>
      <c r="R202" s="147">
        <v>46328</v>
      </c>
      <c r="S202" s="147">
        <v>46328</v>
      </c>
      <c r="T202" s="147">
        <v>46335</v>
      </c>
      <c r="U202" s="147">
        <v>46344</v>
      </c>
      <c r="V202" s="147">
        <v>46358</v>
      </c>
      <c r="W202" s="147"/>
      <c r="X202" s="147">
        <v>46365</v>
      </c>
      <c r="Y202" s="147">
        <v>46367</v>
      </c>
      <c r="Z202" s="147">
        <v>46374</v>
      </c>
      <c r="AA202" s="147">
        <v>46391</v>
      </c>
      <c r="AB202" s="147">
        <v>46405</v>
      </c>
      <c r="AC202" s="147">
        <v>46420</v>
      </c>
      <c r="AD202" s="147">
        <v>46420</v>
      </c>
      <c r="AE202" s="147">
        <v>46422</v>
      </c>
      <c r="AF202" s="147">
        <v>46452</v>
      </c>
      <c r="AG202" s="147">
        <v>46467</v>
      </c>
      <c r="AH202" s="147">
        <v>46477</v>
      </c>
      <c r="AI202" s="147">
        <v>46480</v>
      </c>
      <c r="AJ202" s="147">
        <v>46507</v>
      </c>
      <c r="AK202" s="149">
        <v>16</v>
      </c>
      <c r="AL202" s="150">
        <v>112</v>
      </c>
      <c r="AM202" s="151">
        <v>46477</v>
      </c>
      <c r="AN202" s="151">
        <v>46492</v>
      </c>
      <c r="AO202" s="225">
        <f>AN202-AM203</f>
        <v>15</v>
      </c>
      <c r="AP202" s="235"/>
      <c r="AQ202" s="447"/>
      <c r="AR202" s="154"/>
      <c r="AS202" s="155"/>
      <c r="AT202" s="155"/>
      <c r="AU202" s="155"/>
      <c r="AV202" s="155"/>
      <c r="AW202" s="155"/>
      <c r="AX202" s="155"/>
      <c r="AY202" s="155"/>
      <c r="AZ202" s="155"/>
      <c r="BA202" s="155"/>
      <c r="BB202" s="155"/>
      <c r="BC202" s="156"/>
      <c r="BD202" s="176"/>
      <c r="BE202" s="176"/>
    </row>
    <row r="203" spans="1:57" s="78" customFormat="1" ht="15.4" thickTop="1" thickBot="1" x14ac:dyDescent="0.45">
      <c r="A203" s="459"/>
      <c r="B203" s="158" t="s">
        <v>437</v>
      </c>
      <c r="C203" s="197" t="s">
        <v>438</v>
      </c>
      <c r="D203" s="204" t="s">
        <v>439</v>
      </c>
      <c r="E203" s="205"/>
      <c r="F203" s="205"/>
      <c r="G203" s="204" t="s">
        <v>440</v>
      </c>
      <c r="H203" s="228" t="s">
        <v>361</v>
      </c>
      <c r="I203" s="159" t="s">
        <v>138</v>
      </c>
      <c r="J203" s="197" t="s">
        <v>95</v>
      </c>
      <c r="K203" s="197" t="s">
        <v>9</v>
      </c>
      <c r="L203" s="204"/>
      <c r="M203" s="165" t="s">
        <v>150</v>
      </c>
      <c r="N203" s="166" t="s">
        <v>84</v>
      </c>
      <c r="O203" s="167">
        <f>O202</f>
        <v>46322</v>
      </c>
      <c r="P203" s="168">
        <f>P202</f>
        <v>46313</v>
      </c>
      <c r="Q203" s="168">
        <f>WORKDAY(P203,Q9,IF(Q12="China",'China Holidays'!$A$2:$A$84,'Thai Holidays'!$A$2:$A$65))</f>
        <v>46328</v>
      </c>
      <c r="R203" s="168">
        <f>WORKDAY(Q203,R9,IF(R12="China",'China Holidays'!$A$2:$A$84,'Thai Holidays'!$A$2:$A$65))</f>
        <v>46328</v>
      </c>
      <c r="S203" s="168">
        <f>WORKDAY(R203,S9,IF(S12="China",'China Holidays'!$A$2:$A$84,'Thai Holidays'!$A$2:$A$65))</f>
        <v>46328</v>
      </c>
      <c r="T203" s="168">
        <f>WORKDAY(S203,T9,IF(T12="China",'China Holidays'!$A$2:$A$84,'Thai Holidays'!$A$2:$A$65))</f>
        <v>46335</v>
      </c>
      <c r="U203" s="168">
        <f>WORKDAY(T203,U9,IF(U12="China",'China Holidays'!$A$2:$A$84,'Thai Holidays'!$A$2:$A$65))</f>
        <v>46344</v>
      </c>
      <c r="V203" s="168">
        <f>WORKDAY(U203,V9,IF(V12="China",'China Holidays'!$A$2:$A$84,'Thai Holidays'!$A$2:$A$65))</f>
        <v>46358</v>
      </c>
      <c r="W203" s="168"/>
      <c r="X203" s="168">
        <f>WORKDAY(V203,X9,IF(X12="China",'China Holidays'!$A$2:$A$84,'Thai Holidays'!$A$2:$A$65))</f>
        <v>46365</v>
      </c>
      <c r="Y203" s="168">
        <f>WORKDAY(X203,Y9,IF(Y12="China",'China Holidays'!$A$2:$A$84,'Thai Holidays'!$A$2:$A$65))</f>
        <v>46367</v>
      </c>
      <c r="Z203" s="168">
        <f>WORKDAY(Y203,Z9,IF(Z12="China",'China Holidays'!$A$2:$A$84,'Thai Holidays'!$A$2:$A$65))</f>
        <v>46374</v>
      </c>
      <c r="AA203" s="168">
        <f>WORKDAY(Z203,AA9,IF(AA12="China",'China Holidays'!$A$2:$A$84,'Thai Holidays'!$A$2:$A$65))</f>
        <v>46391</v>
      </c>
      <c r="AB203" s="168">
        <f>WORKDAY(AA203,AB9,IF(AB12="China",'China Holidays'!$A$2:$A$84,'Thai Holidays'!$A$2:$A$65))</f>
        <v>46405</v>
      </c>
      <c r="AC203" s="168">
        <f>AB203+15</f>
        <v>46420</v>
      </c>
      <c r="AD203" s="168">
        <f>AC203</f>
        <v>46420</v>
      </c>
      <c r="AE203" s="168">
        <f>AD203+2</f>
        <v>46422</v>
      </c>
      <c r="AF203" s="168">
        <f>AG203-15</f>
        <v>46452</v>
      </c>
      <c r="AG203" s="168">
        <f>AH203-10</f>
        <v>46467</v>
      </c>
      <c r="AH203" s="168">
        <f>AM202</f>
        <v>46477</v>
      </c>
      <c r="AI203" s="168">
        <f>AM202+3</f>
        <v>46480</v>
      </c>
      <c r="AJ203" s="168">
        <f>AM202+30</f>
        <v>46507</v>
      </c>
      <c r="AK203" s="169"/>
      <c r="AL203" s="230"/>
      <c r="AM203" s="170">
        <f>X203+AL202</f>
        <v>46477</v>
      </c>
      <c r="AN203" s="170"/>
      <c r="AO203" s="171"/>
      <c r="AP203" s="172"/>
      <c r="AQ203" s="448"/>
      <c r="AR203" s="154"/>
      <c r="AS203" s="155"/>
      <c r="AT203" s="155"/>
      <c r="AU203" s="155"/>
      <c r="AV203" s="155"/>
      <c r="AW203" s="155"/>
      <c r="AX203" s="155"/>
      <c r="AY203" s="155"/>
      <c r="AZ203" s="155"/>
      <c r="BA203" s="155"/>
      <c r="BB203" s="155"/>
      <c r="BC203" s="156"/>
      <c r="BD203" s="176"/>
      <c r="BE203" s="176"/>
    </row>
    <row r="204" spans="1:57" s="78" customFormat="1" ht="15.4" thickTop="1" thickBot="1" x14ac:dyDescent="0.45">
      <c r="A204" s="460"/>
      <c r="B204" s="177" t="s">
        <v>437</v>
      </c>
      <c r="C204" s="178" t="s">
        <v>438</v>
      </c>
      <c r="D204" s="207" t="s">
        <v>439</v>
      </c>
      <c r="E204" s="215"/>
      <c r="F204" s="215"/>
      <c r="G204" s="209" t="s">
        <v>440</v>
      </c>
      <c r="H204" s="182" t="s">
        <v>361</v>
      </c>
      <c r="I204" s="178" t="s">
        <v>138</v>
      </c>
      <c r="J204" s="178" t="s">
        <v>95</v>
      </c>
      <c r="K204" s="178" t="s">
        <v>9</v>
      </c>
      <c r="L204" s="207"/>
      <c r="M204" s="184" t="s">
        <v>150</v>
      </c>
      <c r="N204" s="185" t="s">
        <v>87</v>
      </c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  <c r="AA204" s="186"/>
      <c r="AB204" s="186"/>
      <c r="AC204" s="186"/>
      <c r="AD204" s="186"/>
      <c r="AE204" s="186"/>
      <c r="AF204" s="186"/>
      <c r="AG204" s="186"/>
      <c r="AH204" s="186"/>
      <c r="AI204" s="186"/>
      <c r="AJ204" s="186"/>
      <c r="AK204" s="188"/>
      <c r="AL204" s="211"/>
      <c r="AM204" s="187"/>
      <c r="AN204" s="187"/>
      <c r="AO204" s="189"/>
      <c r="AP204" s="190"/>
      <c r="AQ204" s="449"/>
      <c r="AR204" s="191"/>
      <c r="AS204" s="192"/>
      <c r="AT204" s="192"/>
      <c r="AU204" s="192"/>
      <c r="AV204" s="192"/>
      <c r="AW204" s="192"/>
      <c r="AX204" s="192"/>
      <c r="AY204" s="192"/>
      <c r="AZ204" s="192"/>
      <c r="BA204" s="192"/>
      <c r="BB204" s="192"/>
      <c r="BC204" s="156"/>
      <c r="BD204" s="176"/>
      <c r="BE204" s="176"/>
    </row>
    <row r="205" spans="1:57" s="78" customFormat="1" ht="15.4" thickTop="1" thickBot="1" x14ac:dyDescent="0.45">
      <c r="A205" s="458">
        <f t="shared" ref="A205" si="49">A202+1</f>
        <v>58</v>
      </c>
      <c r="B205" s="139" t="s">
        <v>441</v>
      </c>
      <c r="C205" s="140" t="s">
        <v>442</v>
      </c>
      <c r="D205" s="194" t="s">
        <v>443</v>
      </c>
      <c r="E205" s="202" t="s">
        <v>444</v>
      </c>
      <c r="F205" s="202" t="s">
        <v>193</v>
      </c>
      <c r="G205" s="427" t="s">
        <v>445</v>
      </c>
      <c r="H205" s="143" t="s">
        <v>361</v>
      </c>
      <c r="I205" s="140" t="s">
        <v>138</v>
      </c>
      <c r="J205" s="140" t="s">
        <v>95</v>
      </c>
      <c r="K205" s="140" t="s">
        <v>6</v>
      </c>
      <c r="L205" s="203"/>
      <c r="M205" s="145" t="s">
        <v>76</v>
      </c>
      <c r="N205" s="146" t="s">
        <v>77</v>
      </c>
      <c r="O205" s="147">
        <v>46247</v>
      </c>
      <c r="P205" s="147">
        <v>46252</v>
      </c>
      <c r="Q205" s="147">
        <v>46259</v>
      </c>
      <c r="R205" s="147">
        <v>46260</v>
      </c>
      <c r="S205" s="147">
        <v>46267</v>
      </c>
      <c r="T205" s="147">
        <v>46281</v>
      </c>
      <c r="U205" s="147">
        <v>46302</v>
      </c>
      <c r="V205" s="147">
        <v>46307</v>
      </c>
      <c r="W205" s="147"/>
      <c r="X205" s="147">
        <v>46321</v>
      </c>
      <c r="Y205" s="147">
        <v>46323</v>
      </c>
      <c r="Z205" s="147">
        <v>46330</v>
      </c>
      <c r="AA205" s="147">
        <v>46351</v>
      </c>
      <c r="AB205" s="147">
        <v>46366</v>
      </c>
      <c r="AC205" s="147">
        <v>46381</v>
      </c>
      <c r="AD205" s="147">
        <v>46381</v>
      </c>
      <c r="AE205" s="147">
        <v>46383</v>
      </c>
      <c r="AF205" s="147">
        <v>46422</v>
      </c>
      <c r="AG205" s="147">
        <v>46437</v>
      </c>
      <c r="AH205" s="147">
        <v>46447</v>
      </c>
      <c r="AI205" s="147">
        <v>46450</v>
      </c>
      <c r="AJ205" s="147">
        <v>46477</v>
      </c>
      <c r="AK205" s="149">
        <v>18</v>
      </c>
      <c r="AL205" s="150">
        <v>126</v>
      </c>
      <c r="AM205" s="151">
        <v>46447</v>
      </c>
      <c r="AN205" s="151">
        <v>46500</v>
      </c>
      <c r="AO205" s="225">
        <f>AN205-AM206</f>
        <v>53</v>
      </c>
      <c r="AP205" s="235"/>
      <c r="AQ205" s="447"/>
      <c r="AR205" s="154"/>
      <c r="AS205" s="155"/>
      <c r="AT205" s="155"/>
      <c r="AU205" s="155"/>
      <c r="AV205" s="155"/>
      <c r="AW205" s="155"/>
      <c r="AX205" s="155"/>
      <c r="AY205" s="155"/>
      <c r="AZ205" s="155"/>
      <c r="BA205" s="155"/>
      <c r="BB205" s="155"/>
      <c r="BC205" s="156"/>
      <c r="BD205" s="176"/>
      <c r="BE205" s="176"/>
    </row>
    <row r="206" spans="1:57" s="78" customFormat="1" ht="15.4" thickTop="1" thickBot="1" x14ac:dyDescent="0.45">
      <c r="A206" s="459"/>
      <c r="B206" s="158" t="s">
        <v>441</v>
      </c>
      <c r="C206" s="197" t="s">
        <v>442</v>
      </c>
      <c r="D206" s="160" t="s">
        <v>443</v>
      </c>
      <c r="E206" s="205" t="s">
        <v>446</v>
      </c>
      <c r="F206" s="205" t="s">
        <v>193</v>
      </c>
      <c r="G206" s="204" t="s">
        <v>445</v>
      </c>
      <c r="H206" s="228" t="s">
        <v>361</v>
      </c>
      <c r="I206" s="159" t="s">
        <v>138</v>
      </c>
      <c r="J206" s="197" t="s">
        <v>95</v>
      </c>
      <c r="K206" s="197" t="s">
        <v>6</v>
      </c>
      <c r="L206" s="204"/>
      <c r="M206" s="165" t="s">
        <v>76</v>
      </c>
      <c r="N206" s="166" t="s">
        <v>84</v>
      </c>
      <c r="O206" s="167">
        <f>O205</f>
        <v>46247</v>
      </c>
      <c r="P206" s="168"/>
      <c r="Q206" s="168"/>
      <c r="R206" s="168">
        <f>O206+1</f>
        <v>46248</v>
      </c>
      <c r="S206" s="168">
        <f>WORKDAY(R206,S8,IF(S12="China",'China Holidays'!$A$2:$A$84,'Thai Holidays'!$A$2:$A$65))</f>
        <v>46248</v>
      </c>
      <c r="T206" s="168">
        <f>WORKDAY(S206,T8,IF(T12="China",'China Holidays'!$A$2:$A$84,'Thai Holidays'!$A$2:$A$65))</f>
        <v>46262</v>
      </c>
      <c r="U206" s="168">
        <f>U205</f>
        <v>46302</v>
      </c>
      <c r="V206" s="168">
        <f>WORKDAY(U206,V8,IF(V12="China",'China Holidays'!$A$2:$A$84,'Thai Holidays'!$A$2:$A$65))</f>
        <v>46317</v>
      </c>
      <c r="W206" s="168"/>
      <c r="X206" s="168">
        <f>X205</f>
        <v>46321</v>
      </c>
      <c r="Y206" s="168">
        <f>WORKDAY(X206,Y8,IF(Y12="China",'China Holidays'!$A$2:$A$84,'Thai Holidays'!$A$2:$A$65))</f>
        <v>46323</v>
      </c>
      <c r="Z206" s="168">
        <f>WORKDAY(Y206,Z8,IF(Z12="China",'China Holidays'!$A$2:$A$84,'Thai Holidays'!$A$2:$A$65))</f>
        <v>46330</v>
      </c>
      <c r="AA206" s="168">
        <f>WORKDAY(Z206,AA8,IF(AA12="China",'China Holidays'!$A$2:$A$84,'Thai Holidays'!$A$2:$A$65))</f>
        <v>46351</v>
      </c>
      <c r="AB206" s="168">
        <f>WORKDAY(AA206,AB8,IF(AB12="China",'China Holidays'!$A$2:$A$84,'Thai Holidays'!$A$2:$A$65))</f>
        <v>46366</v>
      </c>
      <c r="AC206" s="168">
        <f>AB206+15</f>
        <v>46381</v>
      </c>
      <c r="AD206" s="168">
        <f>AC206</f>
        <v>46381</v>
      </c>
      <c r="AE206" s="168">
        <f>AD206+2</f>
        <v>46383</v>
      </c>
      <c r="AF206" s="168">
        <f>AG206-15</f>
        <v>46422</v>
      </c>
      <c r="AG206" s="168">
        <f>AH206-10</f>
        <v>46437</v>
      </c>
      <c r="AH206" s="168">
        <f>AM205</f>
        <v>46447</v>
      </c>
      <c r="AI206" s="168">
        <f>AM205+3</f>
        <v>46450</v>
      </c>
      <c r="AJ206" s="168">
        <f>AM205+30</f>
        <v>46477</v>
      </c>
      <c r="AK206" s="169"/>
      <c r="AL206" s="230"/>
      <c r="AM206" s="170">
        <f>X206+AL205</f>
        <v>46447</v>
      </c>
      <c r="AN206" s="170"/>
      <c r="AO206" s="171"/>
      <c r="AP206" s="172"/>
      <c r="AQ206" s="448"/>
      <c r="AR206" s="154"/>
      <c r="AS206" s="155"/>
      <c r="AT206" s="155"/>
      <c r="AU206" s="155"/>
      <c r="AV206" s="155"/>
      <c r="AW206" s="155"/>
      <c r="AX206" s="155"/>
      <c r="AY206" s="155"/>
      <c r="AZ206" s="155"/>
      <c r="BA206" s="155"/>
      <c r="BB206" s="155"/>
      <c r="BC206" s="156"/>
      <c r="BD206" s="176"/>
      <c r="BE206" s="176"/>
    </row>
    <row r="207" spans="1:57" s="78" customFormat="1" ht="15.4" thickTop="1" thickBot="1" x14ac:dyDescent="0.45">
      <c r="A207" s="460"/>
      <c r="B207" s="177" t="s">
        <v>441</v>
      </c>
      <c r="C207" s="178" t="s">
        <v>442</v>
      </c>
      <c r="D207" s="179" t="s">
        <v>443</v>
      </c>
      <c r="E207" s="215"/>
      <c r="F207" s="215"/>
      <c r="G207" s="207" t="s">
        <v>445</v>
      </c>
      <c r="H207" s="182" t="s">
        <v>361</v>
      </c>
      <c r="I207" s="178" t="s">
        <v>138</v>
      </c>
      <c r="J207" s="178" t="s">
        <v>95</v>
      </c>
      <c r="K207" s="178" t="s">
        <v>6</v>
      </c>
      <c r="L207" s="207"/>
      <c r="M207" s="184" t="s">
        <v>76</v>
      </c>
      <c r="N207" s="185" t="s">
        <v>87</v>
      </c>
      <c r="O207" s="186"/>
      <c r="P207" s="186">
        <v>46153</v>
      </c>
      <c r="Q207" s="186">
        <v>46166</v>
      </c>
      <c r="R207" s="186"/>
      <c r="S207" s="186"/>
      <c r="T207" s="186"/>
      <c r="U207" s="186"/>
      <c r="V207" s="186"/>
      <c r="W207" s="186"/>
      <c r="X207" s="186"/>
      <c r="Y207" s="186"/>
      <c r="Z207" s="186"/>
      <c r="AA207" s="186"/>
      <c r="AB207" s="186"/>
      <c r="AC207" s="186"/>
      <c r="AD207" s="186"/>
      <c r="AE207" s="186"/>
      <c r="AF207" s="186"/>
      <c r="AG207" s="186"/>
      <c r="AH207" s="186"/>
      <c r="AI207" s="186"/>
      <c r="AJ207" s="186"/>
      <c r="AK207" s="188"/>
      <c r="AL207" s="211"/>
      <c r="AM207" s="187"/>
      <c r="AN207" s="187"/>
      <c r="AO207" s="189"/>
      <c r="AP207" s="190"/>
      <c r="AQ207" s="449"/>
      <c r="AR207" s="191"/>
      <c r="AS207" s="192"/>
      <c r="AT207" s="192"/>
      <c r="AU207" s="192"/>
      <c r="AV207" s="192"/>
      <c r="AW207" s="192"/>
      <c r="AX207" s="192"/>
      <c r="AY207" s="192"/>
      <c r="AZ207" s="192"/>
      <c r="BA207" s="192"/>
      <c r="BB207" s="192"/>
      <c r="BC207" s="156"/>
      <c r="BD207" s="176"/>
      <c r="BE207" s="176"/>
    </row>
    <row r="208" spans="1:57" s="78" customFormat="1" ht="15.75" customHeight="1" thickTop="1" thickBot="1" x14ac:dyDescent="0.45">
      <c r="A208" s="458">
        <f t="shared" ref="A208" si="50">A205+1</f>
        <v>59</v>
      </c>
      <c r="B208" s="139" t="s">
        <v>447</v>
      </c>
      <c r="C208" s="140" t="s">
        <v>448</v>
      </c>
      <c r="D208" s="194" t="s">
        <v>449</v>
      </c>
      <c r="E208" s="202" t="s">
        <v>450</v>
      </c>
      <c r="F208" s="202" t="s">
        <v>451</v>
      </c>
      <c r="G208" s="427" t="s">
        <v>452</v>
      </c>
      <c r="H208" s="143" t="s">
        <v>361</v>
      </c>
      <c r="I208" s="140" t="s">
        <v>138</v>
      </c>
      <c r="J208" s="140" t="s">
        <v>139</v>
      </c>
      <c r="K208" s="140" t="s">
        <v>6</v>
      </c>
      <c r="L208" s="203"/>
      <c r="M208" s="145" t="s">
        <v>76</v>
      </c>
      <c r="N208" s="146" t="s">
        <v>77</v>
      </c>
      <c r="O208" s="147">
        <v>46276</v>
      </c>
      <c r="P208" s="147">
        <v>46274</v>
      </c>
      <c r="Q208" s="147">
        <v>46288</v>
      </c>
      <c r="R208" s="147">
        <v>46288</v>
      </c>
      <c r="S208" s="147">
        <v>46288</v>
      </c>
      <c r="T208" s="147">
        <v>46310</v>
      </c>
      <c r="U208" s="147">
        <v>46330</v>
      </c>
      <c r="V208" s="147">
        <v>46344</v>
      </c>
      <c r="W208" s="147"/>
      <c r="X208" s="147">
        <v>46357</v>
      </c>
      <c r="Y208" s="147">
        <v>46359</v>
      </c>
      <c r="Z208" s="147">
        <v>46366</v>
      </c>
      <c r="AA208" s="147">
        <v>46387</v>
      </c>
      <c r="AB208" s="147">
        <v>46402</v>
      </c>
      <c r="AC208" s="147">
        <v>46417</v>
      </c>
      <c r="AD208" s="147">
        <v>46417</v>
      </c>
      <c r="AE208" s="147">
        <v>46419</v>
      </c>
      <c r="AF208" s="147">
        <v>46468</v>
      </c>
      <c r="AG208" s="147">
        <v>46478</v>
      </c>
      <c r="AH208" s="147">
        <v>46483</v>
      </c>
      <c r="AI208" s="147">
        <v>46486</v>
      </c>
      <c r="AJ208" s="147">
        <v>46513</v>
      </c>
      <c r="AK208" s="149">
        <v>18</v>
      </c>
      <c r="AL208" s="150">
        <v>126</v>
      </c>
      <c r="AM208" s="151">
        <v>46483</v>
      </c>
      <c r="AN208" s="151">
        <v>46507</v>
      </c>
      <c r="AO208" s="225">
        <f>AN208-AM209</f>
        <v>24</v>
      </c>
      <c r="AP208" s="235"/>
      <c r="AQ208" s="447"/>
      <c r="AR208" s="154"/>
      <c r="AS208" s="155"/>
      <c r="AT208" s="155"/>
      <c r="AU208" s="155"/>
      <c r="AV208" s="155"/>
      <c r="AW208" s="155"/>
      <c r="AX208" s="155"/>
      <c r="AY208" s="155"/>
      <c r="AZ208" s="155"/>
      <c r="BA208" s="155"/>
      <c r="BB208" s="155"/>
      <c r="BC208" s="156"/>
      <c r="BD208" s="176"/>
      <c r="BE208" s="176"/>
    </row>
    <row r="209" spans="1:57" s="78" customFormat="1" ht="15.4" thickTop="1" thickBot="1" x14ac:dyDescent="0.45">
      <c r="A209" s="459"/>
      <c r="B209" s="158" t="s">
        <v>447</v>
      </c>
      <c r="C209" s="197" t="s">
        <v>448</v>
      </c>
      <c r="D209" s="160" t="s">
        <v>449</v>
      </c>
      <c r="E209" s="205"/>
      <c r="F209" s="205"/>
      <c r="G209" s="204" t="s">
        <v>452</v>
      </c>
      <c r="H209" s="228" t="s">
        <v>361</v>
      </c>
      <c r="I209" s="159" t="s">
        <v>138</v>
      </c>
      <c r="J209" s="197" t="s">
        <v>139</v>
      </c>
      <c r="K209" s="197" t="s">
        <v>6</v>
      </c>
      <c r="L209" s="204"/>
      <c r="M209" s="165" t="s">
        <v>76</v>
      </c>
      <c r="N209" s="166" t="s">
        <v>84</v>
      </c>
      <c r="O209" s="167">
        <f>O208</f>
        <v>46276</v>
      </c>
      <c r="P209" s="168"/>
      <c r="Q209" s="168"/>
      <c r="R209" s="168">
        <f>O209+1</f>
        <v>46277</v>
      </c>
      <c r="S209" s="168">
        <f>WORKDAY(R209,S8,IF(S12="China",'China Holidays'!$A$2:$A$84,'Thai Holidays'!$A$2:$A$65))</f>
        <v>46277</v>
      </c>
      <c r="T209" s="168">
        <f>WORKDAY(S209,T8,IF(T12="China",'China Holidays'!$A$2:$A$84,'Thai Holidays'!$A$2:$A$65))</f>
        <v>46293</v>
      </c>
      <c r="U209" s="168">
        <f>U208</f>
        <v>46330</v>
      </c>
      <c r="V209" s="168">
        <f>WORKDAY(U209,V8,IF(V12="China",'China Holidays'!$A$2:$A$84,'Thai Holidays'!$A$2:$A$65))</f>
        <v>46344</v>
      </c>
      <c r="W209" s="168"/>
      <c r="X209" s="168">
        <f>WORKDAY(V209,X8,IF(X12="China",'China Holidays'!$A$2:$A$84,'Thai Holidays'!$A$2:$A$65))</f>
        <v>46357</v>
      </c>
      <c r="Y209" s="168">
        <f>WORKDAY(X209,Y8,IF(Y12="China",'China Holidays'!$A$2:$A$84,'Thai Holidays'!$A$2:$A$65))</f>
        <v>46359</v>
      </c>
      <c r="Z209" s="168">
        <f>WORKDAY(Y209,Z8,IF(Z12="China",'China Holidays'!$A$2:$A$84,'Thai Holidays'!$A$2:$A$65))</f>
        <v>46366</v>
      </c>
      <c r="AA209" s="168">
        <f>WORKDAY(Z209,AA8,IF(AA12="China",'China Holidays'!$A$2:$A$84,'Thai Holidays'!$A$2:$A$65))</f>
        <v>46387</v>
      </c>
      <c r="AB209" s="168">
        <f>WORKDAY(AA209,AB8,IF(AB12="China",'China Holidays'!$A$2:$A$84,'Thai Holidays'!$A$2:$A$65))</f>
        <v>46402</v>
      </c>
      <c r="AC209" s="168">
        <f>AB209+15</f>
        <v>46417</v>
      </c>
      <c r="AD209" s="168">
        <f>AC209</f>
        <v>46417</v>
      </c>
      <c r="AE209" s="168">
        <f>AD209+2</f>
        <v>46419</v>
      </c>
      <c r="AF209" s="168">
        <f>AG209-10</f>
        <v>46468</v>
      </c>
      <c r="AG209" s="168">
        <f>AH209-5</f>
        <v>46478</v>
      </c>
      <c r="AH209" s="168">
        <f>AM208</f>
        <v>46483</v>
      </c>
      <c r="AI209" s="168">
        <f>AM208+3</f>
        <v>46486</v>
      </c>
      <c r="AJ209" s="168">
        <f>AM208+30</f>
        <v>46513</v>
      </c>
      <c r="AK209" s="169"/>
      <c r="AL209" s="230"/>
      <c r="AM209" s="170">
        <f>X209+AL208</f>
        <v>46483</v>
      </c>
      <c r="AN209" s="170"/>
      <c r="AO209" s="171"/>
      <c r="AP209" s="172"/>
      <c r="AQ209" s="448"/>
      <c r="AR209" s="154"/>
      <c r="AS209" s="155"/>
      <c r="AT209" s="155"/>
      <c r="AU209" s="155"/>
      <c r="AV209" s="155"/>
      <c r="AW209" s="155"/>
      <c r="AX209" s="155"/>
      <c r="AY209" s="155"/>
      <c r="AZ209" s="155"/>
      <c r="BA209" s="155"/>
      <c r="BB209" s="155"/>
      <c r="BC209" s="156"/>
      <c r="BD209" s="176"/>
      <c r="BE209" s="176"/>
    </row>
    <row r="210" spans="1:57" s="78" customFormat="1" ht="15.4" thickTop="1" thickBot="1" x14ac:dyDescent="0.45">
      <c r="A210" s="460"/>
      <c r="B210" s="177" t="s">
        <v>447</v>
      </c>
      <c r="C210" s="178" t="s">
        <v>448</v>
      </c>
      <c r="D210" s="237" t="s">
        <v>449</v>
      </c>
      <c r="E210" s="208"/>
      <c r="F210" s="208"/>
      <c r="G210" s="209" t="s">
        <v>452</v>
      </c>
      <c r="H210" s="182" t="s">
        <v>361</v>
      </c>
      <c r="I210" s="178" t="s">
        <v>138</v>
      </c>
      <c r="J210" s="178" t="s">
        <v>139</v>
      </c>
      <c r="K210" s="178" t="s">
        <v>6</v>
      </c>
      <c r="L210" s="209"/>
      <c r="M210" s="184" t="s">
        <v>76</v>
      </c>
      <c r="N210" s="185" t="s">
        <v>87</v>
      </c>
      <c r="O210" s="186"/>
      <c r="P210" s="186">
        <v>46153</v>
      </c>
      <c r="Q210" s="186">
        <v>46166</v>
      </c>
      <c r="R210" s="186"/>
      <c r="S210" s="186"/>
      <c r="T210" s="186"/>
      <c r="U210" s="186"/>
      <c r="V210" s="186"/>
      <c r="W210" s="186"/>
      <c r="X210" s="186"/>
      <c r="Y210" s="186"/>
      <c r="Z210" s="186"/>
      <c r="AA210" s="186"/>
      <c r="AB210" s="186"/>
      <c r="AC210" s="186"/>
      <c r="AD210" s="186"/>
      <c r="AE210" s="186"/>
      <c r="AF210" s="186"/>
      <c r="AG210" s="186"/>
      <c r="AH210" s="186"/>
      <c r="AI210" s="186"/>
      <c r="AJ210" s="186"/>
      <c r="AK210" s="188"/>
      <c r="AL210" s="211"/>
      <c r="AM210" s="187"/>
      <c r="AN210" s="187"/>
      <c r="AO210" s="189"/>
      <c r="AP210" s="190"/>
      <c r="AQ210" s="449"/>
      <c r="AR210" s="191"/>
      <c r="AS210" s="192"/>
      <c r="AT210" s="192"/>
      <c r="AU210" s="192"/>
      <c r="AV210" s="192"/>
      <c r="AW210" s="192"/>
      <c r="AX210" s="192"/>
      <c r="AY210" s="192"/>
      <c r="AZ210" s="192"/>
      <c r="BA210" s="192"/>
      <c r="BB210" s="192"/>
      <c r="BC210" s="156"/>
      <c r="BD210" s="176"/>
      <c r="BE210" s="176"/>
    </row>
    <row r="211" spans="1:57" s="78" customFormat="1" ht="15.4" thickTop="1" thickBot="1" x14ac:dyDescent="0.45">
      <c r="A211" s="458">
        <f t="shared" ref="A211" si="51">A208+1</f>
        <v>60</v>
      </c>
      <c r="B211" s="139" t="s">
        <v>453</v>
      </c>
      <c r="C211" s="140" t="s">
        <v>454</v>
      </c>
      <c r="D211" s="340" t="s">
        <v>455</v>
      </c>
      <c r="E211" s="341" t="s">
        <v>456</v>
      </c>
      <c r="F211" s="341" t="s">
        <v>193</v>
      </c>
      <c r="G211" s="427" t="s">
        <v>452</v>
      </c>
      <c r="H211" s="143" t="s">
        <v>361</v>
      </c>
      <c r="I211" s="140" t="s">
        <v>138</v>
      </c>
      <c r="J211" s="140" t="s">
        <v>139</v>
      </c>
      <c r="K211" s="140" t="s">
        <v>6</v>
      </c>
      <c r="L211" s="203"/>
      <c r="M211" s="145" t="s">
        <v>76</v>
      </c>
      <c r="N211" s="146" t="s">
        <v>77</v>
      </c>
      <c r="O211" s="147">
        <v>46276</v>
      </c>
      <c r="P211" s="147">
        <v>46274</v>
      </c>
      <c r="Q211" s="147">
        <v>46288</v>
      </c>
      <c r="R211" s="147">
        <v>46288</v>
      </c>
      <c r="S211" s="147">
        <v>46288</v>
      </c>
      <c r="T211" s="147">
        <v>46310</v>
      </c>
      <c r="U211" s="147">
        <v>46330</v>
      </c>
      <c r="V211" s="147">
        <v>46344</v>
      </c>
      <c r="W211" s="147"/>
      <c r="X211" s="147">
        <v>46357</v>
      </c>
      <c r="Y211" s="147">
        <v>46359</v>
      </c>
      <c r="Z211" s="147">
        <v>46366</v>
      </c>
      <c r="AA211" s="147">
        <v>46387</v>
      </c>
      <c r="AB211" s="147">
        <v>46402</v>
      </c>
      <c r="AC211" s="147">
        <v>46417</v>
      </c>
      <c r="AD211" s="147">
        <v>46417</v>
      </c>
      <c r="AE211" s="147">
        <v>46419</v>
      </c>
      <c r="AF211" s="147">
        <v>46468</v>
      </c>
      <c r="AG211" s="147">
        <v>46478</v>
      </c>
      <c r="AH211" s="147">
        <v>46483</v>
      </c>
      <c r="AI211" s="147">
        <v>46486</v>
      </c>
      <c r="AJ211" s="147">
        <v>46513</v>
      </c>
      <c r="AK211" s="149">
        <v>18</v>
      </c>
      <c r="AL211" s="150">
        <v>126</v>
      </c>
      <c r="AM211" s="151">
        <v>46483</v>
      </c>
      <c r="AN211" s="151">
        <v>46507</v>
      </c>
      <c r="AO211" s="225">
        <f>AN211-AM212</f>
        <v>24</v>
      </c>
      <c r="AP211" s="235"/>
      <c r="AQ211" s="447"/>
      <c r="AR211" s="154"/>
      <c r="AS211" s="155"/>
      <c r="AT211" s="155"/>
      <c r="AU211" s="155"/>
      <c r="AV211" s="155"/>
      <c r="AW211" s="155"/>
      <c r="AX211" s="155"/>
      <c r="AY211" s="155"/>
      <c r="AZ211" s="155"/>
      <c r="BA211" s="155"/>
      <c r="BB211" s="155"/>
      <c r="BC211" s="156"/>
      <c r="BD211" s="176"/>
      <c r="BE211" s="176"/>
    </row>
    <row r="212" spans="1:57" s="78" customFormat="1" ht="15.4" thickTop="1" thickBot="1" x14ac:dyDescent="0.45">
      <c r="A212" s="459"/>
      <c r="B212" s="158" t="s">
        <v>453</v>
      </c>
      <c r="C212" s="197" t="s">
        <v>454</v>
      </c>
      <c r="D212" s="160" t="s">
        <v>455</v>
      </c>
      <c r="E212" s="161" t="s">
        <v>457</v>
      </c>
      <c r="F212" s="161" t="s">
        <v>193</v>
      </c>
      <c r="G212" s="204" t="s">
        <v>452</v>
      </c>
      <c r="H212" s="228" t="s">
        <v>361</v>
      </c>
      <c r="I212" s="159" t="s">
        <v>138</v>
      </c>
      <c r="J212" s="197" t="s">
        <v>139</v>
      </c>
      <c r="K212" s="197" t="s">
        <v>6</v>
      </c>
      <c r="L212" s="204"/>
      <c r="M212" s="165" t="s">
        <v>76</v>
      </c>
      <c r="N212" s="166" t="s">
        <v>84</v>
      </c>
      <c r="O212" s="167">
        <f>O211</f>
        <v>46276</v>
      </c>
      <c r="P212" s="168"/>
      <c r="Q212" s="168"/>
      <c r="R212" s="168">
        <f>O212+1</f>
        <v>46277</v>
      </c>
      <c r="S212" s="168">
        <f>WORKDAY(R212,S8,IF(S12="China",'China Holidays'!$A$2:$A$84,'Thai Holidays'!$A$2:$A$65))</f>
        <v>46277</v>
      </c>
      <c r="T212" s="168">
        <f>WORKDAY(S212,T8,IF(T12="China",'China Holidays'!$A$2:$A$84,'Thai Holidays'!$A$2:$A$65))</f>
        <v>46293</v>
      </c>
      <c r="U212" s="168">
        <f>U211</f>
        <v>46330</v>
      </c>
      <c r="V212" s="168">
        <f>WORKDAY(U212,V8,IF(V12="China",'China Holidays'!$A$2:$A$84,'Thai Holidays'!$A$2:$A$65))</f>
        <v>46344</v>
      </c>
      <c r="W212" s="168"/>
      <c r="X212" s="168">
        <f>WORKDAY(V212,X8,IF(X12="China",'China Holidays'!$A$2:$A$84,'Thai Holidays'!$A$2:$A$65))</f>
        <v>46357</v>
      </c>
      <c r="Y212" s="168">
        <f>WORKDAY(X212,Y8,IF(Y12="China",'China Holidays'!$A$2:$A$84,'Thai Holidays'!$A$2:$A$65))</f>
        <v>46359</v>
      </c>
      <c r="Z212" s="168">
        <f>WORKDAY(Y212,Z8,IF(Z12="China",'China Holidays'!$A$2:$A$84,'Thai Holidays'!$A$2:$A$65))</f>
        <v>46366</v>
      </c>
      <c r="AA212" s="168">
        <f>WORKDAY(Z212,AA8,IF(AA12="China",'China Holidays'!$A$2:$A$84,'Thai Holidays'!$A$2:$A$65))</f>
        <v>46387</v>
      </c>
      <c r="AB212" s="168">
        <f>WORKDAY(AA212,AB8,IF(AB12="China",'China Holidays'!$A$2:$A$84,'Thai Holidays'!$A$2:$A$65))</f>
        <v>46402</v>
      </c>
      <c r="AC212" s="168">
        <f>AB212+15</f>
        <v>46417</v>
      </c>
      <c r="AD212" s="168">
        <f>AC212</f>
        <v>46417</v>
      </c>
      <c r="AE212" s="168">
        <f>AD212+2</f>
        <v>46419</v>
      </c>
      <c r="AF212" s="168">
        <f>AG212-10</f>
        <v>46468</v>
      </c>
      <c r="AG212" s="168">
        <f>AH212-5</f>
        <v>46478</v>
      </c>
      <c r="AH212" s="168">
        <f>AM211</f>
        <v>46483</v>
      </c>
      <c r="AI212" s="168">
        <f>AM211+3</f>
        <v>46486</v>
      </c>
      <c r="AJ212" s="168">
        <f>AM211+30</f>
        <v>46513</v>
      </c>
      <c r="AK212" s="169"/>
      <c r="AL212" s="230"/>
      <c r="AM212" s="170">
        <f>X212+AL211</f>
        <v>46483</v>
      </c>
      <c r="AN212" s="170"/>
      <c r="AO212" s="171"/>
      <c r="AP212" s="172"/>
      <c r="AQ212" s="448"/>
      <c r="AR212" s="154"/>
      <c r="AS212" s="155"/>
      <c r="AT212" s="155"/>
      <c r="AU212" s="155"/>
      <c r="AV212" s="155"/>
      <c r="AW212" s="155"/>
      <c r="AX212" s="155"/>
      <c r="AY212" s="155"/>
      <c r="AZ212" s="155"/>
      <c r="BA212" s="155"/>
      <c r="BB212" s="155"/>
      <c r="BC212" s="156"/>
      <c r="BD212" s="176"/>
      <c r="BE212" s="176"/>
    </row>
    <row r="213" spans="1:57" s="78" customFormat="1" ht="15.4" thickTop="1" thickBot="1" x14ac:dyDescent="0.45">
      <c r="A213" s="460"/>
      <c r="B213" s="177" t="s">
        <v>453</v>
      </c>
      <c r="C213" s="178" t="s">
        <v>454</v>
      </c>
      <c r="D213" s="342" t="s">
        <v>455</v>
      </c>
      <c r="E213" s="343" t="s">
        <v>458</v>
      </c>
      <c r="F213" s="343" t="s">
        <v>193</v>
      </c>
      <c r="G213" s="209" t="s">
        <v>452</v>
      </c>
      <c r="H213" s="182" t="s">
        <v>361</v>
      </c>
      <c r="I213" s="178" t="s">
        <v>138</v>
      </c>
      <c r="J213" s="178" t="s">
        <v>139</v>
      </c>
      <c r="K213" s="178" t="s">
        <v>6</v>
      </c>
      <c r="L213" s="209"/>
      <c r="M213" s="184" t="s">
        <v>76</v>
      </c>
      <c r="N213" s="185" t="s">
        <v>87</v>
      </c>
      <c r="O213" s="186"/>
      <c r="P213" s="186">
        <v>46153</v>
      </c>
      <c r="Q213" s="186">
        <v>46172</v>
      </c>
      <c r="R213" s="186"/>
      <c r="S213" s="186"/>
      <c r="T213" s="186"/>
      <c r="U213" s="186"/>
      <c r="V213" s="186"/>
      <c r="W213" s="186"/>
      <c r="X213" s="186"/>
      <c r="Y213" s="186"/>
      <c r="Z213" s="186"/>
      <c r="AA213" s="186"/>
      <c r="AB213" s="186"/>
      <c r="AC213" s="186"/>
      <c r="AD213" s="186"/>
      <c r="AE213" s="186"/>
      <c r="AF213" s="186"/>
      <c r="AG213" s="186"/>
      <c r="AH213" s="186"/>
      <c r="AI213" s="186"/>
      <c r="AJ213" s="186"/>
      <c r="AK213" s="188"/>
      <c r="AL213" s="211"/>
      <c r="AM213" s="187"/>
      <c r="AN213" s="187"/>
      <c r="AO213" s="189"/>
      <c r="AP213" s="190"/>
      <c r="AQ213" s="449"/>
      <c r="AR213" s="191"/>
      <c r="AS213" s="192"/>
      <c r="AT213" s="192"/>
      <c r="AU213" s="192"/>
      <c r="AV213" s="192"/>
      <c r="AW213" s="192"/>
      <c r="AX213" s="192"/>
      <c r="AY213" s="192"/>
      <c r="AZ213" s="192"/>
      <c r="BA213" s="192"/>
      <c r="BB213" s="192"/>
      <c r="BC213" s="156"/>
      <c r="BD213" s="176"/>
      <c r="BE213" s="176"/>
    </row>
    <row r="214" spans="1:57" s="78" customFormat="1" ht="15.4" thickTop="1" thickBot="1" x14ac:dyDescent="0.45">
      <c r="A214" s="458">
        <f t="shared" ref="A214" si="52">A211+1</f>
        <v>61</v>
      </c>
      <c r="B214" s="139" t="s">
        <v>459</v>
      </c>
      <c r="C214" s="140" t="s">
        <v>460</v>
      </c>
      <c r="D214" s="194" t="s">
        <v>461</v>
      </c>
      <c r="E214" s="202" t="s">
        <v>462</v>
      </c>
      <c r="F214" s="202" t="s">
        <v>70</v>
      </c>
      <c r="G214" s="427" t="s">
        <v>452</v>
      </c>
      <c r="H214" s="143" t="s">
        <v>361</v>
      </c>
      <c r="I214" s="140" t="s">
        <v>138</v>
      </c>
      <c r="J214" s="140" t="s">
        <v>95</v>
      </c>
      <c r="K214" s="140" t="s">
        <v>6</v>
      </c>
      <c r="L214" s="203"/>
      <c r="M214" s="145" t="s">
        <v>76</v>
      </c>
      <c r="N214" s="146" t="s">
        <v>77</v>
      </c>
      <c r="O214" s="147">
        <v>46276</v>
      </c>
      <c r="P214" s="147">
        <v>46274</v>
      </c>
      <c r="Q214" s="147">
        <v>46288</v>
      </c>
      <c r="R214" s="147">
        <v>46288</v>
      </c>
      <c r="S214" s="147">
        <v>46288</v>
      </c>
      <c r="T214" s="147">
        <v>46310</v>
      </c>
      <c r="U214" s="147">
        <v>46330</v>
      </c>
      <c r="V214" s="147">
        <v>46344</v>
      </c>
      <c r="W214" s="147"/>
      <c r="X214" s="147">
        <v>46357</v>
      </c>
      <c r="Y214" s="147">
        <v>46359</v>
      </c>
      <c r="Z214" s="147">
        <v>46366</v>
      </c>
      <c r="AA214" s="147">
        <v>46387</v>
      </c>
      <c r="AB214" s="147">
        <v>46402</v>
      </c>
      <c r="AC214" s="147">
        <v>46417</v>
      </c>
      <c r="AD214" s="147">
        <v>46417</v>
      </c>
      <c r="AE214" s="147">
        <v>46419</v>
      </c>
      <c r="AF214" s="147">
        <v>46468</v>
      </c>
      <c r="AG214" s="147">
        <v>46478</v>
      </c>
      <c r="AH214" s="147">
        <v>46483</v>
      </c>
      <c r="AI214" s="147">
        <v>46486</v>
      </c>
      <c r="AJ214" s="147">
        <v>46513</v>
      </c>
      <c r="AK214" s="149">
        <v>18</v>
      </c>
      <c r="AL214" s="150">
        <v>126</v>
      </c>
      <c r="AM214" s="151">
        <v>46483</v>
      </c>
      <c r="AN214" s="151">
        <v>46507</v>
      </c>
      <c r="AO214" s="225">
        <f>AN214-AM215</f>
        <v>24</v>
      </c>
      <c r="AP214" s="235"/>
      <c r="AQ214" s="447"/>
      <c r="AR214" s="154"/>
      <c r="AS214" s="155"/>
      <c r="AT214" s="155"/>
      <c r="AU214" s="155"/>
      <c r="AV214" s="155"/>
      <c r="AW214" s="155"/>
      <c r="AX214" s="155"/>
      <c r="AY214" s="155"/>
      <c r="AZ214" s="155"/>
      <c r="BA214" s="155"/>
      <c r="BB214" s="155"/>
      <c r="BC214" s="156"/>
      <c r="BD214" s="176"/>
      <c r="BE214" s="176"/>
    </row>
    <row r="215" spans="1:57" s="78" customFormat="1" ht="15.4" thickTop="1" thickBot="1" x14ac:dyDescent="0.45">
      <c r="A215" s="459"/>
      <c r="B215" s="158" t="s">
        <v>459</v>
      </c>
      <c r="C215" s="197" t="s">
        <v>460</v>
      </c>
      <c r="D215" s="160" t="s">
        <v>461</v>
      </c>
      <c r="E215" s="205"/>
      <c r="F215" s="205"/>
      <c r="G215" s="204" t="s">
        <v>452</v>
      </c>
      <c r="H215" s="228" t="s">
        <v>361</v>
      </c>
      <c r="I215" s="159" t="s">
        <v>138</v>
      </c>
      <c r="J215" s="197" t="s">
        <v>95</v>
      </c>
      <c r="K215" s="197" t="s">
        <v>6</v>
      </c>
      <c r="L215" s="204"/>
      <c r="M215" s="165" t="s">
        <v>76</v>
      </c>
      <c r="N215" s="166" t="s">
        <v>84</v>
      </c>
      <c r="O215" s="167">
        <f>O214</f>
        <v>46276</v>
      </c>
      <c r="P215" s="168"/>
      <c r="Q215" s="168"/>
      <c r="R215" s="168">
        <f>O215+1</f>
        <v>46277</v>
      </c>
      <c r="S215" s="168">
        <f>WORKDAY(R215,S8,IF(S12="China",'China Holidays'!$A$2:$A$84,'Thai Holidays'!$A$2:$A$65))</f>
        <v>46277</v>
      </c>
      <c r="T215" s="168">
        <f>WORKDAY(S215,T8,IF(T12="China",'China Holidays'!$A$2:$A$84,'Thai Holidays'!$A$2:$A$65))</f>
        <v>46293</v>
      </c>
      <c r="U215" s="168">
        <f>U214</f>
        <v>46330</v>
      </c>
      <c r="V215" s="168">
        <f>WORKDAY(U215,V8,IF(V12="China",'China Holidays'!$A$2:$A$84,'Thai Holidays'!$A$2:$A$65))</f>
        <v>46344</v>
      </c>
      <c r="W215" s="168"/>
      <c r="X215" s="168">
        <f>WORKDAY(V215,X8,IF(X12="China",'China Holidays'!$A$2:$A$84,'Thai Holidays'!$A$2:$A$65))</f>
        <v>46357</v>
      </c>
      <c r="Y215" s="168">
        <f>WORKDAY(X215,Y8,IF(Y12="China",'China Holidays'!$A$2:$A$84,'Thai Holidays'!$A$2:$A$65))</f>
        <v>46359</v>
      </c>
      <c r="Z215" s="168">
        <f>WORKDAY(Y215,Z8,IF(Z12="China",'China Holidays'!$A$2:$A$84,'Thai Holidays'!$A$2:$A$65))</f>
        <v>46366</v>
      </c>
      <c r="AA215" s="168">
        <f>WORKDAY(Z215,AA8,IF(AA12="China",'China Holidays'!$A$2:$A$84,'Thai Holidays'!$A$2:$A$65))</f>
        <v>46387</v>
      </c>
      <c r="AB215" s="168">
        <f>WORKDAY(AA215,AB8,IF(AB12="China",'China Holidays'!$A$2:$A$84,'Thai Holidays'!$A$2:$A$65))</f>
        <v>46402</v>
      </c>
      <c r="AC215" s="168">
        <f>AB215+15</f>
        <v>46417</v>
      </c>
      <c r="AD215" s="168">
        <f>AC215</f>
        <v>46417</v>
      </c>
      <c r="AE215" s="168">
        <f>AD215+2</f>
        <v>46419</v>
      </c>
      <c r="AF215" s="168">
        <f>AG215-10</f>
        <v>46468</v>
      </c>
      <c r="AG215" s="168">
        <f>AH215-5</f>
        <v>46478</v>
      </c>
      <c r="AH215" s="168">
        <f>AM214</f>
        <v>46483</v>
      </c>
      <c r="AI215" s="168">
        <f>AM214+3</f>
        <v>46486</v>
      </c>
      <c r="AJ215" s="168">
        <f>AM214+30</f>
        <v>46513</v>
      </c>
      <c r="AK215" s="169"/>
      <c r="AL215" s="230"/>
      <c r="AM215" s="170">
        <f>X215+AL214</f>
        <v>46483</v>
      </c>
      <c r="AN215" s="170"/>
      <c r="AO215" s="171"/>
      <c r="AP215" s="172"/>
      <c r="AQ215" s="448"/>
      <c r="AR215" s="154"/>
      <c r="AS215" s="155"/>
      <c r="AT215" s="155"/>
      <c r="AU215" s="155"/>
      <c r="AV215" s="155"/>
      <c r="AW215" s="155"/>
      <c r="AX215" s="155"/>
      <c r="AY215" s="155"/>
      <c r="AZ215" s="155"/>
      <c r="BA215" s="155"/>
      <c r="BB215" s="155"/>
      <c r="BC215" s="156"/>
      <c r="BD215" s="176"/>
      <c r="BE215" s="176"/>
    </row>
    <row r="216" spans="1:57" s="78" customFormat="1" ht="15.4" thickTop="1" thickBot="1" x14ac:dyDescent="0.45">
      <c r="A216" s="460"/>
      <c r="B216" s="177" t="s">
        <v>459</v>
      </c>
      <c r="C216" s="178" t="s">
        <v>460</v>
      </c>
      <c r="D216" s="237" t="s">
        <v>461</v>
      </c>
      <c r="E216" s="208"/>
      <c r="F216" s="208"/>
      <c r="G216" s="209" t="s">
        <v>452</v>
      </c>
      <c r="H216" s="182" t="s">
        <v>361</v>
      </c>
      <c r="I216" s="178" t="s">
        <v>138</v>
      </c>
      <c r="J216" s="178" t="s">
        <v>95</v>
      </c>
      <c r="K216" s="178" t="s">
        <v>6</v>
      </c>
      <c r="L216" s="209"/>
      <c r="M216" s="184" t="s">
        <v>76</v>
      </c>
      <c r="N216" s="185" t="s">
        <v>87</v>
      </c>
      <c r="O216" s="186"/>
      <c r="P216" s="186">
        <v>46153</v>
      </c>
      <c r="Q216" s="186">
        <v>46172</v>
      </c>
      <c r="R216" s="186"/>
      <c r="S216" s="186"/>
      <c r="T216" s="186"/>
      <c r="U216" s="186"/>
      <c r="V216" s="186"/>
      <c r="W216" s="186"/>
      <c r="X216" s="186"/>
      <c r="Y216" s="186"/>
      <c r="Z216" s="186"/>
      <c r="AA216" s="186"/>
      <c r="AB216" s="186"/>
      <c r="AC216" s="186"/>
      <c r="AD216" s="186"/>
      <c r="AE216" s="186"/>
      <c r="AF216" s="186"/>
      <c r="AG216" s="186"/>
      <c r="AH216" s="186"/>
      <c r="AI216" s="186"/>
      <c r="AJ216" s="186"/>
      <c r="AK216" s="188"/>
      <c r="AL216" s="211"/>
      <c r="AM216" s="187"/>
      <c r="AN216" s="187"/>
      <c r="AO216" s="189"/>
      <c r="AP216" s="190"/>
      <c r="AQ216" s="449"/>
      <c r="AR216" s="191"/>
      <c r="AS216" s="192"/>
      <c r="AT216" s="192"/>
      <c r="AU216" s="192"/>
      <c r="AV216" s="192"/>
      <c r="AW216" s="192"/>
      <c r="AX216" s="192"/>
      <c r="AY216" s="192"/>
      <c r="AZ216" s="192"/>
      <c r="BA216" s="192"/>
      <c r="BB216" s="192"/>
      <c r="BC216" s="156"/>
      <c r="BD216" s="176"/>
      <c r="BE216" s="176"/>
    </row>
    <row r="217" spans="1:57" s="78" customFormat="1" ht="15.4" thickTop="1" thickBot="1" x14ac:dyDescent="0.45">
      <c r="A217" s="458">
        <f t="shared" ref="A217" si="53">A214+1</f>
        <v>62</v>
      </c>
      <c r="B217" s="139" t="s">
        <v>463</v>
      </c>
      <c r="C217" s="140" t="s">
        <v>464</v>
      </c>
      <c r="D217" s="139" t="s">
        <v>465</v>
      </c>
      <c r="E217" s="142" t="s">
        <v>466</v>
      </c>
      <c r="F217" s="142" t="s">
        <v>70</v>
      </c>
      <c r="G217" s="427" t="s">
        <v>452</v>
      </c>
      <c r="H217" s="143" t="s">
        <v>361</v>
      </c>
      <c r="I217" s="140" t="s">
        <v>138</v>
      </c>
      <c r="J217" s="140" t="s">
        <v>95</v>
      </c>
      <c r="K217" s="140" t="s">
        <v>6</v>
      </c>
      <c r="L217" s="203"/>
      <c r="M217" s="145" t="s">
        <v>76</v>
      </c>
      <c r="N217" s="146" t="s">
        <v>77</v>
      </c>
      <c r="O217" s="147">
        <v>46276</v>
      </c>
      <c r="P217" s="147">
        <v>46274</v>
      </c>
      <c r="Q217" s="147">
        <v>46288</v>
      </c>
      <c r="R217" s="147">
        <v>46288</v>
      </c>
      <c r="S217" s="147">
        <v>46288</v>
      </c>
      <c r="T217" s="147">
        <v>46310</v>
      </c>
      <c r="U217" s="147">
        <v>46330</v>
      </c>
      <c r="V217" s="147">
        <v>46344</v>
      </c>
      <c r="W217" s="147"/>
      <c r="X217" s="147">
        <v>46357</v>
      </c>
      <c r="Y217" s="147">
        <v>46359</v>
      </c>
      <c r="Z217" s="147">
        <v>46366</v>
      </c>
      <c r="AA217" s="147">
        <v>46387</v>
      </c>
      <c r="AB217" s="147">
        <v>46402</v>
      </c>
      <c r="AC217" s="147">
        <v>46417</v>
      </c>
      <c r="AD217" s="147">
        <v>46417</v>
      </c>
      <c r="AE217" s="147">
        <v>46419</v>
      </c>
      <c r="AF217" s="147">
        <v>46468</v>
      </c>
      <c r="AG217" s="147">
        <v>46478</v>
      </c>
      <c r="AH217" s="147">
        <v>46483</v>
      </c>
      <c r="AI217" s="147">
        <v>46486</v>
      </c>
      <c r="AJ217" s="147">
        <v>46513</v>
      </c>
      <c r="AK217" s="149">
        <v>18</v>
      </c>
      <c r="AL217" s="150">
        <v>126</v>
      </c>
      <c r="AM217" s="151">
        <v>46483</v>
      </c>
      <c r="AN217" s="151">
        <v>46507</v>
      </c>
      <c r="AO217" s="225">
        <f>AN217-AM218</f>
        <v>24</v>
      </c>
      <c r="AP217" s="235"/>
      <c r="AQ217" s="447"/>
      <c r="AR217" s="154"/>
      <c r="AS217" s="155"/>
      <c r="AT217" s="155"/>
      <c r="AU217" s="155"/>
      <c r="AV217" s="155"/>
      <c r="AW217" s="155"/>
      <c r="AX217" s="155"/>
      <c r="AY217" s="155"/>
      <c r="AZ217" s="155"/>
      <c r="BA217" s="155"/>
      <c r="BB217" s="155"/>
      <c r="BC217" s="156"/>
      <c r="BD217" s="176"/>
      <c r="BE217" s="176"/>
    </row>
    <row r="218" spans="1:57" s="78" customFormat="1" ht="15.4" thickTop="1" thickBot="1" x14ac:dyDescent="0.45">
      <c r="A218" s="459"/>
      <c r="B218" s="158" t="s">
        <v>463</v>
      </c>
      <c r="C218" s="197" t="s">
        <v>464</v>
      </c>
      <c r="D218" s="158" t="s">
        <v>465</v>
      </c>
      <c r="E218" s="161"/>
      <c r="F218" s="161"/>
      <c r="G218" s="204" t="s">
        <v>452</v>
      </c>
      <c r="H218" s="228" t="s">
        <v>361</v>
      </c>
      <c r="I218" s="159" t="s">
        <v>138</v>
      </c>
      <c r="J218" s="197" t="s">
        <v>95</v>
      </c>
      <c r="K218" s="197" t="s">
        <v>6</v>
      </c>
      <c r="L218" s="204"/>
      <c r="M218" s="165" t="s">
        <v>76</v>
      </c>
      <c r="N218" s="166" t="s">
        <v>84</v>
      </c>
      <c r="O218" s="167">
        <f>O217</f>
        <v>46276</v>
      </c>
      <c r="P218" s="168"/>
      <c r="Q218" s="168"/>
      <c r="R218" s="168">
        <f>O218+1</f>
        <v>46277</v>
      </c>
      <c r="S218" s="168">
        <f>WORKDAY(R218,S8,IF(S12="China",'China Holidays'!$A$2:$A$84,'Thai Holidays'!$A$2:$A$65))</f>
        <v>46277</v>
      </c>
      <c r="T218" s="168">
        <f>WORKDAY(S218,T8,IF(T12="China",'China Holidays'!$A$2:$A$84,'Thai Holidays'!$A$2:$A$65))</f>
        <v>46293</v>
      </c>
      <c r="U218" s="168">
        <f>U217</f>
        <v>46330</v>
      </c>
      <c r="V218" s="168">
        <f>WORKDAY(U218,V8,IF(V12="China",'China Holidays'!$A$2:$A$84,'Thai Holidays'!$A$2:$A$65))</f>
        <v>46344</v>
      </c>
      <c r="W218" s="168"/>
      <c r="X218" s="168">
        <f>WORKDAY(V218,X8,IF(X12="China",'China Holidays'!$A$2:$A$84,'Thai Holidays'!$A$2:$A$65))</f>
        <v>46357</v>
      </c>
      <c r="Y218" s="168">
        <f>WORKDAY(X218,Y8,IF(Y12="China",'China Holidays'!$A$2:$A$84,'Thai Holidays'!$A$2:$A$65))</f>
        <v>46359</v>
      </c>
      <c r="Z218" s="168">
        <f>WORKDAY(Y218,Z8,IF(Z12="China",'China Holidays'!$A$2:$A$84,'Thai Holidays'!$A$2:$A$65))</f>
        <v>46366</v>
      </c>
      <c r="AA218" s="168">
        <f>WORKDAY(Z218,AA8,IF(AA12="China",'China Holidays'!$A$2:$A$84,'Thai Holidays'!$A$2:$A$65))</f>
        <v>46387</v>
      </c>
      <c r="AB218" s="168">
        <f>WORKDAY(AA218,AB8,IF(AB12="China",'China Holidays'!$A$2:$A$84,'Thai Holidays'!$A$2:$A$65))</f>
        <v>46402</v>
      </c>
      <c r="AC218" s="168">
        <f>AB218+15</f>
        <v>46417</v>
      </c>
      <c r="AD218" s="168">
        <f>AC218</f>
        <v>46417</v>
      </c>
      <c r="AE218" s="168">
        <f>AD218+2</f>
        <v>46419</v>
      </c>
      <c r="AF218" s="168">
        <f>AG218-10</f>
        <v>46468</v>
      </c>
      <c r="AG218" s="168">
        <f>AH218-5</f>
        <v>46478</v>
      </c>
      <c r="AH218" s="168">
        <f>AM217</f>
        <v>46483</v>
      </c>
      <c r="AI218" s="168">
        <f>AM217+3</f>
        <v>46486</v>
      </c>
      <c r="AJ218" s="168">
        <f>AM217+30</f>
        <v>46513</v>
      </c>
      <c r="AK218" s="169"/>
      <c r="AL218" s="230"/>
      <c r="AM218" s="170">
        <f>X218+AL217</f>
        <v>46483</v>
      </c>
      <c r="AN218" s="170"/>
      <c r="AO218" s="171"/>
      <c r="AP218" s="172"/>
      <c r="AQ218" s="448"/>
      <c r="AR218" s="154"/>
      <c r="AS218" s="155"/>
      <c r="AT218" s="155"/>
      <c r="AU218" s="155"/>
      <c r="AV218" s="155"/>
      <c r="AW218" s="155"/>
      <c r="AX218" s="155"/>
      <c r="AY218" s="155"/>
      <c r="AZ218" s="155"/>
      <c r="BA218" s="155"/>
      <c r="BB218" s="155"/>
      <c r="BC218" s="156"/>
      <c r="BD218" s="176"/>
      <c r="BE218" s="176"/>
    </row>
    <row r="219" spans="1:57" s="78" customFormat="1" ht="15.4" thickTop="1" thickBot="1" x14ac:dyDescent="0.45">
      <c r="A219" s="460"/>
      <c r="B219" s="177" t="s">
        <v>463</v>
      </c>
      <c r="C219" s="178" t="s">
        <v>464</v>
      </c>
      <c r="D219" s="319" t="s">
        <v>465</v>
      </c>
      <c r="E219" s="243"/>
      <c r="F219" s="243"/>
      <c r="G219" s="209" t="s">
        <v>452</v>
      </c>
      <c r="H219" s="182" t="s">
        <v>361</v>
      </c>
      <c r="I219" s="178" t="s">
        <v>138</v>
      </c>
      <c r="J219" s="178" t="s">
        <v>95</v>
      </c>
      <c r="K219" s="178" t="s">
        <v>6</v>
      </c>
      <c r="L219" s="209"/>
      <c r="M219" s="184" t="s">
        <v>76</v>
      </c>
      <c r="N219" s="185" t="s">
        <v>87</v>
      </c>
      <c r="O219" s="186"/>
      <c r="P219" s="186">
        <v>46153</v>
      </c>
      <c r="Q219" s="186">
        <v>46172</v>
      </c>
      <c r="R219" s="186"/>
      <c r="S219" s="186"/>
      <c r="T219" s="186"/>
      <c r="U219" s="186"/>
      <c r="V219" s="186"/>
      <c r="W219" s="186"/>
      <c r="X219" s="186"/>
      <c r="Y219" s="186"/>
      <c r="Z219" s="186"/>
      <c r="AA219" s="186"/>
      <c r="AB219" s="186"/>
      <c r="AC219" s="186"/>
      <c r="AD219" s="186"/>
      <c r="AE219" s="186"/>
      <c r="AF219" s="186"/>
      <c r="AG219" s="186"/>
      <c r="AH219" s="186"/>
      <c r="AI219" s="186"/>
      <c r="AJ219" s="186"/>
      <c r="AK219" s="188"/>
      <c r="AL219" s="211"/>
      <c r="AM219" s="187"/>
      <c r="AN219" s="187"/>
      <c r="AO219" s="189"/>
      <c r="AP219" s="190"/>
      <c r="AQ219" s="449"/>
      <c r="AR219" s="191"/>
      <c r="AS219" s="192"/>
      <c r="AT219" s="192"/>
      <c r="AU219" s="192"/>
      <c r="AV219" s="192"/>
      <c r="AW219" s="192"/>
      <c r="AX219" s="192"/>
      <c r="AY219" s="192"/>
      <c r="AZ219" s="192"/>
      <c r="BA219" s="192"/>
      <c r="BB219" s="192"/>
      <c r="BC219" s="156"/>
      <c r="BD219" s="176"/>
      <c r="BE219" s="176"/>
    </row>
    <row r="220" spans="1:57" s="78" customFormat="1" ht="21" thickTop="1" thickBot="1" x14ac:dyDescent="0.45">
      <c r="A220" s="458">
        <f t="shared" ref="A220" si="54">A217+1</f>
        <v>63</v>
      </c>
      <c r="B220" s="139" t="s">
        <v>467</v>
      </c>
      <c r="C220" s="140" t="s">
        <v>468</v>
      </c>
      <c r="D220" s="344" t="s">
        <v>469</v>
      </c>
      <c r="E220" s="142" t="s">
        <v>470</v>
      </c>
      <c r="F220" s="142" t="s">
        <v>193</v>
      </c>
      <c r="G220" s="427" t="s">
        <v>452</v>
      </c>
      <c r="H220" s="143" t="s">
        <v>361</v>
      </c>
      <c r="I220" s="140" t="s">
        <v>138</v>
      </c>
      <c r="J220" s="140" t="s">
        <v>95</v>
      </c>
      <c r="K220" s="140" t="s">
        <v>6</v>
      </c>
      <c r="L220" s="203"/>
      <c r="M220" s="145" t="s">
        <v>76</v>
      </c>
      <c r="N220" s="146" t="s">
        <v>77</v>
      </c>
      <c r="O220" s="147">
        <v>46276</v>
      </c>
      <c r="P220" s="147">
        <v>46274</v>
      </c>
      <c r="Q220" s="147">
        <v>46288</v>
      </c>
      <c r="R220" s="147">
        <v>46288</v>
      </c>
      <c r="S220" s="147">
        <v>46288</v>
      </c>
      <c r="T220" s="147">
        <v>46310</v>
      </c>
      <c r="U220" s="147">
        <v>46330</v>
      </c>
      <c r="V220" s="147">
        <v>46344</v>
      </c>
      <c r="W220" s="147"/>
      <c r="X220" s="147">
        <v>46357</v>
      </c>
      <c r="Y220" s="147">
        <v>46359</v>
      </c>
      <c r="Z220" s="147">
        <v>46366</v>
      </c>
      <c r="AA220" s="147">
        <v>46387</v>
      </c>
      <c r="AB220" s="147">
        <v>46402</v>
      </c>
      <c r="AC220" s="147">
        <v>46417</v>
      </c>
      <c r="AD220" s="147">
        <v>46417</v>
      </c>
      <c r="AE220" s="147">
        <v>46419</v>
      </c>
      <c r="AF220" s="147">
        <v>46468</v>
      </c>
      <c r="AG220" s="147">
        <v>46478</v>
      </c>
      <c r="AH220" s="147">
        <v>46483</v>
      </c>
      <c r="AI220" s="147">
        <v>46486</v>
      </c>
      <c r="AJ220" s="147">
        <v>46513</v>
      </c>
      <c r="AK220" s="149">
        <v>18</v>
      </c>
      <c r="AL220" s="150">
        <v>126</v>
      </c>
      <c r="AM220" s="151">
        <v>46483</v>
      </c>
      <c r="AN220" s="151">
        <v>46507</v>
      </c>
      <c r="AO220" s="225">
        <f>AN220-AM221</f>
        <v>24</v>
      </c>
      <c r="AP220" s="235"/>
      <c r="AQ220" s="447"/>
      <c r="AR220" s="154"/>
      <c r="AS220" s="155"/>
      <c r="AT220" s="155"/>
      <c r="AU220" s="155"/>
      <c r="AV220" s="155"/>
      <c r="AW220" s="155"/>
      <c r="AX220" s="155"/>
      <c r="AY220" s="155"/>
      <c r="AZ220" s="155"/>
      <c r="BA220" s="155"/>
      <c r="BB220" s="155"/>
      <c r="BC220" s="156"/>
      <c r="BD220" s="176"/>
      <c r="BE220" s="176"/>
    </row>
    <row r="221" spans="1:57" s="78" customFormat="1" ht="21" thickTop="1" thickBot="1" x14ac:dyDescent="0.45">
      <c r="A221" s="459"/>
      <c r="B221" s="158" t="s">
        <v>467</v>
      </c>
      <c r="C221" s="197" t="s">
        <v>468</v>
      </c>
      <c r="D221" s="345" t="s">
        <v>469</v>
      </c>
      <c r="E221" s="346" t="s">
        <v>471</v>
      </c>
      <c r="F221" s="346" t="s">
        <v>130</v>
      </c>
      <c r="G221" s="204" t="s">
        <v>452</v>
      </c>
      <c r="H221" s="228" t="s">
        <v>361</v>
      </c>
      <c r="I221" s="159" t="s">
        <v>138</v>
      </c>
      <c r="J221" s="197" t="s">
        <v>95</v>
      </c>
      <c r="K221" s="197" t="s">
        <v>6</v>
      </c>
      <c r="L221" s="204"/>
      <c r="M221" s="165" t="s">
        <v>76</v>
      </c>
      <c r="N221" s="166" t="s">
        <v>84</v>
      </c>
      <c r="O221" s="167">
        <f>O220</f>
        <v>46276</v>
      </c>
      <c r="P221" s="168"/>
      <c r="Q221" s="168"/>
      <c r="R221" s="168">
        <f>O221+1</f>
        <v>46277</v>
      </c>
      <c r="S221" s="168">
        <f>WORKDAY(R221,S8,IF(S12="China",'China Holidays'!$A$2:$A$84,'Thai Holidays'!$A$2:$A$65))</f>
        <v>46277</v>
      </c>
      <c r="T221" s="168">
        <f>WORKDAY(S221,T8,IF(T12="China",'China Holidays'!$A$2:$A$84,'Thai Holidays'!$A$2:$A$65))</f>
        <v>46293</v>
      </c>
      <c r="U221" s="168">
        <f>U220</f>
        <v>46330</v>
      </c>
      <c r="V221" s="168">
        <f>WORKDAY(U221,V8,IF(V12="China",'China Holidays'!$A$2:$A$84,'Thai Holidays'!$A$2:$A$65))</f>
        <v>46344</v>
      </c>
      <c r="W221" s="168"/>
      <c r="X221" s="168">
        <f>WORKDAY(V221,X8,IF(X12="China",'China Holidays'!$A$2:$A$84,'Thai Holidays'!$A$2:$A$65))</f>
        <v>46357</v>
      </c>
      <c r="Y221" s="168">
        <f>WORKDAY(X221,Y8,IF(Y12="China",'China Holidays'!$A$2:$A$84,'Thai Holidays'!$A$2:$A$65))</f>
        <v>46359</v>
      </c>
      <c r="Z221" s="168">
        <f>WORKDAY(Y221,Z8,IF(Z12="China",'China Holidays'!$A$2:$A$84,'Thai Holidays'!$A$2:$A$65))</f>
        <v>46366</v>
      </c>
      <c r="AA221" s="168">
        <f>WORKDAY(Z221,AA8,IF(AA12="China",'China Holidays'!$A$2:$A$84,'Thai Holidays'!$A$2:$A$65))</f>
        <v>46387</v>
      </c>
      <c r="AB221" s="168">
        <f>WORKDAY(AA221,AB8,IF(AB12="China",'China Holidays'!$A$2:$A$84,'Thai Holidays'!$A$2:$A$65))</f>
        <v>46402</v>
      </c>
      <c r="AC221" s="168">
        <f>AB221+15</f>
        <v>46417</v>
      </c>
      <c r="AD221" s="168">
        <f>AC221</f>
        <v>46417</v>
      </c>
      <c r="AE221" s="168">
        <f>AD221+2</f>
        <v>46419</v>
      </c>
      <c r="AF221" s="168">
        <f>AG221-10</f>
        <v>46468</v>
      </c>
      <c r="AG221" s="168">
        <f>AH221-5</f>
        <v>46478</v>
      </c>
      <c r="AH221" s="168">
        <f>AM220</f>
        <v>46483</v>
      </c>
      <c r="AI221" s="168">
        <f>AM220+3</f>
        <v>46486</v>
      </c>
      <c r="AJ221" s="168">
        <f>AM220+30</f>
        <v>46513</v>
      </c>
      <c r="AK221" s="169"/>
      <c r="AL221" s="230"/>
      <c r="AM221" s="170">
        <f>X221+AL220</f>
        <v>46483</v>
      </c>
      <c r="AN221" s="170"/>
      <c r="AO221" s="171"/>
      <c r="AP221" s="172"/>
      <c r="AQ221" s="448"/>
      <c r="AR221" s="154"/>
      <c r="AS221" s="155"/>
      <c r="AT221" s="155"/>
      <c r="AU221" s="155"/>
      <c r="AV221" s="155"/>
      <c r="AW221" s="155"/>
      <c r="AX221" s="155"/>
      <c r="AY221" s="155"/>
      <c r="AZ221" s="155"/>
      <c r="BA221" s="155"/>
      <c r="BB221" s="155"/>
      <c r="BC221" s="156"/>
      <c r="BD221" s="176"/>
      <c r="BE221" s="176"/>
    </row>
    <row r="222" spans="1:57" s="78" customFormat="1" ht="21" thickTop="1" thickBot="1" x14ac:dyDescent="0.45">
      <c r="A222" s="460"/>
      <c r="B222" s="177" t="s">
        <v>467</v>
      </c>
      <c r="C222" s="178" t="s">
        <v>468</v>
      </c>
      <c r="D222" s="319" t="s">
        <v>469</v>
      </c>
      <c r="E222" s="243"/>
      <c r="F222" s="243"/>
      <c r="G222" s="209" t="s">
        <v>452</v>
      </c>
      <c r="H222" s="182" t="s">
        <v>361</v>
      </c>
      <c r="I222" s="178" t="s">
        <v>138</v>
      </c>
      <c r="J222" s="178" t="s">
        <v>95</v>
      </c>
      <c r="K222" s="178" t="s">
        <v>6</v>
      </c>
      <c r="L222" s="209"/>
      <c r="M222" s="184" t="s">
        <v>76</v>
      </c>
      <c r="N222" s="185" t="s">
        <v>87</v>
      </c>
      <c r="O222" s="186"/>
      <c r="P222" s="186">
        <v>46154</v>
      </c>
      <c r="Q222" s="186">
        <v>46182</v>
      </c>
      <c r="R222" s="186"/>
      <c r="S222" s="186"/>
      <c r="T222" s="186"/>
      <c r="U222" s="186"/>
      <c r="V222" s="186"/>
      <c r="W222" s="186"/>
      <c r="X222" s="186"/>
      <c r="Y222" s="186"/>
      <c r="Z222" s="186"/>
      <c r="AA222" s="186"/>
      <c r="AB222" s="186"/>
      <c r="AC222" s="186"/>
      <c r="AD222" s="186"/>
      <c r="AE222" s="186"/>
      <c r="AF222" s="186"/>
      <c r="AG222" s="186"/>
      <c r="AH222" s="186"/>
      <c r="AI222" s="186"/>
      <c r="AJ222" s="186"/>
      <c r="AK222" s="188"/>
      <c r="AL222" s="211"/>
      <c r="AM222" s="187"/>
      <c r="AN222" s="187"/>
      <c r="AO222" s="189"/>
      <c r="AP222" s="190"/>
      <c r="AQ222" s="449"/>
      <c r="AR222" s="191"/>
      <c r="AS222" s="192"/>
      <c r="AT222" s="192"/>
      <c r="AU222" s="192"/>
      <c r="AV222" s="192"/>
      <c r="AW222" s="192"/>
      <c r="AX222" s="192"/>
      <c r="AY222" s="192"/>
      <c r="AZ222" s="192"/>
      <c r="BA222" s="192"/>
      <c r="BB222" s="192"/>
      <c r="BC222" s="156"/>
      <c r="BD222" s="176"/>
      <c r="BE222" s="176"/>
    </row>
    <row r="223" spans="1:57" s="78" customFormat="1" ht="15.4" thickTop="1" thickBot="1" x14ac:dyDescent="0.45">
      <c r="A223" s="458">
        <f t="shared" ref="A223" si="55">A220+1</f>
        <v>64</v>
      </c>
      <c r="B223" s="139" t="s">
        <v>472</v>
      </c>
      <c r="C223" s="140" t="s">
        <v>473</v>
      </c>
      <c r="D223" s="194" t="s">
        <v>474</v>
      </c>
      <c r="E223" s="202" t="s">
        <v>475</v>
      </c>
      <c r="F223" s="202" t="s">
        <v>193</v>
      </c>
      <c r="G223" s="427" t="s">
        <v>452</v>
      </c>
      <c r="H223" s="143" t="s">
        <v>361</v>
      </c>
      <c r="I223" s="140" t="s">
        <v>138</v>
      </c>
      <c r="J223" s="140" t="s">
        <v>95</v>
      </c>
      <c r="K223" s="140" t="s">
        <v>6</v>
      </c>
      <c r="L223" s="203"/>
      <c r="M223" s="145" t="s">
        <v>76</v>
      </c>
      <c r="N223" s="146" t="s">
        <v>77</v>
      </c>
      <c r="O223" s="147">
        <v>46276</v>
      </c>
      <c r="P223" s="147">
        <v>46274</v>
      </c>
      <c r="Q223" s="147">
        <v>46288</v>
      </c>
      <c r="R223" s="147">
        <v>46288</v>
      </c>
      <c r="S223" s="147">
        <v>46288</v>
      </c>
      <c r="T223" s="147">
        <v>46310</v>
      </c>
      <c r="U223" s="147">
        <v>46330</v>
      </c>
      <c r="V223" s="147">
        <v>46344</v>
      </c>
      <c r="W223" s="147"/>
      <c r="X223" s="147">
        <v>46357</v>
      </c>
      <c r="Y223" s="147">
        <v>46359</v>
      </c>
      <c r="Z223" s="147">
        <v>46366</v>
      </c>
      <c r="AA223" s="147">
        <v>46387</v>
      </c>
      <c r="AB223" s="147">
        <v>46402</v>
      </c>
      <c r="AC223" s="147">
        <v>46417</v>
      </c>
      <c r="AD223" s="147">
        <v>46417</v>
      </c>
      <c r="AE223" s="147">
        <v>46419</v>
      </c>
      <c r="AF223" s="147">
        <v>46468</v>
      </c>
      <c r="AG223" s="147">
        <v>46478</v>
      </c>
      <c r="AH223" s="147">
        <v>46483</v>
      </c>
      <c r="AI223" s="147">
        <v>46486</v>
      </c>
      <c r="AJ223" s="147">
        <v>46513</v>
      </c>
      <c r="AK223" s="149">
        <v>18</v>
      </c>
      <c r="AL223" s="150">
        <v>126</v>
      </c>
      <c r="AM223" s="151">
        <v>46483</v>
      </c>
      <c r="AN223" s="151">
        <v>46507</v>
      </c>
      <c r="AO223" s="225">
        <f>AN223-AM224</f>
        <v>24</v>
      </c>
      <c r="AP223" s="235"/>
      <c r="AQ223" s="447"/>
      <c r="AR223" s="154"/>
      <c r="AS223" s="155"/>
      <c r="AT223" s="155"/>
      <c r="AU223" s="155"/>
      <c r="AV223" s="155"/>
      <c r="AW223" s="155"/>
      <c r="AX223" s="155"/>
      <c r="AY223" s="155"/>
      <c r="AZ223" s="155"/>
      <c r="BA223" s="155"/>
      <c r="BB223" s="155"/>
      <c r="BC223" s="156"/>
      <c r="BD223" s="176"/>
      <c r="BE223" s="176"/>
    </row>
    <row r="224" spans="1:57" s="78" customFormat="1" ht="19.899999999999999" customHeight="1" thickTop="1" thickBot="1" x14ac:dyDescent="0.45">
      <c r="A224" s="459"/>
      <c r="B224" s="158" t="s">
        <v>472</v>
      </c>
      <c r="C224" s="197" t="s">
        <v>473</v>
      </c>
      <c r="D224" s="160" t="s">
        <v>474</v>
      </c>
      <c r="E224" s="347" t="s">
        <v>476</v>
      </c>
      <c r="F224" s="205" t="s">
        <v>477</v>
      </c>
      <c r="G224" s="204" t="s">
        <v>452</v>
      </c>
      <c r="H224" s="228" t="s">
        <v>361</v>
      </c>
      <c r="I224" s="159" t="s">
        <v>138</v>
      </c>
      <c r="J224" s="197" t="s">
        <v>95</v>
      </c>
      <c r="K224" s="197" t="s">
        <v>6</v>
      </c>
      <c r="L224" s="204"/>
      <c r="M224" s="165" t="s">
        <v>76</v>
      </c>
      <c r="N224" s="166" t="s">
        <v>84</v>
      </c>
      <c r="O224" s="167">
        <f>O223</f>
        <v>46276</v>
      </c>
      <c r="P224" s="168"/>
      <c r="Q224" s="168"/>
      <c r="R224" s="168">
        <f>O224+1</f>
        <v>46277</v>
      </c>
      <c r="S224" s="168">
        <f>WORKDAY(R224,S8,IF(S12="China",'China Holidays'!$A$2:$A$84,'Thai Holidays'!$A$2:$A$65))</f>
        <v>46277</v>
      </c>
      <c r="T224" s="168">
        <f>WORKDAY(S224,T8,IF(T12="China",'China Holidays'!$A$2:$A$84,'Thai Holidays'!$A$2:$A$65))</f>
        <v>46293</v>
      </c>
      <c r="U224" s="168">
        <f>U223</f>
        <v>46330</v>
      </c>
      <c r="V224" s="168">
        <f>WORKDAY(U224,V8,IF(V12="China",'China Holidays'!$A$2:$A$84,'Thai Holidays'!$A$2:$A$65))</f>
        <v>46344</v>
      </c>
      <c r="W224" s="168"/>
      <c r="X224" s="168">
        <f>WORKDAY(V224,X8,IF(X12="China",'China Holidays'!$A$2:$A$84,'Thai Holidays'!$A$2:$A$65))</f>
        <v>46357</v>
      </c>
      <c r="Y224" s="168">
        <f>WORKDAY(X224,Y8,IF(Y12="China",'China Holidays'!$A$2:$A$84,'Thai Holidays'!$A$2:$A$65))</f>
        <v>46359</v>
      </c>
      <c r="Z224" s="168">
        <f>WORKDAY(Y224,Z8,IF(Z12="China",'China Holidays'!$A$2:$A$84,'Thai Holidays'!$A$2:$A$65))</f>
        <v>46366</v>
      </c>
      <c r="AA224" s="168">
        <f>WORKDAY(Z224,AA8,IF(AA12="China",'China Holidays'!$A$2:$A$84,'Thai Holidays'!$A$2:$A$65))</f>
        <v>46387</v>
      </c>
      <c r="AB224" s="168">
        <f>WORKDAY(AA224,AB8,IF(AB12="China",'China Holidays'!$A$2:$A$84,'Thai Holidays'!$A$2:$A$65))</f>
        <v>46402</v>
      </c>
      <c r="AC224" s="168">
        <f>AB224+15</f>
        <v>46417</v>
      </c>
      <c r="AD224" s="168">
        <f>AC224</f>
        <v>46417</v>
      </c>
      <c r="AE224" s="168">
        <f>AD224+2</f>
        <v>46419</v>
      </c>
      <c r="AF224" s="168">
        <f>AG224-10</f>
        <v>46468</v>
      </c>
      <c r="AG224" s="168">
        <f>AH224-5</f>
        <v>46478</v>
      </c>
      <c r="AH224" s="168">
        <f>AM223</f>
        <v>46483</v>
      </c>
      <c r="AI224" s="168">
        <f>AM223+3</f>
        <v>46486</v>
      </c>
      <c r="AJ224" s="168">
        <f>AM223+30</f>
        <v>46513</v>
      </c>
      <c r="AK224" s="169"/>
      <c r="AL224" s="230"/>
      <c r="AM224" s="170">
        <f>X224+AL223</f>
        <v>46483</v>
      </c>
      <c r="AN224" s="170"/>
      <c r="AO224" s="171"/>
      <c r="AP224" s="172"/>
      <c r="AQ224" s="448"/>
      <c r="AR224" s="154"/>
      <c r="AS224" s="155"/>
      <c r="AT224" s="155"/>
      <c r="AU224" s="155"/>
      <c r="AV224" s="155"/>
      <c r="AW224" s="155"/>
      <c r="AX224" s="155"/>
      <c r="AY224" s="155"/>
      <c r="AZ224" s="155"/>
      <c r="BA224" s="155"/>
      <c r="BB224" s="155"/>
      <c r="BC224" s="156"/>
      <c r="BD224" s="176"/>
      <c r="BE224" s="176"/>
    </row>
    <row r="225" spans="1:57" s="78" customFormat="1" ht="18.75" customHeight="1" thickTop="1" thickBot="1" x14ac:dyDescent="0.45">
      <c r="A225" s="460"/>
      <c r="B225" s="177" t="s">
        <v>472</v>
      </c>
      <c r="C225" s="178" t="s">
        <v>473</v>
      </c>
      <c r="D225" s="237" t="s">
        <v>474</v>
      </c>
      <c r="E225" s="208"/>
      <c r="F225" s="208"/>
      <c r="G225" s="209" t="s">
        <v>452</v>
      </c>
      <c r="H225" s="182" t="s">
        <v>361</v>
      </c>
      <c r="I225" s="178" t="s">
        <v>138</v>
      </c>
      <c r="J225" s="178" t="s">
        <v>95</v>
      </c>
      <c r="K225" s="178" t="s">
        <v>6</v>
      </c>
      <c r="L225" s="209"/>
      <c r="M225" s="184" t="s">
        <v>76</v>
      </c>
      <c r="N225" s="185" t="s">
        <v>87</v>
      </c>
      <c r="O225" s="186"/>
      <c r="P225" s="186">
        <v>46153</v>
      </c>
      <c r="Q225" s="186">
        <v>46172</v>
      </c>
      <c r="R225" s="186"/>
      <c r="S225" s="186"/>
      <c r="T225" s="186"/>
      <c r="U225" s="186"/>
      <c r="V225" s="186"/>
      <c r="W225" s="186"/>
      <c r="X225" s="186"/>
      <c r="Y225" s="186"/>
      <c r="Z225" s="186"/>
      <c r="AA225" s="186"/>
      <c r="AB225" s="186"/>
      <c r="AC225" s="186"/>
      <c r="AD225" s="186"/>
      <c r="AE225" s="186"/>
      <c r="AF225" s="186"/>
      <c r="AG225" s="186"/>
      <c r="AH225" s="186"/>
      <c r="AI225" s="186"/>
      <c r="AJ225" s="186"/>
      <c r="AK225" s="188"/>
      <c r="AL225" s="211"/>
      <c r="AM225" s="187"/>
      <c r="AN225" s="187"/>
      <c r="AO225" s="189"/>
      <c r="AP225" s="190"/>
      <c r="AQ225" s="449"/>
      <c r="AR225" s="191"/>
      <c r="AS225" s="192"/>
      <c r="AT225" s="192"/>
      <c r="AU225" s="192"/>
      <c r="AV225" s="192"/>
      <c r="AW225" s="192"/>
      <c r="AX225" s="192"/>
      <c r="AY225" s="192"/>
      <c r="AZ225" s="192"/>
      <c r="BA225" s="192"/>
      <c r="BB225" s="192"/>
      <c r="BC225" s="156"/>
      <c r="BD225" s="176"/>
      <c r="BE225" s="176"/>
    </row>
    <row r="226" spans="1:57" s="78" customFormat="1" ht="15.4" thickTop="1" thickBot="1" x14ac:dyDescent="0.45">
      <c r="A226" s="458">
        <f t="shared" ref="A226" si="56">A223+1</f>
        <v>65</v>
      </c>
      <c r="B226" s="139" t="s">
        <v>478</v>
      </c>
      <c r="C226" s="140" t="s">
        <v>479</v>
      </c>
      <c r="D226" s="340" t="s">
        <v>480</v>
      </c>
      <c r="E226" s="348" t="s">
        <v>481</v>
      </c>
      <c r="F226" s="348" t="s">
        <v>70</v>
      </c>
      <c r="G226" s="427" t="s">
        <v>452</v>
      </c>
      <c r="H226" s="143" t="s">
        <v>361</v>
      </c>
      <c r="I226" s="140" t="s">
        <v>138</v>
      </c>
      <c r="J226" s="140" t="s">
        <v>95</v>
      </c>
      <c r="K226" s="140" t="s">
        <v>6</v>
      </c>
      <c r="L226" s="203"/>
      <c r="M226" s="145" t="s">
        <v>76</v>
      </c>
      <c r="N226" s="146" t="s">
        <v>77</v>
      </c>
      <c r="O226" s="147">
        <v>46276</v>
      </c>
      <c r="P226" s="147">
        <v>46274</v>
      </c>
      <c r="Q226" s="147">
        <v>46288</v>
      </c>
      <c r="R226" s="147">
        <v>46288</v>
      </c>
      <c r="S226" s="147">
        <v>46288</v>
      </c>
      <c r="T226" s="147">
        <v>46310</v>
      </c>
      <c r="U226" s="147">
        <v>46330</v>
      </c>
      <c r="V226" s="147">
        <v>46344</v>
      </c>
      <c r="W226" s="147"/>
      <c r="X226" s="147">
        <v>46357</v>
      </c>
      <c r="Y226" s="147">
        <v>46359</v>
      </c>
      <c r="Z226" s="147">
        <v>46366</v>
      </c>
      <c r="AA226" s="147">
        <v>46387</v>
      </c>
      <c r="AB226" s="147">
        <v>46402</v>
      </c>
      <c r="AC226" s="147">
        <v>46417</v>
      </c>
      <c r="AD226" s="147">
        <v>46417</v>
      </c>
      <c r="AE226" s="147">
        <v>46419</v>
      </c>
      <c r="AF226" s="147">
        <v>46468</v>
      </c>
      <c r="AG226" s="147">
        <v>46478</v>
      </c>
      <c r="AH226" s="147">
        <v>46483</v>
      </c>
      <c r="AI226" s="147">
        <v>46486</v>
      </c>
      <c r="AJ226" s="147">
        <v>46513</v>
      </c>
      <c r="AK226" s="149">
        <v>18</v>
      </c>
      <c r="AL226" s="150">
        <v>126</v>
      </c>
      <c r="AM226" s="151">
        <v>46483</v>
      </c>
      <c r="AN226" s="151">
        <v>46507</v>
      </c>
      <c r="AO226" s="225">
        <f>AN226-AM227</f>
        <v>24</v>
      </c>
      <c r="AP226" s="235"/>
      <c r="AQ226" s="447"/>
      <c r="AR226" s="154"/>
      <c r="AS226" s="155"/>
      <c r="AT226" s="155"/>
      <c r="AU226" s="155"/>
      <c r="AV226" s="155"/>
      <c r="AW226" s="155"/>
      <c r="AX226" s="155"/>
      <c r="AY226" s="155"/>
      <c r="AZ226" s="155"/>
      <c r="BA226" s="155"/>
      <c r="BB226" s="155"/>
      <c r="BC226" s="156"/>
      <c r="BD226" s="176"/>
      <c r="BE226" s="176"/>
    </row>
    <row r="227" spans="1:57" s="78" customFormat="1" ht="15.4" thickTop="1" thickBot="1" x14ac:dyDescent="0.45">
      <c r="A227" s="459"/>
      <c r="B227" s="158" t="s">
        <v>478</v>
      </c>
      <c r="C227" s="197" t="s">
        <v>479</v>
      </c>
      <c r="D227" s="160" t="s">
        <v>480</v>
      </c>
      <c r="E227" s="205" t="s">
        <v>482</v>
      </c>
      <c r="F227" s="205" t="s">
        <v>483</v>
      </c>
      <c r="G227" s="204" t="s">
        <v>452</v>
      </c>
      <c r="H227" s="228" t="s">
        <v>361</v>
      </c>
      <c r="I227" s="159" t="s">
        <v>138</v>
      </c>
      <c r="J227" s="197" t="s">
        <v>95</v>
      </c>
      <c r="K227" s="197" t="s">
        <v>6</v>
      </c>
      <c r="L227" s="204"/>
      <c r="M227" s="165" t="s">
        <v>76</v>
      </c>
      <c r="N227" s="166" t="s">
        <v>84</v>
      </c>
      <c r="O227" s="167">
        <f>O226</f>
        <v>46276</v>
      </c>
      <c r="P227" s="168"/>
      <c r="Q227" s="168"/>
      <c r="R227" s="168">
        <f>O227+1</f>
        <v>46277</v>
      </c>
      <c r="S227" s="168">
        <f>WORKDAY(R227,S8,IF(S12="China",'China Holidays'!$A$2:$A$84,'Thai Holidays'!$A$2:$A$65))</f>
        <v>46277</v>
      </c>
      <c r="T227" s="168">
        <f>WORKDAY(S227,T8,IF(T12="China",'China Holidays'!$A$2:$A$84,'Thai Holidays'!$A$2:$A$65))</f>
        <v>46293</v>
      </c>
      <c r="U227" s="168">
        <f>U226</f>
        <v>46330</v>
      </c>
      <c r="V227" s="168">
        <f>WORKDAY(U227,V8,IF(V12="China",'China Holidays'!$A$2:$A$84,'Thai Holidays'!$A$2:$A$65))</f>
        <v>46344</v>
      </c>
      <c r="W227" s="168"/>
      <c r="X227" s="168">
        <f>WORKDAY(V227,X8,IF(X12="China",'China Holidays'!$A$2:$A$84,'Thai Holidays'!$A$2:$A$65))</f>
        <v>46357</v>
      </c>
      <c r="Y227" s="168">
        <f>WORKDAY(X227,Y8,IF(Y12="China",'China Holidays'!$A$2:$A$84,'Thai Holidays'!$A$2:$A$65))</f>
        <v>46359</v>
      </c>
      <c r="Z227" s="168">
        <f>WORKDAY(Y227,Z8,IF(Z12="China",'China Holidays'!$A$2:$A$84,'Thai Holidays'!$A$2:$A$65))</f>
        <v>46366</v>
      </c>
      <c r="AA227" s="168">
        <f>WORKDAY(Z227,AA8,IF(AA12="China",'China Holidays'!$A$2:$A$84,'Thai Holidays'!$A$2:$A$65))</f>
        <v>46387</v>
      </c>
      <c r="AB227" s="168">
        <f>WORKDAY(AA227,AB8,IF(AB12="China",'China Holidays'!$A$2:$A$84,'Thai Holidays'!$A$2:$A$65))</f>
        <v>46402</v>
      </c>
      <c r="AC227" s="168">
        <f>AB227+15</f>
        <v>46417</v>
      </c>
      <c r="AD227" s="168">
        <f>AC227</f>
        <v>46417</v>
      </c>
      <c r="AE227" s="168">
        <f>AD227+2</f>
        <v>46419</v>
      </c>
      <c r="AF227" s="168">
        <f>AG227-10</f>
        <v>46468</v>
      </c>
      <c r="AG227" s="168">
        <f>AH227-5</f>
        <v>46478</v>
      </c>
      <c r="AH227" s="168">
        <f>AM226</f>
        <v>46483</v>
      </c>
      <c r="AI227" s="168">
        <f>AM226+3</f>
        <v>46486</v>
      </c>
      <c r="AJ227" s="168">
        <f>AM226+30</f>
        <v>46513</v>
      </c>
      <c r="AK227" s="169"/>
      <c r="AL227" s="230"/>
      <c r="AM227" s="170">
        <f>X227+AL226</f>
        <v>46483</v>
      </c>
      <c r="AN227" s="170"/>
      <c r="AO227" s="171"/>
      <c r="AP227" s="172"/>
      <c r="AQ227" s="448"/>
      <c r="AR227" s="154"/>
      <c r="AS227" s="155"/>
      <c r="AT227" s="155"/>
      <c r="AU227" s="155"/>
      <c r="AV227" s="155"/>
      <c r="AW227" s="155"/>
      <c r="AX227" s="155"/>
      <c r="AY227" s="155"/>
      <c r="AZ227" s="155"/>
      <c r="BA227" s="155"/>
      <c r="BB227" s="155"/>
      <c r="BC227" s="156"/>
      <c r="BD227" s="176"/>
      <c r="BE227" s="176"/>
    </row>
    <row r="228" spans="1:57" s="78" customFormat="1" ht="15.4" thickTop="1" thickBot="1" x14ac:dyDescent="0.45">
      <c r="A228" s="460"/>
      <c r="B228" s="177" t="s">
        <v>478</v>
      </c>
      <c r="C228" s="178" t="s">
        <v>479</v>
      </c>
      <c r="D228" s="342" t="s">
        <v>480</v>
      </c>
      <c r="E228" s="349" t="s">
        <v>484</v>
      </c>
      <c r="F228" s="349" t="s">
        <v>70</v>
      </c>
      <c r="G228" s="209" t="s">
        <v>452</v>
      </c>
      <c r="H228" s="182" t="s">
        <v>361</v>
      </c>
      <c r="I228" s="178" t="s">
        <v>138</v>
      </c>
      <c r="J228" s="178" t="s">
        <v>95</v>
      </c>
      <c r="K228" s="178" t="s">
        <v>6</v>
      </c>
      <c r="L228" s="209"/>
      <c r="M228" s="184" t="s">
        <v>76</v>
      </c>
      <c r="N228" s="185" t="s">
        <v>87</v>
      </c>
      <c r="O228" s="186"/>
      <c r="P228" s="186">
        <v>46153</v>
      </c>
      <c r="Q228" s="186">
        <v>46172</v>
      </c>
      <c r="R228" s="186"/>
      <c r="S228" s="186"/>
      <c r="T228" s="186"/>
      <c r="U228" s="186"/>
      <c r="V228" s="186"/>
      <c r="W228" s="186"/>
      <c r="X228" s="186"/>
      <c r="Y228" s="186"/>
      <c r="Z228" s="186"/>
      <c r="AA228" s="186"/>
      <c r="AB228" s="186"/>
      <c r="AC228" s="186"/>
      <c r="AD228" s="186"/>
      <c r="AE228" s="186"/>
      <c r="AF228" s="186"/>
      <c r="AG228" s="186"/>
      <c r="AH228" s="186"/>
      <c r="AI228" s="186"/>
      <c r="AJ228" s="186"/>
      <c r="AK228" s="188"/>
      <c r="AL228" s="211"/>
      <c r="AM228" s="187"/>
      <c r="AN228" s="187"/>
      <c r="AO228" s="189"/>
      <c r="AP228" s="190"/>
      <c r="AQ228" s="449"/>
      <c r="AR228" s="191"/>
      <c r="AS228" s="192"/>
      <c r="AT228" s="192"/>
      <c r="AU228" s="192"/>
      <c r="AV228" s="192"/>
      <c r="AW228" s="192"/>
      <c r="AX228" s="192"/>
      <c r="AY228" s="192"/>
      <c r="AZ228" s="192"/>
      <c r="BA228" s="192"/>
      <c r="BB228" s="192"/>
      <c r="BC228" s="156"/>
      <c r="BD228" s="176"/>
      <c r="BE228" s="176"/>
    </row>
    <row r="229" spans="1:57" s="78" customFormat="1" ht="15.4" thickTop="1" thickBot="1" x14ac:dyDescent="0.45">
      <c r="A229" s="458">
        <f t="shared" ref="A229" si="57">A226+1</f>
        <v>66</v>
      </c>
      <c r="B229" s="139" t="s">
        <v>485</v>
      </c>
      <c r="C229" s="140" t="s">
        <v>486</v>
      </c>
      <c r="D229" s="233" t="s">
        <v>487</v>
      </c>
      <c r="E229" s="202"/>
      <c r="F229" s="202"/>
      <c r="G229" s="427" t="s">
        <v>452</v>
      </c>
      <c r="H229" s="143" t="s">
        <v>361</v>
      </c>
      <c r="I229" s="140" t="s">
        <v>138</v>
      </c>
      <c r="J229" s="140" t="s">
        <v>95</v>
      </c>
      <c r="K229" s="140" t="s">
        <v>6</v>
      </c>
      <c r="L229" s="203"/>
      <c r="M229" s="145" t="s">
        <v>76</v>
      </c>
      <c r="N229" s="146" t="s">
        <v>77</v>
      </c>
      <c r="O229" s="147">
        <v>46276</v>
      </c>
      <c r="P229" s="147">
        <v>46274</v>
      </c>
      <c r="Q229" s="147">
        <v>46288</v>
      </c>
      <c r="R229" s="147">
        <v>46288</v>
      </c>
      <c r="S229" s="147">
        <v>46288</v>
      </c>
      <c r="T229" s="148">
        <v>46310</v>
      </c>
      <c r="U229" s="147">
        <v>46330</v>
      </c>
      <c r="V229" s="147">
        <v>46344</v>
      </c>
      <c r="W229" s="147"/>
      <c r="X229" s="147">
        <v>46357</v>
      </c>
      <c r="Y229" s="147">
        <v>46359</v>
      </c>
      <c r="Z229" s="147">
        <v>46366</v>
      </c>
      <c r="AA229" s="147">
        <v>46387</v>
      </c>
      <c r="AB229" s="147">
        <v>46402</v>
      </c>
      <c r="AC229" s="147">
        <v>46417</v>
      </c>
      <c r="AD229" s="147">
        <v>46417</v>
      </c>
      <c r="AE229" s="147">
        <v>46419</v>
      </c>
      <c r="AF229" s="147">
        <v>46468</v>
      </c>
      <c r="AG229" s="147">
        <v>46478</v>
      </c>
      <c r="AH229" s="147">
        <v>46483</v>
      </c>
      <c r="AI229" s="147">
        <v>46486</v>
      </c>
      <c r="AJ229" s="147">
        <v>46513</v>
      </c>
      <c r="AK229" s="149">
        <v>18</v>
      </c>
      <c r="AL229" s="150">
        <v>126</v>
      </c>
      <c r="AM229" s="151">
        <v>46483</v>
      </c>
      <c r="AN229" s="151">
        <v>46507</v>
      </c>
      <c r="AO229" s="225">
        <f>AN229-AM230</f>
        <v>88</v>
      </c>
      <c r="AP229" s="235"/>
      <c r="AQ229" s="447"/>
      <c r="AR229" s="154"/>
      <c r="AS229" s="155"/>
      <c r="AT229" s="155"/>
      <c r="AU229" s="155"/>
      <c r="AV229" s="155"/>
      <c r="AW229" s="155"/>
      <c r="AX229" s="155"/>
      <c r="AY229" s="155"/>
      <c r="AZ229" s="155"/>
      <c r="BA229" s="155"/>
      <c r="BB229" s="155"/>
      <c r="BC229" s="156"/>
      <c r="BD229" s="176"/>
      <c r="BE229" s="176"/>
    </row>
    <row r="230" spans="1:57" s="78" customFormat="1" ht="15.4" thickTop="1" thickBot="1" x14ac:dyDescent="0.45">
      <c r="A230" s="459"/>
      <c r="B230" s="158" t="s">
        <v>485</v>
      </c>
      <c r="C230" s="197" t="s">
        <v>486</v>
      </c>
      <c r="D230" s="158" t="s">
        <v>487</v>
      </c>
      <c r="E230" s="205"/>
      <c r="F230" s="205"/>
      <c r="G230" s="204" t="s">
        <v>452</v>
      </c>
      <c r="H230" s="228" t="s">
        <v>361</v>
      </c>
      <c r="I230" s="159" t="s">
        <v>138</v>
      </c>
      <c r="J230" s="197" t="s">
        <v>95</v>
      </c>
      <c r="K230" s="197" t="s">
        <v>6</v>
      </c>
      <c r="L230" s="204"/>
      <c r="M230" s="165" t="s">
        <v>76</v>
      </c>
      <c r="N230" s="166" t="s">
        <v>84</v>
      </c>
      <c r="O230" s="167"/>
      <c r="P230" s="168"/>
      <c r="Q230" s="170"/>
      <c r="R230" s="168"/>
      <c r="S230" s="168"/>
      <c r="T230" s="168">
        <f>WORKDAY(S231,T7,IF(T12="China",'China Holidays'!$A$2:$A$84,'Thai Holidays'!$A$2:$A$65))</f>
        <v>46246</v>
      </c>
      <c r="U230" s="168">
        <f>WORKDAY(T230,U8,IF(U12="China",'China Holidays'!$A$2:$A$84,'Thai Holidays'!$A$2:$A$65))</f>
        <v>46265</v>
      </c>
      <c r="V230" s="168">
        <f>WORKDAY(U230,V8,IF(V12="China",'China Holidays'!$A$2:$A$84,'Thai Holidays'!$A$2:$A$65))</f>
        <v>46279</v>
      </c>
      <c r="W230" s="168"/>
      <c r="X230" s="168">
        <f>WORKDAY(V230,X8,IF(X12="China",'China Holidays'!$A$2:$A$84,'Thai Holidays'!$A$2:$A$65))</f>
        <v>46293</v>
      </c>
      <c r="Y230" s="168">
        <f>WORKDAY(X230,Y8,IF(Y12="China",'China Holidays'!$A$2:$A$84,'Thai Holidays'!$A$2:$A$65))</f>
        <v>46295</v>
      </c>
      <c r="Z230" s="168">
        <f>WORKDAY(Y230,Z8,IF(Z12="China",'China Holidays'!$A$2:$A$84,'Thai Holidays'!$A$2:$A$65))</f>
        <v>46309</v>
      </c>
      <c r="AA230" s="168">
        <f>WORKDAY(Z230,AA8,IF(AA12="China",'China Holidays'!$A$2:$A$84,'Thai Holidays'!$A$2:$A$65))</f>
        <v>46330</v>
      </c>
      <c r="AB230" s="168">
        <f>WORKDAY(AA230,AB8,IF(AB12="China",'China Holidays'!$A$2:$A$84,'Thai Holidays'!$A$2:$A$65))</f>
        <v>46344</v>
      </c>
      <c r="AC230" s="168">
        <f>AB230+15</f>
        <v>46359</v>
      </c>
      <c r="AD230" s="168">
        <f>AC230</f>
        <v>46359</v>
      </c>
      <c r="AE230" s="168">
        <f>AD230+2</f>
        <v>46361</v>
      </c>
      <c r="AF230" s="168">
        <f>AG230-10</f>
        <v>46468</v>
      </c>
      <c r="AG230" s="168">
        <f>AH230-5</f>
        <v>46478</v>
      </c>
      <c r="AH230" s="168">
        <f>AM229</f>
        <v>46483</v>
      </c>
      <c r="AI230" s="168">
        <f>AM229+3</f>
        <v>46486</v>
      </c>
      <c r="AJ230" s="168">
        <f>AM229+30</f>
        <v>46513</v>
      </c>
      <c r="AK230" s="169"/>
      <c r="AL230" s="230"/>
      <c r="AM230" s="170">
        <f>X230+AL229</f>
        <v>46419</v>
      </c>
      <c r="AN230" s="170"/>
      <c r="AO230" s="171"/>
      <c r="AP230" s="172"/>
      <c r="AQ230" s="448"/>
      <c r="AR230" s="154"/>
      <c r="AS230" s="155"/>
      <c r="AT230" s="155"/>
      <c r="AU230" s="155"/>
      <c r="AV230" s="155"/>
      <c r="AW230" s="155"/>
      <c r="AX230" s="155"/>
      <c r="AY230" s="155"/>
      <c r="AZ230" s="155"/>
      <c r="BA230" s="155"/>
      <c r="BB230" s="155"/>
      <c r="BC230" s="156"/>
      <c r="BD230" s="176"/>
      <c r="BE230" s="176"/>
    </row>
    <row r="231" spans="1:57" s="78" customFormat="1" ht="15.4" thickTop="1" thickBot="1" x14ac:dyDescent="0.45">
      <c r="A231" s="460"/>
      <c r="B231" s="177" t="s">
        <v>485</v>
      </c>
      <c r="C231" s="178" t="s">
        <v>486</v>
      </c>
      <c r="D231" s="319" t="s">
        <v>487</v>
      </c>
      <c r="E231" s="208"/>
      <c r="F231" s="208"/>
      <c r="G231" s="209" t="s">
        <v>452</v>
      </c>
      <c r="H231" s="182" t="s">
        <v>361</v>
      </c>
      <c r="I231" s="178" t="s">
        <v>138</v>
      </c>
      <c r="J231" s="178" t="s">
        <v>95</v>
      </c>
      <c r="K231" s="178" t="s">
        <v>6</v>
      </c>
      <c r="L231" s="209"/>
      <c r="M231" s="184" t="s">
        <v>76</v>
      </c>
      <c r="N231" s="185" t="s">
        <v>87</v>
      </c>
      <c r="O231" s="186">
        <v>46230</v>
      </c>
      <c r="P231" s="186">
        <v>46133</v>
      </c>
      <c r="Q231" s="186">
        <v>46153</v>
      </c>
      <c r="R231" s="186">
        <v>46232</v>
      </c>
      <c r="S231" s="186">
        <v>46232</v>
      </c>
      <c r="T231" s="186"/>
      <c r="U231" s="186"/>
      <c r="V231" s="186"/>
      <c r="W231" s="186"/>
      <c r="X231" s="186"/>
      <c r="Y231" s="186"/>
      <c r="Z231" s="186"/>
      <c r="AA231" s="186"/>
      <c r="AB231" s="186"/>
      <c r="AC231" s="186"/>
      <c r="AD231" s="186"/>
      <c r="AE231" s="186"/>
      <c r="AF231" s="186"/>
      <c r="AG231" s="186"/>
      <c r="AH231" s="186"/>
      <c r="AI231" s="186"/>
      <c r="AJ231" s="186"/>
      <c r="AK231" s="188"/>
      <c r="AL231" s="211"/>
      <c r="AM231" s="187"/>
      <c r="AN231" s="187"/>
      <c r="AO231" s="189"/>
      <c r="AP231" s="190"/>
      <c r="AQ231" s="449"/>
      <c r="AR231" s="191"/>
      <c r="AS231" s="192"/>
      <c r="AT231" s="192"/>
      <c r="AU231" s="192"/>
      <c r="AV231" s="192"/>
      <c r="AW231" s="192"/>
      <c r="AX231" s="192"/>
      <c r="AY231" s="192"/>
      <c r="AZ231" s="192"/>
      <c r="BA231" s="192"/>
      <c r="BB231" s="192"/>
      <c r="BC231" s="156"/>
      <c r="BD231" s="176"/>
      <c r="BE231" s="176"/>
    </row>
    <row r="232" spans="1:57" s="78" customFormat="1" ht="15.4" thickTop="1" thickBot="1" x14ac:dyDescent="0.45">
      <c r="A232" s="458">
        <f t="shared" ref="A232" si="58">A229+1</f>
        <v>67</v>
      </c>
      <c r="B232" s="139" t="s">
        <v>488</v>
      </c>
      <c r="C232" s="140" t="s">
        <v>489</v>
      </c>
      <c r="D232" s="194" t="s">
        <v>490</v>
      </c>
      <c r="E232" s="202" t="s">
        <v>491</v>
      </c>
      <c r="F232" s="202" t="s">
        <v>130</v>
      </c>
      <c r="G232" s="427" t="s">
        <v>452</v>
      </c>
      <c r="H232" s="143" t="s">
        <v>361</v>
      </c>
      <c r="I232" s="140" t="s">
        <v>138</v>
      </c>
      <c r="J232" s="140" t="s">
        <v>95</v>
      </c>
      <c r="K232" s="140" t="s">
        <v>6</v>
      </c>
      <c r="L232" s="203"/>
      <c r="M232" s="145" t="s">
        <v>76</v>
      </c>
      <c r="N232" s="146" t="s">
        <v>77</v>
      </c>
      <c r="O232" s="147">
        <v>46276</v>
      </c>
      <c r="P232" s="147">
        <v>46274</v>
      </c>
      <c r="Q232" s="147">
        <v>46288</v>
      </c>
      <c r="R232" s="147">
        <v>46288</v>
      </c>
      <c r="S232" s="147">
        <v>46288</v>
      </c>
      <c r="T232" s="147">
        <v>46310</v>
      </c>
      <c r="U232" s="147">
        <v>46330</v>
      </c>
      <c r="V232" s="147">
        <v>46344</v>
      </c>
      <c r="W232" s="147"/>
      <c r="X232" s="147">
        <v>46357</v>
      </c>
      <c r="Y232" s="147">
        <v>46359</v>
      </c>
      <c r="Z232" s="147">
        <v>46366</v>
      </c>
      <c r="AA232" s="147">
        <v>46387</v>
      </c>
      <c r="AB232" s="147">
        <v>46402</v>
      </c>
      <c r="AC232" s="147">
        <v>46417</v>
      </c>
      <c r="AD232" s="147">
        <v>46417</v>
      </c>
      <c r="AE232" s="147">
        <v>46419</v>
      </c>
      <c r="AF232" s="147">
        <v>46468</v>
      </c>
      <c r="AG232" s="147">
        <v>46478</v>
      </c>
      <c r="AH232" s="147">
        <v>46483</v>
      </c>
      <c r="AI232" s="147">
        <v>46486</v>
      </c>
      <c r="AJ232" s="147">
        <v>46513</v>
      </c>
      <c r="AK232" s="149">
        <v>18</v>
      </c>
      <c r="AL232" s="150">
        <v>126</v>
      </c>
      <c r="AM232" s="151">
        <v>46483</v>
      </c>
      <c r="AN232" s="151">
        <v>46507</v>
      </c>
      <c r="AO232" s="225">
        <f>AN232-AM233</f>
        <v>24</v>
      </c>
      <c r="AP232" s="235"/>
      <c r="AQ232" s="447"/>
      <c r="AR232" s="154"/>
      <c r="AS232" s="155"/>
      <c r="AT232" s="155"/>
      <c r="AU232" s="155"/>
      <c r="AV232" s="155"/>
      <c r="AW232" s="155"/>
      <c r="AX232" s="155"/>
      <c r="AY232" s="155"/>
      <c r="AZ232" s="155"/>
      <c r="BA232" s="155"/>
      <c r="BB232" s="155"/>
      <c r="BC232" s="156"/>
      <c r="BD232" s="176"/>
      <c r="BE232" s="176"/>
    </row>
    <row r="233" spans="1:57" s="78" customFormat="1" ht="15.4" thickTop="1" thickBot="1" x14ac:dyDescent="0.45">
      <c r="A233" s="459"/>
      <c r="B233" s="158" t="s">
        <v>488</v>
      </c>
      <c r="C233" s="197" t="s">
        <v>489</v>
      </c>
      <c r="D233" s="160" t="s">
        <v>490</v>
      </c>
      <c r="E233" s="205"/>
      <c r="F233" s="205"/>
      <c r="G233" s="204" t="s">
        <v>452</v>
      </c>
      <c r="H233" s="228" t="s">
        <v>361</v>
      </c>
      <c r="I233" s="159" t="s">
        <v>138</v>
      </c>
      <c r="J233" s="197" t="s">
        <v>95</v>
      </c>
      <c r="K233" s="197" t="s">
        <v>6</v>
      </c>
      <c r="L233" s="204"/>
      <c r="M233" s="165" t="s">
        <v>76</v>
      </c>
      <c r="N233" s="166" t="s">
        <v>84</v>
      </c>
      <c r="O233" s="167">
        <f>O232</f>
        <v>46276</v>
      </c>
      <c r="P233" s="168"/>
      <c r="Q233" s="168"/>
      <c r="R233" s="168">
        <f>O233+1</f>
        <v>46277</v>
      </c>
      <c r="S233" s="168">
        <f>WORKDAY(R233,S8,IF(S12="China",'China Holidays'!$A$2:$A$84,'Thai Holidays'!$A$2:$A$65))</f>
        <v>46277</v>
      </c>
      <c r="T233" s="168">
        <f>WORKDAY(S233,T8,IF(T12="China",'China Holidays'!$A$2:$A$84,'Thai Holidays'!$A$2:$A$65))</f>
        <v>46293</v>
      </c>
      <c r="U233" s="168">
        <f>U232</f>
        <v>46330</v>
      </c>
      <c r="V233" s="168">
        <f>WORKDAY(U233,V8,IF(V12="China",'China Holidays'!$A$2:$A$84,'Thai Holidays'!$A$2:$A$65))</f>
        <v>46344</v>
      </c>
      <c r="W233" s="168"/>
      <c r="X233" s="168">
        <f>WORKDAY(V233,X8,IF(X12="China",'China Holidays'!$A$2:$A$84,'Thai Holidays'!$A$2:$A$65))</f>
        <v>46357</v>
      </c>
      <c r="Y233" s="168">
        <f>WORKDAY(X233,Y8,IF(Y12="China",'China Holidays'!$A$2:$A$84,'Thai Holidays'!$A$2:$A$65))</f>
        <v>46359</v>
      </c>
      <c r="Z233" s="168">
        <f>WORKDAY(Y233,Z8,IF(Z12="China",'China Holidays'!$A$2:$A$84,'Thai Holidays'!$A$2:$A$65))</f>
        <v>46366</v>
      </c>
      <c r="AA233" s="168">
        <f>WORKDAY(Z233,AA8,IF(AA12="China",'China Holidays'!$A$2:$A$84,'Thai Holidays'!$A$2:$A$65))</f>
        <v>46387</v>
      </c>
      <c r="AB233" s="168">
        <f>WORKDAY(AA233,AB8,IF(AB12="China",'China Holidays'!$A$2:$A$84,'Thai Holidays'!$A$2:$A$65))</f>
        <v>46402</v>
      </c>
      <c r="AC233" s="168">
        <f>AB233+15</f>
        <v>46417</v>
      </c>
      <c r="AD233" s="168">
        <f>AC233</f>
        <v>46417</v>
      </c>
      <c r="AE233" s="168">
        <f>AD233+2</f>
        <v>46419</v>
      </c>
      <c r="AF233" s="168">
        <f>AG233-10</f>
        <v>46468</v>
      </c>
      <c r="AG233" s="168">
        <f>AH233-5</f>
        <v>46478</v>
      </c>
      <c r="AH233" s="168">
        <f>AM232</f>
        <v>46483</v>
      </c>
      <c r="AI233" s="168">
        <f>AM232+3</f>
        <v>46486</v>
      </c>
      <c r="AJ233" s="168">
        <f>AM232+30</f>
        <v>46513</v>
      </c>
      <c r="AK233" s="169"/>
      <c r="AL233" s="230"/>
      <c r="AM233" s="170">
        <f>X233+AL232</f>
        <v>46483</v>
      </c>
      <c r="AN233" s="170"/>
      <c r="AO233" s="171"/>
      <c r="AP233" s="172"/>
      <c r="AQ233" s="448"/>
      <c r="AR233" s="154"/>
      <c r="AS233" s="155"/>
      <c r="AT233" s="155"/>
      <c r="AU233" s="155"/>
      <c r="AV233" s="155"/>
      <c r="AW233" s="155"/>
      <c r="AX233" s="155"/>
      <c r="AY233" s="155"/>
      <c r="AZ233" s="155"/>
      <c r="BA233" s="155"/>
      <c r="BB233" s="155"/>
      <c r="BC233" s="156"/>
      <c r="BD233" s="176"/>
      <c r="BE233" s="176"/>
    </row>
    <row r="234" spans="1:57" s="78" customFormat="1" ht="15.4" thickTop="1" thickBot="1" x14ac:dyDescent="0.45">
      <c r="A234" s="460"/>
      <c r="B234" s="177" t="s">
        <v>488</v>
      </c>
      <c r="C234" s="178" t="s">
        <v>489</v>
      </c>
      <c r="D234" s="237" t="s">
        <v>490</v>
      </c>
      <c r="E234" s="208"/>
      <c r="F234" s="208"/>
      <c r="G234" s="209" t="s">
        <v>452</v>
      </c>
      <c r="H234" s="182" t="s">
        <v>361</v>
      </c>
      <c r="I234" s="178" t="s">
        <v>138</v>
      </c>
      <c r="J234" s="178" t="s">
        <v>95</v>
      </c>
      <c r="K234" s="178" t="s">
        <v>6</v>
      </c>
      <c r="L234" s="209"/>
      <c r="M234" s="184" t="s">
        <v>76</v>
      </c>
      <c r="N234" s="185" t="s">
        <v>87</v>
      </c>
      <c r="O234" s="186"/>
      <c r="P234" s="186">
        <v>46151</v>
      </c>
      <c r="Q234" s="186">
        <v>46172</v>
      </c>
      <c r="R234" s="186"/>
      <c r="S234" s="186"/>
      <c r="T234" s="186"/>
      <c r="U234" s="186"/>
      <c r="V234" s="186"/>
      <c r="W234" s="186"/>
      <c r="X234" s="186"/>
      <c r="Y234" s="186"/>
      <c r="Z234" s="186"/>
      <c r="AA234" s="186"/>
      <c r="AB234" s="186"/>
      <c r="AC234" s="186"/>
      <c r="AD234" s="186"/>
      <c r="AE234" s="186"/>
      <c r="AF234" s="186"/>
      <c r="AG234" s="186"/>
      <c r="AH234" s="186"/>
      <c r="AI234" s="186"/>
      <c r="AJ234" s="186"/>
      <c r="AK234" s="188"/>
      <c r="AL234" s="211"/>
      <c r="AM234" s="187"/>
      <c r="AN234" s="187"/>
      <c r="AO234" s="189"/>
      <c r="AP234" s="190"/>
      <c r="AQ234" s="449"/>
      <c r="AR234" s="191"/>
      <c r="AS234" s="192"/>
      <c r="AT234" s="192"/>
      <c r="AU234" s="192"/>
      <c r="AV234" s="192"/>
      <c r="AW234" s="192"/>
      <c r="AX234" s="192"/>
      <c r="AY234" s="192"/>
      <c r="AZ234" s="192"/>
      <c r="BA234" s="192"/>
      <c r="BB234" s="192"/>
      <c r="BC234" s="156"/>
      <c r="BD234" s="176"/>
      <c r="BE234" s="176"/>
    </row>
    <row r="235" spans="1:57" s="78" customFormat="1" ht="15.4" thickTop="1" thickBot="1" x14ac:dyDescent="0.45">
      <c r="A235" s="458">
        <f t="shared" ref="A235" si="59">A232+1</f>
        <v>68</v>
      </c>
      <c r="B235" s="139" t="s">
        <v>492</v>
      </c>
      <c r="C235" s="140" t="s">
        <v>493</v>
      </c>
      <c r="D235" s="194" t="s">
        <v>494</v>
      </c>
      <c r="E235" s="202" t="s">
        <v>495</v>
      </c>
      <c r="F235" s="202" t="s">
        <v>130</v>
      </c>
      <c r="G235" s="427" t="s">
        <v>496</v>
      </c>
      <c r="H235" s="143" t="s">
        <v>361</v>
      </c>
      <c r="I235" s="140" t="s">
        <v>138</v>
      </c>
      <c r="J235" s="140" t="s">
        <v>139</v>
      </c>
      <c r="K235" s="140" t="s">
        <v>6</v>
      </c>
      <c r="L235" s="203"/>
      <c r="M235" s="145" t="s">
        <v>76</v>
      </c>
      <c r="N235" s="146" t="s">
        <v>77</v>
      </c>
      <c r="O235" s="147">
        <v>46240</v>
      </c>
      <c r="P235" s="147">
        <v>46242</v>
      </c>
      <c r="Q235" s="147">
        <v>46258</v>
      </c>
      <c r="R235" s="147">
        <v>46258</v>
      </c>
      <c r="S235" s="147">
        <v>46258</v>
      </c>
      <c r="T235" s="147">
        <v>46272</v>
      </c>
      <c r="U235" s="147">
        <v>46289</v>
      </c>
      <c r="V235" s="147">
        <v>46303</v>
      </c>
      <c r="W235" s="147"/>
      <c r="X235" s="147">
        <v>46316</v>
      </c>
      <c r="Y235" s="147">
        <v>46318</v>
      </c>
      <c r="Z235" s="147">
        <v>46325</v>
      </c>
      <c r="AA235" s="147">
        <v>46346</v>
      </c>
      <c r="AB235" s="147">
        <v>46360</v>
      </c>
      <c r="AC235" s="147">
        <v>46375</v>
      </c>
      <c r="AD235" s="147">
        <v>46375</v>
      </c>
      <c r="AE235" s="147">
        <v>46377</v>
      </c>
      <c r="AF235" s="147">
        <v>46455</v>
      </c>
      <c r="AG235" s="147">
        <v>46465</v>
      </c>
      <c r="AH235" s="147">
        <v>46470</v>
      </c>
      <c r="AI235" s="147">
        <v>46473</v>
      </c>
      <c r="AJ235" s="147">
        <v>46500</v>
      </c>
      <c r="AK235" s="149">
        <v>22</v>
      </c>
      <c r="AL235" s="150">
        <v>154</v>
      </c>
      <c r="AM235" s="151">
        <v>46470</v>
      </c>
      <c r="AN235" s="151">
        <v>46507</v>
      </c>
      <c r="AO235" s="225">
        <f>AN235-AM236</f>
        <v>37</v>
      </c>
      <c r="AP235" s="235"/>
      <c r="AQ235" s="447"/>
      <c r="AR235" s="154"/>
      <c r="AS235" s="155"/>
      <c r="AT235" s="155"/>
      <c r="AU235" s="155"/>
      <c r="AV235" s="155"/>
      <c r="AW235" s="155"/>
      <c r="AX235" s="155"/>
      <c r="AY235" s="155"/>
      <c r="AZ235" s="155"/>
      <c r="BA235" s="155"/>
      <c r="BB235" s="155"/>
      <c r="BC235" s="156"/>
      <c r="BD235" s="176"/>
      <c r="BE235" s="176"/>
    </row>
    <row r="236" spans="1:57" s="78" customFormat="1" ht="15.4" thickTop="1" thickBot="1" x14ac:dyDescent="0.45">
      <c r="A236" s="459"/>
      <c r="B236" s="158" t="s">
        <v>492</v>
      </c>
      <c r="C236" s="197" t="s">
        <v>493</v>
      </c>
      <c r="D236" s="160" t="s">
        <v>494</v>
      </c>
      <c r="E236" s="205" t="s">
        <v>497</v>
      </c>
      <c r="F236" s="205" t="s">
        <v>130</v>
      </c>
      <c r="G236" s="204" t="s">
        <v>496</v>
      </c>
      <c r="H236" s="228" t="s">
        <v>361</v>
      </c>
      <c r="I236" s="159" t="s">
        <v>138</v>
      </c>
      <c r="J236" s="197" t="s">
        <v>139</v>
      </c>
      <c r="K236" s="197" t="s">
        <v>6</v>
      </c>
      <c r="L236" s="204"/>
      <c r="M236" s="165" t="s">
        <v>76</v>
      </c>
      <c r="N236" s="166" t="s">
        <v>84</v>
      </c>
      <c r="O236" s="167">
        <f>O235</f>
        <v>46240</v>
      </c>
      <c r="P236" s="168"/>
      <c r="Q236" s="168"/>
      <c r="R236" s="168">
        <f>O236</f>
        <v>46240</v>
      </c>
      <c r="S236" s="168">
        <f>WORKDAY(R236,S8,IF(S12="China",'China Holidays'!$A$2:$A$84,'Thai Holidays'!$A$2:$A$65))</f>
        <v>46240</v>
      </c>
      <c r="T236" s="168">
        <f>WORKDAY(S236,T8,IF(T12="China",'China Holidays'!$A$2:$A$84,'Thai Holidays'!$A$2:$A$65))</f>
        <v>46254</v>
      </c>
      <c r="U236" s="168">
        <f>U235</f>
        <v>46289</v>
      </c>
      <c r="V236" s="168">
        <f>WORKDAY(U236,V8,IF(V12="China",'China Holidays'!$A$2:$A$84,'Thai Holidays'!$A$2:$A$65))</f>
        <v>46303</v>
      </c>
      <c r="W236" s="168"/>
      <c r="X236" s="168">
        <f>WORKDAY(V236,X8,IF(X12="China",'China Holidays'!$A$2:$A$84,'Thai Holidays'!$A$2:$A$65))</f>
        <v>46316</v>
      </c>
      <c r="Y236" s="168">
        <f>WORKDAY(X236,Y8,IF(Y12="China",'China Holidays'!$A$2:$A$84,'Thai Holidays'!$A$2:$A$65))</f>
        <v>46318</v>
      </c>
      <c r="Z236" s="168">
        <f>WORKDAY(Y236,Z8,IF(Z12="China",'China Holidays'!$A$2:$A$84,'Thai Holidays'!$A$2:$A$65))</f>
        <v>46325</v>
      </c>
      <c r="AA236" s="168">
        <f>WORKDAY(Z236,AA8,IF(AA12="China",'China Holidays'!$A$2:$A$84,'Thai Holidays'!$A$2:$A$65))</f>
        <v>46346</v>
      </c>
      <c r="AB236" s="168">
        <f>WORKDAY(AA236,AB8,IF(AB12="China",'China Holidays'!$A$2:$A$84,'Thai Holidays'!$A$2:$A$65))</f>
        <v>46360</v>
      </c>
      <c r="AC236" s="168">
        <f>AB236+15</f>
        <v>46375</v>
      </c>
      <c r="AD236" s="168">
        <f>AC236</f>
        <v>46375</v>
      </c>
      <c r="AE236" s="168">
        <f>AD236+2</f>
        <v>46377</v>
      </c>
      <c r="AF236" s="168">
        <f>AG236-10</f>
        <v>46455</v>
      </c>
      <c r="AG236" s="168">
        <f>AH236-5</f>
        <v>46465</v>
      </c>
      <c r="AH236" s="168">
        <f>AM235</f>
        <v>46470</v>
      </c>
      <c r="AI236" s="168">
        <f>AM235+3</f>
        <v>46473</v>
      </c>
      <c r="AJ236" s="168">
        <f>AM235+30</f>
        <v>46500</v>
      </c>
      <c r="AK236" s="169"/>
      <c r="AL236" s="230"/>
      <c r="AM236" s="170">
        <f>X236+AL235</f>
        <v>46470</v>
      </c>
      <c r="AN236" s="170"/>
      <c r="AO236" s="171"/>
      <c r="AP236" s="172"/>
      <c r="AQ236" s="448"/>
      <c r="AR236" s="154"/>
      <c r="AS236" s="155"/>
      <c r="AT236" s="155"/>
      <c r="AU236" s="155"/>
      <c r="AV236" s="155"/>
      <c r="AW236" s="155"/>
      <c r="AX236" s="155"/>
      <c r="AY236" s="155"/>
      <c r="AZ236" s="155"/>
      <c r="BA236" s="155"/>
      <c r="BB236" s="155"/>
      <c r="BC236" s="156"/>
      <c r="BD236" s="176"/>
      <c r="BE236" s="176"/>
    </row>
    <row r="237" spans="1:57" s="78" customFormat="1" ht="15.4" thickTop="1" thickBot="1" x14ac:dyDescent="0.45">
      <c r="A237" s="460"/>
      <c r="B237" s="177" t="s">
        <v>492</v>
      </c>
      <c r="C237" s="178" t="s">
        <v>493</v>
      </c>
      <c r="D237" s="237" t="s">
        <v>494</v>
      </c>
      <c r="E237" s="208"/>
      <c r="F237" s="208"/>
      <c r="G237" s="209" t="s">
        <v>496</v>
      </c>
      <c r="H237" s="182" t="s">
        <v>361</v>
      </c>
      <c r="I237" s="178" t="s">
        <v>138</v>
      </c>
      <c r="J237" s="178" t="s">
        <v>139</v>
      </c>
      <c r="K237" s="178" t="s">
        <v>6</v>
      </c>
      <c r="L237" s="209"/>
      <c r="M237" s="184" t="s">
        <v>76</v>
      </c>
      <c r="N237" s="185" t="s">
        <v>87</v>
      </c>
      <c r="O237" s="186"/>
      <c r="P237" s="186">
        <v>46151</v>
      </c>
      <c r="Q237" s="186">
        <v>46160</v>
      </c>
      <c r="R237" s="186"/>
      <c r="S237" s="186"/>
      <c r="T237" s="186"/>
      <c r="U237" s="186"/>
      <c r="V237" s="186"/>
      <c r="W237" s="186"/>
      <c r="X237" s="186"/>
      <c r="Y237" s="186"/>
      <c r="Z237" s="186"/>
      <c r="AA237" s="186"/>
      <c r="AB237" s="186"/>
      <c r="AC237" s="186"/>
      <c r="AD237" s="186"/>
      <c r="AE237" s="186"/>
      <c r="AF237" s="186"/>
      <c r="AG237" s="186"/>
      <c r="AH237" s="186"/>
      <c r="AI237" s="186"/>
      <c r="AJ237" s="186"/>
      <c r="AK237" s="188"/>
      <c r="AL237" s="211"/>
      <c r="AM237" s="187"/>
      <c r="AN237" s="187"/>
      <c r="AO237" s="189"/>
      <c r="AP237" s="190"/>
      <c r="AQ237" s="449"/>
      <c r="AR237" s="191"/>
      <c r="AS237" s="192"/>
      <c r="AT237" s="192"/>
      <c r="AU237" s="192"/>
      <c r="AV237" s="192"/>
      <c r="AW237" s="192"/>
      <c r="AX237" s="192"/>
      <c r="AY237" s="192"/>
      <c r="AZ237" s="192"/>
      <c r="BA237" s="192"/>
      <c r="BB237" s="192"/>
      <c r="BC237" s="156"/>
      <c r="BD237" s="176"/>
      <c r="BE237" s="176"/>
    </row>
    <row r="238" spans="1:57" s="78" customFormat="1" ht="15.4" thickTop="1" thickBot="1" x14ac:dyDescent="0.45">
      <c r="A238" s="458">
        <f t="shared" ref="A238" si="60">A235+1</f>
        <v>69</v>
      </c>
      <c r="B238" s="139" t="s">
        <v>498</v>
      </c>
      <c r="C238" s="140" t="s">
        <v>499</v>
      </c>
      <c r="D238" s="194" t="s">
        <v>500</v>
      </c>
      <c r="E238" s="202" t="s">
        <v>501</v>
      </c>
      <c r="F238" s="202" t="s">
        <v>70</v>
      </c>
      <c r="G238" s="427" t="s">
        <v>401</v>
      </c>
      <c r="H238" s="143" t="s">
        <v>361</v>
      </c>
      <c r="I238" s="140" t="s">
        <v>138</v>
      </c>
      <c r="J238" s="140" t="s">
        <v>95</v>
      </c>
      <c r="K238" s="140" t="s">
        <v>6</v>
      </c>
      <c r="L238" s="203"/>
      <c r="M238" s="145" t="s">
        <v>76</v>
      </c>
      <c r="N238" s="146" t="s">
        <v>77</v>
      </c>
      <c r="O238" s="147">
        <v>46276</v>
      </c>
      <c r="P238" s="147">
        <v>46274</v>
      </c>
      <c r="Q238" s="147">
        <v>46288</v>
      </c>
      <c r="R238" s="147">
        <v>46288</v>
      </c>
      <c r="S238" s="147">
        <v>46288</v>
      </c>
      <c r="T238" s="147">
        <v>46310</v>
      </c>
      <c r="U238" s="147">
        <v>46330</v>
      </c>
      <c r="V238" s="147">
        <v>46344</v>
      </c>
      <c r="W238" s="147"/>
      <c r="X238" s="147">
        <v>46357</v>
      </c>
      <c r="Y238" s="147">
        <v>46359</v>
      </c>
      <c r="Z238" s="147">
        <v>46366</v>
      </c>
      <c r="AA238" s="147">
        <v>46387</v>
      </c>
      <c r="AB238" s="147">
        <v>46402</v>
      </c>
      <c r="AC238" s="147">
        <v>46417</v>
      </c>
      <c r="AD238" s="147">
        <v>46417</v>
      </c>
      <c r="AE238" s="147">
        <v>46419</v>
      </c>
      <c r="AF238" s="147">
        <v>46468</v>
      </c>
      <c r="AG238" s="147">
        <v>46478</v>
      </c>
      <c r="AH238" s="147">
        <v>46483</v>
      </c>
      <c r="AI238" s="147">
        <v>46486</v>
      </c>
      <c r="AJ238" s="147">
        <v>46513</v>
      </c>
      <c r="AK238" s="149">
        <v>18</v>
      </c>
      <c r="AL238" s="150">
        <v>126</v>
      </c>
      <c r="AM238" s="151">
        <v>46483</v>
      </c>
      <c r="AN238" s="151">
        <v>46507</v>
      </c>
      <c r="AO238" s="225">
        <f>AN238-AM239</f>
        <v>24</v>
      </c>
      <c r="AP238" s="235"/>
      <c r="AQ238" s="447"/>
      <c r="AR238" s="154"/>
      <c r="AS238" s="155"/>
      <c r="AT238" s="155"/>
      <c r="AU238" s="155"/>
      <c r="AV238" s="155"/>
      <c r="AW238" s="155"/>
      <c r="AX238" s="155"/>
      <c r="AY238" s="155"/>
      <c r="AZ238" s="155"/>
      <c r="BA238" s="155"/>
      <c r="BB238" s="155"/>
      <c r="BC238" s="156"/>
      <c r="BD238" s="176"/>
      <c r="BE238" s="176"/>
    </row>
    <row r="239" spans="1:57" s="78" customFormat="1" ht="15.4" thickTop="1" thickBot="1" x14ac:dyDescent="0.45">
      <c r="A239" s="459"/>
      <c r="B239" s="158" t="s">
        <v>498</v>
      </c>
      <c r="C239" s="197" t="s">
        <v>499</v>
      </c>
      <c r="D239" s="160" t="s">
        <v>500</v>
      </c>
      <c r="E239" s="205"/>
      <c r="F239" s="205"/>
      <c r="G239" s="204" t="s">
        <v>401</v>
      </c>
      <c r="H239" s="228" t="s">
        <v>361</v>
      </c>
      <c r="I239" s="159" t="s">
        <v>138</v>
      </c>
      <c r="J239" s="197" t="s">
        <v>95</v>
      </c>
      <c r="K239" s="197" t="s">
        <v>6</v>
      </c>
      <c r="L239" s="204"/>
      <c r="M239" s="165" t="s">
        <v>76</v>
      </c>
      <c r="N239" s="166" t="s">
        <v>84</v>
      </c>
      <c r="O239" s="167">
        <f>O238</f>
        <v>46276</v>
      </c>
      <c r="P239" s="168"/>
      <c r="Q239" s="168"/>
      <c r="R239" s="168">
        <f>O239+1</f>
        <v>46277</v>
      </c>
      <c r="S239" s="168">
        <f>WORKDAY(R239,S8,IF(S12="China",'China Holidays'!$A$2:$A$84,'Thai Holidays'!$A$2:$A$65))</f>
        <v>46277</v>
      </c>
      <c r="T239" s="168">
        <f>WORKDAY(S239,T8,IF(T12="China",'China Holidays'!$A$2:$A$84,'Thai Holidays'!$A$2:$A$65))</f>
        <v>46293</v>
      </c>
      <c r="U239" s="168">
        <f>U238</f>
        <v>46330</v>
      </c>
      <c r="V239" s="168">
        <f>WORKDAY(U239,V8,IF(V12="China",'China Holidays'!$A$2:$A$84,'Thai Holidays'!$A$2:$A$65))</f>
        <v>46344</v>
      </c>
      <c r="W239" s="168"/>
      <c r="X239" s="168">
        <f>WORKDAY(V239,X8,IF(X12="China",'China Holidays'!$A$2:$A$84,'Thai Holidays'!$A$2:$A$65))</f>
        <v>46357</v>
      </c>
      <c r="Y239" s="168">
        <f>WORKDAY(X239,Y8,IF(Y12="China",'China Holidays'!$A$2:$A$84,'Thai Holidays'!$A$2:$A$65))</f>
        <v>46359</v>
      </c>
      <c r="Z239" s="168">
        <f>WORKDAY(Y239,Z8,IF(Z12="China",'China Holidays'!$A$2:$A$84,'Thai Holidays'!$A$2:$A$65))</f>
        <v>46366</v>
      </c>
      <c r="AA239" s="168">
        <f>WORKDAY(Z239,AA8,IF(AA12="China",'China Holidays'!$A$2:$A$84,'Thai Holidays'!$A$2:$A$65))</f>
        <v>46387</v>
      </c>
      <c r="AB239" s="168">
        <f>WORKDAY(AA239,AB8,IF(AB12="China",'China Holidays'!$A$2:$A$84,'Thai Holidays'!$A$2:$A$65))</f>
        <v>46402</v>
      </c>
      <c r="AC239" s="168">
        <f>AB239+15</f>
        <v>46417</v>
      </c>
      <c r="AD239" s="168">
        <f>AC239</f>
        <v>46417</v>
      </c>
      <c r="AE239" s="168">
        <f>AD239+2</f>
        <v>46419</v>
      </c>
      <c r="AF239" s="168">
        <f>AG239-10</f>
        <v>46468</v>
      </c>
      <c r="AG239" s="168">
        <f>AH239-5</f>
        <v>46478</v>
      </c>
      <c r="AH239" s="168">
        <f>AM238</f>
        <v>46483</v>
      </c>
      <c r="AI239" s="168">
        <f>AM238+3</f>
        <v>46486</v>
      </c>
      <c r="AJ239" s="168">
        <f>AM238+30</f>
        <v>46513</v>
      </c>
      <c r="AK239" s="169"/>
      <c r="AL239" s="230"/>
      <c r="AM239" s="170">
        <f>X239+AL238</f>
        <v>46483</v>
      </c>
      <c r="AN239" s="170"/>
      <c r="AO239" s="171"/>
      <c r="AP239" s="172"/>
      <c r="AQ239" s="448"/>
      <c r="AR239" s="154"/>
      <c r="AS239" s="155"/>
      <c r="AT239" s="155"/>
      <c r="AU239" s="155"/>
      <c r="AV239" s="155"/>
      <c r="AW239" s="155"/>
      <c r="AX239" s="155"/>
      <c r="AY239" s="155"/>
      <c r="AZ239" s="155"/>
      <c r="BA239" s="155"/>
      <c r="BB239" s="155"/>
      <c r="BC239" s="156"/>
      <c r="BD239" s="176"/>
      <c r="BE239" s="176"/>
    </row>
    <row r="240" spans="1:57" s="78" customFormat="1" ht="17.350000000000001" customHeight="1" thickTop="1" thickBot="1" x14ac:dyDescent="0.45">
      <c r="A240" s="460"/>
      <c r="B240" s="177" t="s">
        <v>498</v>
      </c>
      <c r="C240" s="178" t="s">
        <v>499</v>
      </c>
      <c r="D240" s="237" t="s">
        <v>500</v>
      </c>
      <c r="E240" s="208"/>
      <c r="F240" s="208"/>
      <c r="G240" s="209" t="s">
        <v>401</v>
      </c>
      <c r="H240" s="182" t="s">
        <v>361</v>
      </c>
      <c r="I240" s="178" t="s">
        <v>138</v>
      </c>
      <c r="J240" s="178" t="s">
        <v>95</v>
      </c>
      <c r="K240" s="178" t="s">
        <v>6</v>
      </c>
      <c r="L240" s="209"/>
      <c r="M240" s="184" t="s">
        <v>76</v>
      </c>
      <c r="N240" s="185" t="s">
        <v>87</v>
      </c>
      <c r="O240" s="186"/>
      <c r="P240" s="186">
        <v>46153</v>
      </c>
      <c r="Q240" s="186">
        <v>46173</v>
      </c>
      <c r="R240" s="186"/>
      <c r="S240" s="186"/>
      <c r="T240" s="186"/>
      <c r="U240" s="186"/>
      <c r="V240" s="186"/>
      <c r="W240" s="186"/>
      <c r="X240" s="186"/>
      <c r="Y240" s="186"/>
      <c r="Z240" s="186"/>
      <c r="AA240" s="186"/>
      <c r="AB240" s="186"/>
      <c r="AC240" s="186"/>
      <c r="AD240" s="186"/>
      <c r="AE240" s="186"/>
      <c r="AF240" s="186"/>
      <c r="AG240" s="186"/>
      <c r="AH240" s="186"/>
      <c r="AI240" s="186"/>
      <c r="AJ240" s="186"/>
      <c r="AK240" s="188"/>
      <c r="AL240" s="211"/>
      <c r="AM240" s="187"/>
      <c r="AN240" s="187"/>
      <c r="AO240" s="189"/>
      <c r="AP240" s="190"/>
      <c r="AQ240" s="449"/>
      <c r="AR240" s="191"/>
      <c r="AS240" s="192"/>
      <c r="AT240" s="192"/>
      <c r="AU240" s="192"/>
      <c r="AV240" s="192"/>
      <c r="AW240" s="192"/>
      <c r="AX240" s="192"/>
      <c r="AY240" s="192"/>
      <c r="AZ240" s="192"/>
      <c r="BA240" s="192"/>
      <c r="BB240" s="192"/>
      <c r="BC240" s="156"/>
      <c r="BD240" s="176"/>
      <c r="BE240" s="176"/>
    </row>
    <row r="241" spans="1:57" s="78" customFormat="1" ht="20.65" customHeight="1" thickTop="1" thickBot="1" x14ac:dyDescent="0.45">
      <c r="A241" s="458"/>
      <c r="B241" s="252" t="s">
        <v>502</v>
      </c>
      <c r="C241" s="278" t="s">
        <v>503</v>
      </c>
      <c r="D241" s="254" t="s">
        <v>504</v>
      </c>
      <c r="E241" s="350" t="s">
        <v>505</v>
      </c>
      <c r="F241" s="350" t="s">
        <v>70</v>
      </c>
      <c r="G241" s="436" t="s">
        <v>506</v>
      </c>
      <c r="H241" s="291" t="s">
        <v>361</v>
      </c>
      <c r="I241" s="278" t="s">
        <v>138</v>
      </c>
      <c r="J241" s="278" t="s">
        <v>95</v>
      </c>
      <c r="K241" s="278" t="s">
        <v>6</v>
      </c>
      <c r="L241" s="352" t="s">
        <v>507</v>
      </c>
      <c r="M241" s="353" t="s">
        <v>76</v>
      </c>
      <c r="N241" s="299" t="s">
        <v>77</v>
      </c>
      <c r="O241" s="281">
        <v>46195</v>
      </c>
      <c r="P241" s="281">
        <v>46195</v>
      </c>
      <c r="Q241" s="280">
        <v>46209</v>
      </c>
      <c r="R241" s="280">
        <v>46209</v>
      </c>
      <c r="S241" s="280">
        <v>46209</v>
      </c>
      <c r="T241" s="280">
        <v>46223</v>
      </c>
      <c r="U241" s="280">
        <v>46244</v>
      </c>
      <c r="V241" s="280">
        <v>46259</v>
      </c>
      <c r="W241" s="280"/>
      <c r="X241" s="280">
        <v>46272</v>
      </c>
      <c r="Y241" s="280">
        <v>46274</v>
      </c>
      <c r="Z241" s="280">
        <v>46281</v>
      </c>
      <c r="AA241" s="280">
        <v>46310</v>
      </c>
      <c r="AB241" s="280">
        <v>46325</v>
      </c>
      <c r="AC241" s="280">
        <v>46355</v>
      </c>
      <c r="AD241" s="280">
        <v>46355</v>
      </c>
      <c r="AE241" s="280">
        <v>46357</v>
      </c>
      <c r="AF241" s="280">
        <v>46432</v>
      </c>
      <c r="AG241" s="280">
        <v>46452</v>
      </c>
      <c r="AH241" s="280">
        <v>46482</v>
      </c>
      <c r="AI241" s="280">
        <v>46485</v>
      </c>
      <c r="AJ241" s="280">
        <v>46512</v>
      </c>
      <c r="AK241" s="300">
        <v>30</v>
      </c>
      <c r="AL241" s="301">
        <v>210</v>
      </c>
      <c r="AM241" s="302">
        <v>46482</v>
      </c>
      <c r="AN241" s="302">
        <v>46507</v>
      </c>
      <c r="AO241" s="354">
        <f>AN241-AM242</f>
        <v>25</v>
      </c>
      <c r="AP241" s="355"/>
      <c r="AQ241" s="447"/>
      <c r="AR241" s="154"/>
      <c r="AS241" s="155"/>
      <c r="AT241" s="155"/>
      <c r="AU241" s="155"/>
      <c r="AV241" s="155"/>
      <c r="AW241" s="155"/>
      <c r="AX241" s="155"/>
      <c r="AY241" s="155"/>
      <c r="AZ241" s="155"/>
      <c r="BA241" s="155"/>
      <c r="BB241" s="155"/>
      <c r="BC241" s="156"/>
      <c r="BD241" s="176"/>
      <c r="BE241" s="176"/>
    </row>
    <row r="242" spans="1:57" s="78" customFormat="1" ht="24" thickTop="1" thickBot="1" x14ac:dyDescent="0.45">
      <c r="A242" s="459"/>
      <c r="B242" s="255" t="s">
        <v>502</v>
      </c>
      <c r="C242" s="282" t="s">
        <v>503</v>
      </c>
      <c r="D242" s="304" t="s">
        <v>504</v>
      </c>
      <c r="E242" s="356"/>
      <c r="F242" s="356"/>
      <c r="G242" s="292" t="s">
        <v>506</v>
      </c>
      <c r="H242" s="293" t="s">
        <v>361</v>
      </c>
      <c r="I242" s="294" t="s">
        <v>138</v>
      </c>
      <c r="J242" s="282" t="s">
        <v>95</v>
      </c>
      <c r="K242" s="282" t="s">
        <v>6</v>
      </c>
      <c r="L242" s="357"/>
      <c r="M242" s="358" t="s">
        <v>76</v>
      </c>
      <c r="N242" s="308" t="s">
        <v>84</v>
      </c>
      <c r="O242" s="283">
        <v>46216</v>
      </c>
      <c r="P242" s="310"/>
      <c r="Q242" s="310"/>
      <c r="R242" s="310">
        <v>46216</v>
      </c>
      <c r="S242" s="310">
        <f>WORKDAY(R242,S8,IF(S12="China",'China Holidays'!$A$2:$A$84,'Thai Holidays'!$A$2:$A$65))</f>
        <v>46216</v>
      </c>
      <c r="T242" s="310">
        <f>WORKDAY(S242,T8,IF(T12="China",'China Holidays'!$A$2:$A$84,'Thai Holidays'!$A$2:$A$65))</f>
        <v>46230</v>
      </c>
      <c r="U242" s="310">
        <f>U241</f>
        <v>46244</v>
      </c>
      <c r="V242" s="310">
        <f>WORKDAY(U242,V8,IF(V12="China",'China Holidays'!$A$2:$A$84,'Thai Holidays'!$A$2:$A$65))</f>
        <v>46259</v>
      </c>
      <c r="W242" s="310"/>
      <c r="X242" s="310">
        <f>WORKDAY(V242,X8,IF(X12="China",'China Holidays'!$A$2:$A$84,'Thai Holidays'!$A$2:$A$65))</f>
        <v>46272</v>
      </c>
      <c r="Y242" s="310">
        <f>WORKDAY(X242,Y8,IF(Y12="China",'China Holidays'!$A$2:$A$84,'Thai Holidays'!$A$2:$A$65))</f>
        <v>46274</v>
      </c>
      <c r="Z242" s="310">
        <f>WORKDAY(Y242,Z8,IF(Z12="China",'China Holidays'!$A$2:$A$84,'Thai Holidays'!$A$2:$A$65))</f>
        <v>46281</v>
      </c>
      <c r="AA242" s="310">
        <f>WORKDAY(Z242,AA8,IF(AA12="China",'China Holidays'!$A$2:$A$84,'Thai Holidays'!$A$2:$A$65))</f>
        <v>46310</v>
      </c>
      <c r="AB242" s="310">
        <f>WORKDAY(AA242,AB8,IF(AB12="China",'China Holidays'!$A$2:$A$84,'Thai Holidays'!$A$2:$A$65))</f>
        <v>46325</v>
      </c>
      <c r="AC242" s="310">
        <f>AB242+30</f>
        <v>46355</v>
      </c>
      <c r="AD242" s="310">
        <f>AC242</f>
        <v>46355</v>
      </c>
      <c r="AE242" s="310">
        <f>AD242+2</f>
        <v>46357</v>
      </c>
      <c r="AF242" s="310">
        <f>AG242-20</f>
        <v>46432</v>
      </c>
      <c r="AG242" s="310">
        <f>AH242-30</f>
        <v>46452</v>
      </c>
      <c r="AH242" s="310">
        <f>AM241</f>
        <v>46482</v>
      </c>
      <c r="AI242" s="310">
        <f>AM241+3</f>
        <v>46485</v>
      </c>
      <c r="AJ242" s="310">
        <f>AM241+30</f>
        <v>46512</v>
      </c>
      <c r="AK242" s="359"/>
      <c r="AL242" s="360"/>
      <c r="AM242" s="309">
        <f>X242+AL241</f>
        <v>46482</v>
      </c>
      <c r="AN242" s="309"/>
      <c r="AO242" s="361"/>
      <c r="AP242" s="362"/>
      <c r="AQ242" s="448"/>
      <c r="AR242" s="154"/>
      <c r="AS242" s="155"/>
      <c r="AT242" s="155"/>
      <c r="AU242" s="155"/>
      <c r="AV242" s="155"/>
      <c r="AW242" s="155"/>
      <c r="AX242" s="155"/>
      <c r="AY242" s="155"/>
      <c r="AZ242" s="155"/>
      <c r="BA242" s="155"/>
      <c r="BB242" s="155"/>
      <c r="BC242" s="156"/>
      <c r="BD242" s="176"/>
      <c r="BE242" s="176"/>
    </row>
    <row r="243" spans="1:57" s="78" customFormat="1" ht="24" thickTop="1" thickBot="1" x14ac:dyDescent="0.45">
      <c r="A243" s="460"/>
      <c r="B243" s="258" t="s">
        <v>502</v>
      </c>
      <c r="C243" s="285" t="s">
        <v>503</v>
      </c>
      <c r="D243" s="260" t="s">
        <v>504</v>
      </c>
      <c r="E243" s="363"/>
      <c r="F243" s="363"/>
      <c r="G243" s="289" t="s">
        <v>506</v>
      </c>
      <c r="H243" s="296" t="s">
        <v>361</v>
      </c>
      <c r="I243" s="285" t="s">
        <v>138</v>
      </c>
      <c r="J243" s="285" t="s">
        <v>95</v>
      </c>
      <c r="K243" s="285" t="s">
        <v>6</v>
      </c>
      <c r="L243" s="289"/>
      <c r="M243" s="364" t="s">
        <v>76</v>
      </c>
      <c r="N243" s="365" t="s">
        <v>87</v>
      </c>
      <c r="O243" s="287"/>
      <c r="P243" s="287">
        <v>46150</v>
      </c>
      <c r="Q243" s="287">
        <v>46173</v>
      </c>
      <c r="R243" s="287"/>
      <c r="S243" s="287"/>
      <c r="T243" s="287"/>
      <c r="U243" s="287"/>
      <c r="V243" s="287"/>
      <c r="W243" s="287"/>
      <c r="X243" s="287"/>
      <c r="Y243" s="287"/>
      <c r="Z243" s="287"/>
      <c r="AA243" s="287"/>
      <c r="AB243" s="287"/>
      <c r="AC243" s="287"/>
      <c r="AD243" s="287"/>
      <c r="AE243" s="287"/>
      <c r="AF243" s="287"/>
      <c r="AG243" s="287"/>
      <c r="AH243" s="287"/>
      <c r="AI243" s="287"/>
      <c r="AJ243" s="287"/>
      <c r="AK243" s="366"/>
      <c r="AL243" s="367"/>
      <c r="AM243" s="368"/>
      <c r="AN243" s="368"/>
      <c r="AO243" s="369"/>
      <c r="AP243" s="370"/>
      <c r="AQ243" s="449"/>
      <c r="AR243" s="191"/>
      <c r="AS243" s="192"/>
      <c r="AT243" s="192"/>
      <c r="AU243" s="192"/>
      <c r="AV243" s="192"/>
      <c r="AW243" s="192"/>
      <c r="AX243" s="192"/>
      <c r="AY243" s="192"/>
      <c r="AZ243" s="192"/>
      <c r="BA243" s="192"/>
      <c r="BB243" s="192"/>
      <c r="BC243" s="156"/>
      <c r="BD243" s="176"/>
      <c r="BE243" s="176"/>
    </row>
    <row r="244" spans="1:57" s="78" customFormat="1" ht="24" thickTop="1" thickBot="1" x14ac:dyDescent="0.45">
      <c r="A244" s="458"/>
      <c r="B244" s="252" t="s">
        <v>508</v>
      </c>
      <c r="C244" s="278" t="s">
        <v>509</v>
      </c>
      <c r="D244" s="254" t="s">
        <v>510</v>
      </c>
      <c r="E244" s="350" t="s">
        <v>511</v>
      </c>
      <c r="F244" s="350" t="s">
        <v>512</v>
      </c>
      <c r="G244" s="436" t="s">
        <v>506</v>
      </c>
      <c r="H244" s="291" t="s">
        <v>361</v>
      </c>
      <c r="I244" s="278" t="s">
        <v>138</v>
      </c>
      <c r="J244" s="278" t="s">
        <v>95</v>
      </c>
      <c r="K244" s="278" t="s">
        <v>6</v>
      </c>
      <c r="L244" s="352" t="s">
        <v>507</v>
      </c>
      <c r="M244" s="353" t="s">
        <v>76</v>
      </c>
      <c r="N244" s="299" t="s">
        <v>77</v>
      </c>
      <c r="O244" s="281">
        <v>46195</v>
      </c>
      <c r="P244" s="281">
        <v>46195</v>
      </c>
      <c r="Q244" s="280">
        <v>46209</v>
      </c>
      <c r="R244" s="280">
        <v>46209</v>
      </c>
      <c r="S244" s="280">
        <v>46209</v>
      </c>
      <c r="T244" s="280">
        <v>46223</v>
      </c>
      <c r="U244" s="280">
        <v>46244</v>
      </c>
      <c r="V244" s="280">
        <v>46259</v>
      </c>
      <c r="W244" s="280"/>
      <c r="X244" s="280">
        <v>46272</v>
      </c>
      <c r="Y244" s="280">
        <v>46274</v>
      </c>
      <c r="Z244" s="280">
        <v>46281</v>
      </c>
      <c r="AA244" s="280">
        <v>46310</v>
      </c>
      <c r="AB244" s="280">
        <v>46325</v>
      </c>
      <c r="AC244" s="280">
        <v>46355</v>
      </c>
      <c r="AD244" s="280">
        <v>46355</v>
      </c>
      <c r="AE244" s="280">
        <v>46357</v>
      </c>
      <c r="AF244" s="280">
        <v>46432</v>
      </c>
      <c r="AG244" s="280">
        <v>46452</v>
      </c>
      <c r="AH244" s="280">
        <v>46482</v>
      </c>
      <c r="AI244" s="280">
        <v>46485</v>
      </c>
      <c r="AJ244" s="280">
        <v>46512</v>
      </c>
      <c r="AK244" s="300">
        <v>30</v>
      </c>
      <c r="AL244" s="301">
        <v>210</v>
      </c>
      <c r="AM244" s="302">
        <v>46482</v>
      </c>
      <c r="AN244" s="302">
        <v>46507</v>
      </c>
      <c r="AO244" s="354">
        <f>AN244-AM245</f>
        <v>25</v>
      </c>
      <c r="AP244" s="355"/>
      <c r="AQ244" s="447"/>
      <c r="AR244" s="154"/>
      <c r="AS244" s="155"/>
      <c r="AT244" s="155"/>
      <c r="AU244" s="155"/>
      <c r="AV244" s="155"/>
      <c r="AW244" s="155"/>
      <c r="AX244" s="155"/>
      <c r="AY244" s="155"/>
      <c r="AZ244" s="155"/>
      <c r="BA244" s="155"/>
      <c r="BB244" s="155"/>
      <c r="BC244" s="156"/>
      <c r="BD244" s="176"/>
      <c r="BE244" s="176"/>
    </row>
    <row r="245" spans="1:57" s="78" customFormat="1" ht="24" thickTop="1" thickBot="1" x14ac:dyDescent="0.45">
      <c r="A245" s="459"/>
      <c r="B245" s="255" t="s">
        <v>508</v>
      </c>
      <c r="C245" s="282" t="s">
        <v>509</v>
      </c>
      <c r="D245" s="304" t="s">
        <v>510</v>
      </c>
      <c r="E245" s="356"/>
      <c r="F245" s="356"/>
      <c r="G245" s="292" t="s">
        <v>506</v>
      </c>
      <c r="H245" s="293" t="s">
        <v>361</v>
      </c>
      <c r="I245" s="294" t="s">
        <v>138</v>
      </c>
      <c r="J245" s="282" t="s">
        <v>95</v>
      </c>
      <c r="K245" s="282" t="s">
        <v>6</v>
      </c>
      <c r="L245" s="292"/>
      <c r="M245" s="358" t="s">
        <v>76</v>
      </c>
      <c r="N245" s="308" t="s">
        <v>84</v>
      </c>
      <c r="O245" s="283">
        <v>46216</v>
      </c>
      <c r="P245" s="310"/>
      <c r="Q245" s="310"/>
      <c r="R245" s="310">
        <v>46216</v>
      </c>
      <c r="S245" s="310">
        <f>R245</f>
        <v>46216</v>
      </c>
      <c r="T245" s="310">
        <f>WORKDAY(S245,T8,IF(T12="China",'China Holidays'!$A$2:$A$84,'Thai Holidays'!$A$2:$A$65))</f>
        <v>46230</v>
      </c>
      <c r="U245" s="310">
        <f>U244</f>
        <v>46244</v>
      </c>
      <c r="V245" s="310">
        <f>WORKDAY(U245,V8,IF(V12="China",'China Holidays'!$A$2:$A$84,'Thai Holidays'!$A$2:$A$65))</f>
        <v>46259</v>
      </c>
      <c r="W245" s="310"/>
      <c r="X245" s="310">
        <f>WORKDAY(V245,X8,IF(X12="China",'China Holidays'!$A$2:$A$84,'Thai Holidays'!$A$2:$A$65))</f>
        <v>46272</v>
      </c>
      <c r="Y245" s="310">
        <f>WORKDAY(X245,Y8,IF(Y12="China",'China Holidays'!$A$2:$A$84,'Thai Holidays'!$A$2:$A$65))</f>
        <v>46274</v>
      </c>
      <c r="Z245" s="310">
        <f>WORKDAY(Y245,Z8,IF(Z12="China",'China Holidays'!$A$2:$A$84,'Thai Holidays'!$A$2:$A$65))</f>
        <v>46281</v>
      </c>
      <c r="AA245" s="310">
        <f>WORKDAY(Z245,AA8,IF(AA12="China",'China Holidays'!$A$2:$A$84,'Thai Holidays'!$A$2:$A$65))</f>
        <v>46310</v>
      </c>
      <c r="AB245" s="310">
        <f>WORKDAY(AA245,AB8,IF(AB12="China",'China Holidays'!$A$2:$A$84,'Thai Holidays'!$A$2:$A$65))</f>
        <v>46325</v>
      </c>
      <c r="AC245" s="310">
        <f>AB245+30</f>
        <v>46355</v>
      </c>
      <c r="AD245" s="310">
        <f>AC245</f>
        <v>46355</v>
      </c>
      <c r="AE245" s="310">
        <f>AD245+2</f>
        <v>46357</v>
      </c>
      <c r="AF245" s="310">
        <f>AG245-20</f>
        <v>46432</v>
      </c>
      <c r="AG245" s="310">
        <f>AH245-30</f>
        <v>46452</v>
      </c>
      <c r="AH245" s="310">
        <f>AM245</f>
        <v>46482</v>
      </c>
      <c r="AI245" s="310">
        <f>AM244+3</f>
        <v>46485</v>
      </c>
      <c r="AJ245" s="310">
        <f>AM244+30</f>
        <v>46512</v>
      </c>
      <c r="AK245" s="359"/>
      <c r="AL245" s="360"/>
      <c r="AM245" s="309">
        <f>X245+AL244</f>
        <v>46482</v>
      </c>
      <c r="AN245" s="309"/>
      <c r="AO245" s="361"/>
      <c r="AP245" s="362"/>
      <c r="AQ245" s="448"/>
      <c r="AR245" s="154"/>
      <c r="AS245" s="155"/>
      <c r="AT245" s="155"/>
      <c r="AU245" s="155"/>
      <c r="AV245" s="155"/>
      <c r="AW245" s="155"/>
      <c r="AX245" s="155"/>
      <c r="AY245" s="155"/>
      <c r="AZ245" s="155"/>
      <c r="BA245" s="155"/>
      <c r="BB245" s="155"/>
      <c r="BC245" s="156"/>
      <c r="BD245" s="176"/>
      <c r="BE245" s="176"/>
    </row>
    <row r="246" spans="1:57" s="78" customFormat="1" ht="24" thickTop="1" thickBot="1" x14ac:dyDescent="0.45">
      <c r="A246" s="460"/>
      <c r="B246" s="258" t="s">
        <v>508</v>
      </c>
      <c r="C246" s="285" t="s">
        <v>509</v>
      </c>
      <c r="D246" s="260" t="s">
        <v>510</v>
      </c>
      <c r="E246" s="363"/>
      <c r="F246" s="363"/>
      <c r="G246" s="289" t="s">
        <v>506</v>
      </c>
      <c r="H246" s="296" t="s">
        <v>361</v>
      </c>
      <c r="I246" s="285" t="s">
        <v>138</v>
      </c>
      <c r="J246" s="285" t="s">
        <v>95</v>
      </c>
      <c r="K246" s="285" t="s">
        <v>6</v>
      </c>
      <c r="L246" s="289"/>
      <c r="M246" s="364" t="s">
        <v>76</v>
      </c>
      <c r="N246" s="365" t="s">
        <v>87</v>
      </c>
      <c r="O246" s="287"/>
      <c r="P246" s="368">
        <v>46150</v>
      </c>
      <c r="Q246" s="287">
        <v>46173</v>
      </c>
      <c r="R246" s="287"/>
      <c r="S246" s="287"/>
      <c r="T246" s="287"/>
      <c r="U246" s="287"/>
      <c r="V246" s="287"/>
      <c r="W246" s="287"/>
      <c r="X246" s="287"/>
      <c r="Y246" s="287"/>
      <c r="Z246" s="287"/>
      <c r="AA246" s="287"/>
      <c r="AB246" s="287"/>
      <c r="AC246" s="287"/>
      <c r="AD246" s="287"/>
      <c r="AE246" s="287"/>
      <c r="AF246" s="287"/>
      <c r="AG246" s="287"/>
      <c r="AH246" s="287"/>
      <c r="AI246" s="287"/>
      <c r="AJ246" s="287"/>
      <c r="AK246" s="366"/>
      <c r="AL246" s="367"/>
      <c r="AM246" s="368"/>
      <c r="AN246" s="368"/>
      <c r="AO246" s="369"/>
      <c r="AP246" s="370"/>
      <c r="AQ246" s="449"/>
      <c r="AR246" s="191"/>
      <c r="AS246" s="192"/>
      <c r="AT246" s="192"/>
      <c r="AU246" s="192"/>
      <c r="AV246" s="192"/>
      <c r="AW246" s="192"/>
      <c r="AX246" s="192"/>
      <c r="AY246" s="192"/>
      <c r="AZ246" s="192"/>
      <c r="BA246" s="192"/>
      <c r="BB246" s="192"/>
      <c r="BC246" s="156"/>
      <c r="BD246" s="176"/>
      <c r="BE246" s="176"/>
    </row>
    <row r="247" spans="1:57" s="78" customFormat="1" ht="15.4" thickTop="1" thickBot="1" x14ac:dyDescent="0.45">
      <c r="A247" s="458">
        <f>A238+1</f>
        <v>70</v>
      </c>
      <c r="B247" s="139" t="s">
        <v>513</v>
      </c>
      <c r="C247" s="140" t="s">
        <v>514</v>
      </c>
      <c r="D247" s="194" t="s">
        <v>515</v>
      </c>
      <c r="E247" s="350"/>
      <c r="F247" s="350"/>
      <c r="G247" s="436" t="s">
        <v>440</v>
      </c>
      <c r="H247" s="291" t="s">
        <v>361</v>
      </c>
      <c r="I247" s="278" t="s">
        <v>138</v>
      </c>
      <c r="J247" s="278" t="s">
        <v>139</v>
      </c>
      <c r="K247" s="140" t="s">
        <v>9</v>
      </c>
      <c r="L247" s="202"/>
      <c r="M247" s="145" t="s">
        <v>150</v>
      </c>
      <c r="N247" s="146" t="s">
        <v>77</v>
      </c>
      <c r="O247" s="147">
        <v>46262</v>
      </c>
      <c r="P247" s="147">
        <v>46251</v>
      </c>
      <c r="Q247" s="147">
        <v>46265</v>
      </c>
      <c r="R247" s="147">
        <v>46265</v>
      </c>
      <c r="S247" s="147">
        <v>46265</v>
      </c>
      <c r="T247" s="147">
        <v>46272</v>
      </c>
      <c r="U247" s="147">
        <v>46281</v>
      </c>
      <c r="V247" s="147">
        <v>46295</v>
      </c>
      <c r="W247" s="147"/>
      <c r="X247" s="147">
        <v>46309</v>
      </c>
      <c r="Y247" s="147">
        <v>46311</v>
      </c>
      <c r="Z247" s="147">
        <v>46318</v>
      </c>
      <c r="AA247" s="147">
        <v>46332</v>
      </c>
      <c r="AB247" s="147">
        <v>46346</v>
      </c>
      <c r="AC247" s="147">
        <v>46356</v>
      </c>
      <c r="AD247" s="147">
        <v>46356</v>
      </c>
      <c r="AE247" s="147">
        <v>46358</v>
      </c>
      <c r="AF247" s="147">
        <v>46391</v>
      </c>
      <c r="AG247" s="147">
        <v>46398</v>
      </c>
      <c r="AH247" s="147">
        <v>46403</v>
      </c>
      <c r="AI247" s="147">
        <v>46406</v>
      </c>
      <c r="AJ247" s="147">
        <v>46433</v>
      </c>
      <c r="AK247" s="149">
        <v>13.4285714285714</v>
      </c>
      <c r="AL247" s="150">
        <v>94</v>
      </c>
      <c r="AM247" s="151">
        <v>46403</v>
      </c>
      <c r="AN247" s="151">
        <v>46486</v>
      </c>
      <c r="AO247" s="225">
        <f>AN247-AM248</f>
        <v>83</v>
      </c>
      <c r="AP247" s="235"/>
      <c r="AQ247" s="447"/>
      <c r="AR247" s="154">
        <f>IF(ISERROR(LOOKUP(AR$10,$O247:$AQ247,#REF!)),0,(LOOKUP(AR$10,$O247:$AQ247,#REF!)))</f>
        <v>0</v>
      </c>
      <c r="AS247" s="155">
        <f>IF(ISERROR(LOOKUP(AS$10,$O247:$AQ247,#REF!)),0,(LOOKUP(AS$10,$O247:$AQ247,#REF!)))</f>
        <v>0</v>
      </c>
      <c r="AT247" s="155">
        <f>IF(ISERROR(LOOKUP(AT$10,$O247:$AQ247,#REF!)),0,(LOOKUP(AT$10,$O247:$AQ247,#REF!)))</f>
        <v>0</v>
      </c>
      <c r="AU247" s="155">
        <f>IF(ISERROR(LOOKUP(AU$10,$O247:$AQ247,#REF!)),0,(LOOKUP(AU$10,$O247:$AQ247,#REF!)))</f>
        <v>0</v>
      </c>
      <c r="AV247" s="155">
        <f>IF(ISERROR(LOOKUP(AV$10,$O247:$AQ247,#REF!)),0,(LOOKUP(AV$10,$O247:$AQ247,#REF!)))</f>
        <v>0</v>
      </c>
      <c r="AW247" s="155">
        <f>IF(ISERROR(LOOKUP(AW$10,$O247:$AQ247,#REF!)),0,(LOOKUP(AW$10,$O247:$AQ247,#REF!)))</f>
        <v>0</v>
      </c>
      <c r="AX247" s="155">
        <f>IF(ISERROR(LOOKUP(AX$10,$O247:$AQ247,#REF!)),0,(LOOKUP(AX$10,$O247:$AQ247,#REF!)))</f>
        <v>0</v>
      </c>
      <c r="AY247" s="155">
        <f>IF(ISERROR(LOOKUP(AY$10,$O247:$AQ247,#REF!)),0,(LOOKUP(AY$10,$O247:$AQ247,#REF!)))</f>
        <v>0</v>
      </c>
      <c r="AZ247" s="155">
        <f>IF(ISERROR(LOOKUP(AZ$10,$O247:$AQ247,#REF!)),0,(LOOKUP(AZ$10,$O247:$AQ247,#REF!)))</f>
        <v>0</v>
      </c>
      <c r="BA247" s="155">
        <f>IF(ISERROR(LOOKUP(BA$10,$O247:$AQ247,#REF!)),0,(LOOKUP(BA$10,$O247:$AQ247,#REF!)))</f>
        <v>0</v>
      </c>
      <c r="BB247" s="155">
        <f ca="1">IF(ISERROR(LOOKUP(BB$10,$O247:$AQ247,#REF!)),0,(LOOKUP(BB$10,$O247:$AQ247,#REF!)))</f>
        <v>0</v>
      </c>
      <c r="BC247" s="156"/>
      <c r="BD247" s="176"/>
      <c r="BE247" s="176"/>
    </row>
    <row r="248" spans="1:57" s="78" customFormat="1" ht="15.4" thickTop="1" thickBot="1" x14ac:dyDescent="0.45">
      <c r="A248" s="459"/>
      <c r="B248" s="158" t="s">
        <v>513</v>
      </c>
      <c r="C248" s="197" t="s">
        <v>514</v>
      </c>
      <c r="D248" s="160" t="s">
        <v>515</v>
      </c>
      <c r="E248" s="371"/>
      <c r="F248" s="371"/>
      <c r="G248" s="292" t="s">
        <v>440</v>
      </c>
      <c r="H248" s="293" t="s">
        <v>361</v>
      </c>
      <c r="I248" s="294" t="s">
        <v>138</v>
      </c>
      <c r="J248" s="282" t="s">
        <v>139</v>
      </c>
      <c r="K248" s="197" t="s">
        <v>9</v>
      </c>
      <c r="L248" s="204"/>
      <c r="M248" s="165" t="s">
        <v>150</v>
      </c>
      <c r="N248" s="166" t="s">
        <v>84</v>
      </c>
      <c r="O248" s="167">
        <f>O247</f>
        <v>46262</v>
      </c>
      <c r="P248" s="168">
        <f>P247</f>
        <v>46251</v>
      </c>
      <c r="Q248" s="168">
        <f>WORKDAY(P248,Q9,IF(Q12="China",'China Holidays'!$A$2:$A$84,'Thai Holidays'!$A$2:$A$65))</f>
        <v>46265</v>
      </c>
      <c r="R248" s="168">
        <f>WORKDAY(Q248,R9,IF(R12="China",'China Holidays'!$A$2:$A$84,'Thai Holidays'!$A$2:$A$65))</f>
        <v>46265</v>
      </c>
      <c r="S248" s="168">
        <f>WORKDAY(R248,S9,IF(S12="China",'China Holidays'!$A$2:$A$84,'Thai Holidays'!$A$2:$A$65))</f>
        <v>46265</v>
      </c>
      <c r="T248" s="168">
        <f>WORKDAY(S248,T9,IF(T12="China",'China Holidays'!$A$2:$A$84,'Thai Holidays'!$A$2:$A$65))</f>
        <v>46272</v>
      </c>
      <c r="U248" s="168">
        <f>WORKDAY(T248,U9,IF(U12="China",'China Holidays'!$A$2:$A$84,'Thai Holidays'!$A$2:$A$65))</f>
        <v>46281</v>
      </c>
      <c r="V248" s="168">
        <f>WORKDAY(U248,V9,IF(V12="China",'China Holidays'!$A$2:$A$84,'Thai Holidays'!$A$2:$A$65))</f>
        <v>46295</v>
      </c>
      <c r="W248" s="168"/>
      <c r="X248" s="168">
        <f>WORKDAY(V248,X9,IF(X12="China",'China Holidays'!$A$2:$A$84,'Thai Holidays'!$A$2:$A$65))</f>
        <v>46309</v>
      </c>
      <c r="Y248" s="168">
        <f>WORKDAY(X248,Y9,IF(Y12="China",'China Holidays'!$A$2:$A$84,'Thai Holidays'!$A$2:$A$65))</f>
        <v>46311</v>
      </c>
      <c r="Z248" s="168">
        <f>WORKDAY(Y248,Z9,IF(Z12="China",'China Holidays'!$A$2:$A$84,'Thai Holidays'!$A$2:$A$65))</f>
        <v>46318</v>
      </c>
      <c r="AA248" s="168">
        <f>WORKDAY(Z248,AA9,IF(AA12="China",'China Holidays'!$A$2:$A$84,'Thai Holidays'!$A$2:$A$65))</f>
        <v>46332</v>
      </c>
      <c r="AB248" s="168">
        <f>WORKDAY(AA248,AB9,IF(AB12="China",'China Holidays'!$A$2:$A$84,'Thai Holidays'!$A$2:$A$65))</f>
        <v>46346</v>
      </c>
      <c r="AC248" s="168">
        <f>AB248+10</f>
        <v>46356</v>
      </c>
      <c r="AD248" s="168">
        <f>AC248</f>
        <v>46356</v>
      </c>
      <c r="AE248" s="168">
        <f>AD248+2</f>
        <v>46358</v>
      </c>
      <c r="AF248" s="168">
        <f>AG248-7</f>
        <v>46391</v>
      </c>
      <c r="AG248" s="168">
        <f>AH248-5</f>
        <v>46398</v>
      </c>
      <c r="AH248" s="168">
        <f>AM247</f>
        <v>46403</v>
      </c>
      <c r="AI248" s="168">
        <f>AM247+3</f>
        <v>46406</v>
      </c>
      <c r="AJ248" s="168">
        <f>AM247+30</f>
        <v>46433</v>
      </c>
      <c r="AK248" s="169"/>
      <c r="AL248" s="230"/>
      <c r="AM248" s="170">
        <f>X248+AL247</f>
        <v>46403</v>
      </c>
      <c r="AN248" s="170"/>
      <c r="AO248" s="171"/>
      <c r="AP248" s="172"/>
      <c r="AQ248" s="448"/>
      <c r="AR248" s="154">
        <f>IF(ISERROR(LOOKUP(AR$10,$O248:$AQ248,#REF!)),0,(LOOKUP(AR$10,$O248:$AQ248,#REF!)))</f>
        <v>0</v>
      </c>
      <c r="AS248" s="155">
        <f>IF(ISERROR(LOOKUP(AS$10,$O248:$AQ248,#REF!)),0,(LOOKUP(AS$10,$O248:$AQ248,#REF!)))</f>
        <v>0</v>
      </c>
      <c r="AT248" s="155">
        <f>IF(ISERROR(LOOKUP(AT$10,$O248:$AQ248,#REF!)),0,(LOOKUP(AT$10,$O248:$AQ248,#REF!)))</f>
        <v>0</v>
      </c>
      <c r="AU248" s="155">
        <f>IF(ISERROR(LOOKUP(AU$10,$O248:$AQ248,#REF!)),0,(LOOKUP(AU$10,$O248:$AQ248,#REF!)))</f>
        <v>0</v>
      </c>
      <c r="AV248" s="155">
        <f>IF(ISERROR(LOOKUP(AV$10,$O248:$AQ248,#REF!)),0,(LOOKUP(AV$10,$O248:$AQ248,#REF!)))</f>
        <v>0</v>
      </c>
      <c r="AW248" s="155">
        <f>IF(ISERROR(LOOKUP(AW$10,$O248:$AQ248,#REF!)),0,(LOOKUP(AW$10,$O248:$AQ248,#REF!)))</f>
        <v>0</v>
      </c>
      <c r="AX248" s="155">
        <f>IF(ISERROR(LOOKUP(AX$10,$O248:$AQ248,#REF!)),0,(LOOKUP(AX$10,$O248:$AQ248,#REF!)))</f>
        <v>0</v>
      </c>
      <c r="AY248" s="155">
        <f>IF(ISERROR(LOOKUP(AY$10,$O248:$AQ248,#REF!)),0,(LOOKUP(AY$10,$O248:$AQ248,#REF!)))</f>
        <v>0</v>
      </c>
      <c r="AZ248" s="155">
        <f>IF(ISERROR(LOOKUP(AZ$10,$O248:$AQ248,#REF!)),0,(LOOKUP(AZ$10,$O248:$AQ248,#REF!)))</f>
        <v>0</v>
      </c>
      <c r="BA248" s="155">
        <f>IF(ISERROR(LOOKUP(BA$10,$O248:$AQ248,#REF!)),0,(LOOKUP(BA$10,$O248:$AQ248,#REF!)))</f>
        <v>0</v>
      </c>
      <c r="BB248" s="155">
        <f ca="1">IF(ISERROR(LOOKUP(BB$10,$O248:$AQ248,#REF!)),0,(LOOKUP(BB$10,$O248:$AQ248,#REF!)))</f>
        <v>0</v>
      </c>
      <c r="BC248" s="156"/>
      <c r="BD248" s="176"/>
      <c r="BE248" s="176"/>
    </row>
    <row r="249" spans="1:57" s="78" customFormat="1" ht="15.4" thickTop="1" thickBot="1" x14ac:dyDescent="0.45">
      <c r="A249" s="460"/>
      <c r="B249" s="177" t="s">
        <v>513</v>
      </c>
      <c r="C249" s="178" t="s">
        <v>514</v>
      </c>
      <c r="D249" s="209" t="s">
        <v>515</v>
      </c>
      <c r="E249" s="372"/>
      <c r="F249" s="372"/>
      <c r="G249" s="295" t="s">
        <v>440</v>
      </c>
      <c r="H249" s="296" t="s">
        <v>361</v>
      </c>
      <c r="I249" s="285" t="s">
        <v>138</v>
      </c>
      <c r="J249" s="285" t="s">
        <v>139</v>
      </c>
      <c r="K249" s="178" t="s">
        <v>9</v>
      </c>
      <c r="L249" s="209"/>
      <c r="M249" s="184" t="s">
        <v>150</v>
      </c>
      <c r="N249" s="185" t="s">
        <v>87</v>
      </c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  <c r="AA249" s="186"/>
      <c r="AB249" s="186"/>
      <c r="AC249" s="186"/>
      <c r="AD249" s="186"/>
      <c r="AE249" s="186"/>
      <c r="AF249" s="186"/>
      <c r="AG249" s="186"/>
      <c r="AH249" s="186"/>
      <c r="AI249" s="186"/>
      <c r="AJ249" s="186"/>
      <c r="AK249" s="188"/>
      <c r="AL249" s="211"/>
      <c r="AM249" s="187"/>
      <c r="AN249" s="187"/>
      <c r="AO249" s="189"/>
      <c r="AP249" s="190"/>
      <c r="AQ249" s="449"/>
      <c r="AR249" s="191">
        <f>IF(ISERROR(LOOKUP(AR$10,$O249:$AQ249,#REF!)),0,(LOOKUP(AR$10,$O249:$AQ249,#REF!)))</f>
        <v>0</v>
      </c>
      <c r="AS249" s="192">
        <f>IF(ISERROR(LOOKUP(AS$10,$O249:$AQ249,#REF!)),0,(LOOKUP(AS$10,$O249:$AQ249,#REF!)))</f>
        <v>0</v>
      </c>
      <c r="AT249" s="192">
        <f>IF(ISERROR(LOOKUP(AT$10,$O249:$AQ249,#REF!)),0,(LOOKUP(AT$10,$O249:$AQ249,#REF!)))</f>
        <v>0</v>
      </c>
      <c r="AU249" s="192">
        <f>IF(ISERROR(LOOKUP(AU$10,$O249:$AQ249,#REF!)),0,(LOOKUP(AU$10,$O249:$AQ249,#REF!)))</f>
        <v>0</v>
      </c>
      <c r="AV249" s="192">
        <f>IF(ISERROR(LOOKUP(AV$10,$O249:$AQ249,#REF!)),0,(LOOKUP(AV$10,$O249:$AQ249,#REF!)))</f>
        <v>0</v>
      </c>
      <c r="AW249" s="192">
        <f>IF(ISERROR(LOOKUP(AW$10,$O249:$AQ249,#REF!)),0,(LOOKUP(AW$10,$O249:$AQ249,#REF!)))</f>
        <v>0</v>
      </c>
      <c r="AX249" s="192">
        <f>IF(ISERROR(LOOKUP(AX$10,$O249:$AQ249,#REF!)),0,(LOOKUP(AX$10,$O249:$AQ249,#REF!)))</f>
        <v>0</v>
      </c>
      <c r="AY249" s="192">
        <f>IF(ISERROR(LOOKUP(AY$10,$O249:$AQ249,#REF!)),0,(LOOKUP(AY$10,$O249:$AQ249,#REF!)))</f>
        <v>0</v>
      </c>
      <c r="AZ249" s="192">
        <f>IF(ISERROR(LOOKUP(AZ$10,$O249:$AQ249,#REF!)),0,(LOOKUP(AZ$10,$O249:$AQ249,#REF!)))</f>
        <v>0</v>
      </c>
      <c r="BA249" s="192">
        <f>IF(ISERROR(LOOKUP(BA$10,$O249:$AQ249,#REF!)),0,(LOOKUP(BA$10,$O249:$AQ249,#REF!)))</f>
        <v>0</v>
      </c>
      <c r="BB249" s="192">
        <f ca="1">IF(ISERROR(LOOKUP(BB$10,$O249:$AQ249,#REF!)),0,(LOOKUP(BB$10,$O249:$AQ249,#REF!)))</f>
        <v>0</v>
      </c>
      <c r="BC249" s="156"/>
      <c r="BD249" s="176"/>
      <c r="BE249" s="176"/>
    </row>
    <row r="250" spans="1:57" s="78" customFormat="1" ht="15.4" thickTop="1" thickBot="1" x14ac:dyDescent="0.45">
      <c r="A250" s="458"/>
      <c r="B250" s="139" t="s">
        <v>513</v>
      </c>
      <c r="C250" s="278" t="s">
        <v>516</v>
      </c>
      <c r="D250" s="351" t="s">
        <v>517</v>
      </c>
      <c r="E250" s="350"/>
      <c r="F250" s="350"/>
      <c r="G250" s="436" t="s">
        <v>440</v>
      </c>
      <c r="H250" s="291" t="s">
        <v>361</v>
      </c>
      <c r="I250" s="278" t="s">
        <v>138</v>
      </c>
      <c r="J250" s="278" t="s">
        <v>139</v>
      </c>
      <c r="K250" s="140" t="s">
        <v>9</v>
      </c>
      <c r="L250" s="202" t="s">
        <v>518</v>
      </c>
      <c r="M250" s="145" t="s">
        <v>150</v>
      </c>
      <c r="N250" s="146" t="s">
        <v>77</v>
      </c>
      <c r="O250" s="147">
        <v>46262</v>
      </c>
      <c r="P250" s="147">
        <v>46251</v>
      </c>
      <c r="Q250" s="147">
        <v>46265</v>
      </c>
      <c r="R250" s="147">
        <v>46265</v>
      </c>
      <c r="S250" s="147">
        <v>46265</v>
      </c>
      <c r="T250" s="147">
        <v>46272</v>
      </c>
      <c r="U250" s="147">
        <v>46281</v>
      </c>
      <c r="V250" s="147">
        <v>46295</v>
      </c>
      <c r="W250" s="147"/>
      <c r="X250" s="147">
        <v>46309</v>
      </c>
      <c r="Y250" s="147">
        <v>46311</v>
      </c>
      <c r="Z250" s="147">
        <v>46318</v>
      </c>
      <c r="AA250" s="147">
        <v>46332</v>
      </c>
      <c r="AB250" s="147">
        <v>46346</v>
      </c>
      <c r="AC250" s="147">
        <v>46356</v>
      </c>
      <c r="AD250" s="147">
        <v>46356</v>
      </c>
      <c r="AE250" s="147">
        <v>46358</v>
      </c>
      <c r="AF250" s="147">
        <v>46391</v>
      </c>
      <c r="AG250" s="147">
        <v>46398</v>
      </c>
      <c r="AH250" s="147">
        <v>46403</v>
      </c>
      <c r="AI250" s="147">
        <v>46406</v>
      </c>
      <c r="AJ250" s="147">
        <v>46433</v>
      </c>
      <c r="AK250" s="149">
        <v>13.4285714285714</v>
      </c>
      <c r="AL250" s="150">
        <v>94</v>
      </c>
      <c r="AM250" s="151">
        <v>46403</v>
      </c>
      <c r="AN250" s="151">
        <v>46486</v>
      </c>
      <c r="AO250" s="225">
        <f>AN250-AM251</f>
        <v>83</v>
      </c>
      <c r="AP250" s="235"/>
      <c r="AQ250" s="447"/>
      <c r="AR250" s="154"/>
      <c r="AS250" s="155"/>
      <c r="AT250" s="155"/>
      <c r="AU250" s="155"/>
      <c r="AV250" s="155"/>
      <c r="AW250" s="155"/>
      <c r="AX250" s="155"/>
      <c r="AY250" s="155"/>
      <c r="AZ250" s="155"/>
      <c r="BA250" s="155"/>
      <c r="BB250" s="155"/>
      <c r="BC250" s="156"/>
      <c r="BD250" s="176"/>
      <c r="BE250" s="176"/>
    </row>
    <row r="251" spans="1:57" s="78" customFormat="1" ht="15.4" thickTop="1" thickBot="1" x14ac:dyDescent="0.45">
      <c r="A251" s="459"/>
      <c r="B251" s="158" t="s">
        <v>513</v>
      </c>
      <c r="C251" s="282" t="s">
        <v>516</v>
      </c>
      <c r="D251" s="292" t="s">
        <v>517</v>
      </c>
      <c r="E251" s="371"/>
      <c r="F251" s="371"/>
      <c r="G251" s="292" t="s">
        <v>440</v>
      </c>
      <c r="H251" s="293" t="s">
        <v>361</v>
      </c>
      <c r="I251" s="294" t="s">
        <v>138</v>
      </c>
      <c r="J251" s="282" t="s">
        <v>139</v>
      </c>
      <c r="K251" s="197" t="s">
        <v>9</v>
      </c>
      <c r="L251" s="204"/>
      <c r="M251" s="165" t="s">
        <v>150</v>
      </c>
      <c r="N251" s="166" t="s">
        <v>84</v>
      </c>
      <c r="O251" s="167">
        <f>O250</f>
        <v>46262</v>
      </c>
      <c r="P251" s="168">
        <f>P250</f>
        <v>46251</v>
      </c>
      <c r="Q251" s="168">
        <f>WORKDAY(P251,Q9,IF(Q12="China",'China Holidays'!$A$2:$A$84,'Thai Holidays'!$A$2:$A$65))</f>
        <v>46265</v>
      </c>
      <c r="R251" s="168">
        <f>WORKDAY(Q251,R9,IF(R12="China",'China Holidays'!$A$2:$A$84,'Thai Holidays'!$A$2:$A$65))</f>
        <v>46265</v>
      </c>
      <c r="S251" s="168">
        <f>WORKDAY(R251,S9,IF(S12="China",'China Holidays'!$A$2:$A$84,'Thai Holidays'!$A$2:$A$65))</f>
        <v>46265</v>
      </c>
      <c r="T251" s="168">
        <f>WORKDAY(S251,T9,IF(T12="China",'China Holidays'!$A$2:$A$84,'Thai Holidays'!$A$2:$A$65))</f>
        <v>46272</v>
      </c>
      <c r="U251" s="168">
        <f>WORKDAY(T251,U9,IF(U12="China",'China Holidays'!$A$2:$A$84,'Thai Holidays'!$A$2:$A$65))</f>
        <v>46281</v>
      </c>
      <c r="V251" s="168">
        <f>WORKDAY(U251,V9,IF(V12="China",'China Holidays'!$A$2:$A$84,'Thai Holidays'!$A$2:$A$65))</f>
        <v>46295</v>
      </c>
      <c r="W251" s="168"/>
      <c r="X251" s="168">
        <f>WORKDAY(V251,X9,IF(X12="China",'China Holidays'!$A$2:$A$84,'Thai Holidays'!$A$2:$A$65))</f>
        <v>46309</v>
      </c>
      <c r="Y251" s="168">
        <f>WORKDAY(X251,Y9,IF(Y12="China",'China Holidays'!$A$2:$A$84,'Thai Holidays'!$A$2:$A$65))</f>
        <v>46311</v>
      </c>
      <c r="Z251" s="168">
        <f>WORKDAY(Y251,Z9,IF(Z12="China",'China Holidays'!$A$2:$A$84,'Thai Holidays'!$A$2:$A$65))</f>
        <v>46318</v>
      </c>
      <c r="AA251" s="168">
        <f>WORKDAY(Z251,AA9,IF(AA12="China",'China Holidays'!$A$2:$A$84,'Thai Holidays'!$A$2:$A$65))</f>
        <v>46332</v>
      </c>
      <c r="AB251" s="168">
        <f>WORKDAY(AA251,AB9,IF(AB12="China",'China Holidays'!$A$2:$A$84,'Thai Holidays'!$A$2:$A$65))</f>
        <v>46346</v>
      </c>
      <c r="AC251" s="168">
        <f>AB251+10</f>
        <v>46356</v>
      </c>
      <c r="AD251" s="168">
        <f>AC251</f>
        <v>46356</v>
      </c>
      <c r="AE251" s="168">
        <f>AD251+2</f>
        <v>46358</v>
      </c>
      <c r="AF251" s="168">
        <f>AG251-7</f>
        <v>46391</v>
      </c>
      <c r="AG251" s="168">
        <f>AH251-5</f>
        <v>46398</v>
      </c>
      <c r="AH251" s="168">
        <f>AM250</f>
        <v>46403</v>
      </c>
      <c r="AI251" s="168">
        <f>AM250+3</f>
        <v>46406</v>
      </c>
      <c r="AJ251" s="168">
        <f>AM250+30</f>
        <v>46433</v>
      </c>
      <c r="AK251" s="169"/>
      <c r="AL251" s="230"/>
      <c r="AM251" s="170">
        <f>X251+AL250</f>
        <v>46403</v>
      </c>
      <c r="AN251" s="170"/>
      <c r="AO251" s="171"/>
      <c r="AP251" s="172"/>
      <c r="AQ251" s="448"/>
      <c r="AR251" s="154"/>
      <c r="AS251" s="155"/>
      <c r="AT251" s="155"/>
      <c r="AU251" s="155"/>
      <c r="AV251" s="155"/>
      <c r="AW251" s="155"/>
      <c r="AX251" s="155"/>
      <c r="AY251" s="155"/>
      <c r="AZ251" s="155"/>
      <c r="BA251" s="155"/>
      <c r="BB251" s="155"/>
      <c r="BC251" s="156"/>
      <c r="BD251" s="176"/>
      <c r="BE251" s="176"/>
    </row>
    <row r="252" spans="1:57" s="78" customFormat="1" ht="15.4" thickTop="1" thickBot="1" x14ac:dyDescent="0.45">
      <c r="A252" s="460"/>
      <c r="B252" s="177" t="s">
        <v>513</v>
      </c>
      <c r="C252" s="285" t="s">
        <v>516</v>
      </c>
      <c r="D252" s="289" t="s">
        <v>517</v>
      </c>
      <c r="E252" s="363"/>
      <c r="F252" s="363"/>
      <c r="G252" s="295" t="s">
        <v>440</v>
      </c>
      <c r="H252" s="296" t="s">
        <v>361</v>
      </c>
      <c r="I252" s="285" t="s">
        <v>138</v>
      </c>
      <c r="J252" s="285" t="s">
        <v>139</v>
      </c>
      <c r="K252" s="178" t="s">
        <v>9</v>
      </c>
      <c r="L252" s="207"/>
      <c r="M252" s="184" t="s">
        <v>150</v>
      </c>
      <c r="N252" s="185" t="s">
        <v>87</v>
      </c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  <c r="AA252" s="186"/>
      <c r="AB252" s="186"/>
      <c r="AC252" s="186"/>
      <c r="AD252" s="186"/>
      <c r="AE252" s="186"/>
      <c r="AF252" s="186"/>
      <c r="AG252" s="186"/>
      <c r="AH252" s="186"/>
      <c r="AI252" s="186"/>
      <c r="AJ252" s="186"/>
      <c r="AK252" s="188"/>
      <c r="AL252" s="211"/>
      <c r="AM252" s="187"/>
      <c r="AN252" s="187"/>
      <c r="AO252" s="189"/>
      <c r="AP252" s="190"/>
      <c r="AQ252" s="449"/>
      <c r="AR252" s="191"/>
      <c r="AS252" s="192"/>
      <c r="AT252" s="192"/>
      <c r="AU252" s="192"/>
      <c r="AV252" s="192"/>
      <c r="AW252" s="192"/>
      <c r="AX252" s="192"/>
      <c r="AY252" s="192"/>
      <c r="AZ252" s="192"/>
      <c r="BA252" s="192"/>
      <c r="BB252" s="192"/>
      <c r="BC252" s="156"/>
      <c r="BD252" s="176"/>
      <c r="BE252" s="176"/>
    </row>
    <row r="253" spans="1:57" s="78" customFormat="1" ht="15.4" thickTop="1" thickBot="1" x14ac:dyDescent="0.45">
      <c r="A253" s="458"/>
      <c r="B253" s="139" t="s">
        <v>513</v>
      </c>
      <c r="C253" s="278" t="s">
        <v>519</v>
      </c>
      <c r="D253" s="351" t="s">
        <v>520</v>
      </c>
      <c r="E253" s="202"/>
      <c r="F253" s="202"/>
      <c r="G253" s="427" t="s">
        <v>440</v>
      </c>
      <c r="H253" s="143" t="s">
        <v>361</v>
      </c>
      <c r="I253" s="140" t="s">
        <v>138</v>
      </c>
      <c r="J253" s="140" t="s">
        <v>139</v>
      </c>
      <c r="K253" s="140" t="s">
        <v>9</v>
      </c>
      <c r="L253" s="202" t="s">
        <v>521</v>
      </c>
      <c r="M253" s="145" t="s">
        <v>150</v>
      </c>
      <c r="N253" s="146" t="s">
        <v>77</v>
      </c>
      <c r="O253" s="147">
        <v>46262</v>
      </c>
      <c r="P253" s="147">
        <v>46251</v>
      </c>
      <c r="Q253" s="147">
        <v>46265</v>
      </c>
      <c r="R253" s="147">
        <v>46265</v>
      </c>
      <c r="S253" s="147">
        <v>46265</v>
      </c>
      <c r="T253" s="147">
        <v>46272</v>
      </c>
      <c r="U253" s="147">
        <v>46281</v>
      </c>
      <c r="V253" s="147">
        <v>46295</v>
      </c>
      <c r="W253" s="147"/>
      <c r="X253" s="147">
        <v>46309</v>
      </c>
      <c r="Y253" s="147">
        <v>46311</v>
      </c>
      <c r="Z253" s="147">
        <v>46318</v>
      </c>
      <c r="AA253" s="147">
        <v>46332</v>
      </c>
      <c r="AB253" s="147">
        <v>46346</v>
      </c>
      <c r="AC253" s="147">
        <v>46356</v>
      </c>
      <c r="AD253" s="147">
        <v>46356</v>
      </c>
      <c r="AE253" s="147">
        <v>46358</v>
      </c>
      <c r="AF253" s="147">
        <v>46391</v>
      </c>
      <c r="AG253" s="147">
        <v>46398</v>
      </c>
      <c r="AH253" s="147">
        <v>46403</v>
      </c>
      <c r="AI253" s="147">
        <v>46406</v>
      </c>
      <c r="AJ253" s="147">
        <v>46433</v>
      </c>
      <c r="AK253" s="149">
        <v>13.4285714285714</v>
      </c>
      <c r="AL253" s="150">
        <v>94</v>
      </c>
      <c r="AM253" s="151">
        <v>46403</v>
      </c>
      <c r="AN253" s="151">
        <v>46486</v>
      </c>
      <c r="AO253" s="225">
        <f>AN253-AM254</f>
        <v>83</v>
      </c>
      <c r="AP253" s="235"/>
      <c r="AQ253" s="447"/>
      <c r="AR253" s="154"/>
      <c r="AS253" s="155"/>
      <c r="AT253" s="155"/>
      <c r="AU253" s="155"/>
      <c r="AV253" s="155"/>
      <c r="AW253" s="155"/>
      <c r="AX253" s="155"/>
      <c r="AY253" s="155"/>
      <c r="AZ253" s="155"/>
      <c r="BA253" s="155"/>
      <c r="BB253" s="155"/>
      <c r="BC253" s="156"/>
      <c r="BD253" s="176"/>
      <c r="BE253" s="176"/>
    </row>
    <row r="254" spans="1:57" s="78" customFormat="1" ht="15.4" thickTop="1" thickBot="1" x14ac:dyDescent="0.45">
      <c r="A254" s="459"/>
      <c r="B254" s="158" t="s">
        <v>513</v>
      </c>
      <c r="C254" s="282" t="s">
        <v>519</v>
      </c>
      <c r="D254" s="292" t="s">
        <v>520</v>
      </c>
      <c r="E254" s="205"/>
      <c r="F254" s="205"/>
      <c r="G254" s="204" t="s">
        <v>440</v>
      </c>
      <c r="H254" s="228" t="s">
        <v>361</v>
      </c>
      <c r="I254" s="159" t="s">
        <v>138</v>
      </c>
      <c r="J254" s="197" t="s">
        <v>139</v>
      </c>
      <c r="K254" s="197" t="s">
        <v>9</v>
      </c>
      <c r="L254" s="204"/>
      <c r="M254" s="165" t="s">
        <v>150</v>
      </c>
      <c r="N254" s="166" t="s">
        <v>84</v>
      </c>
      <c r="O254" s="167">
        <f>O253</f>
        <v>46262</v>
      </c>
      <c r="P254" s="168">
        <f>P253</f>
        <v>46251</v>
      </c>
      <c r="Q254" s="168">
        <f>WORKDAY(P254,Q9,IF(Q12="China",'China Holidays'!$A$2:$A$84,'Thai Holidays'!$A$2:$A$65))</f>
        <v>46265</v>
      </c>
      <c r="R254" s="168">
        <f>WORKDAY(Q254,R9,IF(R12="China",'China Holidays'!$A$2:$A$84,'Thai Holidays'!$A$2:$A$65))</f>
        <v>46265</v>
      </c>
      <c r="S254" s="168">
        <f>WORKDAY(R254,S9,IF(S12="China",'China Holidays'!$A$2:$A$84,'Thai Holidays'!$A$2:$A$65))</f>
        <v>46265</v>
      </c>
      <c r="T254" s="168">
        <f>WORKDAY(S254,T9,IF(T12="China",'China Holidays'!$A$2:$A$84,'Thai Holidays'!$A$2:$A$65))</f>
        <v>46272</v>
      </c>
      <c r="U254" s="168">
        <f>WORKDAY(T254,U9,IF(U12="China",'China Holidays'!$A$2:$A$84,'Thai Holidays'!$A$2:$A$65))</f>
        <v>46281</v>
      </c>
      <c r="V254" s="168">
        <f>WORKDAY(U254,V9,IF(V12="China",'China Holidays'!$A$2:$A$84,'Thai Holidays'!$A$2:$A$65))</f>
        <v>46295</v>
      </c>
      <c r="W254" s="168"/>
      <c r="X254" s="168">
        <f>WORKDAY(V254,X9,IF(X12="China",'China Holidays'!$A$2:$A$84,'Thai Holidays'!$A$2:$A$65))</f>
        <v>46309</v>
      </c>
      <c r="Y254" s="168">
        <f>WORKDAY(X254,Y9,IF(Y12="China",'China Holidays'!$A$2:$A$84,'Thai Holidays'!$A$2:$A$65))</f>
        <v>46311</v>
      </c>
      <c r="Z254" s="168">
        <f>WORKDAY(Y254,Z9,IF(Z12="China",'China Holidays'!$A$2:$A$84,'Thai Holidays'!$A$2:$A$65))</f>
        <v>46318</v>
      </c>
      <c r="AA254" s="168">
        <f>WORKDAY(Z254,AA9,IF(AA12="China",'China Holidays'!$A$2:$A$84,'Thai Holidays'!$A$2:$A$65))</f>
        <v>46332</v>
      </c>
      <c r="AB254" s="168">
        <f>WORKDAY(AA254,AB9,IF(AB12="China",'China Holidays'!$A$2:$A$84,'Thai Holidays'!$A$2:$A$65))</f>
        <v>46346</v>
      </c>
      <c r="AC254" s="168">
        <f>AB254+10</f>
        <v>46356</v>
      </c>
      <c r="AD254" s="168">
        <f>AC254</f>
        <v>46356</v>
      </c>
      <c r="AE254" s="168">
        <f>AD254+2</f>
        <v>46358</v>
      </c>
      <c r="AF254" s="168">
        <f>AG254-7</f>
        <v>46391</v>
      </c>
      <c r="AG254" s="168">
        <f>AH254-5</f>
        <v>46398</v>
      </c>
      <c r="AH254" s="168">
        <f>AM253</f>
        <v>46403</v>
      </c>
      <c r="AI254" s="168">
        <f>AM253+3</f>
        <v>46406</v>
      </c>
      <c r="AJ254" s="168">
        <f>AM253+30</f>
        <v>46433</v>
      </c>
      <c r="AK254" s="169"/>
      <c r="AL254" s="230"/>
      <c r="AM254" s="170">
        <f>X254+AL253</f>
        <v>46403</v>
      </c>
      <c r="AN254" s="170"/>
      <c r="AO254" s="171"/>
      <c r="AP254" s="172"/>
      <c r="AQ254" s="448"/>
      <c r="AR254" s="154"/>
      <c r="AS254" s="155"/>
      <c r="AT254" s="155"/>
      <c r="AU254" s="155"/>
      <c r="AV254" s="155"/>
      <c r="AW254" s="155"/>
      <c r="AX254" s="155"/>
      <c r="AY254" s="155"/>
      <c r="AZ254" s="155"/>
      <c r="BA254" s="155"/>
      <c r="BB254" s="155"/>
      <c r="BC254" s="156"/>
      <c r="BD254" s="176"/>
      <c r="BE254" s="176"/>
    </row>
    <row r="255" spans="1:57" s="78" customFormat="1" ht="15.4" thickTop="1" thickBot="1" x14ac:dyDescent="0.45">
      <c r="A255" s="460"/>
      <c r="B255" s="177" t="s">
        <v>513</v>
      </c>
      <c r="C255" s="285" t="s">
        <v>519</v>
      </c>
      <c r="D255" s="289" t="s">
        <v>520</v>
      </c>
      <c r="E255" s="215"/>
      <c r="F255" s="215"/>
      <c r="G255" s="209" t="s">
        <v>440</v>
      </c>
      <c r="H255" s="182" t="s">
        <v>361</v>
      </c>
      <c r="I255" s="178" t="s">
        <v>138</v>
      </c>
      <c r="J255" s="178" t="s">
        <v>139</v>
      </c>
      <c r="K255" s="178" t="s">
        <v>9</v>
      </c>
      <c r="L255" s="207"/>
      <c r="M255" s="184" t="s">
        <v>150</v>
      </c>
      <c r="N255" s="185" t="s">
        <v>87</v>
      </c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  <c r="AA255" s="186"/>
      <c r="AB255" s="186"/>
      <c r="AC255" s="186"/>
      <c r="AD255" s="186"/>
      <c r="AE255" s="186"/>
      <c r="AF255" s="186"/>
      <c r="AG255" s="186"/>
      <c r="AH255" s="186"/>
      <c r="AI255" s="186"/>
      <c r="AJ255" s="186"/>
      <c r="AK255" s="188"/>
      <c r="AL255" s="211"/>
      <c r="AM255" s="187"/>
      <c r="AN255" s="187"/>
      <c r="AO255" s="189"/>
      <c r="AP255" s="190"/>
      <c r="AQ255" s="449"/>
      <c r="AR255" s="191"/>
      <c r="AS255" s="192"/>
      <c r="AT255" s="192"/>
      <c r="AU255" s="192"/>
      <c r="AV255" s="192"/>
      <c r="AW255" s="192"/>
      <c r="AX255" s="192"/>
      <c r="AY255" s="192"/>
      <c r="AZ255" s="192"/>
      <c r="BA255" s="192"/>
      <c r="BB255" s="192"/>
      <c r="BC255" s="156"/>
      <c r="BD255" s="176"/>
      <c r="BE255" s="176"/>
    </row>
    <row r="256" spans="1:57" s="78" customFormat="1" ht="35.65" thickTop="1" thickBot="1" x14ac:dyDescent="0.45">
      <c r="A256" s="458">
        <f>A247+1</f>
        <v>71</v>
      </c>
      <c r="B256" s="139" t="s">
        <v>513</v>
      </c>
      <c r="C256" s="140" t="s">
        <v>522</v>
      </c>
      <c r="D256" s="203" t="s">
        <v>523</v>
      </c>
      <c r="E256" s="202"/>
      <c r="F256" s="202"/>
      <c r="G256" s="427" t="s">
        <v>440</v>
      </c>
      <c r="H256" s="143" t="s">
        <v>361</v>
      </c>
      <c r="I256" s="140" t="s">
        <v>138</v>
      </c>
      <c r="J256" s="140" t="s">
        <v>95</v>
      </c>
      <c r="K256" s="140" t="s">
        <v>9</v>
      </c>
      <c r="L256" s="203"/>
      <c r="M256" s="145" t="s">
        <v>150</v>
      </c>
      <c r="N256" s="146" t="s">
        <v>77</v>
      </c>
      <c r="O256" s="147">
        <v>46272</v>
      </c>
      <c r="P256" s="147">
        <v>46270</v>
      </c>
      <c r="Q256" s="147">
        <v>46283</v>
      </c>
      <c r="R256" s="147">
        <v>46283</v>
      </c>
      <c r="S256" s="147">
        <v>46283</v>
      </c>
      <c r="T256" s="147">
        <v>46293</v>
      </c>
      <c r="U256" s="147">
        <v>46302</v>
      </c>
      <c r="V256" s="147">
        <v>46317</v>
      </c>
      <c r="W256" s="147"/>
      <c r="X256" s="147">
        <v>46324</v>
      </c>
      <c r="Y256" s="147">
        <v>46328</v>
      </c>
      <c r="Z256" s="147">
        <v>46335</v>
      </c>
      <c r="AA256" s="147">
        <v>46349</v>
      </c>
      <c r="AB256" s="147">
        <v>46364</v>
      </c>
      <c r="AC256" s="147">
        <v>46374</v>
      </c>
      <c r="AD256" s="147">
        <v>46374</v>
      </c>
      <c r="AE256" s="147">
        <v>46376</v>
      </c>
      <c r="AF256" s="147">
        <v>46452</v>
      </c>
      <c r="AG256" s="147">
        <v>46459</v>
      </c>
      <c r="AH256" s="147">
        <v>46464</v>
      </c>
      <c r="AI256" s="147">
        <v>46467</v>
      </c>
      <c r="AJ256" s="147">
        <v>46494</v>
      </c>
      <c r="AK256" s="149">
        <v>20</v>
      </c>
      <c r="AL256" s="150">
        <v>140</v>
      </c>
      <c r="AM256" s="151">
        <v>46464</v>
      </c>
      <c r="AN256" s="151">
        <v>46530</v>
      </c>
      <c r="AO256" s="225">
        <f>AN256-AM257</f>
        <v>66</v>
      </c>
      <c r="AP256" s="235"/>
      <c r="AQ256" s="447"/>
      <c r="AR256" s="154"/>
      <c r="AS256" s="155"/>
      <c r="AT256" s="155"/>
      <c r="AU256" s="155"/>
      <c r="AV256" s="155"/>
      <c r="AW256" s="155"/>
      <c r="AX256" s="155"/>
      <c r="AY256" s="155"/>
      <c r="AZ256" s="155"/>
      <c r="BA256" s="155"/>
      <c r="BB256" s="155"/>
      <c r="BC256" s="156"/>
      <c r="BD256" s="176"/>
      <c r="BE256" s="176"/>
    </row>
    <row r="257" spans="1:57" s="78" customFormat="1" ht="35.65" thickTop="1" thickBot="1" x14ac:dyDescent="0.45">
      <c r="A257" s="459"/>
      <c r="B257" s="158" t="s">
        <v>513</v>
      </c>
      <c r="C257" s="197" t="s">
        <v>522</v>
      </c>
      <c r="D257" s="232" t="s">
        <v>523</v>
      </c>
      <c r="E257" s="205"/>
      <c r="F257" s="205"/>
      <c r="G257" s="204" t="s">
        <v>440</v>
      </c>
      <c r="H257" s="228" t="s">
        <v>361</v>
      </c>
      <c r="I257" s="159" t="s">
        <v>138</v>
      </c>
      <c r="J257" s="197" t="s">
        <v>95</v>
      </c>
      <c r="K257" s="197" t="s">
        <v>9</v>
      </c>
      <c r="L257" s="204"/>
      <c r="M257" s="165" t="s">
        <v>150</v>
      </c>
      <c r="N257" s="166" t="s">
        <v>84</v>
      </c>
      <c r="O257" s="167">
        <f>O256</f>
        <v>46272</v>
      </c>
      <c r="P257" s="168">
        <f>P256</f>
        <v>46270</v>
      </c>
      <c r="Q257" s="168">
        <f>WORKDAY(P257,Q9,IF(Q12="China",'China Holidays'!$A$2:$A$84,'Thai Holidays'!$A$2:$A$65))</f>
        <v>46283</v>
      </c>
      <c r="R257" s="168">
        <f>WORKDAY(Q257,R9,IF(R12="China",'China Holidays'!$A$2:$A$84,'Thai Holidays'!$A$2:$A$65))</f>
        <v>46283</v>
      </c>
      <c r="S257" s="168">
        <f>WORKDAY(R257,S9,IF(S12="China",'China Holidays'!$A$2:$A$84,'Thai Holidays'!$A$2:$A$65))</f>
        <v>46283</v>
      </c>
      <c r="T257" s="168">
        <f>WORKDAY(S257,T9,IF(T12="China",'China Holidays'!$A$2:$A$84,'Thai Holidays'!$A$2:$A$65))</f>
        <v>46293</v>
      </c>
      <c r="U257" s="168">
        <f>WORKDAY(T257,U9,IF(U12="China",'China Holidays'!$A$2:$A$84,'Thai Holidays'!$A$2:$A$65))</f>
        <v>46302</v>
      </c>
      <c r="V257" s="168">
        <f>WORKDAY(U257,V9,IF(V12="China",'China Holidays'!$A$2:$A$84,'Thai Holidays'!$A$2:$A$65))</f>
        <v>46317</v>
      </c>
      <c r="W257" s="168"/>
      <c r="X257" s="168">
        <f>WORKDAY(V257,X9,IF(X12="China",'China Holidays'!$A$2:$A$84,'Thai Holidays'!$A$2:$A$65))</f>
        <v>46324</v>
      </c>
      <c r="Y257" s="168">
        <f>WORKDAY(X257,Y9,IF(Y12="China",'China Holidays'!$A$2:$A$84,'Thai Holidays'!$A$2:$A$65))</f>
        <v>46328</v>
      </c>
      <c r="Z257" s="168">
        <f>WORKDAY(Y257,Z9,IF(Z12="China",'China Holidays'!$A$2:$A$84,'Thai Holidays'!$A$2:$A$65))</f>
        <v>46335</v>
      </c>
      <c r="AA257" s="168">
        <f>WORKDAY(Z257,AA9,IF(AA12="China",'China Holidays'!$A$2:$A$84,'Thai Holidays'!$A$2:$A$65))</f>
        <v>46349</v>
      </c>
      <c r="AB257" s="168">
        <f>WORKDAY(AA257,AB9,IF(AB12="China",'China Holidays'!$A$2:$A$84,'Thai Holidays'!$A$2:$A$65))</f>
        <v>46364</v>
      </c>
      <c r="AC257" s="168">
        <f>AB257+10</f>
        <v>46374</v>
      </c>
      <c r="AD257" s="168">
        <f>AC257</f>
        <v>46374</v>
      </c>
      <c r="AE257" s="168">
        <f>AD257+2</f>
        <v>46376</v>
      </c>
      <c r="AF257" s="168">
        <f>AG257-7</f>
        <v>46452</v>
      </c>
      <c r="AG257" s="168">
        <f>AH257-5</f>
        <v>46459</v>
      </c>
      <c r="AH257" s="168">
        <f>AM256</f>
        <v>46464</v>
      </c>
      <c r="AI257" s="168">
        <f>AM256+3</f>
        <v>46467</v>
      </c>
      <c r="AJ257" s="168">
        <f>AM256+30</f>
        <v>46494</v>
      </c>
      <c r="AK257" s="169"/>
      <c r="AL257" s="230"/>
      <c r="AM257" s="170">
        <f>X257+AL256</f>
        <v>46464</v>
      </c>
      <c r="AN257" s="170"/>
      <c r="AO257" s="171"/>
      <c r="AP257" s="172"/>
      <c r="AQ257" s="448"/>
      <c r="AR257" s="154"/>
      <c r="AS257" s="155"/>
      <c r="AT257" s="155"/>
      <c r="AU257" s="155"/>
      <c r="AV257" s="155"/>
      <c r="AW257" s="155"/>
      <c r="AX257" s="155"/>
      <c r="AY257" s="155"/>
      <c r="AZ257" s="155"/>
      <c r="BA257" s="155"/>
      <c r="BB257" s="155"/>
      <c r="BC257" s="156"/>
      <c r="BD257" s="176"/>
      <c r="BE257" s="176"/>
    </row>
    <row r="258" spans="1:57" s="78" customFormat="1" ht="35.65" thickTop="1" thickBot="1" x14ac:dyDescent="0.45">
      <c r="A258" s="460"/>
      <c r="B258" s="177" t="s">
        <v>513</v>
      </c>
      <c r="C258" s="178" t="s">
        <v>522</v>
      </c>
      <c r="D258" s="207" t="s">
        <v>523</v>
      </c>
      <c r="E258" s="215"/>
      <c r="F258" s="215"/>
      <c r="G258" s="209" t="s">
        <v>440</v>
      </c>
      <c r="H258" s="182" t="s">
        <v>361</v>
      </c>
      <c r="I258" s="178" t="s">
        <v>138</v>
      </c>
      <c r="J258" s="178" t="s">
        <v>95</v>
      </c>
      <c r="K258" s="178" t="s">
        <v>9</v>
      </c>
      <c r="L258" s="207"/>
      <c r="M258" s="184" t="s">
        <v>150</v>
      </c>
      <c r="N258" s="185" t="s">
        <v>87</v>
      </c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  <c r="AA258" s="186"/>
      <c r="AB258" s="186"/>
      <c r="AC258" s="186"/>
      <c r="AD258" s="186"/>
      <c r="AE258" s="186"/>
      <c r="AF258" s="186"/>
      <c r="AG258" s="186"/>
      <c r="AH258" s="186"/>
      <c r="AI258" s="186"/>
      <c r="AJ258" s="186"/>
      <c r="AK258" s="188"/>
      <c r="AL258" s="211"/>
      <c r="AM258" s="187"/>
      <c r="AN258" s="187"/>
      <c r="AO258" s="189"/>
      <c r="AP258" s="190"/>
      <c r="AQ258" s="449"/>
      <c r="AR258" s="191"/>
      <c r="AS258" s="192"/>
      <c r="AT258" s="192"/>
      <c r="AU258" s="192"/>
      <c r="AV258" s="192"/>
      <c r="AW258" s="192"/>
      <c r="AX258" s="192"/>
      <c r="AY258" s="192"/>
      <c r="AZ258" s="192"/>
      <c r="BA258" s="192"/>
      <c r="BB258" s="192"/>
      <c r="BC258" s="156"/>
      <c r="BD258" s="176"/>
      <c r="BE258" s="176"/>
    </row>
    <row r="259" spans="1:57" s="78" customFormat="1" ht="25.9" customHeight="1" thickTop="1" thickBot="1" x14ac:dyDescent="0.45">
      <c r="A259" s="458">
        <f t="shared" ref="A259" si="61">A256+1</f>
        <v>72</v>
      </c>
      <c r="B259" s="139" t="s">
        <v>524</v>
      </c>
      <c r="C259" s="247" t="s">
        <v>525</v>
      </c>
      <c r="D259" s="139" t="s">
        <v>526</v>
      </c>
      <c r="E259" s="202" t="s">
        <v>527</v>
      </c>
      <c r="F259" s="202" t="s">
        <v>528</v>
      </c>
      <c r="G259" s="427" t="s">
        <v>529</v>
      </c>
      <c r="H259" s="373" t="s">
        <v>530</v>
      </c>
      <c r="I259" s="247" t="s">
        <v>138</v>
      </c>
      <c r="J259" s="247" t="s">
        <v>95</v>
      </c>
      <c r="K259" s="247" t="s">
        <v>6</v>
      </c>
      <c r="L259" s="203"/>
      <c r="M259" s="145" t="s">
        <v>76</v>
      </c>
      <c r="N259" s="146" t="s">
        <v>77</v>
      </c>
      <c r="O259" s="223">
        <v>46218</v>
      </c>
      <c r="P259" s="223">
        <v>46217</v>
      </c>
      <c r="Q259" s="223">
        <v>46233</v>
      </c>
      <c r="R259" s="148">
        <v>46233</v>
      </c>
      <c r="S259" s="223">
        <v>46233</v>
      </c>
      <c r="T259" s="223">
        <v>46247</v>
      </c>
      <c r="U259" s="223">
        <v>46266</v>
      </c>
      <c r="V259" s="223">
        <v>46280</v>
      </c>
      <c r="W259" s="223"/>
      <c r="X259" s="223">
        <v>46294</v>
      </c>
      <c r="Y259" s="223">
        <v>46303</v>
      </c>
      <c r="Z259" s="223">
        <v>46310</v>
      </c>
      <c r="AA259" s="223">
        <v>46331</v>
      </c>
      <c r="AB259" s="223">
        <v>46345</v>
      </c>
      <c r="AC259" s="223">
        <v>46375</v>
      </c>
      <c r="AD259" s="223">
        <v>46375</v>
      </c>
      <c r="AE259" s="223">
        <v>46377</v>
      </c>
      <c r="AF259" s="223">
        <v>46436</v>
      </c>
      <c r="AG259" s="223">
        <v>46446</v>
      </c>
      <c r="AH259" s="223">
        <v>46476</v>
      </c>
      <c r="AI259" s="223">
        <v>46479</v>
      </c>
      <c r="AJ259" s="223">
        <v>46506</v>
      </c>
      <c r="AK259" s="149">
        <v>26</v>
      </c>
      <c r="AL259" s="150">
        <v>182</v>
      </c>
      <c r="AM259" s="151">
        <v>46476</v>
      </c>
      <c r="AN259" s="151">
        <v>46500</v>
      </c>
      <c r="AO259" s="152">
        <f>AN259-AM260</f>
        <v>24</v>
      </c>
      <c r="AP259" s="153"/>
      <c r="AQ259" s="447"/>
      <c r="AR259" s="154"/>
      <c r="AS259" s="155"/>
      <c r="AT259" s="155"/>
      <c r="AU259" s="155"/>
      <c r="AV259" s="155"/>
      <c r="AW259" s="155"/>
      <c r="AX259" s="155"/>
      <c r="AY259" s="155"/>
      <c r="AZ259" s="155"/>
      <c r="BA259" s="155"/>
      <c r="BB259" s="155"/>
      <c r="BC259" s="156"/>
      <c r="BD259" s="176"/>
      <c r="BE259" s="176"/>
    </row>
    <row r="260" spans="1:57" s="78" customFormat="1" ht="21.75" customHeight="1" thickTop="1" thickBot="1" x14ac:dyDescent="0.45">
      <c r="A260" s="459"/>
      <c r="B260" s="226" t="s">
        <v>524</v>
      </c>
      <c r="C260" s="250" t="s">
        <v>525</v>
      </c>
      <c r="D260" s="345" t="s">
        <v>526</v>
      </c>
      <c r="E260" s="324" t="s">
        <v>531</v>
      </c>
      <c r="F260" s="324" t="s">
        <v>532</v>
      </c>
      <c r="G260" s="204" t="s">
        <v>529</v>
      </c>
      <c r="H260" s="374" t="s">
        <v>530</v>
      </c>
      <c r="I260" s="250" t="s">
        <v>138</v>
      </c>
      <c r="J260" s="250" t="s">
        <v>95</v>
      </c>
      <c r="K260" s="250" t="s">
        <v>6</v>
      </c>
      <c r="L260" s="204"/>
      <c r="M260" s="165" t="s">
        <v>76</v>
      </c>
      <c r="N260" s="166" t="s">
        <v>84</v>
      </c>
      <c r="O260" s="216"/>
      <c r="P260" s="170"/>
      <c r="Q260" s="170"/>
      <c r="R260" s="170">
        <f>R259</f>
        <v>46233</v>
      </c>
      <c r="S260" s="170">
        <f>WORKDAY(R260,S8,IF(S12="China",'China Holidays'!$A$2:$A$84,'Thai Holidays'!$A$2:$A$65))</f>
        <v>46233</v>
      </c>
      <c r="T260" s="170">
        <f>WORKDAY(S260,T8,IF(T12="China",'China Holidays'!$A$2:$A$84,'Thai Holidays'!$A$2:$A$65))</f>
        <v>46247</v>
      </c>
      <c r="U260" s="170">
        <f>WORKDAY(T260,U8,IF(U12="China",'China Holidays'!$A$2:$A$84,'Thai Holidays'!$A$2:$A$65))</f>
        <v>46266</v>
      </c>
      <c r="V260" s="170">
        <f>WORKDAY(U260,V8,IF(V12="China",'China Holidays'!$A$2:$A$84,'Thai Holidays'!$A$2:$A$65))</f>
        <v>46280</v>
      </c>
      <c r="W260" s="170"/>
      <c r="X260" s="170">
        <f>WORKDAY(V260,X8,IF(X12="China",'China Holidays'!$A$2:$A$84,'Thai Holidays'!$A$2:$A$65))</f>
        <v>46294</v>
      </c>
      <c r="Y260" s="170">
        <f>WORKDAY(X260,Y8,IF(Y12="China",'China Holidays'!$A$2:$A$84,'Thai Holidays'!$A$2:$A$65))</f>
        <v>46303</v>
      </c>
      <c r="Z260" s="170">
        <f>WORKDAY(Y260,Z8,IF(Z12="China",'China Holidays'!$A$2:$A$84,'Thai Holidays'!$A$2:$A$65))</f>
        <v>46310</v>
      </c>
      <c r="AA260" s="170">
        <f>WORKDAY(Z260,AA8,IF(AA12="China",'China Holidays'!$A$2:$A$84,'Thai Holidays'!$A$2:$A$65))</f>
        <v>46331</v>
      </c>
      <c r="AB260" s="170">
        <f>WORKDAY(AA260,AB8,IF(AB12="China",'China Holidays'!$A$2:$A$84,'Thai Holidays'!$A$2:$A$65))</f>
        <v>46345</v>
      </c>
      <c r="AC260" s="168">
        <f>AB260+30</f>
        <v>46375</v>
      </c>
      <c r="AD260" s="168">
        <f>AC260</f>
        <v>46375</v>
      </c>
      <c r="AE260" s="168">
        <f>AD260+2</f>
        <v>46377</v>
      </c>
      <c r="AF260" s="168">
        <f>AG260-10</f>
        <v>46436</v>
      </c>
      <c r="AG260" s="168">
        <f>AH260-30</f>
        <v>46446</v>
      </c>
      <c r="AH260" s="168">
        <f>AM259</f>
        <v>46476</v>
      </c>
      <c r="AI260" s="168">
        <f>AM259+3</f>
        <v>46479</v>
      </c>
      <c r="AJ260" s="168">
        <f>AM259+30</f>
        <v>46506</v>
      </c>
      <c r="AK260" s="169"/>
      <c r="AL260" s="230"/>
      <c r="AM260" s="170">
        <f>X260+AL259</f>
        <v>46476</v>
      </c>
      <c r="AN260" s="170"/>
      <c r="AO260" s="230"/>
      <c r="AP260" s="270"/>
      <c r="AQ260" s="448"/>
      <c r="AR260" s="154"/>
      <c r="AS260" s="155"/>
      <c r="AT260" s="155"/>
      <c r="AU260" s="155"/>
      <c r="AV260" s="155"/>
      <c r="AW260" s="155"/>
      <c r="AX260" s="155"/>
      <c r="AY260" s="155"/>
      <c r="AZ260" s="155"/>
      <c r="BA260" s="155"/>
      <c r="BB260" s="155"/>
      <c r="BC260" s="156"/>
      <c r="BD260" s="176"/>
      <c r="BE260" s="176"/>
    </row>
    <row r="261" spans="1:57" s="78" customFormat="1" ht="23.25" customHeight="1" thickTop="1" thickBot="1" x14ac:dyDescent="0.45">
      <c r="A261" s="460"/>
      <c r="B261" s="177" t="s">
        <v>524</v>
      </c>
      <c r="C261" s="251" t="s">
        <v>533</v>
      </c>
      <c r="D261" s="177" t="s">
        <v>526</v>
      </c>
      <c r="E261" s="215" t="s">
        <v>534</v>
      </c>
      <c r="F261" s="215" t="s">
        <v>535</v>
      </c>
      <c r="G261" s="207" t="s">
        <v>529</v>
      </c>
      <c r="H261" s="375" t="s">
        <v>530</v>
      </c>
      <c r="I261" s="251" t="s">
        <v>138</v>
      </c>
      <c r="J261" s="251" t="s">
        <v>95</v>
      </c>
      <c r="K261" s="251" t="s">
        <v>6</v>
      </c>
      <c r="L261" s="207"/>
      <c r="M261" s="184" t="s">
        <v>76</v>
      </c>
      <c r="N261" s="185" t="s">
        <v>87</v>
      </c>
      <c r="O261" s="186">
        <v>46211</v>
      </c>
      <c r="P261" s="186">
        <v>46160</v>
      </c>
      <c r="Q261" s="186">
        <v>46186</v>
      </c>
      <c r="R261" s="186"/>
      <c r="S261" s="186"/>
      <c r="T261" s="186"/>
      <c r="U261" s="186"/>
      <c r="V261" s="186"/>
      <c r="W261" s="186"/>
      <c r="X261" s="186"/>
      <c r="Y261" s="186"/>
      <c r="Z261" s="186"/>
      <c r="AA261" s="186"/>
      <c r="AB261" s="186"/>
      <c r="AC261" s="186"/>
      <c r="AD261" s="186"/>
      <c r="AE261" s="186"/>
      <c r="AF261" s="186"/>
      <c r="AG261" s="186"/>
      <c r="AH261" s="186"/>
      <c r="AI261" s="186"/>
      <c r="AJ261" s="186"/>
      <c r="AK261" s="188"/>
      <c r="AL261" s="211"/>
      <c r="AM261" s="187"/>
      <c r="AN261" s="187"/>
      <c r="AO261" s="189"/>
      <c r="AP261" s="190"/>
      <c r="AQ261" s="449"/>
      <c r="AR261" s="191"/>
      <c r="AS261" s="192"/>
      <c r="AT261" s="192"/>
      <c r="AU261" s="192"/>
      <c r="AV261" s="192"/>
      <c r="AW261" s="192"/>
      <c r="AX261" s="192"/>
      <c r="AY261" s="192"/>
      <c r="AZ261" s="192"/>
      <c r="BA261" s="192"/>
      <c r="BB261" s="192"/>
      <c r="BC261" s="156"/>
      <c r="BD261" s="176"/>
      <c r="BE261" s="176"/>
    </row>
    <row r="262" spans="1:57" s="78" customFormat="1" ht="18" customHeight="1" thickTop="1" thickBot="1" x14ac:dyDescent="0.45">
      <c r="A262" s="458">
        <f t="shared" ref="A262" si="62">A259+1</f>
        <v>73</v>
      </c>
      <c r="B262" s="139" t="s">
        <v>536</v>
      </c>
      <c r="C262" s="247" t="s">
        <v>537</v>
      </c>
      <c r="D262" s="141" t="s">
        <v>538</v>
      </c>
      <c r="E262" s="202"/>
      <c r="F262" s="202"/>
      <c r="G262" s="427" t="s">
        <v>539</v>
      </c>
      <c r="H262" s="373" t="s">
        <v>540</v>
      </c>
      <c r="I262" s="247" t="s">
        <v>73</v>
      </c>
      <c r="J262" s="247" t="s">
        <v>74</v>
      </c>
      <c r="K262" s="247" t="s">
        <v>2</v>
      </c>
      <c r="L262" s="376" t="s">
        <v>541</v>
      </c>
      <c r="M262" s="196" t="s">
        <v>150</v>
      </c>
      <c r="N262" s="377" t="s">
        <v>77</v>
      </c>
      <c r="O262" s="223">
        <v>46146</v>
      </c>
      <c r="P262" s="223">
        <v>46178</v>
      </c>
      <c r="Q262" s="223">
        <v>46193</v>
      </c>
      <c r="R262" s="223">
        <v>46196</v>
      </c>
      <c r="S262" s="223">
        <v>46199</v>
      </c>
      <c r="T262" s="223">
        <v>46202</v>
      </c>
      <c r="U262" s="223">
        <v>46205</v>
      </c>
      <c r="V262" s="223">
        <v>46208</v>
      </c>
      <c r="W262" s="223"/>
      <c r="X262" s="223">
        <v>46216</v>
      </c>
      <c r="Y262" s="223">
        <v>46218</v>
      </c>
      <c r="Z262" s="223">
        <v>46132</v>
      </c>
      <c r="AA262" s="223">
        <v>46135</v>
      </c>
      <c r="AB262" s="223">
        <v>46153</v>
      </c>
      <c r="AC262" s="148">
        <v>46231</v>
      </c>
      <c r="AD262" s="223">
        <v>46246</v>
      </c>
      <c r="AE262" s="223">
        <v>46248</v>
      </c>
      <c r="AF262" s="223">
        <v>46261.5</v>
      </c>
      <c r="AG262" s="223">
        <v>46268.5</v>
      </c>
      <c r="AH262" s="223">
        <v>46273</v>
      </c>
      <c r="AI262" s="223">
        <v>46276</v>
      </c>
      <c r="AJ262" s="223">
        <v>46305.5</v>
      </c>
      <c r="AK262" s="149">
        <v>8.5</v>
      </c>
      <c r="AL262" s="150">
        <v>59.5</v>
      </c>
      <c r="AM262" s="151">
        <f>AH262</f>
        <v>46273</v>
      </c>
      <c r="AN262" s="151">
        <v>46274</v>
      </c>
      <c r="AO262" s="152">
        <f>AN262-AM263</f>
        <v>1</v>
      </c>
      <c r="AP262" s="153" t="s">
        <v>542</v>
      </c>
      <c r="AQ262" s="453"/>
      <c r="AR262" s="378"/>
      <c r="AS262" s="379"/>
      <c r="AT262" s="379"/>
      <c r="AU262" s="379"/>
      <c r="AV262" s="379"/>
      <c r="AW262" s="379"/>
      <c r="AX262" s="379"/>
      <c r="AY262" s="379"/>
      <c r="AZ262" s="379"/>
      <c r="BA262" s="379"/>
      <c r="BB262" s="379"/>
      <c r="BC262" s="380"/>
      <c r="BD262" s="176"/>
      <c r="BE262" s="176"/>
    </row>
    <row r="263" spans="1:57" s="78" customFormat="1" ht="18" customHeight="1" thickTop="1" thickBot="1" x14ac:dyDescent="0.45">
      <c r="A263" s="459"/>
      <c r="B263" s="158" t="s">
        <v>536</v>
      </c>
      <c r="C263" s="250" t="s">
        <v>537</v>
      </c>
      <c r="D263" s="204" t="s">
        <v>538</v>
      </c>
      <c r="E263" s="205"/>
      <c r="F263" s="205"/>
      <c r="G263" s="204" t="s">
        <v>539</v>
      </c>
      <c r="H263" s="374" t="s">
        <v>540</v>
      </c>
      <c r="I263" s="250" t="s">
        <v>73</v>
      </c>
      <c r="J263" s="250" t="s">
        <v>74</v>
      </c>
      <c r="K263" s="250" t="s">
        <v>2</v>
      </c>
      <c r="L263" s="245"/>
      <c r="M263" s="198" t="s">
        <v>150</v>
      </c>
      <c r="N263" s="381" t="s">
        <v>84</v>
      </c>
      <c r="O263" s="216"/>
      <c r="P263" s="170"/>
      <c r="Q263" s="170"/>
      <c r="R263" s="170"/>
      <c r="S263" s="170"/>
      <c r="T263" s="170"/>
      <c r="U263" s="170"/>
      <c r="V263" s="170"/>
      <c r="W263" s="170"/>
      <c r="X263" s="170"/>
      <c r="Y263" s="170"/>
      <c r="Z263" s="170"/>
      <c r="AA263" s="170"/>
      <c r="AB263" s="170"/>
      <c r="AC263" s="170">
        <v>46231</v>
      </c>
      <c r="AD263" s="170">
        <v>46246</v>
      </c>
      <c r="AE263" s="170">
        <v>46248</v>
      </c>
      <c r="AF263" s="170">
        <v>46261.5</v>
      </c>
      <c r="AG263" s="170">
        <v>46268.5</v>
      </c>
      <c r="AH263" s="170">
        <v>46273</v>
      </c>
      <c r="AI263" s="170">
        <v>46276</v>
      </c>
      <c r="AJ263" s="170">
        <v>46305.5</v>
      </c>
      <c r="AK263" s="169"/>
      <c r="AL263" s="230"/>
      <c r="AM263" s="170">
        <f>AM262</f>
        <v>46273</v>
      </c>
      <c r="AN263" s="170"/>
      <c r="AO263" s="230"/>
      <c r="AP263" s="270"/>
      <c r="AQ263" s="454"/>
      <c r="AR263" s="378"/>
      <c r="AS263" s="379"/>
      <c r="AT263" s="379"/>
      <c r="AU263" s="379"/>
      <c r="AV263" s="379"/>
      <c r="AW263" s="379"/>
      <c r="AX263" s="379"/>
      <c r="AY263" s="379"/>
      <c r="AZ263" s="379"/>
      <c r="BA263" s="379"/>
      <c r="BB263" s="379"/>
      <c r="BC263" s="380"/>
      <c r="BD263" s="176"/>
      <c r="BE263" s="176"/>
    </row>
    <row r="264" spans="1:57" s="78" customFormat="1" ht="18" customHeight="1" thickTop="1" thickBot="1" x14ac:dyDescent="0.45">
      <c r="A264" s="460"/>
      <c r="B264" s="177" t="s">
        <v>536</v>
      </c>
      <c r="C264" s="251" t="s">
        <v>537</v>
      </c>
      <c r="D264" s="207" t="s">
        <v>538</v>
      </c>
      <c r="E264" s="215"/>
      <c r="F264" s="215"/>
      <c r="G264" s="207" t="s">
        <v>539</v>
      </c>
      <c r="H264" s="375" t="s">
        <v>540</v>
      </c>
      <c r="I264" s="251" t="s">
        <v>73</v>
      </c>
      <c r="J264" s="251" t="s">
        <v>74</v>
      </c>
      <c r="K264" s="251" t="s">
        <v>2</v>
      </c>
      <c r="L264" s="207"/>
      <c r="M264" s="200" t="s">
        <v>150</v>
      </c>
      <c r="N264" s="382" t="s">
        <v>87</v>
      </c>
      <c r="O264" s="187">
        <v>46120</v>
      </c>
      <c r="P264" s="187">
        <v>46162</v>
      </c>
      <c r="Q264" s="187">
        <v>46164</v>
      </c>
      <c r="R264" s="187">
        <v>46188</v>
      </c>
      <c r="S264" s="187">
        <v>46188</v>
      </c>
      <c r="T264" s="187">
        <v>46189</v>
      </c>
      <c r="U264" s="187">
        <v>46206</v>
      </c>
      <c r="V264" s="187">
        <v>46210</v>
      </c>
      <c r="W264" s="187"/>
      <c r="X264" s="187">
        <f>V264</f>
        <v>46210</v>
      </c>
      <c r="Y264" s="187">
        <v>46210</v>
      </c>
      <c r="Z264" s="187">
        <v>46132</v>
      </c>
      <c r="AA264" s="187">
        <v>46193</v>
      </c>
      <c r="AB264" s="187">
        <v>46193</v>
      </c>
      <c r="AC264" s="187">
        <v>46233</v>
      </c>
      <c r="AD264" s="187">
        <v>46233</v>
      </c>
      <c r="AE264" s="187"/>
      <c r="AF264" s="187"/>
      <c r="AG264" s="187"/>
      <c r="AH264" s="187"/>
      <c r="AI264" s="187"/>
      <c r="AJ264" s="187"/>
      <c r="AK264" s="188"/>
      <c r="AL264" s="211"/>
      <c r="AM264" s="187"/>
      <c r="AN264" s="187"/>
      <c r="AO264" s="211"/>
      <c r="AP264" s="271"/>
      <c r="AQ264" s="455"/>
      <c r="AR264" s="384"/>
      <c r="AS264" s="385"/>
      <c r="AT264" s="385"/>
      <c r="AU264" s="385"/>
      <c r="AV264" s="385"/>
      <c r="AW264" s="385"/>
      <c r="AX264" s="385"/>
      <c r="AY264" s="385"/>
      <c r="AZ264" s="385"/>
      <c r="BA264" s="385"/>
      <c r="BB264" s="385"/>
      <c r="BC264" s="380"/>
      <c r="BD264" s="176"/>
      <c r="BE264" s="176"/>
    </row>
    <row r="265" spans="1:57" s="78" customFormat="1" ht="18" customHeight="1" thickTop="1" thickBot="1" x14ac:dyDescent="0.45">
      <c r="A265" s="458">
        <f t="shared" ref="A265:A277" si="63">A262+1</f>
        <v>74</v>
      </c>
      <c r="B265" s="139" t="s">
        <v>543</v>
      </c>
      <c r="C265" s="140" t="s">
        <v>544</v>
      </c>
      <c r="D265" s="141" t="s">
        <v>545</v>
      </c>
      <c r="E265" s="202"/>
      <c r="F265" s="202"/>
      <c r="G265" s="437" t="s">
        <v>539</v>
      </c>
      <c r="H265" s="143" t="s">
        <v>540</v>
      </c>
      <c r="I265" s="247" t="s">
        <v>73</v>
      </c>
      <c r="J265" s="140" t="s">
        <v>74</v>
      </c>
      <c r="K265" s="140" t="s">
        <v>2</v>
      </c>
      <c r="L265" s="203"/>
      <c r="M265" s="145" t="s">
        <v>150</v>
      </c>
      <c r="N265" s="146" t="s">
        <v>77</v>
      </c>
      <c r="O265" s="147">
        <v>46134</v>
      </c>
      <c r="P265" s="223">
        <v>46171</v>
      </c>
      <c r="Q265" s="147">
        <v>46193</v>
      </c>
      <c r="R265" s="147">
        <v>46196</v>
      </c>
      <c r="S265" s="147">
        <v>46199</v>
      </c>
      <c r="T265" s="147">
        <v>46202</v>
      </c>
      <c r="U265" s="147">
        <v>46205</v>
      </c>
      <c r="V265" s="147">
        <v>46208</v>
      </c>
      <c r="W265" s="147"/>
      <c r="X265" s="147">
        <v>46216</v>
      </c>
      <c r="Y265" s="147">
        <v>46218</v>
      </c>
      <c r="Z265" s="147">
        <v>46227</v>
      </c>
      <c r="AA265" s="148">
        <v>46255</v>
      </c>
      <c r="AB265" s="147">
        <v>46269</v>
      </c>
      <c r="AC265" s="147"/>
      <c r="AD265" s="147">
        <v>46274</v>
      </c>
      <c r="AE265" s="147">
        <v>46276</v>
      </c>
      <c r="AF265" s="147">
        <v>46304.1</v>
      </c>
      <c r="AG265" s="147">
        <v>46311.1</v>
      </c>
      <c r="AH265" s="147">
        <v>46316.1</v>
      </c>
      <c r="AI265" s="147">
        <v>46319</v>
      </c>
      <c r="AJ265" s="147">
        <v>46336.1</v>
      </c>
      <c r="AK265" s="149">
        <v>14.3</v>
      </c>
      <c r="AL265" s="150">
        <v>100.1</v>
      </c>
      <c r="AM265" s="151">
        <v>46316</v>
      </c>
      <c r="AN265" s="151">
        <v>46316</v>
      </c>
      <c r="AO265" s="225">
        <f>AN265-AM266</f>
        <v>46215.9</v>
      </c>
      <c r="AP265" s="235" t="s">
        <v>546</v>
      </c>
      <c r="AQ265" s="438" t="s">
        <v>547</v>
      </c>
      <c r="AR265" s="154"/>
      <c r="AS265" s="155"/>
      <c r="AT265" s="155"/>
      <c r="AU265" s="155"/>
      <c r="AV265" s="155"/>
      <c r="AW265" s="155"/>
      <c r="AX265" s="155"/>
      <c r="AY265" s="155"/>
      <c r="AZ265" s="155"/>
      <c r="BA265" s="155"/>
      <c r="BB265" s="155"/>
      <c r="BC265" s="156"/>
      <c r="BD265" s="176"/>
      <c r="BE265" s="176"/>
    </row>
    <row r="266" spans="1:57" s="78" customFormat="1" ht="18" customHeight="1" thickTop="1" thickBot="1" x14ac:dyDescent="0.45">
      <c r="A266" s="459"/>
      <c r="B266" s="226" t="s">
        <v>543</v>
      </c>
      <c r="C266" s="197" t="s">
        <v>544</v>
      </c>
      <c r="D266" s="204" t="s">
        <v>545</v>
      </c>
      <c r="E266" s="205"/>
      <c r="F266" s="205"/>
      <c r="G266" s="218" t="s">
        <v>539</v>
      </c>
      <c r="H266" s="228" t="s">
        <v>540</v>
      </c>
      <c r="I266" s="250" t="s">
        <v>73</v>
      </c>
      <c r="J266" s="197" t="s">
        <v>74</v>
      </c>
      <c r="K266" s="197" t="s">
        <v>2</v>
      </c>
      <c r="L266" s="204"/>
      <c r="M266" s="165" t="s">
        <v>150</v>
      </c>
      <c r="N266" s="166" t="s">
        <v>84</v>
      </c>
      <c r="O266" s="167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  <c r="AA266" s="168">
        <f>WORKDAY(Y267,AA6,IF(AA12="China",'China Holidays'!$A$2:$A$84,'Thai Holidays'!$A$2:$A$65))</f>
        <v>46246</v>
      </c>
      <c r="AB266" s="168">
        <f>WORKDAY(AA266,AB6,IF(AB12="China",'China Holidays'!$A$2:$A$84,'Thai Holidays'!$A$2:$A$65))</f>
        <v>46260</v>
      </c>
      <c r="AC266" s="168"/>
      <c r="AD266" s="168">
        <f>AB266+5</f>
        <v>46265</v>
      </c>
      <c r="AE266" s="168">
        <f>AD266+2</f>
        <v>46267</v>
      </c>
      <c r="AF266" s="168">
        <f>AG266-7</f>
        <v>88.1</v>
      </c>
      <c r="AG266" s="168">
        <f>AH266-5</f>
        <v>95.1</v>
      </c>
      <c r="AH266" s="168">
        <f>AM266</f>
        <v>100.1</v>
      </c>
      <c r="AI266" s="168">
        <f>AM265+3</f>
        <v>46319</v>
      </c>
      <c r="AJ266" s="168">
        <f>AH266+20</f>
        <v>120.1</v>
      </c>
      <c r="AK266" s="169"/>
      <c r="AL266" s="230"/>
      <c r="AM266" s="170">
        <f>X266+AL265</f>
        <v>100.1</v>
      </c>
      <c r="AN266" s="170"/>
      <c r="AO266" s="171"/>
      <c r="AP266" s="172"/>
      <c r="AQ266" s="448"/>
      <c r="AR266" s="154"/>
      <c r="AS266" s="155"/>
      <c r="AT266" s="155"/>
      <c r="AU266" s="155"/>
      <c r="AV266" s="155"/>
      <c r="AW266" s="155"/>
      <c r="AX266" s="155"/>
      <c r="AY266" s="155"/>
      <c r="AZ266" s="155"/>
      <c r="BA266" s="155"/>
      <c r="BB266" s="155"/>
      <c r="BC266" s="156"/>
      <c r="BD266" s="176"/>
      <c r="BE266" s="176"/>
    </row>
    <row r="267" spans="1:57" s="78" customFormat="1" ht="18" customHeight="1" thickTop="1" thickBot="1" x14ac:dyDescent="0.45">
      <c r="A267" s="460"/>
      <c r="B267" s="177" t="s">
        <v>543</v>
      </c>
      <c r="C267" s="178" t="s">
        <v>544</v>
      </c>
      <c r="D267" s="207" t="s">
        <v>545</v>
      </c>
      <c r="E267" s="215"/>
      <c r="F267" s="215"/>
      <c r="G267" s="220" t="s">
        <v>539</v>
      </c>
      <c r="H267" s="182" t="s">
        <v>540</v>
      </c>
      <c r="I267" s="251" t="s">
        <v>73</v>
      </c>
      <c r="J267" s="178" t="s">
        <v>74</v>
      </c>
      <c r="K267" s="178" t="s">
        <v>2</v>
      </c>
      <c r="L267" s="209"/>
      <c r="M267" s="184" t="s">
        <v>150</v>
      </c>
      <c r="N267" s="185" t="s">
        <v>87</v>
      </c>
      <c r="O267" s="186">
        <v>46136</v>
      </c>
      <c r="P267" s="186">
        <v>46165</v>
      </c>
      <c r="Q267" s="186">
        <v>46167</v>
      </c>
      <c r="R267" s="186">
        <v>46195</v>
      </c>
      <c r="S267" s="186">
        <v>46195</v>
      </c>
      <c r="T267" s="186">
        <v>46197</v>
      </c>
      <c r="U267" s="186">
        <v>46213</v>
      </c>
      <c r="V267" s="186">
        <v>46216</v>
      </c>
      <c r="W267" s="186"/>
      <c r="X267" s="186">
        <v>46217</v>
      </c>
      <c r="Y267" s="186">
        <v>46218</v>
      </c>
      <c r="Z267" s="186">
        <v>46202</v>
      </c>
      <c r="AA267" s="186"/>
      <c r="AB267" s="186"/>
      <c r="AC267" s="186"/>
      <c r="AD267" s="186"/>
      <c r="AE267" s="186"/>
      <c r="AF267" s="186"/>
      <c r="AG267" s="186"/>
      <c r="AH267" s="186"/>
      <c r="AI267" s="186"/>
      <c r="AJ267" s="186"/>
      <c r="AK267" s="188"/>
      <c r="AL267" s="211"/>
      <c r="AM267" s="187"/>
      <c r="AN267" s="187"/>
      <c r="AO267" s="189"/>
      <c r="AP267" s="190"/>
      <c r="AQ267" s="449"/>
      <c r="AR267" s="191"/>
      <c r="AS267" s="192"/>
      <c r="AT267" s="192"/>
      <c r="AU267" s="192"/>
      <c r="AV267" s="192"/>
      <c r="AW267" s="192"/>
      <c r="AX267" s="192"/>
      <c r="AY267" s="192"/>
      <c r="AZ267" s="192"/>
      <c r="BA267" s="192"/>
      <c r="BB267" s="192"/>
      <c r="BC267" s="156"/>
      <c r="BD267" s="176"/>
      <c r="BE267" s="176"/>
    </row>
    <row r="268" spans="1:57" s="78" customFormat="1" ht="18" customHeight="1" thickTop="1" thickBot="1" x14ac:dyDescent="0.45">
      <c r="A268" s="458">
        <f t="shared" si="63"/>
        <v>75</v>
      </c>
      <c r="B268" s="139" t="s">
        <v>548</v>
      </c>
      <c r="C268" s="140" t="s">
        <v>549</v>
      </c>
      <c r="D268" s="141" t="s">
        <v>550</v>
      </c>
      <c r="E268" s="202"/>
      <c r="F268" s="202"/>
      <c r="G268" s="437" t="s">
        <v>539</v>
      </c>
      <c r="H268" s="143" t="s">
        <v>540</v>
      </c>
      <c r="I268" s="247" t="s">
        <v>73</v>
      </c>
      <c r="J268" s="140" t="s">
        <v>74</v>
      </c>
      <c r="K268" s="140" t="s">
        <v>2</v>
      </c>
      <c r="L268" s="203"/>
      <c r="M268" s="145" t="s">
        <v>150</v>
      </c>
      <c r="N268" s="146" t="s">
        <v>77</v>
      </c>
      <c r="O268" s="147">
        <v>46134</v>
      </c>
      <c r="P268" s="223">
        <v>46171</v>
      </c>
      <c r="Q268" s="147">
        <v>46193</v>
      </c>
      <c r="R268" s="147">
        <v>46196</v>
      </c>
      <c r="S268" s="147">
        <v>46199</v>
      </c>
      <c r="T268" s="147">
        <v>46202</v>
      </c>
      <c r="U268" s="147">
        <v>46205</v>
      </c>
      <c r="V268" s="147">
        <v>46208</v>
      </c>
      <c r="W268" s="147"/>
      <c r="X268" s="147">
        <v>46216</v>
      </c>
      <c r="Y268" s="147">
        <v>46218</v>
      </c>
      <c r="Z268" s="147">
        <v>46227</v>
      </c>
      <c r="AA268" s="148">
        <v>46255</v>
      </c>
      <c r="AB268" s="147">
        <v>46269</v>
      </c>
      <c r="AC268" s="147"/>
      <c r="AD268" s="147">
        <v>46274</v>
      </c>
      <c r="AE268" s="147">
        <v>46276</v>
      </c>
      <c r="AF268" s="147">
        <v>46304.1</v>
      </c>
      <c r="AG268" s="147">
        <v>46311.1</v>
      </c>
      <c r="AH268" s="147">
        <v>46316.1</v>
      </c>
      <c r="AI268" s="147">
        <v>46319</v>
      </c>
      <c r="AJ268" s="147">
        <v>46336.1</v>
      </c>
      <c r="AK268" s="149">
        <v>14.3</v>
      </c>
      <c r="AL268" s="150">
        <v>100.1</v>
      </c>
      <c r="AM268" s="151">
        <v>46316</v>
      </c>
      <c r="AN268" s="151">
        <v>46322</v>
      </c>
      <c r="AO268" s="225">
        <f>AN268-AM269</f>
        <v>46221.9</v>
      </c>
      <c r="AP268" s="235" t="s">
        <v>546</v>
      </c>
      <c r="AQ268" s="438" t="s">
        <v>551</v>
      </c>
      <c r="AR268" s="154"/>
      <c r="AS268" s="155"/>
      <c r="AT268" s="155"/>
      <c r="AU268" s="155"/>
      <c r="AV268" s="155"/>
      <c r="AW268" s="155"/>
      <c r="AX268" s="155"/>
      <c r="AY268" s="155"/>
      <c r="AZ268" s="155"/>
      <c r="BA268" s="155"/>
      <c r="BB268" s="155"/>
      <c r="BC268" s="156"/>
      <c r="BD268" s="176"/>
      <c r="BE268" s="176"/>
    </row>
    <row r="269" spans="1:57" s="78" customFormat="1" ht="18" customHeight="1" thickTop="1" thickBot="1" x14ac:dyDescent="0.45">
      <c r="A269" s="459"/>
      <c r="B269" s="158" t="s">
        <v>548</v>
      </c>
      <c r="C269" s="197" t="s">
        <v>549</v>
      </c>
      <c r="D269" s="204" t="s">
        <v>550</v>
      </c>
      <c r="E269" s="205"/>
      <c r="F269" s="205"/>
      <c r="G269" s="218" t="s">
        <v>539</v>
      </c>
      <c r="H269" s="228" t="s">
        <v>540</v>
      </c>
      <c r="I269" s="250" t="s">
        <v>73</v>
      </c>
      <c r="J269" s="197" t="s">
        <v>74</v>
      </c>
      <c r="K269" s="197" t="s">
        <v>2</v>
      </c>
      <c r="L269" s="204"/>
      <c r="M269" s="165" t="s">
        <v>150</v>
      </c>
      <c r="N269" s="166" t="s">
        <v>84</v>
      </c>
      <c r="O269" s="167"/>
      <c r="P269" s="168"/>
      <c r="Q269" s="168"/>
      <c r="R269" s="168"/>
      <c r="S269" s="168"/>
      <c r="T269" s="168"/>
      <c r="U269" s="168"/>
      <c r="V269" s="170"/>
      <c r="W269" s="170"/>
      <c r="X269" s="168"/>
      <c r="Y269" s="168"/>
      <c r="Z269" s="168">
        <v>46227</v>
      </c>
      <c r="AA269" s="168">
        <v>46255</v>
      </c>
      <c r="AB269" s="168">
        <v>46269</v>
      </c>
      <c r="AC269" s="168"/>
      <c r="AD269" s="168">
        <v>46274</v>
      </c>
      <c r="AE269" s="168">
        <v>46276</v>
      </c>
      <c r="AF269" s="168">
        <v>46304.1</v>
      </c>
      <c r="AG269" s="168">
        <v>46311.1</v>
      </c>
      <c r="AH269" s="168">
        <v>46316.1</v>
      </c>
      <c r="AI269" s="168">
        <v>46319</v>
      </c>
      <c r="AJ269" s="168">
        <v>46336.1</v>
      </c>
      <c r="AK269" s="169"/>
      <c r="AL269" s="230"/>
      <c r="AM269" s="170">
        <f>X269+AL268</f>
        <v>100.1</v>
      </c>
      <c r="AN269" s="170"/>
      <c r="AO269" s="171"/>
      <c r="AP269" s="172"/>
      <c r="AQ269" s="448"/>
      <c r="AR269" s="154"/>
      <c r="AS269" s="155"/>
      <c r="AT269" s="155"/>
      <c r="AU269" s="155"/>
      <c r="AV269" s="155"/>
      <c r="AW269" s="155"/>
      <c r="AX269" s="155"/>
      <c r="AY269" s="155"/>
      <c r="AZ269" s="155"/>
      <c r="BA269" s="155"/>
      <c r="BB269" s="155"/>
      <c r="BC269" s="156"/>
      <c r="BD269" s="176"/>
      <c r="BE269" s="176"/>
    </row>
    <row r="270" spans="1:57" s="78" customFormat="1" ht="18" customHeight="1" thickTop="1" thickBot="1" x14ac:dyDescent="0.45">
      <c r="A270" s="460"/>
      <c r="B270" s="177" t="s">
        <v>548</v>
      </c>
      <c r="C270" s="178" t="s">
        <v>549</v>
      </c>
      <c r="D270" s="207" t="s">
        <v>550</v>
      </c>
      <c r="E270" s="215"/>
      <c r="F270" s="215"/>
      <c r="G270" s="220" t="s">
        <v>539</v>
      </c>
      <c r="H270" s="182" t="s">
        <v>540</v>
      </c>
      <c r="I270" s="251" t="s">
        <v>73</v>
      </c>
      <c r="J270" s="178" t="s">
        <v>74</v>
      </c>
      <c r="K270" s="178" t="s">
        <v>2</v>
      </c>
      <c r="L270" s="209"/>
      <c r="M270" s="184" t="s">
        <v>150</v>
      </c>
      <c r="N270" s="185" t="s">
        <v>87</v>
      </c>
      <c r="O270" s="186">
        <v>46136</v>
      </c>
      <c r="P270" s="186">
        <v>46146</v>
      </c>
      <c r="Q270" s="186">
        <v>46157</v>
      </c>
      <c r="R270" s="186">
        <v>46195</v>
      </c>
      <c r="S270" s="186">
        <v>46195</v>
      </c>
      <c r="T270" s="186">
        <v>46197</v>
      </c>
      <c r="U270" s="186">
        <v>46206</v>
      </c>
      <c r="V270" s="186">
        <v>46213</v>
      </c>
      <c r="W270" s="186"/>
      <c r="X270" s="186">
        <v>46213</v>
      </c>
      <c r="Y270" s="186">
        <v>46213</v>
      </c>
      <c r="Z270" s="186">
        <v>46219</v>
      </c>
      <c r="AA270" s="186"/>
      <c r="AB270" s="186"/>
      <c r="AC270" s="186"/>
      <c r="AD270" s="186"/>
      <c r="AE270" s="186"/>
      <c r="AF270" s="186"/>
      <c r="AG270" s="186"/>
      <c r="AH270" s="186"/>
      <c r="AI270" s="186"/>
      <c r="AJ270" s="186"/>
      <c r="AK270" s="188"/>
      <c r="AL270" s="211"/>
      <c r="AM270" s="187"/>
      <c r="AN270" s="187"/>
      <c r="AO270" s="189"/>
      <c r="AP270" s="190"/>
      <c r="AQ270" s="449"/>
      <c r="AR270" s="191"/>
      <c r="AS270" s="192"/>
      <c r="AT270" s="192"/>
      <c r="AU270" s="192"/>
      <c r="AV270" s="192"/>
      <c r="AW270" s="192"/>
      <c r="AX270" s="192"/>
      <c r="AY270" s="192"/>
      <c r="AZ270" s="192"/>
      <c r="BA270" s="192"/>
      <c r="BB270" s="192"/>
      <c r="BC270" s="156"/>
      <c r="BD270" s="176"/>
      <c r="BE270" s="176"/>
    </row>
    <row r="271" spans="1:57" s="78" customFormat="1" ht="18" customHeight="1" thickTop="1" thickBot="1" x14ac:dyDescent="0.45">
      <c r="A271" s="458">
        <f t="shared" si="63"/>
        <v>76</v>
      </c>
      <c r="B271" s="139" t="s">
        <v>548</v>
      </c>
      <c r="C271" s="140" t="s">
        <v>552</v>
      </c>
      <c r="D271" s="233" t="s">
        <v>553</v>
      </c>
      <c r="E271" s="202"/>
      <c r="F271" s="202"/>
      <c r="G271" s="437" t="s">
        <v>539</v>
      </c>
      <c r="H271" s="143" t="s">
        <v>540</v>
      </c>
      <c r="I271" s="247" t="s">
        <v>73</v>
      </c>
      <c r="J271" s="140" t="s">
        <v>74</v>
      </c>
      <c r="K271" s="140" t="s">
        <v>2</v>
      </c>
      <c r="L271" s="203"/>
      <c r="M271" s="145" t="s">
        <v>150</v>
      </c>
      <c r="N271" s="146" t="s">
        <v>77</v>
      </c>
      <c r="O271" s="147">
        <v>46134</v>
      </c>
      <c r="P271" s="223">
        <v>46218</v>
      </c>
      <c r="Q271" s="147">
        <v>46232</v>
      </c>
      <c r="R271" s="147">
        <v>46232</v>
      </c>
      <c r="S271" s="147">
        <v>46232</v>
      </c>
      <c r="T271" s="147">
        <v>46239</v>
      </c>
      <c r="U271" s="147">
        <v>46248</v>
      </c>
      <c r="V271" s="148">
        <v>46264</v>
      </c>
      <c r="W271" s="147"/>
      <c r="X271" s="147">
        <v>46273</v>
      </c>
      <c r="Y271" s="147">
        <v>46275</v>
      </c>
      <c r="Z271" s="147">
        <v>46279</v>
      </c>
      <c r="AA271" s="147">
        <v>46282</v>
      </c>
      <c r="AB271" s="147">
        <v>46305</v>
      </c>
      <c r="AC271" s="147">
        <v>46284</v>
      </c>
      <c r="AD271" s="147">
        <v>46285</v>
      </c>
      <c r="AE271" s="147">
        <v>46289</v>
      </c>
      <c r="AF271" s="147">
        <v>46316</v>
      </c>
      <c r="AG271" s="147">
        <v>46323</v>
      </c>
      <c r="AH271" s="147">
        <v>46328</v>
      </c>
      <c r="AI271" s="147">
        <v>46331</v>
      </c>
      <c r="AJ271" s="147">
        <v>46358</v>
      </c>
      <c r="AK271" s="149">
        <f>AL271/7</f>
        <v>7.8571428571428568</v>
      </c>
      <c r="AL271" s="150">
        <v>55</v>
      </c>
      <c r="AM271" s="151">
        <f>AH271</f>
        <v>46328</v>
      </c>
      <c r="AN271" s="151">
        <v>46351</v>
      </c>
      <c r="AO271" s="225">
        <f>AN271-AM272</f>
        <v>23</v>
      </c>
      <c r="AP271" s="153" t="s">
        <v>554</v>
      </c>
      <c r="AQ271" s="447"/>
      <c r="AR271" s="154"/>
      <c r="AS271" s="155"/>
      <c r="AT271" s="155"/>
      <c r="AU271" s="155"/>
      <c r="AV271" s="155"/>
      <c r="AW271" s="155"/>
      <c r="AX271" s="155"/>
      <c r="AY271" s="155"/>
      <c r="AZ271" s="155"/>
      <c r="BA271" s="155"/>
      <c r="BB271" s="155"/>
      <c r="BC271" s="156"/>
      <c r="BD271" s="176"/>
      <c r="BE271" s="176"/>
    </row>
    <row r="272" spans="1:57" s="78" customFormat="1" ht="18" customHeight="1" thickTop="1" thickBot="1" x14ac:dyDescent="0.45">
      <c r="A272" s="459"/>
      <c r="B272" s="158" t="s">
        <v>548</v>
      </c>
      <c r="C272" s="197" t="s">
        <v>552</v>
      </c>
      <c r="D272" s="204" t="s">
        <v>553</v>
      </c>
      <c r="E272" s="205"/>
      <c r="F272" s="205"/>
      <c r="G272" s="218" t="s">
        <v>539</v>
      </c>
      <c r="H272" s="228" t="s">
        <v>540</v>
      </c>
      <c r="I272" s="250" t="s">
        <v>73</v>
      </c>
      <c r="J272" s="197" t="s">
        <v>74</v>
      </c>
      <c r="K272" s="197" t="s">
        <v>2</v>
      </c>
      <c r="L272" s="204"/>
      <c r="M272" s="165" t="s">
        <v>150</v>
      </c>
      <c r="N272" s="166" t="s">
        <v>84</v>
      </c>
      <c r="O272" s="167"/>
      <c r="P272" s="168"/>
      <c r="Q272" s="168"/>
      <c r="R272" s="168"/>
      <c r="S272" s="168"/>
      <c r="T272" s="168"/>
      <c r="U272" s="168"/>
      <c r="V272" s="168">
        <v>46264</v>
      </c>
      <c r="W272" s="168"/>
      <c r="X272" s="168">
        <v>46273</v>
      </c>
      <c r="Y272" s="168">
        <v>46275</v>
      </c>
      <c r="Z272" s="168">
        <v>46279</v>
      </c>
      <c r="AA272" s="168">
        <v>46282</v>
      </c>
      <c r="AB272" s="168">
        <v>46305</v>
      </c>
      <c r="AC272" s="168">
        <v>46284</v>
      </c>
      <c r="AD272" s="168">
        <v>46285</v>
      </c>
      <c r="AE272" s="168">
        <v>46289</v>
      </c>
      <c r="AF272" s="168">
        <v>46316</v>
      </c>
      <c r="AG272" s="168">
        <v>46323</v>
      </c>
      <c r="AH272" s="168">
        <v>46328</v>
      </c>
      <c r="AI272" s="168">
        <v>46331</v>
      </c>
      <c r="AJ272" s="168">
        <v>46358</v>
      </c>
      <c r="AK272" s="169"/>
      <c r="AL272" s="230"/>
      <c r="AM272" s="170">
        <f>X272+AL271</f>
        <v>46328</v>
      </c>
      <c r="AN272" s="170"/>
      <c r="AO272" s="171"/>
      <c r="AP272" s="172"/>
      <c r="AQ272" s="448"/>
      <c r="AR272" s="154"/>
      <c r="AS272" s="155"/>
      <c r="AT272" s="155"/>
      <c r="AU272" s="155"/>
      <c r="AV272" s="155"/>
      <c r="AW272" s="155"/>
      <c r="AX272" s="155"/>
      <c r="AY272" s="155"/>
      <c r="AZ272" s="155"/>
      <c r="BA272" s="155"/>
      <c r="BB272" s="155"/>
      <c r="BC272" s="156"/>
      <c r="BD272" s="176"/>
      <c r="BE272" s="176"/>
    </row>
    <row r="273" spans="1:57" s="78" customFormat="1" ht="18" customHeight="1" thickTop="1" thickBot="1" x14ac:dyDescent="0.45">
      <c r="A273" s="460"/>
      <c r="B273" s="177" t="s">
        <v>548</v>
      </c>
      <c r="C273" s="178" t="s">
        <v>552</v>
      </c>
      <c r="D273" s="207" t="s">
        <v>553</v>
      </c>
      <c r="E273" s="215"/>
      <c r="F273" s="215"/>
      <c r="G273" s="220" t="s">
        <v>539</v>
      </c>
      <c r="H273" s="182" t="s">
        <v>540</v>
      </c>
      <c r="I273" s="251" t="s">
        <v>73</v>
      </c>
      <c r="J273" s="178" t="s">
        <v>74</v>
      </c>
      <c r="K273" s="178" t="s">
        <v>2</v>
      </c>
      <c r="L273" s="209"/>
      <c r="M273" s="184" t="s">
        <v>150</v>
      </c>
      <c r="N273" s="185" t="s">
        <v>87</v>
      </c>
      <c r="O273" s="186">
        <v>46136</v>
      </c>
      <c r="P273" s="186">
        <v>46146</v>
      </c>
      <c r="Q273" s="186">
        <v>46157</v>
      </c>
      <c r="R273" s="186">
        <v>46183</v>
      </c>
      <c r="S273" s="186">
        <v>46183</v>
      </c>
      <c r="T273" s="186">
        <v>46185</v>
      </c>
      <c r="U273" s="186">
        <v>46227</v>
      </c>
      <c r="V273" s="186"/>
      <c r="W273" s="186"/>
      <c r="X273" s="186"/>
      <c r="Y273" s="186"/>
      <c r="Z273" s="186"/>
      <c r="AA273" s="186"/>
      <c r="AB273" s="186"/>
      <c r="AC273" s="186"/>
      <c r="AD273" s="186"/>
      <c r="AE273" s="186"/>
      <c r="AF273" s="186"/>
      <c r="AG273" s="186"/>
      <c r="AH273" s="186"/>
      <c r="AI273" s="186"/>
      <c r="AJ273" s="186"/>
      <c r="AK273" s="188"/>
      <c r="AL273" s="211"/>
      <c r="AM273" s="187"/>
      <c r="AN273" s="187"/>
      <c r="AO273" s="189"/>
      <c r="AP273" s="190"/>
      <c r="AQ273" s="449"/>
      <c r="AR273" s="191"/>
      <c r="AS273" s="192"/>
      <c r="AT273" s="192"/>
      <c r="AU273" s="192"/>
      <c r="AV273" s="192"/>
      <c r="AW273" s="192"/>
      <c r="AX273" s="192"/>
      <c r="AY273" s="192"/>
      <c r="AZ273" s="192"/>
      <c r="BA273" s="192"/>
      <c r="BB273" s="192"/>
      <c r="BC273" s="156"/>
      <c r="BD273" s="176"/>
      <c r="BE273" s="176"/>
    </row>
    <row r="274" spans="1:57" s="78" customFormat="1" ht="18" customHeight="1" thickTop="1" thickBot="1" x14ac:dyDescent="0.45">
      <c r="A274" s="458">
        <f t="shared" si="63"/>
        <v>77</v>
      </c>
      <c r="B274" s="139" t="s">
        <v>555</v>
      </c>
      <c r="C274" s="140" t="s">
        <v>556</v>
      </c>
      <c r="D274" s="141" t="s">
        <v>557</v>
      </c>
      <c r="E274" s="202"/>
      <c r="F274" s="202"/>
      <c r="G274" s="427" t="s">
        <v>295</v>
      </c>
      <c r="H274" s="143" t="s">
        <v>540</v>
      </c>
      <c r="I274" s="140" t="s">
        <v>138</v>
      </c>
      <c r="J274" s="140" t="s">
        <v>95</v>
      </c>
      <c r="K274" s="140" t="s">
        <v>2</v>
      </c>
      <c r="L274" s="276" t="s">
        <v>558</v>
      </c>
      <c r="M274" s="145" t="s">
        <v>150</v>
      </c>
      <c r="N274" s="146" t="s">
        <v>77</v>
      </c>
      <c r="O274" s="147">
        <v>46140</v>
      </c>
      <c r="P274" s="147">
        <v>46141</v>
      </c>
      <c r="Q274" s="147">
        <v>46150</v>
      </c>
      <c r="R274" s="147">
        <v>46153</v>
      </c>
      <c r="S274" s="147">
        <v>46160</v>
      </c>
      <c r="T274" s="147">
        <v>46174</v>
      </c>
      <c r="U274" s="147">
        <v>46231</v>
      </c>
      <c r="V274" s="147">
        <v>46245</v>
      </c>
      <c r="W274" s="147"/>
      <c r="X274" s="147">
        <v>46241</v>
      </c>
      <c r="Y274" s="147">
        <v>46245</v>
      </c>
      <c r="Z274" s="147">
        <v>46252</v>
      </c>
      <c r="AA274" s="148">
        <v>46280</v>
      </c>
      <c r="AB274" s="147">
        <v>46294</v>
      </c>
      <c r="AC274" s="147"/>
      <c r="AD274" s="147">
        <v>46299</v>
      </c>
      <c r="AE274" s="147">
        <v>46301</v>
      </c>
      <c r="AF274" s="147">
        <v>46329.1</v>
      </c>
      <c r="AG274" s="147">
        <v>46336.1</v>
      </c>
      <c r="AH274" s="147">
        <v>46341.1</v>
      </c>
      <c r="AI274" s="147">
        <v>46344.1</v>
      </c>
      <c r="AJ274" s="147">
        <v>46371.1</v>
      </c>
      <c r="AK274" s="149">
        <v>14.3</v>
      </c>
      <c r="AL274" s="150">
        <v>100.1</v>
      </c>
      <c r="AM274" s="151">
        <v>46341.1</v>
      </c>
      <c r="AN274" s="151">
        <v>46351</v>
      </c>
      <c r="AO274" s="225">
        <f>AN274-AM275</f>
        <v>46250.9</v>
      </c>
      <c r="AP274" s="235" t="s">
        <v>554</v>
      </c>
      <c r="AQ274" s="447"/>
      <c r="AR274" s="154"/>
      <c r="AS274" s="155"/>
      <c r="AT274" s="155"/>
      <c r="AU274" s="155"/>
      <c r="AV274" s="155"/>
      <c r="AW274" s="155"/>
      <c r="AX274" s="155"/>
      <c r="AY274" s="155"/>
      <c r="AZ274" s="155"/>
      <c r="BA274" s="155"/>
      <c r="BB274" s="155"/>
      <c r="BC274" s="156"/>
      <c r="BD274" s="176"/>
      <c r="BE274" s="176"/>
    </row>
    <row r="275" spans="1:57" s="78" customFormat="1" ht="18" customHeight="1" thickTop="1" thickBot="1" x14ac:dyDescent="0.45">
      <c r="A275" s="459"/>
      <c r="B275" s="158" t="s">
        <v>555</v>
      </c>
      <c r="C275" s="197" t="s">
        <v>556</v>
      </c>
      <c r="D275" s="204" t="s">
        <v>557</v>
      </c>
      <c r="E275" s="205"/>
      <c r="F275" s="205"/>
      <c r="G275" s="204" t="s">
        <v>295</v>
      </c>
      <c r="H275" s="228" t="s">
        <v>540</v>
      </c>
      <c r="I275" s="159" t="s">
        <v>138</v>
      </c>
      <c r="J275" s="197" t="s">
        <v>95</v>
      </c>
      <c r="K275" s="197" t="s">
        <v>2</v>
      </c>
      <c r="L275" s="204"/>
      <c r="M275" s="165" t="s">
        <v>150</v>
      </c>
      <c r="N275" s="166" t="s">
        <v>84</v>
      </c>
      <c r="O275" s="167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  <c r="AA275" s="168">
        <v>46280</v>
      </c>
      <c r="AB275" s="168">
        <v>46294</v>
      </c>
      <c r="AC275" s="168"/>
      <c r="AD275" s="168">
        <v>46299</v>
      </c>
      <c r="AE275" s="168">
        <v>46301</v>
      </c>
      <c r="AF275" s="168">
        <v>46329.1</v>
      </c>
      <c r="AG275" s="168">
        <v>46336.1</v>
      </c>
      <c r="AH275" s="168">
        <v>46341.1</v>
      </c>
      <c r="AI275" s="168">
        <v>46344.1</v>
      </c>
      <c r="AJ275" s="168">
        <v>46371.1</v>
      </c>
      <c r="AK275" s="169"/>
      <c r="AL275" s="230"/>
      <c r="AM275" s="170">
        <f>X275+AL274</f>
        <v>100.1</v>
      </c>
      <c r="AN275" s="170"/>
      <c r="AO275" s="171"/>
      <c r="AP275" s="172"/>
      <c r="AQ275" s="448"/>
      <c r="AR275" s="154"/>
      <c r="AS275" s="155"/>
      <c r="AT275" s="155"/>
      <c r="AU275" s="155"/>
      <c r="AV275" s="155"/>
      <c r="AW275" s="155"/>
      <c r="AX275" s="155"/>
      <c r="AY275" s="155"/>
      <c r="AZ275" s="155"/>
      <c r="BA275" s="155"/>
      <c r="BB275" s="155"/>
      <c r="BC275" s="156"/>
      <c r="BD275" s="176"/>
      <c r="BE275" s="176"/>
    </row>
    <row r="276" spans="1:57" s="78" customFormat="1" ht="18" customHeight="1" thickTop="1" thickBot="1" x14ac:dyDescent="0.45">
      <c r="A276" s="460"/>
      <c r="B276" s="177" t="s">
        <v>555</v>
      </c>
      <c r="C276" s="178" t="s">
        <v>556</v>
      </c>
      <c r="D276" s="207" t="s">
        <v>557</v>
      </c>
      <c r="E276" s="208"/>
      <c r="F276" s="208"/>
      <c r="G276" s="209" t="s">
        <v>295</v>
      </c>
      <c r="H276" s="182" t="s">
        <v>540</v>
      </c>
      <c r="I276" s="178" t="s">
        <v>138</v>
      </c>
      <c r="J276" s="178" t="s">
        <v>95</v>
      </c>
      <c r="K276" s="178" t="s">
        <v>2</v>
      </c>
      <c r="L276" s="209"/>
      <c r="M276" s="184" t="s">
        <v>150</v>
      </c>
      <c r="N276" s="185" t="s">
        <v>87</v>
      </c>
      <c r="O276" s="186">
        <v>46136</v>
      </c>
      <c r="P276" s="186">
        <v>46165</v>
      </c>
      <c r="Q276" s="186">
        <v>46167</v>
      </c>
      <c r="R276" s="186">
        <v>46181</v>
      </c>
      <c r="S276" s="186">
        <v>46181</v>
      </c>
      <c r="T276" s="186">
        <v>46185</v>
      </c>
      <c r="U276" s="186">
        <v>46213</v>
      </c>
      <c r="V276" s="186">
        <v>46217</v>
      </c>
      <c r="W276" s="186"/>
      <c r="X276" s="186">
        <v>46217</v>
      </c>
      <c r="Y276" s="186">
        <v>46217</v>
      </c>
      <c r="Z276" s="186">
        <v>46202</v>
      </c>
      <c r="AA276" s="186"/>
      <c r="AB276" s="186"/>
      <c r="AC276" s="186"/>
      <c r="AD276" s="186"/>
      <c r="AE276" s="186"/>
      <c r="AF276" s="186"/>
      <c r="AG276" s="186"/>
      <c r="AH276" s="186"/>
      <c r="AI276" s="186"/>
      <c r="AJ276" s="186"/>
      <c r="AK276" s="188"/>
      <c r="AL276" s="211"/>
      <c r="AM276" s="187"/>
      <c r="AN276" s="187"/>
      <c r="AO276" s="189"/>
      <c r="AP276" s="190"/>
      <c r="AQ276" s="449"/>
      <c r="AR276" s="191"/>
      <c r="AS276" s="192"/>
      <c r="AT276" s="192"/>
      <c r="AU276" s="192"/>
      <c r="AV276" s="192"/>
      <c r="AW276" s="192"/>
      <c r="AX276" s="192"/>
      <c r="AY276" s="192"/>
      <c r="AZ276" s="192"/>
      <c r="BA276" s="192"/>
      <c r="BB276" s="192"/>
      <c r="BC276" s="156"/>
      <c r="BD276" s="176"/>
      <c r="BE276" s="176"/>
    </row>
    <row r="277" spans="1:57" s="78" customFormat="1" ht="18" customHeight="1" thickTop="1" thickBot="1" x14ac:dyDescent="0.45">
      <c r="A277" s="458">
        <f t="shared" si="63"/>
        <v>78</v>
      </c>
      <c r="B277" s="139" t="s">
        <v>555</v>
      </c>
      <c r="C277" s="140" t="s">
        <v>556</v>
      </c>
      <c r="D277" s="233" t="s">
        <v>559</v>
      </c>
      <c r="E277" s="202"/>
      <c r="F277" s="202"/>
      <c r="G277" s="427" t="s">
        <v>295</v>
      </c>
      <c r="H277" s="143" t="s">
        <v>540</v>
      </c>
      <c r="I277" s="140" t="s">
        <v>138</v>
      </c>
      <c r="J277" s="140" t="s">
        <v>95</v>
      </c>
      <c r="K277" s="140" t="s">
        <v>2</v>
      </c>
      <c r="L277" s="203"/>
      <c r="M277" s="145" t="s">
        <v>150</v>
      </c>
      <c r="N277" s="146" t="s">
        <v>77</v>
      </c>
      <c r="O277" s="147">
        <v>46140</v>
      </c>
      <c r="P277" s="147">
        <v>46141</v>
      </c>
      <c r="Q277" s="147">
        <v>46150</v>
      </c>
      <c r="R277" s="147">
        <v>46222</v>
      </c>
      <c r="S277" s="147">
        <v>46222</v>
      </c>
      <c r="T277" s="147">
        <v>46228</v>
      </c>
      <c r="U277" s="148">
        <v>46236</v>
      </c>
      <c r="V277" s="147">
        <v>46250</v>
      </c>
      <c r="W277" s="147"/>
      <c r="X277" s="147">
        <v>46250</v>
      </c>
      <c r="Y277" s="147">
        <v>46251</v>
      </c>
      <c r="Z277" s="147">
        <v>46262</v>
      </c>
      <c r="AA277" s="147">
        <v>46259</v>
      </c>
      <c r="AB277" s="147">
        <v>46287</v>
      </c>
      <c r="AC277" s="147">
        <v>46301</v>
      </c>
      <c r="AD277" s="147">
        <v>46306</v>
      </c>
      <c r="AE277" s="147">
        <v>46308</v>
      </c>
      <c r="AF277" s="147">
        <v>46338.1</v>
      </c>
      <c r="AG277" s="147">
        <v>46345.1</v>
      </c>
      <c r="AH277" s="147">
        <v>46350.1</v>
      </c>
      <c r="AI277" s="147">
        <v>46348.1</v>
      </c>
      <c r="AJ277" s="147">
        <v>46380.1</v>
      </c>
      <c r="AK277" s="149">
        <v>14.3</v>
      </c>
      <c r="AL277" s="150">
        <v>100.1</v>
      </c>
      <c r="AM277" s="151">
        <v>46350.1</v>
      </c>
      <c r="AN277" s="151">
        <v>46358</v>
      </c>
      <c r="AO277" s="225">
        <f>AN277-AM278</f>
        <v>7.9000000000014552</v>
      </c>
      <c r="AP277" s="235" t="s">
        <v>554</v>
      </c>
      <c r="AQ277" s="447"/>
      <c r="AR277" s="154"/>
      <c r="AS277" s="155"/>
      <c r="AT277" s="155"/>
      <c r="AU277" s="155"/>
      <c r="AV277" s="155"/>
      <c r="AW277" s="155"/>
      <c r="AX277" s="155"/>
      <c r="AY277" s="155"/>
      <c r="AZ277" s="155"/>
      <c r="BA277" s="155"/>
      <c r="BB277" s="155"/>
      <c r="BC277" s="156"/>
      <c r="BD277" s="176"/>
      <c r="BE277" s="176"/>
    </row>
    <row r="278" spans="1:57" s="78" customFormat="1" ht="18" customHeight="1" thickTop="1" thickBot="1" x14ac:dyDescent="0.45">
      <c r="A278" s="459"/>
      <c r="B278" s="158" t="s">
        <v>555</v>
      </c>
      <c r="C278" s="197" t="s">
        <v>556</v>
      </c>
      <c r="D278" s="204" t="s">
        <v>559</v>
      </c>
      <c r="E278" s="205"/>
      <c r="F278" s="205"/>
      <c r="G278" s="204" t="s">
        <v>295</v>
      </c>
      <c r="H278" s="228" t="s">
        <v>540</v>
      </c>
      <c r="I278" s="159" t="s">
        <v>138</v>
      </c>
      <c r="J278" s="197" t="s">
        <v>95</v>
      </c>
      <c r="K278" s="197" t="s">
        <v>2</v>
      </c>
      <c r="L278" s="204"/>
      <c r="M278" s="165" t="s">
        <v>150</v>
      </c>
      <c r="N278" s="166" t="s">
        <v>84</v>
      </c>
      <c r="O278" s="216">
        <v>46218</v>
      </c>
      <c r="P278" s="168"/>
      <c r="Q278" s="168"/>
      <c r="R278" s="168"/>
      <c r="S278" s="168"/>
      <c r="T278" s="168"/>
      <c r="U278" s="168">
        <v>46236</v>
      </c>
      <c r="V278" s="168">
        <v>46250</v>
      </c>
      <c r="W278" s="168"/>
      <c r="X278" s="168">
        <v>46250</v>
      </c>
      <c r="Y278" s="168">
        <v>46251</v>
      </c>
      <c r="Z278" s="168">
        <v>46262</v>
      </c>
      <c r="AA278" s="168">
        <v>46259</v>
      </c>
      <c r="AB278" s="168">
        <v>46287</v>
      </c>
      <c r="AC278" s="168">
        <v>46301</v>
      </c>
      <c r="AD278" s="168">
        <v>46306</v>
      </c>
      <c r="AE278" s="168">
        <v>46308</v>
      </c>
      <c r="AF278" s="168">
        <v>46338.1</v>
      </c>
      <c r="AG278" s="168">
        <v>46345.1</v>
      </c>
      <c r="AH278" s="168">
        <v>46350.1</v>
      </c>
      <c r="AI278" s="168">
        <v>46348.1</v>
      </c>
      <c r="AJ278" s="168">
        <v>46380.1</v>
      </c>
      <c r="AK278" s="169"/>
      <c r="AL278" s="230"/>
      <c r="AM278" s="170">
        <f>X278+AL277</f>
        <v>46350.1</v>
      </c>
      <c r="AN278" s="170"/>
      <c r="AO278" s="171"/>
      <c r="AP278" s="172"/>
      <c r="AQ278" s="448"/>
      <c r="AR278" s="154"/>
      <c r="AS278" s="155"/>
      <c r="AT278" s="155"/>
      <c r="AU278" s="155"/>
      <c r="AV278" s="155"/>
      <c r="AW278" s="155"/>
      <c r="AX278" s="155"/>
      <c r="AY278" s="155"/>
      <c r="AZ278" s="155"/>
      <c r="BA278" s="155"/>
      <c r="BB278" s="155"/>
      <c r="BC278" s="156"/>
      <c r="BD278" s="176"/>
      <c r="BE278" s="176"/>
    </row>
    <row r="279" spans="1:57" s="78" customFormat="1" ht="15.4" thickTop="1" thickBot="1" x14ac:dyDescent="0.45">
      <c r="A279" s="460"/>
      <c r="B279" s="177" t="s">
        <v>555</v>
      </c>
      <c r="C279" s="178" t="s">
        <v>556</v>
      </c>
      <c r="D279" s="207" t="s">
        <v>559</v>
      </c>
      <c r="E279" s="208"/>
      <c r="F279" s="208"/>
      <c r="G279" s="209" t="s">
        <v>295</v>
      </c>
      <c r="H279" s="182" t="s">
        <v>540</v>
      </c>
      <c r="I279" s="178" t="s">
        <v>138</v>
      </c>
      <c r="J279" s="178" t="s">
        <v>95</v>
      </c>
      <c r="K279" s="178" t="s">
        <v>2</v>
      </c>
      <c r="L279" s="209"/>
      <c r="M279" s="184" t="s">
        <v>150</v>
      </c>
      <c r="N279" s="185" t="s">
        <v>87</v>
      </c>
      <c r="O279" s="386"/>
      <c r="P279" s="186">
        <v>46165</v>
      </c>
      <c r="Q279" s="186">
        <v>46167</v>
      </c>
      <c r="R279" s="186">
        <v>46206</v>
      </c>
      <c r="S279" s="186">
        <v>46206</v>
      </c>
      <c r="T279" s="186">
        <v>46227</v>
      </c>
      <c r="U279" s="186"/>
      <c r="V279" s="186"/>
      <c r="W279" s="186"/>
      <c r="X279" s="186"/>
      <c r="Y279" s="186"/>
      <c r="Z279" s="186"/>
      <c r="AA279" s="186"/>
      <c r="AB279" s="186"/>
      <c r="AC279" s="186"/>
      <c r="AD279" s="186"/>
      <c r="AE279" s="186"/>
      <c r="AF279" s="186"/>
      <c r="AG279" s="186"/>
      <c r="AH279" s="186"/>
      <c r="AI279" s="186"/>
      <c r="AJ279" s="186"/>
      <c r="AK279" s="188"/>
      <c r="AL279" s="211"/>
      <c r="AM279" s="187"/>
      <c r="AN279" s="187"/>
      <c r="AO279" s="189"/>
      <c r="AP279" s="190"/>
      <c r="AQ279" s="449"/>
      <c r="AR279" s="191"/>
      <c r="AS279" s="192"/>
      <c r="AT279" s="192"/>
      <c r="AU279" s="192"/>
      <c r="AV279" s="192"/>
      <c r="AW279" s="192"/>
      <c r="AX279" s="192"/>
      <c r="AY279" s="192"/>
      <c r="AZ279" s="192"/>
      <c r="BA279" s="192"/>
      <c r="BB279" s="192"/>
      <c r="BC279" s="156"/>
      <c r="BD279" s="176"/>
      <c r="BE279" s="176"/>
    </row>
    <row r="280" spans="1:57" s="78" customFormat="1" ht="15.4" thickTop="1" thickBot="1" x14ac:dyDescent="0.45">
      <c r="A280" s="458">
        <f>A277+1</f>
        <v>79</v>
      </c>
      <c r="B280" s="139" t="s">
        <v>560</v>
      </c>
      <c r="C280" s="140" t="s">
        <v>561</v>
      </c>
      <c r="D280" s="194" t="s">
        <v>562</v>
      </c>
      <c r="E280" s="202"/>
      <c r="F280" s="202"/>
      <c r="G280" s="427" t="s">
        <v>295</v>
      </c>
      <c r="H280" s="143" t="s">
        <v>540</v>
      </c>
      <c r="I280" s="140" t="s">
        <v>138</v>
      </c>
      <c r="J280" s="140" t="s">
        <v>139</v>
      </c>
      <c r="K280" s="140" t="s">
        <v>2</v>
      </c>
      <c r="L280" s="203"/>
      <c r="M280" s="145" t="s">
        <v>150</v>
      </c>
      <c r="N280" s="146" t="s">
        <v>77</v>
      </c>
      <c r="O280" s="148">
        <v>46168</v>
      </c>
      <c r="P280" s="147">
        <v>46169</v>
      </c>
      <c r="Q280" s="147">
        <v>46178</v>
      </c>
      <c r="R280" s="147">
        <v>46227</v>
      </c>
      <c r="S280" s="147">
        <v>46227</v>
      </c>
      <c r="T280" s="147">
        <v>46233</v>
      </c>
      <c r="U280" s="147">
        <v>46256</v>
      </c>
      <c r="V280" s="147">
        <v>46274</v>
      </c>
      <c r="W280" s="147"/>
      <c r="X280" s="147">
        <v>46282</v>
      </c>
      <c r="Y280" s="147">
        <v>46284</v>
      </c>
      <c r="Z280" s="147">
        <v>46291</v>
      </c>
      <c r="AA280" s="147">
        <v>46319</v>
      </c>
      <c r="AB280" s="147">
        <v>46333</v>
      </c>
      <c r="AC280" s="147"/>
      <c r="AD280" s="147">
        <v>30</v>
      </c>
      <c r="AE280" s="147">
        <v>46335</v>
      </c>
      <c r="AF280" s="147">
        <v>46362.02</v>
      </c>
      <c r="AG280" s="147">
        <v>46367.02</v>
      </c>
      <c r="AH280" s="147">
        <v>46372.02</v>
      </c>
      <c r="AI280" s="147">
        <v>46375.02</v>
      </c>
      <c r="AJ280" s="147">
        <v>46402.02</v>
      </c>
      <c r="AK280" s="149">
        <v>12.86</v>
      </c>
      <c r="AL280" s="150">
        <v>90.02</v>
      </c>
      <c r="AM280" s="151">
        <v>46372.02</v>
      </c>
      <c r="AN280" s="151">
        <v>46377</v>
      </c>
      <c r="AO280" s="225">
        <f>AN280-AM281</f>
        <v>4.9800000000032014</v>
      </c>
      <c r="AP280" s="235" t="s">
        <v>554</v>
      </c>
      <c r="AQ280" s="447"/>
      <c r="AR280" s="154"/>
      <c r="AS280" s="155"/>
      <c r="AT280" s="155"/>
      <c r="AU280" s="155"/>
      <c r="AV280" s="155"/>
      <c r="AW280" s="155"/>
      <c r="AX280" s="155"/>
      <c r="AY280" s="155"/>
      <c r="AZ280" s="155"/>
      <c r="BA280" s="155"/>
      <c r="BB280" s="155"/>
      <c r="BC280" s="156"/>
      <c r="BD280" s="176"/>
      <c r="BE280" s="176"/>
    </row>
    <row r="281" spans="1:57" s="78" customFormat="1" ht="15.4" thickTop="1" thickBot="1" x14ac:dyDescent="0.45">
      <c r="A281" s="459"/>
      <c r="B281" s="158" t="s">
        <v>560</v>
      </c>
      <c r="C281" s="197" t="s">
        <v>561</v>
      </c>
      <c r="D281" s="204" t="s">
        <v>563</v>
      </c>
      <c r="E281" s="205"/>
      <c r="F281" s="205"/>
      <c r="G281" s="204" t="s">
        <v>295</v>
      </c>
      <c r="H281" s="228" t="s">
        <v>540</v>
      </c>
      <c r="I281" s="159" t="s">
        <v>138</v>
      </c>
      <c r="J281" s="197" t="s">
        <v>139</v>
      </c>
      <c r="K281" s="197" t="s">
        <v>2</v>
      </c>
      <c r="L281" s="204"/>
      <c r="M281" s="165" t="s">
        <v>150</v>
      </c>
      <c r="N281" s="166" t="s">
        <v>84</v>
      </c>
      <c r="O281" s="216">
        <v>46223</v>
      </c>
      <c r="P281" s="168"/>
      <c r="Q281" s="168"/>
      <c r="R281" s="168">
        <v>46227</v>
      </c>
      <c r="S281" s="168">
        <v>46227</v>
      </c>
      <c r="T281" s="168">
        <v>46233</v>
      </c>
      <c r="U281" s="168">
        <v>46256</v>
      </c>
      <c r="V281" s="168">
        <v>46274</v>
      </c>
      <c r="W281" s="168"/>
      <c r="X281" s="168">
        <v>46282</v>
      </c>
      <c r="Y281" s="168">
        <v>46284</v>
      </c>
      <c r="Z281" s="168">
        <v>46291</v>
      </c>
      <c r="AA281" s="168">
        <v>46319</v>
      </c>
      <c r="AB281" s="168">
        <v>46333</v>
      </c>
      <c r="AC281" s="168"/>
      <c r="AD281" s="168">
        <v>30</v>
      </c>
      <c r="AE281" s="168">
        <v>46335</v>
      </c>
      <c r="AF281" s="168">
        <v>46362.02</v>
      </c>
      <c r="AG281" s="168">
        <v>46367.02</v>
      </c>
      <c r="AH281" s="168">
        <v>46372.02</v>
      </c>
      <c r="AI281" s="168">
        <v>46375.02</v>
      </c>
      <c r="AJ281" s="168">
        <v>46402.02</v>
      </c>
      <c r="AK281" s="169"/>
      <c r="AL281" s="230"/>
      <c r="AM281" s="170">
        <f>X281+AL280</f>
        <v>46372.02</v>
      </c>
      <c r="AN281" s="170"/>
      <c r="AO281" s="171"/>
      <c r="AP281" s="172"/>
      <c r="AQ281" s="448"/>
      <c r="AR281" s="154"/>
      <c r="AS281" s="155"/>
      <c r="AT281" s="155"/>
      <c r="AU281" s="155"/>
      <c r="AV281" s="155"/>
      <c r="AW281" s="155"/>
      <c r="AX281" s="155"/>
      <c r="AY281" s="155"/>
      <c r="AZ281" s="155"/>
      <c r="BA281" s="155"/>
      <c r="BB281" s="155"/>
      <c r="BC281" s="156"/>
      <c r="BD281" s="176"/>
      <c r="BE281" s="176"/>
    </row>
    <row r="282" spans="1:57" s="78" customFormat="1" ht="15.4" thickTop="1" thickBot="1" x14ac:dyDescent="0.45">
      <c r="A282" s="460"/>
      <c r="B282" s="177" t="s">
        <v>560</v>
      </c>
      <c r="C282" s="178" t="s">
        <v>561</v>
      </c>
      <c r="D282" s="207" t="s">
        <v>562</v>
      </c>
      <c r="E282" s="208"/>
      <c r="F282" s="208"/>
      <c r="G282" s="209" t="s">
        <v>295</v>
      </c>
      <c r="H282" s="182" t="s">
        <v>540</v>
      </c>
      <c r="I282" s="178" t="s">
        <v>138</v>
      </c>
      <c r="J282" s="178" t="s">
        <v>139</v>
      </c>
      <c r="K282" s="178" t="s">
        <v>2</v>
      </c>
      <c r="L282" s="209"/>
      <c r="M282" s="184" t="s">
        <v>150</v>
      </c>
      <c r="N282" s="185" t="s">
        <v>87</v>
      </c>
      <c r="O282" s="186"/>
      <c r="P282" s="186">
        <v>46171</v>
      </c>
      <c r="Q282" s="186">
        <v>46174</v>
      </c>
      <c r="R282" s="186"/>
      <c r="S282" s="186"/>
      <c r="T282" s="186"/>
      <c r="U282" s="186"/>
      <c r="V282" s="186"/>
      <c r="W282" s="186"/>
      <c r="X282" s="186"/>
      <c r="Y282" s="186"/>
      <c r="Z282" s="186"/>
      <c r="AA282" s="186"/>
      <c r="AB282" s="186"/>
      <c r="AC282" s="186"/>
      <c r="AD282" s="186"/>
      <c r="AE282" s="186"/>
      <c r="AF282" s="186"/>
      <c r="AG282" s="186"/>
      <c r="AH282" s="186"/>
      <c r="AI282" s="186"/>
      <c r="AJ282" s="186"/>
      <c r="AK282" s="188"/>
      <c r="AL282" s="211"/>
      <c r="AM282" s="187"/>
      <c r="AN282" s="187"/>
      <c r="AO282" s="189"/>
      <c r="AP282" s="190"/>
      <c r="AQ282" s="449"/>
      <c r="AR282" s="191"/>
      <c r="AS282" s="192"/>
      <c r="AT282" s="192"/>
      <c r="AU282" s="192"/>
      <c r="AV282" s="192"/>
      <c r="AW282" s="192"/>
      <c r="AX282" s="192"/>
      <c r="AY282" s="192"/>
      <c r="AZ282" s="192"/>
      <c r="BA282" s="192"/>
      <c r="BB282" s="192"/>
      <c r="BC282" s="156"/>
      <c r="BD282" s="176"/>
      <c r="BE282" s="176"/>
    </row>
    <row r="283" spans="1:57" s="78" customFormat="1" ht="20.65" customHeight="1" thickTop="1" thickBot="1" x14ac:dyDescent="0.45">
      <c r="A283" s="458">
        <f>A280+1</f>
        <v>80</v>
      </c>
      <c r="B283" s="139" t="s">
        <v>564</v>
      </c>
      <c r="C283" s="247" t="s">
        <v>565</v>
      </c>
      <c r="D283" s="141" t="s">
        <v>566</v>
      </c>
      <c r="E283" s="202"/>
      <c r="F283" s="202"/>
      <c r="G283" s="427" t="s">
        <v>295</v>
      </c>
      <c r="H283" s="143" t="s">
        <v>540</v>
      </c>
      <c r="I283" s="140" t="s">
        <v>73</v>
      </c>
      <c r="J283" s="140" t="s">
        <v>74</v>
      </c>
      <c r="K283" s="140" t="s">
        <v>9</v>
      </c>
      <c r="L283" s="376" t="s">
        <v>567</v>
      </c>
      <c r="M283" s="145" t="s">
        <v>150</v>
      </c>
      <c r="N283" s="146" t="s">
        <v>77</v>
      </c>
      <c r="O283" s="147">
        <v>46135</v>
      </c>
      <c r="P283" s="147">
        <v>46150</v>
      </c>
      <c r="Q283" s="147">
        <v>46165</v>
      </c>
      <c r="R283" s="147">
        <v>46167</v>
      </c>
      <c r="S283" s="147">
        <v>46167</v>
      </c>
      <c r="T283" s="147">
        <v>46172</v>
      </c>
      <c r="U283" s="147">
        <v>46175</v>
      </c>
      <c r="V283" s="147">
        <v>46180</v>
      </c>
      <c r="W283" s="147"/>
      <c r="X283" s="147">
        <v>46183</v>
      </c>
      <c r="Y283" s="147">
        <v>46185</v>
      </c>
      <c r="Z283" s="223">
        <v>46132</v>
      </c>
      <c r="AA283" s="223">
        <v>46135</v>
      </c>
      <c r="AB283" s="223">
        <v>46162</v>
      </c>
      <c r="AC283" s="147">
        <v>46198</v>
      </c>
      <c r="AD283" s="147">
        <v>46200</v>
      </c>
      <c r="AE283" s="147">
        <v>46202</v>
      </c>
      <c r="AF283" s="148">
        <v>46232</v>
      </c>
      <c r="AG283" s="147">
        <v>46239</v>
      </c>
      <c r="AH283" s="147">
        <v>46244</v>
      </c>
      <c r="AI283" s="147">
        <v>46247</v>
      </c>
      <c r="AJ283" s="147">
        <v>46274</v>
      </c>
      <c r="AK283" s="149">
        <v>8.5</v>
      </c>
      <c r="AL283" s="150">
        <v>59.5</v>
      </c>
      <c r="AM283" s="151">
        <v>46244</v>
      </c>
      <c r="AN283" s="151">
        <v>46250</v>
      </c>
      <c r="AO283" s="152">
        <f>AN283-AM284</f>
        <v>6</v>
      </c>
      <c r="AP283" s="153" t="s">
        <v>542</v>
      </c>
      <c r="AQ283" s="438" t="s">
        <v>568</v>
      </c>
      <c r="AR283" s="154"/>
      <c r="AS283" s="155"/>
      <c r="AT283" s="155"/>
      <c r="AU283" s="155"/>
      <c r="AV283" s="155"/>
      <c r="AW283" s="155"/>
      <c r="AX283" s="155"/>
      <c r="AY283" s="155"/>
      <c r="AZ283" s="155"/>
      <c r="BA283" s="155"/>
      <c r="BB283" s="155"/>
      <c r="BC283" s="156"/>
      <c r="BD283" s="176"/>
      <c r="BE283" s="176"/>
    </row>
    <row r="284" spans="1:57" s="78" customFormat="1" ht="20.75" customHeight="1" thickTop="1" thickBot="1" x14ac:dyDescent="0.45">
      <c r="A284" s="459"/>
      <c r="B284" s="226" t="s">
        <v>564</v>
      </c>
      <c r="C284" s="387" t="s">
        <v>565</v>
      </c>
      <c r="D284" s="388" t="s">
        <v>566</v>
      </c>
      <c r="E284" s="389"/>
      <c r="F284" s="389"/>
      <c r="G284" s="390" t="s">
        <v>295</v>
      </c>
      <c r="H284" s="391" t="s">
        <v>540</v>
      </c>
      <c r="I284" s="392" t="s">
        <v>73</v>
      </c>
      <c r="J284" s="393" t="s">
        <v>74</v>
      </c>
      <c r="K284" s="393" t="s">
        <v>9</v>
      </c>
      <c r="L284" s="390"/>
      <c r="M284" s="394" t="s">
        <v>150</v>
      </c>
      <c r="N284" s="395" t="s">
        <v>84</v>
      </c>
      <c r="O284" s="396"/>
      <c r="P284" s="397"/>
      <c r="Q284" s="397"/>
      <c r="R284" s="397"/>
      <c r="S284" s="397"/>
      <c r="T284" s="397"/>
      <c r="U284" s="397"/>
      <c r="V284" s="397"/>
      <c r="W284" s="397"/>
      <c r="X284" s="397"/>
      <c r="Y284" s="397"/>
      <c r="Z284" s="397"/>
      <c r="AA284" s="397"/>
      <c r="AB284" s="397"/>
      <c r="AC284" s="398"/>
      <c r="AD284" s="170"/>
      <c r="AE284" s="170"/>
      <c r="AF284" s="170">
        <v>46232</v>
      </c>
      <c r="AG284" s="170">
        <v>46239</v>
      </c>
      <c r="AH284" s="170">
        <f>AM284</f>
        <v>46244</v>
      </c>
      <c r="AI284" s="168">
        <f>AH284+3</f>
        <v>46247</v>
      </c>
      <c r="AJ284" s="168">
        <f>AH284+30</f>
        <v>46274</v>
      </c>
      <c r="AK284" s="399"/>
      <c r="AL284" s="270"/>
      <c r="AM284" s="170">
        <v>46244</v>
      </c>
      <c r="AN284" s="400"/>
      <c r="AO284" s="270"/>
      <c r="AP284" s="270"/>
      <c r="AQ284" s="439"/>
      <c r="AR284" s="191"/>
      <c r="AS284" s="192"/>
      <c r="AT284" s="192"/>
      <c r="AU284" s="192"/>
      <c r="AV284" s="192"/>
      <c r="AW284" s="192"/>
      <c r="AX284" s="192"/>
      <c r="AY284" s="192"/>
      <c r="AZ284" s="192"/>
      <c r="BA284" s="192"/>
      <c r="BB284" s="192"/>
      <c r="BC284" s="156"/>
      <c r="BD284" s="176"/>
      <c r="BE284" s="176"/>
    </row>
    <row r="285" spans="1:57" s="78" customFormat="1" ht="20.75" customHeight="1" thickBot="1" x14ac:dyDescent="0.45">
      <c r="A285" s="460"/>
      <c r="B285" s="177" t="s">
        <v>564</v>
      </c>
      <c r="C285" s="251" t="s">
        <v>565</v>
      </c>
      <c r="D285" s="179" t="s">
        <v>566</v>
      </c>
      <c r="E285" s="208"/>
      <c r="F285" s="208"/>
      <c r="G285" s="209" t="s">
        <v>295</v>
      </c>
      <c r="H285" s="182" t="s">
        <v>540</v>
      </c>
      <c r="I285" s="178" t="s">
        <v>73</v>
      </c>
      <c r="J285" s="178" t="s">
        <v>74</v>
      </c>
      <c r="K285" s="178" t="s">
        <v>9</v>
      </c>
      <c r="L285" s="209"/>
      <c r="M285" s="184" t="s">
        <v>150</v>
      </c>
      <c r="N285" s="185" t="s">
        <v>87</v>
      </c>
      <c r="O285" s="186">
        <v>46120</v>
      </c>
      <c r="P285" s="186">
        <v>46148</v>
      </c>
      <c r="Q285" s="186">
        <v>46157</v>
      </c>
      <c r="R285" s="187">
        <v>46167</v>
      </c>
      <c r="S285" s="186">
        <v>46167</v>
      </c>
      <c r="T285" s="186">
        <v>46172</v>
      </c>
      <c r="U285" s="186">
        <v>46185</v>
      </c>
      <c r="V285" s="186">
        <v>46192</v>
      </c>
      <c r="W285" s="186"/>
      <c r="X285" s="401">
        <v>46195</v>
      </c>
      <c r="Y285" s="401">
        <v>46195</v>
      </c>
      <c r="Z285" s="186">
        <v>46132</v>
      </c>
      <c r="AA285" s="186">
        <v>46193</v>
      </c>
      <c r="AB285" s="186">
        <v>46193</v>
      </c>
      <c r="AC285" s="186">
        <v>46199</v>
      </c>
      <c r="AD285" s="186">
        <v>46199</v>
      </c>
      <c r="AE285" s="186">
        <v>46199</v>
      </c>
      <c r="AF285" s="186"/>
      <c r="AG285" s="186"/>
      <c r="AH285" s="186"/>
      <c r="AI285" s="186"/>
      <c r="AJ285" s="186"/>
      <c r="AK285" s="188"/>
      <c r="AL285" s="211"/>
      <c r="AM285" s="187"/>
      <c r="AN285" s="187"/>
      <c r="AO285" s="211"/>
      <c r="AP285" s="271"/>
      <c r="AQ285" s="440"/>
      <c r="AR285" s="191"/>
      <c r="AS285" s="192"/>
      <c r="AT285" s="192"/>
      <c r="AU285" s="192"/>
      <c r="AV285" s="192"/>
      <c r="AW285" s="192"/>
      <c r="AX285" s="192"/>
      <c r="AY285" s="192"/>
      <c r="AZ285" s="192"/>
      <c r="BA285" s="192"/>
      <c r="BB285" s="192"/>
      <c r="BC285" s="156"/>
      <c r="BD285" s="176"/>
      <c r="BE285" s="176"/>
    </row>
    <row r="286" spans="1:57" s="78" customFormat="1" ht="20.65" customHeight="1" thickTop="1" thickBot="1" x14ac:dyDescent="0.45">
      <c r="A286" s="458">
        <f>A283+1</f>
        <v>81</v>
      </c>
      <c r="B286" s="139" t="s">
        <v>564</v>
      </c>
      <c r="C286" s="247" t="s">
        <v>569</v>
      </c>
      <c r="D286" s="141" t="s">
        <v>570</v>
      </c>
      <c r="E286" s="202"/>
      <c r="F286" s="202"/>
      <c r="G286" s="427" t="s">
        <v>295</v>
      </c>
      <c r="H286" s="143" t="s">
        <v>540</v>
      </c>
      <c r="I286" s="140" t="s">
        <v>73</v>
      </c>
      <c r="J286" s="140" t="s">
        <v>74</v>
      </c>
      <c r="K286" s="140" t="s">
        <v>9</v>
      </c>
      <c r="L286" s="376"/>
      <c r="M286" s="145" t="s">
        <v>150</v>
      </c>
      <c r="N286" s="146" t="s">
        <v>77</v>
      </c>
      <c r="O286" s="147">
        <v>46135</v>
      </c>
      <c r="P286" s="147">
        <v>46150</v>
      </c>
      <c r="Q286" s="147">
        <v>46165</v>
      </c>
      <c r="R286" s="147">
        <v>46167</v>
      </c>
      <c r="S286" s="147">
        <v>46167</v>
      </c>
      <c r="T286" s="147">
        <v>46172</v>
      </c>
      <c r="U286" s="147">
        <v>46175</v>
      </c>
      <c r="V286" s="147">
        <v>46180</v>
      </c>
      <c r="W286" s="147"/>
      <c r="X286" s="147">
        <v>46183</v>
      </c>
      <c r="Y286" s="147">
        <v>46185</v>
      </c>
      <c r="Z286" s="223">
        <v>46132</v>
      </c>
      <c r="AA286" s="223">
        <v>46135</v>
      </c>
      <c r="AB286" s="223">
        <v>46162</v>
      </c>
      <c r="AC286" s="147">
        <v>46198</v>
      </c>
      <c r="AD286" s="147">
        <v>46221</v>
      </c>
      <c r="AE286" s="147">
        <v>46214</v>
      </c>
      <c r="AF286" s="148">
        <v>46244</v>
      </c>
      <c r="AG286" s="147">
        <v>46251</v>
      </c>
      <c r="AH286" s="147">
        <v>46256</v>
      </c>
      <c r="AI286" s="147">
        <v>46259</v>
      </c>
      <c r="AJ286" s="147">
        <v>46286</v>
      </c>
      <c r="AK286" s="149">
        <v>8.5</v>
      </c>
      <c r="AL286" s="150">
        <v>59.5</v>
      </c>
      <c r="AM286" s="151">
        <v>46256</v>
      </c>
      <c r="AN286" s="151">
        <v>46262</v>
      </c>
      <c r="AO286" s="152">
        <f>AN286-AM287</f>
        <v>6</v>
      </c>
      <c r="AP286" s="153" t="s">
        <v>542</v>
      </c>
      <c r="AQ286" s="438" t="s">
        <v>568</v>
      </c>
      <c r="AR286" s="154"/>
      <c r="AS286" s="155"/>
      <c r="AT286" s="155"/>
      <c r="AU286" s="155"/>
      <c r="AV286" s="155"/>
      <c r="AW286" s="155"/>
      <c r="AX286" s="155"/>
      <c r="AY286" s="155"/>
      <c r="AZ286" s="155"/>
      <c r="BA286" s="155"/>
      <c r="BB286" s="155"/>
      <c r="BC286" s="156"/>
      <c r="BD286" s="176"/>
      <c r="BE286" s="176"/>
    </row>
    <row r="287" spans="1:57" s="78" customFormat="1" ht="20.75" customHeight="1" thickTop="1" thickBot="1" x14ac:dyDescent="0.45">
      <c r="A287" s="459"/>
      <c r="B287" s="226" t="s">
        <v>564</v>
      </c>
      <c r="C287" s="387" t="s">
        <v>569</v>
      </c>
      <c r="D287" s="388" t="s">
        <v>570</v>
      </c>
      <c r="E287" s="389"/>
      <c r="F287" s="389"/>
      <c r="G287" s="390" t="s">
        <v>295</v>
      </c>
      <c r="H287" s="391" t="s">
        <v>540</v>
      </c>
      <c r="I287" s="392" t="s">
        <v>73</v>
      </c>
      <c r="J287" s="393" t="s">
        <v>74</v>
      </c>
      <c r="K287" s="393" t="s">
        <v>9</v>
      </c>
      <c r="L287" s="390"/>
      <c r="M287" s="394" t="s">
        <v>150</v>
      </c>
      <c r="N287" s="395" t="s">
        <v>84</v>
      </c>
      <c r="O287" s="396"/>
      <c r="P287" s="397"/>
      <c r="Q287" s="397"/>
      <c r="R287" s="397"/>
      <c r="S287" s="397"/>
      <c r="T287" s="397"/>
      <c r="U287" s="397"/>
      <c r="V287" s="397"/>
      <c r="W287" s="397"/>
      <c r="X287" s="397"/>
      <c r="Y287" s="397"/>
      <c r="Z287" s="397"/>
      <c r="AA287" s="397"/>
      <c r="AB287" s="397"/>
      <c r="AC287" s="398"/>
      <c r="AD287" s="170"/>
      <c r="AE287" s="170"/>
      <c r="AF287" s="170">
        <v>46244</v>
      </c>
      <c r="AG287" s="170">
        <v>46251</v>
      </c>
      <c r="AH287" s="170">
        <v>46256</v>
      </c>
      <c r="AI287" s="168">
        <v>46259</v>
      </c>
      <c r="AJ287" s="168">
        <v>46286</v>
      </c>
      <c r="AK287" s="399"/>
      <c r="AL287" s="270"/>
      <c r="AM287" s="170">
        <v>46256</v>
      </c>
      <c r="AN287" s="400"/>
      <c r="AO287" s="270"/>
      <c r="AP287" s="270"/>
      <c r="AQ287" s="439"/>
      <c r="AR287" s="191"/>
      <c r="AS287" s="192"/>
      <c r="AT287" s="192"/>
      <c r="AU287" s="192"/>
      <c r="AV287" s="192"/>
      <c r="AW287" s="192"/>
      <c r="AX287" s="192"/>
      <c r="AY287" s="192"/>
      <c r="AZ287" s="192"/>
      <c r="BA287" s="192"/>
      <c r="BB287" s="192"/>
      <c r="BC287" s="156"/>
      <c r="BD287" s="176"/>
      <c r="BE287" s="176"/>
    </row>
    <row r="288" spans="1:57" s="78" customFormat="1" ht="20.75" customHeight="1" thickBot="1" x14ac:dyDescent="0.45">
      <c r="A288" s="460"/>
      <c r="B288" s="177" t="s">
        <v>564</v>
      </c>
      <c r="C288" s="251" t="s">
        <v>569</v>
      </c>
      <c r="D288" s="179" t="s">
        <v>570</v>
      </c>
      <c r="E288" s="208"/>
      <c r="F288" s="208"/>
      <c r="G288" s="209" t="s">
        <v>295</v>
      </c>
      <c r="H288" s="182" t="s">
        <v>540</v>
      </c>
      <c r="I288" s="178" t="s">
        <v>73</v>
      </c>
      <c r="J288" s="178" t="s">
        <v>74</v>
      </c>
      <c r="K288" s="178" t="s">
        <v>9</v>
      </c>
      <c r="L288" s="209"/>
      <c r="M288" s="184" t="s">
        <v>150</v>
      </c>
      <c r="N288" s="185" t="s">
        <v>87</v>
      </c>
      <c r="O288" s="186">
        <v>46120</v>
      </c>
      <c r="P288" s="186">
        <v>46148</v>
      </c>
      <c r="Q288" s="186">
        <v>46157</v>
      </c>
      <c r="R288" s="187">
        <v>46167</v>
      </c>
      <c r="S288" s="186">
        <v>46167</v>
      </c>
      <c r="T288" s="186">
        <v>46172</v>
      </c>
      <c r="U288" s="186">
        <v>46185</v>
      </c>
      <c r="V288" s="186">
        <v>46192</v>
      </c>
      <c r="W288" s="186"/>
      <c r="X288" s="401">
        <v>46195</v>
      </c>
      <c r="Y288" s="401">
        <v>46195</v>
      </c>
      <c r="Z288" s="186">
        <v>46132</v>
      </c>
      <c r="AA288" s="186">
        <v>46193</v>
      </c>
      <c r="AB288" s="186">
        <v>46193</v>
      </c>
      <c r="AC288" s="186">
        <v>46199</v>
      </c>
      <c r="AD288" s="186">
        <v>46199</v>
      </c>
      <c r="AE288" s="186">
        <v>46199</v>
      </c>
      <c r="AF288" s="186"/>
      <c r="AG288" s="186"/>
      <c r="AH288" s="186"/>
      <c r="AI288" s="186"/>
      <c r="AJ288" s="186"/>
      <c r="AK288" s="188"/>
      <c r="AL288" s="211"/>
      <c r="AM288" s="187"/>
      <c r="AN288" s="187"/>
      <c r="AO288" s="211"/>
      <c r="AP288" s="271"/>
      <c r="AQ288" s="440"/>
      <c r="AR288" s="191"/>
      <c r="AS288" s="192"/>
      <c r="AT288" s="192"/>
      <c r="AU288" s="192"/>
      <c r="AV288" s="192"/>
      <c r="AW288" s="192"/>
      <c r="AX288" s="192"/>
      <c r="AY288" s="192"/>
      <c r="AZ288" s="192"/>
      <c r="BA288" s="192"/>
      <c r="BB288" s="192"/>
      <c r="BC288" s="156"/>
      <c r="BD288" s="176"/>
      <c r="BE288" s="176"/>
    </row>
    <row r="289" spans="1:57" s="78" customFormat="1" ht="20.65" customHeight="1" thickTop="1" thickBot="1" x14ac:dyDescent="0.45">
      <c r="A289" s="458">
        <f>A286+1</f>
        <v>82</v>
      </c>
      <c r="B289" s="139" t="s">
        <v>564</v>
      </c>
      <c r="C289" s="247" t="s">
        <v>571</v>
      </c>
      <c r="D289" s="141" t="s">
        <v>572</v>
      </c>
      <c r="E289" s="202"/>
      <c r="F289" s="202"/>
      <c r="G289" s="427" t="s">
        <v>295</v>
      </c>
      <c r="H289" s="143" t="s">
        <v>540</v>
      </c>
      <c r="I289" s="140" t="s">
        <v>73</v>
      </c>
      <c r="J289" s="140" t="s">
        <v>74</v>
      </c>
      <c r="K289" s="140" t="s">
        <v>9</v>
      </c>
      <c r="L289" s="376"/>
      <c r="M289" s="145" t="s">
        <v>150</v>
      </c>
      <c r="N289" s="146" t="s">
        <v>77</v>
      </c>
      <c r="O289" s="147">
        <v>46135</v>
      </c>
      <c r="P289" s="147">
        <v>46150</v>
      </c>
      <c r="Q289" s="147">
        <v>46165</v>
      </c>
      <c r="R289" s="147">
        <v>46167</v>
      </c>
      <c r="S289" s="147">
        <v>46167</v>
      </c>
      <c r="T289" s="147">
        <v>46172</v>
      </c>
      <c r="U289" s="147">
        <v>46175</v>
      </c>
      <c r="V289" s="147">
        <v>46180</v>
      </c>
      <c r="W289" s="147"/>
      <c r="X289" s="147">
        <v>46183</v>
      </c>
      <c r="Y289" s="147">
        <v>46185</v>
      </c>
      <c r="Z289" s="223">
        <v>46132</v>
      </c>
      <c r="AA289" s="223">
        <v>46135</v>
      </c>
      <c r="AB289" s="223">
        <v>46162</v>
      </c>
      <c r="AC289" s="147">
        <v>46198</v>
      </c>
      <c r="AD289" s="147">
        <v>46242</v>
      </c>
      <c r="AE289" s="147">
        <v>46226</v>
      </c>
      <c r="AF289" s="148">
        <v>46256</v>
      </c>
      <c r="AG289" s="147">
        <v>46263</v>
      </c>
      <c r="AH289" s="147">
        <v>46268</v>
      </c>
      <c r="AI289" s="147">
        <v>46271</v>
      </c>
      <c r="AJ289" s="147">
        <v>46298</v>
      </c>
      <c r="AK289" s="149">
        <v>8.5</v>
      </c>
      <c r="AL289" s="150">
        <v>59.5</v>
      </c>
      <c r="AM289" s="151">
        <v>46268</v>
      </c>
      <c r="AN289" s="151">
        <v>46274</v>
      </c>
      <c r="AO289" s="152">
        <f>AN289-AM290</f>
        <v>6</v>
      </c>
      <c r="AP289" s="153" t="s">
        <v>542</v>
      </c>
      <c r="AQ289" s="438" t="s">
        <v>568</v>
      </c>
      <c r="AR289" s="154"/>
      <c r="AS289" s="155"/>
      <c r="AT289" s="155"/>
      <c r="AU289" s="155"/>
      <c r="AV289" s="155"/>
      <c r="AW289" s="155"/>
      <c r="AX289" s="155"/>
      <c r="AY289" s="155"/>
      <c r="AZ289" s="155"/>
      <c r="BA289" s="155"/>
      <c r="BB289" s="155"/>
      <c r="BC289" s="156"/>
      <c r="BD289" s="176"/>
      <c r="BE289" s="176"/>
    </row>
    <row r="290" spans="1:57" s="78" customFormat="1" ht="20.75" customHeight="1" thickTop="1" thickBot="1" x14ac:dyDescent="0.45">
      <c r="A290" s="459"/>
      <c r="B290" s="226" t="s">
        <v>564</v>
      </c>
      <c r="C290" s="387" t="s">
        <v>571</v>
      </c>
      <c r="D290" s="388" t="s">
        <v>572</v>
      </c>
      <c r="E290" s="389"/>
      <c r="F290" s="389"/>
      <c r="G290" s="390" t="s">
        <v>295</v>
      </c>
      <c r="H290" s="391" t="s">
        <v>540</v>
      </c>
      <c r="I290" s="392" t="s">
        <v>73</v>
      </c>
      <c r="J290" s="393" t="s">
        <v>74</v>
      </c>
      <c r="K290" s="393" t="s">
        <v>9</v>
      </c>
      <c r="L290" s="390"/>
      <c r="M290" s="394" t="s">
        <v>150</v>
      </c>
      <c r="N290" s="395" t="s">
        <v>84</v>
      </c>
      <c r="O290" s="396"/>
      <c r="P290" s="397"/>
      <c r="Q290" s="397"/>
      <c r="R290" s="397"/>
      <c r="S290" s="397"/>
      <c r="T290" s="397"/>
      <c r="U290" s="397"/>
      <c r="V290" s="397"/>
      <c r="W290" s="397"/>
      <c r="X290" s="397"/>
      <c r="Y290" s="397"/>
      <c r="Z290" s="397"/>
      <c r="AA290" s="397"/>
      <c r="AB290" s="397"/>
      <c r="AC290" s="398"/>
      <c r="AD290" s="170"/>
      <c r="AE290" s="170"/>
      <c r="AF290" s="170">
        <v>46256</v>
      </c>
      <c r="AG290" s="170">
        <v>46263</v>
      </c>
      <c r="AH290" s="170">
        <v>46268</v>
      </c>
      <c r="AI290" s="168">
        <v>46271</v>
      </c>
      <c r="AJ290" s="168">
        <v>46298</v>
      </c>
      <c r="AK290" s="399"/>
      <c r="AL290" s="270"/>
      <c r="AM290" s="170">
        <v>46268</v>
      </c>
      <c r="AN290" s="400"/>
      <c r="AO290" s="270"/>
      <c r="AP290" s="270"/>
      <c r="AQ290" s="439"/>
      <c r="AR290" s="191"/>
      <c r="AS290" s="192"/>
      <c r="AT290" s="192"/>
      <c r="AU290" s="192"/>
      <c r="AV290" s="192"/>
      <c r="AW290" s="192"/>
      <c r="AX290" s="192"/>
      <c r="AY290" s="192"/>
      <c r="AZ290" s="192"/>
      <c r="BA290" s="192"/>
      <c r="BB290" s="192"/>
      <c r="BC290" s="156"/>
      <c r="BD290" s="176"/>
      <c r="BE290" s="176"/>
    </row>
    <row r="291" spans="1:57" s="78" customFormat="1" ht="20.75" customHeight="1" thickBot="1" x14ac:dyDescent="0.45">
      <c r="A291" s="460"/>
      <c r="B291" s="177" t="s">
        <v>564</v>
      </c>
      <c r="C291" s="251" t="s">
        <v>571</v>
      </c>
      <c r="D291" s="179" t="s">
        <v>572</v>
      </c>
      <c r="E291" s="208"/>
      <c r="F291" s="208"/>
      <c r="G291" s="209" t="s">
        <v>295</v>
      </c>
      <c r="H291" s="182" t="s">
        <v>540</v>
      </c>
      <c r="I291" s="178" t="s">
        <v>73</v>
      </c>
      <c r="J291" s="178" t="s">
        <v>74</v>
      </c>
      <c r="K291" s="178" t="s">
        <v>9</v>
      </c>
      <c r="L291" s="209"/>
      <c r="M291" s="184" t="s">
        <v>150</v>
      </c>
      <c r="N291" s="185" t="s">
        <v>87</v>
      </c>
      <c r="O291" s="186">
        <v>46120</v>
      </c>
      <c r="P291" s="186">
        <v>46148</v>
      </c>
      <c r="Q291" s="186">
        <v>46157</v>
      </c>
      <c r="R291" s="187">
        <v>46167</v>
      </c>
      <c r="S291" s="186">
        <v>46167</v>
      </c>
      <c r="T291" s="186">
        <v>46172</v>
      </c>
      <c r="U291" s="186">
        <v>46185</v>
      </c>
      <c r="V291" s="186">
        <v>46192</v>
      </c>
      <c r="W291" s="186"/>
      <c r="X291" s="401">
        <v>46195</v>
      </c>
      <c r="Y291" s="401">
        <v>46195</v>
      </c>
      <c r="Z291" s="186">
        <v>46132</v>
      </c>
      <c r="AA291" s="186">
        <v>46193</v>
      </c>
      <c r="AB291" s="186">
        <v>46193</v>
      </c>
      <c r="AC291" s="186">
        <v>46199</v>
      </c>
      <c r="AD291" s="186">
        <v>46199</v>
      </c>
      <c r="AE291" s="186">
        <v>46199</v>
      </c>
      <c r="AF291" s="186"/>
      <c r="AG291" s="186"/>
      <c r="AH291" s="186"/>
      <c r="AI291" s="186"/>
      <c r="AJ291" s="186"/>
      <c r="AK291" s="188"/>
      <c r="AL291" s="211"/>
      <c r="AM291" s="187"/>
      <c r="AN291" s="187"/>
      <c r="AO291" s="211"/>
      <c r="AP291" s="271"/>
      <c r="AQ291" s="440"/>
      <c r="AR291" s="191"/>
      <c r="AS291" s="192"/>
      <c r="AT291" s="192"/>
      <c r="AU291" s="192"/>
      <c r="AV291" s="192"/>
      <c r="AW291" s="192"/>
      <c r="AX291" s="192"/>
      <c r="AY291" s="192"/>
      <c r="AZ291" s="192"/>
      <c r="BA291" s="192"/>
      <c r="BB291" s="192"/>
      <c r="BC291" s="156"/>
      <c r="BD291" s="176"/>
      <c r="BE291" s="176"/>
    </row>
    <row r="292" spans="1:57" s="78" customFormat="1" ht="20.65" customHeight="1" thickTop="1" thickBot="1" x14ac:dyDescent="0.45">
      <c r="A292" s="458">
        <f>A289+1</f>
        <v>83</v>
      </c>
      <c r="B292" s="139" t="s">
        <v>564</v>
      </c>
      <c r="C292" s="247" t="s">
        <v>573</v>
      </c>
      <c r="D292" s="141" t="s">
        <v>574</v>
      </c>
      <c r="E292" s="202"/>
      <c r="F292" s="202"/>
      <c r="G292" s="427" t="s">
        <v>295</v>
      </c>
      <c r="H292" s="143" t="s">
        <v>540</v>
      </c>
      <c r="I292" s="140" t="s">
        <v>73</v>
      </c>
      <c r="J292" s="140" t="s">
        <v>74</v>
      </c>
      <c r="K292" s="140" t="s">
        <v>9</v>
      </c>
      <c r="L292" s="376"/>
      <c r="M292" s="145" t="s">
        <v>150</v>
      </c>
      <c r="N292" s="146" t="s">
        <v>77</v>
      </c>
      <c r="O292" s="147">
        <v>46135</v>
      </c>
      <c r="P292" s="147">
        <v>46150</v>
      </c>
      <c r="Q292" s="147">
        <v>46165</v>
      </c>
      <c r="R292" s="147">
        <v>46167</v>
      </c>
      <c r="S292" s="147">
        <v>46167</v>
      </c>
      <c r="T292" s="147">
        <v>46172</v>
      </c>
      <c r="U292" s="147">
        <v>46175</v>
      </c>
      <c r="V292" s="147">
        <v>46180</v>
      </c>
      <c r="W292" s="147"/>
      <c r="X292" s="147">
        <v>46183</v>
      </c>
      <c r="Y292" s="147">
        <v>46185</v>
      </c>
      <c r="Z292" s="223">
        <v>46132</v>
      </c>
      <c r="AA292" s="223">
        <v>46135</v>
      </c>
      <c r="AB292" s="223">
        <v>46162</v>
      </c>
      <c r="AC292" s="147">
        <v>46198</v>
      </c>
      <c r="AD292" s="147">
        <v>46263</v>
      </c>
      <c r="AE292" s="147">
        <v>46238</v>
      </c>
      <c r="AF292" s="148">
        <v>46268</v>
      </c>
      <c r="AG292" s="147">
        <v>46275</v>
      </c>
      <c r="AH292" s="147">
        <v>46280</v>
      </c>
      <c r="AI292" s="147">
        <v>46283</v>
      </c>
      <c r="AJ292" s="147">
        <v>46310</v>
      </c>
      <c r="AK292" s="149">
        <v>8.5</v>
      </c>
      <c r="AL292" s="150">
        <v>59.5</v>
      </c>
      <c r="AM292" s="151">
        <v>46280</v>
      </c>
      <c r="AN292" s="151">
        <v>46286</v>
      </c>
      <c r="AO292" s="152">
        <f>AN292-AM293</f>
        <v>6</v>
      </c>
      <c r="AP292" s="153" t="s">
        <v>542</v>
      </c>
      <c r="AQ292" s="438" t="s">
        <v>568</v>
      </c>
      <c r="AR292" s="154"/>
      <c r="AS292" s="155"/>
      <c r="AT292" s="155"/>
      <c r="AU292" s="155"/>
      <c r="AV292" s="155"/>
      <c r="AW292" s="155"/>
      <c r="AX292" s="155"/>
      <c r="AY292" s="155"/>
      <c r="AZ292" s="155"/>
      <c r="BA292" s="155"/>
      <c r="BB292" s="155"/>
      <c r="BC292" s="156"/>
      <c r="BD292" s="176"/>
      <c r="BE292" s="176"/>
    </row>
    <row r="293" spans="1:57" s="78" customFormat="1" ht="20.75" customHeight="1" thickTop="1" thickBot="1" x14ac:dyDescent="0.45">
      <c r="A293" s="459"/>
      <c r="B293" s="226" t="s">
        <v>564</v>
      </c>
      <c r="C293" s="387" t="s">
        <v>573</v>
      </c>
      <c r="D293" s="388" t="s">
        <v>574</v>
      </c>
      <c r="E293" s="389"/>
      <c r="F293" s="389"/>
      <c r="G293" s="390" t="s">
        <v>295</v>
      </c>
      <c r="H293" s="391" t="s">
        <v>540</v>
      </c>
      <c r="I293" s="392" t="s">
        <v>73</v>
      </c>
      <c r="J293" s="393" t="s">
        <v>74</v>
      </c>
      <c r="K293" s="393" t="s">
        <v>9</v>
      </c>
      <c r="L293" s="390"/>
      <c r="M293" s="394" t="s">
        <v>150</v>
      </c>
      <c r="N293" s="395" t="s">
        <v>84</v>
      </c>
      <c r="O293" s="396"/>
      <c r="P293" s="397"/>
      <c r="Q293" s="397"/>
      <c r="R293" s="397"/>
      <c r="S293" s="397"/>
      <c r="T293" s="397"/>
      <c r="U293" s="397"/>
      <c r="V293" s="397"/>
      <c r="W293" s="397"/>
      <c r="X293" s="397"/>
      <c r="Y293" s="397"/>
      <c r="Z293" s="397"/>
      <c r="AA293" s="397"/>
      <c r="AB293" s="397"/>
      <c r="AC293" s="398"/>
      <c r="AD293" s="170"/>
      <c r="AE293" s="170"/>
      <c r="AF293" s="170">
        <v>46268</v>
      </c>
      <c r="AG293" s="170">
        <v>46275</v>
      </c>
      <c r="AH293" s="170">
        <v>46280</v>
      </c>
      <c r="AI293" s="168">
        <v>46283</v>
      </c>
      <c r="AJ293" s="168">
        <v>46310</v>
      </c>
      <c r="AK293" s="399"/>
      <c r="AL293" s="270"/>
      <c r="AM293" s="170">
        <v>46280</v>
      </c>
      <c r="AN293" s="400"/>
      <c r="AO293" s="270"/>
      <c r="AP293" s="270"/>
      <c r="AQ293" s="439"/>
      <c r="AR293" s="191"/>
      <c r="AS293" s="192"/>
      <c r="AT293" s="192"/>
      <c r="AU293" s="192"/>
      <c r="AV293" s="192"/>
      <c r="AW293" s="192"/>
      <c r="AX293" s="192"/>
      <c r="AY293" s="192"/>
      <c r="AZ293" s="192"/>
      <c r="BA293" s="192"/>
      <c r="BB293" s="192"/>
      <c r="BC293" s="156"/>
      <c r="BD293" s="176"/>
      <c r="BE293" s="176"/>
    </row>
    <row r="294" spans="1:57" s="78" customFormat="1" ht="20.75" customHeight="1" thickBot="1" x14ac:dyDescent="0.45">
      <c r="A294" s="460"/>
      <c r="B294" s="177" t="s">
        <v>564</v>
      </c>
      <c r="C294" s="251" t="s">
        <v>573</v>
      </c>
      <c r="D294" s="179" t="s">
        <v>574</v>
      </c>
      <c r="E294" s="208"/>
      <c r="F294" s="208"/>
      <c r="G294" s="209" t="s">
        <v>295</v>
      </c>
      <c r="H294" s="182" t="s">
        <v>540</v>
      </c>
      <c r="I294" s="178" t="s">
        <v>73</v>
      </c>
      <c r="J294" s="178" t="s">
        <v>74</v>
      </c>
      <c r="K294" s="178" t="s">
        <v>9</v>
      </c>
      <c r="L294" s="209"/>
      <c r="M294" s="184" t="s">
        <v>150</v>
      </c>
      <c r="N294" s="185" t="s">
        <v>87</v>
      </c>
      <c r="O294" s="186">
        <v>46120</v>
      </c>
      <c r="P294" s="186">
        <v>46148</v>
      </c>
      <c r="Q294" s="186">
        <v>46157</v>
      </c>
      <c r="R294" s="187">
        <v>46167</v>
      </c>
      <c r="S294" s="186">
        <v>46167</v>
      </c>
      <c r="T294" s="186">
        <v>46172</v>
      </c>
      <c r="U294" s="186">
        <v>46185</v>
      </c>
      <c r="V294" s="186">
        <v>46192</v>
      </c>
      <c r="W294" s="186"/>
      <c r="X294" s="401">
        <v>46195</v>
      </c>
      <c r="Y294" s="401">
        <v>46195</v>
      </c>
      <c r="Z294" s="186">
        <v>46132</v>
      </c>
      <c r="AA294" s="186">
        <v>46193</v>
      </c>
      <c r="AB294" s="186">
        <v>46193</v>
      </c>
      <c r="AC294" s="186">
        <v>46199</v>
      </c>
      <c r="AD294" s="186">
        <v>46199</v>
      </c>
      <c r="AE294" s="186">
        <v>46199</v>
      </c>
      <c r="AF294" s="186"/>
      <c r="AG294" s="186"/>
      <c r="AH294" s="186"/>
      <c r="AI294" s="186"/>
      <c r="AJ294" s="186"/>
      <c r="AK294" s="188"/>
      <c r="AL294" s="211"/>
      <c r="AM294" s="187"/>
      <c r="AN294" s="187"/>
      <c r="AO294" s="211"/>
      <c r="AP294" s="271"/>
      <c r="AQ294" s="440"/>
      <c r="AR294" s="191"/>
      <c r="AS294" s="192"/>
      <c r="AT294" s="192"/>
      <c r="AU294" s="192"/>
      <c r="AV294" s="192"/>
      <c r="AW294" s="192"/>
      <c r="AX294" s="192"/>
      <c r="AY294" s="192"/>
      <c r="AZ294" s="192"/>
      <c r="BA294" s="192"/>
      <c r="BB294" s="192"/>
      <c r="BC294" s="156"/>
      <c r="BD294" s="176"/>
      <c r="BE294" s="176"/>
    </row>
    <row r="295" spans="1:57" s="78" customFormat="1" ht="20.65" customHeight="1" thickTop="1" thickBot="1" x14ac:dyDescent="0.45">
      <c r="A295" s="458">
        <f>A292+1</f>
        <v>84</v>
      </c>
      <c r="B295" s="139" t="s">
        <v>564</v>
      </c>
      <c r="C295" s="247" t="s">
        <v>575</v>
      </c>
      <c r="D295" s="141" t="s">
        <v>576</v>
      </c>
      <c r="E295" s="202"/>
      <c r="F295" s="202"/>
      <c r="G295" s="427" t="s">
        <v>295</v>
      </c>
      <c r="H295" s="143" t="s">
        <v>540</v>
      </c>
      <c r="I295" s="140" t="s">
        <v>73</v>
      </c>
      <c r="J295" s="140" t="s">
        <v>74</v>
      </c>
      <c r="K295" s="140" t="s">
        <v>9</v>
      </c>
      <c r="L295" s="376"/>
      <c r="M295" s="145" t="s">
        <v>150</v>
      </c>
      <c r="N295" s="146" t="s">
        <v>77</v>
      </c>
      <c r="O295" s="147">
        <v>46135</v>
      </c>
      <c r="P295" s="147">
        <v>46150</v>
      </c>
      <c r="Q295" s="147">
        <v>46165</v>
      </c>
      <c r="R295" s="147">
        <v>46167</v>
      </c>
      <c r="S295" s="147">
        <v>46167</v>
      </c>
      <c r="T295" s="147">
        <v>46172</v>
      </c>
      <c r="U295" s="147">
        <v>46175</v>
      </c>
      <c r="V295" s="147">
        <v>46180</v>
      </c>
      <c r="W295" s="147"/>
      <c r="X295" s="147">
        <v>46183</v>
      </c>
      <c r="Y295" s="147">
        <v>46185</v>
      </c>
      <c r="Z295" s="223">
        <v>46132</v>
      </c>
      <c r="AA295" s="223">
        <v>46135</v>
      </c>
      <c r="AB295" s="223">
        <v>46162</v>
      </c>
      <c r="AC295" s="223">
        <v>46198</v>
      </c>
      <c r="AD295" s="223">
        <v>46207</v>
      </c>
      <c r="AE295" s="223">
        <v>46250</v>
      </c>
      <c r="AF295" s="148">
        <v>46280</v>
      </c>
      <c r="AG295" s="147">
        <v>46287</v>
      </c>
      <c r="AH295" s="147">
        <v>46292</v>
      </c>
      <c r="AI295" s="147">
        <v>46295</v>
      </c>
      <c r="AJ295" s="147">
        <v>46322</v>
      </c>
      <c r="AK295" s="149">
        <v>8.5</v>
      </c>
      <c r="AL295" s="150">
        <v>59.5</v>
      </c>
      <c r="AM295" s="151">
        <v>46292</v>
      </c>
      <c r="AN295" s="151">
        <v>46298</v>
      </c>
      <c r="AO295" s="152">
        <f>AN295-AM296</f>
        <v>6</v>
      </c>
      <c r="AP295" s="153" t="s">
        <v>542</v>
      </c>
      <c r="AQ295" s="438" t="s">
        <v>568</v>
      </c>
      <c r="AR295" s="154"/>
      <c r="AS295" s="155"/>
      <c r="AT295" s="155"/>
      <c r="AU295" s="155"/>
      <c r="AV295" s="155"/>
      <c r="AW295" s="155"/>
      <c r="AX295" s="155"/>
      <c r="AY295" s="155"/>
      <c r="AZ295" s="155"/>
      <c r="BA295" s="155"/>
      <c r="BB295" s="155"/>
      <c r="BC295" s="156"/>
      <c r="BD295" s="176"/>
      <c r="BE295" s="176"/>
    </row>
    <row r="296" spans="1:57" s="78" customFormat="1" ht="20.75" customHeight="1" thickTop="1" thickBot="1" x14ac:dyDescent="0.45">
      <c r="A296" s="459"/>
      <c r="B296" s="226" t="s">
        <v>564</v>
      </c>
      <c r="C296" s="387" t="s">
        <v>575</v>
      </c>
      <c r="D296" s="388" t="s">
        <v>576</v>
      </c>
      <c r="E296" s="389"/>
      <c r="F296" s="389"/>
      <c r="G296" s="390" t="s">
        <v>295</v>
      </c>
      <c r="H296" s="391" t="s">
        <v>540</v>
      </c>
      <c r="I296" s="392" t="s">
        <v>73</v>
      </c>
      <c r="J296" s="393" t="s">
        <v>74</v>
      </c>
      <c r="K296" s="393" t="s">
        <v>9</v>
      </c>
      <c r="L296" s="390"/>
      <c r="M296" s="394" t="s">
        <v>150</v>
      </c>
      <c r="N296" s="395" t="s">
        <v>84</v>
      </c>
      <c r="O296" s="396"/>
      <c r="P296" s="397"/>
      <c r="Q296" s="397"/>
      <c r="R296" s="397"/>
      <c r="S296" s="397"/>
      <c r="T296" s="397"/>
      <c r="U296" s="397"/>
      <c r="V296" s="397"/>
      <c r="W296" s="397"/>
      <c r="X296" s="397"/>
      <c r="Y296" s="397"/>
      <c r="Z296" s="397"/>
      <c r="AA296" s="397"/>
      <c r="AB296" s="397"/>
      <c r="AC296" s="398"/>
      <c r="AD296" s="398"/>
      <c r="AE296" s="398"/>
      <c r="AF296" s="170">
        <v>46280</v>
      </c>
      <c r="AG296" s="170">
        <v>46287</v>
      </c>
      <c r="AH296" s="170">
        <v>46292</v>
      </c>
      <c r="AI296" s="168">
        <v>46295</v>
      </c>
      <c r="AJ296" s="168">
        <v>46322</v>
      </c>
      <c r="AK296" s="399"/>
      <c r="AL296" s="270"/>
      <c r="AM296" s="170">
        <v>46292</v>
      </c>
      <c r="AN296" s="400"/>
      <c r="AO296" s="270"/>
      <c r="AP296" s="270"/>
      <c r="AQ296" s="439"/>
      <c r="AR296" s="191"/>
      <c r="AS296" s="192"/>
      <c r="AT296" s="192"/>
      <c r="AU296" s="192"/>
      <c r="AV296" s="192"/>
      <c r="AW296" s="192"/>
      <c r="AX296" s="192"/>
      <c r="AY296" s="192"/>
      <c r="AZ296" s="192"/>
      <c r="BA296" s="192"/>
      <c r="BB296" s="192"/>
      <c r="BC296" s="156"/>
      <c r="BD296" s="176"/>
      <c r="BE296" s="176"/>
    </row>
    <row r="297" spans="1:57" s="78" customFormat="1" ht="20.75" customHeight="1" thickBot="1" x14ac:dyDescent="0.45">
      <c r="A297" s="460"/>
      <c r="B297" s="177" t="s">
        <v>564</v>
      </c>
      <c r="C297" s="251" t="s">
        <v>575</v>
      </c>
      <c r="D297" s="179" t="s">
        <v>576</v>
      </c>
      <c r="E297" s="208"/>
      <c r="F297" s="208"/>
      <c r="G297" s="209" t="s">
        <v>295</v>
      </c>
      <c r="H297" s="182" t="s">
        <v>540</v>
      </c>
      <c r="I297" s="178" t="s">
        <v>73</v>
      </c>
      <c r="J297" s="178" t="s">
        <v>74</v>
      </c>
      <c r="K297" s="178" t="s">
        <v>9</v>
      </c>
      <c r="L297" s="209"/>
      <c r="M297" s="184" t="s">
        <v>150</v>
      </c>
      <c r="N297" s="185" t="s">
        <v>87</v>
      </c>
      <c r="O297" s="186">
        <v>46120</v>
      </c>
      <c r="P297" s="186">
        <v>46148</v>
      </c>
      <c r="Q297" s="186">
        <v>46157</v>
      </c>
      <c r="R297" s="187">
        <v>46167</v>
      </c>
      <c r="S297" s="186">
        <v>46167</v>
      </c>
      <c r="T297" s="186">
        <v>46172</v>
      </c>
      <c r="U297" s="186">
        <v>46185</v>
      </c>
      <c r="V297" s="186">
        <v>46192</v>
      </c>
      <c r="W297" s="186"/>
      <c r="X297" s="401">
        <v>46206</v>
      </c>
      <c r="Y297" s="401">
        <v>46206</v>
      </c>
      <c r="Z297" s="186">
        <v>46132</v>
      </c>
      <c r="AA297" s="186">
        <v>46193</v>
      </c>
      <c r="AB297" s="186">
        <v>46193</v>
      </c>
      <c r="AC297" s="186">
        <v>46207</v>
      </c>
      <c r="AD297" s="186">
        <v>46207</v>
      </c>
      <c r="AE297" s="186">
        <v>46220</v>
      </c>
      <c r="AF297" s="186"/>
      <c r="AG297" s="186"/>
      <c r="AH297" s="186"/>
      <c r="AI297" s="186"/>
      <c r="AJ297" s="186"/>
      <c r="AK297" s="188"/>
      <c r="AL297" s="211"/>
      <c r="AM297" s="187"/>
      <c r="AN297" s="187"/>
      <c r="AO297" s="211"/>
      <c r="AP297" s="271"/>
      <c r="AQ297" s="440"/>
      <c r="AR297" s="191"/>
      <c r="AS297" s="192"/>
      <c r="AT297" s="192"/>
      <c r="AU297" s="192"/>
      <c r="AV297" s="192"/>
      <c r="AW297" s="192"/>
      <c r="AX297" s="192"/>
      <c r="AY297" s="192"/>
      <c r="AZ297" s="192"/>
      <c r="BA297" s="192"/>
      <c r="BB297" s="192"/>
      <c r="BC297" s="156"/>
      <c r="BD297" s="176"/>
      <c r="BE297" s="176"/>
    </row>
    <row r="298" spans="1:57" s="78" customFormat="1" ht="20.65" customHeight="1" thickTop="1" thickBot="1" x14ac:dyDescent="0.45">
      <c r="A298" s="458">
        <f t="shared" ref="A298" si="64">A295+1</f>
        <v>85</v>
      </c>
      <c r="B298" s="139" t="s">
        <v>564</v>
      </c>
      <c r="C298" s="247" t="s">
        <v>577</v>
      </c>
      <c r="D298" s="141" t="s">
        <v>578</v>
      </c>
      <c r="E298" s="202"/>
      <c r="F298" s="202"/>
      <c r="G298" s="427" t="s">
        <v>295</v>
      </c>
      <c r="H298" s="143" t="s">
        <v>540</v>
      </c>
      <c r="I298" s="140" t="s">
        <v>73</v>
      </c>
      <c r="J298" s="140" t="s">
        <v>74</v>
      </c>
      <c r="K298" s="140" t="s">
        <v>9</v>
      </c>
      <c r="L298" s="376"/>
      <c r="M298" s="145" t="s">
        <v>150</v>
      </c>
      <c r="N298" s="146" t="s">
        <v>77</v>
      </c>
      <c r="O298" s="147">
        <v>46135</v>
      </c>
      <c r="P298" s="147">
        <v>46150</v>
      </c>
      <c r="Q298" s="147">
        <v>46165</v>
      </c>
      <c r="R298" s="147">
        <v>46167</v>
      </c>
      <c r="S298" s="147">
        <v>46167</v>
      </c>
      <c r="T298" s="147">
        <v>46172</v>
      </c>
      <c r="U298" s="147">
        <v>46175</v>
      </c>
      <c r="V298" s="147">
        <v>46180</v>
      </c>
      <c r="W298" s="147"/>
      <c r="X298" s="147">
        <v>46183</v>
      </c>
      <c r="Y298" s="147">
        <v>46185</v>
      </c>
      <c r="Z298" s="223">
        <v>46132</v>
      </c>
      <c r="AA298" s="223">
        <v>46135</v>
      </c>
      <c r="AB298" s="223">
        <v>46162</v>
      </c>
      <c r="AC298" s="147">
        <v>46198</v>
      </c>
      <c r="AD298" s="147">
        <v>46305</v>
      </c>
      <c r="AE298" s="147">
        <v>46262</v>
      </c>
      <c r="AF298" s="148">
        <v>46292</v>
      </c>
      <c r="AG298" s="147">
        <v>46299</v>
      </c>
      <c r="AH298" s="147">
        <v>46304</v>
      </c>
      <c r="AI298" s="147">
        <v>46307</v>
      </c>
      <c r="AJ298" s="147">
        <v>46334</v>
      </c>
      <c r="AK298" s="149">
        <v>8.5</v>
      </c>
      <c r="AL298" s="150">
        <v>59.5</v>
      </c>
      <c r="AM298" s="151">
        <v>46304</v>
      </c>
      <c r="AN298" s="151">
        <v>46310</v>
      </c>
      <c r="AO298" s="152">
        <f>AN298-AM299</f>
        <v>6</v>
      </c>
      <c r="AP298" s="153" t="s">
        <v>542</v>
      </c>
      <c r="AQ298" s="438" t="s">
        <v>568</v>
      </c>
      <c r="AR298" s="154"/>
      <c r="AS298" s="155"/>
      <c r="AT298" s="155"/>
      <c r="AU298" s="155"/>
      <c r="AV298" s="155"/>
      <c r="AW298" s="155"/>
      <c r="AX298" s="155"/>
      <c r="AY298" s="155"/>
      <c r="AZ298" s="155"/>
      <c r="BA298" s="155"/>
      <c r="BB298" s="155"/>
      <c r="BC298" s="156"/>
      <c r="BD298" s="176"/>
      <c r="BE298" s="176"/>
    </row>
    <row r="299" spans="1:57" s="78" customFormat="1" ht="20.75" customHeight="1" thickTop="1" thickBot="1" x14ac:dyDescent="0.45">
      <c r="A299" s="459"/>
      <c r="B299" s="226" t="s">
        <v>564</v>
      </c>
      <c r="C299" s="387" t="s">
        <v>577</v>
      </c>
      <c r="D299" s="388" t="s">
        <v>578</v>
      </c>
      <c r="E299" s="389"/>
      <c r="F299" s="389"/>
      <c r="G299" s="390" t="s">
        <v>295</v>
      </c>
      <c r="H299" s="391" t="s">
        <v>540</v>
      </c>
      <c r="I299" s="392" t="s">
        <v>73</v>
      </c>
      <c r="J299" s="393" t="s">
        <v>74</v>
      </c>
      <c r="K299" s="393" t="s">
        <v>9</v>
      </c>
      <c r="L299" s="390"/>
      <c r="M299" s="394" t="s">
        <v>150</v>
      </c>
      <c r="N299" s="395" t="s">
        <v>84</v>
      </c>
      <c r="O299" s="396"/>
      <c r="P299" s="397"/>
      <c r="Q299" s="397"/>
      <c r="R299" s="397"/>
      <c r="S299" s="397"/>
      <c r="T299" s="397"/>
      <c r="U299" s="397"/>
      <c r="V299" s="397"/>
      <c r="W299" s="397"/>
      <c r="X299" s="397"/>
      <c r="Y299" s="397"/>
      <c r="Z299" s="397"/>
      <c r="AA299" s="397"/>
      <c r="AB299" s="397"/>
      <c r="AC299" s="398"/>
      <c r="AD299" s="170"/>
      <c r="AE299" s="170"/>
      <c r="AF299" s="170">
        <v>46292</v>
      </c>
      <c r="AG299" s="170">
        <v>46299</v>
      </c>
      <c r="AH299" s="170">
        <v>46304</v>
      </c>
      <c r="AI299" s="168">
        <v>46307</v>
      </c>
      <c r="AJ299" s="168">
        <v>46334</v>
      </c>
      <c r="AK299" s="399"/>
      <c r="AL299" s="270"/>
      <c r="AM299" s="170">
        <v>46304</v>
      </c>
      <c r="AN299" s="400"/>
      <c r="AO299" s="270"/>
      <c r="AP299" s="270"/>
      <c r="AQ299" s="439"/>
      <c r="AR299" s="191"/>
      <c r="AS299" s="192"/>
      <c r="AT299" s="192"/>
      <c r="AU299" s="192"/>
      <c r="AV299" s="192"/>
      <c r="AW299" s="192"/>
      <c r="AX299" s="192"/>
      <c r="AY299" s="192"/>
      <c r="AZ299" s="192"/>
      <c r="BA299" s="192"/>
      <c r="BB299" s="192"/>
      <c r="BC299" s="156"/>
      <c r="BD299" s="176"/>
      <c r="BE299" s="176"/>
    </row>
    <row r="300" spans="1:57" s="78" customFormat="1" ht="20.75" customHeight="1" thickBot="1" x14ac:dyDescent="0.45">
      <c r="A300" s="460"/>
      <c r="B300" s="177" t="s">
        <v>564</v>
      </c>
      <c r="C300" s="251" t="s">
        <v>577</v>
      </c>
      <c r="D300" s="179" t="s">
        <v>578</v>
      </c>
      <c r="E300" s="208"/>
      <c r="F300" s="208"/>
      <c r="G300" s="209" t="s">
        <v>295</v>
      </c>
      <c r="H300" s="182" t="s">
        <v>540</v>
      </c>
      <c r="I300" s="178" t="s">
        <v>73</v>
      </c>
      <c r="J300" s="178" t="s">
        <v>74</v>
      </c>
      <c r="K300" s="178" t="s">
        <v>9</v>
      </c>
      <c r="L300" s="209"/>
      <c r="M300" s="184" t="s">
        <v>150</v>
      </c>
      <c r="N300" s="185" t="s">
        <v>87</v>
      </c>
      <c r="O300" s="186">
        <v>46120</v>
      </c>
      <c r="P300" s="186">
        <v>46148</v>
      </c>
      <c r="Q300" s="186">
        <v>46157</v>
      </c>
      <c r="R300" s="187">
        <v>46167</v>
      </c>
      <c r="S300" s="186">
        <v>46167</v>
      </c>
      <c r="T300" s="186">
        <v>46172</v>
      </c>
      <c r="U300" s="186">
        <v>46185</v>
      </c>
      <c r="V300" s="186">
        <v>46192</v>
      </c>
      <c r="W300" s="186"/>
      <c r="X300" s="401">
        <v>46195</v>
      </c>
      <c r="Y300" s="401">
        <v>46195</v>
      </c>
      <c r="Z300" s="186">
        <v>46132</v>
      </c>
      <c r="AA300" s="186">
        <v>46193</v>
      </c>
      <c r="AB300" s="186">
        <v>46193</v>
      </c>
      <c r="AC300" s="186">
        <v>46199</v>
      </c>
      <c r="AD300" s="186">
        <v>46199</v>
      </c>
      <c r="AE300" s="186">
        <v>46199</v>
      </c>
      <c r="AF300" s="186"/>
      <c r="AG300" s="186"/>
      <c r="AH300" s="186"/>
      <c r="AI300" s="186"/>
      <c r="AJ300" s="186"/>
      <c r="AK300" s="188"/>
      <c r="AL300" s="211"/>
      <c r="AM300" s="187"/>
      <c r="AN300" s="187"/>
      <c r="AO300" s="211"/>
      <c r="AP300" s="271"/>
      <c r="AQ300" s="440"/>
      <c r="AR300" s="191"/>
      <c r="AS300" s="192"/>
      <c r="AT300" s="192"/>
      <c r="AU300" s="192"/>
      <c r="AV300" s="192"/>
      <c r="AW300" s="192"/>
      <c r="AX300" s="192"/>
      <c r="AY300" s="192"/>
      <c r="AZ300" s="192"/>
      <c r="BA300" s="192"/>
      <c r="BB300" s="192"/>
      <c r="BC300" s="156"/>
      <c r="BD300" s="176"/>
      <c r="BE300" s="176"/>
    </row>
    <row r="301" spans="1:57" s="78" customFormat="1" ht="20.65" customHeight="1" thickTop="1" thickBot="1" x14ac:dyDescent="0.45">
      <c r="A301" s="458">
        <f t="shared" ref="A301" si="65">A298+1</f>
        <v>86</v>
      </c>
      <c r="B301" s="139" t="s">
        <v>564</v>
      </c>
      <c r="C301" s="247" t="s">
        <v>579</v>
      </c>
      <c r="D301" s="141" t="s">
        <v>580</v>
      </c>
      <c r="E301" s="202"/>
      <c r="F301" s="202"/>
      <c r="G301" s="427" t="s">
        <v>295</v>
      </c>
      <c r="H301" s="143" t="s">
        <v>540</v>
      </c>
      <c r="I301" s="140" t="s">
        <v>73</v>
      </c>
      <c r="J301" s="140" t="s">
        <v>74</v>
      </c>
      <c r="K301" s="140" t="s">
        <v>9</v>
      </c>
      <c r="L301" s="376"/>
      <c r="M301" s="145" t="s">
        <v>150</v>
      </c>
      <c r="N301" s="146" t="s">
        <v>77</v>
      </c>
      <c r="O301" s="147">
        <v>46135</v>
      </c>
      <c r="P301" s="147">
        <v>46150</v>
      </c>
      <c r="Q301" s="147">
        <v>46165</v>
      </c>
      <c r="R301" s="147">
        <v>46167</v>
      </c>
      <c r="S301" s="147">
        <v>46167</v>
      </c>
      <c r="T301" s="147">
        <v>46172</v>
      </c>
      <c r="U301" s="147">
        <v>46175</v>
      </c>
      <c r="V301" s="147">
        <v>46180</v>
      </c>
      <c r="W301" s="147"/>
      <c r="X301" s="147">
        <v>46183</v>
      </c>
      <c r="Y301" s="147">
        <v>46185</v>
      </c>
      <c r="Z301" s="223">
        <v>46132</v>
      </c>
      <c r="AA301" s="223">
        <v>46135</v>
      </c>
      <c r="AB301" s="223">
        <v>46162</v>
      </c>
      <c r="AC301" s="147">
        <v>46198</v>
      </c>
      <c r="AD301" s="147">
        <v>46326</v>
      </c>
      <c r="AE301" s="147">
        <v>46274</v>
      </c>
      <c r="AF301" s="148">
        <v>46304</v>
      </c>
      <c r="AG301" s="147">
        <v>46311</v>
      </c>
      <c r="AH301" s="147">
        <v>46316</v>
      </c>
      <c r="AI301" s="147">
        <v>46319</v>
      </c>
      <c r="AJ301" s="147">
        <v>46346</v>
      </c>
      <c r="AK301" s="149">
        <v>8.5</v>
      </c>
      <c r="AL301" s="150">
        <v>59.5</v>
      </c>
      <c r="AM301" s="151">
        <f>AH301</f>
        <v>46316</v>
      </c>
      <c r="AN301" s="151">
        <v>46322</v>
      </c>
      <c r="AO301" s="152">
        <f>AN301-AM302</f>
        <v>6</v>
      </c>
      <c r="AP301" s="153" t="s">
        <v>542</v>
      </c>
      <c r="AQ301" s="438" t="s">
        <v>568</v>
      </c>
      <c r="AR301" s="154"/>
      <c r="AS301" s="155"/>
      <c r="AT301" s="155"/>
      <c r="AU301" s="155"/>
      <c r="AV301" s="155"/>
      <c r="AW301" s="155"/>
      <c r="AX301" s="155"/>
      <c r="AY301" s="155"/>
      <c r="AZ301" s="155"/>
      <c r="BA301" s="155"/>
      <c r="BB301" s="155"/>
      <c r="BC301" s="156"/>
      <c r="BD301" s="176"/>
      <c r="BE301" s="176"/>
    </row>
    <row r="302" spans="1:57" s="78" customFormat="1" ht="20.75" customHeight="1" thickTop="1" thickBot="1" x14ac:dyDescent="0.45">
      <c r="A302" s="459"/>
      <c r="B302" s="226" t="s">
        <v>564</v>
      </c>
      <c r="C302" s="387" t="s">
        <v>581</v>
      </c>
      <c r="D302" s="388" t="s">
        <v>580</v>
      </c>
      <c r="E302" s="389"/>
      <c r="F302" s="389"/>
      <c r="G302" s="390" t="s">
        <v>295</v>
      </c>
      <c r="H302" s="391" t="s">
        <v>540</v>
      </c>
      <c r="I302" s="392" t="s">
        <v>73</v>
      </c>
      <c r="J302" s="393" t="s">
        <v>74</v>
      </c>
      <c r="K302" s="393" t="s">
        <v>9</v>
      </c>
      <c r="L302" s="390"/>
      <c r="M302" s="394" t="s">
        <v>150</v>
      </c>
      <c r="N302" s="395" t="s">
        <v>84</v>
      </c>
      <c r="O302" s="396"/>
      <c r="P302" s="397"/>
      <c r="Q302" s="397"/>
      <c r="R302" s="397"/>
      <c r="S302" s="397"/>
      <c r="T302" s="397"/>
      <c r="U302" s="397"/>
      <c r="V302" s="397"/>
      <c r="W302" s="397"/>
      <c r="X302" s="397"/>
      <c r="Y302" s="397"/>
      <c r="Z302" s="397"/>
      <c r="AA302" s="397"/>
      <c r="AB302" s="397"/>
      <c r="AC302" s="398"/>
      <c r="AD302" s="170"/>
      <c r="AE302" s="170"/>
      <c r="AF302" s="170">
        <v>46304</v>
      </c>
      <c r="AG302" s="170">
        <v>46311</v>
      </c>
      <c r="AH302" s="170">
        <v>46316</v>
      </c>
      <c r="AI302" s="168">
        <v>46319</v>
      </c>
      <c r="AJ302" s="168">
        <v>46346</v>
      </c>
      <c r="AK302" s="399"/>
      <c r="AL302" s="270"/>
      <c r="AM302" s="170">
        <v>46316</v>
      </c>
      <c r="AN302" s="400"/>
      <c r="AO302" s="270"/>
      <c r="AP302" s="270"/>
      <c r="AQ302" s="439"/>
      <c r="AR302" s="191"/>
      <c r="AS302" s="192"/>
      <c r="AT302" s="192"/>
      <c r="AU302" s="192"/>
      <c r="AV302" s="192"/>
      <c r="AW302" s="192"/>
      <c r="AX302" s="192"/>
      <c r="AY302" s="192"/>
      <c r="AZ302" s="192"/>
      <c r="BA302" s="192"/>
      <c r="BB302" s="192"/>
      <c r="BC302" s="156"/>
      <c r="BD302" s="176"/>
      <c r="BE302" s="176"/>
    </row>
    <row r="303" spans="1:57" s="78" customFormat="1" ht="20.75" customHeight="1" thickBot="1" x14ac:dyDescent="0.45">
      <c r="A303" s="460"/>
      <c r="B303" s="177" t="s">
        <v>564</v>
      </c>
      <c r="C303" s="251" t="s">
        <v>581</v>
      </c>
      <c r="D303" s="179" t="s">
        <v>580</v>
      </c>
      <c r="E303" s="208"/>
      <c r="F303" s="208"/>
      <c r="G303" s="209" t="s">
        <v>295</v>
      </c>
      <c r="H303" s="182" t="s">
        <v>540</v>
      </c>
      <c r="I303" s="178" t="s">
        <v>73</v>
      </c>
      <c r="J303" s="178" t="s">
        <v>74</v>
      </c>
      <c r="K303" s="178" t="s">
        <v>9</v>
      </c>
      <c r="L303" s="209"/>
      <c r="M303" s="184" t="s">
        <v>150</v>
      </c>
      <c r="N303" s="185" t="s">
        <v>87</v>
      </c>
      <c r="O303" s="186">
        <v>46120</v>
      </c>
      <c r="P303" s="186">
        <v>46148</v>
      </c>
      <c r="Q303" s="186">
        <v>46157</v>
      </c>
      <c r="R303" s="187">
        <v>46167</v>
      </c>
      <c r="S303" s="186">
        <v>46167</v>
      </c>
      <c r="T303" s="186">
        <v>46172</v>
      </c>
      <c r="U303" s="186">
        <v>46185</v>
      </c>
      <c r="V303" s="186">
        <v>46192</v>
      </c>
      <c r="W303" s="186"/>
      <c r="X303" s="401">
        <v>46195</v>
      </c>
      <c r="Y303" s="401">
        <v>46195</v>
      </c>
      <c r="Z303" s="186">
        <v>46132</v>
      </c>
      <c r="AA303" s="186">
        <v>46193</v>
      </c>
      <c r="AB303" s="186">
        <v>46193</v>
      </c>
      <c r="AC303" s="186">
        <v>46199</v>
      </c>
      <c r="AD303" s="186">
        <v>46199</v>
      </c>
      <c r="AE303" s="186">
        <v>46199</v>
      </c>
      <c r="AF303" s="186"/>
      <c r="AG303" s="186"/>
      <c r="AH303" s="186"/>
      <c r="AI303" s="186"/>
      <c r="AJ303" s="186"/>
      <c r="AK303" s="188"/>
      <c r="AL303" s="211"/>
      <c r="AM303" s="187"/>
      <c r="AN303" s="187"/>
      <c r="AO303" s="211"/>
      <c r="AP303" s="271"/>
      <c r="AQ303" s="440"/>
      <c r="AR303" s="191"/>
      <c r="AS303" s="192"/>
      <c r="AT303" s="192"/>
      <c r="AU303" s="192"/>
      <c r="AV303" s="192"/>
      <c r="AW303" s="192"/>
      <c r="AX303" s="192"/>
      <c r="AY303" s="192"/>
      <c r="AZ303" s="192"/>
      <c r="BA303" s="192"/>
      <c r="BB303" s="192"/>
      <c r="BC303" s="156"/>
      <c r="BD303" s="176"/>
      <c r="BE303" s="176"/>
    </row>
    <row r="304" spans="1:57" s="78" customFormat="1" ht="20.65" customHeight="1" thickTop="1" thickBot="1" x14ac:dyDescent="0.45">
      <c r="A304" s="458">
        <f t="shared" ref="A304" si="66">A301+1</f>
        <v>87</v>
      </c>
      <c r="B304" s="139" t="s">
        <v>582</v>
      </c>
      <c r="C304" s="247" t="s">
        <v>565</v>
      </c>
      <c r="D304" s="141" t="s">
        <v>583</v>
      </c>
      <c r="E304" s="202"/>
      <c r="F304" s="202"/>
      <c r="G304" s="427" t="s">
        <v>295</v>
      </c>
      <c r="H304" s="143" t="s">
        <v>540</v>
      </c>
      <c r="I304" s="140" t="s">
        <v>73</v>
      </c>
      <c r="J304" s="140" t="s">
        <v>74</v>
      </c>
      <c r="K304" s="140" t="s">
        <v>9</v>
      </c>
      <c r="L304" s="376" t="s">
        <v>584</v>
      </c>
      <c r="M304" s="145" t="s">
        <v>150</v>
      </c>
      <c r="N304" s="146" t="s">
        <v>77</v>
      </c>
      <c r="O304" s="147">
        <v>46135</v>
      </c>
      <c r="P304" s="147">
        <v>46170</v>
      </c>
      <c r="Q304" s="147">
        <v>46185</v>
      </c>
      <c r="R304" s="147">
        <v>46187</v>
      </c>
      <c r="S304" s="147">
        <v>46187</v>
      </c>
      <c r="T304" s="147">
        <v>46192</v>
      </c>
      <c r="U304" s="147">
        <v>46203</v>
      </c>
      <c r="V304" s="147">
        <v>46213</v>
      </c>
      <c r="W304" s="147"/>
      <c r="X304" s="147">
        <v>46213</v>
      </c>
      <c r="Y304" s="147">
        <v>46213</v>
      </c>
      <c r="Z304" s="223">
        <v>46132</v>
      </c>
      <c r="AA304" s="223">
        <v>46217</v>
      </c>
      <c r="AB304" s="223">
        <v>46192</v>
      </c>
      <c r="AC304" s="223">
        <v>46233</v>
      </c>
      <c r="AD304" s="147">
        <v>46233</v>
      </c>
      <c r="AE304" s="147">
        <v>46233</v>
      </c>
      <c r="AF304" s="148">
        <v>46256</v>
      </c>
      <c r="AG304" s="147">
        <v>46262</v>
      </c>
      <c r="AH304" s="147">
        <v>46264</v>
      </c>
      <c r="AI304" s="147">
        <v>46264</v>
      </c>
      <c r="AJ304" s="147">
        <v>46294</v>
      </c>
      <c r="AK304" s="149">
        <v>8.5</v>
      </c>
      <c r="AL304" s="150">
        <v>59.5</v>
      </c>
      <c r="AM304" s="151">
        <f>AH304</f>
        <v>46264</v>
      </c>
      <c r="AN304" s="151">
        <v>46265</v>
      </c>
      <c r="AO304" s="152">
        <f>AN304-AM305</f>
        <v>21</v>
      </c>
      <c r="AP304" s="153" t="s">
        <v>542</v>
      </c>
      <c r="AQ304" s="438" t="s">
        <v>568</v>
      </c>
      <c r="AR304" s="154"/>
      <c r="AS304" s="155"/>
      <c r="AT304" s="155"/>
      <c r="AU304" s="155"/>
      <c r="AV304" s="155"/>
      <c r="AW304" s="155"/>
      <c r="AX304" s="155"/>
      <c r="AY304" s="155"/>
      <c r="AZ304" s="155"/>
      <c r="BA304" s="155"/>
      <c r="BB304" s="155"/>
      <c r="BC304" s="156"/>
      <c r="BD304" s="176"/>
      <c r="BE304" s="176"/>
    </row>
    <row r="305" spans="1:57" s="78" customFormat="1" ht="20.75" customHeight="1" thickTop="1" thickBot="1" x14ac:dyDescent="0.45">
      <c r="A305" s="459"/>
      <c r="B305" s="226" t="s">
        <v>582</v>
      </c>
      <c r="C305" s="387" t="s">
        <v>565</v>
      </c>
      <c r="D305" s="388" t="s">
        <v>583</v>
      </c>
      <c r="E305" s="389"/>
      <c r="F305" s="389"/>
      <c r="G305" s="390" t="s">
        <v>295</v>
      </c>
      <c r="H305" s="391" t="s">
        <v>540</v>
      </c>
      <c r="I305" s="392" t="s">
        <v>73</v>
      </c>
      <c r="J305" s="393" t="s">
        <v>74</v>
      </c>
      <c r="K305" s="393" t="s">
        <v>9</v>
      </c>
      <c r="L305" s="390"/>
      <c r="M305" s="394" t="s">
        <v>150</v>
      </c>
      <c r="N305" s="395" t="s">
        <v>84</v>
      </c>
      <c r="O305" s="396"/>
      <c r="P305" s="397"/>
      <c r="Q305" s="397"/>
      <c r="R305" s="397"/>
      <c r="S305" s="397"/>
      <c r="T305" s="397"/>
      <c r="U305" s="397"/>
      <c r="V305" s="168"/>
      <c r="W305" s="168"/>
      <c r="X305" s="168"/>
      <c r="Y305" s="168"/>
      <c r="Z305" s="168"/>
      <c r="AA305" s="168"/>
      <c r="AB305" s="168"/>
      <c r="AC305" s="168"/>
      <c r="AD305" s="168"/>
      <c r="AE305" s="168"/>
      <c r="AF305" s="170">
        <v>46256</v>
      </c>
      <c r="AG305" s="170">
        <v>46262</v>
      </c>
      <c r="AH305" s="170">
        <v>46264</v>
      </c>
      <c r="AI305" s="168">
        <v>46264</v>
      </c>
      <c r="AJ305" s="168">
        <v>46294</v>
      </c>
      <c r="AK305" s="399"/>
      <c r="AL305" s="270"/>
      <c r="AM305" s="170">
        <v>46244</v>
      </c>
      <c r="AN305" s="400"/>
      <c r="AO305" s="270"/>
      <c r="AP305" s="270"/>
      <c r="AQ305" s="439"/>
      <c r="AR305" s="191"/>
      <c r="AS305" s="192"/>
      <c r="AT305" s="192"/>
      <c r="AU305" s="192"/>
      <c r="AV305" s="192"/>
      <c r="AW305" s="192"/>
      <c r="AX305" s="192"/>
      <c r="AY305" s="192"/>
      <c r="AZ305" s="192"/>
      <c r="BA305" s="192"/>
      <c r="BB305" s="192"/>
      <c r="BC305" s="156"/>
      <c r="BD305" s="176"/>
      <c r="BE305" s="176"/>
    </row>
    <row r="306" spans="1:57" s="78" customFormat="1" ht="20.75" customHeight="1" thickBot="1" x14ac:dyDescent="0.45">
      <c r="A306" s="460"/>
      <c r="B306" s="177" t="s">
        <v>582</v>
      </c>
      <c r="C306" s="251" t="s">
        <v>565</v>
      </c>
      <c r="D306" s="179" t="s">
        <v>583</v>
      </c>
      <c r="E306" s="208"/>
      <c r="F306" s="208"/>
      <c r="G306" s="209" t="s">
        <v>295</v>
      </c>
      <c r="H306" s="182" t="s">
        <v>540</v>
      </c>
      <c r="I306" s="178" t="s">
        <v>73</v>
      </c>
      <c r="J306" s="178" t="s">
        <v>74</v>
      </c>
      <c r="K306" s="178" t="s">
        <v>9</v>
      </c>
      <c r="L306" s="209"/>
      <c r="M306" s="184" t="s">
        <v>150</v>
      </c>
      <c r="N306" s="185" t="s">
        <v>87</v>
      </c>
      <c r="O306" s="186">
        <v>46120</v>
      </c>
      <c r="P306" s="186">
        <v>46148</v>
      </c>
      <c r="Q306" s="186">
        <v>46157</v>
      </c>
      <c r="R306" s="187">
        <v>46167</v>
      </c>
      <c r="S306" s="186">
        <v>46167</v>
      </c>
      <c r="T306" s="186">
        <v>46172</v>
      </c>
      <c r="U306" s="186">
        <v>46205</v>
      </c>
      <c r="V306" s="186">
        <v>46210</v>
      </c>
      <c r="W306" s="186"/>
      <c r="X306" s="401">
        <v>46212</v>
      </c>
      <c r="Y306" s="401">
        <v>46212</v>
      </c>
      <c r="Z306" s="186">
        <v>46132</v>
      </c>
      <c r="AA306" s="186">
        <v>46193</v>
      </c>
      <c r="AB306" s="186">
        <v>46193</v>
      </c>
      <c r="AC306" s="186">
        <v>46227</v>
      </c>
      <c r="AD306" s="186">
        <v>46227</v>
      </c>
      <c r="AE306" s="186">
        <v>46227</v>
      </c>
      <c r="AF306" s="186"/>
      <c r="AG306" s="186"/>
      <c r="AH306" s="186"/>
      <c r="AI306" s="186"/>
      <c r="AJ306" s="186"/>
      <c r="AK306" s="188"/>
      <c r="AL306" s="211"/>
      <c r="AM306" s="187"/>
      <c r="AN306" s="187"/>
      <c r="AO306" s="211"/>
      <c r="AP306" s="271"/>
      <c r="AQ306" s="440"/>
      <c r="AR306" s="191"/>
      <c r="AS306" s="192"/>
      <c r="AT306" s="192"/>
      <c r="AU306" s="192"/>
      <c r="AV306" s="192"/>
      <c r="AW306" s="192"/>
      <c r="AX306" s="192"/>
      <c r="AY306" s="192"/>
      <c r="AZ306" s="192"/>
      <c r="BA306" s="192"/>
      <c r="BB306" s="192"/>
      <c r="BC306" s="156"/>
      <c r="BD306" s="176"/>
      <c r="BE306" s="176"/>
    </row>
    <row r="307" spans="1:57" s="78" customFormat="1" ht="20.65" customHeight="1" thickTop="1" thickBot="1" x14ac:dyDescent="0.45">
      <c r="A307" s="458">
        <f t="shared" ref="A307" si="67">A304+1</f>
        <v>88</v>
      </c>
      <c r="B307" s="139" t="s">
        <v>582</v>
      </c>
      <c r="C307" s="247" t="s">
        <v>569</v>
      </c>
      <c r="D307" s="233" t="s">
        <v>585</v>
      </c>
      <c r="E307" s="202"/>
      <c r="F307" s="202"/>
      <c r="G307" s="427" t="s">
        <v>295</v>
      </c>
      <c r="H307" s="143" t="s">
        <v>540</v>
      </c>
      <c r="I307" s="140" t="s">
        <v>73</v>
      </c>
      <c r="J307" s="140" t="s">
        <v>74</v>
      </c>
      <c r="K307" s="140" t="s">
        <v>9</v>
      </c>
      <c r="L307" s="376"/>
      <c r="M307" s="145" t="s">
        <v>150</v>
      </c>
      <c r="N307" s="146" t="s">
        <v>77</v>
      </c>
      <c r="O307" s="147">
        <v>46135</v>
      </c>
      <c r="P307" s="147">
        <v>46170</v>
      </c>
      <c r="Q307" s="147">
        <v>46185</v>
      </c>
      <c r="R307" s="147">
        <v>46187</v>
      </c>
      <c r="S307" s="147">
        <v>46187</v>
      </c>
      <c r="T307" s="147">
        <v>46192</v>
      </c>
      <c r="U307" s="147">
        <v>46203</v>
      </c>
      <c r="V307" s="147">
        <v>46213</v>
      </c>
      <c r="W307" s="147"/>
      <c r="X307" s="148">
        <v>46213</v>
      </c>
      <c r="Y307" s="147">
        <v>46213</v>
      </c>
      <c r="Z307" s="223">
        <v>46132</v>
      </c>
      <c r="AA307" s="223">
        <v>46217</v>
      </c>
      <c r="AB307" s="223">
        <v>46192</v>
      </c>
      <c r="AC307" s="223">
        <v>46233</v>
      </c>
      <c r="AD307" s="147">
        <v>46254</v>
      </c>
      <c r="AE307" s="147">
        <v>46254</v>
      </c>
      <c r="AF307" s="147">
        <v>46277</v>
      </c>
      <c r="AG307" s="147">
        <v>46283</v>
      </c>
      <c r="AH307" s="147">
        <v>46285</v>
      </c>
      <c r="AI307" s="147">
        <v>46285</v>
      </c>
      <c r="AJ307" s="147">
        <v>46315</v>
      </c>
      <c r="AK307" s="149">
        <v>8.5</v>
      </c>
      <c r="AL307" s="150">
        <v>59.5</v>
      </c>
      <c r="AM307" s="151">
        <f>AH307</f>
        <v>46285</v>
      </c>
      <c r="AN307" s="151">
        <v>46286</v>
      </c>
      <c r="AO307" s="152">
        <f>AN307-AM308</f>
        <v>30</v>
      </c>
      <c r="AP307" s="153" t="s">
        <v>542</v>
      </c>
      <c r="AQ307" s="438" t="s">
        <v>568</v>
      </c>
      <c r="AR307" s="154"/>
      <c r="AS307" s="155"/>
      <c r="AT307" s="155"/>
      <c r="AU307" s="155"/>
      <c r="AV307" s="155"/>
      <c r="AW307" s="155"/>
      <c r="AX307" s="155"/>
      <c r="AY307" s="155"/>
      <c r="AZ307" s="155"/>
      <c r="BA307" s="155"/>
      <c r="BB307" s="155"/>
      <c r="BC307" s="156"/>
      <c r="BD307" s="176"/>
      <c r="BE307" s="176"/>
    </row>
    <row r="308" spans="1:57" s="78" customFormat="1" ht="20.75" customHeight="1" thickTop="1" thickBot="1" x14ac:dyDescent="0.45">
      <c r="A308" s="459"/>
      <c r="B308" s="226" t="s">
        <v>582</v>
      </c>
      <c r="C308" s="387" t="s">
        <v>569</v>
      </c>
      <c r="D308" s="388" t="s">
        <v>585</v>
      </c>
      <c r="E308" s="389"/>
      <c r="F308" s="389"/>
      <c r="G308" s="390" t="s">
        <v>295</v>
      </c>
      <c r="H308" s="391" t="s">
        <v>540</v>
      </c>
      <c r="I308" s="392" t="s">
        <v>73</v>
      </c>
      <c r="J308" s="393" t="s">
        <v>74</v>
      </c>
      <c r="K308" s="393" t="s">
        <v>9</v>
      </c>
      <c r="L308" s="390"/>
      <c r="M308" s="394" t="s">
        <v>150</v>
      </c>
      <c r="N308" s="395" t="s">
        <v>84</v>
      </c>
      <c r="O308" s="396"/>
      <c r="P308" s="397"/>
      <c r="Q308" s="397"/>
      <c r="R308" s="397"/>
      <c r="S308" s="397"/>
      <c r="T308" s="397"/>
      <c r="U308" s="397"/>
      <c r="V308" s="168"/>
      <c r="W308" s="168"/>
      <c r="X308" s="168">
        <v>46230</v>
      </c>
      <c r="Y308" s="168">
        <f>X308+1</f>
        <v>46231</v>
      </c>
      <c r="Z308" s="168"/>
      <c r="AA308" s="168"/>
      <c r="AB308" s="168"/>
      <c r="AC308" s="168">
        <v>46233</v>
      </c>
      <c r="AD308" s="170">
        <v>46254</v>
      </c>
      <c r="AE308" s="170">
        <v>46254</v>
      </c>
      <c r="AF308" s="170">
        <v>46277</v>
      </c>
      <c r="AG308" s="170">
        <v>46283</v>
      </c>
      <c r="AH308" s="170">
        <v>46285</v>
      </c>
      <c r="AI308" s="168">
        <v>46285</v>
      </c>
      <c r="AJ308" s="168">
        <v>46315</v>
      </c>
      <c r="AK308" s="399"/>
      <c r="AL308" s="270"/>
      <c r="AM308" s="170">
        <v>46256</v>
      </c>
      <c r="AN308" s="400"/>
      <c r="AO308" s="270"/>
      <c r="AP308" s="270"/>
      <c r="AQ308" s="439"/>
      <c r="AR308" s="191"/>
      <c r="AS308" s="192"/>
      <c r="AT308" s="192"/>
      <c r="AU308" s="192"/>
      <c r="AV308" s="192"/>
      <c r="AW308" s="192"/>
      <c r="AX308" s="192"/>
      <c r="AY308" s="192"/>
      <c r="AZ308" s="192"/>
      <c r="BA308" s="192"/>
      <c r="BB308" s="192"/>
      <c r="BC308" s="156"/>
      <c r="BD308" s="176"/>
      <c r="BE308" s="176"/>
    </row>
    <row r="309" spans="1:57" s="78" customFormat="1" ht="20.75" customHeight="1" thickBot="1" x14ac:dyDescent="0.45">
      <c r="A309" s="460"/>
      <c r="B309" s="177" t="s">
        <v>582</v>
      </c>
      <c r="C309" s="251" t="s">
        <v>569</v>
      </c>
      <c r="D309" s="179" t="s">
        <v>585</v>
      </c>
      <c r="E309" s="208"/>
      <c r="F309" s="208"/>
      <c r="G309" s="209" t="s">
        <v>295</v>
      </c>
      <c r="H309" s="182" t="s">
        <v>540</v>
      </c>
      <c r="I309" s="178" t="s">
        <v>73</v>
      </c>
      <c r="J309" s="178" t="s">
        <v>74</v>
      </c>
      <c r="K309" s="178" t="s">
        <v>9</v>
      </c>
      <c r="L309" s="209"/>
      <c r="M309" s="184" t="s">
        <v>150</v>
      </c>
      <c r="N309" s="185" t="s">
        <v>87</v>
      </c>
      <c r="O309" s="186">
        <v>46120</v>
      </c>
      <c r="P309" s="186">
        <v>46148</v>
      </c>
      <c r="Q309" s="186">
        <v>46157</v>
      </c>
      <c r="R309" s="187">
        <v>46167</v>
      </c>
      <c r="S309" s="186">
        <v>46167</v>
      </c>
      <c r="T309" s="186">
        <v>46172</v>
      </c>
      <c r="U309" s="186">
        <v>46205</v>
      </c>
      <c r="V309" s="186">
        <v>46210</v>
      </c>
      <c r="W309" s="186"/>
      <c r="X309" s="401">
        <v>46233</v>
      </c>
      <c r="Y309" s="383">
        <v>46233</v>
      </c>
      <c r="Z309" s="186">
        <v>46132</v>
      </c>
      <c r="AA309" s="186">
        <v>46193</v>
      </c>
      <c r="AB309" s="186">
        <v>46193</v>
      </c>
      <c r="AC309" s="186"/>
      <c r="AD309" s="186"/>
      <c r="AE309" s="186"/>
      <c r="AF309" s="186"/>
      <c r="AG309" s="186"/>
      <c r="AH309" s="186"/>
      <c r="AI309" s="186"/>
      <c r="AJ309" s="186"/>
      <c r="AK309" s="188"/>
      <c r="AL309" s="211"/>
      <c r="AM309" s="187"/>
      <c r="AN309" s="187"/>
      <c r="AO309" s="211"/>
      <c r="AP309" s="271"/>
      <c r="AQ309" s="440"/>
      <c r="AR309" s="191"/>
      <c r="AS309" s="192"/>
      <c r="AT309" s="192"/>
      <c r="AU309" s="192"/>
      <c r="AV309" s="192"/>
      <c r="AW309" s="192"/>
      <c r="AX309" s="192"/>
      <c r="AY309" s="192"/>
      <c r="AZ309" s="192"/>
      <c r="BA309" s="192"/>
      <c r="BB309" s="192"/>
      <c r="BC309" s="156"/>
      <c r="BD309" s="176"/>
      <c r="BE309" s="176"/>
    </row>
    <row r="310" spans="1:57" s="78" customFormat="1" ht="20.65" customHeight="1" thickTop="1" thickBot="1" x14ac:dyDescent="0.45">
      <c r="A310" s="458">
        <f t="shared" ref="A310" si="68">A307+1</f>
        <v>89</v>
      </c>
      <c r="B310" s="139" t="s">
        <v>582</v>
      </c>
      <c r="C310" s="247" t="s">
        <v>571</v>
      </c>
      <c r="D310" s="141" t="s">
        <v>586</v>
      </c>
      <c r="E310" s="202"/>
      <c r="F310" s="202"/>
      <c r="G310" s="427" t="s">
        <v>295</v>
      </c>
      <c r="H310" s="143" t="s">
        <v>540</v>
      </c>
      <c r="I310" s="140" t="s">
        <v>73</v>
      </c>
      <c r="J310" s="140" t="s">
        <v>74</v>
      </c>
      <c r="K310" s="140" t="s">
        <v>9</v>
      </c>
      <c r="L310" s="376"/>
      <c r="M310" s="145" t="s">
        <v>150</v>
      </c>
      <c r="N310" s="146" t="s">
        <v>77</v>
      </c>
      <c r="O310" s="147">
        <v>46135</v>
      </c>
      <c r="P310" s="147">
        <v>46170</v>
      </c>
      <c r="Q310" s="147">
        <v>46185</v>
      </c>
      <c r="R310" s="147">
        <v>46187</v>
      </c>
      <c r="S310" s="147">
        <v>46187</v>
      </c>
      <c r="T310" s="147">
        <v>46192</v>
      </c>
      <c r="U310" s="147">
        <v>46203</v>
      </c>
      <c r="V310" s="147">
        <v>46213</v>
      </c>
      <c r="W310" s="147"/>
      <c r="X310" s="147">
        <v>46213</v>
      </c>
      <c r="Y310" s="147">
        <v>46213</v>
      </c>
      <c r="Z310" s="223">
        <v>46132</v>
      </c>
      <c r="AA310" s="223">
        <v>46217</v>
      </c>
      <c r="AB310" s="223">
        <v>46192</v>
      </c>
      <c r="AC310" s="148">
        <v>46233</v>
      </c>
      <c r="AD310" s="147">
        <v>46275</v>
      </c>
      <c r="AE310" s="147">
        <v>46275</v>
      </c>
      <c r="AF310" s="147">
        <v>46298</v>
      </c>
      <c r="AG310" s="147">
        <v>46304</v>
      </c>
      <c r="AH310" s="147">
        <v>46306</v>
      </c>
      <c r="AI310" s="147">
        <v>46306</v>
      </c>
      <c r="AJ310" s="147">
        <v>46336</v>
      </c>
      <c r="AK310" s="149">
        <v>8.5</v>
      </c>
      <c r="AL310" s="150">
        <v>59.5</v>
      </c>
      <c r="AM310" s="151">
        <f>AH310</f>
        <v>46306</v>
      </c>
      <c r="AN310" s="151">
        <v>46307</v>
      </c>
      <c r="AO310" s="152">
        <f>AN310-AM311</f>
        <v>39</v>
      </c>
      <c r="AP310" s="153" t="s">
        <v>542</v>
      </c>
      <c r="AQ310" s="438" t="s">
        <v>568</v>
      </c>
      <c r="AR310" s="154"/>
      <c r="AS310" s="155"/>
      <c r="AT310" s="155"/>
      <c r="AU310" s="155"/>
      <c r="AV310" s="155"/>
      <c r="AW310" s="155"/>
      <c r="AX310" s="155"/>
      <c r="AY310" s="155"/>
      <c r="AZ310" s="155"/>
      <c r="BA310" s="155"/>
      <c r="BB310" s="155"/>
      <c r="BC310" s="156"/>
      <c r="BD310" s="176"/>
      <c r="BE310" s="176"/>
    </row>
    <row r="311" spans="1:57" s="78" customFormat="1" ht="20.75" customHeight="1" thickTop="1" thickBot="1" x14ac:dyDescent="0.45">
      <c r="A311" s="459"/>
      <c r="B311" s="226" t="s">
        <v>582</v>
      </c>
      <c r="C311" s="387" t="s">
        <v>571</v>
      </c>
      <c r="D311" s="388" t="s">
        <v>586</v>
      </c>
      <c r="E311" s="389"/>
      <c r="F311" s="389"/>
      <c r="G311" s="390" t="s">
        <v>295</v>
      </c>
      <c r="H311" s="391" t="s">
        <v>540</v>
      </c>
      <c r="I311" s="392" t="s">
        <v>73</v>
      </c>
      <c r="J311" s="393" t="s">
        <v>74</v>
      </c>
      <c r="K311" s="393" t="s">
        <v>9</v>
      </c>
      <c r="L311" s="390"/>
      <c r="M311" s="394" t="s">
        <v>150</v>
      </c>
      <c r="N311" s="395" t="s">
        <v>84</v>
      </c>
      <c r="O311" s="396"/>
      <c r="P311" s="397"/>
      <c r="Q311" s="397"/>
      <c r="R311" s="397"/>
      <c r="S311" s="397"/>
      <c r="T311" s="397"/>
      <c r="U311" s="397"/>
      <c r="V311" s="168"/>
      <c r="W311" s="168"/>
      <c r="X311" s="168"/>
      <c r="Y311" s="168"/>
      <c r="Z311" s="168"/>
      <c r="AA311" s="168"/>
      <c r="AB311" s="168"/>
      <c r="AC311" s="168">
        <v>46233</v>
      </c>
      <c r="AD311" s="170">
        <v>46275</v>
      </c>
      <c r="AE311" s="170">
        <v>46275</v>
      </c>
      <c r="AF311" s="170">
        <v>46298</v>
      </c>
      <c r="AG311" s="170">
        <v>46304</v>
      </c>
      <c r="AH311" s="170">
        <v>46306</v>
      </c>
      <c r="AI311" s="168">
        <v>46306</v>
      </c>
      <c r="AJ311" s="168">
        <v>46336</v>
      </c>
      <c r="AK311" s="399"/>
      <c r="AL311" s="270"/>
      <c r="AM311" s="170">
        <v>46268</v>
      </c>
      <c r="AN311" s="400"/>
      <c r="AO311" s="270"/>
      <c r="AP311" s="270"/>
      <c r="AQ311" s="439"/>
      <c r="AR311" s="191"/>
      <c r="AS311" s="192"/>
      <c r="AT311" s="192"/>
      <c r="AU311" s="192"/>
      <c r="AV311" s="192"/>
      <c r="AW311" s="192"/>
      <c r="AX311" s="192"/>
      <c r="AY311" s="192"/>
      <c r="AZ311" s="192"/>
      <c r="BA311" s="192"/>
      <c r="BB311" s="192"/>
      <c r="BC311" s="156"/>
      <c r="BD311" s="176"/>
      <c r="BE311" s="176"/>
    </row>
    <row r="312" spans="1:57" s="78" customFormat="1" ht="20.75" customHeight="1" thickBot="1" x14ac:dyDescent="0.45">
      <c r="A312" s="460"/>
      <c r="B312" s="177" t="s">
        <v>582</v>
      </c>
      <c r="C312" s="251" t="s">
        <v>571</v>
      </c>
      <c r="D312" s="179" t="s">
        <v>586</v>
      </c>
      <c r="E312" s="208"/>
      <c r="F312" s="208"/>
      <c r="G312" s="209" t="s">
        <v>295</v>
      </c>
      <c r="H312" s="182" t="s">
        <v>540</v>
      </c>
      <c r="I312" s="178" t="s">
        <v>73</v>
      </c>
      <c r="J312" s="178" t="s">
        <v>74</v>
      </c>
      <c r="K312" s="178" t="s">
        <v>9</v>
      </c>
      <c r="L312" s="209"/>
      <c r="M312" s="184" t="s">
        <v>150</v>
      </c>
      <c r="N312" s="185" t="s">
        <v>87</v>
      </c>
      <c r="O312" s="186">
        <v>46120</v>
      </c>
      <c r="P312" s="186">
        <v>46148</v>
      </c>
      <c r="Q312" s="186">
        <v>46157</v>
      </c>
      <c r="R312" s="187">
        <v>46167</v>
      </c>
      <c r="S312" s="186">
        <v>46167</v>
      </c>
      <c r="T312" s="186">
        <v>46172</v>
      </c>
      <c r="U312" s="186">
        <v>46205</v>
      </c>
      <c r="V312" s="186">
        <v>46210</v>
      </c>
      <c r="W312" s="186"/>
      <c r="X312" s="401">
        <v>46212</v>
      </c>
      <c r="Y312" s="401">
        <v>46212</v>
      </c>
      <c r="Z312" s="186">
        <v>46132</v>
      </c>
      <c r="AA312" s="186">
        <v>46193</v>
      </c>
      <c r="AB312" s="186">
        <v>46193</v>
      </c>
      <c r="AC312" s="186">
        <v>46227</v>
      </c>
      <c r="AD312" s="186">
        <v>46227</v>
      </c>
      <c r="AE312" s="186">
        <v>46227</v>
      </c>
      <c r="AF312" s="186"/>
      <c r="AG312" s="186"/>
      <c r="AH312" s="186"/>
      <c r="AI312" s="186"/>
      <c r="AJ312" s="186"/>
      <c r="AK312" s="188"/>
      <c r="AL312" s="211"/>
      <c r="AM312" s="187"/>
      <c r="AN312" s="187"/>
      <c r="AO312" s="211"/>
      <c r="AP312" s="271"/>
      <c r="AQ312" s="440"/>
      <c r="AR312" s="191"/>
      <c r="AS312" s="192"/>
      <c r="AT312" s="192"/>
      <c r="AU312" s="192"/>
      <c r="AV312" s="192"/>
      <c r="AW312" s="192"/>
      <c r="AX312" s="192"/>
      <c r="AY312" s="192"/>
      <c r="AZ312" s="192"/>
      <c r="BA312" s="192"/>
      <c r="BB312" s="192"/>
      <c r="BC312" s="156"/>
      <c r="BD312" s="176"/>
      <c r="BE312" s="176"/>
    </row>
    <row r="313" spans="1:57" s="78" customFormat="1" ht="20.65" customHeight="1" thickTop="1" thickBot="1" x14ac:dyDescent="0.45">
      <c r="A313" s="458">
        <f t="shared" ref="A313" si="69">A310+1</f>
        <v>90</v>
      </c>
      <c r="B313" s="139" t="s">
        <v>582</v>
      </c>
      <c r="C313" s="247" t="s">
        <v>573</v>
      </c>
      <c r="D313" s="141" t="s">
        <v>587</v>
      </c>
      <c r="E313" s="202"/>
      <c r="F313" s="202"/>
      <c r="G313" s="427" t="s">
        <v>295</v>
      </c>
      <c r="H313" s="143" t="s">
        <v>540</v>
      </c>
      <c r="I313" s="140" t="s">
        <v>73</v>
      </c>
      <c r="J313" s="140" t="s">
        <v>74</v>
      </c>
      <c r="K313" s="140" t="s">
        <v>9</v>
      </c>
      <c r="L313" s="376"/>
      <c r="M313" s="145" t="s">
        <v>150</v>
      </c>
      <c r="N313" s="146" t="s">
        <v>77</v>
      </c>
      <c r="O313" s="147">
        <v>46135</v>
      </c>
      <c r="P313" s="147">
        <v>46170</v>
      </c>
      <c r="Q313" s="147">
        <v>46185</v>
      </c>
      <c r="R313" s="147">
        <v>46187</v>
      </c>
      <c r="S313" s="147">
        <v>46187</v>
      </c>
      <c r="T313" s="147">
        <v>46192</v>
      </c>
      <c r="U313" s="147">
        <v>46203</v>
      </c>
      <c r="V313" s="147">
        <v>46213</v>
      </c>
      <c r="W313" s="147"/>
      <c r="X313" s="147">
        <v>46213</v>
      </c>
      <c r="Y313" s="147">
        <v>46213</v>
      </c>
      <c r="Z313" s="223">
        <v>46132</v>
      </c>
      <c r="AA313" s="223">
        <v>46217</v>
      </c>
      <c r="AB313" s="223">
        <v>46192</v>
      </c>
      <c r="AC313" s="148">
        <v>46233</v>
      </c>
      <c r="AD313" s="147">
        <v>46296</v>
      </c>
      <c r="AE313" s="383">
        <v>46296</v>
      </c>
      <c r="AF313" s="147">
        <v>46319</v>
      </c>
      <c r="AG313" s="147">
        <v>46325</v>
      </c>
      <c r="AH313" s="147">
        <v>46327</v>
      </c>
      <c r="AI313" s="147">
        <v>46327</v>
      </c>
      <c r="AJ313" s="147">
        <v>46357</v>
      </c>
      <c r="AK313" s="149">
        <v>8.5</v>
      </c>
      <c r="AL313" s="150">
        <v>59.5</v>
      </c>
      <c r="AM313" s="151">
        <f>AH313</f>
        <v>46327</v>
      </c>
      <c r="AN313" s="151">
        <v>46328</v>
      </c>
      <c r="AO313" s="152">
        <f>AN313-AM314</f>
        <v>48</v>
      </c>
      <c r="AP313" s="153" t="s">
        <v>542</v>
      </c>
      <c r="AQ313" s="438" t="s">
        <v>568</v>
      </c>
      <c r="AR313" s="154"/>
      <c r="AS313" s="155"/>
      <c r="AT313" s="155"/>
      <c r="AU313" s="155"/>
      <c r="AV313" s="155"/>
      <c r="AW313" s="155"/>
      <c r="AX313" s="155"/>
      <c r="AY313" s="155"/>
      <c r="AZ313" s="155"/>
      <c r="BA313" s="155"/>
      <c r="BB313" s="155"/>
      <c r="BC313" s="156"/>
      <c r="BD313" s="176"/>
      <c r="BE313" s="176"/>
    </row>
    <row r="314" spans="1:57" s="78" customFormat="1" ht="20.75" customHeight="1" thickTop="1" thickBot="1" x14ac:dyDescent="0.45">
      <c r="A314" s="459"/>
      <c r="B314" s="226" t="s">
        <v>582</v>
      </c>
      <c r="C314" s="387" t="s">
        <v>573</v>
      </c>
      <c r="D314" s="388" t="s">
        <v>587</v>
      </c>
      <c r="E314" s="389"/>
      <c r="F314" s="389"/>
      <c r="G314" s="390" t="s">
        <v>295</v>
      </c>
      <c r="H314" s="391" t="s">
        <v>540</v>
      </c>
      <c r="I314" s="392" t="s">
        <v>73</v>
      </c>
      <c r="J314" s="393" t="s">
        <v>74</v>
      </c>
      <c r="K314" s="393" t="s">
        <v>9</v>
      </c>
      <c r="L314" s="390"/>
      <c r="M314" s="394" t="s">
        <v>150</v>
      </c>
      <c r="N314" s="395" t="s">
        <v>84</v>
      </c>
      <c r="O314" s="396"/>
      <c r="P314" s="397"/>
      <c r="Q314" s="397"/>
      <c r="R314" s="397"/>
      <c r="S314" s="397"/>
      <c r="T314" s="397"/>
      <c r="U314" s="397"/>
      <c r="V314" s="168"/>
      <c r="W314" s="168"/>
      <c r="X314" s="168"/>
      <c r="Y314" s="168"/>
      <c r="Z314" s="168"/>
      <c r="AA314" s="168"/>
      <c r="AB314" s="168"/>
      <c r="AC314" s="168">
        <v>46233</v>
      </c>
      <c r="AD314" s="170">
        <v>46296</v>
      </c>
      <c r="AE314" s="383">
        <v>46296</v>
      </c>
      <c r="AF314" s="170">
        <v>46319</v>
      </c>
      <c r="AG314" s="170">
        <v>46325</v>
      </c>
      <c r="AH314" s="170">
        <v>46327</v>
      </c>
      <c r="AI314" s="168">
        <v>46327</v>
      </c>
      <c r="AJ314" s="168">
        <v>46357</v>
      </c>
      <c r="AK314" s="399"/>
      <c r="AL314" s="270"/>
      <c r="AM314" s="170">
        <v>46280</v>
      </c>
      <c r="AN314" s="400"/>
      <c r="AO314" s="270"/>
      <c r="AP314" s="270"/>
      <c r="AQ314" s="439"/>
      <c r="AR314" s="191"/>
      <c r="AS314" s="192"/>
      <c r="AT314" s="192"/>
      <c r="AU314" s="192"/>
      <c r="AV314" s="192"/>
      <c r="AW314" s="192"/>
      <c r="AX314" s="192"/>
      <c r="AY314" s="192"/>
      <c r="AZ314" s="192"/>
      <c r="BA314" s="192"/>
      <c r="BB314" s="192"/>
      <c r="BC314" s="156"/>
      <c r="BD314" s="176"/>
      <c r="BE314" s="176"/>
    </row>
    <row r="315" spans="1:57" s="78" customFormat="1" ht="20.75" customHeight="1" thickBot="1" x14ac:dyDescent="0.45">
      <c r="A315" s="460"/>
      <c r="B315" s="177" t="s">
        <v>582</v>
      </c>
      <c r="C315" s="251" t="s">
        <v>573</v>
      </c>
      <c r="D315" s="179" t="s">
        <v>587</v>
      </c>
      <c r="E315" s="208"/>
      <c r="F315" s="208"/>
      <c r="G315" s="209" t="s">
        <v>295</v>
      </c>
      <c r="H315" s="182" t="s">
        <v>540</v>
      </c>
      <c r="I315" s="178" t="s">
        <v>73</v>
      </c>
      <c r="J315" s="178" t="s">
        <v>74</v>
      </c>
      <c r="K315" s="178" t="s">
        <v>9</v>
      </c>
      <c r="L315" s="209"/>
      <c r="M315" s="184" t="s">
        <v>150</v>
      </c>
      <c r="N315" s="185" t="s">
        <v>87</v>
      </c>
      <c r="O315" s="186">
        <v>46120</v>
      </c>
      <c r="P315" s="186">
        <v>46148</v>
      </c>
      <c r="Q315" s="186">
        <v>46157</v>
      </c>
      <c r="R315" s="187">
        <v>46167</v>
      </c>
      <c r="S315" s="186">
        <v>46167</v>
      </c>
      <c r="T315" s="186">
        <v>46172</v>
      </c>
      <c r="U315" s="186">
        <v>46205</v>
      </c>
      <c r="V315" s="186">
        <v>46210</v>
      </c>
      <c r="W315" s="186"/>
      <c r="X315" s="401">
        <v>46212</v>
      </c>
      <c r="Y315" s="401">
        <v>46212</v>
      </c>
      <c r="Z315" s="186">
        <v>46132</v>
      </c>
      <c r="AA315" s="186">
        <v>46193</v>
      </c>
      <c r="AB315" s="186">
        <v>46193</v>
      </c>
      <c r="AC315" s="186">
        <v>46227</v>
      </c>
      <c r="AD315" s="186">
        <v>46227</v>
      </c>
      <c r="AE315" s="186">
        <v>46227</v>
      </c>
      <c r="AF315" s="186"/>
      <c r="AG315" s="186"/>
      <c r="AH315" s="186"/>
      <c r="AI315" s="186"/>
      <c r="AJ315" s="186"/>
      <c r="AK315" s="188"/>
      <c r="AL315" s="211"/>
      <c r="AM315" s="187"/>
      <c r="AN315" s="187"/>
      <c r="AO315" s="211"/>
      <c r="AP315" s="271"/>
      <c r="AQ315" s="440"/>
      <c r="AR315" s="191"/>
      <c r="AS315" s="192"/>
      <c r="AT315" s="192"/>
      <c r="AU315" s="192"/>
      <c r="AV315" s="192"/>
      <c r="AW315" s="192"/>
      <c r="AX315" s="192"/>
      <c r="AY315" s="192"/>
      <c r="AZ315" s="192"/>
      <c r="BA315" s="192"/>
      <c r="BB315" s="192"/>
      <c r="BC315" s="156"/>
      <c r="BD315" s="176"/>
      <c r="BE315" s="176"/>
    </row>
    <row r="316" spans="1:57" s="78" customFormat="1" ht="20.65" customHeight="1" thickTop="1" thickBot="1" x14ac:dyDescent="0.45">
      <c r="A316" s="458">
        <f t="shared" ref="A316" si="70">A313+1</f>
        <v>91</v>
      </c>
      <c r="B316" s="139" t="s">
        <v>582</v>
      </c>
      <c r="C316" s="247" t="s">
        <v>575</v>
      </c>
      <c r="D316" s="141" t="s">
        <v>588</v>
      </c>
      <c r="E316" s="202"/>
      <c r="F316" s="202"/>
      <c r="G316" s="427" t="s">
        <v>295</v>
      </c>
      <c r="H316" s="143" t="s">
        <v>540</v>
      </c>
      <c r="I316" s="140" t="s">
        <v>73</v>
      </c>
      <c r="J316" s="140" t="s">
        <v>74</v>
      </c>
      <c r="K316" s="140" t="s">
        <v>9</v>
      </c>
      <c r="L316" s="376"/>
      <c r="M316" s="145" t="s">
        <v>150</v>
      </c>
      <c r="N316" s="146" t="s">
        <v>77</v>
      </c>
      <c r="O316" s="147">
        <v>46135</v>
      </c>
      <c r="P316" s="147">
        <v>46170</v>
      </c>
      <c r="Q316" s="147">
        <v>46185</v>
      </c>
      <c r="R316" s="147">
        <v>46187</v>
      </c>
      <c r="S316" s="147">
        <v>46187</v>
      </c>
      <c r="T316" s="147">
        <v>46192</v>
      </c>
      <c r="U316" s="147">
        <v>46203</v>
      </c>
      <c r="V316" s="147">
        <v>46213</v>
      </c>
      <c r="W316" s="147"/>
      <c r="X316" s="147">
        <v>46213</v>
      </c>
      <c r="Y316" s="147">
        <v>46213</v>
      </c>
      <c r="Z316" s="223">
        <v>46132</v>
      </c>
      <c r="AA316" s="223">
        <v>46217</v>
      </c>
      <c r="AB316" s="223">
        <v>46192</v>
      </c>
      <c r="AC316" s="148">
        <v>46233</v>
      </c>
      <c r="AD316" s="147">
        <v>46317</v>
      </c>
      <c r="AE316" s="383">
        <v>46317</v>
      </c>
      <c r="AF316" s="147">
        <v>46340</v>
      </c>
      <c r="AG316" s="147">
        <v>46346</v>
      </c>
      <c r="AH316" s="147">
        <v>46348</v>
      </c>
      <c r="AI316" s="147">
        <v>46348</v>
      </c>
      <c r="AJ316" s="147">
        <v>46378</v>
      </c>
      <c r="AK316" s="149">
        <v>8.5</v>
      </c>
      <c r="AL316" s="150">
        <v>59.5</v>
      </c>
      <c r="AM316" s="151">
        <f>AH316</f>
        <v>46348</v>
      </c>
      <c r="AN316" s="151">
        <v>46349</v>
      </c>
      <c r="AO316" s="152">
        <f>AN316-AM317</f>
        <v>57</v>
      </c>
      <c r="AP316" s="153" t="s">
        <v>542</v>
      </c>
      <c r="AQ316" s="438" t="s">
        <v>568</v>
      </c>
      <c r="AR316" s="154"/>
      <c r="AS316" s="155"/>
      <c r="AT316" s="155"/>
      <c r="AU316" s="155"/>
      <c r="AV316" s="155"/>
      <c r="AW316" s="155"/>
      <c r="AX316" s="155"/>
      <c r="AY316" s="155"/>
      <c r="AZ316" s="155"/>
      <c r="BA316" s="155"/>
      <c r="BB316" s="155"/>
      <c r="BC316" s="156"/>
      <c r="BD316" s="176"/>
      <c r="BE316" s="176"/>
    </row>
    <row r="317" spans="1:57" s="78" customFormat="1" ht="20.75" customHeight="1" thickTop="1" thickBot="1" x14ac:dyDescent="0.45">
      <c r="A317" s="459"/>
      <c r="B317" s="226" t="s">
        <v>582</v>
      </c>
      <c r="C317" s="387" t="s">
        <v>575</v>
      </c>
      <c r="D317" s="388" t="s">
        <v>588</v>
      </c>
      <c r="E317" s="389"/>
      <c r="F317" s="389"/>
      <c r="G317" s="390" t="s">
        <v>295</v>
      </c>
      <c r="H317" s="391" t="s">
        <v>540</v>
      </c>
      <c r="I317" s="392" t="s">
        <v>73</v>
      </c>
      <c r="J317" s="393" t="s">
        <v>74</v>
      </c>
      <c r="K317" s="393" t="s">
        <v>9</v>
      </c>
      <c r="L317" s="390"/>
      <c r="M317" s="394" t="s">
        <v>150</v>
      </c>
      <c r="N317" s="395" t="s">
        <v>84</v>
      </c>
      <c r="O317" s="396"/>
      <c r="P317" s="397"/>
      <c r="Q317" s="397"/>
      <c r="R317" s="397"/>
      <c r="S317" s="397"/>
      <c r="T317" s="397"/>
      <c r="U317" s="397"/>
      <c r="V317" s="168"/>
      <c r="W317" s="168"/>
      <c r="X317" s="168"/>
      <c r="Y317" s="168"/>
      <c r="Z317" s="168"/>
      <c r="AA317" s="168"/>
      <c r="AB317" s="168"/>
      <c r="AC317" s="168">
        <v>46233</v>
      </c>
      <c r="AD317" s="398">
        <v>46317</v>
      </c>
      <c r="AE317" s="383">
        <v>46317</v>
      </c>
      <c r="AF317" s="170">
        <v>46340</v>
      </c>
      <c r="AG317" s="170">
        <v>46346</v>
      </c>
      <c r="AH317" s="170">
        <v>46348</v>
      </c>
      <c r="AI317" s="168">
        <v>46348</v>
      </c>
      <c r="AJ317" s="168">
        <v>46378</v>
      </c>
      <c r="AK317" s="399"/>
      <c r="AL317" s="270"/>
      <c r="AM317" s="170">
        <v>46292</v>
      </c>
      <c r="AN317" s="400"/>
      <c r="AO317" s="270"/>
      <c r="AP317" s="270"/>
      <c r="AQ317" s="439"/>
      <c r="AR317" s="191"/>
      <c r="AS317" s="192"/>
      <c r="AT317" s="192"/>
      <c r="AU317" s="192"/>
      <c r="AV317" s="192"/>
      <c r="AW317" s="192"/>
      <c r="AX317" s="192"/>
      <c r="AY317" s="192"/>
      <c r="AZ317" s="192"/>
      <c r="BA317" s="192"/>
      <c r="BB317" s="192"/>
      <c r="BC317" s="156"/>
      <c r="BD317" s="176"/>
      <c r="BE317" s="176"/>
    </row>
    <row r="318" spans="1:57" s="78" customFormat="1" ht="20.75" customHeight="1" thickBot="1" x14ac:dyDescent="0.45">
      <c r="A318" s="460"/>
      <c r="B318" s="177" t="s">
        <v>582</v>
      </c>
      <c r="C318" s="251" t="s">
        <v>575</v>
      </c>
      <c r="D318" s="179" t="s">
        <v>588</v>
      </c>
      <c r="E318" s="208"/>
      <c r="F318" s="208"/>
      <c r="G318" s="209" t="s">
        <v>295</v>
      </c>
      <c r="H318" s="182" t="s">
        <v>540</v>
      </c>
      <c r="I318" s="178" t="s">
        <v>73</v>
      </c>
      <c r="J318" s="178" t="s">
        <v>74</v>
      </c>
      <c r="K318" s="178" t="s">
        <v>9</v>
      </c>
      <c r="L318" s="209"/>
      <c r="M318" s="184" t="s">
        <v>150</v>
      </c>
      <c r="N318" s="185" t="s">
        <v>87</v>
      </c>
      <c r="O318" s="186">
        <v>46120</v>
      </c>
      <c r="P318" s="186">
        <v>46148</v>
      </c>
      <c r="Q318" s="186">
        <v>46157</v>
      </c>
      <c r="R318" s="187">
        <v>46167</v>
      </c>
      <c r="S318" s="186">
        <v>46167</v>
      </c>
      <c r="T318" s="186">
        <v>46172</v>
      </c>
      <c r="U318" s="186">
        <v>46205</v>
      </c>
      <c r="V318" s="186">
        <v>46210</v>
      </c>
      <c r="W318" s="186"/>
      <c r="X318" s="401">
        <v>46212</v>
      </c>
      <c r="Y318" s="401">
        <v>46212</v>
      </c>
      <c r="Z318" s="186">
        <v>46132</v>
      </c>
      <c r="AA318" s="186">
        <v>46193</v>
      </c>
      <c r="AB318" s="186">
        <v>46193</v>
      </c>
      <c r="AC318" s="186">
        <v>46227</v>
      </c>
      <c r="AD318" s="186">
        <v>46227</v>
      </c>
      <c r="AE318" s="186">
        <v>46227</v>
      </c>
      <c r="AF318" s="186"/>
      <c r="AG318" s="186"/>
      <c r="AH318" s="186"/>
      <c r="AI318" s="186"/>
      <c r="AJ318" s="186"/>
      <c r="AK318" s="188"/>
      <c r="AL318" s="211"/>
      <c r="AM318" s="187"/>
      <c r="AN318" s="187"/>
      <c r="AO318" s="211"/>
      <c r="AP318" s="271"/>
      <c r="AQ318" s="440"/>
      <c r="AR318" s="191"/>
      <c r="AS318" s="192"/>
      <c r="AT318" s="192"/>
      <c r="AU318" s="192"/>
      <c r="AV318" s="192"/>
      <c r="AW318" s="192"/>
      <c r="AX318" s="192"/>
      <c r="AY318" s="192"/>
      <c r="AZ318" s="192"/>
      <c r="BA318" s="192"/>
      <c r="BB318" s="192"/>
      <c r="BC318" s="156"/>
      <c r="BD318" s="176"/>
      <c r="BE318" s="176"/>
    </row>
    <row r="319" spans="1:57" s="78" customFormat="1" ht="20.65" customHeight="1" thickTop="1" thickBot="1" x14ac:dyDescent="0.45">
      <c r="A319" s="458">
        <f t="shared" ref="A319" si="71">A316+1</f>
        <v>92</v>
      </c>
      <c r="B319" s="139" t="s">
        <v>582</v>
      </c>
      <c r="C319" s="247" t="s">
        <v>577</v>
      </c>
      <c r="D319" s="141" t="s">
        <v>589</v>
      </c>
      <c r="E319" s="202"/>
      <c r="F319" s="202"/>
      <c r="G319" s="427" t="s">
        <v>295</v>
      </c>
      <c r="H319" s="143" t="s">
        <v>540</v>
      </c>
      <c r="I319" s="140" t="s">
        <v>73</v>
      </c>
      <c r="J319" s="140" t="s">
        <v>74</v>
      </c>
      <c r="K319" s="140" t="s">
        <v>9</v>
      </c>
      <c r="L319" s="376"/>
      <c r="M319" s="145" t="s">
        <v>150</v>
      </c>
      <c r="N319" s="146" t="s">
        <v>77</v>
      </c>
      <c r="O319" s="147">
        <v>46135</v>
      </c>
      <c r="P319" s="147">
        <v>46170</v>
      </c>
      <c r="Q319" s="147">
        <v>46185</v>
      </c>
      <c r="R319" s="147">
        <v>46187</v>
      </c>
      <c r="S319" s="147">
        <v>46187</v>
      </c>
      <c r="T319" s="147">
        <v>46192</v>
      </c>
      <c r="U319" s="147">
        <v>46203</v>
      </c>
      <c r="V319" s="147">
        <v>46213</v>
      </c>
      <c r="W319" s="147"/>
      <c r="X319" s="147">
        <v>46213</v>
      </c>
      <c r="Y319" s="147">
        <v>46213</v>
      </c>
      <c r="Z319" s="223">
        <v>46132</v>
      </c>
      <c r="AA319" s="223">
        <v>46217</v>
      </c>
      <c r="AB319" s="223">
        <v>46192</v>
      </c>
      <c r="AC319" s="148">
        <v>46233</v>
      </c>
      <c r="AD319" s="147">
        <v>46338</v>
      </c>
      <c r="AE319" s="383">
        <v>46338</v>
      </c>
      <c r="AF319" s="147">
        <v>46361</v>
      </c>
      <c r="AG319" s="147">
        <v>46367</v>
      </c>
      <c r="AH319" s="147">
        <v>46369</v>
      </c>
      <c r="AI319" s="147">
        <v>46369</v>
      </c>
      <c r="AJ319" s="147">
        <v>46399</v>
      </c>
      <c r="AK319" s="149">
        <v>8.5</v>
      </c>
      <c r="AL319" s="150">
        <v>59.5</v>
      </c>
      <c r="AM319" s="151">
        <f>AH319</f>
        <v>46369</v>
      </c>
      <c r="AN319" s="151">
        <v>46370</v>
      </c>
      <c r="AO319" s="152">
        <f>AN319-AM320</f>
        <v>66</v>
      </c>
      <c r="AP319" s="153" t="s">
        <v>542</v>
      </c>
      <c r="AQ319" s="438" t="s">
        <v>568</v>
      </c>
      <c r="AR319" s="154"/>
      <c r="AS319" s="155"/>
      <c r="AT319" s="155"/>
      <c r="AU319" s="155"/>
      <c r="AV319" s="155"/>
      <c r="AW319" s="155"/>
      <c r="AX319" s="155"/>
      <c r="AY319" s="155"/>
      <c r="AZ319" s="155"/>
      <c r="BA319" s="155"/>
      <c r="BB319" s="155"/>
      <c r="BC319" s="156"/>
      <c r="BD319" s="176"/>
      <c r="BE319" s="176"/>
    </row>
    <row r="320" spans="1:57" s="78" customFormat="1" ht="20.75" customHeight="1" thickTop="1" thickBot="1" x14ac:dyDescent="0.45">
      <c r="A320" s="459"/>
      <c r="B320" s="226" t="s">
        <v>582</v>
      </c>
      <c r="C320" s="387" t="s">
        <v>577</v>
      </c>
      <c r="D320" s="388" t="s">
        <v>589</v>
      </c>
      <c r="E320" s="389"/>
      <c r="F320" s="389"/>
      <c r="G320" s="390" t="s">
        <v>295</v>
      </c>
      <c r="H320" s="391" t="s">
        <v>540</v>
      </c>
      <c r="I320" s="392" t="s">
        <v>73</v>
      </c>
      <c r="J320" s="393" t="s">
        <v>74</v>
      </c>
      <c r="K320" s="393" t="s">
        <v>9</v>
      </c>
      <c r="L320" s="390"/>
      <c r="M320" s="394" t="s">
        <v>150</v>
      </c>
      <c r="N320" s="395" t="s">
        <v>84</v>
      </c>
      <c r="O320" s="396"/>
      <c r="P320" s="397"/>
      <c r="Q320" s="397"/>
      <c r="R320" s="397"/>
      <c r="S320" s="397"/>
      <c r="T320" s="397"/>
      <c r="U320" s="397"/>
      <c r="V320" s="168"/>
      <c r="W320" s="168"/>
      <c r="X320" s="168"/>
      <c r="Y320" s="168"/>
      <c r="Z320" s="168"/>
      <c r="AA320" s="168"/>
      <c r="AB320" s="168"/>
      <c r="AC320" s="168">
        <v>46233</v>
      </c>
      <c r="AD320" s="170">
        <v>46338</v>
      </c>
      <c r="AE320" s="383">
        <v>46338</v>
      </c>
      <c r="AF320" s="170">
        <v>46361</v>
      </c>
      <c r="AG320" s="170">
        <v>46367</v>
      </c>
      <c r="AH320" s="170">
        <v>46369</v>
      </c>
      <c r="AI320" s="168">
        <v>46369</v>
      </c>
      <c r="AJ320" s="168">
        <v>46399</v>
      </c>
      <c r="AK320" s="399"/>
      <c r="AL320" s="270"/>
      <c r="AM320" s="170">
        <v>46304</v>
      </c>
      <c r="AN320" s="400"/>
      <c r="AO320" s="270"/>
      <c r="AP320" s="270"/>
      <c r="AQ320" s="439"/>
      <c r="AR320" s="191"/>
      <c r="AS320" s="192"/>
      <c r="AT320" s="192"/>
      <c r="AU320" s="192"/>
      <c r="AV320" s="192"/>
      <c r="AW320" s="192"/>
      <c r="AX320" s="192"/>
      <c r="AY320" s="192"/>
      <c r="AZ320" s="192"/>
      <c r="BA320" s="192"/>
      <c r="BB320" s="192"/>
      <c r="BC320" s="156"/>
      <c r="BD320" s="176"/>
      <c r="BE320" s="176"/>
    </row>
    <row r="321" spans="1:57" s="78" customFormat="1" ht="20.75" customHeight="1" thickBot="1" x14ac:dyDescent="0.45">
      <c r="A321" s="460"/>
      <c r="B321" s="177" t="s">
        <v>582</v>
      </c>
      <c r="C321" s="251" t="s">
        <v>577</v>
      </c>
      <c r="D321" s="179" t="s">
        <v>589</v>
      </c>
      <c r="E321" s="208"/>
      <c r="F321" s="208"/>
      <c r="G321" s="209" t="s">
        <v>295</v>
      </c>
      <c r="H321" s="182" t="s">
        <v>540</v>
      </c>
      <c r="I321" s="178" t="s">
        <v>73</v>
      </c>
      <c r="J321" s="178" t="s">
        <v>74</v>
      </c>
      <c r="K321" s="178" t="s">
        <v>9</v>
      </c>
      <c r="L321" s="209"/>
      <c r="M321" s="184" t="s">
        <v>150</v>
      </c>
      <c r="N321" s="185" t="s">
        <v>87</v>
      </c>
      <c r="O321" s="186">
        <v>46120</v>
      </c>
      <c r="P321" s="186">
        <v>46148</v>
      </c>
      <c r="Q321" s="186">
        <v>46157</v>
      </c>
      <c r="R321" s="187">
        <v>46167</v>
      </c>
      <c r="S321" s="186">
        <v>46167</v>
      </c>
      <c r="T321" s="186">
        <v>46172</v>
      </c>
      <c r="U321" s="186">
        <v>46205</v>
      </c>
      <c r="V321" s="186">
        <v>46210</v>
      </c>
      <c r="W321" s="186"/>
      <c r="X321" s="401">
        <v>46212</v>
      </c>
      <c r="Y321" s="401">
        <v>46212</v>
      </c>
      <c r="Z321" s="186">
        <v>46132</v>
      </c>
      <c r="AA321" s="186">
        <v>46193</v>
      </c>
      <c r="AB321" s="186">
        <v>46193</v>
      </c>
      <c r="AC321" s="186">
        <v>46227</v>
      </c>
      <c r="AD321" s="186">
        <v>46227</v>
      </c>
      <c r="AE321" s="186">
        <v>46227</v>
      </c>
      <c r="AF321" s="186"/>
      <c r="AG321" s="186"/>
      <c r="AH321" s="186"/>
      <c r="AI321" s="186"/>
      <c r="AJ321" s="186"/>
      <c r="AK321" s="188"/>
      <c r="AL321" s="211"/>
      <c r="AM321" s="187"/>
      <c r="AN321" s="187"/>
      <c r="AO321" s="211"/>
      <c r="AP321" s="271"/>
      <c r="AQ321" s="440"/>
      <c r="AR321" s="191"/>
      <c r="AS321" s="192"/>
      <c r="AT321" s="192"/>
      <c r="AU321" s="192"/>
      <c r="AV321" s="192"/>
      <c r="AW321" s="192"/>
      <c r="AX321" s="192"/>
      <c r="AY321" s="192"/>
      <c r="AZ321" s="192"/>
      <c r="BA321" s="192"/>
      <c r="BB321" s="192"/>
      <c r="BC321" s="156"/>
      <c r="BD321" s="176"/>
      <c r="BE321" s="176"/>
    </row>
    <row r="322" spans="1:57" s="78" customFormat="1" ht="20.65" customHeight="1" thickTop="1" thickBot="1" x14ac:dyDescent="0.45">
      <c r="A322" s="458">
        <f t="shared" ref="A322" si="72">A319+1</f>
        <v>93</v>
      </c>
      <c r="B322" s="139" t="s">
        <v>582</v>
      </c>
      <c r="C322" s="247" t="s">
        <v>579</v>
      </c>
      <c r="D322" s="141" t="s">
        <v>590</v>
      </c>
      <c r="E322" s="202"/>
      <c r="F322" s="202"/>
      <c r="G322" s="427" t="s">
        <v>295</v>
      </c>
      <c r="H322" s="143" t="s">
        <v>540</v>
      </c>
      <c r="I322" s="140" t="s">
        <v>73</v>
      </c>
      <c r="J322" s="140" t="s">
        <v>74</v>
      </c>
      <c r="K322" s="140" t="s">
        <v>9</v>
      </c>
      <c r="L322" s="376"/>
      <c r="M322" s="145" t="s">
        <v>150</v>
      </c>
      <c r="N322" s="146" t="s">
        <v>77</v>
      </c>
      <c r="O322" s="147">
        <v>46135</v>
      </c>
      <c r="P322" s="147">
        <v>46170</v>
      </c>
      <c r="Q322" s="147">
        <v>46185</v>
      </c>
      <c r="R322" s="147">
        <v>46187</v>
      </c>
      <c r="S322" s="147">
        <v>46187</v>
      </c>
      <c r="T322" s="147">
        <v>46192</v>
      </c>
      <c r="U322" s="147">
        <v>46203</v>
      </c>
      <c r="V322" s="147">
        <v>46213</v>
      </c>
      <c r="W322" s="147"/>
      <c r="X322" s="147">
        <v>46213</v>
      </c>
      <c r="Y322" s="147">
        <v>46213</v>
      </c>
      <c r="Z322" s="223">
        <v>46132</v>
      </c>
      <c r="AA322" s="223">
        <v>46217</v>
      </c>
      <c r="AB322" s="223">
        <v>46192</v>
      </c>
      <c r="AC322" s="148">
        <v>46359</v>
      </c>
      <c r="AD322" s="147">
        <v>46359</v>
      </c>
      <c r="AE322" s="147">
        <v>46359</v>
      </c>
      <c r="AF322" s="147">
        <v>46382</v>
      </c>
      <c r="AG322" s="147">
        <v>46388</v>
      </c>
      <c r="AH322" s="147">
        <v>46390</v>
      </c>
      <c r="AI322" s="147">
        <v>46390</v>
      </c>
      <c r="AJ322" s="147">
        <v>46420</v>
      </c>
      <c r="AK322" s="149">
        <v>8.5</v>
      </c>
      <c r="AL322" s="150">
        <v>59.5</v>
      </c>
      <c r="AM322" s="151">
        <f>AH322</f>
        <v>46390</v>
      </c>
      <c r="AN322" s="151">
        <v>46391</v>
      </c>
      <c r="AO322" s="152">
        <f>AN322-AM323</f>
        <v>1</v>
      </c>
      <c r="AP322" s="153" t="s">
        <v>542</v>
      </c>
      <c r="AQ322" s="438" t="s">
        <v>568</v>
      </c>
      <c r="AR322" s="154"/>
      <c r="AS322" s="155"/>
      <c r="AT322" s="155"/>
      <c r="AU322" s="155"/>
      <c r="AV322" s="155"/>
      <c r="AW322" s="155"/>
      <c r="AX322" s="155"/>
      <c r="AY322" s="155"/>
      <c r="AZ322" s="155"/>
      <c r="BA322" s="155"/>
      <c r="BB322" s="155"/>
      <c r="BC322" s="156"/>
      <c r="BD322" s="176"/>
      <c r="BE322" s="176"/>
    </row>
    <row r="323" spans="1:57" s="78" customFormat="1" ht="20.75" customHeight="1" thickTop="1" thickBot="1" x14ac:dyDescent="0.45">
      <c r="A323" s="459"/>
      <c r="B323" s="226" t="s">
        <v>582</v>
      </c>
      <c r="C323" s="387" t="s">
        <v>581</v>
      </c>
      <c r="D323" s="388" t="s">
        <v>590</v>
      </c>
      <c r="E323" s="389"/>
      <c r="F323" s="389"/>
      <c r="G323" s="390" t="s">
        <v>295</v>
      </c>
      <c r="H323" s="391" t="s">
        <v>540</v>
      </c>
      <c r="I323" s="392" t="s">
        <v>73</v>
      </c>
      <c r="J323" s="393" t="s">
        <v>74</v>
      </c>
      <c r="K323" s="393" t="s">
        <v>9</v>
      </c>
      <c r="L323" s="390"/>
      <c r="M323" s="394" t="s">
        <v>150</v>
      </c>
      <c r="N323" s="395" t="s">
        <v>84</v>
      </c>
      <c r="O323" s="396"/>
      <c r="P323" s="397"/>
      <c r="Q323" s="397"/>
      <c r="R323" s="397"/>
      <c r="S323" s="397"/>
      <c r="T323" s="397"/>
      <c r="U323" s="397"/>
      <c r="V323" s="168"/>
      <c r="W323" s="168"/>
      <c r="X323" s="168"/>
      <c r="Y323" s="168"/>
      <c r="Z323" s="397"/>
      <c r="AA323" s="397"/>
      <c r="AB323" s="397"/>
      <c r="AC323" s="398">
        <v>46359</v>
      </c>
      <c r="AD323" s="170">
        <v>46359</v>
      </c>
      <c r="AE323" s="170">
        <v>46359</v>
      </c>
      <c r="AF323" s="170">
        <v>46382</v>
      </c>
      <c r="AG323" s="170">
        <v>46388</v>
      </c>
      <c r="AH323" s="170">
        <v>46390</v>
      </c>
      <c r="AI323" s="168">
        <v>46390</v>
      </c>
      <c r="AJ323" s="168">
        <v>46420</v>
      </c>
      <c r="AK323" s="399"/>
      <c r="AL323" s="270"/>
      <c r="AM323" s="170">
        <f>AM322</f>
        <v>46390</v>
      </c>
      <c r="AN323" s="400"/>
      <c r="AO323" s="270"/>
      <c r="AP323" s="270"/>
      <c r="AQ323" s="439"/>
      <c r="AR323" s="191"/>
      <c r="AS323" s="192"/>
      <c r="AT323" s="192"/>
      <c r="AU323" s="192"/>
      <c r="AV323" s="192"/>
      <c r="AW323" s="192"/>
      <c r="AX323" s="192"/>
      <c r="AY323" s="192"/>
      <c r="AZ323" s="192"/>
      <c r="BA323" s="192"/>
      <c r="BB323" s="192"/>
      <c r="BC323" s="156"/>
      <c r="BD323" s="176"/>
      <c r="BE323" s="176"/>
    </row>
    <row r="324" spans="1:57" s="78" customFormat="1" ht="20.75" customHeight="1" thickBot="1" x14ac:dyDescent="0.45">
      <c r="A324" s="460"/>
      <c r="B324" s="177" t="s">
        <v>582</v>
      </c>
      <c r="C324" s="251" t="s">
        <v>581</v>
      </c>
      <c r="D324" s="179" t="s">
        <v>590</v>
      </c>
      <c r="E324" s="208"/>
      <c r="F324" s="208"/>
      <c r="G324" s="209" t="s">
        <v>295</v>
      </c>
      <c r="H324" s="182" t="s">
        <v>540</v>
      </c>
      <c r="I324" s="178" t="s">
        <v>73</v>
      </c>
      <c r="J324" s="178" t="s">
        <v>74</v>
      </c>
      <c r="K324" s="178" t="s">
        <v>9</v>
      </c>
      <c r="L324" s="209"/>
      <c r="M324" s="184" t="s">
        <v>150</v>
      </c>
      <c r="N324" s="185" t="s">
        <v>87</v>
      </c>
      <c r="O324" s="186">
        <v>46120</v>
      </c>
      <c r="P324" s="186">
        <v>46148</v>
      </c>
      <c r="Q324" s="186">
        <v>46157</v>
      </c>
      <c r="R324" s="187">
        <v>46167</v>
      </c>
      <c r="S324" s="186">
        <v>46167</v>
      </c>
      <c r="T324" s="186">
        <v>46172</v>
      </c>
      <c r="U324" s="186">
        <v>46205</v>
      </c>
      <c r="V324" s="186">
        <v>46210</v>
      </c>
      <c r="W324" s="186"/>
      <c r="X324" s="401">
        <v>46217</v>
      </c>
      <c r="Y324" s="401">
        <v>46217</v>
      </c>
      <c r="Z324" s="186">
        <v>46132</v>
      </c>
      <c r="AA324" s="186">
        <v>46193</v>
      </c>
      <c r="AB324" s="186">
        <v>46193</v>
      </c>
      <c r="AC324" s="186"/>
      <c r="AD324" s="186"/>
      <c r="AE324" s="186"/>
      <c r="AF324" s="186"/>
      <c r="AG324" s="186"/>
      <c r="AH324" s="186"/>
      <c r="AI324" s="186"/>
      <c r="AJ324" s="186"/>
      <c r="AK324" s="188"/>
      <c r="AL324" s="211"/>
      <c r="AM324" s="187"/>
      <c r="AN324" s="187"/>
      <c r="AO324" s="211"/>
      <c r="AP324" s="271"/>
      <c r="AQ324" s="440"/>
      <c r="AR324" s="191"/>
      <c r="AS324" s="192"/>
      <c r="AT324" s="192"/>
      <c r="AU324" s="192"/>
      <c r="AV324" s="192"/>
      <c r="AW324" s="192"/>
      <c r="AX324" s="192"/>
      <c r="AY324" s="192"/>
      <c r="AZ324" s="192"/>
      <c r="BA324" s="192"/>
      <c r="BB324" s="192"/>
      <c r="BC324" s="156"/>
      <c r="BD324" s="176"/>
      <c r="BE324" s="176"/>
    </row>
    <row r="325" spans="1:57" s="78" customFormat="1" ht="20.65" customHeight="1" thickTop="1" thickBot="1" x14ac:dyDescent="0.45">
      <c r="A325" s="458">
        <f t="shared" ref="A325" si="73">A322+1</f>
        <v>94</v>
      </c>
      <c r="B325" s="139" t="s">
        <v>591</v>
      </c>
      <c r="C325" s="247" t="s">
        <v>565</v>
      </c>
      <c r="D325" s="233" t="s">
        <v>592</v>
      </c>
      <c r="E325" s="202"/>
      <c r="F325" s="202"/>
      <c r="G325" s="427" t="s">
        <v>295</v>
      </c>
      <c r="H325" s="143" t="s">
        <v>540</v>
      </c>
      <c r="I325" s="140" t="s">
        <v>73</v>
      </c>
      <c r="J325" s="140" t="s">
        <v>74</v>
      </c>
      <c r="K325" s="140" t="s">
        <v>9</v>
      </c>
      <c r="L325" s="376"/>
      <c r="M325" s="145" t="s">
        <v>150</v>
      </c>
      <c r="N325" s="146" t="s">
        <v>77</v>
      </c>
      <c r="O325" s="147">
        <v>46135</v>
      </c>
      <c r="P325" s="147">
        <v>46205</v>
      </c>
      <c r="Q325" s="147">
        <v>46220</v>
      </c>
      <c r="R325" s="147">
        <v>46222</v>
      </c>
      <c r="S325" s="147">
        <v>46222</v>
      </c>
      <c r="T325" s="147">
        <v>46227</v>
      </c>
      <c r="U325" s="147">
        <v>46238</v>
      </c>
      <c r="V325" s="148">
        <v>46248</v>
      </c>
      <c r="W325" s="147"/>
      <c r="X325" s="147">
        <v>46248</v>
      </c>
      <c r="Y325" s="147">
        <v>46248</v>
      </c>
      <c r="Z325" s="147">
        <v>46132</v>
      </c>
      <c r="AA325" s="147">
        <v>46252</v>
      </c>
      <c r="AB325" s="147">
        <v>46237</v>
      </c>
      <c r="AC325" s="147">
        <v>46268</v>
      </c>
      <c r="AD325" s="147">
        <v>46268</v>
      </c>
      <c r="AE325" s="147">
        <v>46268</v>
      </c>
      <c r="AF325" s="147">
        <v>46291</v>
      </c>
      <c r="AG325" s="147">
        <v>46297</v>
      </c>
      <c r="AH325" s="147">
        <v>46299</v>
      </c>
      <c r="AI325" s="147">
        <v>46299</v>
      </c>
      <c r="AJ325" s="147">
        <v>46329</v>
      </c>
      <c r="AK325" s="149">
        <v>8.5</v>
      </c>
      <c r="AL325" s="150">
        <v>59.5</v>
      </c>
      <c r="AM325" s="151">
        <v>46299</v>
      </c>
      <c r="AN325" s="151">
        <v>46300</v>
      </c>
      <c r="AO325" s="152">
        <f>AN325-AM326</f>
        <v>1</v>
      </c>
      <c r="AP325" s="153" t="s">
        <v>542</v>
      </c>
      <c r="AQ325" s="438" t="s">
        <v>568</v>
      </c>
      <c r="AR325" s="154"/>
      <c r="AS325" s="155"/>
      <c r="AT325" s="155"/>
      <c r="AU325" s="155"/>
      <c r="AV325" s="155"/>
      <c r="AW325" s="155"/>
      <c r="AX325" s="155"/>
      <c r="AY325" s="155"/>
      <c r="AZ325" s="155"/>
      <c r="BA325" s="155"/>
      <c r="BB325" s="155"/>
      <c r="BC325" s="156"/>
      <c r="BD325" s="176"/>
      <c r="BE325" s="176"/>
    </row>
    <row r="326" spans="1:57" s="78" customFormat="1" ht="20.75" customHeight="1" thickTop="1" thickBot="1" x14ac:dyDescent="0.45">
      <c r="A326" s="459"/>
      <c r="B326" s="226" t="s">
        <v>591</v>
      </c>
      <c r="C326" s="387" t="s">
        <v>565</v>
      </c>
      <c r="D326" s="402" t="s">
        <v>592</v>
      </c>
      <c r="E326" s="389"/>
      <c r="F326" s="389"/>
      <c r="G326" s="390" t="s">
        <v>295</v>
      </c>
      <c r="H326" s="391" t="s">
        <v>540</v>
      </c>
      <c r="I326" s="392" t="s">
        <v>73</v>
      </c>
      <c r="J326" s="393" t="s">
        <v>74</v>
      </c>
      <c r="K326" s="393" t="s">
        <v>9</v>
      </c>
      <c r="L326" s="390"/>
      <c r="M326" s="394" t="s">
        <v>150</v>
      </c>
      <c r="N326" s="395" t="s">
        <v>84</v>
      </c>
      <c r="O326" s="396"/>
      <c r="P326" s="397"/>
      <c r="Q326" s="397"/>
      <c r="R326" s="397"/>
      <c r="S326" s="397"/>
      <c r="T326" s="397"/>
      <c r="U326" s="397"/>
      <c r="V326" s="168">
        <v>46244</v>
      </c>
      <c r="W326" s="168"/>
      <c r="X326" s="168">
        <v>46248</v>
      </c>
      <c r="Y326" s="168">
        <v>46248</v>
      </c>
      <c r="Z326" s="168"/>
      <c r="AA326" s="168">
        <v>46252</v>
      </c>
      <c r="AB326" s="168">
        <v>46237</v>
      </c>
      <c r="AC326" s="168">
        <v>46268</v>
      </c>
      <c r="AD326" s="168">
        <v>46268</v>
      </c>
      <c r="AE326" s="168">
        <v>46268</v>
      </c>
      <c r="AF326" s="170">
        <v>46291</v>
      </c>
      <c r="AG326" s="170">
        <v>46297</v>
      </c>
      <c r="AH326" s="170">
        <v>46299</v>
      </c>
      <c r="AI326" s="168">
        <v>46299</v>
      </c>
      <c r="AJ326" s="168">
        <v>46329</v>
      </c>
      <c r="AK326" s="399"/>
      <c r="AL326" s="270"/>
      <c r="AM326" s="170">
        <f>AH326</f>
        <v>46299</v>
      </c>
      <c r="AN326" s="400"/>
      <c r="AO326" s="270"/>
      <c r="AP326" s="270"/>
      <c r="AQ326" s="439"/>
      <c r="AR326" s="191"/>
      <c r="AS326" s="192"/>
      <c r="AT326" s="192"/>
      <c r="AU326" s="192"/>
      <c r="AV326" s="192"/>
      <c r="AW326" s="192"/>
      <c r="AX326" s="192"/>
      <c r="AY326" s="192"/>
      <c r="AZ326" s="192"/>
      <c r="BA326" s="192"/>
      <c r="BB326" s="192"/>
      <c r="BC326" s="156"/>
      <c r="BD326" s="176"/>
      <c r="BE326" s="176"/>
    </row>
    <row r="327" spans="1:57" s="78" customFormat="1" ht="20.75" customHeight="1" thickBot="1" x14ac:dyDescent="0.45">
      <c r="A327" s="460"/>
      <c r="B327" s="177" t="s">
        <v>591</v>
      </c>
      <c r="C327" s="251" t="s">
        <v>565</v>
      </c>
      <c r="D327" s="179" t="s">
        <v>875</v>
      </c>
      <c r="E327" s="208"/>
      <c r="F327" s="208"/>
      <c r="G327" s="209" t="s">
        <v>295</v>
      </c>
      <c r="H327" s="182" t="s">
        <v>540</v>
      </c>
      <c r="I327" s="178" t="s">
        <v>73</v>
      </c>
      <c r="J327" s="178" t="s">
        <v>74</v>
      </c>
      <c r="K327" s="178" t="s">
        <v>9</v>
      </c>
      <c r="L327" s="209"/>
      <c r="M327" s="184" t="s">
        <v>150</v>
      </c>
      <c r="N327" s="185" t="s">
        <v>87</v>
      </c>
      <c r="O327" s="186">
        <v>46120</v>
      </c>
      <c r="P327" s="186">
        <v>46148</v>
      </c>
      <c r="Q327" s="186">
        <v>46157</v>
      </c>
      <c r="R327" s="187">
        <v>46167</v>
      </c>
      <c r="S327" s="186">
        <v>46167</v>
      </c>
      <c r="T327" s="186">
        <v>46172</v>
      </c>
      <c r="U327" s="186">
        <v>46230</v>
      </c>
      <c r="V327" s="186"/>
      <c r="W327" s="186"/>
      <c r="X327" s="401"/>
      <c r="Y327" s="401"/>
      <c r="Z327" s="186">
        <v>46132</v>
      </c>
      <c r="AA327" s="186"/>
      <c r="AB327" s="186"/>
      <c r="AC327" s="186"/>
      <c r="AD327" s="186"/>
      <c r="AE327" s="186"/>
      <c r="AF327" s="186"/>
      <c r="AG327" s="186"/>
      <c r="AH327" s="186"/>
      <c r="AI327" s="186"/>
      <c r="AJ327" s="186"/>
      <c r="AK327" s="188"/>
      <c r="AL327" s="211"/>
      <c r="AM327" s="187"/>
      <c r="AN327" s="187"/>
      <c r="AO327" s="211"/>
      <c r="AP327" s="271"/>
      <c r="AQ327" s="440"/>
      <c r="AR327" s="191"/>
      <c r="AS327" s="192"/>
      <c r="AT327" s="192"/>
      <c r="AU327" s="192"/>
      <c r="AV327" s="192"/>
      <c r="AW327" s="192"/>
      <c r="AX327" s="192"/>
      <c r="AY327" s="192"/>
      <c r="AZ327" s="192"/>
      <c r="BA327" s="192"/>
      <c r="BB327" s="192"/>
      <c r="BC327" s="156"/>
      <c r="BD327" s="176"/>
      <c r="BE327" s="176"/>
    </row>
    <row r="328" spans="1:57" s="78" customFormat="1" ht="20.65" customHeight="1" thickTop="1" thickBot="1" x14ac:dyDescent="0.45">
      <c r="A328" s="458">
        <f t="shared" ref="A328" si="74">A325+1</f>
        <v>95</v>
      </c>
      <c r="B328" s="139" t="s">
        <v>591</v>
      </c>
      <c r="C328" s="247" t="s">
        <v>569</v>
      </c>
      <c r="D328" s="233" t="s">
        <v>593</v>
      </c>
      <c r="E328" s="202"/>
      <c r="F328" s="202"/>
      <c r="G328" s="427" t="s">
        <v>295</v>
      </c>
      <c r="H328" s="143" t="s">
        <v>540</v>
      </c>
      <c r="I328" s="140" t="s">
        <v>73</v>
      </c>
      <c r="J328" s="140" t="s">
        <v>74</v>
      </c>
      <c r="K328" s="140" t="s">
        <v>9</v>
      </c>
      <c r="L328" s="376"/>
      <c r="M328" s="145" t="s">
        <v>150</v>
      </c>
      <c r="N328" s="146" t="s">
        <v>77</v>
      </c>
      <c r="O328" s="147">
        <v>46135</v>
      </c>
      <c r="P328" s="147">
        <v>46205</v>
      </c>
      <c r="Q328" s="147">
        <v>46220</v>
      </c>
      <c r="R328" s="147">
        <v>46222</v>
      </c>
      <c r="S328" s="147">
        <v>46222</v>
      </c>
      <c r="T328" s="147">
        <v>46227</v>
      </c>
      <c r="U328" s="147">
        <v>46238</v>
      </c>
      <c r="V328" s="148">
        <v>46248</v>
      </c>
      <c r="W328" s="147"/>
      <c r="X328" s="147">
        <v>46248</v>
      </c>
      <c r="Y328" s="147">
        <v>46248</v>
      </c>
      <c r="Z328" s="147">
        <v>46132</v>
      </c>
      <c r="AA328" s="147">
        <v>46252</v>
      </c>
      <c r="AB328" s="147">
        <v>46237</v>
      </c>
      <c r="AC328" s="147">
        <v>46289</v>
      </c>
      <c r="AD328" s="147">
        <v>46289</v>
      </c>
      <c r="AE328" s="147">
        <v>46289</v>
      </c>
      <c r="AF328" s="147">
        <v>46312</v>
      </c>
      <c r="AG328" s="147">
        <v>46318</v>
      </c>
      <c r="AH328" s="147">
        <v>46320</v>
      </c>
      <c r="AI328" s="147">
        <v>46320</v>
      </c>
      <c r="AJ328" s="147">
        <v>46350</v>
      </c>
      <c r="AK328" s="149">
        <v>8.5</v>
      </c>
      <c r="AL328" s="150">
        <v>59.5</v>
      </c>
      <c r="AM328" s="151">
        <f>AH328</f>
        <v>46320</v>
      </c>
      <c r="AN328" s="151">
        <v>46321</v>
      </c>
      <c r="AO328" s="152">
        <f>AN328-AM329</f>
        <v>1</v>
      </c>
      <c r="AP328" s="153" t="s">
        <v>542</v>
      </c>
      <c r="AQ328" s="438" t="s">
        <v>568</v>
      </c>
      <c r="AR328" s="154"/>
      <c r="AS328" s="155"/>
      <c r="AT328" s="155"/>
      <c r="AU328" s="155"/>
      <c r="AV328" s="155"/>
      <c r="AW328" s="155"/>
      <c r="AX328" s="155"/>
      <c r="AY328" s="155"/>
      <c r="AZ328" s="155"/>
      <c r="BA328" s="155"/>
      <c r="BB328" s="155"/>
      <c r="BC328" s="156"/>
      <c r="BD328" s="176"/>
      <c r="BE328" s="176"/>
    </row>
    <row r="329" spans="1:57" s="78" customFormat="1" ht="20.75" customHeight="1" thickTop="1" thickBot="1" x14ac:dyDescent="0.45">
      <c r="A329" s="459"/>
      <c r="B329" s="226" t="s">
        <v>591</v>
      </c>
      <c r="C329" s="387" t="s">
        <v>569</v>
      </c>
      <c r="D329" s="388" t="s">
        <v>593</v>
      </c>
      <c r="E329" s="389"/>
      <c r="F329" s="389"/>
      <c r="G329" s="390" t="s">
        <v>295</v>
      </c>
      <c r="H329" s="391" t="s">
        <v>540</v>
      </c>
      <c r="I329" s="392" t="s">
        <v>73</v>
      </c>
      <c r="J329" s="393" t="s">
        <v>74</v>
      </c>
      <c r="K329" s="393" t="s">
        <v>9</v>
      </c>
      <c r="L329" s="390"/>
      <c r="M329" s="394" t="s">
        <v>150</v>
      </c>
      <c r="N329" s="395" t="s">
        <v>84</v>
      </c>
      <c r="O329" s="396"/>
      <c r="P329" s="397"/>
      <c r="Q329" s="397"/>
      <c r="R329" s="397"/>
      <c r="S329" s="397"/>
      <c r="T329" s="397"/>
      <c r="U329" s="397"/>
      <c r="V329" s="168">
        <v>46244</v>
      </c>
      <c r="W329" s="168"/>
      <c r="X329" s="168">
        <v>46248</v>
      </c>
      <c r="Y329" s="168">
        <v>46248</v>
      </c>
      <c r="Z329" s="168"/>
      <c r="AA329" s="168">
        <v>46252</v>
      </c>
      <c r="AB329" s="168">
        <v>46237</v>
      </c>
      <c r="AC329" s="168">
        <v>46289</v>
      </c>
      <c r="AD329" s="168">
        <v>46289</v>
      </c>
      <c r="AE329" s="168">
        <v>46289</v>
      </c>
      <c r="AF329" s="170">
        <v>46312</v>
      </c>
      <c r="AG329" s="170">
        <v>46318</v>
      </c>
      <c r="AH329" s="170">
        <v>46320</v>
      </c>
      <c r="AI329" s="168">
        <v>46320</v>
      </c>
      <c r="AJ329" s="168">
        <v>46350</v>
      </c>
      <c r="AK329" s="399"/>
      <c r="AL329" s="270"/>
      <c r="AM329" s="170">
        <f>AH329</f>
        <v>46320</v>
      </c>
      <c r="AN329" s="400"/>
      <c r="AO329" s="270"/>
      <c r="AP329" s="270"/>
      <c r="AQ329" s="439"/>
      <c r="AR329" s="191"/>
      <c r="AS329" s="192"/>
      <c r="AT329" s="192"/>
      <c r="AU329" s="192"/>
      <c r="AV329" s="192"/>
      <c r="AW329" s="192"/>
      <c r="AX329" s="192"/>
      <c r="AY329" s="192"/>
      <c r="AZ329" s="192"/>
      <c r="BA329" s="192"/>
      <c r="BB329" s="192"/>
      <c r="BC329" s="156"/>
      <c r="BD329" s="176"/>
      <c r="BE329" s="176"/>
    </row>
    <row r="330" spans="1:57" s="78" customFormat="1" ht="20.75" customHeight="1" thickBot="1" x14ac:dyDescent="0.45">
      <c r="A330" s="460"/>
      <c r="B330" s="177" t="s">
        <v>591</v>
      </c>
      <c r="C330" s="251" t="s">
        <v>569</v>
      </c>
      <c r="D330" s="179" t="s">
        <v>593</v>
      </c>
      <c r="E330" s="208"/>
      <c r="F330" s="208"/>
      <c r="G330" s="209" t="s">
        <v>295</v>
      </c>
      <c r="H330" s="182" t="s">
        <v>540</v>
      </c>
      <c r="I330" s="178" t="s">
        <v>73</v>
      </c>
      <c r="J330" s="178" t="s">
        <v>74</v>
      </c>
      <c r="K330" s="178" t="s">
        <v>9</v>
      </c>
      <c r="L330" s="209"/>
      <c r="M330" s="184" t="s">
        <v>150</v>
      </c>
      <c r="N330" s="185" t="s">
        <v>87</v>
      </c>
      <c r="O330" s="186">
        <v>46120</v>
      </c>
      <c r="P330" s="186">
        <v>46148</v>
      </c>
      <c r="Q330" s="186">
        <v>46157</v>
      </c>
      <c r="R330" s="187">
        <v>46167</v>
      </c>
      <c r="S330" s="186">
        <v>46167</v>
      </c>
      <c r="T330" s="186">
        <v>46172</v>
      </c>
      <c r="U330" s="186">
        <v>46230</v>
      </c>
      <c r="V330" s="186"/>
      <c r="W330" s="186"/>
      <c r="X330" s="401"/>
      <c r="Y330" s="401"/>
      <c r="Z330" s="186">
        <v>46132</v>
      </c>
      <c r="AA330" s="186"/>
      <c r="AB330" s="186"/>
      <c r="AC330" s="186"/>
      <c r="AD330" s="186"/>
      <c r="AE330" s="186"/>
      <c r="AF330" s="186"/>
      <c r="AG330" s="186"/>
      <c r="AH330" s="186"/>
      <c r="AI330" s="186"/>
      <c r="AJ330" s="186"/>
      <c r="AK330" s="188"/>
      <c r="AL330" s="211"/>
      <c r="AM330" s="187"/>
      <c r="AN330" s="187"/>
      <c r="AO330" s="211"/>
      <c r="AP330" s="271"/>
      <c r="AQ330" s="440"/>
      <c r="AR330" s="191"/>
      <c r="AS330" s="192"/>
      <c r="AT330" s="192"/>
      <c r="AU330" s="192"/>
      <c r="AV330" s="192"/>
      <c r="AW330" s="192"/>
      <c r="AX330" s="192"/>
      <c r="AY330" s="192"/>
      <c r="AZ330" s="192"/>
      <c r="BA330" s="192"/>
      <c r="BB330" s="192"/>
      <c r="BC330" s="156"/>
      <c r="BD330" s="176"/>
      <c r="BE330" s="176"/>
    </row>
    <row r="331" spans="1:57" s="78" customFormat="1" ht="20.65" customHeight="1" thickTop="1" thickBot="1" x14ac:dyDescent="0.45">
      <c r="A331" s="458">
        <f t="shared" ref="A331" si="75">A328+1</f>
        <v>96</v>
      </c>
      <c r="B331" s="139" t="s">
        <v>591</v>
      </c>
      <c r="C331" s="247" t="s">
        <v>571</v>
      </c>
      <c r="D331" s="233" t="s">
        <v>594</v>
      </c>
      <c r="E331" s="202"/>
      <c r="F331" s="202"/>
      <c r="G331" s="427" t="s">
        <v>295</v>
      </c>
      <c r="H331" s="143" t="s">
        <v>540</v>
      </c>
      <c r="I331" s="140" t="s">
        <v>73</v>
      </c>
      <c r="J331" s="140" t="s">
        <v>74</v>
      </c>
      <c r="K331" s="140" t="s">
        <v>9</v>
      </c>
      <c r="L331" s="376"/>
      <c r="M331" s="145" t="s">
        <v>150</v>
      </c>
      <c r="N331" s="146" t="s">
        <v>77</v>
      </c>
      <c r="O331" s="147">
        <v>46135</v>
      </c>
      <c r="P331" s="147">
        <v>46205</v>
      </c>
      <c r="Q331" s="147">
        <v>46220</v>
      </c>
      <c r="R331" s="147">
        <v>46222</v>
      </c>
      <c r="S331" s="147">
        <v>46222</v>
      </c>
      <c r="T331" s="147">
        <v>46227</v>
      </c>
      <c r="U331" s="147">
        <v>46238</v>
      </c>
      <c r="V331" s="148">
        <v>46248</v>
      </c>
      <c r="W331" s="147"/>
      <c r="X331" s="147">
        <v>46248</v>
      </c>
      <c r="Y331" s="147">
        <v>46248</v>
      </c>
      <c r="Z331" s="147">
        <v>46132</v>
      </c>
      <c r="AA331" s="147">
        <v>46252</v>
      </c>
      <c r="AB331" s="147">
        <v>46237</v>
      </c>
      <c r="AC331" s="147">
        <v>46310</v>
      </c>
      <c r="AD331" s="147">
        <v>46310</v>
      </c>
      <c r="AE331" s="147">
        <v>46310</v>
      </c>
      <c r="AF331" s="147">
        <v>46333</v>
      </c>
      <c r="AG331" s="147">
        <v>46339</v>
      </c>
      <c r="AH331" s="147">
        <v>46341</v>
      </c>
      <c r="AI331" s="147">
        <v>46341</v>
      </c>
      <c r="AJ331" s="147">
        <v>46371</v>
      </c>
      <c r="AK331" s="149">
        <v>8.5</v>
      </c>
      <c r="AL331" s="150">
        <v>59.5</v>
      </c>
      <c r="AM331" s="151">
        <f>AH331</f>
        <v>46341</v>
      </c>
      <c r="AN331" s="151">
        <v>46342</v>
      </c>
      <c r="AO331" s="152">
        <f>AN331-AM332</f>
        <v>1</v>
      </c>
      <c r="AP331" s="153" t="s">
        <v>542</v>
      </c>
      <c r="AQ331" s="438" t="s">
        <v>568</v>
      </c>
      <c r="AR331" s="154"/>
      <c r="AS331" s="155"/>
      <c r="AT331" s="155"/>
      <c r="AU331" s="155"/>
      <c r="AV331" s="155"/>
      <c r="AW331" s="155"/>
      <c r="AX331" s="155"/>
      <c r="AY331" s="155"/>
      <c r="AZ331" s="155"/>
      <c r="BA331" s="155"/>
      <c r="BB331" s="155"/>
      <c r="BC331" s="156"/>
      <c r="BD331" s="176"/>
      <c r="BE331" s="176"/>
    </row>
    <row r="332" spans="1:57" s="78" customFormat="1" ht="20.75" customHeight="1" thickTop="1" thickBot="1" x14ac:dyDescent="0.45">
      <c r="A332" s="459"/>
      <c r="B332" s="226" t="s">
        <v>591</v>
      </c>
      <c r="C332" s="387" t="s">
        <v>571</v>
      </c>
      <c r="D332" s="388" t="s">
        <v>594</v>
      </c>
      <c r="E332" s="389"/>
      <c r="F332" s="389"/>
      <c r="G332" s="390" t="s">
        <v>295</v>
      </c>
      <c r="H332" s="391" t="s">
        <v>540</v>
      </c>
      <c r="I332" s="392" t="s">
        <v>73</v>
      </c>
      <c r="J332" s="393" t="s">
        <v>74</v>
      </c>
      <c r="K332" s="393" t="s">
        <v>9</v>
      </c>
      <c r="L332" s="390"/>
      <c r="M332" s="394" t="s">
        <v>150</v>
      </c>
      <c r="N332" s="395" t="s">
        <v>84</v>
      </c>
      <c r="O332" s="396"/>
      <c r="P332" s="397"/>
      <c r="Q332" s="397"/>
      <c r="R332" s="397"/>
      <c r="S332" s="397"/>
      <c r="T332" s="397"/>
      <c r="U332" s="397"/>
      <c r="V332" s="168">
        <v>46244</v>
      </c>
      <c r="W332" s="168"/>
      <c r="X332" s="168">
        <v>46248</v>
      </c>
      <c r="Y332" s="168">
        <v>46248</v>
      </c>
      <c r="Z332" s="168"/>
      <c r="AA332" s="168">
        <v>46252</v>
      </c>
      <c r="AB332" s="168">
        <v>46237</v>
      </c>
      <c r="AC332" s="168">
        <v>46310</v>
      </c>
      <c r="AD332" s="168">
        <v>46310</v>
      </c>
      <c r="AE332" s="168">
        <v>46310</v>
      </c>
      <c r="AF332" s="170">
        <v>46333</v>
      </c>
      <c r="AG332" s="170">
        <v>46339</v>
      </c>
      <c r="AH332" s="170">
        <v>46341</v>
      </c>
      <c r="AI332" s="168">
        <v>46341</v>
      </c>
      <c r="AJ332" s="168">
        <v>46371</v>
      </c>
      <c r="AK332" s="399"/>
      <c r="AL332" s="270"/>
      <c r="AM332" s="170">
        <f>AH332</f>
        <v>46341</v>
      </c>
      <c r="AN332" s="400"/>
      <c r="AO332" s="270"/>
      <c r="AP332" s="270"/>
      <c r="AQ332" s="439"/>
      <c r="AR332" s="191"/>
      <c r="AS332" s="192"/>
      <c r="AT332" s="192"/>
      <c r="AU332" s="192"/>
      <c r="AV332" s="192"/>
      <c r="AW332" s="192"/>
      <c r="AX332" s="192"/>
      <c r="AY332" s="192"/>
      <c r="AZ332" s="192"/>
      <c r="BA332" s="192"/>
      <c r="BB332" s="192"/>
      <c r="BC332" s="156"/>
      <c r="BD332" s="176"/>
      <c r="BE332" s="176"/>
    </row>
    <row r="333" spans="1:57" s="78" customFormat="1" ht="20.75" customHeight="1" thickBot="1" x14ac:dyDescent="0.45">
      <c r="A333" s="460"/>
      <c r="B333" s="177" t="s">
        <v>591</v>
      </c>
      <c r="C333" s="251" t="s">
        <v>571</v>
      </c>
      <c r="D333" s="179" t="s">
        <v>594</v>
      </c>
      <c r="E333" s="208"/>
      <c r="F333" s="208"/>
      <c r="G333" s="209" t="s">
        <v>295</v>
      </c>
      <c r="H333" s="182" t="s">
        <v>540</v>
      </c>
      <c r="I333" s="178" t="s">
        <v>73</v>
      </c>
      <c r="J333" s="178" t="s">
        <v>74</v>
      </c>
      <c r="K333" s="178" t="s">
        <v>9</v>
      </c>
      <c r="L333" s="209"/>
      <c r="M333" s="184" t="s">
        <v>150</v>
      </c>
      <c r="N333" s="185" t="s">
        <v>87</v>
      </c>
      <c r="O333" s="186">
        <v>46120</v>
      </c>
      <c r="P333" s="186">
        <v>46148</v>
      </c>
      <c r="Q333" s="186">
        <v>46157</v>
      </c>
      <c r="R333" s="187">
        <v>46167</v>
      </c>
      <c r="S333" s="186">
        <v>46167</v>
      </c>
      <c r="T333" s="186">
        <v>46172</v>
      </c>
      <c r="U333" s="186">
        <v>46230</v>
      </c>
      <c r="V333" s="186"/>
      <c r="W333" s="186"/>
      <c r="X333" s="401"/>
      <c r="Y333" s="401"/>
      <c r="Z333" s="186">
        <v>46132</v>
      </c>
      <c r="AA333" s="186"/>
      <c r="AB333" s="186"/>
      <c r="AC333" s="186"/>
      <c r="AD333" s="186"/>
      <c r="AE333" s="186"/>
      <c r="AF333" s="186"/>
      <c r="AG333" s="186"/>
      <c r="AH333" s="186"/>
      <c r="AI333" s="186"/>
      <c r="AJ333" s="186"/>
      <c r="AK333" s="188"/>
      <c r="AL333" s="211"/>
      <c r="AM333" s="187"/>
      <c r="AN333" s="187"/>
      <c r="AO333" s="211"/>
      <c r="AP333" s="271"/>
      <c r="AQ333" s="440"/>
      <c r="AR333" s="191"/>
      <c r="AS333" s="192"/>
      <c r="AT333" s="192"/>
      <c r="AU333" s="192"/>
      <c r="AV333" s="192"/>
      <c r="AW333" s="192"/>
      <c r="AX333" s="192"/>
      <c r="AY333" s="192"/>
      <c r="AZ333" s="192"/>
      <c r="BA333" s="192"/>
      <c r="BB333" s="192"/>
      <c r="BC333" s="156"/>
      <c r="BD333" s="176"/>
      <c r="BE333" s="176"/>
    </row>
    <row r="334" spans="1:57" s="78" customFormat="1" ht="20.65" customHeight="1" thickTop="1" thickBot="1" x14ac:dyDescent="0.45">
      <c r="A334" s="458">
        <f t="shared" ref="A334" si="76">A331+1</f>
        <v>97</v>
      </c>
      <c r="B334" s="139" t="s">
        <v>591</v>
      </c>
      <c r="C334" s="247" t="s">
        <v>573</v>
      </c>
      <c r="D334" s="233" t="s">
        <v>595</v>
      </c>
      <c r="E334" s="202"/>
      <c r="F334" s="202"/>
      <c r="G334" s="427" t="s">
        <v>295</v>
      </c>
      <c r="H334" s="143" t="s">
        <v>540</v>
      </c>
      <c r="I334" s="140" t="s">
        <v>73</v>
      </c>
      <c r="J334" s="140" t="s">
        <v>74</v>
      </c>
      <c r="K334" s="140" t="s">
        <v>9</v>
      </c>
      <c r="L334" s="376"/>
      <c r="M334" s="145" t="s">
        <v>150</v>
      </c>
      <c r="N334" s="146" t="s">
        <v>77</v>
      </c>
      <c r="O334" s="147">
        <v>46135</v>
      </c>
      <c r="P334" s="147">
        <v>46205</v>
      </c>
      <c r="Q334" s="147">
        <v>46220</v>
      </c>
      <c r="R334" s="147">
        <v>46222</v>
      </c>
      <c r="S334" s="147">
        <v>46222</v>
      </c>
      <c r="T334" s="147">
        <v>46227</v>
      </c>
      <c r="U334" s="147">
        <v>46238</v>
      </c>
      <c r="V334" s="148">
        <v>46248</v>
      </c>
      <c r="W334" s="147"/>
      <c r="X334" s="147">
        <v>46248</v>
      </c>
      <c r="Y334" s="147">
        <v>46248</v>
      </c>
      <c r="Z334" s="147">
        <v>46132</v>
      </c>
      <c r="AA334" s="147">
        <v>46252</v>
      </c>
      <c r="AB334" s="147">
        <v>46237</v>
      </c>
      <c r="AC334" s="147">
        <v>46331</v>
      </c>
      <c r="AD334" s="147">
        <v>46331</v>
      </c>
      <c r="AE334" s="147">
        <v>46331</v>
      </c>
      <c r="AF334" s="147">
        <v>46354</v>
      </c>
      <c r="AG334" s="147">
        <v>46360</v>
      </c>
      <c r="AH334" s="147">
        <v>46362</v>
      </c>
      <c r="AI334" s="147">
        <v>46362</v>
      </c>
      <c r="AJ334" s="147">
        <v>46392</v>
      </c>
      <c r="AK334" s="149">
        <v>8.5</v>
      </c>
      <c r="AL334" s="150">
        <v>59.5</v>
      </c>
      <c r="AM334" s="151">
        <f>AH334</f>
        <v>46362</v>
      </c>
      <c r="AN334" s="151">
        <v>46363</v>
      </c>
      <c r="AO334" s="152">
        <f>AN334-AM335</f>
        <v>1</v>
      </c>
      <c r="AP334" s="153" t="s">
        <v>542</v>
      </c>
      <c r="AQ334" s="438" t="s">
        <v>568</v>
      </c>
      <c r="AR334" s="154"/>
      <c r="AS334" s="155"/>
      <c r="AT334" s="155"/>
      <c r="AU334" s="155"/>
      <c r="AV334" s="155"/>
      <c r="AW334" s="155"/>
      <c r="AX334" s="155"/>
      <c r="AY334" s="155"/>
      <c r="AZ334" s="155"/>
      <c r="BA334" s="155"/>
      <c r="BB334" s="155"/>
      <c r="BC334" s="156"/>
      <c r="BD334" s="176"/>
      <c r="BE334" s="176"/>
    </row>
    <row r="335" spans="1:57" s="78" customFormat="1" ht="20.75" customHeight="1" thickTop="1" thickBot="1" x14ac:dyDescent="0.45">
      <c r="A335" s="459"/>
      <c r="B335" s="226" t="s">
        <v>591</v>
      </c>
      <c r="C335" s="387" t="s">
        <v>573</v>
      </c>
      <c r="D335" s="388" t="s">
        <v>595</v>
      </c>
      <c r="E335" s="389"/>
      <c r="F335" s="389"/>
      <c r="G335" s="390" t="s">
        <v>295</v>
      </c>
      <c r="H335" s="391" t="s">
        <v>540</v>
      </c>
      <c r="I335" s="392" t="s">
        <v>73</v>
      </c>
      <c r="J335" s="393" t="s">
        <v>74</v>
      </c>
      <c r="K335" s="393" t="s">
        <v>9</v>
      </c>
      <c r="L335" s="390"/>
      <c r="M335" s="394" t="s">
        <v>150</v>
      </c>
      <c r="N335" s="395" t="s">
        <v>84</v>
      </c>
      <c r="O335" s="396"/>
      <c r="P335" s="397"/>
      <c r="Q335" s="397"/>
      <c r="R335" s="397"/>
      <c r="S335" s="397"/>
      <c r="T335" s="397"/>
      <c r="U335" s="397"/>
      <c r="V335" s="168">
        <v>46244</v>
      </c>
      <c r="W335" s="168"/>
      <c r="X335" s="168">
        <v>46248</v>
      </c>
      <c r="Y335" s="168">
        <v>46248</v>
      </c>
      <c r="Z335" s="168"/>
      <c r="AA335" s="168">
        <v>46252</v>
      </c>
      <c r="AB335" s="168">
        <v>46237</v>
      </c>
      <c r="AC335" s="168">
        <v>46331</v>
      </c>
      <c r="AD335" s="168">
        <v>46331</v>
      </c>
      <c r="AE335" s="168">
        <v>46331</v>
      </c>
      <c r="AF335" s="170">
        <v>46354</v>
      </c>
      <c r="AG335" s="170">
        <v>46360</v>
      </c>
      <c r="AH335" s="170">
        <v>46362</v>
      </c>
      <c r="AI335" s="168">
        <v>46362</v>
      </c>
      <c r="AJ335" s="168">
        <v>46392</v>
      </c>
      <c r="AK335" s="399"/>
      <c r="AL335" s="270"/>
      <c r="AM335" s="170">
        <f>AH335</f>
        <v>46362</v>
      </c>
      <c r="AN335" s="400"/>
      <c r="AO335" s="270"/>
      <c r="AP335" s="270"/>
      <c r="AQ335" s="439"/>
      <c r="AR335" s="191"/>
      <c r="AS335" s="192"/>
      <c r="AT335" s="192"/>
      <c r="AU335" s="192"/>
      <c r="AV335" s="192"/>
      <c r="AW335" s="192"/>
      <c r="AX335" s="192"/>
      <c r="AY335" s="192"/>
      <c r="AZ335" s="192"/>
      <c r="BA335" s="192"/>
      <c r="BB335" s="192"/>
      <c r="BC335" s="156"/>
      <c r="BD335" s="176"/>
      <c r="BE335" s="176"/>
    </row>
    <row r="336" spans="1:57" s="78" customFormat="1" ht="20.75" customHeight="1" thickBot="1" x14ac:dyDescent="0.45">
      <c r="A336" s="460"/>
      <c r="B336" s="177" t="s">
        <v>591</v>
      </c>
      <c r="C336" s="251" t="s">
        <v>573</v>
      </c>
      <c r="D336" s="179" t="s">
        <v>595</v>
      </c>
      <c r="E336" s="208"/>
      <c r="F336" s="208"/>
      <c r="G336" s="209" t="s">
        <v>295</v>
      </c>
      <c r="H336" s="182" t="s">
        <v>540</v>
      </c>
      <c r="I336" s="178" t="s">
        <v>73</v>
      </c>
      <c r="J336" s="178" t="s">
        <v>74</v>
      </c>
      <c r="K336" s="178" t="s">
        <v>9</v>
      </c>
      <c r="L336" s="209"/>
      <c r="M336" s="184" t="s">
        <v>150</v>
      </c>
      <c r="N336" s="185" t="s">
        <v>87</v>
      </c>
      <c r="O336" s="186">
        <v>46120</v>
      </c>
      <c r="P336" s="186">
        <v>46148</v>
      </c>
      <c r="Q336" s="186">
        <v>46157</v>
      </c>
      <c r="R336" s="187">
        <v>46167</v>
      </c>
      <c r="S336" s="186">
        <v>46167</v>
      </c>
      <c r="T336" s="186">
        <v>46172</v>
      </c>
      <c r="U336" s="186">
        <v>46230</v>
      </c>
      <c r="V336" s="186"/>
      <c r="W336" s="186"/>
      <c r="X336" s="401"/>
      <c r="Y336" s="401"/>
      <c r="Z336" s="186">
        <v>46132</v>
      </c>
      <c r="AA336" s="186"/>
      <c r="AB336" s="186"/>
      <c r="AC336" s="186"/>
      <c r="AD336" s="186"/>
      <c r="AE336" s="186"/>
      <c r="AF336" s="186"/>
      <c r="AG336" s="186"/>
      <c r="AH336" s="186"/>
      <c r="AI336" s="186"/>
      <c r="AJ336" s="186"/>
      <c r="AK336" s="188"/>
      <c r="AL336" s="211"/>
      <c r="AM336" s="187"/>
      <c r="AN336" s="187"/>
      <c r="AO336" s="211"/>
      <c r="AP336" s="271"/>
      <c r="AQ336" s="440"/>
      <c r="AR336" s="191"/>
      <c r="AS336" s="192"/>
      <c r="AT336" s="192"/>
      <c r="AU336" s="192"/>
      <c r="AV336" s="192"/>
      <c r="AW336" s="192"/>
      <c r="AX336" s="192"/>
      <c r="AY336" s="192"/>
      <c r="AZ336" s="192"/>
      <c r="BA336" s="192"/>
      <c r="BB336" s="192"/>
      <c r="BC336" s="156"/>
      <c r="BD336" s="176"/>
      <c r="BE336" s="176"/>
    </row>
    <row r="337" spans="1:57" s="78" customFormat="1" ht="20.65" customHeight="1" thickTop="1" thickBot="1" x14ac:dyDescent="0.45">
      <c r="A337" s="458">
        <f t="shared" ref="A337" si="77">A334+1</f>
        <v>98</v>
      </c>
      <c r="B337" s="139" t="s">
        <v>591</v>
      </c>
      <c r="C337" s="247" t="s">
        <v>575</v>
      </c>
      <c r="D337" s="233" t="s">
        <v>596</v>
      </c>
      <c r="E337" s="202"/>
      <c r="F337" s="202"/>
      <c r="G337" s="427" t="s">
        <v>295</v>
      </c>
      <c r="H337" s="143" t="s">
        <v>540</v>
      </c>
      <c r="I337" s="140" t="s">
        <v>73</v>
      </c>
      <c r="J337" s="140" t="s">
        <v>74</v>
      </c>
      <c r="K337" s="140" t="s">
        <v>9</v>
      </c>
      <c r="L337" s="376"/>
      <c r="M337" s="145" t="s">
        <v>150</v>
      </c>
      <c r="N337" s="146" t="s">
        <v>77</v>
      </c>
      <c r="O337" s="147">
        <v>46135</v>
      </c>
      <c r="P337" s="147">
        <v>46205</v>
      </c>
      <c r="Q337" s="147">
        <v>46220</v>
      </c>
      <c r="R337" s="147">
        <v>46222</v>
      </c>
      <c r="S337" s="147">
        <v>46222</v>
      </c>
      <c r="T337" s="147">
        <v>46227</v>
      </c>
      <c r="U337" s="147">
        <v>46238</v>
      </c>
      <c r="V337" s="148">
        <v>46248</v>
      </c>
      <c r="W337" s="147"/>
      <c r="X337" s="147">
        <v>46248</v>
      </c>
      <c r="Y337" s="147">
        <v>46248</v>
      </c>
      <c r="Z337" s="147">
        <v>46132</v>
      </c>
      <c r="AA337" s="147">
        <v>46252</v>
      </c>
      <c r="AB337" s="147">
        <v>46237</v>
      </c>
      <c r="AC337" s="147">
        <v>46352</v>
      </c>
      <c r="AD337" s="147">
        <v>46352</v>
      </c>
      <c r="AE337" s="147">
        <v>46352</v>
      </c>
      <c r="AF337" s="147">
        <v>46375</v>
      </c>
      <c r="AG337" s="147">
        <v>46381</v>
      </c>
      <c r="AH337" s="147">
        <v>46383</v>
      </c>
      <c r="AI337" s="147">
        <v>46383</v>
      </c>
      <c r="AJ337" s="147">
        <v>46413</v>
      </c>
      <c r="AK337" s="149">
        <v>8.5</v>
      </c>
      <c r="AL337" s="150">
        <v>59.5</v>
      </c>
      <c r="AM337" s="151">
        <f>AH337</f>
        <v>46383</v>
      </c>
      <c r="AN337" s="151">
        <v>46384</v>
      </c>
      <c r="AO337" s="152">
        <f>AN337-AM338</f>
        <v>1</v>
      </c>
      <c r="AP337" s="153" t="s">
        <v>542</v>
      </c>
      <c r="AQ337" s="438" t="s">
        <v>568</v>
      </c>
      <c r="AR337" s="154"/>
      <c r="AS337" s="155"/>
      <c r="AT337" s="155"/>
      <c r="AU337" s="155"/>
      <c r="AV337" s="155"/>
      <c r="AW337" s="155"/>
      <c r="AX337" s="155"/>
      <c r="AY337" s="155"/>
      <c r="AZ337" s="155"/>
      <c r="BA337" s="155"/>
      <c r="BB337" s="155"/>
      <c r="BC337" s="156"/>
      <c r="BD337" s="176"/>
      <c r="BE337" s="176"/>
    </row>
    <row r="338" spans="1:57" s="78" customFormat="1" ht="20.75" customHeight="1" thickTop="1" thickBot="1" x14ac:dyDescent="0.45">
      <c r="A338" s="459"/>
      <c r="B338" s="226" t="s">
        <v>591</v>
      </c>
      <c r="C338" s="387" t="s">
        <v>575</v>
      </c>
      <c r="D338" s="388" t="s">
        <v>596</v>
      </c>
      <c r="E338" s="389"/>
      <c r="F338" s="389"/>
      <c r="G338" s="390" t="s">
        <v>295</v>
      </c>
      <c r="H338" s="391" t="s">
        <v>540</v>
      </c>
      <c r="I338" s="392" t="s">
        <v>73</v>
      </c>
      <c r="J338" s="393" t="s">
        <v>74</v>
      </c>
      <c r="K338" s="393" t="s">
        <v>9</v>
      </c>
      <c r="L338" s="390"/>
      <c r="M338" s="394" t="s">
        <v>150</v>
      </c>
      <c r="N338" s="395" t="s">
        <v>84</v>
      </c>
      <c r="O338" s="396"/>
      <c r="P338" s="397">
        <v>46205</v>
      </c>
      <c r="Q338" s="397">
        <v>46220</v>
      </c>
      <c r="R338" s="397">
        <v>46222</v>
      </c>
      <c r="S338" s="397">
        <v>46222</v>
      </c>
      <c r="T338" s="397">
        <v>46227</v>
      </c>
      <c r="U338" s="397"/>
      <c r="V338" s="168">
        <v>46244</v>
      </c>
      <c r="W338" s="168"/>
      <c r="X338" s="168">
        <v>46248</v>
      </c>
      <c r="Y338" s="168">
        <v>46248</v>
      </c>
      <c r="Z338" s="168"/>
      <c r="AA338" s="168">
        <v>46252</v>
      </c>
      <c r="AB338" s="168">
        <v>46237</v>
      </c>
      <c r="AC338" s="168">
        <v>46352</v>
      </c>
      <c r="AD338" s="168">
        <v>46352</v>
      </c>
      <c r="AE338" s="168">
        <v>46352</v>
      </c>
      <c r="AF338" s="170">
        <v>46375</v>
      </c>
      <c r="AG338" s="170">
        <v>46381</v>
      </c>
      <c r="AH338" s="170">
        <v>46383</v>
      </c>
      <c r="AI338" s="168">
        <v>46383</v>
      </c>
      <c r="AJ338" s="168">
        <v>46413</v>
      </c>
      <c r="AK338" s="399"/>
      <c r="AL338" s="270"/>
      <c r="AM338" s="170">
        <f>AI338</f>
        <v>46383</v>
      </c>
      <c r="AN338" s="400"/>
      <c r="AO338" s="270"/>
      <c r="AP338" s="270"/>
      <c r="AQ338" s="439"/>
      <c r="AR338" s="191"/>
      <c r="AS338" s="192"/>
      <c r="AT338" s="192"/>
      <c r="AU338" s="192"/>
      <c r="AV338" s="192"/>
      <c r="AW338" s="192"/>
      <c r="AX338" s="192"/>
      <c r="AY338" s="192"/>
      <c r="AZ338" s="192"/>
      <c r="BA338" s="192"/>
      <c r="BB338" s="192"/>
      <c r="BC338" s="156"/>
      <c r="BD338" s="176"/>
      <c r="BE338" s="176"/>
    </row>
    <row r="339" spans="1:57" s="78" customFormat="1" ht="20.75" customHeight="1" thickBot="1" x14ac:dyDescent="0.45">
      <c r="A339" s="460"/>
      <c r="B339" s="177" t="s">
        <v>591</v>
      </c>
      <c r="C339" s="251" t="s">
        <v>575</v>
      </c>
      <c r="D339" s="179" t="s">
        <v>596</v>
      </c>
      <c r="E339" s="208"/>
      <c r="F339" s="208"/>
      <c r="G339" s="209" t="s">
        <v>295</v>
      </c>
      <c r="H339" s="182" t="s">
        <v>540</v>
      </c>
      <c r="I339" s="178" t="s">
        <v>73</v>
      </c>
      <c r="J339" s="178" t="s">
        <v>74</v>
      </c>
      <c r="K339" s="178" t="s">
        <v>9</v>
      </c>
      <c r="L339" s="209"/>
      <c r="M339" s="184" t="s">
        <v>150</v>
      </c>
      <c r="N339" s="185" t="s">
        <v>87</v>
      </c>
      <c r="O339" s="186">
        <v>46120</v>
      </c>
      <c r="P339" s="186">
        <v>46148</v>
      </c>
      <c r="Q339" s="186">
        <v>46157</v>
      </c>
      <c r="R339" s="187">
        <v>46167</v>
      </c>
      <c r="S339" s="186">
        <v>46167</v>
      </c>
      <c r="T339" s="186">
        <v>46172</v>
      </c>
      <c r="U339" s="186">
        <v>46230</v>
      </c>
      <c r="V339" s="186"/>
      <c r="W339" s="186"/>
      <c r="X339" s="401"/>
      <c r="Y339" s="401"/>
      <c r="Z339" s="186">
        <v>46132</v>
      </c>
      <c r="AA339" s="186"/>
      <c r="AB339" s="186"/>
      <c r="AC339" s="186"/>
      <c r="AD339" s="186"/>
      <c r="AE339" s="186"/>
      <c r="AF339" s="186"/>
      <c r="AG339" s="186"/>
      <c r="AH339" s="186"/>
      <c r="AI339" s="186"/>
      <c r="AJ339" s="186"/>
      <c r="AK339" s="188"/>
      <c r="AL339" s="211"/>
      <c r="AM339" s="187"/>
      <c r="AN339" s="187"/>
      <c r="AO339" s="211"/>
      <c r="AP339" s="271"/>
      <c r="AQ339" s="440"/>
      <c r="AR339" s="191"/>
      <c r="AS339" s="192"/>
      <c r="AT339" s="192"/>
      <c r="AU339" s="192"/>
      <c r="AV339" s="192"/>
      <c r="AW339" s="192"/>
      <c r="AX339" s="192"/>
      <c r="AY339" s="192"/>
      <c r="AZ339" s="192"/>
      <c r="BA339" s="192"/>
      <c r="BB339" s="192"/>
      <c r="BC339" s="156"/>
      <c r="BD339" s="176"/>
      <c r="BE339" s="176"/>
    </row>
    <row r="340" spans="1:57" s="78" customFormat="1" ht="20.65" customHeight="1" thickTop="1" thickBot="1" x14ac:dyDescent="0.45">
      <c r="A340" s="458">
        <f t="shared" ref="A340" si="78">A337+1</f>
        <v>99</v>
      </c>
      <c r="B340" s="139" t="s">
        <v>591</v>
      </c>
      <c r="C340" s="247" t="s">
        <v>577</v>
      </c>
      <c r="D340" s="233" t="s">
        <v>597</v>
      </c>
      <c r="E340" s="202"/>
      <c r="F340" s="202"/>
      <c r="G340" s="427" t="s">
        <v>295</v>
      </c>
      <c r="H340" s="143" t="s">
        <v>540</v>
      </c>
      <c r="I340" s="140" t="s">
        <v>73</v>
      </c>
      <c r="J340" s="140" t="s">
        <v>74</v>
      </c>
      <c r="K340" s="140" t="s">
        <v>9</v>
      </c>
      <c r="L340" s="376"/>
      <c r="M340" s="145" t="s">
        <v>150</v>
      </c>
      <c r="N340" s="146" t="s">
        <v>77</v>
      </c>
      <c r="O340" s="147">
        <v>46135</v>
      </c>
      <c r="P340" s="147">
        <v>46205</v>
      </c>
      <c r="Q340" s="147">
        <v>46220</v>
      </c>
      <c r="R340" s="147">
        <v>46222</v>
      </c>
      <c r="S340" s="147">
        <v>46222</v>
      </c>
      <c r="T340" s="147">
        <v>46227</v>
      </c>
      <c r="U340" s="147">
        <v>46238</v>
      </c>
      <c r="V340" s="148">
        <v>46248</v>
      </c>
      <c r="W340" s="147"/>
      <c r="X340" s="147">
        <v>46248</v>
      </c>
      <c r="Y340" s="147">
        <v>46248</v>
      </c>
      <c r="Z340" s="147">
        <v>46132</v>
      </c>
      <c r="AA340" s="147">
        <v>46252</v>
      </c>
      <c r="AB340" s="147">
        <v>46237</v>
      </c>
      <c r="AC340" s="147">
        <v>46373</v>
      </c>
      <c r="AD340" s="147">
        <v>46373</v>
      </c>
      <c r="AE340" s="147">
        <v>46373</v>
      </c>
      <c r="AF340" s="147">
        <v>46396</v>
      </c>
      <c r="AG340" s="147">
        <v>46402</v>
      </c>
      <c r="AH340" s="147">
        <v>46404</v>
      </c>
      <c r="AI340" s="147">
        <v>46404</v>
      </c>
      <c r="AJ340" s="147">
        <v>46434</v>
      </c>
      <c r="AK340" s="149">
        <v>8.5</v>
      </c>
      <c r="AL340" s="150">
        <v>59.5</v>
      </c>
      <c r="AM340" s="151">
        <f>AH340</f>
        <v>46404</v>
      </c>
      <c r="AN340" s="151">
        <v>46405</v>
      </c>
      <c r="AO340" s="152">
        <f>AN340-AM341</f>
        <v>1</v>
      </c>
      <c r="AP340" s="153" t="s">
        <v>542</v>
      </c>
      <c r="AQ340" s="438" t="s">
        <v>568</v>
      </c>
      <c r="AR340" s="154"/>
      <c r="AS340" s="155"/>
      <c r="AT340" s="155"/>
      <c r="AU340" s="155"/>
      <c r="AV340" s="155"/>
      <c r="AW340" s="155"/>
      <c r="AX340" s="155"/>
      <c r="AY340" s="155"/>
      <c r="AZ340" s="155"/>
      <c r="BA340" s="155"/>
      <c r="BB340" s="155"/>
      <c r="BC340" s="156"/>
      <c r="BD340" s="176"/>
      <c r="BE340" s="176"/>
    </row>
    <row r="341" spans="1:57" s="78" customFormat="1" ht="20.75" customHeight="1" thickTop="1" thickBot="1" x14ac:dyDescent="0.45">
      <c r="A341" s="459"/>
      <c r="B341" s="226" t="s">
        <v>591</v>
      </c>
      <c r="C341" s="387" t="s">
        <v>577</v>
      </c>
      <c r="D341" s="388" t="s">
        <v>597</v>
      </c>
      <c r="E341" s="389"/>
      <c r="F341" s="389"/>
      <c r="G341" s="390" t="s">
        <v>295</v>
      </c>
      <c r="H341" s="391" t="s">
        <v>540</v>
      </c>
      <c r="I341" s="392" t="s">
        <v>73</v>
      </c>
      <c r="J341" s="393" t="s">
        <v>74</v>
      </c>
      <c r="K341" s="393" t="s">
        <v>9</v>
      </c>
      <c r="L341" s="390"/>
      <c r="M341" s="394" t="s">
        <v>150</v>
      </c>
      <c r="N341" s="395" t="s">
        <v>84</v>
      </c>
      <c r="O341" s="396"/>
      <c r="P341" s="397"/>
      <c r="Q341" s="397"/>
      <c r="R341" s="397"/>
      <c r="S341" s="397"/>
      <c r="T341" s="397"/>
      <c r="U341" s="397"/>
      <c r="V341" s="168">
        <v>46244</v>
      </c>
      <c r="W341" s="168"/>
      <c r="X341" s="168">
        <v>46248</v>
      </c>
      <c r="Y341" s="168">
        <v>46248</v>
      </c>
      <c r="Z341" s="168"/>
      <c r="AA341" s="168">
        <v>46252</v>
      </c>
      <c r="AB341" s="168">
        <v>46237</v>
      </c>
      <c r="AC341" s="168">
        <v>46373</v>
      </c>
      <c r="AD341" s="168">
        <v>46373</v>
      </c>
      <c r="AE341" s="168">
        <v>46373</v>
      </c>
      <c r="AF341" s="170">
        <v>46396</v>
      </c>
      <c r="AG341" s="170">
        <v>46402</v>
      </c>
      <c r="AH341" s="170">
        <v>46404</v>
      </c>
      <c r="AI341" s="168">
        <v>46404</v>
      </c>
      <c r="AJ341" s="168">
        <v>46434</v>
      </c>
      <c r="AK341" s="399"/>
      <c r="AL341" s="270"/>
      <c r="AM341" s="170">
        <f>AH341</f>
        <v>46404</v>
      </c>
      <c r="AN341" s="400"/>
      <c r="AO341" s="270"/>
      <c r="AP341" s="270"/>
      <c r="AQ341" s="439"/>
      <c r="AR341" s="191"/>
      <c r="AS341" s="192"/>
      <c r="AT341" s="192"/>
      <c r="AU341" s="192"/>
      <c r="AV341" s="192"/>
      <c r="AW341" s="192"/>
      <c r="AX341" s="192"/>
      <c r="AY341" s="192"/>
      <c r="AZ341" s="192"/>
      <c r="BA341" s="192"/>
      <c r="BB341" s="192"/>
      <c r="BC341" s="156"/>
      <c r="BD341" s="176"/>
      <c r="BE341" s="176"/>
    </row>
    <row r="342" spans="1:57" s="78" customFormat="1" ht="20.75" customHeight="1" thickBot="1" x14ac:dyDescent="0.45">
      <c r="A342" s="460"/>
      <c r="B342" s="177" t="s">
        <v>591</v>
      </c>
      <c r="C342" s="251" t="s">
        <v>577</v>
      </c>
      <c r="D342" s="179" t="s">
        <v>597</v>
      </c>
      <c r="E342" s="208"/>
      <c r="F342" s="208"/>
      <c r="G342" s="209" t="s">
        <v>295</v>
      </c>
      <c r="H342" s="182" t="s">
        <v>540</v>
      </c>
      <c r="I342" s="178" t="s">
        <v>73</v>
      </c>
      <c r="J342" s="178" t="s">
        <v>74</v>
      </c>
      <c r="K342" s="178" t="s">
        <v>9</v>
      </c>
      <c r="L342" s="209"/>
      <c r="M342" s="184" t="s">
        <v>150</v>
      </c>
      <c r="N342" s="185" t="s">
        <v>87</v>
      </c>
      <c r="O342" s="186">
        <v>46120</v>
      </c>
      <c r="P342" s="186">
        <v>46148</v>
      </c>
      <c r="Q342" s="186">
        <v>46157</v>
      </c>
      <c r="R342" s="187">
        <v>46167</v>
      </c>
      <c r="S342" s="186">
        <v>46167</v>
      </c>
      <c r="T342" s="186">
        <v>46172</v>
      </c>
      <c r="U342" s="186">
        <v>46230</v>
      </c>
      <c r="V342" s="186"/>
      <c r="W342" s="186"/>
      <c r="X342" s="401"/>
      <c r="Y342" s="401"/>
      <c r="Z342" s="186">
        <v>46132</v>
      </c>
      <c r="AA342" s="186"/>
      <c r="AB342" s="186"/>
      <c r="AC342" s="186"/>
      <c r="AD342" s="186"/>
      <c r="AE342" s="186"/>
      <c r="AF342" s="186"/>
      <c r="AG342" s="186"/>
      <c r="AH342" s="186"/>
      <c r="AI342" s="186"/>
      <c r="AJ342" s="186"/>
      <c r="AK342" s="188"/>
      <c r="AL342" s="211"/>
      <c r="AM342" s="187"/>
      <c r="AN342" s="187"/>
      <c r="AO342" s="211"/>
      <c r="AP342" s="271"/>
      <c r="AQ342" s="440"/>
      <c r="AR342" s="191"/>
      <c r="AS342" s="192"/>
      <c r="AT342" s="192"/>
      <c r="AU342" s="192"/>
      <c r="AV342" s="192"/>
      <c r="AW342" s="192"/>
      <c r="AX342" s="192"/>
      <c r="AY342" s="192"/>
      <c r="AZ342" s="192"/>
      <c r="BA342" s="192"/>
      <c r="BB342" s="192"/>
      <c r="BC342" s="156"/>
      <c r="BD342" s="176"/>
      <c r="BE342" s="176"/>
    </row>
    <row r="343" spans="1:57" s="78" customFormat="1" ht="20.65" customHeight="1" thickTop="1" thickBot="1" x14ac:dyDescent="0.45">
      <c r="A343" s="458">
        <f t="shared" ref="A343" si="79">A340+1</f>
        <v>100</v>
      </c>
      <c r="B343" s="139" t="s">
        <v>591</v>
      </c>
      <c r="C343" s="247" t="s">
        <v>579</v>
      </c>
      <c r="D343" s="233" t="s">
        <v>598</v>
      </c>
      <c r="E343" s="202"/>
      <c r="F343" s="202"/>
      <c r="G343" s="427" t="s">
        <v>295</v>
      </c>
      <c r="H343" s="143" t="s">
        <v>540</v>
      </c>
      <c r="I343" s="140" t="s">
        <v>73</v>
      </c>
      <c r="J343" s="140" t="s">
        <v>74</v>
      </c>
      <c r="K343" s="140" t="s">
        <v>9</v>
      </c>
      <c r="L343" s="376"/>
      <c r="M343" s="145" t="s">
        <v>150</v>
      </c>
      <c r="N343" s="146" t="s">
        <v>77</v>
      </c>
      <c r="O343" s="147">
        <v>46135</v>
      </c>
      <c r="P343" s="147">
        <v>46205</v>
      </c>
      <c r="Q343" s="147">
        <v>46220</v>
      </c>
      <c r="R343" s="147">
        <v>46222</v>
      </c>
      <c r="S343" s="147">
        <v>46222</v>
      </c>
      <c r="T343" s="147">
        <v>46227</v>
      </c>
      <c r="U343" s="147">
        <v>46238</v>
      </c>
      <c r="V343" s="148">
        <v>46248</v>
      </c>
      <c r="W343" s="147"/>
      <c r="X343" s="147">
        <v>46248</v>
      </c>
      <c r="Y343" s="147">
        <v>46248</v>
      </c>
      <c r="Z343" s="147">
        <v>46132</v>
      </c>
      <c r="AA343" s="147">
        <v>46252</v>
      </c>
      <c r="AB343" s="147">
        <v>46237</v>
      </c>
      <c r="AC343" s="147">
        <v>46373</v>
      </c>
      <c r="AD343" s="147">
        <v>46373</v>
      </c>
      <c r="AE343" s="147">
        <v>46373</v>
      </c>
      <c r="AF343" s="147">
        <v>46396</v>
      </c>
      <c r="AG343" s="147">
        <v>46402</v>
      </c>
      <c r="AH343" s="147">
        <v>46404</v>
      </c>
      <c r="AI343" s="147">
        <v>46404</v>
      </c>
      <c r="AJ343" s="147">
        <v>46434</v>
      </c>
      <c r="AK343" s="149">
        <v>8.5</v>
      </c>
      <c r="AL343" s="150">
        <v>59.5</v>
      </c>
      <c r="AM343" s="151">
        <f>AH343</f>
        <v>46404</v>
      </c>
      <c r="AN343" s="151">
        <v>46426</v>
      </c>
      <c r="AO343" s="152">
        <f>AN343-AM344</f>
        <v>22</v>
      </c>
      <c r="AP343" s="153" t="s">
        <v>542</v>
      </c>
      <c r="AQ343" s="438" t="s">
        <v>568</v>
      </c>
      <c r="AR343" s="154"/>
      <c r="AS343" s="155"/>
      <c r="AT343" s="155"/>
      <c r="AU343" s="155"/>
      <c r="AV343" s="155"/>
      <c r="AW343" s="155"/>
      <c r="AX343" s="155"/>
      <c r="AY343" s="155"/>
      <c r="AZ343" s="155"/>
      <c r="BA343" s="155"/>
      <c r="BB343" s="155"/>
      <c r="BC343" s="156"/>
      <c r="BD343" s="176"/>
      <c r="BE343" s="176"/>
    </row>
    <row r="344" spans="1:57" s="78" customFormat="1" ht="20.75" customHeight="1" thickTop="1" thickBot="1" x14ac:dyDescent="0.45">
      <c r="A344" s="459"/>
      <c r="B344" s="226" t="s">
        <v>591</v>
      </c>
      <c r="C344" s="387" t="s">
        <v>581</v>
      </c>
      <c r="D344" s="388" t="s">
        <v>598</v>
      </c>
      <c r="E344" s="389"/>
      <c r="F344" s="389"/>
      <c r="G344" s="390" t="s">
        <v>295</v>
      </c>
      <c r="H344" s="391" t="s">
        <v>540</v>
      </c>
      <c r="I344" s="392" t="s">
        <v>73</v>
      </c>
      <c r="J344" s="393" t="s">
        <v>74</v>
      </c>
      <c r="K344" s="393" t="s">
        <v>9</v>
      </c>
      <c r="L344" s="390"/>
      <c r="M344" s="394" t="s">
        <v>150</v>
      </c>
      <c r="N344" s="395" t="s">
        <v>84</v>
      </c>
      <c r="O344" s="396"/>
      <c r="P344" s="397"/>
      <c r="Q344" s="397"/>
      <c r="R344" s="397"/>
      <c r="S344" s="397"/>
      <c r="T344" s="397"/>
      <c r="U344" s="397"/>
      <c r="V344" s="168">
        <v>46244</v>
      </c>
      <c r="W344" s="168"/>
      <c r="X344" s="168">
        <v>46248</v>
      </c>
      <c r="Y344" s="168">
        <v>46248</v>
      </c>
      <c r="Z344" s="168"/>
      <c r="AA344" s="168">
        <v>46252</v>
      </c>
      <c r="AB344" s="168">
        <v>46237</v>
      </c>
      <c r="AC344" s="168">
        <v>46373</v>
      </c>
      <c r="AD344" s="168">
        <v>46373</v>
      </c>
      <c r="AE344" s="168">
        <v>46373</v>
      </c>
      <c r="AF344" s="170">
        <v>46396</v>
      </c>
      <c r="AG344" s="170">
        <v>46402</v>
      </c>
      <c r="AH344" s="170">
        <v>46404</v>
      </c>
      <c r="AI344" s="168">
        <v>46404</v>
      </c>
      <c r="AJ344" s="168">
        <v>46434</v>
      </c>
      <c r="AK344" s="399"/>
      <c r="AL344" s="270"/>
      <c r="AM344" s="170">
        <f>AH344</f>
        <v>46404</v>
      </c>
      <c r="AN344" s="400"/>
      <c r="AO344" s="270"/>
      <c r="AP344" s="270"/>
      <c r="AQ344" s="439"/>
      <c r="AR344" s="191"/>
      <c r="AS344" s="192"/>
      <c r="AT344" s="192"/>
      <c r="AU344" s="192"/>
      <c r="AV344" s="192"/>
      <c r="AW344" s="192"/>
      <c r="AX344" s="192"/>
      <c r="AY344" s="192"/>
      <c r="AZ344" s="192"/>
      <c r="BA344" s="192"/>
      <c r="BB344" s="192"/>
      <c r="BC344" s="156"/>
      <c r="BD344" s="176"/>
      <c r="BE344" s="176"/>
    </row>
    <row r="345" spans="1:57" s="78" customFormat="1" ht="20.75" customHeight="1" thickBot="1" x14ac:dyDescent="0.45">
      <c r="A345" s="460"/>
      <c r="B345" s="177" t="s">
        <v>591</v>
      </c>
      <c r="C345" s="251" t="s">
        <v>581</v>
      </c>
      <c r="D345" s="179" t="s">
        <v>598</v>
      </c>
      <c r="E345" s="208"/>
      <c r="F345" s="208"/>
      <c r="G345" s="209" t="s">
        <v>295</v>
      </c>
      <c r="H345" s="182" t="s">
        <v>540</v>
      </c>
      <c r="I345" s="178" t="s">
        <v>73</v>
      </c>
      <c r="J345" s="178" t="s">
        <v>74</v>
      </c>
      <c r="K345" s="178" t="s">
        <v>9</v>
      </c>
      <c r="L345" s="209"/>
      <c r="M345" s="184" t="s">
        <v>150</v>
      </c>
      <c r="N345" s="185" t="s">
        <v>87</v>
      </c>
      <c r="O345" s="186">
        <v>46120</v>
      </c>
      <c r="P345" s="186">
        <v>46148</v>
      </c>
      <c r="Q345" s="186">
        <v>46157</v>
      </c>
      <c r="R345" s="187">
        <v>46167</v>
      </c>
      <c r="S345" s="186">
        <v>46167</v>
      </c>
      <c r="T345" s="186">
        <v>46172</v>
      </c>
      <c r="U345" s="186">
        <v>46230</v>
      </c>
      <c r="V345" s="186"/>
      <c r="W345" s="186"/>
      <c r="X345" s="401"/>
      <c r="Y345" s="401"/>
      <c r="Z345" s="186">
        <v>46132</v>
      </c>
      <c r="AA345" s="186"/>
      <c r="AB345" s="186"/>
      <c r="AC345" s="186"/>
      <c r="AD345" s="186"/>
      <c r="AE345" s="186"/>
      <c r="AF345" s="186"/>
      <c r="AG345" s="186"/>
      <c r="AH345" s="186"/>
      <c r="AI345" s="186"/>
      <c r="AJ345" s="186"/>
      <c r="AK345" s="188"/>
      <c r="AL345" s="211"/>
      <c r="AM345" s="187"/>
      <c r="AN345" s="187"/>
      <c r="AO345" s="211"/>
      <c r="AP345" s="271"/>
      <c r="AQ345" s="440"/>
      <c r="AR345" s="191"/>
      <c r="AS345" s="192"/>
      <c r="AT345" s="192"/>
      <c r="AU345" s="192"/>
      <c r="AV345" s="192"/>
      <c r="AW345" s="192"/>
      <c r="AX345" s="192"/>
      <c r="AY345" s="192"/>
      <c r="AZ345" s="192"/>
      <c r="BA345" s="192"/>
      <c r="BB345" s="192"/>
      <c r="BC345" s="156"/>
      <c r="BD345" s="176"/>
      <c r="BE345" s="176"/>
    </row>
    <row r="346" spans="1:57" s="78" customFormat="1" ht="20.65" customHeight="1" thickTop="1" thickBot="1" x14ac:dyDescent="0.45">
      <c r="A346" s="458">
        <f t="shared" ref="A346" si="80">A343+1</f>
        <v>101</v>
      </c>
      <c r="B346" s="139" t="s">
        <v>599</v>
      </c>
      <c r="C346" s="247" t="s">
        <v>565</v>
      </c>
      <c r="D346" s="233" t="s">
        <v>600</v>
      </c>
      <c r="E346" s="202"/>
      <c r="F346" s="202"/>
      <c r="G346" s="427" t="s">
        <v>295</v>
      </c>
      <c r="H346" s="143" t="s">
        <v>540</v>
      </c>
      <c r="I346" s="140" t="s">
        <v>73</v>
      </c>
      <c r="J346" s="140" t="s">
        <v>74</v>
      </c>
      <c r="K346" s="140" t="s">
        <v>9</v>
      </c>
      <c r="L346" s="376"/>
      <c r="M346" s="145" t="s">
        <v>150</v>
      </c>
      <c r="N346" s="146" t="s">
        <v>77</v>
      </c>
      <c r="O346" s="147">
        <v>46135</v>
      </c>
      <c r="P346" s="147">
        <v>46220</v>
      </c>
      <c r="Q346" s="147">
        <v>46235</v>
      </c>
      <c r="R346" s="147">
        <v>46237</v>
      </c>
      <c r="S346" s="147">
        <v>46237</v>
      </c>
      <c r="T346" s="147">
        <v>46242</v>
      </c>
      <c r="U346" s="147">
        <v>46253</v>
      </c>
      <c r="V346" s="147">
        <v>46263</v>
      </c>
      <c r="W346" s="147"/>
      <c r="X346" s="148">
        <v>46263</v>
      </c>
      <c r="Y346" s="147">
        <v>46263</v>
      </c>
      <c r="Z346" s="147">
        <v>46132</v>
      </c>
      <c r="AA346" s="147">
        <v>46267</v>
      </c>
      <c r="AB346" s="147">
        <v>46252</v>
      </c>
      <c r="AC346" s="147">
        <v>46283</v>
      </c>
      <c r="AD346" s="147">
        <v>46283</v>
      </c>
      <c r="AE346" s="147">
        <v>46283</v>
      </c>
      <c r="AF346" s="147">
        <v>46306</v>
      </c>
      <c r="AG346" s="147">
        <v>46312</v>
      </c>
      <c r="AH346" s="147">
        <v>46314</v>
      </c>
      <c r="AI346" s="147">
        <v>46314</v>
      </c>
      <c r="AJ346" s="147">
        <v>46344</v>
      </c>
      <c r="AK346" s="149">
        <v>8.5</v>
      </c>
      <c r="AL346" s="150">
        <v>59.5</v>
      </c>
      <c r="AM346" s="151">
        <v>46299</v>
      </c>
      <c r="AN346" s="151">
        <v>46315</v>
      </c>
      <c r="AO346" s="152">
        <f>AN346-AM347</f>
        <v>1</v>
      </c>
      <c r="AP346" s="153" t="s">
        <v>542</v>
      </c>
      <c r="AQ346" s="438" t="s">
        <v>568</v>
      </c>
      <c r="AR346" s="154"/>
      <c r="AS346" s="155"/>
      <c r="AT346" s="155"/>
      <c r="AU346" s="155"/>
      <c r="AV346" s="155"/>
      <c r="AW346" s="155"/>
      <c r="AX346" s="155"/>
      <c r="AY346" s="155"/>
      <c r="AZ346" s="155"/>
      <c r="BA346" s="155"/>
      <c r="BB346" s="155"/>
      <c r="BC346" s="156"/>
      <c r="BD346" s="176"/>
      <c r="BE346" s="176"/>
    </row>
    <row r="347" spans="1:57" s="78" customFormat="1" ht="20.75" customHeight="1" thickTop="1" thickBot="1" x14ac:dyDescent="0.45">
      <c r="A347" s="459"/>
      <c r="B347" s="226" t="s">
        <v>599</v>
      </c>
      <c r="C347" s="387" t="s">
        <v>565</v>
      </c>
      <c r="D347" s="402" t="s">
        <v>600</v>
      </c>
      <c r="E347" s="389"/>
      <c r="F347" s="389"/>
      <c r="G347" s="390" t="s">
        <v>295</v>
      </c>
      <c r="H347" s="391" t="s">
        <v>540</v>
      </c>
      <c r="I347" s="392" t="s">
        <v>73</v>
      </c>
      <c r="J347" s="393" t="s">
        <v>74</v>
      </c>
      <c r="K347" s="393" t="s">
        <v>9</v>
      </c>
      <c r="L347" s="390"/>
      <c r="M347" s="394" t="s">
        <v>150</v>
      </c>
      <c r="N347" s="395" t="s">
        <v>84</v>
      </c>
      <c r="O347" s="396"/>
      <c r="P347" s="397"/>
      <c r="Q347" s="397"/>
      <c r="R347" s="397"/>
      <c r="S347" s="397"/>
      <c r="T347" s="397"/>
      <c r="U347" s="397"/>
      <c r="V347" s="168"/>
      <c r="W347" s="168"/>
      <c r="X347" s="168">
        <v>46263</v>
      </c>
      <c r="Y347" s="168">
        <v>46263</v>
      </c>
      <c r="Z347" s="168"/>
      <c r="AA347" s="168">
        <v>46267</v>
      </c>
      <c r="AB347" s="168">
        <v>46252</v>
      </c>
      <c r="AC347" s="168">
        <v>46283</v>
      </c>
      <c r="AD347" s="168">
        <v>46283</v>
      </c>
      <c r="AE347" s="168">
        <v>46283</v>
      </c>
      <c r="AF347" s="170">
        <v>46306</v>
      </c>
      <c r="AG347" s="170">
        <v>46312</v>
      </c>
      <c r="AH347" s="170">
        <v>46314</v>
      </c>
      <c r="AI347" s="168">
        <v>46314</v>
      </c>
      <c r="AJ347" s="168">
        <v>46344</v>
      </c>
      <c r="AK347" s="399"/>
      <c r="AL347" s="270"/>
      <c r="AM347" s="170">
        <f>AH347</f>
        <v>46314</v>
      </c>
      <c r="AN347" s="400"/>
      <c r="AO347" s="270"/>
      <c r="AP347" s="270"/>
      <c r="AQ347" s="439"/>
      <c r="AR347" s="191"/>
      <c r="AS347" s="192"/>
      <c r="AT347" s="192"/>
      <c r="AU347" s="192"/>
      <c r="AV347" s="192"/>
      <c r="AW347" s="192"/>
      <c r="AX347" s="192"/>
      <c r="AY347" s="192"/>
      <c r="AZ347" s="192"/>
      <c r="BA347" s="192"/>
      <c r="BB347" s="192"/>
      <c r="BC347" s="156"/>
      <c r="BD347" s="176"/>
      <c r="BE347" s="176"/>
    </row>
    <row r="348" spans="1:57" s="78" customFormat="1" ht="20.65" customHeight="1" thickBot="1" x14ac:dyDescent="0.45">
      <c r="A348" s="460"/>
      <c r="B348" s="177" t="s">
        <v>599</v>
      </c>
      <c r="C348" s="251" t="s">
        <v>565</v>
      </c>
      <c r="D348" s="179" t="s">
        <v>600</v>
      </c>
      <c r="E348" s="208"/>
      <c r="F348" s="208"/>
      <c r="G348" s="209" t="s">
        <v>295</v>
      </c>
      <c r="H348" s="182" t="s">
        <v>540</v>
      </c>
      <c r="I348" s="178" t="s">
        <v>73</v>
      </c>
      <c r="J348" s="178" t="s">
        <v>74</v>
      </c>
      <c r="K348" s="178" t="s">
        <v>9</v>
      </c>
      <c r="L348" s="209"/>
      <c r="M348" s="184" t="s">
        <v>150</v>
      </c>
      <c r="N348" s="185" t="s">
        <v>87</v>
      </c>
      <c r="O348" s="186">
        <v>46120</v>
      </c>
      <c r="P348" s="186">
        <v>46148</v>
      </c>
      <c r="Q348" s="186">
        <v>46157</v>
      </c>
      <c r="R348" s="187">
        <v>46167</v>
      </c>
      <c r="S348" s="186">
        <v>46167</v>
      </c>
      <c r="T348" s="186">
        <v>46172</v>
      </c>
      <c r="U348" s="186">
        <v>46230</v>
      </c>
      <c r="V348" s="186">
        <v>46233</v>
      </c>
      <c r="W348" s="186"/>
      <c r="X348" s="401"/>
      <c r="Y348" s="401"/>
      <c r="Z348" s="186">
        <v>46132</v>
      </c>
      <c r="AA348" s="186"/>
      <c r="AB348" s="186"/>
      <c r="AC348" s="186"/>
      <c r="AD348" s="186"/>
      <c r="AE348" s="186"/>
      <c r="AF348" s="186"/>
      <c r="AG348" s="186"/>
      <c r="AH348" s="186"/>
      <c r="AI348" s="186"/>
      <c r="AJ348" s="186"/>
      <c r="AK348" s="188"/>
      <c r="AL348" s="211"/>
      <c r="AM348" s="187"/>
      <c r="AN348" s="187"/>
      <c r="AO348" s="211"/>
      <c r="AP348" s="271"/>
      <c r="AQ348" s="440"/>
      <c r="AR348" s="191"/>
      <c r="AS348" s="192"/>
      <c r="AT348" s="192"/>
      <c r="AU348" s="192"/>
      <c r="AV348" s="192"/>
      <c r="AW348" s="192"/>
      <c r="AX348" s="192"/>
      <c r="AY348" s="192"/>
      <c r="AZ348" s="192"/>
      <c r="BA348" s="192"/>
      <c r="BB348" s="192"/>
      <c r="BC348" s="156"/>
      <c r="BD348" s="176"/>
      <c r="BE348" s="176"/>
    </row>
    <row r="349" spans="1:57" s="78" customFormat="1" ht="20.65" customHeight="1" thickTop="1" thickBot="1" x14ac:dyDescent="0.45">
      <c r="A349" s="458">
        <f t="shared" ref="A349" si="81">A346+1</f>
        <v>102</v>
      </c>
      <c r="B349" s="139" t="s">
        <v>599</v>
      </c>
      <c r="C349" s="247" t="s">
        <v>569</v>
      </c>
      <c r="D349" s="233" t="s">
        <v>601</v>
      </c>
      <c r="E349" s="202"/>
      <c r="F349" s="202"/>
      <c r="G349" s="427" t="s">
        <v>295</v>
      </c>
      <c r="H349" s="143" t="s">
        <v>540</v>
      </c>
      <c r="I349" s="140" t="s">
        <v>73</v>
      </c>
      <c r="J349" s="140" t="s">
        <v>74</v>
      </c>
      <c r="K349" s="140" t="s">
        <v>9</v>
      </c>
      <c r="L349" s="376"/>
      <c r="M349" s="145" t="s">
        <v>150</v>
      </c>
      <c r="N349" s="146" t="s">
        <v>77</v>
      </c>
      <c r="O349" s="147">
        <v>46135</v>
      </c>
      <c r="P349" s="147">
        <v>46220</v>
      </c>
      <c r="Q349" s="147">
        <v>46235</v>
      </c>
      <c r="R349" s="147">
        <v>46237</v>
      </c>
      <c r="S349" s="147">
        <v>46237</v>
      </c>
      <c r="T349" s="147">
        <v>46242</v>
      </c>
      <c r="U349" s="147">
        <v>46253</v>
      </c>
      <c r="V349" s="147">
        <v>46263</v>
      </c>
      <c r="W349" s="147"/>
      <c r="X349" s="148">
        <v>46263</v>
      </c>
      <c r="Y349" s="147">
        <v>46263</v>
      </c>
      <c r="Z349" s="147">
        <v>46132</v>
      </c>
      <c r="AA349" s="147">
        <v>46267</v>
      </c>
      <c r="AB349" s="147">
        <v>46252</v>
      </c>
      <c r="AC349" s="147">
        <v>46304</v>
      </c>
      <c r="AD349" s="147">
        <v>46304</v>
      </c>
      <c r="AE349" s="147">
        <v>46304</v>
      </c>
      <c r="AF349" s="147">
        <v>46327</v>
      </c>
      <c r="AG349" s="147">
        <v>46333</v>
      </c>
      <c r="AH349" s="147">
        <v>46335</v>
      </c>
      <c r="AI349" s="147">
        <v>46335</v>
      </c>
      <c r="AJ349" s="147">
        <v>46365</v>
      </c>
      <c r="AK349" s="149">
        <v>8.5</v>
      </c>
      <c r="AL349" s="150">
        <v>59.5</v>
      </c>
      <c r="AM349" s="151">
        <f>AH349</f>
        <v>46335</v>
      </c>
      <c r="AN349" s="151">
        <v>46336</v>
      </c>
      <c r="AO349" s="152">
        <f>AN349-AM350</f>
        <v>1</v>
      </c>
      <c r="AP349" s="153" t="s">
        <v>542</v>
      </c>
      <c r="AQ349" s="438" t="s">
        <v>568</v>
      </c>
      <c r="AR349" s="154"/>
      <c r="AS349" s="155"/>
      <c r="AT349" s="155"/>
      <c r="AU349" s="155"/>
      <c r="AV349" s="155"/>
      <c r="AW349" s="155"/>
      <c r="AX349" s="155"/>
      <c r="AY349" s="155"/>
      <c r="AZ349" s="155"/>
      <c r="BA349" s="155"/>
      <c r="BB349" s="155"/>
      <c r="BC349" s="156"/>
      <c r="BD349" s="176"/>
      <c r="BE349" s="176"/>
    </row>
    <row r="350" spans="1:57" s="78" customFormat="1" ht="20.75" customHeight="1" thickTop="1" thickBot="1" x14ac:dyDescent="0.45">
      <c r="A350" s="459"/>
      <c r="B350" s="226" t="s">
        <v>599</v>
      </c>
      <c r="C350" s="387" t="s">
        <v>569</v>
      </c>
      <c r="D350" s="388" t="s">
        <v>601</v>
      </c>
      <c r="E350" s="389"/>
      <c r="F350" s="389"/>
      <c r="G350" s="390" t="s">
        <v>295</v>
      </c>
      <c r="H350" s="391" t="s">
        <v>540</v>
      </c>
      <c r="I350" s="392" t="s">
        <v>73</v>
      </c>
      <c r="J350" s="393" t="s">
        <v>74</v>
      </c>
      <c r="K350" s="393" t="s">
        <v>9</v>
      </c>
      <c r="L350" s="390"/>
      <c r="M350" s="394" t="s">
        <v>150</v>
      </c>
      <c r="N350" s="395" t="s">
        <v>84</v>
      </c>
      <c r="O350" s="396"/>
      <c r="P350" s="397"/>
      <c r="Q350" s="397"/>
      <c r="R350" s="397"/>
      <c r="S350" s="397"/>
      <c r="T350" s="397"/>
      <c r="U350" s="397"/>
      <c r="V350" s="168"/>
      <c r="W350" s="168"/>
      <c r="X350" s="168">
        <v>46263</v>
      </c>
      <c r="Y350" s="168">
        <v>46263</v>
      </c>
      <c r="Z350" s="168"/>
      <c r="AA350" s="168">
        <v>46267</v>
      </c>
      <c r="AB350" s="168">
        <v>46252</v>
      </c>
      <c r="AC350" s="168">
        <v>46304</v>
      </c>
      <c r="AD350" s="168">
        <v>46304</v>
      </c>
      <c r="AE350" s="168">
        <v>46304</v>
      </c>
      <c r="AF350" s="170">
        <v>46327</v>
      </c>
      <c r="AG350" s="170">
        <v>46333</v>
      </c>
      <c r="AH350" s="170">
        <v>46335</v>
      </c>
      <c r="AI350" s="168">
        <v>46335</v>
      </c>
      <c r="AJ350" s="168">
        <v>46365</v>
      </c>
      <c r="AK350" s="399"/>
      <c r="AL350" s="270"/>
      <c r="AM350" s="170">
        <f>AH350</f>
        <v>46335</v>
      </c>
      <c r="AN350" s="400"/>
      <c r="AO350" s="270"/>
      <c r="AP350" s="270"/>
      <c r="AQ350" s="439"/>
      <c r="AR350" s="191"/>
      <c r="AS350" s="192"/>
      <c r="AT350" s="192"/>
      <c r="AU350" s="192"/>
      <c r="AV350" s="192"/>
      <c r="AW350" s="192"/>
      <c r="AX350" s="192"/>
      <c r="AY350" s="192"/>
      <c r="AZ350" s="192"/>
      <c r="BA350" s="192"/>
      <c r="BB350" s="192"/>
      <c r="BC350" s="156"/>
      <c r="BD350" s="176"/>
      <c r="BE350" s="176"/>
    </row>
    <row r="351" spans="1:57" s="78" customFormat="1" ht="20.75" customHeight="1" thickBot="1" x14ac:dyDescent="0.45">
      <c r="A351" s="460"/>
      <c r="B351" s="177" t="s">
        <v>599</v>
      </c>
      <c r="C351" s="251" t="s">
        <v>569</v>
      </c>
      <c r="D351" s="179" t="s">
        <v>601</v>
      </c>
      <c r="E351" s="208"/>
      <c r="F351" s="208"/>
      <c r="G351" s="209" t="s">
        <v>295</v>
      </c>
      <c r="H351" s="182" t="s">
        <v>540</v>
      </c>
      <c r="I351" s="178" t="s">
        <v>73</v>
      </c>
      <c r="J351" s="178" t="s">
        <v>74</v>
      </c>
      <c r="K351" s="178" t="s">
        <v>9</v>
      </c>
      <c r="L351" s="209"/>
      <c r="M351" s="184" t="s">
        <v>150</v>
      </c>
      <c r="N351" s="185" t="s">
        <v>87</v>
      </c>
      <c r="O351" s="186">
        <v>46120</v>
      </c>
      <c r="P351" s="186">
        <v>46148</v>
      </c>
      <c r="Q351" s="186">
        <v>46157</v>
      </c>
      <c r="R351" s="187">
        <v>46167</v>
      </c>
      <c r="S351" s="186">
        <v>46167</v>
      </c>
      <c r="T351" s="186">
        <v>46172</v>
      </c>
      <c r="U351" s="186">
        <v>46230</v>
      </c>
      <c r="V351" s="186">
        <v>46233</v>
      </c>
      <c r="W351" s="186"/>
      <c r="X351" s="401"/>
      <c r="Y351" s="401"/>
      <c r="Z351" s="186">
        <v>46132</v>
      </c>
      <c r="AA351" s="186"/>
      <c r="AB351" s="186"/>
      <c r="AC351" s="186"/>
      <c r="AD351" s="186"/>
      <c r="AE351" s="186"/>
      <c r="AF351" s="186"/>
      <c r="AG351" s="186"/>
      <c r="AH351" s="186"/>
      <c r="AI351" s="186"/>
      <c r="AJ351" s="186"/>
      <c r="AK351" s="188"/>
      <c r="AL351" s="211"/>
      <c r="AM351" s="187"/>
      <c r="AN351" s="187"/>
      <c r="AO351" s="211"/>
      <c r="AP351" s="271"/>
      <c r="AQ351" s="440"/>
      <c r="AR351" s="191"/>
      <c r="AS351" s="192"/>
      <c r="AT351" s="192"/>
      <c r="AU351" s="192"/>
      <c r="AV351" s="192"/>
      <c r="AW351" s="192"/>
      <c r="AX351" s="192"/>
      <c r="AY351" s="192"/>
      <c r="AZ351" s="192"/>
      <c r="BA351" s="192"/>
      <c r="BB351" s="192"/>
      <c r="BC351" s="156"/>
      <c r="BD351" s="176"/>
      <c r="BE351" s="176"/>
    </row>
    <row r="352" spans="1:57" s="78" customFormat="1" ht="20.65" customHeight="1" thickTop="1" thickBot="1" x14ac:dyDescent="0.45">
      <c r="A352" s="458">
        <f t="shared" ref="A352" si="82">A349+1</f>
        <v>103</v>
      </c>
      <c r="B352" s="139" t="s">
        <v>599</v>
      </c>
      <c r="C352" s="247" t="s">
        <v>571</v>
      </c>
      <c r="D352" s="233" t="s">
        <v>602</v>
      </c>
      <c r="E352" s="202"/>
      <c r="F352" s="202"/>
      <c r="G352" s="427" t="s">
        <v>295</v>
      </c>
      <c r="H352" s="143" t="s">
        <v>540</v>
      </c>
      <c r="I352" s="140" t="s">
        <v>73</v>
      </c>
      <c r="J352" s="140" t="s">
        <v>74</v>
      </c>
      <c r="K352" s="140" t="s">
        <v>9</v>
      </c>
      <c r="L352" s="376"/>
      <c r="M352" s="145" t="s">
        <v>150</v>
      </c>
      <c r="N352" s="146" t="s">
        <v>77</v>
      </c>
      <c r="O352" s="147">
        <v>46135</v>
      </c>
      <c r="P352" s="147">
        <v>46220</v>
      </c>
      <c r="Q352" s="147">
        <v>46235</v>
      </c>
      <c r="R352" s="147">
        <v>46237</v>
      </c>
      <c r="S352" s="147">
        <v>46237</v>
      </c>
      <c r="T352" s="147">
        <v>46242</v>
      </c>
      <c r="U352" s="147">
        <v>46253</v>
      </c>
      <c r="V352" s="147">
        <v>46263</v>
      </c>
      <c r="W352" s="147"/>
      <c r="X352" s="147">
        <v>46263</v>
      </c>
      <c r="Y352" s="147">
        <v>46263</v>
      </c>
      <c r="Z352" s="147">
        <v>46132</v>
      </c>
      <c r="AA352" s="148">
        <v>46267</v>
      </c>
      <c r="AB352" s="147">
        <v>46252</v>
      </c>
      <c r="AC352" s="147">
        <v>46325</v>
      </c>
      <c r="AD352" s="147">
        <v>46325</v>
      </c>
      <c r="AE352" s="147">
        <v>46325</v>
      </c>
      <c r="AF352" s="147">
        <v>46348</v>
      </c>
      <c r="AG352" s="147">
        <v>46354</v>
      </c>
      <c r="AH352" s="147">
        <v>46356</v>
      </c>
      <c r="AI352" s="147">
        <v>46356</v>
      </c>
      <c r="AJ352" s="147">
        <v>46386</v>
      </c>
      <c r="AK352" s="149">
        <v>8.5</v>
      </c>
      <c r="AL352" s="150">
        <v>59.5</v>
      </c>
      <c r="AM352" s="151">
        <f>AH352</f>
        <v>46356</v>
      </c>
      <c r="AN352" s="151">
        <v>46357</v>
      </c>
      <c r="AO352" s="152">
        <f>AN352-AM353</f>
        <v>1</v>
      </c>
      <c r="AP352" s="153" t="s">
        <v>542</v>
      </c>
      <c r="AQ352" s="438" t="s">
        <v>568</v>
      </c>
      <c r="AR352" s="154"/>
      <c r="AS352" s="155"/>
      <c r="AT352" s="155"/>
      <c r="AU352" s="155"/>
      <c r="AV352" s="155"/>
      <c r="AW352" s="155"/>
      <c r="AX352" s="155"/>
      <c r="AY352" s="155"/>
      <c r="AZ352" s="155"/>
      <c r="BA352" s="155"/>
      <c r="BB352" s="155"/>
      <c r="BC352" s="156"/>
      <c r="BD352" s="176"/>
      <c r="BE352" s="176"/>
    </row>
    <row r="353" spans="1:57" s="78" customFormat="1" ht="20.75" customHeight="1" thickTop="1" thickBot="1" x14ac:dyDescent="0.45">
      <c r="A353" s="459"/>
      <c r="B353" s="226" t="s">
        <v>599</v>
      </c>
      <c r="C353" s="387" t="s">
        <v>571</v>
      </c>
      <c r="D353" s="388" t="s">
        <v>602</v>
      </c>
      <c r="E353" s="389"/>
      <c r="F353" s="389"/>
      <c r="G353" s="390" t="s">
        <v>295</v>
      </c>
      <c r="H353" s="391" t="s">
        <v>540</v>
      </c>
      <c r="I353" s="392" t="s">
        <v>73</v>
      </c>
      <c r="J353" s="393" t="s">
        <v>74</v>
      </c>
      <c r="K353" s="393" t="s">
        <v>9</v>
      </c>
      <c r="L353" s="390"/>
      <c r="M353" s="394" t="s">
        <v>150</v>
      </c>
      <c r="N353" s="395" t="s">
        <v>84</v>
      </c>
      <c r="O353" s="396"/>
      <c r="P353" s="397"/>
      <c r="Q353" s="397"/>
      <c r="R353" s="397"/>
      <c r="S353" s="397"/>
      <c r="T353" s="397"/>
      <c r="U353" s="397"/>
      <c r="V353" s="168"/>
      <c r="W353" s="168"/>
      <c r="X353" s="168"/>
      <c r="Y353" s="168"/>
      <c r="Z353" s="168"/>
      <c r="AA353" s="168">
        <v>46267</v>
      </c>
      <c r="AB353" s="168">
        <v>46252</v>
      </c>
      <c r="AC353" s="168">
        <v>46325</v>
      </c>
      <c r="AD353" s="168">
        <v>46325</v>
      </c>
      <c r="AE353" s="168">
        <v>46325</v>
      </c>
      <c r="AF353" s="170">
        <v>46348</v>
      </c>
      <c r="AG353" s="170">
        <v>46354</v>
      </c>
      <c r="AH353" s="170">
        <v>46356</v>
      </c>
      <c r="AI353" s="168">
        <v>46356</v>
      </c>
      <c r="AJ353" s="168">
        <v>46386</v>
      </c>
      <c r="AK353" s="399"/>
      <c r="AL353" s="270"/>
      <c r="AM353" s="170">
        <f>AH353</f>
        <v>46356</v>
      </c>
      <c r="AN353" s="400"/>
      <c r="AO353" s="270"/>
      <c r="AP353" s="270"/>
      <c r="AQ353" s="439"/>
      <c r="AR353" s="191"/>
      <c r="AS353" s="192"/>
      <c r="AT353" s="192"/>
      <c r="AU353" s="192"/>
      <c r="AV353" s="192"/>
      <c r="AW353" s="192"/>
      <c r="AX353" s="192"/>
      <c r="AY353" s="192"/>
      <c r="AZ353" s="192"/>
      <c r="BA353" s="192"/>
      <c r="BB353" s="192"/>
      <c r="BC353" s="156"/>
      <c r="BD353" s="176"/>
      <c r="BE353" s="176"/>
    </row>
    <row r="354" spans="1:57" s="78" customFormat="1" ht="20.75" customHeight="1" thickBot="1" x14ac:dyDescent="0.45">
      <c r="A354" s="460"/>
      <c r="B354" s="177" t="s">
        <v>599</v>
      </c>
      <c r="C354" s="251" t="s">
        <v>571</v>
      </c>
      <c r="D354" s="179" t="s">
        <v>602</v>
      </c>
      <c r="E354" s="208"/>
      <c r="F354" s="208"/>
      <c r="G354" s="209" t="s">
        <v>295</v>
      </c>
      <c r="H354" s="182" t="s">
        <v>540</v>
      </c>
      <c r="I354" s="178" t="s">
        <v>73</v>
      </c>
      <c r="J354" s="178" t="s">
        <v>74</v>
      </c>
      <c r="K354" s="178" t="s">
        <v>9</v>
      </c>
      <c r="L354" s="209"/>
      <c r="M354" s="184" t="s">
        <v>150</v>
      </c>
      <c r="N354" s="185" t="s">
        <v>87</v>
      </c>
      <c r="O354" s="186">
        <v>46120</v>
      </c>
      <c r="P354" s="186">
        <v>46148</v>
      </c>
      <c r="Q354" s="186">
        <v>46157</v>
      </c>
      <c r="R354" s="187">
        <v>46167</v>
      </c>
      <c r="S354" s="186">
        <v>46167</v>
      </c>
      <c r="T354" s="186">
        <v>46172</v>
      </c>
      <c r="U354" s="186">
        <v>46230</v>
      </c>
      <c r="V354" s="186">
        <v>46233</v>
      </c>
      <c r="W354" s="186"/>
      <c r="X354" s="401">
        <v>46233</v>
      </c>
      <c r="Y354" s="401">
        <v>46233</v>
      </c>
      <c r="Z354" s="186">
        <v>46132</v>
      </c>
      <c r="AA354" s="186">
        <v>46233</v>
      </c>
      <c r="AB354" s="186"/>
      <c r="AC354" s="186"/>
      <c r="AD354" s="186"/>
      <c r="AE354" s="186"/>
      <c r="AF354" s="186"/>
      <c r="AG354" s="186"/>
      <c r="AH354" s="186"/>
      <c r="AI354" s="186"/>
      <c r="AJ354" s="186"/>
      <c r="AK354" s="188"/>
      <c r="AL354" s="211"/>
      <c r="AM354" s="187"/>
      <c r="AN354" s="187"/>
      <c r="AO354" s="211"/>
      <c r="AP354" s="271"/>
      <c r="AQ354" s="440"/>
      <c r="AR354" s="191"/>
      <c r="AS354" s="192"/>
      <c r="AT354" s="192"/>
      <c r="AU354" s="192"/>
      <c r="AV354" s="192"/>
      <c r="AW354" s="192"/>
      <c r="AX354" s="192"/>
      <c r="AY354" s="192"/>
      <c r="AZ354" s="192"/>
      <c r="BA354" s="192"/>
      <c r="BB354" s="192"/>
      <c r="BC354" s="156"/>
      <c r="BD354" s="176"/>
      <c r="BE354" s="176"/>
    </row>
    <row r="355" spans="1:57" s="78" customFormat="1" ht="20.65" customHeight="1" thickTop="1" thickBot="1" x14ac:dyDescent="0.45">
      <c r="A355" s="458">
        <f t="shared" ref="A355" si="83">A352+1</f>
        <v>104</v>
      </c>
      <c r="B355" s="139" t="s">
        <v>599</v>
      </c>
      <c r="C355" s="247" t="s">
        <v>573</v>
      </c>
      <c r="D355" s="233" t="s">
        <v>603</v>
      </c>
      <c r="E355" s="202"/>
      <c r="F355" s="202"/>
      <c r="G355" s="427" t="s">
        <v>295</v>
      </c>
      <c r="H355" s="143" t="s">
        <v>540</v>
      </c>
      <c r="I355" s="140" t="s">
        <v>73</v>
      </c>
      <c r="J355" s="140" t="s">
        <v>74</v>
      </c>
      <c r="K355" s="140" t="s">
        <v>9</v>
      </c>
      <c r="L355" s="376"/>
      <c r="M355" s="145" t="s">
        <v>150</v>
      </c>
      <c r="N355" s="146" t="s">
        <v>77</v>
      </c>
      <c r="O355" s="147">
        <v>46135</v>
      </c>
      <c r="P355" s="147">
        <v>46220</v>
      </c>
      <c r="Q355" s="147">
        <v>46235</v>
      </c>
      <c r="R355" s="147">
        <v>46237</v>
      </c>
      <c r="S355" s="147">
        <v>46237</v>
      </c>
      <c r="T355" s="147">
        <v>46242</v>
      </c>
      <c r="U355" s="147">
        <v>46253</v>
      </c>
      <c r="V355" s="147">
        <v>46263</v>
      </c>
      <c r="W355" s="147"/>
      <c r="X355" s="147">
        <v>46263</v>
      </c>
      <c r="Y355" s="147">
        <v>46263</v>
      </c>
      <c r="Z355" s="147">
        <v>46132</v>
      </c>
      <c r="AA355" s="148">
        <v>46267</v>
      </c>
      <c r="AB355" s="147">
        <v>46252</v>
      </c>
      <c r="AC355" s="147">
        <v>46346</v>
      </c>
      <c r="AD355" s="147">
        <v>46346</v>
      </c>
      <c r="AE355" s="147">
        <v>46346</v>
      </c>
      <c r="AF355" s="147">
        <v>46369</v>
      </c>
      <c r="AG355" s="147">
        <v>46375</v>
      </c>
      <c r="AH355" s="147">
        <v>46377</v>
      </c>
      <c r="AI355" s="147">
        <v>46377</v>
      </c>
      <c r="AJ355" s="147">
        <v>46407</v>
      </c>
      <c r="AK355" s="149">
        <v>8.5</v>
      </c>
      <c r="AL355" s="150">
        <v>59.5</v>
      </c>
      <c r="AM355" s="151">
        <f>AH355</f>
        <v>46377</v>
      </c>
      <c r="AN355" s="151">
        <v>46378</v>
      </c>
      <c r="AO355" s="152">
        <f>AN355-AM356</f>
        <v>1</v>
      </c>
      <c r="AP355" s="153" t="s">
        <v>542</v>
      </c>
      <c r="AQ355" s="438" t="s">
        <v>568</v>
      </c>
      <c r="AR355" s="154"/>
      <c r="AS355" s="155"/>
      <c r="AT355" s="155"/>
      <c r="AU355" s="155"/>
      <c r="AV355" s="155"/>
      <c r="AW355" s="155"/>
      <c r="AX355" s="155"/>
      <c r="AY355" s="155"/>
      <c r="AZ355" s="155"/>
      <c r="BA355" s="155"/>
      <c r="BB355" s="155"/>
      <c r="BC355" s="156"/>
      <c r="BD355" s="176"/>
      <c r="BE355" s="176"/>
    </row>
    <row r="356" spans="1:57" s="78" customFormat="1" ht="20.75" customHeight="1" thickTop="1" thickBot="1" x14ac:dyDescent="0.45">
      <c r="A356" s="459"/>
      <c r="B356" s="226" t="s">
        <v>599</v>
      </c>
      <c r="C356" s="387" t="s">
        <v>573</v>
      </c>
      <c r="D356" s="388" t="s">
        <v>603</v>
      </c>
      <c r="E356" s="389"/>
      <c r="F356" s="389"/>
      <c r="G356" s="390" t="s">
        <v>295</v>
      </c>
      <c r="H356" s="391" t="s">
        <v>540</v>
      </c>
      <c r="I356" s="392" t="s">
        <v>73</v>
      </c>
      <c r="J356" s="393" t="s">
        <v>74</v>
      </c>
      <c r="K356" s="393" t="s">
        <v>9</v>
      </c>
      <c r="L356" s="390"/>
      <c r="M356" s="394" t="s">
        <v>150</v>
      </c>
      <c r="N356" s="395" t="s">
        <v>84</v>
      </c>
      <c r="O356" s="396"/>
      <c r="P356" s="397"/>
      <c r="Q356" s="397"/>
      <c r="R356" s="397"/>
      <c r="S356" s="397"/>
      <c r="T356" s="397"/>
      <c r="U356" s="397"/>
      <c r="V356" s="168"/>
      <c r="W356" s="168"/>
      <c r="X356" s="168"/>
      <c r="Y356" s="168"/>
      <c r="Z356" s="168"/>
      <c r="AA356" s="168">
        <v>46267</v>
      </c>
      <c r="AB356" s="168">
        <v>46252</v>
      </c>
      <c r="AC356" s="168">
        <v>46346</v>
      </c>
      <c r="AD356" s="168">
        <v>46346</v>
      </c>
      <c r="AE356" s="168">
        <v>46346</v>
      </c>
      <c r="AF356" s="170">
        <v>46369</v>
      </c>
      <c r="AG356" s="170">
        <v>46375</v>
      </c>
      <c r="AH356" s="170">
        <v>46377</v>
      </c>
      <c r="AI356" s="168">
        <v>46377</v>
      </c>
      <c r="AJ356" s="168">
        <v>46407</v>
      </c>
      <c r="AK356" s="399"/>
      <c r="AL356" s="270"/>
      <c r="AM356" s="170">
        <f>AH356</f>
        <v>46377</v>
      </c>
      <c r="AN356" s="400"/>
      <c r="AO356" s="270"/>
      <c r="AP356" s="270"/>
      <c r="AQ356" s="439"/>
      <c r="AR356" s="191"/>
      <c r="AS356" s="192"/>
      <c r="AT356" s="192"/>
      <c r="AU356" s="192"/>
      <c r="AV356" s="192"/>
      <c r="AW356" s="192"/>
      <c r="AX356" s="192"/>
      <c r="AY356" s="192"/>
      <c r="AZ356" s="192"/>
      <c r="BA356" s="192"/>
      <c r="BB356" s="192"/>
      <c r="BC356" s="156"/>
      <c r="BD356" s="176"/>
      <c r="BE356" s="176"/>
    </row>
    <row r="357" spans="1:57" s="78" customFormat="1" ht="20.75" customHeight="1" thickBot="1" x14ac:dyDescent="0.45">
      <c r="A357" s="460"/>
      <c r="B357" s="177" t="s">
        <v>599</v>
      </c>
      <c r="C357" s="251" t="s">
        <v>573</v>
      </c>
      <c r="D357" s="179" t="s">
        <v>603</v>
      </c>
      <c r="E357" s="208"/>
      <c r="F357" s="208"/>
      <c r="G357" s="209" t="s">
        <v>295</v>
      </c>
      <c r="H357" s="182" t="s">
        <v>540</v>
      </c>
      <c r="I357" s="178" t="s">
        <v>73</v>
      </c>
      <c r="J357" s="178" t="s">
        <v>74</v>
      </c>
      <c r="K357" s="178" t="s">
        <v>9</v>
      </c>
      <c r="L357" s="209"/>
      <c r="M357" s="184" t="s">
        <v>150</v>
      </c>
      <c r="N357" s="185" t="s">
        <v>87</v>
      </c>
      <c r="O357" s="186">
        <v>46120</v>
      </c>
      <c r="P357" s="186">
        <v>46148</v>
      </c>
      <c r="Q357" s="186">
        <v>46157</v>
      </c>
      <c r="R357" s="187">
        <v>46167</v>
      </c>
      <c r="S357" s="186">
        <v>46167</v>
      </c>
      <c r="T357" s="186">
        <v>46172</v>
      </c>
      <c r="U357" s="186">
        <v>46230</v>
      </c>
      <c r="V357" s="186">
        <v>46233</v>
      </c>
      <c r="W357" s="186"/>
      <c r="X357" s="401">
        <v>46233</v>
      </c>
      <c r="Y357" s="401">
        <v>46233</v>
      </c>
      <c r="Z357" s="186">
        <v>46132</v>
      </c>
      <c r="AA357" s="186">
        <v>46233</v>
      </c>
      <c r="AB357" s="186"/>
      <c r="AC357" s="186"/>
      <c r="AD357" s="186"/>
      <c r="AE357" s="186"/>
      <c r="AF357" s="186"/>
      <c r="AG357" s="186"/>
      <c r="AH357" s="186"/>
      <c r="AI357" s="186"/>
      <c r="AJ357" s="186"/>
      <c r="AK357" s="188"/>
      <c r="AL357" s="211"/>
      <c r="AM357" s="187"/>
      <c r="AN357" s="187"/>
      <c r="AO357" s="211"/>
      <c r="AP357" s="271"/>
      <c r="AQ357" s="440"/>
      <c r="AR357" s="191"/>
      <c r="AS357" s="192"/>
      <c r="AT357" s="192"/>
      <c r="AU357" s="192"/>
      <c r="AV357" s="192"/>
      <c r="AW357" s="192"/>
      <c r="AX357" s="192"/>
      <c r="AY357" s="192"/>
      <c r="AZ357" s="192"/>
      <c r="BA357" s="192"/>
      <c r="BB357" s="192"/>
      <c r="BC357" s="156"/>
      <c r="BD357" s="176"/>
      <c r="BE357" s="176"/>
    </row>
    <row r="358" spans="1:57" s="78" customFormat="1" ht="20.65" customHeight="1" thickTop="1" thickBot="1" x14ac:dyDescent="0.45">
      <c r="A358" s="458">
        <f t="shared" ref="A358" si="84">A355+1</f>
        <v>105</v>
      </c>
      <c r="B358" s="139" t="s">
        <v>599</v>
      </c>
      <c r="C358" s="247" t="s">
        <v>575</v>
      </c>
      <c r="D358" s="233" t="s">
        <v>604</v>
      </c>
      <c r="E358" s="202"/>
      <c r="F358" s="202"/>
      <c r="G358" s="427" t="s">
        <v>295</v>
      </c>
      <c r="H358" s="143" t="s">
        <v>540</v>
      </c>
      <c r="I358" s="140" t="s">
        <v>73</v>
      </c>
      <c r="J358" s="140" t="s">
        <v>74</v>
      </c>
      <c r="K358" s="140" t="s">
        <v>9</v>
      </c>
      <c r="L358" s="376"/>
      <c r="M358" s="145" t="s">
        <v>150</v>
      </c>
      <c r="N358" s="146" t="s">
        <v>77</v>
      </c>
      <c r="O358" s="147">
        <v>46135</v>
      </c>
      <c r="P358" s="147">
        <v>46220</v>
      </c>
      <c r="Q358" s="147">
        <v>46235</v>
      </c>
      <c r="R358" s="147">
        <v>46237</v>
      </c>
      <c r="S358" s="147">
        <v>46237</v>
      </c>
      <c r="T358" s="147">
        <v>46242</v>
      </c>
      <c r="U358" s="147">
        <v>46253</v>
      </c>
      <c r="V358" s="147">
        <v>46263</v>
      </c>
      <c r="W358" s="147"/>
      <c r="X358" s="147">
        <v>46263</v>
      </c>
      <c r="Y358" s="147">
        <v>46263</v>
      </c>
      <c r="Z358" s="147">
        <v>46132</v>
      </c>
      <c r="AA358" s="148">
        <v>46267</v>
      </c>
      <c r="AB358" s="147">
        <v>46252</v>
      </c>
      <c r="AC358" s="147">
        <v>46367</v>
      </c>
      <c r="AD358" s="147">
        <v>46367</v>
      </c>
      <c r="AE358" s="147">
        <v>46367</v>
      </c>
      <c r="AF358" s="147">
        <v>46390</v>
      </c>
      <c r="AG358" s="147">
        <v>46396</v>
      </c>
      <c r="AH358" s="147">
        <v>46398</v>
      </c>
      <c r="AI358" s="147">
        <v>46398</v>
      </c>
      <c r="AJ358" s="147">
        <v>46428</v>
      </c>
      <c r="AK358" s="149">
        <v>8.5</v>
      </c>
      <c r="AL358" s="150">
        <v>59.5</v>
      </c>
      <c r="AM358" s="151">
        <f>AH358</f>
        <v>46398</v>
      </c>
      <c r="AN358" s="151">
        <v>46399</v>
      </c>
      <c r="AO358" s="152">
        <f>AN358-AM359</f>
        <v>1</v>
      </c>
      <c r="AP358" s="153" t="s">
        <v>542</v>
      </c>
      <c r="AQ358" s="438" t="s">
        <v>568</v>
      </c>
      <c r="AR358" s="154"/>
      <c r="AS358" s="155"/>
      <c r="AT358" s="155"/>
      <c r="AU358" s="155"/>
      <c r="AV358" s="155"/>
      <c r="AW358" s="155"/>
      <c r="AX358" s="155"/>
      <c r="AY358" s="155"/>
      <c r="AZ358" s="155"/>
      <c r="BA358" s="155"/>
      <c r="BB358" s="155"/>
      <c r="BC358" s="156"/>
      <c r="BD358" s="176"/>
      <c r="BE358" s="176"/>
    </row>
    <row r="359" spans="1:57" s="78" customFormat="1" ht="20.75" customHeight="1" thickTop="1" thickBot="1" x14ac:dyDescent="0.45">
      <c r="A359" s="459"/>
      <c r="B359" s="226" t="s">
        <v>599</v>
      </c>
      <c r="C359" s="387" t="s">
        <v>575</v>
      </c>
      <c r="D359" s="388" t="s">
        <v>604</v>
      </c>
      <c r="E359" s="389"/>
      <c r="F359" s="389"/>
      <c r="G359" s="390" t="s">
        <v>295</v>
      </c>
      <c r="H359" s="391" t="s">
        <v>540</v>
      </c>
      <c r="I359" s="392" t="s">
        <v>73</v>
      </c>
      <c r="J359" s="393" t="s">
        <v>74</v>
      </c>
      <c r="K359" s="393" t="s">
        <v>9</v>
      </c>
      <c r="L359" s="390"/>
      <c r="M359" s="394" t="s">
        <v>150</v>
      </c>
      <c r="N359" s="395" t="s">
        <v>84</v>
      </c>
      <c r="O359" s="396"/>
      <c r="P359" s="397"/>
      <c r="Q359" s="397"/>
      <c r="R359" s="397"/>
      <c r="S359" s="397"/>
      <c r="T359" s="397"/>
      <c r="U359" s="397"/>
      <c r="V359" s="168"/>
      <c r="W359" s="168"/>
      <c r="X359" s="168"/>
      <c r="Y359" s="168"/>
      <c r="Z359" s="168"/>
      <c r="AA359" s="168">
        <v>46267</v>
      </c>
      <c r="AB359" s="168">
        <v>46252</v>
      </c>
      <c r="AC359" s="168">
        <v>46367</v>
      </c>
      <c r="AD359" s="168">
        <v>46367</v>
      </c>
      <c r="AE359" s="168">
        <v>46367</v>
      </c>
      <c r="AF359" s="170">
        <v>46390</v>
      </c>
      <c r="AG359" s="170">
        <v>46396</v>
      </c>
      <c r="AH359" s="170">
        <v>46398</v>
      </c>
      <c r="AI359" s="168">
        <v>46398</v>
      </c>
      <c r="AJ359" s="168">
        <v>46428</v>
      </c>
      <c r="AK359" s="399"/>
      <c r="AL359" s="270"/>
      <c r="AM359" s="170">
        <f>AI359</f>
        <v>46398</v>
      </c>
      <c r="AN359" s="400"/>
      <c r="AO359" s="270"/>
      <c r="AP359" s="270"/>
      <c r="AQ359" s="439"/>
      <c r="AR359" s="191"/>
      <c r="AS359" s="192"/>
      <c r="AT359" s="192"/>
      <c r="AU359" s="192"/>
      <c r="AV359" s="192"/>
      <c r="AW359" s="192"/>
      <c r="AX359" s="192"/>
      <c r="AY359" s="192"/>
      <c r="AZ359" s="192"/>
      <c r="BA359" s="192"/>
      <c r="BB359" s="192"/>
      <c r="BC359" s="156"/>
      <c r="BD359" s="176"/>
      <c r="BE359" s="176"/>
    </row>
    <row r="360" spans="1:57" s="78" customFormat="1" ht="20.75" customHeight="1" thickBot="1" x14ac:dyDescent="0.45">
      <c r="A360" s="460"/>
      <c r="B360" s="177" t="s">
        <v>599</v>
      </c>
      <c r="C360" s="251" t="s">
        <v>575</v>
      </c>
      <c r="D360" s="179" t="s">
        <v>604</v>
      </c>
      <c r="E360" s="208"/>
      <c r="F360" s="208"/>
      <c r="G360" s="209" t="s">
        <v>295</v>
      </c>
      <c r="H360" s="182" t="s">
        <v>540</v>
      </c>
      <c r="I360" s="178" t="s">
        <v>73</v>
      </c>
      <c r="J360" s="178" t="s">
        <v>74</v>
      </c>
      <c r="K360" s="178" t="s">
        <v>9</v>
      </c>
      <c r="L360" s="209"/>
      <c r="M360" s="184" t="s">
        <v>150</v>
      </c>
      <c r="N360" s="185" t="s">
        <v>87</v>
      </c>
      <c r="O360" s="186">
        <v>46120</v>
      </c>
      <c r="P360" s="186">
        <v>46148</v>
      </c>
      <c r="Q360" s="186">
        <v>46157</v>
      </c>
      <c r="R360" s="187">
        <v>46167</v>
      </c>
      <c r="S360" s="186">
        <v>46167</v>
      </c>
      <c r="T360" s="186">
        <v>46172</v>
      </c>
      <c r="U360" s="186">
        <v>46230</v>
      </c>
      <c r="V360" s="186">
        <v>46233</v>
      </c>
      <c r="W360" s="186"/>
      <c r="X360" s="401">
        <v>46233</v>
      </c>
      <c r="Y360" s="401">
        <v>46233</v>
      </c>
      <c r="Z360" s="186">
        <v>46132</v>
      </c>
      <c r="AA360" s="186">
        <v>46233</v>
      </c>
      <c r="AB360" s="186"/>
      <c r="AC360" s="186"/>
      <c r="AD360" s="186"/>
      <c r="AE360" s="186"/>
      <c r="AF360" s="186"/>
      <c r="AG360" s="186"/>
      <c r="AH360" s="186"/>
      <c r="AI360" s="186"/>
      <c r="AJ360" s="186"/>
      <c r="AK360" s="188"/>
      <c r="AL360" s="211"/>
      <c r="AM360" s="187"/>
      <c r="AN360" s="187"/>
      <c r="AO360" s="211"/>
      <c r="AP360" s="271"/>
      <c r="AQ360" s="440"/>
      <c r="AR360" s="191"/>
      <c r="AS360" s="192"/>
      <c r="AT360" s="192"/>
      <c r="AU360" s="192"/>
      <c r="AV360" s="192"/>
      <c r="AW360" s="192"/>
      <c r="AX360" s="192"/>
      <c r="AY360" s="192"/>
      <c r="AZ360" s="192"/>
      <c r="BA360" s="192"/>
      <c r="BB360" s="192"/>
      <c r="BC360" s="156"/>
      <c r="BD360" s="176"/>
      <c r="BE360" s="176"/>
    </row>
    <row r="361" spans="1:57" s="78" customFormat="1" ht="20.65" customHeight="1" thickTop="1" thickBot="1" x14ac:dyDescent="0.45">
      <c r="A361" s="458">
        <f t="shared" ref="A361" si="85">A358+1</f>
        <v>106</v>
      </c>
      <c r="B361" s="139" t="s">
        <v>599</v>
      </c>
      <c r="C361" s="247" t="s">
        <v>577</v>
      </c>
      <c r="D361" s="233" t="s">
        <v>605</v>
      </c>
      <c r="E361" s="202"/>
      <c r="F361" s="202"/>
      <c r="G361" s="427" t="s">
        <v>295</v>
      </c>
      <c r="H361" s="143" t="s">
        <v>540</v>
      </c>
      <c r="I361" s="140" t="s">
        <v>73</v>
      </c>
      <c r="J361" s="140" t="s">
        <v>74</v>
      </c>
      <c r="K361" s="140" t="s">
        <v>9</v>
      </c>
      <c r="L361" s="376"/>
      <c r="M361" s="145" t="s">
        <v>150</v>
      </c>
      <c r="N361" s="146" t="s">
        <v>77</v>
      </c>
      <c r="O361" s="147">
        <v>46135</v>
      </c>
      <c r="P361" s="147">
        <v>46220</v>
      </c>
      <c r="Q361" s="147">
        <v>46235</v>
      </c>
      <c r="R361" s="147">
        <v>46237</v>
      </c>
      <c r="S361" s="147">
        <v>46237</v>
      </c>
      <c r="T361" s="147">
        <v>46242</v>
      </c>
      <c r="U361" s="147">
        <v>46253</v>
      </c>
      <c r="V361" s="147">
        <v>46263</v>
      </c>
      <c r="W361" s="147"/>
      <c r="X361" s="148">
        <v>46263</v>
      </c>
      <c r="Y361" s="147">
        <v>46263</v>
      </c>
      <c r="Z361" s="147">
        <v>46132</v>
      </c>
      <c r="AA361" s="147">
        <v>46267</v>
      </c>
      <c r="AB361" s="147">
        <v>46252</v>
      </c>
      <c r="AC361" s="147">
        <v>46388</v>
      </c>
      <c r="AD361" s="147">
        <v>46388</v>
      </c>
      <c r="AE361" s="147">
        <v>46388</v>
      </c>
      <c r="AF361" s="147">
        <v>46411</v>
      </c>
      <c r="AG361" s="147">
        <v>46417</v>
      </c>
      <c r="AH361" s="147">
        <v>46419</v>
      </c>
      <c r="AI361" s="147">
        <v>46419</v>
      </c>
      <c r="AJ361" s="147">
        <v>46449</v>
      </c>
      <c r="AK361" s="149">
        <v>8.5</v>
      </c>
      <c r="AL361" s="150">
        <v>59.5</v>
      </c>
      <c r="AM361" s="151">
        <f>AH361</f>
        <v>46419</v>
      </c>
      <c r="AN361" s="151">
        <v>46420</v>
      </c>
      <c r="AO361" s="152">
        <f>AN361-AM362</f>
        <v>1</v>
      </c>
      <c r="AP361" s="153" t="s">
        <v>542</v>
      </c>
      <c r="AQ361" s="438" t="s">
        <v>568</v>
      </c>
      <c r="AR361" s="154"/>
      <c r="AS361" s="155"/>
      <c r="AT361" s="155"/>
      <c r="AU361" s="155"/>
      <c r="AV361" s="155"/>
      <c r="AW361" s="155"/>
      <c r="AX361" s="155"/>
      <c r="AY361" s="155"/>
      <c r="AZ361" s="155"/>
      <c r="BA361" s="155"/>
      <c r="BB361" s="155"/>
      <c r="BC361" s="156"/>
      <c r="BD361" s="176"/>
      <c r="BE361" s="176"/>
    </row>
    <row r="362" spans="1:57" s="78" customFormat="1" ht="20.75" customHeight="1" thickTop="1" thickBot="1" x14ac:dyDescent="0.45">
      <c r="A362" s="459"/>
      <c r="B362" s="226" t="s">
        <v>599</v>
      </c>
      <c r="C362" s="387" t="s">
        <v>577</v>
      </c>
      <c r="D362" s="388" t="s">
        <v>605</v>
      </c>
      <c r="E362" s="389"/>
      <c r="F362" s="389"/>
      <c r="G362" s="390" t="s">
        <v>295</v>
      </c>
      <c r="H362" s="391" t="s">
        <v>540</v>
      </c>
      <c r="I362" s="392" t="s">
        <v>73</v>
      </c>
      <c r="J362" s="393" t="s">
        <v>74</v>
      </c>
      <c r="K362" s="393" t="s">
        <v>9</v>
      </c>
      <c r="L362" s="390"/>
      <c r="M362" s="394" t="s">
        <v>150</v>
      </c>
      <c r="N362" s="395" t="s">
        <v>84</v>
      </c>
      <c r="O362" s="396"/>
      <c r="P362" s="397"/>
      <c r="Q362" s="397"/>
      <c r="R362" s="397"/>
      <c r="S362" s="397"/>
      <c r="T362" s="397"/>
      <c r="U362" s="397"/>
      <c r="V362" s="168"/>
      <c r="W362" s="168"/>
      <c r="X362" s="168">
        <v>46263</v>
      </c>
      <c r="Y362" s="168">
        <v>46263</v>
      </c>
      <c r="Z362" s="168"/>
      <c r="AA362" s="168">
        <v>46267</v>
      </c>
      <c r="AB362" s="168">
        <v>46252</v>
      </c>
      <c r="AC362" s="168">
        <v>46388</v>
      </c>
      <c r="AD362" s="168">
        <v>46388</v>
      </c>
      <c r="AE362" s="168">
        <v>46388</v>
      </c>
      <c r="AF362" s="170">
        <v>46411</v>
      </c>
      <c r="AG362" s="170">
        <v>46417</v>
      </c>
      <c r="AH362" s="170">
        <v>46419</v>
      </c>
      <c r="AI362" s="168">
        <v>46419</v>
      </c>
      <c r="AJ362" s="168">
        <v>46449</v>
      </c>
      <c r="AK362" s="399"/>
      <c r="AL362" s="270"/>
      <c r="AM362" s="170">
        <f>AH362</f>
        <v>46419</v>
      </c>
      <c r="AN362" s="400"/>
      <c r="AO362" s="270"/>
      <c r="AP362" s="270"/>
      <c r="AQ362" s="439"/>
      <c r="AR362" s="191"/>
      <c r="AS362" s="192"/>
      <c r="AT362" s="192"/>
      <c r="AU362" s="192"/>
      <c r="AV362" s="192"/>
      <c r="AW362" s="192"/>
      <c r="AX362" s="192"/>
      <c r="AY362" s="192"/>
      <c r="AZ362" s="192"/>
      <c r="BA362" s="192"/>
      <c r="BB362" s="192"/>
      <c r="BC362" s="156"/>
      <c r="BD362" s="176"/>
      <c r="BE362" s="176"/>
    </row>
    <row r="363" spans="1:57" s="78" customFormat="1" ht="20.75" customHeight="1" thickBot="1" x14ac:dyDescent="0.45">
      <c r="A363" s="460"/>
      <c r="B363" s="177" t="s">
        <v>599</v>
      </c>
      <c r="C363" s="251" t="s">
        <v>577</v>
      </c>
      <c r="D363" s="179" t="s">
        <v>605</v>
      </c>
      <c r="E363" s="208"/>
      <c r="F363" s="208"/>
      <c r="G363" s="209" t="s">
        <v>295</v>
      </c>
      <c r="H363" s="182" t="s">
        <v>540</v>
      </c>
      <c r="I363" s="178" t="s">
        <v>73</v>
      </c>
      <c r="J363" s="178" t="s">
        <v>74</v>
      </c>
      <c r="K363" s="178" t="s">
        <v>9</v>
      </c>
      <c r="L363" s="209"/>
      <c r="M363" s="184" t="s">
        <v>150</v>
      </c>
      <c r="N363" s="185" t="s">
        <v>87</v>
      </c>
      <c r="O363" s="186">
        <v>46120</v>
      </c>
      <c r="P363" s="186">
        <v>46148</v>
      </c>
      <c r="Q363" s="186">
        <v>46157</v>
      </c>
      <c r="R363" s="187">
        <v>46167</v>
      </c>
      <c r="S363" s="186">
        <v>46167</v>
      </c>
      <c r="T363" s="186">
        <v>46172</v>
      </c>
      <c r="U363" s="186">
        <v>46230</v>
      </c>
      <c r="V363" s="186">
        <v>46233</v>
      </c>
      <c r="W363" s="186"/>
      <c r="X363" s="401"/>
      <c r="Y363" s="401"/>
      <c r="Z363" s="186">
        <v>46132</v>
      </c>
      <c r="AA363" s="186"/>
      <c r="AB363" s="186"/>
      <c r="AC363" s="186"/>
      <c r="AD363" s="186"/>
      <c r="AE363" s="186"/>
      <c r="AF363" s="186"/>
      <c r="AG363" s="186"/>
      <c r="AH363" s="186"/>
      <c r="AI363" s="186"/>
      <c r="AJ363" s="186"/>
      <c r="AK363" s="188"/>
      <c r="AL363" s="211"/>
      <c r="AM363" s="187"/>
      <c r="AN363" s="187"/>
      <c r="AO363" s="211"/>
      <c r="AP363" s="271"/>
      <c r="AQ363" s="440"/>
      <c r="AR363" s="191"/>
      <c r="AS363" s="192"/>
      <c r="AT363" s="192"/>
      <c r="AU363" s="192"/>
      <c r="AV363" s="192"/>
      <c r="AW363" s="192"/>
      <c r="AX363" s="192"/>
      <c r="AY363" s="192"/>
      <c r="AZ363" s="192"/>
      <c r="BA363" s="192"/>
      <c r="BB363" s="192"/>
      <c r="BC363" s="156"/>
      <c r="BD363" s="176"/>
      <c r="BE363" s="176"/>
    </row>
    <row r="364" spans="1:57" s="78" customFormat="1" ht="20.65" customHeight="1" thickTop="1" thickBot="1" x14ac:dyDescent="0.45">
      <c r="A364" s="458">
        <f t="shared" ref="A364" si="86">A361+1</f>
        <v>107</v>
      </c>
      <c r="B364" s="139" t="s">
        <v>599</v>
      </c>
      <c r="C364" s="247" t="s">
        <v>579</v>
      </c>
      <c r="D364" s="233" t="s">
        <v>606</v>
      </c>
      <c r="E364" s="202"/>
      <c r="F364" s="202"/>
      <c r="G364" s="427" t="s">
        <v>295</v>
      </c>
      <c r="H364" s="143" t="s">
        <v>540</v>
      </c>
      <c r="I364" s="140" t="s">
        <v>73</v>
      </c>
      <c r="J364" s="140" t="s">
        <v>74</v>
      </c>
      <c r="K364" s="140" t="s">
        <v>9</v>
      </c>
      <c r="L364" s="376"/>
      <c r="M364" s="145" t="s">
        <v>150</v>
      </c>
      <c r="N364" s="146" t="s">
        <v>77</v>
      </c>
      <c r="O364" s="147">
        <v>46135</v>
      </c>
      <c r="P364" s="147">
        <v>46205</v>
      </c>
      <c r="Q364" s="147">
        <v>46220</v>
      </c>
      <c r="R364" s="147">
        <v>46222</v>
      </c>
      <c r="S364" s="147">
        <v>46222</v>
      </c>
      <c r="T364" s="147">
        <v>46227</v>
      </c>
      <c r="U364" s="147">
        <v>46238</v>
      </c>
      <c r="V364" s="147">
        <v>46248</v>
      </c>
      <c r="W364" s="147"/>
      <c r="X364" s="148">
        <v>46248</v>
      </c>
      <c r="Y364" s="147">
        <v>46248</v>
      </c>
      <c r="Z364" s="147">
        <v>46132</v>
      </c>
      <c r="AA364" s="147">
        <v>46267</v>
      </c>
      <c r="AB364" s="147">
        <v>46252</v>
      </c>
      <c r="AC364" s="147">
        <v>46409</v>
      </c>
      <c r="AD364" s="147">
        <v>46409</v>
      </c>
      <c r="AE364" s="147">
        <v>46409</v>
      </c>
      <c r="AF364" s="147">
        <v>46432</v>
      </c>
      <c r="AG364" s="147">
        <v>46438</v>
      </c>
      <c r="AH364" s="147">
        <v>46440</v>
      </c>
      <c r="AI364" s="147">
        <v>46440</v>
      </c>
      <c r="AJ364" s="147">
        <v>46470</v>
      </c>
      <c r="AK364" s="149">
        <v>8.5</v>
      </c>
      <c r="AL364" s="150">
        <v>59.5</v>
      </c>
      <c r="AM364" s="151">
        <f>AH364</f>
        <v>46440</v>
      </c>
      <c r="AN364" s="151">
        <v>46441</v>
      </c>
      <c r="AO364" s="152">
        <f>AN364-AM365</f>
        <v>1</v>
      </c>
      <c r="AP364" s="153" t="s">
        <v>542</v>
      </c>
      <c r="AQ364" s="438" t="s">
        <v>568</v>
      </c>
      <c r="AR364" s="154"/>
      <c r="AS364" s="155"/>
      <c r="AT364" s="155"/>
      <c r="AU364" s="155"/>
      <c r="AV364" s="155"/>
      <c r="AW364" s="155"/>
      <c r="AX364" s="155"/>
      <c r="AY364" s="155"/>
      <c r="AZ364" s="155"/>
      <c r="BA364" s="155"/>
      <c r="BB364" s="155"/>
      <c r="BC364" s="156"/>
      <c r="BD364" s="176"/>
      <c r="BE364" s="176"/>
    </row>
    <row r="365" spans="1:57" s="78" customFormat="1" ht="20.75" customHeight="1" thickTop="1" thickBot="1" x14ac:dyDescent="0.45">
      <c r="A365" s="459"/>
      <c r="B365" s="226" t="s">
        <v>599</v>
      </c>
      <c r="C365" s="387" t="s">
        <v>581</v>
      </c>
      <c r="D365" s="388" t="s">
        <v>606</v>
      </c>
      <c r="E365" s="389"/>
      <c r="F365" s="389"/>
      <c r="G365" s="390" t="s">
        <v>295</v>
      </c>
      <c r="H365" s="391" t="s">
        <v>540</v>
      </c>
      <c r="I365" s="392" t="s">
        <v>73</v>
      </c>
      <c r="J365" s="393" t="s">
        <v>74</v>
      </c>
      <c r="K365" s="393" t="s">
        <v>9</v>
      </c>
      <c r="L365" s="390"/>
      <c r="M365" s="394" t="s">
        <v>150</v>
      </c>
      <c r="N365" s="395" t="s">
        <v>84</v>
      </c>
      <c r="O365" s="396"/>
      <c r="P365" s="397"/>
      <c r="Q365" s="397"/>
      <c r="R365" s="397"/>
      <c r="S365" s="397"/>
      <c r="T365" s="397"/>
      <c r="U365" s="397"/>
      <c r="V365" s="168"/>
      <c r="W365" s="168"/>
      <c r="X365" s="168">
        <v>46248</v>
      </c>
      <c r="Y365" s="168">
        <v>46248</v>
      </c>
      <c r="Z365" s="168"/>
      <c r="AA365" s="168">
        <v>46267</v>
      </c>
      <c r="AB365" s="168">
        <v>46252</v>
      </c>
      <c r="AC365" s="168">
        <v>46409</v>
      </c>
      <c r="AD365" s="168">
        <v>46409</v>
      </c>
      <c r="AE365" s="168">
        <v>46409</v>
      </c>
      <c r="AF365" s="170">
        <v>46432</v>
      </c>
      <c r="AG365" s="170">
        <v>46438</v>
      </c>
      <c r="AH365" s="170">
        <v>46440</v>
      </c>
      <c r="AI365" s="168">
        <v>46440</v>
      </c>
      <c r="AJ365" s="168">
        <v>46470</v>
      </c>
      <c r="AK365" s="399"/>
      <c r="AL365" s="270"/>
      <c r="AM365" s="170">
        <f>AH365</f>
        <v>46440</v>
      </c>
      <c r="AN365" s="400"/>
      <c r="AO365" s="270"/>
      <c r="AP365" s="270"/>
      <c r="AQ365" s="439"/>
      <c r="AR365" s="191"/>
      <c r="AS365" s="192"/>
      <c r="AT365" s="192"/>
      <c r="AU365" s="192"/>
      <c r="AV365" s="192"/>
      <c r="AW365" s="192"/>
      <c r="AX365" s="192"/>
      <c r="AY365" s="192"/>
      <c r="AZ365" s="192"/>
      <c r="BA365" s="192"/>
      <c r="BB365" s="192"/>
      <c r="BC365" s="156"/>
      <c r="BD365" s="176"/>
      <c r="BE365" s="176"/>
    </row>
    <row r="366" spans="1:57" s="78" customFormat="1" ht="20.75" customHeight="1" thickBot="1" x14ac:dyDescent="0.45">
      <c r="A366" s="460"/>
      <c r="B366" s="177" t="s">
        <v>599</v>
      </c>
      <c r="C366" s="251" t="s">
        <v>581</v>
      </c>
      <c r="D366" s="179" t="s">
        <v>606</v>
      </c>
      <c r="E366" s="208"/>
      <c r="F366" s="208"/>
      <c r="G366" s="209" t="s">
        <v>295</v>
      </c>
      <c r="H366" s="182" t="s">
        <v>540</v>
      </c>
      <c r="I366" s="178" t="s">
        <v>73</v>
      </c>
      <c r="J366" s="178" t="s">
        <v>74</v>
      </c>
      <c r="K366" s="178" t="s">
        <v>9</v>
      </c>
      <c r="L366" s="209"/>
      <c r="M366" s="184" t="s">
        <v>150</v>
      </c>
      <c r="N366" s="185" t="s">
        <v>87</v>
      </c>
      <c r="O366" s="186">
        <v>46120</v>
      </c>
      <c r="P366" s="186">
        <v>46148</v>
      </c>
      <c r="Q366" s="186">
        <v>46157</v>
      </c>
      <c r="R366" s="187">
        <v>46167</v>
      </c>
      <c r="S366" s="186">
        <v>46167</v>
      </c>
      <c r="T366" s="186">
        <v>46172</v>
      </c>
      <c r="U366" s="186">
        <v>46230</v>
      </c>
      <c r="V366" s="186">
        <v>46233</v>
      </c>
      <c r="W366" s="186"/>
      <c r="X366" s="401"/>
      <c r="Y366" s="401"/>
      <c r="Z366" s="186">
        <v>46132</v>
      </c>
      <c r="AA366" s="186"/>
      <c r="AB366" s="186"/>
      <c r="AC366" s="186"/>
      <c r="AD366" s="186"/>
      <c r="AE366" s="186"/>
      <c r="AF366" s="186"/>
      <c r="AG366" s="186"/>
      <c r="AH366" s="186"/>
      <c r="AI366" s="186"/>
      <c r="AJ366" s="186"/>
      <c r="AK366" s="188"/>
      <c r="AL366" s="211"/>
      <c r="AM366" s="187"/>
      <c r="AN366" s="187"/>
      <c r="AO366" s="211"/>
      <c r="AP366" s="271"/>
      <c r="AQ366" s="440"/>
      <c r="AR366" s="191"/>
      <c r="AS366" s="192"/>
      <c r="AT366" s="192"/>
      <c r="AU366" s="192"/>
      <c r="AV366" s="192"/>
      <c r="AW366" s="192"/>
      <c r="AX366" s="192"/>
      <c r="AY366" s="192"/>
      <c r="AZ366" s="192"/>
      <c r="BA366" s="192"/>
      <c r="BB366" s="192"/>
      <c r="BC366" s="156"/>
      <c r="BD366" s="176"/>
      <c r="BE366" s="176"/>
    </row>
    <row r="367" spans="1:57" s="78" customFormat="1" ht="18" customHeight="1" thickTop="1" x14ac:dyDescent="0.4">
      <c r="A367" s="458">
        <f t="shared" ref="A367" si="87">A364+1</f>
        <v>108</v>
      </c>
      <c r="B367" s="273"/>
      <c r="C367" s="140" t="s">
        <v>607</v>
      </c>
      <c r="D367" s="203" t="s">
        <v>608</v>
      </c>
      <c r="E367" s="202"/>
      <c r="F367" s="202"/>
      <c r="G367" s="427" t="s">
        <v>295</v>
      </c>
      <c r="H367" s="143" t="s">
        <v>540</v>
      </c>
      <c r="I367" s="140" t="s">
        <v>73</v>
      </c>
      <c r="J367" s="140" t="s">
        <v>74</v>
      </c>
      <c r="K367" s="140" t="s">
        <v>9</v>
      </c>
      <c r="L367" s="203"/>
      <c r="M367" s="145" t="s">
        <v>150</v>
      </c>
      <c r="N367" s="146" t="s">
        <v>77</v>
      </c>
      <c r="O367" s="147">
        <v>46286</v>
      </c>
      <c r="P367" s="147">
        <v>46295</v>
      </c>
      <c r="Q367" s="147">
        <v>46307</v>
      </c>
      <c r="R367" s="147">
        <v>46310</v>
      </c>
      <c r="S367" s="147">
        <v>46310</v>
      </c>
      <c r="T367" s="147">
        <v>46317</v>
      </c>
      <c r="U367" s="147">
        <v>46322</v>
      </c>
      <c r="V367" s="147">
        <v>46327</v>
      </c>
      <c r="W367" s="147"/>
      <c r="X367" s="147">
        <v>46333</v>
      </c>
      <c r="Y367" s="147">
        <v>46337</v>
      </c>
      <c r="Z367" s="223">
        <v>46344</v>
      </c>
      <c r="AA367" s="147">
        <v>46358</v>
      </c>
      <c r="AB367" s="147">
        <v>46373</v>
      </c>
      <c r="AC367" s="147">
        <v>46378</v>
      </c>
      <c r="AD367" s="147">
        <v>46381</v>
      </c>
      <c r="AE367" s="147">
        <v>46384</v>
      </c>
      <c r="AF367" s="147">
        <v>46413</v>
      </c>
      <c r="AG367" s="147">
        <v>46418</v>
      </c>
      <c r="AH367" s="147">
        <v>46423</v>
      </c>
      <c r="AI367" s="147">
        <v>46426</v>
      </c>
      <c r="AJ367" s="147">
        <v>46453</v>
      </c>
      <c r="AK367" s="149">
        <v>8.5</v>
      </c>
      <c r="AL367" s="150">
        <v>59.5</v>
      </c>
      <c r="AM367" s="151">
        <f>AH367</f>
        <v>46423</v>
      </c>
      <c r="AN367" s="151">
        <v>46435</v>
      </c>
      <c r="AO367" s="152">
        <f>AN367-AM368</f>
        <v>12</v>
      </c>
      <c r="AP367" s="153" t="s">
        <v>554</v>
      </c>
      <c r="AQ367" s="441"/>
      <c r="BC367" s="403"/>
    </row>
    <row r="368" spans="1:57" s="78" customFormat="1" ht="18" customHeight="1" x14ac:dyDescent="0.4">
      <c r="A368" s="459"/>
      <c r="B368" s="404"/>
      <c r="C368" s="393" t="s">
        <v>607</v>
      </c>
      <c r="D368" s="390" t="s">
        <v>608</v>
      </c>
      <c r="E368" s="389"/>
      <c r="F368" s="389"/>
      <c r="G368" s="390" t="s">
        <v>295</v>
      </c>
      <c r="H368" s="391" t="s">
        <v>540</v>
      </c>
      <c r="I368" s="392" t="s">
        <v>73</v>
      </c>
      <c r="J368" s="393" t="s">
        <v>74</v>
      </c>
      <c r="K368" s="393" t="s">
        <v>9</v>
      </c>
      <c r="L368" s="390"/>
      <c r="M368" s="394" t="s">
        <v>150</v>
      </c>
      <c r="N368" s="395" t="s">
        <v>84</v>
      </c>
      <c r="O368" s="396">
        <v>46286</v>
      </c>
      <c r="P368" s="397">
        <v>46295</v>
      </c>
      <c r="Q368" s="397">
        <v>46307</v>
      </c>
      <c r="R368" s="397">
        <v>46310</v>
      </c>
      <c r="S368" s="397">
        <v>46310</v>
      </c>
      <c r="T368" s="397">
        <v>46317</v>
      </c>
      <c r="U368" s="397">
        <v>46322</v>
      </c>
      <c r="V368" s="397">
        <v>46327</v>
      </c>
      <c r="W368" s="397"/>
      <c r="X368" s="397">
        <v>46333</v>
      </c>
      <c r="Y368" s="405">
        <v>46337</v>
      </c>
      <c r="Z368" s="405">
        <v>46344</v>
      </c>
      <c r="AA368" s="397">
        <v>46358</v>
      </c>
      <c r="AB368" s="397">
        <v>46373</v>
      </c>
      <c r="AC368" s="397">
        <v>46378</v>
      </c>
      <c r="AD368" s="397">
        <v>46381</v>
      </c>
      <c r="AE368" s="397">
        <v>46384</v>
      </c>
      <c r="AF368" s="397">
        <v>46413</v>
      </c>
      <c r="AG368" s="397">
        <v>46418</v>
      </c>
      <c r="AH368" s="397">
        <v>46423</v>
      </c>
      <c r="AI368" s="397">
        <v>46426</v>
      </c>
      <c r="AJ368" s="170">
        <v>46453</v>
      </c>
      <c r="AK368" s="399"/>
      <c r="AL368" s="270"/>
      <c r="AM368" s="400">
        <f>AH368</f>
        <v>46423</v>
      </c>
      <c r="AN368" s="400"/>
      <c r="AO368" s="270"/>
      <c r="AP368" s="270"/>
      <c r="AQ368" s="442"/>
      <c r="BC368" s="403"/>
    </row>
    <row r="369" spans="1:57" s="78" customFormat="1" ht="18" customHeight="1" thickBot="1" x14ac:dyDescent="0.45">
      <c r="A369" s="460"/>
      <c r="B369" s="322"/>
      <c r="C369" s="178" t="s">
        <v>607</v>
      </c>
      <c r="D369" s="209" t="s">
        <v>608</v>
      </c>
      <c r="E369" s="208"/>
      <c r="F369" s="208"/>
      <c r="G369" s="209" t="s">
        <v>295</v>
      </c>
      <c r="H369" s="182" t="s">
        <v>540</v>
      </c>
      <c r="I369" s="178" t="s">
        <v>73</v>
      </c>
      <c r="J369" s="178" t="s">
        <v>74</v>
      </c>
      <c r="K369" s="178" t="s">
        <v>9</v>
      </c>
      <c r="L369" s="209"/>
      <c r="M369" s="184" t="s">
        <v>150</v>
      </c>
      <c r="N369" s="185" t="s">
        <v>87</v>
      </c>
      <c r="O369" s="186"/>
      <c r="P369" s="186"/>
      <c r="Q369" s="186"/>
      <c r="R369" s="187"/>
      <c r="S369" s="186"/>
      <c r="T369" s="186"/>
      <c r="U369" s="186"/>
      <c r="V369" s="186"/>
      <c r="W369" s="186"/>
      <c r="X369" s="401"/>
      <c r="Y369" s="186"/>
      <c r="Z369" s="186"/>
      <c r="AA369" s="186"/>
      <c r="AB369" s="186"/>
      <c r="AC369" s="186"/>
      <c r="AD369" s="186"/>
      <c r="AE369" s="186"/>
      <c r="AF369" s="186"/>
      <c r="AG369" s="186"/>
      <c r="AH369" s="186"/>
      <c r="AI369" s="186"/>
      <c r="AJ369" s="188"/>
      <c r="AK369" s="188"/>
      <c r="AL369" s="211"/>
      <c r="AM369" s="187"/>
      <c r="AN369" s="187"/>
      <c r="AO369" s="211"/>
      <c r="AP369" s="271"/>
      <c r="AQ369" s="443"/>
      <c r="BC369" s="403"/>
    </row>
    <row r="370" spans="1:57" s="78" customFormat="1" ht="18" customHeight="1" thickTop="1" x14ac:dyDescent="0.4">
      <c r="A370" s="458">
        <f t="shared" ref="A370" si="88">A367+1</f>
        <v>109</v>
      </c>
      <c r="B370" s="273"/>
      <c r="C370" s="140" t="s">
        <v>609</v>
      </c>
      <c r="D370" s="203" t="s">
        <v>610</v>
      </c>
      <c r="E370" s="202"/>
      <c r="F370" s="202"/>
      <c r="G370" s="427" t="s">
        <v>295</v>
      </c>
      <c r="H370" s="143" t="s">
        <v>540</v>
      </c>
      <c r="I370" s="140" t="s">
        <v>73</v>
      </c>
      <c r="J370" s="140" t="s">
        <v>74</v>
      </c>
      <c r="K370" s="140" t="s">
        <v>9</v>
      </c>
      <c r="L370" s="203"/>
      <c r="M370" s="145" t="s">
        <v>150</v>
      </c>
      <c r="N370" s="146" t="s">
        <v>77</v>
      </c>
      <c r="O370" s="147">
        <v>46286</v>
      </c>
      <c r="P370" s="147">
        <v>46324</v>
      </c>
      <c r="Q370" s="147">
        <v>46336</v>
      </c>
      <c r="R370" s="147">
        <v>46339</v>
      </c>
      <c r="S370" s="147">
        <v>46339</v>
      </c>
      <c r="T370" s="147">
        <v>46346</v>
      </c>
      <c r="U370" s="147">
        <v>46351</v>
      </c>
      <c r="V370" s="147">
        <v>46356</v>
      </c>
      <c r="W370" s="147"/>
      <c r="X370" s="147">
        <v>46363</v>
      </c>
      <c r="Y370" s="147">
        <v>46367</v>
      </c>
      <c r="Z370" s="223">
        <v>46374</v>
      </c>
      <c r="AA370" s="147">
        <v>46388</v>
      </c>
      <c r="AB370" s="147">
        <v>46403</v>
      </c>
      <c r="AC370" s="147">
        <v>46408</v>
      </c>
      <c r="AD370" s="147">
        <v>46411</v>
      </c>
      <c r="AE370" s="147">
        <v>46414</v>
      </c>
      <c r="AF370" s="147">
        <v>46443</v>
      </c>
      <c r="AG370" s="147">
        <v>46448</v>
      </c>
      <c r="AH370" s="147">
        <v>46453</v>
      </c>
      <c r="AI370" s="147">
        <v>46456</v>
      </c>
      <c r="AJ370" s="147">
        <v>46483</v>
      </c>
      <c r="AK370" s="149">
        <v>8.5</v>
      </c>
      <c r="AL370" s="150">
        <v>59.5</v>
      </c>
      <c r="AM370" s="151">
        <v>46453</v>
      </c>
      <c r="AN370" s="151">
        <v>46463</v>
      </c>
      <c r="AO370" s="152">
        <f>AN370-AM371</f>
        <v>40.5</v>
      </c>
      <c r="AP370" s="153" t="s">
        <v>554</v>
      </c>
      <c r="AQ370" s="441"/>
      <c r="BC370" s="403"/>
    </row>
    <row r="371" spans="1:57" s="78" customFormat="1" ht="18" customHeight="1" x14ac:dyDescent="0.4">
      <c r="A371" s="459"/>
      <c r="B371" s="404"/>
      <c r="C371" s="393" t="s">
        <v>609</v>
      </c>
      <c r="D371" s="390" t="s">
        <v>610</v>
      </c>
      <c r="E371" s="389"/>
      <c r="F371" s="389"/>
      <c r="G371" s="390" t="s">
        <v>295</v>
      </c>
      <c r="H371" s="391" t="s">
        <v>540</v>
      </c>
      <c r="I371" s="392" t="s">
        <v>73</v>
      </c>
      <c r="J371" s="393" t="s">
        <v>74</v>
      </c>
      <c r="K371" s="393" t="s">
        <v>9</v>
      </c>
      <c r="L371" s="390"/>
      <c r="M371" s="394" t="s">
        <v>150</v>
      </c>
      <c r="N371" s="395" t="s">
        <v>84</v>
      </c>
      <c r="O371" s="396">
        <v>46286</v>
      </c>
      <c r="P371" s="397">
        <v>46324</v>
      </c>
      <c r="Q371" s="397">
        <v>46336</v>
      </c>
      <c r="R371" s="397">
        <v>46339</v>
      </c>
      <c r="S371" s="397">
        <v>46339</v>
      </c>
      <c r="T371" s="397">
        <v>46346</v>
      </c>
      <c r="U371" s="397">
        <v>46351</v>
      </c>
      <c r="V371" s="397">
        <v>46356</v>
      </c>
      <c r="W371" s="397"/>
      <c r="X371" s="397">
        <v>46363</v>
      </c>
      <c r="Y371" s="405">
        <v>46367</v>
      </c>
      <c r="Z371" s="405">
        <v>46374</v>
      </c>
      <c r="AA371" s="397">
        <v>46388</v>
      </c>
      <c r="AB371" s="397">
        <v>46403</v>
      </c>
      <c r="AC371" s="397">
        <v>46408</v>
      </c>
      <c r="AD371" s="397">
        <v>46411</v>
      </c>
      <c r="AE371" s="397">
        <v>46414</v>
      </c>
      <c r="AF371" s="397">
        <v>46443</v>
      </c>
      <c r="AG371" s="397">
        <v>46448</v>
      </c>
      <c r="AH371" s="397">
        <v>46453</v>
      </c>
      <c r="AI371" s="397">
        <v>46456</v>
      </c>
      <c r="AJ371" s="170">
        <v>46483</v>
      </c>
      <c r="AK371" s="399"/>
      <c r="AL371" s="270"/>
      <c r="AM371" s="170">
        <f>X371+AL370</f>
        <v>46422.5</v>
      </c>
      <c r="AN371" s="400"/>
      <c r="AO371" s="270"/>
      <c r="AP371" s="270"/>
      <c r="AQ371" s="442"/>
      <c r="BC371" s="403"/>
    </row>
    <row r="372" spans="1:57" s="78" customFormat="1" ht="18" customHeight="1" thickBot="1" x14ac:dyDescent="0.45">
      <c r="A372" s="460"/>
      <c r="B372" s="322"/>
      <c r="C372" s="178" t="s">
        <v>609</v>
      </c>
      <c r="D372" s="209" t="s">
        <v>610</v>
      </c>
      <c r="E372" s="208"/>
      <c r="F372" s="208"/>
      <c r="G372" s="209" t="s">
        <v>295</v>
      </c>
      <c r="H372" s="182" t="s">
        <v>540</v>
      </c>
      <c r="I372" s="178" t="s">
        <v>73</v>
      </c>
      <c r="J372" s="178" t="s">
        <v>74</v>
      </c>
      <c r="K372" s="178" t="s">
        <v>9</v>
      </c>
      <c r="L372" s="209"/>
      <c r="M372" s="184" t="s">
        <v>150</v>
      </c>
      <c r="N372" s="185" t="s">
        <v>87</v>
      </c>
      <c r="O372" s="186"/>
      <c r="P372" s="186"/>
      <c r="Q372" s="186"/>
      <c r="R372" s="187"/>
      <c r="S372" s="186"/>
      <c r="T372" s="186"/>
      <c r="U372" s="186"/>
      <c r="V372" s="186"/>
      <c r="W372" s="186"/>
      <c r="X372" s="401"/>
      <c r="Y372" s="186"/>
      <c r="Z372" s="186"/>
      <c r="AA372" s="186"/>
      <c r="AB372" s="186"/>
      <c r="AC372" s="186"/>
      <c r="AD372" s="186"/>
      <c r="AE372" s="186"/>
      <c r="AF372" s="186"/>
      <c r="AG372" s="186"/>
      <c r="AH372" s="186"/>
      <c r="AI372" s="188"/>
      <c r="AJ372" s="211"/>
      <c r="AK372" s="188"/>
      <c r="AL372" s="211"/>
      <c r="AM372" s="187"/>
      <c r="AN372" s="187"/>
      <c r="AO372" s="211"/>
      <c r="AP372" s="271"/>
      <c r="AQ372" s="443"/>
      <c r="BC372" s="403"/>
    </row>
    <row r="373" spans="1:57" s="78" customFormat="1" ht="18" customHeight="1" thickTop="1" x14ac:dyDescent="0.4">
      <c r="A373" s="458">
        <f t="shared" ref="A373" si="89">A370+1</f>
        <v>110</v>
      </c>
      <c r="B373" s="139"/>
      <c r="C373" s="247" t="s">
        <v>611</v>
      </c>
      <c r="D373" s="203" t="s">
        <v>612</v>
      </c>
      <c r="E373" s="202"/>
      <c r="F373" s="202"/>
      <c r="G373" s="427" t="s">
        <v>295</v>
      </c>
      <c r="H373" s="143" t="s">
        <v>540</v>
      </c>
      <c r="I373" s="140" t="s">
        <v>73</v>
      </c>
      <c r="J373" s="140" t="s">
        <v>74</v>
      </c>
      <c r="K373" s="140" t="s">
        <v>9</v>
      </c>
      <c r="L373" s="203"/>
      <c r="M373" s="145" t="s">
        <v>150</v>
      </c>
      <c r="N373" s="146" t="s">
        <v>77</v>
      </c>
      <c r="O373" s="147">
        <v>46286</v>
      </c>
      <c r="P373" s="147">
        <v>46353</v>
      </c>
      <c r="Q373" s="147">
        <v>46365</v>
      </c>
      <c r="R373" s="147">
        <v>46368</v>
      </c>
      <c r="S373" s="147">
        <v>46368</v>
      </c>
      <c r="T373" s="147">
        <v>46375</v>
      </c>
      <c r="U373" s="147">
        <v>46380</v>
      </c>
      <c r="V373" s="147">
        <v>46385</v>
      </c>
      <c r="W373" s="147"/>
      <c r="X373" s="147">
        <v>46393</v>
      </c>
      <c r="Y373" s="147">
        <v>46397</v>
      </c>
      <c r="Z373" s="147">
        <v>46404</v>
      </c>
      <c r="AA373" s="147">
        <v>46418</v>
      </c>
      <c r="AB373" s="147">
        <v>46433</v>
      </c>
      <c r="AC373" s="147">
        <v>46438</v>
      </c>
      <c r="AD373" s="147">
        <v>46441</v>
      </c>
      <c r="AE373" s="147">
        <v>46444</v>
      </c>
      <c r="AF373" s="147">
        <v>46473</v>
      </c>
      <c r="AG373" s="147">
        <v>46478</v>
      </c>
      <c r="AH373" s="147">
        <v>46483</v>
      </c>
      <c r="AI373" s="147">
        <v>46486</v>
      </c>
      <c r="AJ373" s="147">
        <v>46513</v>
      </c>
      <c r="AK373" s="149">
        <v>8.5</v>
      </c>
      <c r="AL373" s="150">
        <v>59.5</v>
      </c>
      <c r="AM373" s="151">
        <v>46452.5</v>
      </c>
      <c r="AN373" s="151">
        <v>46494</v>
      </c>
      <c r="AO373" s="152">
        <f>AN373-AM374</f>
        <v>41.5</v>
      </c>
      <c r="AP373" s="153" t="s">
        <v>554</v>
      </c>
      <c r="AQ373" s="438"/>
      <c r="BC373" s="403"/>
      <c r="BD373" s="176"/>
      <c r="BE373" s="176"/>
    </row>
    <row r="374" spans="1:57" s="78" customFormat="1" ht="18" customHeight="1" x14ac:dyDescent="0.4">
      <c r="A374" s="459"/>
      <c r="B374" s="226"/>
      <c r="C374" s="387" t="s">
        <v>611</v>
      </c>
      <c r="D374" s="390" t="s">
        <v>612</v>
      </c>
      <c r="E374" s="389"/>
      <c r="F374" s="389"/>
      <c r="G374" s="390" t="s">
        <v>295</v>
      </c>
      <c r="H374" s="391" t="s">
        <v>540</v>
      </c>
      <c r="I374" s="392" t="s">
        <v>73</v>
      </c>
      <c r="J374" s="393" t="s">
        <v>74</v>
      </c>
      <c r="K374" s="393" t="s">
        <v>9</v>
      </c>
      <c r="L374" s="390"/>
      <c r="M374" s="394" t="s">
        <v>150</v>
      </c>
      <c r="N374" s="395" t="s">
        <v>84</v>
      </c>
      <c r="O374" s="396">
        <v>46286</v>
      </c>
      <c r="P374" s="397">
        <v>46353</v>
      </c>
      <c r="Q374" s="397">
        <v>46365</v>
      </c>
      <c r="R374" s="397">
        <v>46368</v>
      </c>
      <c r="S374" s="397">
        <v>46368</v>
      </c>
      <c r="T374" s="397">
        <v>46375</v>
      </c>
      <c r="U374" s="397">
        <v>46380</v>
      </c>
      <c r="V374" s="397">
        <v>46385</v>
      </c>
      <c r="W374" s="397"/>
      <c r="X374" s="397">
        <v>46393</v>
      </c>
      <c r="Y374" s="405">
        <v>46397</v>
      </c>
      <c r="Z374" s="170">
        <v>46404</v>
      </c>
      <c r="AA374" s="170">
        <v>46418</v>
      </c>
      <c r="AB374" s="168">
        <v>46433</v>
      </c>
      <c r="AC374" s="398">
        <v>46438</v>
      </c>
      <c r="AD374" s="170">
        <v>46441</v>
      </c>
      <c r="AE374" s="170">
        <v>46444</v>
      </c>
      <c r="AF374" s="170">
        <v>46473</v>
      </c>
      <c r="AG374" s="168">
        <v>46478</v>
      </c>
      <c r="AH374" s="170">
        <v>46483</v>
      </c>
      <c r="AI374" s="168">
        <v>46486</v>
      </c>
      <c r="AJ374" s="168">
        <v>46513</v>
      </c>
      <c r="AK374" s="399"/>
      <c r="AL374" s="270"/>
      <c r="AM374" s="170">
        <f>X374+AL373</f>
        <v>46452.5</v>
      </c>
      <c r="AN374" s="400"/>
      <c r="AO374" s="270"/>
      <c r="AP374" s="270"/>
      <c r="AQ374" s="439"/>
      <c r="BC374" s="403"/>
      <c r="BD374" s="176"/>
      <c r="BE374" s="176"/>
    </row>
    <row r="375" spans="1:57" s="78" customFormat="1" ht="18" customHeight="1" thickBot="1" x14ac:dyDescent="0.45">
      <c r="A375" s="460"/>
      <c r="B375" s="177"/>
      <c r="C375" s="251" t="s">
        <v>611</v>
      </c>
      <c r="D375" s="207" t="s">
        <v>612</v>
      </c>
      <c r="E375" s="208"/>
      <c r="F375" s="208"/>
      <c r="G375" s="209" t="s">
        <v>295</v>
      </c>
      <c r="H375" s="182" t="s">
        <v>540</v>
      </c>
      <c r="I375" s="178" t="s">
        <v>73</v>
      </c>
      <c r="J375" s="178" t="s">
        <v>74</v>
      </c>
      <c r="K375" s="178" t="s">
        <v>9</v>
      </c>
      <c r="L375" s="209"/>
      <c r="M375" s="184" t="s">
        <v>150</v>
      </c>
      <c r="N375" s="185" t="s">
        <v>87</v>
      </c>
      <c r="O375" s="186"/>
      <c r="P375" s="186"/>
      <c r="Q375" s="186"/>
      <c r="R375" s="187"/>
      <c r="S375" s="186"/>
      <c r="T375" s="186"/>
      <c r="U375" s="186"/>
      <c r="V375" s="186"/>
      <c r="W375" s="186"/>
      <c r="X375" s="401"/>
      <c r="Y375" s="186"/>
      <c r="Z375" s="186"/>
      <c r="AA375" s="186"/>
      <c r="AB375" s="186"/>
      <c r="AC375" s="186"/>
      <c r="AD375" s="186"/>
      <c r="AE375" s="186"/>
      <c r="AF375" s="186"/>
      <c r="AG375" s="186"/>
      <c r="AH375" s="186"/>
      <c r="AI375" s="188"/>
      <c r="AJ375" s="211"/>
      <c r="AK375" s="188"/>
      <c r="AL375" s="211"/>
      <c r="AM375" s="187"/>
      <c r="AN375" s="187"/>
      <c r="AO375" s="211"/>
      <c r="AP375" s="271"/>
      <c r="AQ375" s="440"/>
      <c r="BC375" s="403"/>
      <c r="BD375" s="176"/>
      <c r="BE375" s="176"/>
    </row>
    <row r="376" spans="1:57" s="78" customFormat="1" ht="24" customHeight="1" thickTop="1" thickBot="1" x14ac:dyDescent="0.45">
      <c r="A376" s="458">
        <f t="shared" ref="A376" si="90">A373+1</f>
        <v>111</v>
      </c>
      <c r="B376" s="139" t="s">
        <v>613</v>
      </c>
      <c r="C376" s="140" t="s">
        <v>614</v>
      </c>
      <c r="D376" s="233" t="s">
        <v>615</v>
      </c>
      <c r="E376" s="142"/>
      <c r="F376" s="142"/>
      <c r="G376" s="427" t="s">
        <v>295</v>
      </c>
      <c r="H376" s="143" t="s">
        <v>540</v>
      </c>
      <c r="I376" s="140" t="s">
        <v>73</v>
      </c>
      <c r="J376" s="140" t="s">
        <v>74</v>
      </c>
      <c r="K376" s="140" t="s">
        <v>9</v>
      </c>
      <c r="L376" s="203"/>
      <c r="M376" s="145" t="s">
        <v>150</v>
      </c>
      <c r="N376" s="146" t="s">
        <v>77</v>
      </c>
      <c r="O376" s="147">
        <v>46154</v>
      </c>
      <c r="P376" s="147">
        <v>46188</v>
      </c>
      <c r="Q376" s="147">
        <v>46202</v>
      </c>
      <c r="R376" s="223">
        <v>46202</v>
      </c>
      <c r="S376" s="147">
        <v>46202</v>
      </c>
      <c r="T376" s="147">
        <v>46209</v>
      </c>
      <c r="U376" s="147">
        <v>46218</v>
      </c>
      <c r="V376" s="148">
        <v>46234</v>
      </c>
      <c r="W376" s="147"/>
      <c r="X376" s="223">
        <v>46235</v>
      </c>
      <c r="Y376" s="147">
        <v>46236</v>
      </c>
      <c r="Z376" s="147">
        <v>46243</v>
      </c>
      <c r="AA376" s="147">
        <v>46250</v>
      </c>
      <c r="AB376" s="147">
        <v>46275</v>
      </c>
      <c r="AC376" s="147">
        <v>46254</v>
      </c>
      <c r="AD376" s="147">
        <v>46255</v>
      </c>
      <c r="AE376" s="147">
        <v>46259</v>
      </c>
      <c r="AF376" s="147">
        <v>46298</v>
      </c>
      <c r="AG376" s="147">
        <v>46305</v>
      </c>
      <c r="AH376" s="147">
        <v>46310</v>
      </c>
      <c r="AI376" s="147">
        <v>46313</v>
      </c>
      <c r="AJ376" s="147">
        <v>46340</v>
      </c>
      <c r="AK376" s="149">
        <f>AL376/7</f>
        <v>4</v>
      </c>
      <c r="AL376" s="150">
        <v>28</v>
      </c>
      <c r="AM376" s="151">
        <f>AH376</f>
        <v>46310</v>
      </c>
      <c r="AN376" s="151">
        <v>46316</v>
      </c>
      <c r="AO376" s="152">
        <f>AN376-AM377</f>
        <v>6</v>
      </c>
      <c r="AP376" s="153" t="s">
        <v>554</v>
      </c>
      <c r="AQ376" s="438" t="s">
        <v>616</v>
      </c>
      <c r="AR376" s="154"/>
      <c r="AS376" s="155"/>
      <c r="AT376" s="155"/>
      <c r="AU376" s="155"/>
      <c r="AV376" s="155"/>
      <c r="AW376" s="155"/>
      <c r="AX376" s="155"/>
      <c r="AY376" s="155"/>
      <c r="AZ376" s="155"/>
      <c r="BA376" s="155"/>
      <c r="BB376" s="155"/>
      <c r="BC376" s="156"/>
      <c r="BD376" s="176"/>
      <c r="BE376" s="176"/>
    </row>
    <row r="377" spans="1:57" s="78" customFormat="1" ht="24" customHeight="1" thickTop="1" thickBot="1" x14ac:dyDescent="0.45">
      <c r="A377" s="459"/>
      <c r="B377" s="226" t="s">
        <v>613</v>
      </c>
      <c r="C377" s="197" t="s">
        <v>614</v>
      </c>
      <c r="D377" s="160" t="s">
        <v>615</v>
      </c>
      <c r="E377" s="161"/>
      <c r="F377" s="161"/>
      <c r="G377" s="204" t="s">
        <v>295</v>
      </c>
      <c r="H377" s="228" t="s">
        <v>540</v>
      </c>
      <c r="I377" s="159" t="s">
        <v>73</v>
      </c>
      <c r="J377" s="197" t="s">
        <v>74</v>
      </c>
      <c r="K377" s="197" t="s">
        <v>9</v>
      </c>
      <c r="L377" s="204"/>
      <c r="M377" s="165" t="s">
        <v>150</v>
      </c>
      <c r="N377" s="166" t="s">
        <v>84</v>
      </c>
      <c r="O377" s="167"/>
      <c r="P377" s="168"/>
      <c r="Q377" s="168"/>
      <c r="R377" s="168"/>
      <c r="S377" s="168"/>
      <c r="T377" s="168"/>
      <c r="U377" s="168"/>
      <c r="V377" s="168">
        <v>46234</v>
      </c>
      <c r="W377" s="168"/>
      <c r="X377" s="168">
        <v>46235</v>
      </c>
      <c r="Y377" s="168">
        <v>46236</v>
      </c>
      <c r="Z377" s="168">
        <v>46243</v>
      </c>
      <c r="AA377" s="168">
        <v>46250</v>
      </c>
      <c r="AB377" s="168">
        <v>46275</v>
      </c>
      <c r="AC377" s="168">
        <v>46254</v>
      </c>
      <c r="AD377" s="168">
        <v>46255</v>
      </c>
      <c r="AE377" s="168">
        <v>46259</v>
      </c>
      <c r="AF377" s="168">
        <v>46298</v>
      </c>
      <c r="AG377" s="168">
        <v>46305</v>
      </c>
      <c r="AH377" s="168">
        <v>46310</v>
      </c>
      <c r="AI377" s="168">
        <v>46313</v>
      </c>
      <c r="AJ377" s="168">
        <v>46340</v>
      </c>
      <c r="AK377" s="169"/>
      <c r="AL377" s="230"/>
      <c r="AM377" s="170">
        <f>AH377</f>
        <v>46310</v>
      </c>
      <c r="AN377" s="170"/>
      <c r="AO377" s="230"/>
      <c r="AP377" s="270"/>
      <c r="AQ377" s="439"/>
      <c r="AR377" s="154"/>
      <c r="AS377" s="155"/>
      <c r="AT377" s="155"/>
      <c r="AU377" s="155"/>
      <c r="AV377" s="155"/>
      <c r="AW377" s="155"/>
      <c r="AX377" s="155"/>
      <c r="AY377" s="155"/>
      <c r="AZ377" s="155"/>
      <c r="BA377" s="155"/>
      <c r="BB377" s="155"/>
      <c r="BC377" s="156"/>
      <c r="BD377" s="176"/>
      <c r="BE377" s="176"/>
    </row>
    <row r="378" spans="1:57" s="78" customFormat="1" ht="24" customHeight="1" thickTop="1" thickBot="1" x14ac:dyDescent="0.45">
      <c r="A378" s="460"/>
      <c r="B378" s="177" t="s">
        <v>613</v>
      </c>
      <c r="C378" s="178" t="s">
        <v>614</v>
      </c>
      <c r="D378" s="237" t="s">
        <v>615</v>
      </c>
      <c r="E378" s="243"/>
      <c r="F378" s="243"/>
      <c r="G378" s="209" t="s">
        <v>295</v>
      </c>
      <c r="H378" s="182" t="s">
        <v>540</v>
      </c>
      <c r="I378" s="178" t="s">
        <v>73</v>
      </c>
      <c r="J378" s="178" t="s">
        <v>74</v>
      </c>
      <c r="K378" s="178" t="s">
        <v>9</v>
      </c>
      <c r="L378" s="209"/>
      <c r="M378" s="184" t="s">
        <v>150</v>
      </c>
      <c r="N378" s="185" t="s">
        <v>87</v>
      </c>
      <c r="O378" s="186">
        <v>46183</v>
      </c>
      <c r="P378" s="186">
        <v>46146</v>
      </c>
      <c r="Q378" s="186">
        <v>46157</v>
      </c>
      <c r="R378" s="186">
        <v>46183</v>
      </c>
      <c r="S378" s="186">
        <v>46183</v>
      </c>
      <c r="T378" s="186">
        <v>46185</v>
      </c>
      <c r="U378" s="186"/>
      <c r="V378" s="186"/>
      <c r="W378" s="186"/>
      <c r="X378" s="187"/>
      <c r="Y378" s="186"/>
      <c r="Z378" s="186"/>
      <c r="AA378" s="186"/>
      <c r="AB378" s="186"/>
      <c r="AC378" s="186"/>
      <c r="AD378" s="186"/>
      <c r="AE378" s="186"/>
      <c r="AF378" s="186"/>
      <c r="AG378" s="186"/>
      <c r="AH378" s="186"/>
      <c r="AI378" s="186"/>
      <c r="AJ378" s="186"/>
      <c r="AK378" s="188"/>
      <c r="AL378" s="211"/>
      <c r="AM378" s="187"/>
      <c r="AN378" s="187"/>
      <c r="AO378" s="211"/>
      <c r="AP378" s="271"/>
      <c r="AQ378" s="440"/>
      <c r="AR378" s="191"/>
      <c r="AS378" s="192"/>
      <c r="AT378" s="192"/>
      <c r="AU378" s="192"/>
      <c r="AV378" s="192"/>
      <c r="AW378" s="192"/>
      <c r="AX378" s="192"/>
      <c r="AY378" s="192"/>
      <c r="AZ378" s="192"/>
      <c r="BA378" s="192"/>
      <c r="BB378" s="192"/>
      <c r="BC378" s="156"/>
      <c r="BD378" s="176"/>
      <c r="BE378" s="176"/>
    </row>
    <row r="379" spans="1:57" s="78" customFormat="1" ht="25.15" customHeight="1" thickTop="1" thickBot="1" x14ac:dyDescent="0.45">
      <c r="A379" s="458">
        <f t="shared" ref="A379" si="91">A376+1</f>
        <v>112</v>
      </c>
      <c r="B379" s="139" t="s">
        <v>613</v>
      </c>
      <c r="C379" s="140" t="s">
        <v>617</v>
      </c>
      <c r="D379" s="233" t="s">
        <v>618</v>
      </c>
      <c r="E379" s="142"/>
      <c r="F379" s="142"/>
      <c r="G379" s="427" t="s">
        <v>295</v>
      </c>
      <c r="H379" s="143" t="s">
        <v>540</v>
      </c>
      <c r="I379" s="140" t="s">
        <v>73</v>
      </c>
      <c r="J379" s="140" t="s">
        <v>74</v>
      </c>
      <c r="K379" s="140" t="s">
        <v>9</v>
      </c>
      <c r="L379" s="203"/>
      <c r="M379" s="145" t="s">
        <v>150</v>
      </c>
      <c r="N379" s="146" t="s">
        <v>77</v>
      </c>
      <c r="O379" s="147">
        <v>46154</v>
      </c>
      <c r="P379" s="147">
        <v>46188</v>
      </c>
      <c r="Q379" s="147">
        <v>46202</v>
      </c>
      <c r="R379" s="223">
        <v>46202</v>
      </c>
      <c r="S379" s="147">
        <v>46202</v>
      </c>
      <c r="T379" s="147">
        <v>46209</v>
      </c>
      <c r="U379" s="147">
        <v>46218</v>
      </c>
      <c r="V379" s="148">
        <v>46234</v>
      </c>
      <c r="W379" s="147"/>
      <c r="X379" s="223">
        <v>46235</v>
      </c>
      <c r="Y379" s="223">
        <v>46236</v>
      </c>
      <c r="Z379" s="147">
        <v>46243</v>
      </c>
      <c r="AA379" s="147">
        <v>46250</v>
      </c>
      <c r="AB379" s="147">
        <v>46275</v>
      </c>
      <c r="AC379" s="147">
        <v>46254</v>
      </c>
      <c r="AD379" s="147">
        <v>46255</v>
      </c>
      <c r="AE379" s="147">
        <v>46259</v>
      </c>
      <c r="AF379" s="147">
        <v>46286</v>
      </c>
      <c r="AG379" s="147">
        <v>46293</v>
      </c>
      <c r="AH379" s="147">
        <v>46298</v>
      </c>
      <c r="AI379" s="147">
        <v>46301</v>
      </c>
      <c r="AJ379" s="147">
        <v>46328</v>
      </c>
      <c r="AK379" s="149">
        <f>AL379/7</f>
        <v>4</v>
      </c>
      <c r="AL379" s="150">
        <v>28</v>
      </c>
      <c r="AM379" s="151">
        <f>AH379</f>
        <v>46298</v>
      </c>
      <c r="AN379" s="151">
        <v>46304</v>
      </c>
      <c r="AO379" s="152">
        <f>AN379-AM380</f>
        <v>6</v>
      </c>
      <c r="AP379" s="153" t="s">
        <v>554</v>
      </c>
      <c r="AQ379" s="438" t="s">
        <v>616</v>
      </c>
      <c r="AR379" s="154"/>
      <c r="AS379" s="155"/>
      <c r="AT379" s="155"/>
      <c r="AU379" s="155"/>
      <c r="AV379" s="155"/>
      <c r="AW379" s="155"/>
      <c r="AX379" s="155"/>
      <c r="AY379" s="155"/>
      <c r="AZ379" s="155"/>
      <c r="BA379" s="155"/>
      <c r="BB379" s="155"/>
      <c r="BC379" s="156"/>
      <c r="BD379" s="176"/>
      <c r="BE379" s="176"/>
    </row>
    <row r="380" spans="1:57" s="78" customFormat="1" ht="26.65" customHeight="1" thickTop="1" thickBot="1" x14ac:dyDescent="0.45">
      <c r="A380" s="459"/>
      <c r="B380" s="226" t="s">
        <v>613</v>
      </c>
      <c r="C380" s="197" t="s">
        <v>617</v>
      </c>
      <c r="D380" s="160" t="s">
        <v>618</v>
      </c>
      <c r="E380" s="161"/>
      <c r="F380" s="161"/>
      <c r="G380" s="204" t="s">
        <v>295</v>
      </c>
      <c r="H380" s="228" t="s">
        <v>540</v>
      </c>
      <c r="I380" s="159" t="s">
        <v>73</v>
      </c>
      <c r="J380" s="197" t="s">
        <v>74</v>
      </c>
      <c r="K380" s="197" t="s">
        <v>9</v>
      </c>
      <c r="L380" s="204"/>
      <c r="M380" s="165" t="s">
        <v>150</v>
      </c>
      <c r="N380" s="166" t="s">
        <v>84</v>
      </c>
      <c r="O380" s="167"/>
      <c r="P380" s="168"/>
      <c r="Q380" s="168"/>
      <c r="R380" s="168"/>
      <c r="S380" s="168"/>
      <c r="T380" s="168"/>
      <c r="U380" s="170"/>
      <c r="V380" s="168">
        <v>46234</v>
      </c>
      <c r="W380" s="168"/>
      <c r="X380" s="168">
        <v>46235</v>
      </c>
      <c r="Y380" s="168">
        <v>46236</v>
      </c>
      <c r="Z380" s="168">
        <v>46243</v>
      </c>
      <c r="AA380" s="168">
        <v>46250</v>
      </c>
      <c r="AB380" s="168">
        <v>46275</v>
      </c>
      <c r="AC380" s="168">
        <v>46254</v>
      </c>
      <c r="AD380" s="168">
        <v>46255</v>
      </c>
      <c r="AE380" s="168">
        <v>46259</v>
      </c>
      <c r="AF380" s="168">
        <v>46286</v>
      </c>
      <c r="AG380" s="168">
        <v>46293</v>
      </c>
      <c r="AH380" s="168">
        <v>46298</v>
      </c>
      <c r="AI380" s="168">
        <v>46301</v>
      </c>
      <c r="AJ380" s="168">
        <v>46328</v>
      </c>
      <c r="AK380" s="169"/>
      <c r="AL380" s="230"/>
      <c r="AM380" s="170">
        <f>AH380</f>
        <v>46298</v>
      </c>
      <c r="AN380" s="170"/>
      <c r="AO380" s="230"/>
      <c r="AP380" s="270"/>
      <c r="AQ380" s="439"/>
      <c r="AR380" s="154"/>
      <c r="AS380" s="155"/>
      <c r="AT380" s="155"/>
      <c r="AU380" s="155"/>
      <c r="AV380" s="155"/>
      <c r="AW380" s="155"/>
      <c r="AX380" s="155"/>
      <c r="AY380" s="155"/>
      <c r="AZ380" s="155"/>
      <c r="BA380" s="155"/>
      <c r="BB380" s="155"/>
      <c r="BC380" s="156"/>
      <c r="BD380" s="176"/>
      <c r="BE380" s="176"/>
    </row>
    <row r="381" spans="1:57" s="78" customFormat="1" ht="25.15" customHeight="1" thickTop="1" thickBot="1" x14ac:dyDescent="0.45">
      <c r="A381" s="460"/>
      <c r="B381" s="177" t="s">
        <v>613</v>
      </c>
      <c r="C381" s="178" t="s">
        <v>617</v>
      </c>
      <c r="D381" s="237" t="s">
        <v>618</v>
      </c>
      <c r="E381" s="243"/>
      <c r="F381" s="243"/>
      <c r="G381" s="209" t="s">
        <v>295</v>
      </c>
      <c r="H381" s="182" t="s">
        <v>540</v>
      </c>
      <c r="I381" s="178" t="s">
        <v>73</v>
      </c>
      <c r="J381" s="178" t="s">
        <v>74</v>
      </c>
      <c r="K381" s="178" t="s">
        <v>9</v>
      </c>
      <c r="L381" s="209"/>
      <c r="M381" s="184" t="s">
        <v>150</v>
      </c>
      <c r="N381" s="185" t="s">
        <v>87</v>
      </c>
      <c r="O381" s="186">
        <v>46183</v>
      </c>
      <c r="P381" s="186">
        <v>46146</v>
      </c>
      <c r="Q381" s="186">
        <v>46157</v>
      </c>
      <c r="R381" s="186">
        <v>46183</v>
      </c>
      <c r="S381" s="186">
        <v>46183</v>
      </c>
      <c r="T381" s="186">
        <v>46185</v>
      </c>
      <c r="U381" s="186"/>
      <c r="V381" s="186"/>
      <c r="W381" s="186"/>
      <c r="X381" s="187"/>
      <c r="Y381" s="186"/>
      <c r="Z381" s="186"/>
      <c r="AA381" s="186"/>
      <c r="AB381" s="186"/>
      <c r="AC381" s="186"/>
      <c r="AD381" s="186"/>
      <c r="AE381" s="186"/>
      <c r="AF381" s="186"/>
      <c r="AG381" s="186"/>
      <c r="AH381" s="186"/>
      <c r="AI381" s="186"/>
      <c r="AJ381" s="186"/>
      <c r="AK381" s="188"/>
      <c r="AL381" s="211"/>
      <c r="AM381" s="187"/>
      <c r="AN381" s="187"/>
      <c r="AO381" s="211"/>
      <c r="AP381" s="271"/>
      <c r="AQ381" s="440"/>
      <c r="AR381" s="191"/>
      <c r="AS381" s="192"/>
      <c r="AT381" s="192"/>
      <c r="AU381" s="192"/>
      <c r="AV381" s="192"/>
      <c r="AW381" s="192"/>
      <c r="AX381" s="192"/>
      <c r="AY381" s="192"/>
      <c r="AZ381" s="192"/>
      <c r="BA381" s="192"/>
      <c r="BB381" s="192"/>
      <c r="BC381" s="156"/>
      <c r="BD381" s="176"/>
      <c r="BE381" s="176"/>
    </row>
    <row r="382" spans="1:57" s="78" customFormat="1" ht="21" customHeight="1" thickTop="1" thickBot="1" x14ac:dyDescent="0.45">
      <c r="A382" s="458">
        <f t="shared" ref="A382" si="92">A379+1</f>
        <v>113</v>
      </c>
      <c r="B382" s="139"/>
      <c r="C382" s="140" t="s">
        <v>619</v>
      </c>
      <c r="D382" s="406" t="s">
        <v>620</v>
      </c>
      <c r="E382" s="202"/>
      <c r="F382" s="202"/>
      <c r="G382" s="427" t="s">
        <v>295</v>
      </c>
      <c r="H382" s="143" t="s">
        <v>540</v>
      </c>
      <c r="I382" s="140" t="s">
        <v>138</v>
      </c>
      <c r="J382" s="140" t="s">
        <v>139</v>
      </c>
      <c r="K382" s="140" t="s">
        <v>9</v>
      </c>
      <c r="L382" s="203"/>
      <c r="M382" s="145" t="s">
        <v>150</v>
      </c>
      <c r="N382" s="146" t="s">
        <v>77</v>
      </c>
      <c r="O382" s="147">
        <v>46213</v>
      </c>
      <c r="P382" s="148">
        <v>46210</v>
      </c>
      <c r="Q382" s="147">
        <v>46217</v>
      </c>
      <c r="R382" s="147">
        <v>46218</v>
      </c>
      <c r="S382" s="147">
        <v>46221</v>
      </c>
      <c r="T382" s="147">
        <v>46228</v>
      </c>
      <c r="U382" s="147">
        <v>46239</v>
      </c>
      <c r="V382" s="147">
        <v>46241</v>
      </c>
      <c r="W382" s="147"/>
      <c r="X382" s="147">
        <v>46248</v>
      </c>
      <c r="Y382" s="147">
        <v>46252</v>
      </c>
      <c r="Z382" s="147">
        <v>46259</v>
      </c>
      <c r="AA382" s="147">
        <v>46273</v>
      </c>
      <c r="AB382" s="147">
        <v>46288</v>
      </c>
      <c r="AC382" s="147">
        <v>46293</v>
      </c>
      <c r="AD382" s="147">
        <v>46296</v>
      </c>
      <c r="AE382" s="147">
        <v>46299</v>
      </c>
      <c r="AF382" s="147">
        <v>46328.02</v>
      </c>
      <c r="AG382" s="147">
        <v>46333.02</v>
      </c>
      <c r="AH382" s="147">
        <v>46338.02</v>
      </c>
      <c r="AI382" s="147">
        <v>46341.02</v>
      </c>
      <c r="AJ382" s="147">
        <v>46358.02</v>
      </c>
      <c r="AK382" s="149">
        <f>AL382/7</f>
        <v>12.857142857142858</v>
      </c>
      <c r="AL382" s="150">
        <v>90</v>
      </c>
      <c r="AM382" s="151">
        <f>AH382</f>
        <v>46338.02</v>
      </c>
      <c r="AN382" s="151">
        <v>46340</v>
      </c>
      <c r="AO382" s="152">
        <f>AN382-AM383</f>
        <v>1.9800000000032014</v>
      </c>
      <c r="AP382" s="153" t="s">
        <v>554</v>
      </c>
      <c r="AQ382" s="450" t="s">
        <v>621</v>
      </c>
      <c r="AR382" s="154"/>
      <c r="AS382" s="155"/>
      <c r="AT382" s="155"/>
      <c r="AU382" s="155"/>
      <c r="AV382" s="155"/>
      <c r="AW382" s="155"/>
      <c r="AX382" s="155"/>
      <c r="AY382" s="155"/>
      <c r="AZ382" s="155"/>
      <c r="BA382" s="155"/>
      <c r="BB382" s="155"/>
      <c r="BC382" s="156"/>
      <c r="BD382" s="176"/>
      <c r="BE382" s="176"/>
    </row>
    <row r="383" spans="1:57" s="78" customFormat="1" ht="21" customHeight="1" thickTop="1" thickBot="1" x14ac:dyDescent="0.45">
      <c r="A383" s="459"/>
      <c r="B383" s="158"/>
      <c r="C383" s="197" t="s">
        <v>619</v>
      </c>
      <c r="D383" s="407" t="s">
        <v>620</v>
      </c>
      <c r="E383" s="205"/>
      <c r="F383" s="205"/>
      <c r="G383" s="204" t="s">
        <v>295</v>
      </c>
      <c r="H383" s="228" t="s">
        <v>540</v>
      </c>
      <c r="I383" s="159" t="s">
        <v>138</v>
      </c>
      <c r="J383" s="197" t="s">
        <v>139</v>
      </c>
      <c r="K383" s="197" t="s">
        <v>9</v>
      </c>
      <c r="L383" s="204"/>
      <c r="M383" s="165" t="s">
        <v>150</v>
      </c>
      <c r="N383" s="166" t="s">
        <v>84</v>
      </c>
      <c r="O383" s="167">
        <f>R383</f>
        <v>46218</v>
      </c>
      <c r="P383" s="167"/>
      <c r="Q383" s="168">
        <v>46217</v>
      </c>
      <c r="R383" s="168">
        <v>46218</v>
      </c>
      <c r="S383" s="168">
        <v>46221</v>
      </c>
      <c r="T383" s="168">
        <v>46228</v>
      </c>
      <c r="U383" s="168">
        <v>46239</v>
      </c>
      <c r="V383" s="168">
        <v>46241</v>
      </c>
      <c r="W383" s="168"/>
      <c r="X383" s="168">
        <v>46248</v>
      </c>
      <c r="Y383" s="168">
        <v>46252</v>
      </c>
      <c r="Z383" s="168">
        <v>46259</v>
      </c>
      <c r="AA383" s="168">
        <v>46273</v>
      </c>
      <c r="AB383" s="168">
        <v>46288</v>
      </c>
      <c r="AC383" s="168">
        <v>46293</v>
      </c>
      <c r="AD383" s="168">
        <v>46296</v>
      </c>
      <c r="AE383" s="168">
        <v>46299</v>
      </c>
      <c r="AF383" s="168">
        <v>46328.02</v>
      </c>
      <c r="AG383" s="168">
        <v>46333.02</v>
      </c>
      <c r="AH383" s="168">
        <v>46338.02</v>
      </c>
      <c r="AI383" s="168">
        <v>46341.02</v>
      </c>
      <c r="AJ383" s="168">
        <v>46358.02</v>
      </c>
      <c r="AK383" s="169"/>
      <c r="AL383" s="230"/>
      <c r="AM383" s="170">
        <f>AH383</f>
        <v>46338.02</v>
      </c>
      <c r="AN383" s="170"/>
      <c r="AO383" s="230"/>
      <c r="AP383" s="270"/>
      <c r="AQ383" s="451"/>
      <c r="AR383" s="154"/>
      <c r="AS383" s="155"/>
      <c r="AT383" s="155"/>
      <c r="AU383" s="155"/>
      <c r="AV383" s="155"/>
      <c r="AW383" s="155"/>
      <c r="AX383" s="155"/>
      <c r="AY383" s="155"/>
      <c r="AZ383" s="155"/>
      <c r="BA383" s="155"/>
      <c r="BB383" s="155"/>
      <c r="BC383" s="156"/>
      <c r="BD383" s="176"/>
      <c r="BE383" s="176"/>
    </row>
    <row r="384" spans="1:57" s="78" customFormat="1" ht="21" customHeight="1" thickTop="1" thickBot="1" x14ac:dyDescent="0.45">
      <c r="A384" s="460"/>
      <c r="B384" s="177"/>
      <c r="C384" s="178" t="s">
        <v>619</v>
      </c>
      <c r="D384" s="220" t="s">
        <v>620</v>
      </c>
      <c r="E384" s="215"/>
      <c r="F384" s="215"/>
      <c r="G384" s="209" t="s">
        <v>295</v>
      </c>
      <c r="H384" s="182" t="s">
        <v>540</v>
      </c>
      <c r="I384" s="178" t="s">
        <v>138</v>
      </c>
      <c r="J384" s="178" t="s">
        <v>139</v>
      </c>
      <c r="K384" s="178" t="s">
        <v>9</v>
      </c>
      <c r="L384" s="209"/>
      <c r="M384" s="184" t="s">
        <v>150</v>
      </c>
      <c r="N384" s="185" t="s">
        <v>87</v>
      </c>
      <c r="O384" s="186"/>
      <c r="P384" s="186">
        <v>46213</v>
      </c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  <c r="AA384" s="186"/>
      <c r="AB384" s="186"/>
      <c r="AC384" s="186"/>
      <c r="AD384" s="186"/>
      <c r="AE384" s="186"/>
      <c r="AF384" s="186"/>
      <c r="AG384" s="186"/>
      <c r="AH384" s="186"/>
      <c r="AI384" s="186"/>
      <c r="AJ384" s="186"/>
      <c r="AK384" s="188"/>
      <c r="AL384" s="211"/>
      <c r="AM384" s="187"/>
      <c r="AN384" s="187"/>
      <c r="AO384" s="211"/>
      <c r="AP384" s="271"/>
      <c r="AQ384" s="452"/>
      <c r="AR384" s="191"/>
      <c r="AS384" s="192"/>
      <c r="AT384" s="192"/>
      <c r="AU384" s="192"/>
      <c r="AV384" s="192"/>
      <c r="AW384" s="192"/>
      <c r="AX384" s="192"/>
      <c r="AY384" s="192"/>
      <c r="AZ384" s="192"/>
      <c r="BA384" s="192"/>
      <c r="BB384" s="192"/>
      <c r="BC384" s="156"/>
      <c r="BD384" s="176"/>
      <c r="BE384" s="176"/>
    </row>
    <row r="385" spans="1:57" s="78" customFormat="1" ht="19.5" customHeight="1" thickTop="1" thickBot="1" x14ac:dyDescent="0.45">
      <c r="A385" s="458">
        <f t="shared" ref="A385" si="93">A382+1</f>
        <v>114</v>
      </c>
      <c r="B385" s="139" t="s">
        <v>622</v>
      </c>
      <c r="C385" s="140" t="s">
        <v>623</v>
      </c>
      <c r="D385" s="233" t="s">
        <v>624</v>
      </c>
      <c r="E385" s="202"/>
      <c r="F385" s="202"/>
      <c r="G385" s="427" t="s">
        <v>295</v>
      </c>
      <c r="H385" s="143" t="s">
        <v>540</v>
      </c>
      <c r="I385" s="140" t="s">
        <v>138</v>
      </c>
      <c r="J385" s="140" t="s">
        <v>139</v>
      </c>
      <c r="K385" s="140" t="s">
        <v>2</v>
      </c>
      <c r="L385" s="203"/>
      <c r="M385" s="145" t="s">
        <v>150</v>
      </c>
      <c r="N385" s="146" t="s">
        <v>77</v>
      </c>
      <c r="O385" s="147">
        <v>46168</v>
      </c>
      <c r="P385" s="147">
        <v>46169</v>
      </c>
      <c r="Q385" s="147">
        <v>46183</v>
      </c>
      <c r="R385" s="147">
        <v>46183</v>
      </c>
      <c r="S385" s="147">
        <v>46183</v>
      </c>
      <c r="T385" s="147">
        <v>46198</v>
      </c>
      <c r="U385" s="147">
        <v>46223</v>
      </c>
      <c r="V385" s="147">
        <v>46239</v>
      </c>
      <c r="W385" s="147"/>
      <c r="X385" s="148">
        <v>46252</v>
      </c>
      <c r="Y385" s="147">
        <v>46254</v>
      </c>
      <c r="Z385" s="147">
        <v>46261</v>
      </c>
      <c r="AA385" s="223">
        <v>46275</v>
      </c>
      <c r="AB385" s="223">
        <v>46289</v>
      </c>
      <c r="AC385" s="147">
        <v>46275</v>
      </c>
      <c r="AD385" s="147">
        <v>46278</v>
      </c>
      <c r="AE385" s="147">
        <v>46280</v>
      </c>
      <c r="AF385" s="147">
        <v>46304.5</v>
      </c>
      <c r="AG385" s="147">
        <v>46307.5</v>
      </c>
      <c r="AH385" s="147">
        <v>46311.5</v>
      </c>
      <c r="AI385" s="147">
        <v>46314.5</v>
      </c>
      <c r="AJ385" s="147">
        <v>46331.5</v>
      </c>
      <c r="AK385" s="149">
        <v>8.5</v>
      </c>
      <c r="AL385" s="150">
        <v>59.5</v>
      </c>
      <c r="AM385" s="151">
        <v>46311.5</v>
      </c>
      <c r="AN385" s="151">
        <v>46322</v>
      </c>
      <c r="AO385" s="152">
        <f>AN385-AM386</f>
        <v>10.5</v>
      </c>
      <c r="AP385" s="153" t="s">
        <v>554</v>
      </c>
      <c r="AQ385" s="447" t="s">
        <v>625</v>
      </c>
      <c r="AR385" s="154"/>
      <c r="AS385" s="155"/>
      <c r="AT385" s="155"/>
      <c r="AU385" s="155"/>
      <c r="AV385" s="155"/>
      <c r="AW385" s="155"/>
      <c r="AX385" s="155"/>
      <c r="AY385" s="155"/>
      <c r="AZ385" s="155"/>
      <c r="BA385" s="155"/>
      <c r="BB385" s="155"/>
      <c r="BC385" s="156"/>
      <c r="BD385" s="176"/>
      <c r="BE385" s="176"/>
    </row>
    <row r="386" spans="1:57" s="78" customFormat="1" ht="24.4" customHeight="1" thickTop="1" thickBot="1" x14ac:dyDescent="0.45">
      <c r="A386" s="459"/>
      <c r="B386" s="158" t="s">
        <v>622</v>
      </c>
      <c r="C386" s="197" t="s">
        <v>623</v>
      </c>
      <c r="D386" s="160" t="s">
        <v>624</v>
      </c>
      <c r="E386" s="205"/>
      <c r="F386" s="205"/>
      <c r="G386" s="204" t="s">
        <v>295</v>
      </c>
      <c r="H386" s="228" t="s">
        <v>540</v>
      </c>
      <c r="I386" s="159" t="s">
        <v>138</v>
      </c>
      <c r="J386" s="197" t="s">
        <v>139</v>
      </c>
      <c r="K386" s="197" t="s">
        <v>2</v>
      </c>
      <c r="L386" s="204"/>
      <c r="M386" s="165" t="s">
        <v>150</v>
      </c>
      <c r="N386" s="166" t="s">
        <v>84</v>
      </c>
      <c r="O386" s="167"/>
      <c r="P386" s="168"/>
      <c r="Q386" s="168"/>
      <c r="R386" s="168"/>
      <c r="S386" s="168"/>
      <c r="T386" s="168"/>
      <c r="U386" s="168"/>
      <c r="V386" s="168"/>
      <c r="W386" s="168"/>
      <c r="X386" s="168">
        <v>46252</v>
      </c>
      <c r="Y386" s="168">
        <f>WORKDAY(X386,Y6,IF(Y12="China",'China Holidays'!$A$2:$A$84,'Thai Holidays'!$A$2:$A$65))</f>
        <v>46254</v>
      </c>
      <c r="Z386" s="168">
        <f>WORKDAY(Y386,Z6,IF(Z12="China",'China Holidays'!$A$2:$A$84,'Thai Holidays'!$A$2:$A$65))</f>
        <v>46261</v>
      </c>
      <c r="AA386" s="168">
        <v>46275</v>
      </c>
      <c r="AB386" s="168">
        <v>46289</v>
      </c>
      <c r="AC386" s="168">
        <f>AA386</f>
        <v>46275</v>
      </c>
      <c r="AD386" s="168">
        <f>AC386+3</f>
        <v>46278</v>
      </c>
      <c r="AE386" s="168">
        <f>AD386+2</f>
        <v>46280</v>
      </c>
      <c r="AF386" s="168">
        <f>AG386-3</f>
        <v>46304.5</v>
      </c>
      <c r="AG386" s="168">
        <f>AH386-4</f>
        <v>46307.5</v>
      </c>
      <c r="AH386" s="168">
        <f>AM385</f>
        <v>46311.5</v>
      </c>
      <c r="AI386" s="168">
        <f>AM385+3</f>
        <v>46314.5</v>
      </c>
      <c r="AJ386" s="168">
        <f>AH386+20</f>
        <v>46331.5</v>
      </c>
      <c r="AK386" s="169"/>
      <c r="AL386" s="230"/>
      <c r="AM386" s="170">
        <f>X386+AL385</f>
        <v>46311.5</v>
      </c>
      <c r="AN386" s="170"/>
      <c r="AO386" s="230"/>
      <c r="AP386" s="270"/>
      <c r="AQ386" s="448"/>
      <c r="AR386" s="154"/>
      <c r="AS386" s="155"/>
      <c r="AT386" s="155"/>
      <c r="AU386" s="155"/>
      <c r="AV386" s="155"/>
      <c r="AW386" s="155"/>
      <c r="AX386" s="155"/>
      <c r="AY386" s="155"/>
      <c r="AZ386" s="155"/>
      <c r="BA386" s="155"/>
      <c r="BB386" s="155"/>
      <c r="BC386" s="156"/>
      <c r="BD386" s="176"/>
      <c r="BE386" s="176"/>
    </row>
    <row r="387" spans="1:57" s="78" customFormat="1" ht="24.4" customHeight="1" thickTop="1" thickBot="1" x14ac:dyDescent="0.45">
      <c r="A387" s="460"/>
      <c r="B387" s="177" t="s">
        <v>622</v>
      </c>
      <c r="C387" s="178" t="s">
        <v>623</v>
      </c>
      <c r="D387" s="237" t="s">
        <v>624</v>
      </c>
      <c r="E387" s="208"/>
      <c r="F387" s="208"/>
      <c r="G387" s="209" t="s">
        <v>295</v>
      </c>
      <c r="H387" s="182" t="s">
        <v>540</v>
      </c>
      <c r="I387" s="178" t="s">
        <v>138</v>
      </c>
      <c r="J387" s="178" t="s">
        <v>139</v>
      </c>
      <c r="K387" s="178" t="s">
        <v>2</v>
      </c>
      <c r="L387" s="209"/>
      <c r="M387" s="184" t="s">
        <v>150</v>
      </c>
      <c r="N387" s="185" t="s">
        <v>87</v>
      </c>
      <c r="O387" s="186">
        <v>46164</v>
      </c>
      <c r="P387" s="186">
        <v>46146</v>
      </c>
      <c r="Q387" s="186">
        <v>46157</v>
      </c>
      <c r="R387" s="186">
        <v>46181</v>
      </c>
      <c r="S387" s="186">
        <v>46181</v>
      </c>
      <c r="T387" s="186">
        <v>46196</v>
      </c>
      <c r="U387" s="186">
        <v>46230</v>
      </c>
      <c r="V387" s="186">
        <v>46234</v>
      </c>
      <c r="W387" s="186"/>
      <c r="X387" s="186"/>
      <c r="Y387" s="186"/>
      <c r="Z387" s="186"/>
      <c r="AA387" s="186"/>
      <c r="AB387" s="186"/>
      <c r="AC387" s="186"/>
      <c r="AD387" s="186"/>
      <c r="AE387" s="186"/>
      <c r="AF387" s="186"/>
      <c r="AG387" s="186"/>
      <c r="AH387" s="186"/>
      <c r="AI387" s="186"/>
      <c r="AJ387" s="186"/>
      <c r="AK387" s="188"/>
      <c r="AL387" s="211"/>
      <c r="AM387" s="187"/>
      <c r="AN387" s="187"/>
      <c r="AO387" s="211"/>
      <c r="AP387" s="271"/>
      <c r="AQ387" s="449"/>
      <c r="AR387" s="191"/>
      <c r="AS387" s="192"/>
      <c r="AT387" s="192"/>
      <c r="AU387" s="192"/>
      <c r="AV387" s="192"/>
      <c r="AW387" s="192"/>
      <c r="AX387" s="192"/>
      <c r="AY387" s="192"/>
      <c r="AZ387" s="192"/>
      <c r="BA387" s="192"/>
      <c r="BB387" s="192"/>
      <c r="BC387" s="156"/>
      <c r="BD387" s="176"/>
      <c r="BE387" s="176"/>
    </row>
    <row r="388" spans="1:57" s="78" customFormat="1" ht="21.75" customHeight="1" thickTop="1" thickBot="1" x14ac:dyDescent="0.45">
      <c r="A388" s="458">
        <f t="shared" ref="A388" si="94">A385+1</f>
        <v>115</v>
      </c>
      <c r="B388" s="139" t="s">
        <v>626</v>
      </c>
      <c r="C388" s="140" t="s">
        <v>627</v>
      </c>
      <c r="D388" s="141" t="s">
        <v>628</v>
      </c>
      <c r="E388" s="202"/>
      <c r="F388" s="202"/>
      <c r="G388" s="203" t="s">
        <v>295</v>
      </c>
      <c r="H388" s="143" t="s">
        <v>540</v>
      </c>
      <c r="I388" s="140" t="s">
        <v>138</v>
      </c>
      <c r="J388" s="140" t="s">
        <v>139</v>
      </c>
      <c r="K388" s="140" t="s">
        <v>2</v>
      </c>
      <c r="L388" s="141" t="s">
        <v>629</v>
      </c>
      <c r="M388" s="145" t="s">
        <v>76</v>
      </c>
      <c r="N388" s="146" t="s">
        <v>77</v>
      </c>
      <c r="O388" s="147">
        <v>46153</v>
      </c>
      <c r="P388" s="147">
        <v>46154</v>
      </c>
      <c r="Q388" s="147">
        <v>46161</v>
      </c>
      <c r="R388" s="147">
        <v>46162</v>
      </c>
      <c r="S388" s="147">
        <v>46169</v>
      </c>
      <c r="T388" s="147">
        <v>46183</v>
      </c>
      <c r="U388" s="147">
        <v>46211</v>
      </c>
      <c r="V388" s="147">
        <v>46216</v>
      </c>
      <c r="W388" s="148"/>
      <c r="X388" s="223">
        <v>46230</v>
      </c>
      <c r="Y388" s="147">
        <v>46232</v>
      </c>
      <c r="Z388" s="147">
        <v>46239</v>
      </c>
      <c r="AA388" s="147">
        <v>46267</v>
      </c>
      <c r="AB388" s="147">
        <v>46281</v>
      </c>
      <c r="AC388" s="147">
        <v>46311</v>
      </c>
      <c r="AD388" s="147">
        <v>46311</v>
      </c>
      <c r="AE388" s="147">
        <v>46313</v>
      </c>
      <c r="AF388" s="147">
        <v>46416</v>
      </c>
      <c r="AG388" s="147">
        <v>46431</v>
      </c>
      <c r="AH388" s="147">
        <v>46461</v>
      </c>
      <c r="AI388" s="147">
        <v>46464</v>
      </c>
      <c r="AJ388" s="147">
        <v>46481</v>
      </c>
      <c r="AK388" s="149">
        <v>33</v>
      </c>
      <c r="AL388" s="150">
        <f>AK388*7</f>
        <v>231</v>
      </c>
      <c r="AM388" s="151">
        <v>46461</v>
      </c>
      <c r="AN388" s="151">
        <v>46469</v>
      </c>
      <c r="AO388" s="152">
        <f>AN388-AM388</f>
        <v>8</v>
      </c>
      <c r="AP388" s="153" t="s">
        <v>171</v>
      </c>
      <c r="AQ388" s="447"/>
      <c r="AR388" s="154"/>
      <c r="AS388" s="155"/>
      <c r="AT388" s="155"/>
      <c r="AU388" s="155"/>
      <c r="AV388" s="155"/>
      <c r="AW388" s="155"/>
      <c r="AX388" s="155"/>
      <c r="AY388" s="155"/>
      <c r="AZ388" s="155"/>
      <c r="BA388" s="155"/>
      <c r="BB388" s="155"/>
      <c r="BC388" s="156" t="s">
        <v>80</v>
      </c>
      <c r="BD388" s="408" t="s">
        <v>630</v>
      </c>
      <c r="BE388" s="176" t="s">
        <v>631</v>
      </c>
    </row>
    <row r="389" spans="1:57" s="78" customFormat="1" ht="21" thickTop="1" thickBot="1" x14ac:dyDescent="0.45">
      <c r="A389" s="459"/>
      <c r="B389" s="226" t="s">
        <v>626</v>
      </c>
      <c r="C389" s="197" t="s">
        <v>627</v>
      </c>
      <c r="D389" s="160" t="s">
        <v>628</v>
      </c>
      <c r="E389" s="205"/>
      <c r="F389" s="205"/>
      <c r="G389" s="204" t="s">
        <v>295</v>
      </c>
      <c r="H389" s="228" t="s">
        <v>540</v>
      </c>
      <c r="I389" s="159" t="s">
        <v>138</v>
      </c>
      <c r="J389" s="197" t="s">
        <v>139</v>
      </c>
      <c r="K389" s="197" t="s">
        <v>2</v>
      </c>
      <c r="L389" s="164" t="s">
        <v>632</v>
      </c>
      <c r="M389" s="165" t="s">
        <v>76</v>
      </c>
      <c r="N389" s="166" t="s">
        <v>84</v>
      </c>
      <c r="O389" s="167"/>
      <c r="P389" s="168"/>
      <c r="Q389" s="168"/>
      <c r="R389" s="168"/>
      <c r="S389" s="168"/>
      <c r="T389" s="168"/>
      <c r="U389" s="168"/>
      <c r="V389" s="168"/>
      <c r="W389" s="168">
        <v>46237</v>
      </c>
      <c r="X389" s="168">
        <v>46241</v>
      </c>
      <c r="Y389" s="168">
        <f>WORKDAY(X389,Y6,IF(Y12="China",'China Holidays'!$A$2:$A$84,'Thai Holidays'!$A$2:$A$65))</f>
        <v>46245</v>
      </c>
      <c r="Z389" s="168">
        <v>46241</v>
      </c>
      <c r="AA389" s="168">
        <f>WORKDAY(Z389,4,IF(AA12="China",'China Holidays'!$A$2:$A$84,'Thai Holidays'!$A$2:$A$65))</f>
        <v>46247</v>
      </c>
      <c r="AB389" s="168">
        <f>WORKDAY(AA389,AB6,IF(AB12="China",'China Holidays'!$A$2:$A$84,'Thai Holidays'!$A$2:$A$65))</f>
        <v>46261</v>
      </c>
      <c r="AC389" s="168">
        <f>AB389+30</f>
        <v>46291</v>
      </c>
      <c r="AD389" s="168">
        <f>AC389</f>
        <v>46291</v>
      </c>
      <c r="AE389" s="168">
        <f>AD389+2</f>
        <v>46293</v>
      </c>
      <c r="AF389" s="168">
        <f>AG389-15</f>
        <v>46392</v>
      </c>
      <c r="AG389" s="168">
        <f>AH389-30</f>
        <v>46407</v>
      </c>
      <c r="AH389" s="168">
        <f>AM389</f>
        <v>46437</v>
      </c>
      <c r="AI389" s="168">
        <f>AM388+3</f>
        <v>46464</v>
      </c>
      <c r="AJ389" s="168">
        <f>AH389+20</f>
        <v>46457</v>
      </c>
      <c r="AK389" s="169">
        <v>28</v>
      </c>
      <c r="AL389" s="230">
        <f>AK389*7</f>
        <v>196</v>
      </c>
      <c r="AM389" s="170">
        <f>X389+AL389</f>
        <v>46437</v>
      </c>
      <c r="AN389" s="170"/>
      <c r="AO389" s="230"/>
      <c r="AP389" s="270"/>
      <c r="AQ389" s="448"/>
      <c r="AR389" s="154"/>
      <c r="AS389" s="155"/>
      <c r="AT389" s="155"/>
      <c r="AU389" s="155"/>
      <c r="AV389" s="155"/>
      <c r="AW389" s="155"/>
      <c r="AX389" s="155"/>
      <c r="AY389" s="155"/>
      <c r="AZ389" s="155"/>
      <c r="BA389" s="155"/>
      <c r="BB389" s="155"/>
      <c r="BC389" s="156" t="s">
        <v>85</v>
      </c>
      <c r="BD389" s="176" t="s">
        <v>633</v>
      </c>
      <c r="BE389" s="176"/>
    </row>
    <row r="390" spans="1:57" s="78" customFormat="1" ht="21" thickTop="1" thickBot="1" x14ac:dyDescent="0.45">
      <c r="A390" s="460"/>
      <c r="B390" s="177" t="s">
        <v>626</v>
      </c>
      <c r="C390" s="178" t="s">
        <v>627</v>
      </c>
      <c r="D390" s="237" t="s">
        <v>628</v>
      </c>
      <c r="E390" s="208"/>
      <c r="F390" s="208"/>
      <c r="G390" s="209" t="s">
        <v>295</v>
      </c>
      <c r="H390" s="182" t="s">
        <v>540</v>
      </c>
      <c r="I390" s="178" t="s">
        <v>138</v>
      </c>
      <c r="J390" s="178" t="s">
        <v>139</v>
      </c>
      <c r="K390" s="178" t="s">
        <v>2</v>
      </c>
      <c r="L390" s="209"/>
      <c r="M390" s="184" t="s">
        <v>76</v>
      </c>
      <c r="N390" s="185" t="s">
        <v>87</v>
      </c>
      <c r="O390" s="186">
        <v>46164</v>
      </c>
      <c r="P390" s="186">
        <v>46153</v>
      </c>
      <c r="Q390" s="186">
        <v>46157</v>
      </c>
      <c r="R390" s="186">
        <v>46167</v>
      </c>
      <c r="S390" s="186">
        <v>46167</v>
      </c>
      <c r="T390" s="186">
        <v>46185</v>
      </c>
      <c r="U390" s="186">
        <v>46220</v>
      </c>
      <c r="V390" s="186">
        <v>46227</v>
      </c>
      <c r="W390" s="186"/>
      <c r="X390" s="186"/>
      <c r="Y390" s="186"/>
      <c r="Z390" s="186"/>
      <c r="AA390" s="186"/>
      <c r="AB390" s="186"/>
      <c r="AC390" s="186"/>
      <c r="AD390" s="186"/>
      <c r="AE390" s="186"/>
      <c r="AF390" s="186"/>
      <c r="AG390" s="186"/>
      <c r="AH390" s="186"/>
      <c r="AI390" s="186"/>
      <c r="AJ390" s="186"/>
      <c r="AK390" s="188"/>
      <c r="AL390" s="211"/>
      <c r="AM390" s="187"/>
      <c r="AN390" s="187"/>
      <c r="AO390" s="211"/>
      <c r="AP390" s="271"/>
      <c r="AQ390" s="449"/>
      <c r="AR390" s="191"/>
      <c r="AS390" s="192"/>
      <c r="AT390" s="192"/>
      <c r="AU390" s="192"/>
      <c r="AV390" s="192"/>
      <c r="AW390" s="192"/>
      <c r="AX390" s="192"/>
      <c r="AY390" s="192"/>
      <c r="AZ390" s="192"/>
      <c r="BA390" s="192"/>
      <c r="BB390" s="192"/>
      <c r="BC390" s="156" t="s">
        <v>88</v>
      </c>
      <c r="BD390" s="176" t="s">
        <v>634</v>
      </c>
      <c r="BE390" s="176"/>
    </row>
    <row r="391" spans="1:57" s="78" customFormat="1" ht="21" thickTop="1" thickBot="1" x14ac:dyDescent="0.45">
      <c r="A391" s="458"/>
      <c r="B391" s="139"/>
      <c r="C391" s="278" t="s">
        <v>635</v>
      </c>
      <c r="D391" s="254" t="s">
        <v>636</v>
      </c>
      <c r="E391" s="202"/>
      <c r="F391" s="202"/>
      <c r="G391" s="203" t="s">
        <v>295</v>
      </c>
      <c r="H391" s="143" t="s">
        <v>540</v>
      </c>
      <c r="I391" s="140" t="s">
        <v>138</v>
      </c>
      <c r="J391" s="140" t="s">
        <v>95</v>
      </c>
      <c r="K391" s="140" t="s">
        <v>2</v>
      </c>
      <c r="L391" s="376" t="s">
        <v>637</v>
      </c>
      <c r="M391" s="145" t="s">
        <v>150</v>
      </c>
      <c r="N391" s="146" t="s">
        <v>77</v>
      </c>
      <c r="O391" s="223">
        <v>46153</v>
      </c>
      <c r="P391" s="223">
        <v>46152</v>
      </c>
      <c r="Q391" s="223">
        <v>46164</v>
      </c>
      <c r="R391" s="223">
        <v>46164</v>
      </c>
      <c r="S391" s="223">
        <v>46164</v>
      </c>
      <c r="T391" s="223">
        <v>46178</v>
      </c>
      <c r="U391" s="147">
        <v>46203</v>
      </c>
      <c r="V391" s="147">
        <v>46217</v>
      </c>
      <c r="W391" s="147"/>
      <c r="X391" s="223">
        <v>46230</v>
      </c>
      <c r="Y391" s="147">
        <v>46232</v>
      </c>
      <c r="Z391" s="147">
        <v>46239</v>
      </c>
      <c r="AA391" s="147">
        <v>46267</v>
      </c>
      <c r="AB391" s="147">
        <v>46281</v>
      </c>
      <c r="AC391" s="147">
        <v>46303</v>
      </c>
      <c r="AD391" s="147">
        <v>46303</v>
      </c>
      <c r="AE391" s="147">
        <v>46305</v>
      </c>
      <c r="AF391" s="147">
        <v>46446</v>
      </c>
      <c r="AG391" s="147">
        <v>46451</v>
      </c>
      <c r="AH391" s="147">
        <v>46461</v>
      </c>
      <c r="AI391" s="147">
        <v>46464</v>
      </c>
      <c r="AJ391" s="147">
        <v>46481</v>
      </c>
      <c r="AK391" s="149">
        <v>33</v>
      </c>
      <c r="AL391" s="150">
        <f>AK391*7</f>
        <v>231</v>
      </c>
      <c r="AM391" s="151">
        <v>46461</v>
      </c>
      <c r="AN391" s="151">
        <v>46471</v>
      </c>
      <c r="AO391" s="152">
        <f>AN391-AM391</f>
        <v>10</v>
      </c>
      <c r="AP391" s="153" t="s">
        <v>638</v>
      </c>
      <c r="AQ391" s="438" t="s">
        <v>639</v>
      </c>
      <c r="AR391" s="154"/>
      <c r="AS391" s="155"/>
      <c r="AT391" s="155"/>
      <c r="AU391" s="155"/>
      <c r="AV391" s="155"/>
      <c r="AW391" s="155"/>
      <c r="AX391" s="155"/>
      <c r="AY391" s="155"/>
      <c r="AZ391" s="155"/>
      <c r="BA391" s="155"/>
      <c r="BB391" s="155"/>
      <c r="BC391" s="156"/>
      <c r="BD391" s="176"/>
      <c r="BE391" s="176"/>
    </row>
    <row r="392" spans="1:57" s="78" customFormat="1" ht="21" thickTop="1" thickBot="1" x14ac:dyDescent="0.45">
      <c r="A392" s="459"/>
      <c r="B392" s="158"/>
      <c r="C392" s="282" t="s">
        <v>635</v>
      </c>
      <c r="D392" s="257" t="s">
        <v>636</v>
      </c>
      <c r="E392" s="205"/>
      <c r="F392" s="205"/>
      <c r="G392" s="204" t="s">
        <v>295</v>
      </c>
      <c r="H392" s="228" t="s">
        <v>540</v>
      </c>
      <c r="I392" s="159" t="s">
        <v>138</v>
      </c>
      <c r="J392" s="197" t="s">
        <v>95</v>
      </c>
      <c r="K392" s="197" t="s">
        <v>2</v>
      </c>
      <c r="L392" s="409" t="s">
        <v>640</v>
      </c>
      <c r="M392" s="165" t="s">
        <v>150</v>
      </c>
      <c r="N392" s="166" t="s">
        <v>84</v>
      </c>
      <c r="O392" s="167"/>
      <c r="P392" s="170"/>
      <c r="Q392" s="168"/>
      <c r="R392" s="168"/>
      <c r="S392" s="168"/>
      <c r="T392" s="168">
        <v>46195</v>
      </c>
      <c r="U392" s="168">
        <f>WORKDAY(T392,U6,IF(U12="China",'China Holidays'!$A$2:$A$84,'Thai Holidays'!$A$2:$A$65))</f>
        <v>46218</v>
      </c>
      <c r="V392" s="168">
        <f>WORKDAY(U392,V6,IF(V12="China",'China Holidays'!$A$2:$A$84,'Thai Holidays'!$A$2:$A$65))</f>
        <v>46234</v>
      </c>
      <c r="W392" s="168"/>
      <c r="X392" s="168">
        <f>WORKDAY(V392,X6,IF(X12="China",'China Holidays'!$A$2:$A$84,'Thai Holidays'!$A$2:$A$65))</f>
        <v>46247</v>
      </c>
      <c r="Y392" s="168">
        <f>WORKDAY(X392,Y6,IF(Y12="China",'China Holidays'!$A$2:$A$84,'Thai Holidays'!$A$2:$A$65))</f>
        <v>46251</v>
      </c>
      <c r="Z392" s="168">
        <f>WORKDAY(Y392,Z6,IF(Z12="China",'China Holidays'!$A$2:$A$84,'Thai Holidays'!$A$2:$A$65))</f>
        <v>46258</v>
      </c>
      <c r="AA392" s="168">
        <f>WORKDAY(Z392,AA6,IF(AA12="China",'China Holidays'!$A$2:$A$84,'Thai Holidays'!$A$2:$A$65))</f>
        <v>46286</v>
      </c>
      <c r="AB392" s="168">
        <f>WORKDAY(AA392,AB6,IF(AB12="China",'China Holidays'!$A$2:$A$84,'Thai Holidays'!$A$2:$A$65))</f>
        <v>46300</v>
      </c>
      <c r="AC392" s="168">
        <f>AB392+30</f>
        <v>46330</v>
      </c>
      <c r="AD392" s="168">
        <f>AC392</f>
        <v>46330</v>
      </c>
      <c r="AE392" s="168">
        <f>AD392+2</f>
        <v>46332</v>
      </c>
      <c r="AF392" s="168">
        <f>AG392-5</f>
        <v>46463</v>
      </c>
      <c r="AG392" s="168">
        <f>AH392-10</f>
        <v>46468</v>
      </c>
      <c r="AH392" s="168">
        <f>AM392</f>
        <v>46478</v>
      </c>
      <c r="AI392" s="168">
        <f>AM391+3</f>
        <v>46464</v>
      </c>
      <c r="AJ392" s="168">
        <f>AH392+20</f>
        <v>46498</v>
      </c>
      <c r="AK392" s="169"/>
      <c r="AL392" s="230"/>
      <c r="AM392" s="170">
        <f>X392+AL391</f>
        <v>46478</v>
      </c>
      <c r="AN392" s="170"/>
      <c r="AO392" s="230"/>
      <c r="AP392" s="270"/>
      <c r="AQ392" s="448"/>
      <c r="AR392" s="154"/>
      <c r="AS392" s="155"/>
      <c r="AT392" s="155"/>
      <c r="AU392" s="155"/>
      <c r="AV392" s="155"/>
      <c r="AW392" s="155"/>
      <c r="AX392" s="155"/>
      <c r="AY392" s="155"/>
      <c r="AZ392" s="155"/>
      <c r="BA392" s="155"/>
      <c r="BB392" s="155"/>
      <c r="BC392" s="156"/>
      <c r="BD392" s="176"/>
      <c r="BE392" s="176"/>
    </row>
    <row r="393" spans="1:57" s="78" customFormat="1" ht="15.4" thickTop="1" thickBot="1" x14ac:dyDescent="0.45">
      <c r="A393" s="460"/>
      <c r="B393" s="177"/>
      <c r="C393" s="285" t="s">
        <v>635</v>
      </c>
      <c r="D393" s="286" t="s">
        <v>636</v>
      </c>
      <c r="E393" s="208"/>
      <c r="F393" s="208"/>
      <c r="G393" s="209" t="s">
        <v>295</v>
      </c>
      <c r="H393" s="182" t="s">
        <v>540</v>
      </c>
      <c r="I393" s="178" t="s">
        <v>138</v>
      </c>
      <c r="J393" s="178" t="s">
        <v>95</v>
      </c>
      <c r="K393" s="178" t="s">
        <v>2</v>
      </c>
      <c r="L393" s="329"/>
      <c r="M393" s="184" t="s">
        <v>150</v>
      </c>
      <c r="N393" s="185" t="s">
        <v>87</v>
      </c>
      <c r="O393" s="186">
        <v>46184</v>
      </c>
      <c r="P393" s="187">
        <v>46177</v>
      </c>
      <c r="Q393" s="186">
        <v>46184</v>
      </c>
      <c r="R393" s="186">
        <v>46184</v>
      </c>
      <c r="S393" s="186">
        <v>46184</v>
      </c>
      <c r="T393" s="186"/>
      <c r="U393" s="186"/>
      <c r="V393" s="186"/>
      <c r="W393" s="186"/>
      <c r="X393" s="186"/>
      <c r="Y393" s="186"/>
      <c r="Z393" s="186"/>
      <c r="AA393" s="186"/>
      <c r="AB393" s="186"/>
      <c r="AC393" s="186"/>
      <c r="AD393" s="186"/>
      <c r="AE393" s="186"/>
      <c r="AF393" s="186"/>
      <c r="AG393" s="186"/>
      <c r="AH393" s="186"/>
      <c r="AI393" s="186"/>
      <c r="AJ393" s="186"/>
      <c r="AK393" s="188"/>
      <c r="AL393" s="211"/>
      <c r="AM393" s="187"/>
      <c r="AN393" s="187"/>
      <c r="AO393" s="211"/>
      <c r="AP393" s="271"/>
      <c r="AQ393" s="449"/>
      <c r="AR393" s="191"/>
      <c r="AS393" s="192"/>
      <c r="AT393" s="192"/>
      <c r="AU393" s="192"/>
      <c r="AV393" s="192"/>
      <c r="AW393" s="192"/>
      <c r="AX393" s="192"/>
      <c r="AY393" s="192"/>
      <c r="AZ393" s="192"/>
      <c r="BA393" s="192"/>
      <c r="BB393" s="192"/>
      <c r="BC393" s="156"/>
      <c r="BD393" s="176"/>
      <c r="BE393" s="176"/>
    </row>
    <row r="394" spans="1:57" s="78" customFormat="1" ht="15.4" thickTop="1" thickBot="1" x14ac:dyDescent="0.45">
      <c r="A394" s="458">
        <f>A388+1</f>
        <v>116</v>
      </c>
      <c r="B394" s="139"/>
      <c r="C394" s="140" t="s">
        <v>641</v>
      </c>
      <c r="D394" s="233" t="s">
        <v>642</v>
      </c>
      <c r="E394" s="202"/>
      <c r="F394" s="202"/>
      <c r="G394" s="203" t="s">
        <v>295</v>
      </c>
      <c r="H394" s="143" t="s">
        <v>540</v>
      </c>
      <c r="I394" s="140" t="s">
        <v>138</v>
      </c>
      <c r="J394" s="140" t="s">
        <v>95</v>
      </c>
      <c r="K394" s="140" t="s">
        <v>2</v>
      </c>
      <c r="L394" s="376"/>
      <c r="M394" s="145" t="s">
        <v>150</v>
      </c>
      <c r="N394" s="146" t="s">
        <v>77</v>
      </c>
      <c r="O394" s="223">
        <v>46153</v>
      </c>
      <c r="P394" s="223">
        <v>46152</v>
      </c>
      <c r="Q394" s="223">
        <v>46164</v>
      </c>
      <c r="R394" s="223">
        <v>46164</v>
      </c>
      <c r="S394" s="147">
        <v>46164</v>
      </c>
      <c r="T394" s="147">
        <v>46178</v>
      </c>
      <c r="U394" s="147">
        <v>46203</v>
      </c>
      <c r="V394" s="147">
        <v>46217</v>
      </c>
      <c r="W394" s="148"/>
      <c r="X394" s="223">
        <v>46230</v>
      </c>
      <c r="Y394" s="147">
        <v>46232</v>
      </c>
      <c r="Z394" s="147">
        <v>46239</v>
      </c>
      <c r="AA394" s="147">
        <v>46267</v>
      </c>
      <c r="AB394" s="147">
        <v>46281</v>
      </c>
      <c r="AC394" s="147">
        <v>46303</v>
      </c>
      <c r="AD394" s="147">
        <v>46303</v>
      </c>
      <c r="AE394" s="147">
        <v>46305</v>
      </c>
      <c r="AF394" s="147">
        <v>46446</v>
      </c>
      <c r="AG394" s="147">
        <v>46451</v>
      </c>
      <c r="AH394" s="147">
        <v>46461</v>
      </c>
      <c r="AI394" s="147">
        <v>46464</v>
      </c>
      <c r="AJ394" s="147">
        <v>46481</v>
      </c>
      <c r="AK394" s="149">
        <v>33</v>
      </c>
      <c r="AL394" s="150">
        <f>AK394*7</f>
        <v>231</v>
      </c>
      <c r="AM394" s="151">
        <v>46461</v>
      </c>
      <c r="AN394" s="410">
        <v>46469</v>
      </c>
      <c r="AO394" s="152">
        <f>AN394-AM395</f>
        <v>-3</v>
      </c>
      <c r="AP394" s="153" t="s">
        <v>638</v>
      </c>
      <c r="AQ394" s="438" t="s">
        <v>639</v>
      </c>
      <c r="AR394" s="154"/>
      <c r="AS394" s="155"/>
      <c r="AT394" s="155"/>
      <c r="AU394" s="155"/>
      <c r="AV394" s="155"/>
      <c r="AW394" s="155"/>
      <c r="AX394" s="155"/>
      <c r="AY394" s="155"/>
      <c r="AZ394" s="155"/>
      <c r="BA394" s="155"/>
      <c r="BB394" s="155"/>
      <c r="BC394" s="156" t="s">
        <v>80</v>
      </c>
      <c r="BD394" s="411" t="s">
        <v>643</v>
      </c>
      <c r="BE394" s="176"/>
    </row>
    <row r="395" spans="1:57" s="78" customFormat="1" ht="15.4" thickTop="1" thickBot="1" x14ac:dyDescent="0.45">
      <c r="A395" s="459"/>
      <c r="B395" s="158"/>
      <c r="C395" s="197" t="s">
        <v>641</v>
      </c>
      <c r="D395" s="204" t="s">
        <v>642</v>
      </c>
      <c r="E395" s="205"/>
      <c r="F395" s="205"/>
      <c r="G395" s="204" t="s">
        <v>295</v>
      </c>
      <c r="H395" s="228" t="s">
        <v>540</v>
      </c>
      <c r="I395" s="159" t="s">
        <v>138</v>
      </c>
      <c r="J395" s="197" t="s">
        <v>95</v>
      </c>
      <c r="K395" s="197" t="s">
        <v>2</v>
      </c>
      <c r="L395" s="245"/>
      <c r="M395" s="165" t="s">
        <v>150</v>
      </c>
      <c r="N395" s="166" t="s">
        <v>84</v>
      </c>
      <c r="O395" s="167"/>
      <c r="P395" s="170"/>
      <c r="Q395" s="168"/>
      <c r="R395" s="168"/>
      <c r="S395" s="168"/>
      <c r="T395" s="168"/>
      <c r="U395" s="168"/>
      <c r="V395" s="168"/>
      <c r="W395" s="168">
        <v>46240</v>
      </c>
      <c r="X395" s="168">
        <v>46241</v>
      </c>
      <c r="Y395" s="168">
        <f>WORKDAY(X395,Y6,IF(Y12="China",'China Holidays'!$A$2:$A$84,'Thai Holidays'!$A$2:$A$65))</f>
        <v>46245</v>
      </c>
      <c r="Z395" s="168">
        <f>WORKDAY(Y395,Z6,IF(Z12="China",'China Holidays'!$A$2:$A$84,'Thai Holidays'!$A$2:$A$65))</f>
        <v>46252</v>
      </c>
      <c r="AA395" s="168">
        <f>WORKDAY(Z395,AA6,IF(AA12="China",'China Holidays'!$A$2:$A$84,'Thai Holidays'!$A$2:$A$65))</f>
        <v>46280</v>
      </c>
      <c r="AB395" s="168">
        <f>WORKDAY(AA395,AB6,IF(AB12="China",'China Holidays'!$A$2:$A$84,'Thai Holidays'!$A$2:$A$65))</f>
        <v>46294</v>
      </c>
      <c r="AC395" s="168">
        <f>AB395+22</f>
        <v>46316</v>
      </c>
      <c r="AD395" s="168">
        <f>AC395</f>
        <v>46316</v>
      </c>
      <c r="AE395" s="168">
        <f>AD395+2</f>
        <v>46318</v>
      </c>
      <c r="AF395" s="168">
        <f>AG395-5</f>
        <v>46457</v>
      </c>
      <c r="AG395" s="168">
        <f>AH395-10</f>
        <v>46462</v>
      </c>
      <c r="AH395" s="168">
        <f>AM395</f>
        <v>46472</v>
      </c>
      <c r="AI395" s="168">
        <f>AM394+3</f>
        <v>46464</v>
      </c>
      <c r="AJ395" s="168">
        <f>AH395+20</f>
        <v>46492</v>
      </c>
      <c r="AK395" s="169"/>
      <c r="AL395" s="230"/>
      <c r="AM395" s="170">
        <f>X395+AL394</f>
        <v>46472</v>
      </c>
      <c r="AN395" s="170"/>
      <c r="AO395" s="230"/>
      <c r="AP395" s="270"/>
      <c r="AQ395" s="448"/>
      <c r="AR395" s="154"/>
      <c r="AS395" s="155"/>
      <c r="AT395" s="155"/>
      <c r="AU395" s="155"/>
      <c r="AV395" s="155"/>
      <c r="AW395" s="155"/>
      <c r="AX395" s="155"/>
      <c r="AY395" s="155"/>
      <c r="AZ395" s="155"/>
      <c r="BA395" s="155"/>
      <c r="BB395" s="155"/>
      <c r="BC395" s="156"/>
      <c r="BD395" s="176"/>
      <c r="BE395" s="176"/>
    </row>
    <row r="396" spans="1:57" s="78" customFormat="1" ht="15.4" thickTop="1" thickBot="1" x14ac:dyDescent="0.45">
      <c r="A396" s="460"/>
      <c r="B396" s="177"/>
      <c r="C396" s="178" t="s">
        <v>641</v>
      </c>
      <c r="D396" s="209" t="s">
        <v>642</v>
      </c>
      <c r="E396" s="208"/>
      <c r="F396" s="208"/>
      <c r="G396" s="209" t="s">
        <v>295</v>
      </c>
      <c r="H396" s="182" t="s">
        <v>540</v>
      </c>
      <c r="I396" s="178" t="s">
        <v>138</v>
      </c>
      <c r="J396" s="178" t="s">
        <v>95</v>
      </c>
      <c r="K396" s="178" t="s">
        <v>2</v>
      </c>
      <c r="L396" s="209"/>
      <c r="M396" s="184" t="s">
        <v>150</v>
      </c>
      <c r="N396" s="185" t="s">
        <v>87</v>
      </c>
      <c r="O396" s="186">
        <v>46184</v>
      </c>
      <c r="P396" s="187">
        <v>46177</v>
      </c>
      <c r="Q396" s="186">
        <v>46184</v>
      </c>
      <c r="R396" s="186">
        <v>46184</v>
      </c>
      <c r="S396" s="186">
        <v>46184</v>
      </c>
      <c r="T396" s="186">
        <v>46201</v>
      </c>
      <c r="U396" s="186">
        <v>46218</v>
      </c>
      <c r="V396" s="186">
        <v>46233</v>
      </c>
      <c r="W396" s="186"/>
      <c r="X396" s="186"/>
      <c r="Y396" s="186"/>
      <c r="Z396" s="186"/>
      <c r="AA396" s="186"/>
      <c r="AB396" s="186"/>
      <c r="AC396" s="186"/>
      <c r="AD396" s="186"/>
      <c r="AE396" s="186"/>
      <c r="AF396" s="186"/>
      <c r="AG396" s="186"/>
      <c r="AH396" s="186"/>
      <c r="AI396" s="186"/>
      <c r="AJ396" s="186"/>
      <c r="AK396" s="188"/>
      <c r="AL396" s="211"/>
      <c r="AM396" s="187"/>
      <c r="AN396" s="187"/>
      <c r="AO396" s="211"/>
      <c r="AP396" s="271"/>
      <c r="AQ396" s="449"/>
      <c r="AR396" s="191"/>
      <c r="AS396" s="192"/>
      <c r="AT396" s="192"/>
      <c r="AU396" s="192"/>
      <c r="AV396" s="192"/>
      <c r="AW396" s="192"/>
      <c r="AX396" s="192"/>
      <c r="AY396" s="192"/>
      <c r="AZ396" s="192"/>
      <c r="BA396" s="192"/>
      <c r="BB396" s="192"/>
      <c r="BC396" s="156"/>
      <c r="BD396" s="176"/>
      <c r="BE396" s="176"/>
    </row>
    <row r="397" spans="1:57" s="78" customFormat="1" ht="15.4" thickTop="1" thickBot="1" x14ac:dyDescent="0.45">
      <c r="A397" s="458">
        <f t="shared" ref="A397:A400" si="95">A394+1</f>
        <v>117</v>
      </c>
      <c r="B397" s="139" t="s">
        <v>644</v>
      </c>
      <c r="C397" s="140" t="s">
        <v>645</v>
      </c>
      <c r="D397" s="141" t="s">
        <v>646</v>
      </c>
      <c r="E397" s="142"/>
      <c r="F397" s="142"/>
      <c r="G397" s="203" t="s">
        <v>295</v>
      </c>
      <c r="H397" s="143" t="s">
        <v>540</v>
      </c>
      <c r="I397" s="140" t="s">
        <v>138</v>
      </c>
      <c r="J397" s="140" t="s">
        <v>95</v>
      </c>
      <c r="K397" s="140" t="s">
        <v>2</v>
      </c>
      <c r="L397" s="141" t="s">
        <v>647</v>
      </c>
      <c r="M397" s="145" t="s">
        <v>150</v>
      </c>
      <c r="N397" s="146" t="s">
        <v>77</v>
      </c>
      <c r="O397" s="223">
        <v>46134</v>
      </c>
      <c r="P397" s="223">
        <v>46135</v>
      </c>
      <c r="Q397" s="223">
        <v>46142</v>
      </c>
      <c r="R397" s="147">
        <v>46146</v>
      </c>
      <c r="S397" s="147">
        <v>46153</v>
      </c>
      <c r="T397" s="147">
        <v>46167</v>
      </c>
      <c r="U397" s="147">
        <v>46197</v>
      </c>
      <c r="V397" s="147">
        <v>46202</v>
      </c>
      <c r="W397" s="147"/>
      <c r="X397" s="147">
        <v>46216</v>
      </c>
      <c r="Y397" s="147">
        <v>46218</v>
      </c>
      <c r="Z397" s="147">
        <v>46225</v>
      </c>
      <c r="AA397" s="148">
        <v>46253</v>
      </c>
      <c r="AB397" s="147">
        <v>46267</v>
      </c>
      <c r="AC397" s="147">
        <v>46272</v>
      </c>
      <c r="AD397" s="147">
        <v>46272</v>
      </c>
      <c r="AE397" s="147">
        <v>46274</v>
      </c>
      <c r="AF397" s="147">
        <v>46295.6</v>
      </c>
      <c r="AG397" s="147">
        <v>46300.6</v>
      </c>
      <c r="AH397" s="147">
        <v>46305.599999999999</v>
      </c>
      <c r="AI397" s="147">
        <v>46308.6</v>
      </c>
      <c r="AJ397" s="147">
        <v>46325.599999999999</v>
      </c>
      <c r="AK397" s="149">
        <v>12.8</v>
      </c>
      <c r="AL397" s="150">
        <v>90</v>
      </c>
      <c r="AM397" s="151">
        <v>46305</v>
      </c>
      <c r="AN397" s="151">
        <v>46308</v>
      </c>
      <c r="AO397" s="152">
        <f>AN397-AM398</f>
        <v>46218</v>
      </c>
      <c r="AP397" s="153" t="s">
        <v>554</v>
      </c>
      <c r="AQ397" s="438" t="s">
        <v>648</v>
      </c>
      <c r="AR397" s="154"/>
      <c r="AS397" s="155"/>
      <c r="AT397" s="155"/>
      <c r="AU397" s="155"/>
      <c r="AV397" s="155"/>
      <c r="AW397" s="155"/>
      <c r="AX397" s="155"/>
      <c r="AY397" s="155"/>
      <c r="AZ397" s="155"/>
      <c r="BA397" s="155"/>
      <c r="BB397" s="155"/>
      <c r="BC397" s="156" t="s">
        <v>649</v>
      </c>
      <c r="BD397" s="412" t="s">
        <v>650</v>
      </c>
      <c r="BE397" s="176"/>
    </row>
    <row r="398" spans="1:57" s="78" customFormat="1" ht="15.4" thickTop="1" thickBot="1" x14ac:dyDescent="0.45">
      <c r="A398" s="459"/>
      <c r="B398" s="158" t="s">
        <v>644</v>
      </c>
      <c r="C398" s="197" t="s">
        <v>645</v>
      </c>
      <c r="D398" s="160" t="s">
        <v>646</v>
      </c>
      <c r="E398" s="161"/>
      <c r="F398" s="161"/>
      <c r="G398" s="204" t="s">
        <v>295</v>
      </c>
      <c r="H398" s="228" t="s">
        <v>540</v>
      </c>
      <c r="I398" s="159" t="s">
        <v>138</v>
      </c>
      <c r="J398" s="197" t="s">
        <v>95</v>
      </c>
      <c r="K398" s="197" t="s">
        <v>2</v>
      </c>
      <c r="L398" s="413" t="s">
        <v>651</v>
      </c>
      <c r="M398" s="165" t="s">
        <v>150</v>
      </c>
      <c r="N398" s="166" t="s">
        <v>84</v>
      </c>
      <c r="O398" s="167"/>
      <c r="P398" s="170"/>
      <c r="Q398" s="170"/>
      <c r="R398" s="219"/>
      <c r="S398" s="170"/>
      <c r="T398" s="170"/>
      <c r="U398" s="170"/>
      <c r="V398" s="170"/>
      <c r="W398" s="170"/>
      <c r="X398" s="170"/>
      <c r="Y398" s="170"/>
      <c r="Z398" s="170"/>
      <c r="AA398" s="170">
        <f>AA397</f>
        <v>46253</v>
      </c>
      <c r="AB398" s="170">
        <f>WORKDAY(AA398,AB9,IF(AB12="China",'China Holidays'!$A$2:$A$84,'Thai Holidays'!$A$2:$A$65))</f>
        <v>46267</v>
      </c>
      <c r="AC398" s="168">
        <f>AB398+5</f>
        <v>46272</v>
      </c>
      <c r="AD398" s="168">
        <f>AC398</f>
        <v>46272</v>
      </c>
      <c r="AE398" s="168">
        <f>AD398+2</f>
        <v>46274</v>
      </c>
      <c r="AF398" s="168">
        <f>AG398-5</f>
        <v>80</v>
      </c>
      <c r="AG398" s="168">
        <f>AH398-5</f>
        <v>85</v>
      </c>
      <c r="AH398" s="168">
        <f>AM398</f>
        <v>90</v>
      </c>
      <c r="AI398" s="168">
        <f>AM397+3</f>
        <v>46308</v>
      </c>
      <c r="AJ398" s="168">
        <f>AH398+20</f>
        <v>110</v>
      </c>
      <c r="AK398" s="169"/>
      <c r="AL398" s="230"/>
      <c r="AM398" s="170">
        <f>X398+AL397</f>
        <v>90</v>
      </c>
      <c r="AN398" s="170"/>
      <c r="AO398" s="230"/>
      <c r="AP398" s="270"/>
      <c r="AQ398" s="448"/>
      <c r="AR398" s="154"/>
      <c r="AS398" s="155"/>
      <c r="AT398" s="155"/>
      <c r="AU398" s="155"/>
      <c r="AV398" s="155"/>
      <c r="AW398" s="155"/>
      <c r="AX398" s="155"/>
      <c r="AY398" s="155"/>
      <c r="AZ398" s="155"/>
      <c r="BA398" s="155"/>
      <c r="BB398" s="155"/>
      <c r="BC398" s="156"/>
      <c r="BD398" s="176"/>
      <c r="BE398" s="176"/>
    </row>
    <row r="399" spans="1:57" s="78" customFormat="1" ht="15.4" thickTop="1" thickBot="1" x14ac:dyDescent="0.45">
      <c r="A399" s="460"/>
      <c r="B399" s="177" t="s">
        <v>644</v>
      </c>
      <c r="C399" s="178" t="s">
        <v>645</v>
      </c>
      <c r="D399" s="179" t="s">
        <v>646</v>
      </c>
      <c r="E399" s="180"/>
      <c r="F399" s="180"/>
      <c r="G399" s="209" t="s">
        <v>295</v>
      </c>
      <c r="H399" s="182" t="s">
        <v>540</v>
      </c>
      <c r="I399" s="178" t="s">
        <v>138</v>
      </c>
      <c r="J399" s="178" t="s">
        <v>95</v>
      </c>
      <c r="K399" s="178" t="s">
        <v>2</v>
      </c>
      <c r="L399" s="209"/>
      <c r="M399" s="184" t="s">
        <v>150</v>
      </c>
      <c r="N399" s="185" t="s">
        <v>87</v>
      </c>
      <c r="O399" s="186">
        <v>46181</v>
      </c>
      <c r="P399" s="186">
        <v>46153</v>
      </c>
      <c r="Q399" s="186">
        <v>46157</v>
      </c>
      <c r="R399" s="186">
        <v>46183</v>
      </c>
      <c r="S399" s="186">
        <v>46183</v>
      </c>
      <c r="T399" s="186">
        <v>46189</v>
      </c>
      <c r="U399" s="186">
        <v>46203</v>
      </c>
      <c r="V399" s="186">
        <v>46211</v>
      </c>
      <c r="W399" s="186"/>
      <c r="X399" s="186">
        <v>46212</v>
      </c>
      <c r="Y399" s="186">
        <v>46213</v>
      </c>
      <c r="Z399" s="186" t="s">
        <v>430</v>
      </c>
      <c r="AA399" s="186"/>
      <c r="AB399" s="186"/>
      <c r="AC399" s="186"/>
      <c r="AD399" s="186"/>
      <c r="AE399" s="186"/>
      <c r="AF399" s="186"/>
      <c r="AG399" s="186"/>
      <c r="AH399" s="186"/>
      <c r="AI399" s="186"/>
      <c r="AJ399" s="186"/>
      <c r="AK399" s="188"/>
      <c r="AL399" s="211"/>
      <c r="AM399" s="187"/>
      <c r="AN399" s="187"/>
      <c r="AO399" s="211"/>
      <c r="AP399" s="271"/>
      <c r="AQ399" s="449"/>
      <c r="AR399" s="191"/>
      <c r="AS399" s="192"/>
      <c r="AT399" s="192"/>
      <c r="AU399" s="192"/>
      <c r="AV399" s="192"/>
      <c r="AW399" s="192"/>
      <c r="AX399" s="192"/>
      <c r="AY399" s="192"/>
      <c r="AZ399" s="192"/>
      <c r="BA399" s="192"/>
      <c r="BB399" s="192"/>
      <c r="BC399" s="156"/>
      <c r="BD399" s="176"/>
      <c r="BE399" s="176"/>
    </row>
    <row r="400" spans="1:57" s="78" customFormat="1" ht="15.4" thickTop="1" thickBot="1" x14ac:dyDescent="0.45">
      <c r="A400" s="458">
        <f t="shared" si="95"/>
        <v>118</v>
      </c>
      <c r="B400" s="414"/>
      <c r="C400" s="247" t="s">
        <v>652</v>
      </c>
      <c r="D400" s="141" t="s">
        <v>653</v>
      </c>
      <c r="E400" s="415"/>
      <c r="F400" s="142"/>
      <c r="G400" s="203" t="s">
        <v>295</v>
      </c>
      <c r="H400" s="143" t="s">
        <v>540</v>
      </c>
      <c r="I400" s="140" t="s">
        <v>138</v>
      </c>
      <c r="J400" s="140" t="s">
        <v>95</v>
      </c>
      <c r="K400" s="140" t="s">
        <v>2</v>
      </c>
      <c r="L400" s="203"/>
      <c r="M400" s="145" t="s">
        <v>150</v>
      </c>
      <c r="N400" s="146" t="s">
        <v>77</v>
      </c>
      <c r="O400" s="147">
        <v>46134</v>
      </c>
      <c r="P400" s="223">
        <v>46135</v>
      </c>
      <c r="Q400" s="223">
        <v>46142</v>
      </c>
      <c r="R400" s="147">
        <v>46146</v>
      </c>
      <c r="S400" s="147">
        <v>46153</v>
      </c>
      <c r="T400" s="147">
        <v>46167</v>
      </c>
      <c r="U400" s="147">
        <v>46197</v>
      </c>
      <c r="V400" s="147">
        <v>46202</v>
      </c>
      <c r="W400" s="147"/>
      <c r="X400" s="223">
        <v>46216</v>
      </c>
      <c r="Y400" s="147">
        <v>46218</v>
      </c>
      <c r="Z400" s="147">
        <v>46225</v>
      </c>
      <c r="AA400" s="147">
        <v>46253</v>
      </c>
      <c r="AB400" s="147">
        <v>46267</v>
      </c>
      <c r="AC400" s="147">
        <v>46272</v>
      </c>
      <c r="AD400" s="147">
        <v>46272</v>
      </c>
      <c r="AE400" s="147">
        <v>46274</v>
      </c>
      <c r="AF400" s="147">
        <v>46295.6</v>
      </c>
      <c r="AG400" s="147">
        <v>46300.6</v>
      </c>
      <c r="AH400" s="147">
        <v>46305.599999999999</v>
      </c>
      <c r="AI400" s="147">
        <v>46308.6</v>
      </c>
      <c r="AJ400" s="147">
        <v>46325.599999999999</v>
      </c>
      <c r="AK400" s="149">
        <v>12.8</v>
      </c>
      <c r="AL400" s="150">
        <v>89.6</v>
      </c>
      <c r="AM400" s="151">
        <v>46305</v>
      </c>
      <c r="AN400" s="151">
        <v>46308</v>
      </c>
      <c r="AO400" s="152">
        <f>AN400-AM400</f>
        <v>3</v>
      </c>
      <c r="AP400" s="153" t="s">
        <v>554</v>
      </c>
      <c r="AQ400" s="444" t="s">
        <v>654</v>
      </c>
      <c r="AR400" s="154"/>
      <c r="AS400" s="155"/>
      <c r="AT400" s="155"/>
      <c r="AU400" s="155"/>
      <c r="AV400" s="155"/>
      <c r="AW400" s="155"/>
      <c r="AX400" s="155"/>
      <c r="AY400" s="155"/>
      <c r="AZ400" s="155"/>
      <c r="BA400" s="155"/>
      <c r="BB400" s="155"/>
      <c r="BC400" s="156" t="s">
        <v>649</v>
      </c>
      <c r="BD400" s="412" t="s">
        <v>655</v>
      </c>
      <c r="BE400" s="176"/>
    </row>
    <row r="401" spans="1:57" s="78" customFormat="1" ht="15.4" thickTop="1" thickBot="1" x14ac:dyDescent="0.45">
      <c r="A401" s="459"/>
      <c r="B401" s="416"/>
      <c r="C401" s="250" t="s">
        <v>652</v>
      </c>
      <c r="D401" s="160" t="s">
        <v>653</v>
      </c>
      <c r="E401" s="417"/>
      <c r="F401" s="161"/>
      <c r="G401" s="204" t="s">
        <v>295</v>
      </c>
      <c r="H401" s="228" t="s">
        <v>540</v>
      </c>
      <c r="I401" s="159" t="s">
        <v>138</v>
      </c>
      <c r="J401" s="197" t="s">
        <v>95</v>
      </c>
      <c r="K401" s="197" t="s">
        <v>2</v>
      </c>
      <c r="L401" s="204"/>
      <c r="M401" s="165" t="s">
        <v>150</v>
      </c>
      <c r="N401" s="166" t="s">
        <v>84</v>
      </c>
      <c r="O401" s="167"/>
      <c r="P401" s="170" t="s">
        <v>100</v>
      </c>
      <c r="Q401" s="170" t="s">
        <v>100</v>
      </c>
      <c r="R401" s="168"/>
      <c r="S401" s="168"/>
      <c r="T401" s="168"/>
      <c r="U401" s="168"/>
      <c r="V401" s="168"/>
      <c r="W401" s="168"/>
      <c r="X401" s="168"/>
      <c r="Y401" s="168">
        <f>WORKDAY(X402,1,IF(Y12="China",'China Holidays'!$A$2:$A$84,'Thai Holidays'!$A$2:$A$65))</f>
        <v>2</v>
      </c>
      <c r="Z401" s="168">
        <f>WORKDAY(Y401,Z6,IF(Z12="China",'China Holidays'!$A$2:$A$84,'Thai Holidays'!$A$2:$A$65))</f>
        <v>9</v>
      </c>
      <c r="AA401" s="168">
        <f>WORKDAY(Z401,AA6,IF(AA12="China",'China Holidays'!$A$2:$A$84,'Thai Holidays'!$A$2:$A$65))</f>
        <v>37</v>
      </c>
      <c r="AB401" s="168">
        <f>WORKDAY(AA401,AB6,IF(AB12="China",'China Holidays'!$A$2:$A$84,'Thai Holidays'!$A$2:$A$65))</f>
        <v>51</v>
      </c>
      <c r="AC401" s="168">
        <f>AB401+5</f>
        <v>56</v>
      </c>
      <c r="AD401" s="168">
        <f>AC401</f>
        <v>56</v>
      </c>
      <c r="AE401" s="168">
        <f>AD401+2</f>
        <v>58</v>
      </c>
      <c r="AF401" s="168">
        <f>AG401-5</f>
        <v>79.599999999999994</v>
      </c>
      <c r="AG401" s="168">
        <f>AH401-5</f>
        <v>84.6</v>
      </c>
      <c r="AH401" s="168">
        <f>AM401</f>
        <v>89.6</v>
      </c>
      <c r="AI401" s="168">
        <f>AM400+3</f>
        <v>46308</v>
      </c>
      <c r="AJ401" s="168">
        <f>AH401+20</f>
        <v>109.6</v>
      </c>
      <c r="AK401" s="169"/>
      <c r="AL401" s="230"/>
      <c r="AM401" s="170">
        <f>X401+AL400</f>
        <v>89.6</v>
      </c>
      <c r="AN401" s="170"/>
      <c r="AO401" s="230"/>
      <c r="AP401" s="270"/>
      <c r="AQ401" s="445"/>
      <c r="AR401" s="154"/>
      <c r="AS401" s="155"/>
      <c r="AT401" s="155"/>
      <c r="AU401" s="155"/>
      <c r="AV401" s="155"/>
      <c r="AW401" s="155"/>
      <c r="AX401" s="155"/>
      <c r="AY401" s="155"/>
      <c r="AZ401" s="155"/>
      <c r="BA401" s="155"/>
      <c r="BB401" s="155"/>
      <c r="BC401" s="156" t="s">
        <v>656</v>
      </c>
      <c r="BD401" s="412" t="s">
        <v>657</v>
      </c>
      <c r="BE401" s="176"/>
    </row>
    <row r="402" spans="1:57" s="78" customFormat="1" ht="15.4" thickTop="1" thickBot="1" x14ac:dyDescent="0.45">
      <c r="A402" s="460"/>
      <c r="B402" s="418"/>
      <c r="C402" s="251" t="s">
        <v>652</v>
      </c>
      <c r="D402" s="179" t="s">
        <v>653</v>
      </c>
      <c r="E402" s="419"/>
      <c r="F402" s="180"/>
      <c r="G402" s="209" t="s">
        <v>295</v>
      </c>
      <c r="H402" s="182" t="s">
        <v>540</v>
      </c>
      <c r="I402" s="178" t="s">
        <v>138</v>
      </c>
      <c r="J402" s="178" t="s">
        <v>95</v>
      </c>
      <c r="K402" s="178" t="s">
        <v>2</v>
      </c>
      <c r="L402" s="209"/>
      <c r="M402" s="184" t="s">
        <v>150</v>
      </c>
      <c r="N402" s="185" t="s">
        <v>87</v>
      </c>
      <c r="O402" s="186">
        <v>46185</v>
      </c>
      <c r="P402" s="186" t="s">
        <v>100</v>
      </c>
      <c r="Q402" s="186" t="s">
        <v>100</v>
      </c>
      <c r="R402" s="186">
        <v>46185</v>
      </c>
      <c r="S402" s="186">
        <v>46185</v>
      </c>
      <c r="T402" s="186">
        <v>46206</v>
      </c>
      <c r="U402" s="186">
        <v>46213</v>
      </c>
      <c r="V402" s="186">
        <v>46219</v>
      </c>
      <c r="W402" s="186"/>
      <c r="X402" s="186"/>
      <c r="Y402" s="186"/>
      <c r="Z402" s="186"/>
      <c r="AA402" s="186"/>
      <c r="AB402" s="186"/>
      <c r="AC402" s="186"/>
      <c r="AD402" s="186"/>
      <c r="AE402" s="186"/>
      <c r="AF402" s="186"/>
      <c r="AG402" s="186"/>
      <c r="AH402" s="186"/>
      <c r="AI402" s="186"/>
      <c r="AJ402" s="186"/>
      <c r="AK402" s="188"/>
      <c r="AL402" s="211"/>
      <c r="AM402" s="187"/>
      <c r="AN402" s="187"/>
      <c r="AO402" s="211"/>
      <c r="AP402" s="271"/>
      <c r="AQ402" s="446"/>
      <c r="AR402" s="191"/>
      <c r="AS402" s="192"/>
      <c r="AT402" s="192"/>
      <c r="AU402" s="192"/>
      <c r="AV402" s="192"/>
      <c r="AW402" s="192"/>
      <c r="AX402" s="192"/>
      <c r="AY402" s="192"/>
      <c r="AZ402" s="192"/>
      <c r="BA402" s="192"/>
      <c r="BB402" s="192"/>
      <c r="BC402" s="156"/>
      <c r="BD402" s="176"/>
      <c r="BE402" s="176"/>
    </row>
    <row r="403" spans="1:57" s="78" customFormat="1" ht="15.4" thickTop="1" thickBot="1" x14ac:dyDescent="0.45">
      <c r="A403" s="458">
        <f>A400+1</f>
        <v>119</v>
      </c>
      <c r="B403" s="139" t="s">
        <v>658</v>
      </c>
      <c r="C403" s="140" t="s">
        <v>659</v>
      </c>
      <c r="D403" s="274" t="s">
        <v>660</v>
      </c>
      <c r="E403" s="142"/>
      <c r="F403" s="142"/>
      <c r="G403" s="203" t="s">
        <v>295</v>
      </c>
      <c r="H403" s="143" t="s">
        <v>540</v>
      </c>
      <c r="I403" s="140" t="s">
        <v>138</v>
      </c>
      <c r="J403" s="140" t="s">
        <v>95</v>
      </c>
      <c r="K403" s="140" t="s">
        <v>2</v>
      </c>
      <c r="L403" s="203"/>
      <c r="M403" s="145" t="s">
        <v>150</v>
      </c>
      <c r="N403" s="146" t="s">
        <v>77</v>
      </c>
      <c r="O403" s="148">
        <v>46247</v>
      </c>
      <c r="P403" s="147">
        <v>46248</v>
      </c>
      <c r="Q403" s="147">
        <v>46260</v>
      </c>
      <c r="R403" s="147">
        <v>46260</v>
      </c>
      <c r="S403" s="147">
        <v>46260</v>
      </c>
      <c r="T403" s="147">
        <v>46274</v>
      </c>
      <c r="U403" s="147">
        <v>46297</v>
      </c>
      <c r="V403" s="147">
        <v>46314</v>
      </c>
      <c r="W403" s="147"/>
      <c r="X403" s="223">
        <v>46325</v>
      </c>
      <c r="Y403" s="147">
        <v>46329</v>
      </c>
      <c r="Z403" s="147">
        <v>46336</v>
      </c>
      <c r="AA403" s="147">
        <v>46364</v>
      </c>
      <c r="AB403" s="147">
        <v>46378</v>
      </c>
      <c r="AC403" s="147">
        <v>46383</v>
      </c>
      <c r="AD403" s="147">
        <v>46383</v>
      </c>
      <c r="AE403" s="147">
        <v>46385</v>
      </c>
      <c r="AF403" s="147">
        <v>46434.7</v>
      </c>
      <c r="AG403" s="147">
        <v>46439.7</v>
      </c>
      <c r="AH403" s="147">
        <v>46444.7</v>
      </c>
      <c r="AI403" s="147">
        <v>46447.7</v>
      </c>
      <c r="AJ403" s="147">
        <v>46464.7</v>
      </c>
      <c r="AK403" s="150">
        <v>17.100000000000001</v>
      </c>
      <c r="AL403" s="150">
        <f>AK403*7</f>
        <v>119.70000000000002</v>
      </c>
      <c r="AM403" s="151">
        <v>46444.7</v>
      </c>
      <c r="AN403" s="151">
        <v>46500</v>
      </c>
      <c r="AO403" s="152">
        <f>AN403-AM403</f>
        <v>55.30000000000291</v>
      </c>
      <c r="AP403" s="153" t="s">
        <v>554</v>
      </c>
      <c r="AQ403" s="447" t="s">
        <v>625</v>
      </c>
      <c r="AR403" s="154"/>
      <c r="AS403" s="155"/>
      <c r="AT403" s="155"/>
      <c r="AU403" s="155"/>
      <c r="AV403" s="155"/>
      <c r="AW403" s="155"/>
      <c r="AX403" s="155"/>
      <c r="AY403" s="155"/>
      <c r="AZ403" s="155"/>
      <c r="BA403" s="155"/>
      <c r="BB403" s="155"/>
      <c r="BC403" s="156"/>
      <c r="BD403" s="176"/>
      <c r="BE403" s="176"/>
    </row>
    <row r="404" spans="1:57" s="78" customFormat="1" ht="15.4" thickTop="1" thickBot="1" x14ac:dyDescent="0.45">
      <c r="A404" s="459"/>
      <c r="B404" s="158" t="s">
        <v>658</v>
      </c>
      <c r="C404" s="197" t="s">
        <v>659</v>
      </c>
      <c r="D404" s="160" t="s">
        <v>660</v>
      </c>
      <c r="E404" s="161"/>
      <c r="F404" s="161"/>
      <c r="G404" s="204" t="s">
        <v>295</v>
      </c>
      <c r="H404" s="228" t="s">
        <v>540</v>
      </c>
      <c r="I404" s="159" t="s">
        <v>138</v>
      </c>
      <c r="J404" s="197" t="s">
        <v>95</v>
      </c>
      <c r="K404" s="197" t="s">
        <v>2</v>
      </c>
      <c r="L404" s="204"/>
      <c r="M404" s="165" t="s">
        <v>150</v>
      </c>
      <c r="N404" s="166" t="s">
        <v>84</v>
      </c>
      <c r="O404" s="167">
        <f>O403</f>
        <v>46247</v>
      </c>
      <c r="P404" s="168"/>
      <c r="Q404" s="168"/>
      <c r="R404" s="168">
        <f>O404+1</f>
        <v>46248</v>
      </c>
      <c r="S404" s="168">
        <f>WORKDAY(R404,S6,IF(S12="China",'China Holidays'!$A$2:$A$84,'Thai Holidays'!$A$2:$A$65))</f>
        <v>46248</v>
      </c>
      <c r="T404" s="168">
        <f>WORKDAY(S404,T6,IF(T12="China",'China Holidays'!$A$2:$A$84,'Thai Holidays'!$A$2:$A$65))</f>
        <v>46262</v>
      </c>
      <c r="U404" s="168">
        <f>WORKDAY(T404,U6,IF(U12="China",'China Holidays'!$A$2:$A$84,'Thai Holidays'!$A$2:$A$65))</f>
        <v>46287</v>
      </c>
      <c r="V404" s="168">
        <f>WORKDAY(U404,V6,IF(V12="China",'China Holidays'!$A$2:$A$84,'Thai Holidays'!$A$2:$A$65))</f>
        <v>46301</v>
      </c>
      <c r="W404" s="168"/>
      <c r="X404" s="168">
        <f>WORKDAY(V404,X6,IF(X12="China",'China Holidays'!$A$2:$A$84,'Thai Holidays'!$A$2:$A$65))</f>
        <v>46315</v>
      </c>
      <c r="Y404" s="168">
        <f>WORKDAY(X404,Y6,IF(Y12="China",'China Holidays'!$A$2:$A$84,'Thai Holidays'!$A$2:$A$65))</f>
        <v>46317</v>
      </c>
      <c r="Z404" s="168">
        <f>WORKDAY(Y404,Z6,IF(Z12="China",'China Holidays'!$A$2:$A$84,'Thai Holidays'!$A$2:$A$65))</f>
        <v>46324</v>
      </c>
      <c r="AA404" s="168">
        <f>WORKDAY(Z404,AA6,IF(AA12="China",'China Holidays'!$A$2:$A$84,'Thai Holidays'!$A$2:$A$65))</f>
        <v>46352</v>
      </c>
      <c r="AB404" s="168">
        <f>WORKDAY(AA404,AB6,IF(AB12="China",'China Holidays'!$A$2:$A$84,'Thai Holidays'!$A$2:$A$65))</f>
        <v>46367</v>
      </c>
      <c r="AC404" s="168">
        <f>AB404+5</f>
        <v>46372</v>
      </c>
      <c r="AD404" s="168">
        <f>AC404</f>
        <v>46372</v>
      </c>
      <c r="AE404" s="168">
        <f>AD404+2</f>
        <v>46374</v>
      </c>
      <c r="AF404" s="168">
        <f>AG404-5</f>
        <v>46434.7</v>
      </c>
      <c r="AG404" s="168">
        <f>AH404-5</f>
        <v>46439.7</v>
      </c>
      <c r="AH404" s="168">
        <f>AM403</f>
        <v>46444.7</v>
      </c>
      <c r="AI404" s="168">
        <f>AM403+3</f>
        <v>46447.7</v>
      </c>
      <c r="AJ404" s="168">
        <f>AH404+20</f>
        <v>46464.7</v>
      </c>
      <c r="AK404" s="169"/>
      <c r="AL404" s="230"/>
      <c r="AM404" s="170">
        <f>X404+AL403</f>
        <v>46434.7</v>
      </c>
      <c r="AN404" s="170"/>
      <c r="AO404" s="230"/>
      <c r="AP404" s="270"/>
      <c r="AQ404" s="448"/>
      <c r="AR404" s="154"/>
      <c r="AS404" s="155"/>
      <c r="AT404" s="155"/>
      <c r="AU404" s="155"/>
      <c r="AV404" s="155"/>
      <c r="AW404" s="155"/>
      <c r="AX404" s="155"/>
      <c r="AY404" s="155"/>
      <c r="AZ404" s="155"/>
      <c r="BA404" s="155"/>
      <c r="BB404" s="155"/>
      <c r="BC404" s="156"/>
      <c r="BD404" s="176"/>
      <c r="BE404" s="176"/>
    </row>
    <row r="405" spans="1:57" s="78" customFormat="1" ht="15.4" thickTop="1" thickBot="1" x14ac:dyDescent="0.45">
      <c r="A405" s="460"/>
      <c r="B405" s="177" t="s">
        <v>658</v>
      </c>
      <c r="C405" s="178" t="s">
        <v>659</v>
      </c>
      <c r="D405" s="179" t="s">
        <v>660</v>
      </c>
      <c r="E405" s="180"/>
      <c r="F405" s="180"/>
      <c r="G405" s="209" t="s">
        <v>295</v>
      </c>
      <c r="H405" s="182" t="s">
        <v>540</v>
      </c>
      <c r="I405" s="178" t="s">
        <v>138</v>
      </c>
      <c r="J405" s="178" t="s">
        <v>95</v>
      </c>
      <c r="K405" s="178" t="s">
        <v>2</v>
      </c>
      <c r="L405" s="209"/>
      <c r="M405" s="184" t="s">
        <v>150</v>
      </c>
      <c r="N405" s="185" t="s">
        <v>87</v>
      </c>
      <c r="O405" s="186"/>
      <c r="P405" s="186">
        <v>46146</v>
      </c>
      <c r="Q405" s="186">
        <v>46157</v>
      </c>
      <c r="R405" s="186"/>
      <c r="S405" s="186"/>
      <c r="T405" s="186"/>
      <c r="U405" s="186"/>
      <c r="V405" s="186"/>
      <c r="W405" s="186"/>
      <c r="X405" s="186"/>
      <c r="Y405" s="186"/>
      <c r="Z405" s="186"/>
      <c r="AA405" s="186"/>
      <c r="AB405" s="186"/>
      <c r="AC405" s="186"/>
      <c r="AD405" s="186"/>
      <c r="AE405" s="186"/>
      <c r="AF405" s="186"/>
      <c r="AG405" s="186"/>
      <c r="AH405" s="186"/>
      <c r="AI405" s="186"/>
      <c r="AJ405" s="186"/>
      <c r="AK405" s="188"/>
      <c r="AL405" s="211"/>
      <c r="AM405" s="187"/>
      <c r="AN405" s="187"/>
      <c r="AO405" s="211"/>
      <c r="AP405" s="271"/>
      <c r="AQ405" s="449"/>
      <c r="AR405" s="191"/>
      <c r="AS405" s="192"/>
      <c r="AT405" s="192"/>
      <c r="AU405" s="192"/>
      <c r="AV405" s="192"/>
      <c r="AW405" s="192"/>
      <c r="AX405" s="192"/>
      <c r="AY405" s="192"/>
      <c r="AZ405" s="192"/>
      <c r="BA405" s="192"/>
      <c r="BB405" s="192"/>
      <c r="BC405" s="156"/>
      <c r="BD405" s="176"/>
      <c r="BE405" s="176"/>
    </row>
    <row r="406" spans="1:57" ht="19.5" thickTop="1" x14ac:dyDescent="0.6">
      <c r="L406" s="420"/>
    </row>
    <row r="407" spans="1:57" x14ac:dyDescent="0.6">
      <c r="K407" s="421" t="s">
        <v>661</v>
      </c>
      <c r="L407" s="422">
        <f>43/95</f>
        <v>0.45263157894736844</v>
      </c>
    </row>
    <row r="408" spans="1:57" x14ac:dyDescent="0.6">
      <c r="K408" s="421" t="s">
        <v>662</v>
      </c>
      <c r="L408" s="422">
        <f>29/95</f>
        <v>0.30526315789473685</v>
      </c>
    </row>
  </sheetData>
  <autoFilter ref="A10:BB408" xr:uid="{00000000-0009-0000-0000-000000000000}"/>
  <mergeCells count="263">
    <mergeCell ref="A1:AQ1"/>
    <mergeCell ref="A2:AQ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97:A99"/>
    <mergeCell ref="A100:A102"/>
    <mergeCell ref="A103:A105"/>
    <mergeCell ref="A106:A108"/>
    <mergeCell ref="A109:A111"/>
    <mergeCell ref="A112:A114"/>
    <mergeCell ref="A115:A117"/>
    <mergeCell ref="A118:A120"/>
    <mergeCell ref="A121:A123"/>
    <mergeCell ref="A124:A126"/>
    <mergeCell ref="A127:A129"/>
    <mergeCell ref="A130:A132"/>
    <mergeCell ref="A133:A135"/>
    <mergeCell ref="A136:A138"/>
    <mergeCell ref="A139:A141"/>
    <mergeCell ref="A142:A144"/>
    <mergeCell ref="A145:A147"/>
    <mergeCell ref="A148:A150"/>
    <mergeCell ref="A151:A153"/>
    <mergeCell ref="A154:A156"/>
    <mergeCell ref="A157:A159"/>
    <mergeCell ref="A160:A162"/>
    <mergeCell ref="A163:A165"/>
    <mergeCell ref="A166:A168"/>
    <mergeCell ref="A169:A171"/>
    <mergeCell ref="A172:A174"/>
    <mergeCell ref="A175:A177"/>
    <mergeCell ref="A178:A180"/>
    <mergeCell ref="A181:A183"/>
    <mergeCell ref="A184:A186"/>
    <mergeCell ref="A187:A189"/>
    <mergeCell ref="A190:A192"/>
    <mergeCell ref="A193:A195"/>
    <mergeCell ref="A196:A198"/>
    <mergeCell ref="A199:A201"/>
    <mergeCell ref="A202:A204"/>
    <mergeCell ref="A205:A207"/>
    <mergeCell ref="A208:A210"/>
    <mergeCell ref="A211:A213"/>
    <mergeCell ref="A214:A216"/>
    <mergeCell ref="A217:A219"/>
    <mergeCell ref="A220:A222"/>
    <mergeCell ref="A223:A225"/>
    <mergeCell ref="A226:A228"/>
    <mergeCell ref="A229:A231"/>
    <mergeCell ref="A232:A234"/>
    <mergeCell ref="A235:A237"/>
    <mergeCell ref="A238:A240"/>
    <mergeCell ref="A241:A243"/>
    <mergeCell ref="A244:A246"/>
    <mergeCell ref="A247:A249"/>
    <mergeCell ref="A250:A252"/>
    <mergeCell ref="A253:A255"/>
    <mergeCell ref="A256:A258"/>
    <mergeCell ref="A259:A261"/>
    <mergeCell ref="A262:A264"/>
    <mergeCell ref="A265:A267"/>
    <mergeCell ref="A268:A270"/>
    <mergeCell ref="A271:A273"/>
    <mergeCell ref="A274:A276"/>
    <mergeCell ref="A277:A279"/>
    <mergeCell ref="A280:A282"/>
    <mergeCell ref="A283:A285"/>
    <mergeCell ref="A286:A288"/>
    <mergeCell ref="A289:A291"/>
    <mergeCell ref="A292:A294"/>
    <mergeCell ref="A295:A297"/>
    <mergeCell ref="A298:A300"/>
    <mergeCell ref="A301:A303"/>
    <mergeCell ref="A304:A306"/>
    <mergeCell ref="A307:A309"/>
    <mergeCell ref="A310:A312"/>
    <mergeCell ref="A313:A315"/>
    <mergeCell ref="A316:A318"/>
    <mergeCell ref="A319:A321"/>
    <mergeCell ref="A322:A324"/>
    <mergeCell ref="A325:A327"/>
    <mergeCell ref="A328:A330"/>
    <mergeCell ref="A331:A333"/>
    <mergeCell ref="A334:A336"/>
    <mergeCell ref="A337:A339"/>
    <mergeCell ref="A340:A342"/>
    <mergeCell ref="A343:A345"/>
    <mergeCell ref="A346:A348"/>
    <mergeCell ref="A349:A351"/>
    <mergeCell ref="A352:A354"/>
    <mergeCell ref="A355:A357"/>
    <mergeCell ref="A358:A360"/>
    <mergeCell ref="A361:A363"/>
    <mergeCell ref="A364:A366"/>
    <mergeCell ref="A367:A369"/>
    <mergeCell ref="A370:A372"/>
    <mergeCell ref="A373:A375"/>
    <mergeCell ref="A376:A378"/>
    <mergeCell ref="A379:A381"/>
    <mergeCell ref="A382:A384"/>
    <mergeCell ref="A385:A387"/>
    <mergeCell ref="A388:A390"/>
    <mergeCell ref="A391:A393"/>
    <mergeCell ref="A394:A396"/>
    <mergeCell ref="A397:A399"/>
    <mergeCell ref="A400:A402"/>
    <mergeCell ref="A403:A405"/>
    <mergeCell ref="AQ13:AQ15"/>
    <mergeCell ref="AQ16:AQ18"/>
    <mergeCell ref="AQ19:AQ21"/>
    <mergeCell ref="AQ22:AQ24"/>
    <mergeCell ref="AQ25:AQ27"/>
    <mergeCell ref="AQ28:AQ30"/>
    <mergeCell ref="AQ31:AQ33"/>
    <mergeCell ref="AQ34:AQ36"/>
    <mergeCell ref="AQ37:AQ39"/>
    <mergeCell ref="AQ40:AQ42"/>
    <mergeCell ref="AQ43:AQ45"/>
    <mergeCell ref="AQ46:AQ48"/>
    <mergeCell ref="AQ49:AQ51"/>
    <mergeCell ref="AQ52:AQ54"/>
    <mergeCell ref="AQ55:AQ57"/>
    <mergeCell ref="AQ58:AQ60"/>
    <mergeCell ref="AQ61:AQ63"/>
    <mergeCell ref="AQ64:AQ66"/>
    <mergeCell ref="AQ67:AQ69"/>
    <mergeCell ref="AQ70:AQ72"/>
    <mergeCell ref="AQ73:AQ75"/>
    <mergeCell ref="AQ76:AQ78"/>
    <mergeCell ref="AQ79:AQ81"/>
    <mergeCell ref="AQ82:AQ84"/>
    <mergeCell ref="AQ85:AQ87"/>
    <mergeCell ref="AQ88:AQ90"/>
    <mergeCell ref="AQ91:AQ93"/>
    <mergeCell ref="AQ94:AQ96"/>
    <mergeCell ref="AQ97:AQ99"/>
    <mergeCell ref="AQ103:AQ105"/>
    <mergeCell ref="AQ106:AQ108"/>
    <mergeCell ref="AQ109:AQ111"/>
    <mergeCell ref="AQ112:AQ114"/>
    <mergeCell ref="AQ115:AQ117"/>
    <mergeCell ref="AQ118:AQ120"/>
    <mergeCell ref="AQ121:AQ123"/>
    <mergeCell ref="AQ124:AQ126"/>
    <mergeCell ref="AQ127:AQ129"/>
    <mergeCell ref="AQ130:AQ132"/>
    <mergeCell ref="AQ133:AQ135"/>
    <mergeCell ref="AQ136:AQ138"/>
    <mergeCell ref="AQ139:AQ141"/>
    <mergeCell ref="AQ142:AQ144"/>
    <mergeCell ref="AQ145:AQ147"/>
    <mergeCell ref="AQ148:AQ150"/>
    <mergeCell ref="AQ151:AQ153"/>
    <mergeCell ref="AQ154:AQ156"/>
    <mergeCell ref="AQ157:AQ159"/>
    <mergeCell ref="AQ160:AQ162"/>
    <mergeCell ref="AQ163:AQ165"/>
    <mergeCell ref="AQ166:AQ168"/>
    <mergeCell ref="AQ169:AQ171"/>
    <mergeCell ref="AQ172:AQ174"/>
    <mergeCell ref="AQ175:AQ177"/>
    <mergeCell ref="AQ178:AQ180"/>
    <mergeCell ref="AQ181:AQ183"/>
    <mergeCell ref="AQ184:AQ186"/>
    <mergeCell ref="AQ187:AQ189"/>
    <mergeCell ref="AQ190:AQ192"/>
    <mergeCell ref="AQ193:AQ195"/>
    <mergeCell ref="AQ196:AQ198"/>
    <mergeCell ref="AQ199:AQ201"/>
    <mergeCell ref="AQ202:AQ204"/>
    <mergeCell ref="AQ205:AQ207"/>
    <mergeCell ref="AQ208:AQ210"/>
    <mergeCell ref="AQ211:AQ213"/>
    <mergeCell ref="AQ214:AQ216"/>
    <mergeCell ref="AQ217:AQ219"/>
    <mergeCell ref="AQ220:AQ222"/>
    <mergeCell ref="AQ223:AQ225"/>
    <mergeCell ref="AQ226:AQ228"/>
    <mergeCell ref="AQ229:AQ231"/>
    <mergeCell ref="AQ232:AQ234"/>
    <mergeCell ref="AQ235:AQ237"/>
    <mergeCell ref="AQ238:AQ240"/>
    <mergeCell ref="AQ241:AQ243"/>
    <mergeCell ref="AQ244:AQ246"/>
    <mergeCell ref="AQ247:AQ249"/>
    <mergeCell ref="AQ250:AQ252"/>
    <mergeCell ref="AQ253:AQ255"/>
    <mergeCell ref="AQ256:AQ258"/>
    <mergeCell ref="AQ259:AQ261"/>
    <mergeCell ref="AQ262:AQ264"/>
    <mergeCell ref="AQ265:AQ267"/>
    <mergeCell ref="AQ268:AQ270"/>
    <mergeCell ref="AQ271:AQ273"/>
    <mergeCell ref="AQ274:AQ276"/>
    <mergeCell ref="AQ277:AQ279"/>
    <mergeCell ref="AQ280:AQ282"/>
    <mergeCell ref="AQ283:AQ285"/>
    <mergeCell ref="AQ286:AQ288"/>
    <mergeCell ref="AQ289:AQ291"/>
    <mergeCell ref="AQ292:AQ294"/>
    <mergeCell ref="AQ295:AQ297"/>
    <mergeCell ref="AQ298:AQ300"/>
    <mergeCell ref="AQ301:AQ303"/>
    <mergeCell ref="AQ304:AQ306"/>
    <mergeCell ref="AQ307:AQ309"/>
    <mergeCell ref="AQ310:AQ312"/>
    <mergeCell ref="AQ313:AQ315"/>
    <mergeCell ref="AQ316:AQ318"/>
    <mergeCell ref="AQ319:AQ321"/>
    <mergeCell ref="AQ322:AQ324"/>
    <mergeCell ref="AQ325:AQ327"/>
    <mergeCell ref="AQ328:AQ330"/>
    <mergeCell ref="AQ331:AQ333"/>
    <mergeCell ref="AQ334:AQ336"/>
    <mergeCell ref="AQ337:AQ339"/>
    <mergeCell ref="AQ340:AQ342"/>
    <mergeCell ref="AQ343:AQ345"/>
    <mergeCell ref="AQ346:AQ348"/>
    <mergeCell ref="AQ349:AQ351"/>
    <mergeCell ref="AQ352:AQ354"/>
    <mergeCell ref="AQ355:AQ357"/>
    <mergeCell ref="AQ358:AQ360"/>
    <mergeCell ref="AQ361:AQ363"/>
    <mergeCell ref="AQ364:AQ366"/>
    <mergeCell ref="AQ367:AQ369"/>
    <mergeCell ref="AQ370:AQ372"/>
    <mergeCell ref="AQ400:AQ402"/>
    <mergeCell ref="AQ403:AQ405"/>
    <mergeCell ref="AQ373:AQ375"/>
    <mergeCell ref="AQ376:AQ378"/>
    <mergeCell ref="AQ379:AQ381"/>
    <mergeCell ref="AQ382:AQ384"/>
    <mergeCell ref="AQ385:AQ387"/>
    <mergeCell ref="AQ388:AQ390"/>
    <mergeCell ref="AQ391:AQ393"/>
    <mergeCell ref="AQ394:AQ396"/>
    <mergeCell ref="AQ397:AQ399"/>
  </mergeCells>
  <phoneticPr fontId="82" type="noConversion"/>
  <pageMargins left="0.70866141732283505" right="0.70866141732283505" top="0.74803149606299202" bottom="0.74803149606299202" header="0.31496062992126" footer="0.31496062992126"/>
  <pageSetup paperSize="8" scale="30" fitToHeight="0" orientation="landscape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3"/>
  <sheetViews>
    <sheetView workbookViewId="0">
      <selection activeCell="D36" sqref="D36"/>
    </sheetView>
  </sheetViews>
  <sheetFormatPr defaultColWidth="9" defaultRowHeight="12.75" x14ac:dyDescent="0.35"/>
  <cols>
    <col min="1" max="1" width="13.73046875" style="66" customWidth="1"/>
    <col min="2" max="2" width="55.1328125" style="58" customWidth="1"/>
    <col min="3" max="3" width="25.46484375" style="58" customWidth="1"/>
    <col min="4" max="16384" width="9" style="58"/>
  </cols>
  <sheetData>
    <row r="1" spans="1:9" s="65" customFormat="1" ht="15.95" customHeight="1" x14ac:dyDescent="0.4">
      <c r="A1" s="67" t="s">
        <v>663</v>
      </c>
      <c r="B1" s="68" t="s">
        <v>664</v>
      </c>
      <c r="C1" s="69"/>
      <c r="D1" s="70"/>
      <c r="E1" s="70"/>
      <c r="F1" s="70"/>
      <c r="G1" s="70"/>
      <c r="H1" s="70"/>
      <c r="I1" s="70"/>
    </row>
    <row r="2" spans="1:9" s="65" customFormat="1" ht="15.95" customHeight="1" x14ac:dyDescent="0.35">
      <c r="A2" s="71">
        <v>45996</v>
      </c>
      <c r="B2" s="72" t="s">
        <v>665</v>
      </c>
      <c r="C2" s="73"/>
      <c r="D2" s="70"/>
      <c r="E2" s="70"/>
      <c r="F2" s="70"/>
      <c r="G2" s="70"/>
      <c r="H2" s="70"/>
      <c r="I2" s="70"/>
    </row>
    <row r="3" spans="1:9" s="65" customFormat="1" ht="15.95" customHeight="1" x14ac:dyDescent="0.35">
      <c r="A3" s="71">
        <v>46001</v>
      </c>
      <c r="B3" s="72" t="s">
        <v>666</v>
      </c>
      <c r="C3" s="73"/>
      <c r="D3" s="70"/>
      <c r="E3" s="70"/>
      <c r="F3" s="70"/>
      <c r="G3" s="70"/>
      <c r="H3" s="70"/>
      <c r="I3" s="70"/>
    </row>
    <row r="4" spans="1:9" s="65" customFormat="1" ht="15.95" customHeight="1" x14ac:dyDescent="0.35">
      <c r="A4" s="71">
        <v>46020</v>
      </c>
      <c r="B4" s="72" t="s">
        <v>667</v>
      </c>
      <c r="C4" s="73"/>
      <c r="D4" s="70"/>
      <c r="E4" s="70"/>
      <c r="F4" s="70"/>
      <c r="G4" s="70"/>
      <c r="H4" s="70"/>
      <c r="I4" s="70"/>
    </row>
    <row r="5" spans="1:9" s="65" customFormat="1" ht="15.95" customHeight="1" x14ac:dyDescent="0.35">
      <c r="A5" s="71">
        <v>46021</v>
      </c>
      <c r="B5" s="72" t="s">
        <v>667</v>
      </c>
      <c r="C5" s="73"/>
      <c r="D5" s="70"/>
      <c r="E5" s="70"/>
      <c r="F5" s="70"/>
      <c r="G5" s="70"/>
      <c r="H5" s="70"/>
      <c r="I5" s="70"/>
    </row>
    <row r="6" spans="1:9" s="65" customFormat="1" ht="15.95" customHeight="1" x14ac:dyDescent="0.35">
      <c r="A6" s="71">
        <v>46022</v>
      </c>
      <c r="B6" s="72" t="s">
        <v>667</v>
      </c>
      <c r="C6" s="73"/>
      <c r="D6" s="70"/>
      <c r="E6" s="70"/>
      <c r="F6" s="70"/>
      <c r="G6" s="70"/>
      <c r="H6" s="70"/>
      <c r="I6" s="70"/>
    </row>
    <row r="7" spans="1:9" s="65" customFormat="1" ht="15.95" customHeight="1" x14ac:dyDescent="0.35">
      <c r="A7" s="71">
        <v>46023</v>
      </c>
      <c r="B7" s="72" t="s">
        <v>667</v>
      </c>
      <c r="C7" s="73"/>
      <c r="D7" s="70"/>
      <c r="E7" s="70"/>
      <c r="F7" s="70"/>
      <c r="G7" s="70"/>
      <c r="H7" s="70"/>
      <c r="I7" s="70"/>
    </row>
    <row r="8" spans="1:9" s="65" customFormat="1" ht="15.95" customHeight="1" x14ac:dyDescent="0.35">
      <c r="A8" s="71">
        <v>46024</v>
      </c>
      <c r="B8" s="72" t="s">
        <v>667</v>
      </c>
      <c r="C8" s="73"/>
      <c r="D8" s="70"/>
      <c r="E8" s="70"/>
      <c r="F8" s="70"/>
      <c r="G8" s="70"/>
      <c r="H8" s="70"/>
      <c r="I8" s="70"/>
    </row>
    <row r="9" spans="1:9" s="65" customFormat="1" ht="15.95" customHeight="1" x14ac:dyDescent="0.35">
      <c r="A9" s="71">
        <v>46065</v>
      </c>
      <c r="B9" s="72" t="s">
        <v>668</v>
      </c>
      <c r="C9" s="73"/>
      <c r="D9" s="70"/>
      <c r="E9" s="70"/>
      <c r="F9" s="70"/>
      <c r="G9" s="70"/>
      <c r="H9" s="70"/>
      <c r="I9" s="70"/>
    </row>
    <row r="10" spans="1:9" s="65" customFormat="1" ht="15.95" customHeight="1" x14ac:dyDescent="0.35">
      <c r="A10" s="71">
        <v>46118</v>
      </c>
      <c r="B10" s="72" t="s">
        <v>669</v>
      </c>
      <c r="C10" s="73"/>
      <c r="D10" s="70"/>
      <c r="E10" s="70"/>
      <c r="F10" s="70"/>
      <c r="G10" s="70"/>
      <c r="H10" s="70"/>
      <c r="I10" s="70"/>
    </row>
    <row r="11" spans="1:9" s="65" customFormat="1" ht="15.95" customHeight="1" x14ac:dyDescent="0.35">
      <c r="A11" s="71">
        <v>46125</v>
      </c>
      <c r="B11" s="72" t="s">
        <v>670</v>
      </c>
      <c r="C11" s="73"/>
      <c r="D11" s="70"/>
      <c r="E11" s="70"/>
      <c r="F11" s="70"/>
      <c r="G11" s="70"/>
      <c r="H11" s="70"/>
      <c r="I11" s="70"/>
    </row>
    <row r="12" spans="1:9" s="65" customFormat="1" ht="15.95" customHeight="1" x14ac:dyDescent="0.35">
      <c r="A12" s="71">
        <v>46126</v>
      </c>
      <c r="B12" s="72" t="s">
        <v>670</v>
      </c>
      <c r="C12" s="73"/>
      <c r="D12" s="70"/>
      <c r="E12" s="70"/>
      <c r="F12" s="70"/>
      <c r="G12" s="70"/>
      <c r="H12" s="70"/>
      <c r="I12" s="70"/>
    </row>
    <row r="13" spans="1:9" s="65" customFormat="1" ht="15.95" customHeight="1" x14ac:dyDescent="0.35">
      <c r="A13" s="71">
        <v>46127</v>
      </c>
      <c r="B13" s="72" t="s">
        <v>670</v>
      </c>
      <c r="C13" s="73"/>
      <c r="D13" s="70"/>
      <c r="E13" s="70"/>
      <c r="F13" s="70"/>
      <c r="G13" s="70"/>
      <c r="H13" s="70"/>
      <c r="I13" s="70"/>
    </row>
    <row r="14" spans="1:9" s="65" customFormat="1" ht="15.95" customHeight="1" x14ac:dyDescent="0.35">
      <c r="A14" s="71">
        <v>46128</v>
      </c>
      <c r="B14" s="72" t="s">
        <v>670</v>
      </c>
      <c r="C14" s="73"/>
      <c r="D14" s="70"/>
      <c r="E14" s="70"/>
      <c r="F14" s="70"/>
      <c r="G14" s="70"/>
      <c r="H14" s="70"/>
      <c r="I14" s="70"/>
    </row>
    <row r="15" spans="1:9" s="65" customFormat="1" ht="15.95" customHeight="1" x14ac:dyDescent="0.35">
      <c r="A15" s="71">
        <v>46129</v>
      </c>
      <c r="B15" s="72" t="s">
        <v>670</v>
      </c>
      <c r="C15" s="73"/>
      <c r="D15" s="70"/>
      <c r="E15" s="70"/>
      <c r="F15" s="70"/>
      <c r="G15" s="70"/>
      <c r="H15" s="70"/>
      <c r="I15" s="70"/>
    </row>
    <row r="16" spans="1:9" s="65" customFormat="1" ht="15.95" customHeight="1" x14ac:dyDescent="0.35">
      <c r="A16" s="71">
        <v>46143</v>
      </c>
      <c r="B16" s="72" t="s">
        <v>671</v>
      </c>
      <c r="C16" s="73"/>
      <c r="D16" s="70"/>
      <c r="E16" s="70"/>
      <c r="F16" s="70"/>
      <c r="G16" s="70"/>
      <c r="H16" s="70"/>
      <c r="I16" s="70"/>
    </row>
    <row r="17" spans="1:9" s="65" customFormat="1" ht="15.95" customHeight="1" x14ac:dyDescent="0.35">
      <c r="A17" s="71">
        <v>46146</v>
      </c>
      <c r="B17" s="72" t="s">
        <v>672</v>
      </c>
      <c r="C17" s="73"/>
      <c r="D17" s="70"/>
      <c r="E17" s="70"/>
      <c r="F17" s="70"/>
      <c r="G17" s="70"/>
      <c r="H17" s="70"/>
      <c r="I17" s="70"/>
    </row>
    <row r="18" spans="1:9" s="65" customFormat="1" ht="15.95" customHeight="1" x14ac:dyDescent="0.35">
      <c r="A18" s="71">
        <v>46174</v>
      </c>
      <c r="B18" s="72"/>
      <c r="C18" s="73"/>
      <c r="D18" s="70"/>
      <c r="E18" s="70"/>
      <c r="F18" s="70"/>
      <c r="G18" s="70"/>
      <c r="H18" s="70"/>
      <c r="I18" s="70"/>
    </row>
    <row r="19" spans="1:9" s="65" customFormat="1" ht="15.95" customHeight="1" x14ac:dyDescent="0.35">
      <c r="A19" s="71">
        <v>46176</v>
      </c>
      <c r="B19" s="72"/>
      <c r="C19" s="73"/>
      <c r="D19" s="70"/>
      <c r="E19" s="70"/>
      <c r="F19" s="70"/>
      <c r="G19" s="70"/>
      <c r="H19" s="70"/>
      <c r="I19" s="70"/>
    </row>
    <row r="20" spans="1:9" s="65" customFormat="1" ht="15.95" customHeight="1" x14ac:dyDescent="0.35">
      <c r="A20" s="71">
        <v>46231</v>
      </c>
      <c r="B20" s="72"/>
      <c r="C20" s="73"/>
      <c r="D20" s="70"/>
      <c r="E20" s="70"/>
      <c r="F20" s="70"/>
      <c r="G20" s="70"/>
      <c r="H20" s="70"/>
      <c r="I20" s="70"/>
    </row>
    <row r="21" spans="1:9" s="65" customFormat="1" ht="15.95" customHeight="1" x14ac:dyDescent="0.35">
      <c r="A21" s="71">
        <v>46232</v>
      </c>
      <c r="B21" s="72"/>
      <c r="C21" s="73"/>
      <c r="D21" s="70"/>
      <c r="E21" s="70"/>
      <c r="F21" s="70"/>
      <c r="G21" s="70"/>
      <c r="H21" s="70"/>
      <c r="I21" s="70"/>
    </row>
    <row r="22" spans="1:9" s="65" customFormat="1" ht="15.95" customHeight="1" x14ac:dyDescent="0.35">
      <c r="A22" s="71">
        <v>46246</v>
      </c>
      <c r="B22" s="72" t="s">
        <v>673</v>
      </c>
      <c r="C22" s="73"/>
      <c r="D22" s="70"/>
      <c r="E22" s="70"/>
      <c r="F22" s="70"/>
      <c r="G22" s="70"/>
      <c r="H22" s="70"/>
      <c r="I22" s="70"/>
    </row>
    <row r="23" spans="1:9" s="65" customFormat="1" ht="15.95" customHeight="1" x14ac:dyDescent="0.35">
      <c r="A23" s="71">
        <v>46308</v>
      </c>
      <c r="B23" s="72" t="s">
        <v>674</v>
      </c>
      <c r="C23" s="73"/>
      <c r="D23" s="70"/>
      <c r="E23" s="70"/>
      <c r="F23" s="70"/>
      <c r="G23" s="70"/>
      <c r="H23" s="70"/>
      <c r="I23" s="70"/>
    </row>
    <row r="24" spans="1:9" s="65" customFormat="1" ht="15.95" customHeight="1" x14ac:dyDescent="0.35">
      <c r="A24" s="71">
        <v>46318</v>
      </c>
      <c r="B24" s="74" t="s">
        <v>675</v>
      </c>
      <c r="C24" s="73"/>
      <c r="D24" s="70"/>
      <c r="E24" s="70"/>
      <c r="F24" s="70"/>
      <c r="G24" s="70"/>
      <c r="H24" s="70"/>
      <c r="I24" s="70"/>
    </row>
    <row r="25" spans="1:9" s="65" customFormat="1" ht="15.95" customHeight="1" x14ac:dyDescent="0.35">
      <c r="A25" s="71">
        <v>46363</v>
      </c>
      <c r="B25" s="72" t="s">
        <v>665</v>
      </c>
      <c r="C25" s="73"/>
      <c r="D25" s="70"/>
      <c r="E25" s="70"/>
      <c r="F25" s="70"/>
      <c r="G25" s="70"/>
      <c r="H25" s="70"/>
      <c r="I25" s="70"/>
    </row>
    <row r="26" spans="1:9" s="65" customFormat="1" ht="15.95" customHeight="1" x14ac:dyDescent="0.35">
      <c r="A26" s="71">
        <v>46387</v>
      </c>
      <c r="B26" s="72" t="s">
        <v>667</v>
      </c>
      <c r="C26" s="73"/>
      <c r="D26" s="70"/>
      <c r="E26" s="70"/>
      <c r="F26" s="70"/>
      <c r="G26" s="70"/>
      <c r="H26" s="70"/>
      <c r="I26" s="70"/>
    </row>
    <row r="27" spans="1:9" s="65" customFormat="1" ht="15.95" customHeight="1" x14ac:dyDescent="0.35">
      <c r="A27" s="71">
        <v>46388</v>
      </c>
      <c r="B27" s="72" t="s">
        <v>667</v>
      </c>
      <c r="C27" s="73" t="s">
        <v>676</v>
      </c>
      <c r="D27" s="70"/>
      <c r="E27" s="70"/>
      <c r="F27" s="70"/>
      <c r="G27" s="70"/>
      <c r="H27" s="70"/>
      <c r="I27" s="70"/>
    </row>
    <row r="28" spans="1:9" s="65" customFormat="1" ht="15.95" customHeight="1" x14ac:dyDescent="0.35">
      <c r="A28" s="71">
        <v>46389</v>
      </c>
      <c r="B28" s="72"/>
      <c r="C28" s="73"/>
      <c r="D28" s="70"/>
      <c r="E28" s="70"/>
      <c r="F28" s="70"/>
      <c r="G28" s="70"/>
      <c r="H28" s="70"/>
      <c r="I28" s="70"/>
    </row>
    <row r="29" spans="1:9" s="65" customFormat="1" ht="15.95" customHeight="1" x14ac:dyDescent="0.35">
      <c r="A29" s="71">
        <v>46439</v>
      </c>
      <c r="B29" s="72" t="s">
        <v>668</v>
      </c>
      <c r="C29" s="73"/>
      <c r="D29" s="70"/>
      <c r="E29" s="70"/>
      <c r="F29" s="70"/>
      <c r="G29" s="70"/>
      <c r="H29" s="70"/>
      <c r="I29" s="70"/>
    </row>
    <row r="30" spans="1:9" s="65" customFormat="1" ht="15.95" customHeight="1" x14ac:dyDescent="0.35">
      <c r="A30" s="71">
        <v>46440</v>
      </c>
      <c r="B30" s="72"/>
      <c r="C30" s="73"/>
      <c r="D30" s="70"/>
      <c r="E30" s="70"/>
      <c r="F30" s="70"/>
      <c r="G30" s="70"/>
      <c r="H30" s="70"/>
      <c r="I30" s="70"/>
    </row>
    <row r="31" spans="1:9" s="65" customFormat="1" ht="15.95" customHeight="1" x14ac:dyDescent="0.35">
      <c r="A31" s="71">
        <v>46483</v>
      </c>
      <c r="B31" s="72" t="s">
        <v>669</v>
      </c>
      <c r="C31" s="73"/>
      <c r="D31" s="70"/>
      <c r="E31" s="70"/>
      <c r="F31" s="70"/>
      <c r="G31" s="70"/>
      <c r="H31" s="70"/>
      <c r="I31" s="70"/>
    </row>
    <row r="32" spans="1:9" s="65" customFormat="1" ht="15.95" customHeight="1" x14ac:dyDescent="0.35">
      <c r="A32" s="71">
        <v>46490</v>
      </c>
      <c r="B32" s="72" t="s">
        <v>670</v>
      </c>
      <c r="C32" s="73"/>
      <c r="D32" s="70"/>
      <c r="E32" s="70"/>
      <c r="F32" s="70"/>
      <c r="G32" s="70"/>
      <c r="H32" s="70"/>
      <c r="I32" s="70"/>
    </row>
    <row r="33" spans="1:9" s="65" customFormat="1" ht="15.95" customHeight="1" x14ac:dyDescent="0.35">
      <c r="A33" s="71">
        <v>46491</v>
      </c>
      <c r="B33" s="72" t="s">
        <v>670</v>
      </c>
      <c r="C33" s="73"/>
      <c r="D33" s="70"/>
      <c r="E33" s="70"/>
      <c r="F33" s="70"/>
      <c r="G33" s="70"/>
      <c r="H33" s="70"/>
      <c r="I33" s="70"/>
    </row>
    <row r="34" spans="1:9" s="65" customFormat="1" ht="15.95" customHeight="1" x14ac:dyDescent="0.35">
      <c r="A34" s="71">
        <v>46492</v>
      </c>
      <c r="B34" s="72" t="s">
        <v>670</v>
      </c>
      <c r="C34" s="73" t="s">
        <v>676</v>
      </c>
      <c r="D34" s="70"/>
      <c r="E34" s="70"/>
      <c r="F34" s="70"/>
      <c r="G34" s="70"/>
      <c r="H34" s="70"/>
      <c r="I34" s="70"/>
    </row>
    <row r="35" spans="1:9" s="65" customFormat="1" ht="15.95" customHeight="1" x14ac:dyDescent="0.35">
      <c r="A35" s="71">
        <v>46508</v>
      </c>
      <c r="B35" s="72" t="s">
        <v>671</v>
      </c>
      <c r="C35" s="73"/>
      <c r="D35" s="70"/>
      <c r="E35" s="70"/>
      <c r="F35" s="70"/>
      <c r="G35" s="70"/>
      <c r="H35" s="70"/>
      <c r="I35" s="70"/>
    </row>
    <row r="36" spans="1:9" s="65" customFormat="1" ht="15.95" customHeight="1" x14ac:dyDescent="0.35">
      <c r="A36" s="71">
        <v>46511</v>
      </c>
      <c r="B36" s="72" t="s">
        <v>672</v>
      </c>
      <c r="C36" s="73"/>
      <c r="D36" s="70"/>
      <c r="E36" s="70"/>
      <c r="F36" s="70"/>
      <c r="G36" s="70"/>
      <c r="H36" s="70"/>
      <c r="I36" s="70"/>
    </row>
    <row r="37" spans="1:9" s="65" customFormat="1" ht="15.95" customHeight="1" x14ac:dyDescent="0.35">
      <c r="A37" s="71">
        <v>46527</v>
      </c>
      <c r="B37" s="72" t="s">
        <v>677</v>
      </c>
      <c r="C37" s="73"/>
      <c r="D37" s="70"/>
      <c r="E37" s="70"/>
      <c r="F37" s="70"/>
      <c r="G37" s="70"/>
      <c r="H37" s="70"/>
      <c r="I37" s="70"/>
    </row>
    <row r="38" spans="1:9" s="65" customFormat="1" ht="15.95" customHeight="1" x14ac:dyDescent="0.35">
      <c r="A38" s="71">
        <v>46541</v>
      </c>
      <c r="B38" s="72" t="s">
        <v>678</v>
      </c>
      <c r="C38" s="73"/>
      <c r="D38" s="70"/>
      <c r="E38" s="70"/>
      <c r="F38" s="70"/>
      <c r="G38" s="70"/>
      <c r="H38" s="70"/>
      <c r="I38" s="70"/>
    </row>
    <row r="39" spans="1:9" s="65" customFormat="1" ht="15.95" customHeight="1" x14ac:dyDescent="0.35">
      <c r="A39" s="71">
        <v>46611</v>
      </c>
      <c r="B39" s="72" t="s">
        <v>673</v>
      </c>
      <c r="C39" s="73" t="s">
        <v>676</v>
      </c>
      <c r="D39" s="70"/>
      <c r="E39" s="70"/>
      <c r="F39" s="70"/>
      <c r="G39" s="70"/>
      <c r="H39" s="70"/>
      <c r="I39" s="70"/>
    </row>
    <row r="40" spans="1:9" s="65" customFormat="1" ht="15.95" customHeight="1" x14ac:dyDescent="0.35">
      <c r="A40" s="71">
        <v>46673</v>
      </c>
      <c r="B40" s="72" t="s">
        <v>674</v>
      </c>
      <c r="C40" s="73"/>
      <c r="D40" s="70"/>
      <c r="E40" s="70"/>
      <c r="F40" s="70"/>
      <c r="G40" s="70"/>
      <c r="H40" s="70"/>
      <c r="I40" s="70"/>
    </row>
    <row r="41" spans="1:9" s="65" customFormat="1" ht="15.95" customHeight="1" x14ac:dyDescent="0.35">
      <c r="A41" s="71">
        <v>46683</v>
      </c>
      <c r="B41" s="72" t="s">
        <v>675</v>
      </c>
      <c r="C41" s="73"/>
      <c r="D41" s="72" t="s">
        <v>675</v>
      </c>
      <c r="E41" s="70"/>
      <c r="F41" s="70"/>
      <c r="G41" s="70"/>
      <c r="H41" s="70"/>
      <c r="I41" s="70"/>
    </row>
    <row r="42" spans="1:9" s="65" customFormat="1" ht="15.95" customHeight="1" x14ac:dyDescent="0.35">
      <c r="A42" s="71">
        <v>46685</v>
      </c>
      <c r="B42" s="72"/>
      <c r="C42" s="73"/>
      <c r="D42" s="70"/>
      <c r="E42" s="70"/>
      <c r="F42" s="70"/>
      <c r="G42" s="70"/>
      <c r="H42" s="70"/>
      <c r="I42" s="70"/>
    </row>
    <row r="43" spans="1:9" s="65" customFormat="1" ht="15.95" customHeight="1" x14ac:dyDescent="0.35">
      <c r="A43" s="71">
        <v>46726</v>
      </c>
      <c r="B43" s="72" t="s">
        <v>665</v>
      </c>
      <c r="C43" s="73"/>
      <c r="D43" s="70"/>
      <c r="E43" s="70"/>
      <c r="F43" s="70"/>
      <c r="G43" s="70"/>
      <c r="H43" s="70"/>
      <c r="I43" s="70"/>
    </row>
    <row r="44" spans="1:9" s="65" customFormat="1" ht="15.95" customHeight="1" x14ac:dyDescent="0.35">
      <c r="A44" s="71">
        <v>46727</v>
      </c>
      <c r="B44" s="72"/>
      <c r="C44" s="73"/>
      <c r="D44" s="70"/>
      <c r="E44" s="70"/>
      <c r="F44" s="70"/>
      <c r="G44" s="70"/>
      <c r="H44" s="70"/>
      <c r="I44" s="70"/>
    </row>
    <row r="45" spans="1:9" s="65" customFormat="1" ht="15.95" customHeight="1" x14ac:dyDescent="0.35">
      <c r="A45" s="71">
        <v>46731</v>
      </c>
      <c r="B45" s="72" t="s">
        <v>679</v>
      </c>
      <c r="C45" s="73"/>
      <c r="D45" s="70"/>
      <c r="E45" s="70"/>
      <c r="F45" s="70"/>
      <c r="G45" s="70"/>
      <c r="H45" s="70"/>
      <c r="I45" s="70"/>
    </row>
    <row r="46" spans="1:9" s="65" customFormat="1" ht="15.95" customHeight="1" x14ac:dyDescent="0.35">
      <c r="A46" s="71">
        <v>46752</v>
      </c>
      <c r="B46" s="72" t="s">
        <v>667</v>
      </c>
      <c r="C46" s="73"/>
      <c r="D46" s="70"/>
      <c r="E46" s="70"/>
      <c r="F46" s="70"/>
      <c r="G46" s="70"/>
      <c r="H46" s="70"/>
      <c r="I46" s="70"/>
    </row>
    <row r="47" spans="1:9" s="65" customFormat="1" ht="15.95" customHeight="1" x14ac:dyDescent="0.35">
      <c r="A47" s="71">
        <v>46753</v>
      </c>
      <c r="B47" s="72" t="s">
        <v>667</v>
      </c>
      <c r="C47" s="73" t="s">
        <v>676</v>
      </c>
      <c r="D47" s="70"/>
      <c r="E47" s="70"/>
      <c r="F47" s="70"/>
      <c r="G47" s="70"/>
      <c r="H47" s="70"/>
      <c r="I47" s="70"/>
    </row>
    <row r="48" spans="1:9" s="65" customFormat="1" ht="15.95" customHeight="1" x14ac:dyDescent="0.35">
      <c r="A48" s="71">
        <v>46791</v>
      </c>
      <c r="B48" s="72" t="s">
        <v>680</v>
      </c>
      <c r="C48" s="73"/>
      <c r="D48" s="70"/>
      <c r="E48" s="70"/>
      <c r="F48" s="70"/>
      <c r="G48" s="70"/>
      <c r="H48" s="70"/>
      <c r="I48" s="70"/>
    </row>
    <row r="49" spans="1:9" s="65" customFormat="1" ht="15.95" customHeight="1" x14ac:dyDescent="0.35">
      <c r="A49" s="71">
        <v>46849</v>
      </c>
      <c r="B49" s="72" t="s">
        <v>681</v>
      </c>
      <c r="C49" s="73"/>
      <c r="D49" s="70"/>
      <c r="E49" s="70"/>
      <c r="F49" s="70"/>
      <c r="G49" s="70"/>
      <c r="H49" s="70"/>
      <c r="I49" s="70"/>
    </row>
    <row r="50" spans="1:9" s="65" customFormat="1" ht="15.95" customHeight="1" x14ac:dyDescent="0.35">
      <c r="A50" s="71">
        <v>46856</v>
      </c>
      <c r="B50" s="72" t="s">
        <v>670</v>
      </c>
      <c r="C50" s="73"/>
      <c r="D50" s="70"/>
      <c r="E50" s="70"/>
      <c r="F50" s="70"/>
      <c r="G50" s="70"/>
      <c r="H50" s="70"/>
      <c r="I50" s="70"/>
    </row>
    <row r="51" spans="1:9" s="65" customFormat="1" ht="15.95" customHeight="1" x14ac:dyDescent="0.35">
      <c r="A51" s="71">
        <v>46857</v>
      </c>
      <c r="B51" s="72" t="s">
        <v>670</v>
      </c>
      <c r="C51" s="73"/>
      <c r="D51" s="70"/>
      <c r="E51" s="70"/>
      <c r="F51" s="70"/>
      <c r="G51" s="70"/>
      <c r="H51" s="70"/>
      <c r="I51" s="70"/>
    </row>
    <row r="52" spans="1:9" s="65" customFormat="1" ht="15.95" customHeight="1" x14ac:dyDescent="0.35">
      <c r="A52" s="71">
        <v>46858</v>
      </c>
      <c r="B52" s="72" t="s">
        <v>670</v>
      </c>
      <c r="C52" s="73"/>
      <c r="D52" s="70"/>
      <c r="E52" s="70"/>
      <c r="F52" s="70"/>
      <c r="G52" s="70"/>
      <c r="H52" s="70"/>
      <c r="I52" s="70"/>
    </row>
    <row r="53" spans="1:9" s="65" customFormat="1" ht="15.95" customHeight="1" x14ac:dyDescent="0.35">
      <c r="A53" s="71">
        <v>46874</v>
      </c>
      <c r="B53" s="72" t="s">
        <v>671</v>
      </c>
      <c r="C53" s="73"/>
      <c r="D53" s="70"/>
      <c r="E53" s="70"/>
      <c r="F53" s="70"/>
      <c r="G53" s="70"/>
      <c r="H53" s="70"/>
      <c r="I53" s="70"/>
    </row>
    <row r="54" spans="1:9" s="65" customFormat="1" ht="15.95" customHeight="1" x14ac:dyDescent="0.35">
      <c r="A54" s="71">
        <v>46878</v>
      </c>
      <c r="B54" s="72" t="s">
        <v>672</v>
      </c>
      <c r="C54" s="73" t="s">
        <v>676</v>
      </c>
      <c r="D54" s="70"/>
      <c r="E54" s="70"/>
      <c r="F54" s="70"/>
      <c r="G54" s="70"/>
      <c r="H54" s="70"/>
      <c r="I54" s="70"/>
    </row>
    <row r="55" spans="1:9" s="65" customFormat="1" ht="15.95" customHeight="1" x14ac:dyDescent="0.35">
      <c r="A55" s="71">
        <v>46912</v>
      </c>
      <c r="B55" s="72" t="s">
        <v>682</v>
      </c>
      <c r="C55" s="73"/>
      <c r="D55" s="70"/>
      <c r="E55" s="70"/>
      <c r="F55" s="70"/>
      <c r="G55" s="70"/>
      <c r="H55" s="70"/>
      <c r="I55" s="70"/>
    </row>
    <row r="56" spans="1:9" s="65" customFormat="1" ht="15.95" customHeight="1" x14ac:dyDescent="0.35">
      <c r="A56" s="71">
        <v>46907</v>
      </c>
      <c r="B56" s="72" t="s">
        <v>678</v>
      </c>
      <c r="C56" s="73" t="s">
        <v>676</v>
      </c>
      <c r="D56" s="70"/>
      <c r="E56" s="70"/>
      <c r="F56" s="70"/>
      <c r="G56" s="70"/>
      <c r="H56" s="70"/>
      <c r="I56" s="70"/>
    </row>
    <row r="57" spans="1:9" s="65" customFormat="1" ht="15.95" customHeight="1" x14ac:dyDescent="0.35">
      <c r="A57" s="71">
        <v>46958</v>
      </c>
      <c r="B57" s="72" t="s">
        <v>683</v>
      </c>
      <c r="C57" s="73"/>
      <c r="D57" s="70"/>
      <c r="E57" s="70"/>
      <c r="F57" s="70"/>
      <c r="G57" s="70"/>
      <c r="H57" s="70"/>
      <c r="I57" s="70"/>
    </row>
    <row r="58" spans="1:9" s="65" customFormat="1" ht="15.95" customHeight="1" x14ac:dyDescent="0.35">
      <c r="A58" s="71">
        <v>46977</v>
      </c>
      <c r="B58" s="72" t="s">
        <v>673</v>
      </c>
      <c r="C58" s="73"/>
      <c r="D58" s="70"/>
      <c r="E58" s="70"/>
      <c r="F58" s="70"/>
      <c r="G58" s="70"/>
      <c r="H58" s="70"/>
      <c r="I58" s="70"/>
    </row>
    <row r="59" spans="1:9" s="65" customFormat="1" ht="15.95" customHeight="1" x14ac:dyDescent="0.35">
      <c r="A59" s="71">
        <v>47039</v>
      </c>
      <c r="B59" s="72" t="s">
        <v>674</v>
      </c>
      <c r="C59" s="73"/>
      <c r="D59" s="70"/>
      <c r="E59" s="70"/>
      <c r="F59" s="70"/>
      <c r="G59" s="70"/>
      <c r="H59" s="70"/>
      <c r="I59" s="70"/>
    </row>
    <row r="60" spans="1:9" s="65" customFormat="1" ht="15.95" customHeight="1" x14ac:dyDescent="0.35">
      <c r="A60" s="71">
        <v>47049</v>
      </c>
      <c r="B60" s="72" t="s">
        <v>675</v>
      </c>
      <c r="C60" s="73"/>
      <c r="D60" s="70"/>
      <c r="E60" s="70"/>
      <c r="F60" s="70"/>
      <c r="G60" s="70"/>
      <c r="H60" s="70"/>
      <c r="I60" s="70"/>
    </row>
    <row r="61" spans="1:9" s="65" customFormat="1" ht="15.95" customHeight="1" x14ac:dyDescent="0.35">
      <c r="A61" s="71">
        <v>47092</v>
      </c>
      <c r="B61" s="72" t="s">
        <v>665</v>
      </c>
      <c r="C61" s="73"/>
      <c r="D61" s="70"/>
      <c r="E61" s="70"/>
      <c r="F61" s="70"/>
      <c r="G61" s="70"/>
      <c r="H61" s="70"/>
      <c r="I61" s="70"/>
    </row>
    <row r="62" spans="1:9" s="65" customFormat="1" ht="15.95" customHeight="1" x14ac:dyDescent="0.35">
      <c r="A62" s="71">
        <v>47097</v>
      </c>
      <c r="B62" s="72" t="s">
        <v>679</v>
      </c>
      <c r="C62" s="73"/>
      <c r="D62" s="70"/>
      <c r="E62" s="70"/>
      <c r="F62" s="70"/>
      <c r="G62" s="70"/>
      <c r="H62" s="70"/>
      <c r="I62" s="70"/>
    </row>
    <row r="63" spans="1:9" x14ac:dyDescent="0.35">
      <c r="A63" s="71">
        <v>47118</v>
      </c>
      <c r="B63" s="72" t="s">
        <v>667</v>
      </c>
    </row>
  </sheetData>
  <phoneticPr fontId="83" type="noConversion"/>
  <conditionalFormatting sqref="A2:A63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4"/>
  <sheetViews>
    <sheetView topLeftCell="A67" workbookViewId="0">
      <selection activeCell="E5" sqref="E5"/>
    </sheetView>
  </sheetViews>
  <sheetFormatPr defaultColWidth="9" defaultRowHeight="12.75" x14ac:dyDescent="0.35"/>
  <cols>
    <col min="1" max="1" width="12.265625" style="58" customWidth="1"/>
    <col min="2" max="2" width="34.265625" style="58" customWidth="1"/>
    <col min="3" max="16384" width="9" style="58"/>
  </cols>
  <sheetData>
    <row r="1" spans="1:9" ht="18" customHeight="1" x14ac:dyDescent="0.35">
      <c r="A1" s="59" t="s">
        <v>663</v>
      </c>
      <c r="B1" s="60" t="s">
        <v>664</v>
      </c>
      <c r="C1" s="61"/>
      <c r="D1" s="61"/>
      <c r="E1" s="61"/>
      <c r="F1" s="61"/>
      <c r="G1" s="61"/>
      <c r="H1" s="61"/>
      <c r="I1" s="61"/>
    </row>
    <row r="2" spans="1:9" ht="18" customHeight="1" x14ac:dyDescent="0.55000000000000004">
      <c r="A2" s="62">
        <v>46023</v>
      </c>
      <c r="B2" s="63" t="s">
        <v>667</v>
      </c>
      <c r="C2" s="64"/>
      <c r="D2" s="64"/>
      <c r="E2" s="64"/>
      <c r="F2" s="64"/>
      <c r="G2" s="64"/>
      <c r="H2" s="64"/>
      <c r="I2" s="64"/>
    </row>
    <row r="3" spans="1:9" ht="18" customHeight="1" x14ac:dyDescent="0.55000000000000004">
      <c r="A3" s="62">
        <v>46024</v>
      </c>
      <c r="B3" s="63" t="s">
        <v>667</v>
      </c>
      <c r="C3" s="64"/>
      <c r="D3" s="64"/>
      <c r="E3" s="64"/>
      <c r="F3" s="64"/>
      <c r="G3" s="64"/>
      <c r="H3" s="64"/>
      <c r="I3" s="64"/>
    </row>
    <row r="4" spans="1:9" ht="18" customHeight="1" x14ac:dyDescent="0.55000000000000004">
      <c r="A4" s="62">
        <v>46025</v>
      </c>
      <c r="B4" s="63" t="s">
        <v>667</v>
      </c>
      <c r="C4" s="64"/>
      <c r="D4" s="64"/>
      <c r="E4" s="64"/>
      <c r="F4" s="64"/>
      <c r="G4" s="64"/>
      <c r="H4" s="64"/>
      <c r="I4" s="64"/>
    </row>
    <row r="5" spans="1:9" ht="18" customHeight="1" x14ac:dyDescent="0.55000000000000004">
      <c r="A5" s="62">
        <v>46068</v>
      </c>
      <c r="B5" s="63" t="s">
        <v>684</v>
      </c>
      <c r="C5" s="64"/>
      <c r="D5" s="64"/>
      <c r="E5" s="64"/>
      <c r="F5" s="64"/>
      <c r="G5" s="64"/>
      <c r="H5" s="64"/>
      <c r="I5" s="64"/>
    </row>
    <row r="6" spans="1:9" ht="18" customHeight="1" x14ac:dyDescent="0.55000000000000004">
      <c r="A6" s="62">
        <v>46069</v>
      </c>
      <c r="B6" s="63" t="s">
        <v>684</v>
      </c>
      <c r="C6" s="64"/>
      <c r="D6" s="64"/>
      <c r="E6" s="64"/>
      <c r="F6" s="64"/>
      <c r="G6" s="64"/>
      <c r="H6" s="64"/>
      <c r="I6" s="64"/>
    </row>
    <row r="7" spans="1:9" ht="18" customHeight="1" x14ac:dyDescent="0.55000000000000004">
      <c r="A7" s="62">
        <v>46070</v>
      </c>
      <c r="B7" s="63" t="s">
        <v>684</v>
      </c>
      <c r="C7" s="64"/>
      <c r="D7" s="64"/>
      <c r="E7" s="64"/>
      <c r="F7" s="64"/>
      <c r="G7" s="64"/>
      <c r="H7" s="64"/>
      <c r="I7" s="64"/>
    </row>
    <row r="8" spans="1:9" ht="18" customHeight="1" x14ac:dyDescent="0.55000000000000004">
      <c r="A8" s="62">
        <v>46071</v>
      </c>
      <c r="B8" s="63" t="s">
        <v>684</v>
      </c>
      <c r="C8" s="64"/>
      <c r="D8" s="64"/>
      <c r="E8" s="64"/>
      <c r="F8" s="64"/>
      <c r="G8" s="64"/>
      <c r="H8" s="64"/>
      <c r="I8" s="64"/>
    </row>
    <row r="9" spans="1:9" ht="18" customHeight="1" x14ac:dyDescent="0.55000000000000004">
      <c r="A9" s="62">
        <v>46072</v>
      </c>
      <c r="B9" s="63" t="s">
        <v>684</v>
      </c>
      <c r="C9" s="64"/>
      <c r="D9" s="64"/>
      <c r="E9" s="64"/>
      <c r="F9" s="64"/>
      <c r="G9" s="64"/>
      <c r="H9" s="64"/>
      <c r="I9" s="64"/>
    </row>
    <row r="10" spans="1:9" ht="18" customHeight="1" x14ac:dyDescent="0.55000000000000004">
      <c r="A10" s="62">
        <v>46073</v>
      </c>
      <c r="B10" s="63" t="s">
        <v>684</v>
      </c>
      <c r="C10" s="64"/>
      <c r="D10" s="64"/>
      <c r="E10" s="64"/>
      <c r="F10" s="64"/>
      <c r="G10" s="64"/>
      <c r="H10" s="64"/>
      <c r="I10" s="64"/>
    </row>
    <row r="11" spans="1:9" ht="18" customHeight="1" x14ac:dyDescent="0.55000000000000004">
      <c r="A11" s="62">
        <v>46074</v>
      </c>
      <c r="B11" s="63" t="s">
        <v>684</v>
      </c>
      <c r="C11" s="64"/>
      <c r="D11" s="64"/>
      <c r="E11" s="64"/>
      <c r="F11" s="64"/>
      <c r="G11" s="64"/>
      <c r="H11" s="64"/>
      <c r="I11" s="64"/>
    </row>
    <row r="12" spans="1:9" ht="18" customHeight="1" x14ac:dyDescent="0.55000000000000004">
      <c r="A12" s="62">
        <v>46116</v>
      </c>
      <c r="B12" s="63" t="s">
        <v>685</v>
      </c>
      <c r="C12" s="64"/>
      <c r="D12" s="64"/>
      <c r="E12" s="64"/>
      <c r="F12" s="64"/>
      <c r="G12" s="64"/>
      <c r="H12" s="64"/>
      <c r="I12" s="64"/>
    </row>
    <row r="13" spans="1:9" ht="18" customHeight="1" x14ac:dyDescent="0.55000000000000004">
      <c r="A13" s="62">
        <v>46117</v>
      </c>
      <c r="B13" s="63" t="s">
        <v>685</v>
      </c>
      <c r="C13" s="64"/>
      <c r="D13" s="64"/>
      <c r="E13" s="64"/>
      <c r="F13" s="64"/>
      <c r="G13" s="64"/>
      <c r="H13" s="64"/>
      <c r="I13" s="64"/>
    </row>
    <row r="14" spans="1:9" ht="18" customHeight="1" x14ac:dyDescent="0.55000000000000004">
      <c r="A14" s="62">
        <v>46118</v>
      </c>
      <c r="B14" s="63" t="s">
        <v>685</v>
      </c>
      <c r="C14" s="64"/>
      <c r="D14" s="64"/>
      <c r="E14" s="64"/>
      <c r="F14" s="64"/>
      <c r="G14" s="64"/>
      <c r="H14" s="64"/>
      <c r="I14" s="64"/>
    </row>
    <row r="15" spans="1:9" ht="18" customHeight="1" x14ac:dyDescent="0.55000000000000004">
      <c r="A15" s="62">
        <v>46143</v>
      </c>
      <c r="B15" s="63" t="s">
        <v>671</v>
      </c>
      <c r="C15" s="64"/>
      <c r="D15" s="64"/>
      <c r="E15" s="64"/>
      <c r="F15" s="64"/>
      <c r="G15" s="64"/>
      <c r="H15" s="64"/>
      <c r="I15" s="64"/>
    </row>
    <row r="16" spans="1:9" ht="18" customHeight="1" x14ac:dyDescent="0.55000000000000004">
      <c r="A16" s="62">
        <v>46144</v>
      </c>
      <c r="B16" s="63" t="s">
        <v>671</v>
      </c>
      <c r="C16" s="64"/>
      <c r="D16" s="64"/>
      <c r="E16" s="64"/>
      <c r="F16" s="64"/>
      <c r="G16" s="64"/>
      <c r="H16" s="64"/>
      <c r="I16" s="64"/>
    </row>
    <row r="17" spans="1:9" ht="18" customHeight="1" x14ac:dyDescent="0.55000000000000004">
      <c r="A17" s="62">
        <v>46145</v>
      </c>
      <c r="B17" s="63" t="s">
        <v>671</v>
      </c>
      <c r="C17" s="64"/>
      <c r="D17" s="64"/>
      <c r="E17" s="64"/>
      <c r="F17" s="64"/>
      <c r="G17" s="64"/>
      <c r="H17" s="64"/>
      <c r="I17" s="64"/>
    </row>
    <row r="18" spans="1:9" ht="18" customHeight="1" x14ac:dyDescent="0.55000000000000004">
      <c r="A18" s="62">
        <v>46192</v>
      </c>
      <c r="B18" s="63" t="s">
        <v>686</v>
      </c>
      <c r="C18" s="64"/>
      <c r="D18" s="64"/>
      <c r="E18" s="64"/>
      <c r="F18" s="64"/>
      <c r="G18" s="64"/>
      <c r="H18" s="64"/>
      <c r="I18" s="64"/>
    </row>
    <row r="19" spans="1:9" ht="18" customHeight="1" x14ac:dyDescent="0.55000000000000004">
      <c r="A19" s="62">
        <v>46193</v>
      </c>
      <c r="B19" s="63" t="s">
        <v>686</v>
      </c>
      <c r="C19" s="64"/>
      <c r="D19" s="64"/>
      <c r="E19" s="64"/>
      <c r="F19" s="64"/>
      <c r="G19" s="64"/>
      <c r="H19" s="64"/>
      <c r="I19" s="64"/>
    </row>
    <row r="20" spans="1:9" ht="18" customHeight="1" x14ac:dyDescent="0.55000000000000004">
      <c r="A20" s="62">
        <v>46194</v>
      </c>
      <c r="B20" s="63" t="s">
        <v>686</v>
      </c>
      <c r="C20" s="64"/>
      <c r="D20" s="64"/>
      <c r="E20" s="64"/>
      <c r="F20" s="64"/>
      <c r="G20" s="64"/>
      <c r="H20" s="64"/>
      <c r="I20" s="64"/>
    </row>
    <row r="21" spans="1:9" ht="18" customHeight="1" x14ac:dyDescent="0.55000000000000004">
      <c r="A21" s="62">
        <v>46290</v>
      </c>
      <c r="B21" s="63" t="s">
        <v>687</v>
      </c>
      <c r="C21" s="64"/>
      <c r="D21" s="64"/>
      <c r="E21" s="64"/>
      <c r="F21" s="64"/>
      <c r="G21" s="64"/>
      <c r="H21" s="64"/>
      <c r="I21" s="64"/>
    </row>
    <row r="22" spans="1:9" ht="18" customHeight="1" x14ac:dyDescent="0.55000000000000004">
      <c r="A22" s="62">
        <v>46291</v>
      </c>
      <c r="B22" s="63" t="s">
        <v>687</v>
      </c>
      <c r="C22" s="64"/>
      <c r="D22" s="64"/>
      <c r="E22" s="64"/>
      <c r="F22" s="64"/>
      <c r="G22" s="64"/>
      <c r="H22" s="64"/>
      <c r="I22" s="64"/>
    </row>
    <row r="23" spans="1:9" ht="18" customHeight="1" x14ac:dyDescent="0.55000000000000004">
      <c r="A23" s="62">
        <v>46292</v>
      </c>
      <c r="B23" s="63" t="s">
        <v>687</v>
      </c>
      <c r="C23" s="64"/>
      <c r="D23" s="64"/>
      <c r="E23" s="64"/>
      <c r="F23" s="64"/>
      <c r="G23" s="64"/>
      <c r="H23" s="64"/>
      <c r="I23" s="64"/>
    </row>
    <row r="24" spans="1:9" ht="18" customHeight="1" x14ac:dyDescent="0.55000000000000004">
      <c r="A24" s="62">
        <v>46296</v>
      </c>
      <c r="B24" s="63" t="s">
        <v>688</v>
      </c>
      <c r="C24" s="64"/>
      <c r="D24" s="64"/>
      <c r="E24" s="64"/>
      <c r="F24" s="64"/>
      <c r="G24" s="64"/>
      <c r="H24" s="64"/>
      <c r="I24" s="64"/>
    </row>
    <row r="25" spans="1:9" ht="18" customHeight="1" x14ac:dyDescent="0.55000000000000004">
      <c r="A25" s="62">
        <v>46297</v>
      </c>
      <c r="B25" s="63" t="s">
        <v>688</v>
      </c>
      <c r="C25" s="64"/>
      <c r="D25" s="64"/>
      <c r="E25" s="64"/>
      <c r="F25" s="64"/>
      <c r="G25" s="64"/>
      <c r="H25" s="64"/>
      <c r="I25" s="64"/>
    </row>
    <row r="26" spans="1:9" ht="18" customHeight="1" x14ac:dyDescent="0.55000000000000004">
      <c r="A26" s="62">
        <v>46298</v>
      </c>
      <c r="B26" s="63" t="s">
        <v>688</v>
      </c>
      <c r="C26" s="64"/>
      <c r="D26" s="64"/>
      <c r="E26" s="64"/>
      <c r="F26" s="64"/>
      <c r="G26" s="64"/>
      <c r="H26" s="64"/>
      <c r="I26" s="64"/>
    </row>
    <row r="27" spans="1:9" ht="18" customHeight="1" x14ac:dyDescent="0.55000000000000004">
      <c r="A27" s="62">
        <v>46299</v>
      </c>
      <c r="B27" s="63" t="s">
        <v>688</v>
      </c>
      <c r="C27" s="64"/>
      <c r="D27" s="64"/>
      <c r="E27" s="64"/>
      <c r="F27" s="64"/>
      <c r="G27" s="64"/>
      <c r="H27" s="64"/>
      <c r="I27" s="64"/>
    </row>
    <row r="28" spans="1:9" ht="18" customHeight="1" x14ac:dyDescent="0.55000000000000004">
      <c r="A28" s="62">
        <v>46300</v>
      </c>
      <c r="B28" s="63" t="s">
        <v>688</v>
      </c>
      <c r="C28" s="64"/>
      <c r="D28" s="64"/>
      <c r="E28" s="64"/>
      <c r="F28" s="64"/>
      <c r="G28" s="64"/>
      <c r="H28" s="64"/>
      <c r="I28" s="64"/>
    </row>
    <row r="29" spans="1:9" ht="18" customHeight="1" x14ac:dyDescent="0.55000000000000004">
      <c r="A29" s="62">
        <v>46301</v>
      </c>
      <c r="B29" s="63" t="s">
        <v>688</v>
      </c>
      <c r="C29" s="64"/>
      <c r="D29" s="64"/>
      <c r="E29" s="64"/>
      <c r="F29" s="64"/>
      <c r="G29" s="64"/>
      <c r="H29" s="64"/>
      <c r="I29" s="64"/>
    </row>
    <row r="30" spans="1:9" ht="18" customHeight="1" x14ac:dyDescent="0.55000000000000004">
      <c r="A30" s="62">
        <v>46302</v>
      </c>
      <c r="B30" s="63" t="s">
        <v>688</v>
      </c>
      <c r="C30" s="64"/>
      <c r="D30" s="64"/>
      <c r="E30" s="64"/>
      <c r="F30" s="64"/>
      <c r="G30" s="64"/>
      <c r="H30" s="64"/>
      <c r="I30" s="64"/>
    </row>
    <row r="31" spans="1:9" ht="18" customHeight="1" x14ac:dyDescent="0.55000000000000004">
      <c r="A31" s="62">
        <v>46388</v>
      </c>
      <c r="B31" s="63" t="s">
        <v>667</v>
      </c>
      <c r="C31" s="64"/>
      <c r="D31" s="64"/>
      <c r="E31" s="64"/>
      <c r="F31" s="64"/>
      <c r="G31" s="64"/>
      <c r="H31" s="64"/>
      <c r="I31" s="64"/>
    </row>
    <row r="32" spans="1:9" ht="18" customHeight="1" x14ac:dyDescent="0.55000000000000004">
      <c r="A32" s="62">
        <v>46389</v>
      </c>
      <c r="B32" s="63" t="s">
        <v>667</v>
      </c>
      <c r="C32" s="64"/>
      <c r="D32" s="64"/>
      <c r="E32" s="64"/>
      <c r="F32" s="64"/>
      <c r="G32" s="64"/>
      <c r="H32" s="64"/>
      <c r="I32" s="64"/>
    </row>
    <row r="33" spans="1:9" ht="18" customHeight="1" x14ac:dyDescent="0.55000000000000004">
      <c r="A33" s="62">
        <v>46390</v>
      </c>
      <c r="B33" s="63" t="s">
        <v>667</v>
      </c>
      <c r="C33" s="64"/>
      <c r="D33" s="64"/>
      <c r="E33" s="64"/>
      <c r="F33" s="64"/>
      <c r="G33" s="64"/>
      <c r="H33" s="64"/>
      <c r="I33" s="64"/>
    </row>
    <row r="34" spans="1:9" ht="18" customHeight="1" x14ac:dyDescent="0.55000000000000004">
      <c r="A34" s="62">
        <v>46424</v>
      </c>
      <c r="B34" s="63" t="s">
        <v>684</v>
      </c>
      <c r="C34" s="64"/>
      <c r="D34" s="64"/>
      <c r="E34" s="64"/>
      <c r="F34" s="64"/>
      <c r="G34" s="64"/>
      <c r="H34" s="64"/>
      <c r="I34" s="64"/>
    </row>
    <row r="35" spans="1:9" ht="18" customHeight="1" x14ac:dyDescent="0.55000000000000004">
      <c r="A35" s="62">
        <v>46425</v>
      </c>
      <c r="B35" s="63" t="s">
        <v>684</v>
      </c>
      <c r="C35" s="64"/>
      <c r="D35" s="64"/>
      <c r="E35" s="64"/>
      <c r="F35" s="64"/>
      <c r="G35" s="64"/>
      <c r="H35" s="64"/>
      <c r="I35" s="64"/>
    </row>
    <row r="36" spans="1:9" ht="18" customHeight="1" x14ac:dyDescent="0.55000000000000004">
      <c r="A36" s="62">
        <v>46426</v>
      </c>
      <c r="B36" s="63" t="s">
        <v>684</v>
      </c>
      <c r="C36" s="64"/>
      <c r="D36" s="64"/>
      <c r="E36" s="64"/>
      <c r="F36" s="64"/>
      <c r="G36" s="64"/>
      <c r="H36" s="64"/>
      <c r="I36" s="64"/>
    </row>
    <row r="37" spans="1:9" ht="18" customHeight="1" x14ac:dyDescent="0.55000000000000004">
      <c r="A37" s="62">
        <v>46427</v>
      </c>
      <c r="B37" s="63" t="s">
        <v>684</v>
      </c>
      <c r="C37" s="64"/>
      <c r="D37" s="64"/>
      <c r="E37" s="64"/>
      <c r="F37" s="64"/>
      <c r="G37" s="64"/>
      <c r="H37" s="64"/>
      <c r="I37" s="64"/>
    </row>
    <row r="38" spans="1:9" ht="18" customHeight="1" x14ac:dyDescent="0.55000000000000004">
      <c r="A38" s="62">
        <v>46428</v>
      </c>
      <c r="B38" s="63" t="s">
        <v>684</v>
      </c>
      <c r="C38" s="64"/>
      <c r="D38" s="64"/>
      <c r="E38" s="64"/>
      <c r="F38" s="64"/>
      <c r="G38" s="64"/>
      <c r="H38" s="64"/>
      <c r="I38" s="64"/>
    </row>
    <row r="39" spans="1:9" ht="18" customHeight="1" x14ac:dyDescent="0.55000000000000004">
      <c r="A39" s="62">
        <v>46429</v>
      </c>
      <c r="B39" s="63" t="s">
        <v>684</v>
      </c>
      <c r="C39" s="64"/>
      <c r="D39" s="64"/>
      <c r="E39" s="64"/>
      <c r="F39" s="64"/>
      <c r="G39" s="64"/>
      <c r="H39" s="64"/>
      <c r="I39" s="64"/>
    </row>
    <row r="40" spans="1:9" ht="18" customHeight="1" x14ac:dyDescent="0.55000000000000004">
      <c r="A40" s="62">
        <v>46430</v>
      </c>
      <c r="B40" s="63" t="s">
        <v>684</v>
      </c>
      <c r="C40" s="64"/>
      <c r="D40" s="64"/>
      <c r="E40" s="64"/>
      <c r="F40" s="64"/>
      <c r="G40" s="64"/>
      <c r="H40" s="64"/>
      <c r="I40" s="64"/>
    </row>
    <row r="41" spans="1:9" ht="18" customHeight="1" x14ac:dyDescent="0.55000000000000004">
      <c r="A41" s="62">
        <v>46480</v>
      </c>
      <c r="B41" s="63" t="s">
        <v>685</v>
      </c>
      <c r="C41" s="64"/>
      <c r="D41" s="64"/>
      <c r="E41" s="64"/>
      <c r="F41" s="64"/>
      <c r="G41" s="64"/>
      <c r="H41" s="64"/>
      <c r="I41" s="64"/>
    </row>
    <row r="42" spans="1:9" ht="18" customHeight="1" x14ac:dyDescent="0.55000000000000004">
      <c r="A42" s="62">
        <v>46481</v>
      </c>
      <c r="B42" s="63" t="s">
        <v>685</v>
      </c>
      <c r="C42" s="64"/>
      <c r="D42" s="64"/>
      <c r="E42" s="64"/>
      <c r="F42" s="64"/>
      <c r="G42" s="64"/>
      <c r="H42" s="64"/>
      <c r="I42" s="64"/>
    </row>
    <row r="43" spans="1:9" ht="18" customHeight="1" x14ac:dyDescent="0.55000000000000004">
      <c r="A43" s="62">
        <v>46482</v>
      </c>
      <c r="B43" s="63" t="s">
        <v>685</v>
      </c>
      <c r="C43" s="64"/>
      <c r="D43" s="64"/>
      <c r="E43" s="64"/>
      <c r="F43" s="64"/>
      <c r="G43" s="64"/>
      <c r="H43" s="64"/>
      <c r="I43" s="64"/>
    </row>
    <row r="44" spans="1:9" ht="18" customHeight="1" x14ac:dyDescent="0.55000000000000004">
      <c r="A44" s="62">
        <v>46508</v>
      </c>
      <c r="B44" s="63" t="s">
        <v>671</v>
      </c>
      <c r="C44" s="64"/>
      <c r="D44" s="64"/>
      <c r="E44" s="64"/>
      <c r="F44" s="64"/>
      <c r="G44" s="64"/>
      <c r="H44" s="64"/>
      <c r="I44" s="64"/>
    </row>
    <row r="45" spans="1:9" ht="18" customHeight="1" x14ac:dyDescent="0.55000000000000004">
      <c r="A45" s="62">
        <v>46509</v>
      </c>
      <c r="B45" s="63" t="s">
        <v>671</v>
      </c>
      <c r="C45" s="64"/>
      <c r="D45" s="64"/>
      <c r="E45" s="64"/>
      <c r="F45" s="64"/>
      <c r="G45" s="64"/>
      <c r="H45" s="64"/>
      <c r="I45" s="64"/>
    </row>
    <row r="46" spans="1:9" ht="18" customHeight="1" x14ac:dyDescent="0.55000000000000004">
      <c r="A46" s="62">
        <v>46510</v>
      </c>
      <c r="B46" s="63" t="s">
        <v>671</v>
      </c>
      <c r="C46" s="64"/>
      <c r="D46" s="64"/>
      <c r="E46" s="64"/>
      <c r="F46" s="64"/>
      <c r="G46" s="64"/>
      <c r="H46" s="64"/>
      <c r="I46" s="64"/>
    </row>
    <row r="47" spans="1:9" ht="18" customHeight="1" x14ac:dyDescent="0.55000000000000004">
      <c r="A47" s="62">
        <v>46549</v>
      </c>
      <c r="B47" s="63" t="s">
        <v>686</v>
      </c>
      <c r="C47" s="64"/>
      <c r="D47" s="64"/>
      <c r="E47" s="64"/>
      <c r="F47" s="64"/>
      <c r="G47" s="64"/>
      <c r="H47" s="64"/>
      <c r="I47" s="64"/>
    </row>
    <row r="48" spans="1:9" ht="18" customHeight="1" x14ac:dyDescent="0.55000000000000004">
      <c r="A48" s="62">
        <v>46550</v>
      </c>
      <c r="B48" s="63" t="s">
        <v>686</v>
      </c>
      <c r="C48" s="64"/>
      <c r="D48" s="64"/>
      <c r="E48" s="64"/>
      <c r="F48" s="64"/>
      <c r="G48" s="64"/>
      <c r="H48" s="64"/>
      <c r="I48" s="64"/>
    </row>
    <row r="49" spans="1:9" ht="18" customHeight="1" x14ac:dyDescent="0.55000000000000004">
      <c r="A49" s="62">
        <v>46551</v>
      </c>
      <c r="B49" s="63" t="s">
        <v>686</v>
      </c>
      <c r="C49" s="64"/>
      <c r="D49" s="64"/>
      <c r="E49" s="64"/>
      <c r="F49" s="64"/>
      <c r="G49" s="64"/>
      <c r="H49" s="64"/>
      <c r="I49" s="64"/>
    </row>
    <row r="50" spans="1:9" ht="18" customHeight="1" x14ac:dyDescent="0.55000000000000004">
      <c r="A50" s="62">
        <v>46552</v>
      </c>
      <c r="B50" s="63" t="s">
        <v>686</v>
      </c>
      <c r="C50" s="64"/>
      <c r="D50" s="64"/>
      <c r="E50" s="64"/>
      <c r="F50" s="64"/>
      <c r="G50" s="64"/>
      <c r="H50" s="64"/>
      <c r="I50" s="64"/>
    </row>
    <row r="51" spans="1:9" ht="18" customHeight="1" x14ac:dyDescent="0.55000000000000004">
      <c r="A51" s="62">
        <v>46645</v>
      </c>
      <c r="B51" s="63" t="s">
        <v>687</v>
      </c>
      <c r="C51" s="64"/>
      <c r="D51" s="64"/>
      <c r="E51" s="64"/>
      <c r="F51" s="64"/>
      <c r="G51" s="64"/>
      <c r="H51" s="64"/>
      <c r="I51" s="64"/>
    </row>
    <row r="52" spans="1:9" ht="18" customHeight="1" x14ac:dyDescent="0.55000000000000004">
      <c r="A52" s="62">
        <v>46661</v>
      </c>
      <c r="B52" s="63" t="s">
        <v>688</v>
      </c>
      <c r="C52" s="64"/>
      <c r="D52" s="64"/>
      <c r="E52" s="64"/>
      <c r="F52" s="64"/>
      <c r="G52" s="64"/>
      <c r="H52" s="64"/>
      <c r="I52" s="64"/>
    </row>
    <row r="53" spans="1:9" ht="18" customHeight="1" x14ac:dyDescent="0.55000000000000004">
      <c r="A53" s="62">
        <v>46662</v>
      </c>
      <c r="B53" s="63" t="s">
        <v>688</v>
      </c>
      <c r="C53" s="64"/>
      <c r="D53" s="64"/>
      <c r="E53" s="64"/>
      <c r="F53" s="64"/>
      <c r="G53" s="64"/>
      <c r="H53" s="64"/>
      <c r="I53" s="64"/>
    </row>
    <row r="54" spans="1:9" ht="18" customHeight="1" x14ac:dyDescent="0.55000000000000004">
      <c r="A54" s="62">
        <v>46663</v>
      </c>
      <c r="B54" s="63" t="s">
        <v>688</v>
      </c>
      <c r="C54" s="64"/>
      <c r="D54" s="64"/>
      <c r="E54" s="64"/>
      <c r="F54" s="64"/>
      <c r="G54" s="64"/>
      <c r="H54" s="64"/>
      <c r="I54" s="64"/>
    </row>
    <row r="55" spans="1:9" ht="18" customHeight="1" x14ac:dyDescent="0.55000000000000004">
      <c r="A55" s="62">
        <v>46664</v>
      </c>
      <c r="B55" s="63" t="s">
        <v>688</v>
      </c>
      <c r="C55" s="64"/>
      <c r="D55" s="64"/>
      <c r="E55" s="64"/>
      <c r="F55" s="64"/>
      <c r="G55" s="64"/>
      <c r="H55" s="64"/>
      <c r="I55" s="64"/>
    </row>
    <row r="56" spans="1:9" ht="18" customHeight="1" x14ac:dyDescent="0.55000000000000004">
      <c r="A56" s="62">
        <v>46665</v>
      </c>
      <c r="B56" s="63" t="s">
        <v>688</v>
      </c>
      <c r="C56" s="64"/>
      <c r="D56" s="64"/>
      <c r="E56" s="64"/>
      <c r="F56" s="64"/>
      <c r="G56" s="64"/>
      <c r="H56" s="64"/>
      <c r="I56" s="64"/>
    </row>
    <row r="57" spans="1:9" ht="18" customHeight="1" x14ac:dyDescent="0.55000000000000004">
      <c r="A57" s="62">
        <v>46666</v>
      </c>
      <c r="B57" s="63" t="s">
        <v>688</v>
      </c>
      <c r="C57" s="64"/>
      <c r="D57" s="64"/>
      <c r="E57" s="64"/>
      <c r="F57" s="64"/>
      <c r="G57" s="64"/>
      <c r="H57" s="64"/>
      <c r="I57" s="64"/>
    </row>
    <row r="58" spans="1:9" ht="18" customHeight="1" x14ac:dyDescent="0.55000000000000004">
      <c r="A58" s="62">
        <v>46667</v>
      </c>
      <c r="B58" s="63" t="s">
        <v>688</v>
      </c>
      <c r="C58" s="64"/>
      <c r="D58" s="64"/>
      <c r="E58" s="64"/>
      <c r="F58" s="64"/>
      <c r="G58" s="64"/>
      <c r="H58" s="64"/>
      <c r="I58" s="64"/>
    </row>
    <row r="59" spans="1:9" ht="18" customHeight="1" x14ac:dyDescent="0.55000000000000004">
      <c r="A59" s="62">
        <v>46753</v>
      </c>
      <c r="B59" s="63" t="s">
        <v>667</v>
      </c>
      <c r="C59" s="64"/>
      <c r="D59" s="64"/>
      <c r="E59" s="64"/>
      <c r="F59" s="64"/>
      <c r="G59" s="64"/>
      <c r="H59" s="64"/>
      <c r="I59" s="64"/>
    </row>
    <row r="60" spans="1:9" ht="18" customHeight="1" x14ac:dyDescent="0.55000000000000004">
      <c r="A60" s="62">
        <v>46754</v>
      </c>
      <c r="B60" s="63" t="s">
        <v>667</v>
      </c>
      <c r="C60" s="64"/>
      <c r="D60" s="64"/>
      <c r="E60" s="64"/>
      <c r="F60" s="64"/>
      <c r="G60" s="64"/>
      <c r="H60" s="64"/>
      <c r="I60" s="64"/>
    </row>
    <row r="61" spans="1:9" ht="18" customHeight="1" x14ac:dyDescent="0.55000000000000004">
      <c r="A61" s="62">
        <v>46755</v>
      </c>
      <c r="B61" s="63" t="s">
        <v>667</v>
      </c>
      <c r="C61" s="64"/>
      <c r="D61" s="64"/>
      <c r="E61" s="64"/>
      <c r="F61" s="64"/>
      <c r="G61" s="64"/>
      <c r="H61" s="64"/>
      <c r="I61" s="64"/>
    </row>
    <row r="62" spans="1:9" ht="18" customHeight="1" x14ac:dyDescent="0.55000000000000004">
      <c r="A62" s="62">
        <v>46777</v>
      </c>
      <c r="B62" s="63" t="s">
        <v>684</v>
      </c>
      <c r="C62" s="64"/>
      <c r="D62" s="64"/>
      <c r="E62" s="64"/>
      <c r="F62" s="64"/>
      <c r="G62" s="64"/>
      <c r="H62" s="64"/>
      <c r="I62" s="64"/>
    </row>
    <row r="63" spans="1:9" ht="18" customHeight="1" x14ac:dyDescent="0.55000000000000004">
      <c r="A63" s="62">
        <v>46778</v>
      </c>
      <c r="B63" s="63" t="s">
        <v>684</v>
      </c>
      <c r="C63" s="64"/>
      <c r="D63" s="64"/>
      <c r="E63" s="64"/>
      <c r="F63" s="64"/>
      <c r="G63" s="64"/>
      <c r="H63" s="64"/>
      <c r="I63" s="64"/>
    </row>
    <row r="64" spans="1:9" ht="18" customHeight="1" x14ac:dyDescent="0.55000000000000004">
      <c r="A64" s="62">
        <v>46779</v>
      </c>
      <c r="B64" s="63" t="s">
        <v>684</v>
      </c>
      <c r="C64" s="64"/>
      <c r="D64" s="64"/>
      <c r="E64" s="64"/>
      <c r="F64" s="64"/>
      <c r="G64" s="64"/>
      <c r="H64" s="64"/>
      <c r="I64" s="64"/>
    </row>
    <row r="65" spans="1:9" ht="18" customHeight="1" x14ac:dyDescent="0.55000000000000004">
      <c r="A65" s="62">
        <v>46780</v>
      </c>
      <c r="B65" s="63" t="s">
        <v>684</v>
      </c>
      <c r="C65" s="64"/>
      <c r="D65" s="64"/>
      <c r="E65" s="64"/>
      <c r="F65" s="64"/>
      <c r="G65" s="64"/>
      <c r="H65" s="64"/>
      <c r="I65" s="64"/>
    </row>
    <row r="66" spans="1:9" ht="18" customHeight="1" x14ac:dyDescent="0.55000000000000004">
      <c r="A66" s="62">
        <v>46781</v>
      </c>
      <c r="B66" s="63" t="s">
        <v>684</v>
      </c>
      <c r="C66" s="64"/>
      <c r="D66" s="64"/>
      <c r="E66" s="64"/>
      <c r="F66" s="64"/>
      <c r="G66" s="64"/>
      <c r="H66" s="64"/>
      <c r="I66" s="64"/>
    </row>
    <row r="67" spans="1:9" ht="18" customHeight="1" x14ac:dyDescent="0.55000000000000004">
      <c r="A67" s="62">
        <v>46782</v>
      </c>
      <c r="B67" s="63" t="s">
        <v>684</v>
      </c>
      <c r="C67" s="64"/>
      <c r="D67" s="64"/>
      <c r="E67" s="64"/>
      <c r="F67" s="64"/>
      <c r="G67" s="64"/>
      <c r="H67" s="64"/>
      <c r="I67" s="64"/>
    </row>
    <row r="68" spans="1:9" ht="18" customHeight="1" x14ac:dyDescent="0.55000000000000004">
      <c r="A68" s="62">
        <v>46783</v>
      </c>
      <c r="B68" s="63" t="s">
        <v>684</v>
      </c>
      <c r="C68" s="64"/>
      <c r="D68" s="64"/>
      <c r="E68" s="64"/>
      <c r="F68" s="64"/>
      <c r="G68" s="64"/>
      <c r="H68" s="64"/>
      <c r="I68" s="64"/>
    </row>
    <row r="69" spans="1:9" ht="18" customHeight="1" x14ac:dyDescent="0.55000000000000004">
      <c r="A69" s="62">
        <v>46847</v>
      </c>
      <c r="B69" s="63" t="s">
        <v>685</v>
      </c>
      <c r="C69" s="64"/>
      <c r="D69" s="64"/>
      <c r="E69" s="64"/>
      <c r="F69" s="64"/>
      <c r="G69" s="64"/>
      <c r="H69" s="64"/>
      <c r="I69" s="64"/>
    </row>
    <row r="70" spans="1:9" ht="18" customHeight="1" x14ac:dyDescent="0.55000000000000004">
      <c r="A70" s="62">
        <v>46848</v>
      </c>
      <c r="B70" s="63" t="s">
        <v>685</v>
      </c>
      <c r="C70" s="64"/>
      <c r="D70" s="64"/>
      <c r="E70" s="64"/>
      <c r="F70" s="64"/>
      <c r="G70" s="64"/>
      <c r="H70" s="64"/>
      <c r="I70" s="64"/>
    </row>
    <row r="71" spans="1:9" ht="18" customHeight="1" x14ac:dyDescent="0.55000000000000004">
      <c r="A71" s="62">
        <v>46849</v>
      </c>
      <c r="B71" s="63" t="s">
        <v>685</v>
      </c>
      <c r="C71" s="64"/>
      <c r="D71" s="64"/>
      <c r="E71" s="64"/>
      <c r="F71" s="64"/>
      <c r="G71" s="64"/>
      <c r="H71" s="64"/>
      <c r="I71" s="64"/>
    </row>
    <row r="72" spans="1:9" ht="18" customHeight="1" x14ac:dyDescent="0.55000000000000004">
      <c r="A72" s="62">
        <v>46874</v>
      </c>
      <c r="B72" s="63" t="s">
        <v>671</v>
      </c>
      <c r="C72" s="64"/>
      <c r="D72" s="64"/>
      <c r="E72" s="64"/>
      <c r="F72" s="64"/>
      <c r="G72" s="64"/>
      <c r="H72" s="64"/>
      <c r="I72" s="64"/>
    </row>
    <row r="73" spans="1:9" ht="18" customHeight="1" x14ac:dyDescent="0.55000000000000004">
      <c r="A73" s="62">
        <v>46875</v>
      </c>
      <c r="B73" s="63" t="s">
        <v>671</v>
      </c>
      <c r="C73" s="64"/>
      <c r="D73" s="64"/>
      <c r="E73" s="64"/>
      <c r="F73" s="64"/>
      <c r="G73" s="64"/>
      <c r="H73" s="64"/>
      <c r="I73" s="64"/>
    </row>
    <row r="74" spans="1:9" ht="18" customHeight="1" x14ac:dyDescent="0.55000000000000004">
      <c r="A74" s="62">
        <v>46876</v>
      </c>
      <c r="B74" s="63" t="s">
        <v>671</v>
      </c>
      <c r="C74" s="64"/>
      <c r="D74" s="64"/>
      <c r="E74" s="64"/>
      <c r="F74" s="64"/>
      <c r="G74" s="64"/>
      <c r="H74" s="64"/>
      <c r="I74" s="64"/>
    </row>
    <row r="75" spans="1:9" ht="18" customHeight="1" x14ac:dyDescent="0.55000000000000004">
      <c r="A75" s="62">
        <v>46904</v>
      </c>
      <c r="B75" s="63" t="s">
        <v>686</v>
      </c>
      <c r="C75" s="64"/>
      <c r="D75" s="64"/>
      <c r="E75" s="64"/>
      <c r="F75" s="64"/>
      <c r="G75" s="64"/>
      <c r="H75" s="64"/>
      <c r="I75" s="64"/>
    </row>
    <row r="76" spans="1:9" ht="18" customHeight="1" x14ac:dyDescent="0.55000000000000004">
      <c r="A76" s="62">
        <v>46905</v>
      </c>
      <c r="B76" s="63" t="s">
        <v>686</v>
      </c>
      <c r="C76" s="64"/>
      <c r="D76" s="64"/>
      <c r="E76" s="64"/>
      <c r="F76" s="64"/>
      <c r="G76" s="64"/>
      <c r="H76" s="64"/>
      <c r="I76" s="64"/>
    </row>
    <row r="77" spans="1:9" ht="18" customHeight="1" x14ac:dyDescent="0.55000000000000004">
      <c r="A77" s="62">
        <v>46906</v>
      </c>
      <c r="B77" s="63" t="s">
        <v>686</v>
      </c>
      <c r="C77" s="64"/>
      <c r="D77" s="64"/>
      <c r="E77" s="64"/>
      <c r="F77" s="64"/>
      <c r="G77" s="64"/>
      <c r="H77" s="64"/>
      <c r="I77" s="64"/>
    </row>
    <row r="78" spans="1:9" ht="18" customHeight="1" x14ac:dyDescent="0.55000000000000004">
      <c r="A78" s="62">
        <v>47027</v>
      </c>
      <c r="B78" s="63" t="s">
        <v>688</v>
      </c>
      <c r="C78" s="64"/>
      <c r="D78" s="64"/>
      <c r="E78" s="64"/>
      <c r="F78" s="64"/>
      <c r="G78" s="64"/>
      <c r="H78" s="64"/>
      <c r="I78" s="64"/>
    </row>
    <row r="79" spans="1:9" ht="18" customHeight="1" x14ac:dyDescent="0.55000000000000004">
      <c r="A79" s="62">
        <v>47028</v>
      </c>
      <c r="B79" s="63" t="s">
        <v>688</v>
      </c>
      <c r="C79" s="64"/>
      <c r="D79" s="64"/>
      <c r="E79" s="64"/>
      <c r="F79" s="64"/>
      <c r="G79" s="64"/>
      <c r="H79" s="64"/>
      <c r="I79" s="64"/>
    </row>
    <row r="80" spans="1:9" ht="18" customHeight="1" x14ac:dyDescent="0.55000000000000004">
      <c r="A80" s="62">
        <v>47029</v>
      </c>
      <c r="B80" s="63" t="s">
        <v>688</v>
      </c>
      <c r="C80" s="64"/>
      <c r="D80" s="64"/>
      <c r="E80" s="64"/>
      <c r="F80" s="64"/>
      <c r="G80" s="64"/>
      <c r="H80" s="64"/>
      <c r="I80" s="64"/>
    </row>
    <row r="81" spans="1:9" ht="18" customHeight="1" x14ac:dyDescent="0.55000000000000004">
      <c r="A81" s="62">
        <v>47030</v>
      </c>
      <c r="B81" s="63" t="s">
        <v>688</v>
      </c>
      <c r="C81" s="64"/>
      <c r="D81" s="64"/>
      <c r="E81" s="64"/>
      <c r="F81" s="64"/>
      <c r="G81" s="64"/>
      <c r="H81" s="64"/>
      <c r="I81" s="64"/>
    </row>
    <row r="82" spans="1:9" ht="18" customHeight="1" x14ac:dyDescent="0.55000000000000004">
      <c r="A82" s="62">
        <v>47031</v>
      </c>
      <c r="B82" s="63" t="s">
        <v>688</v>
      </c>
      <c r="C82" s="64"/>
      <c r="D82" s="64"/>
      <c r="E82" s="64"/>
      <c r="F82" s="64"/>
      <c r="G82" s="64"/>
      <c r="H82" s="64"/>
      <c r="I82" s="64"/>
    </row>
    <row r="83" spans="1:9" ht="18" customHeight="1" x14ac:dyDescent="0.55000000000000004">
      <c r="A83" s="62">
        <v>47032</v>
      </c>
      <c r="B83" s="63" t="s">
        <v>688</v>
      </c>
      <c r="C83" s="64"/>
      <c r="D83" s="64"/>
      <c r="E83" s="64"/>
      <c r="F83" s="64"/>
      <c r="G83" s="64"/>
      <c r="H83" s="64"/>
      <c r="I83" s="64"/>
    </row>
    <row r="84" spans="1:9" ht="18" customHeight="1" x14ac:dyDescent="0.55000000000000004">
      <c r="A84" s="62">
        <v>47033</v>
      </c>
      <c r="B84" s="63" t="s">
        <v>688</v>
      </c>
      <c r="C84" s="64"/>
      <c r="D84" s="64"/>
      <c r="E84" s="64"/>
      <c r="F84" s="64"/>
      <c r="G84" s="64"/>
      <c r="H84" s="64"/>
      <c r="I84" s="64"/>
    </row>
  </sheetData>
  <phoneticPr fontId="8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workbookViewId="0">
      <selection activeCell="C17" sqref="C17"/>
    </sheetView>
  </sheetViews>
  <sheetFormatPr defaultColWidth="9" defaultRowHeight="13.9" x14ac:dyDescent="0.4"/>
  <cols>
    <col min="1" max="1" width="24.73046875" customWidth="1"/>
    <col min="2" max="2" width="38.06640625" customWidth="1"/>
    <col min="3" max="3" width="13.33203125" customWidth="1"/>
    <col min="4" max="4" width="24.796875" customWidth="1"/>
    <col min="7" max="7" width="15.265625" customWidth="1"/>
    <col min="8" max="8" width="21.1328125" customWidth="1"/>
    <col min="9" max="9" width="29.19921875" customWidth="1"/>
  </cols>
  <sheetData>
    <row r="1" spans="1:9" ht="20.25" x14ac:dyDescent="0.4">
      <c r="A1" s="49" t="s">
        <v>689</v>
      </c>
      <c r="B1" s="49" t="s">
        <v>690</v>
      </c>
      <c r="C1" s="49"/>
      <c r="D1" s="49"/>
      <c r="E1" s="49" t="s">
        <v>691</v>
      </c>
      <c r="F1" s="49" t="s">
        <v>692</v>
      </c>
      <c r="G1" s="50" t="s">
        <v>693</v>
      </c>
      <c r="H1" s="50" t="s">
        <v>694</v>
      </c>
      <c r="I1" s="50" t="s">
        <v>695</v>
      </c>
    </row>
    <row r="2" spans="1:9" ht="20.25" x14ac:dyDescent="0.4">
      <c r="A2" s="51" t="s">
        <v>536</v>
      </c>
      <c r="B2" s="52" t="s">
        <v>696</v>
      </c>
      <c r="C2" s="53" t="s">
        <v>537</v>
      </c>
      <c r="D2" s="53" t="s">
        <v>538</v>
      </c>
      <c r="E2" s="53" t="s">
        <v>697</v>
      </c>
      <c r="F2" s="53" t="s">
        <v>698</v>
      </c>
      <c r="G2" s="53" t="s">
        <v>699</v>
      </c>
      <c r="H2" s="53" t="s">
        <v>700</v>
      </c>
      <c r="I2" s="51" t="s">
        <v>701</v>
      </c>
    </row>
    <row r="3" spans="1:9" ht="20.25" x14ac:dyDescent="0.4">
      <c r="A3" s="51" t="s">
        <v>543</v>
      </c>
      <c r="B3" s="52" t="s">
        <v>702</v>
      </c>
      <c r="C3" s="53" t="s">
        <v>544</v>
      </c>
      <c r="D3" s="53" t="s">
        <v>545</v>
      </c>
      <c r="E3" s="53" t="s">
        <v>697</v>
      </c>
      <c r="F3" s="53" t="s">
        <v>698</v>
      </c>
      <c r="G3" s="53" t="s">
        <v>703</v>
      </c>
      <c r="H3" s="53" t="s">
        <v>704</v>
      </c>
      <c r="I3" s="51" t="s">
        <v>701</v>
      </c>
    </row>
    <row r="4" spans="1:9" ht="20.25" x14ac:dyDescent="0.4">
      <c r="A4" s="51" t="s">
        <v>548</v>
      </c>
      <c r="B4" s="52" t="s">
        <v>705</v>
      </c>
      <c r="C4" s="53" t="s">
        <v>706</v>
      </c>
      <c r="D4" s="53" t="s">
        <v>707</v>
      </c>
      <c r="E4" s="53" t="s">
        <v>697</v>
      </c>
      <c r="F4" s="53" t="s">
        <v>698</v>
      </c>
      <c r="G4" s="53" t="s">
        <v>708</v>
      </c>
      <c r="H4" s="53" t="s">
        <v>709</v>
      </c>
      <c r="I4" s="51" t="s">
        <v>701</v>
      </c>
    </row>
    <row r="5" spans="1:9" ht="20.25" x14ac:dyDescent="0.4">
      <c r="A5" s="51" t="s">
        <v>710</v>
      </c>
      <c r="B5" s="52" t="s">
        <v>711</v>
      </c>
      <c r="C5" s="53" t="s">
        <v>712</v>
      </c>
      <c r="D5" s="54" t="s">
        <v>713</v>
      </c>
      <c r="E5" s="54" t="s">
        <v>697</v>
      </c>
      <c r="F5" s="54" t="s">
        <v>698</v>
      </c>
      <c r="G5" s="54" t="s">
        <v>714</v>
      </c>
      <c r="H5" s="54" t="s">
        <v>715</v>
      </c>
      <c r="I5" s="51" t="s">
        <v>701</v>
      </c>
    </row>
    <row r="6" spans="1:9" ht="20.25" x14ac:dyDescent="0.4">
      <c r="A6" s="51" t="s">
        <v>555</v>
      </c>
      <c r="B6" s="52" t="s">
        <v>716</v>
      </c>
      <c r="C6" s="53" t="s">
        <v>712</v>
      </c>
      <c r="D6" s="54" t="s">
        <v>717</v>
      </c>
      <c r="E6" s="54" t="s">
        <v>697</v>
      </c>
      <c r="F6" s="54" t="s">
        <v>698</v>
      </c>
      <c r="G6" s="54" t="s">
        <v>718</v>
      </c>
      <c r="H6" s="54" t="s">
        <v>719</v>
      </c>
      <c r="I6" s="51" t="s">
        <v>701</v>
      </c>
    </row>
    <row r="7" spans="1:9" ht="20.25" x14ac:dyDescent="0.4">
      <c r="A7" s="51" t="s">
        <v>560</v>
      </c>
      <c r="B7" s="55" t="s">
        <v>720</v>
      </c>
      <c r="C7" s="53" t="s">
        <v>561</v>
      </c>
      <c r="D7" s="54" t="s">
        <v>721</v>
      </c>
      <c r="E7" s="56" t="s">
        <v>697</v>
      </c>
      <c r="F7" s="54" t="s">
        <v>698</v>
      </c>
      <c r="G7" s="54" t="s">
        <v>722</v>
      </c>
      <c r="H7" s="53" t="s">
        <v>723</v>
      </c>
      <c r="I7" s="51" t="s">
        <v>701</v>
      </c>
    </row>
    <row r="8" spans="1:9" ht="20.25" x14ac:dyDescent="0.4">
      <c r="A8" s="51" t="s">
        <v>599</v>
      </c>
      <c r="B8" s="52" t="s">
        <v>724</v>
      </c>
      <c r="C8" s="57" t="s">
        <v>725</v>
      </c>
      <c r="D8" s="57" t="s">
        <v>726</v>
      </c>
      <c r="E8" s="53" t="s">
        <v>697</v>
      </c>
      <c r="F8" s="53" t="s">
        <v>698</v>
      </c>
      <c r="G8" s="53" t="s">
        <v>727</v>
      </c>
      <c r="H8" s="53" t="s">
        <v>728</v>
      </c>
      <c r="I8" s="51" t="s">
        <v>701</v>
      </c>
    </row>
    <row r="9" spans="1:9" ht="20.25" x14ac:dyDescent="0.4">
      <c r="A9" s="51" t="s">
        <v>564</v>
      </c>
      <c r="B9" s="52" t="s">
        <v>729</v>
      </c>
      <c r="C9" s="53" t="s">
        <v>725</v>
      </c>
      <c r="D9" s="53" t="s">
        <v>726</v>
      </c>
      <c r="E9" s="53" t="s">
        <v>697</v>
      </c>
      <c r="F9" s="53" t="s">
        <v>698</v>
      </c>
      <c r="G9" s="53" t="s">
        <v>730</v>
      </c>
      <c r="H9" s="53" t="s">
        <v>731</v>
      </c>
      <c r="I9" s="51" t="s">
        <v>701</v>
      </c>
    </row>
    <row r="10" spans="1:9" ht="20.25" x14ac:dyDescent="0.4">
      <c r="A10" s="51" t="s">
        <v>591</v>
      </c>
      <c r="B10" s="52" t="s">
        <v>732</v>
      </c>
      <c r="C10" s="53" t="s">
        <v>725</v>
      </c>
      <c r="D10" s="53" t="s">
        <v>726</v>
      </c>
      <c r="E10" s="53" t="s">
        <v>697</v>
      </c>
      <c r="F10" s="53" t="s">
        <v>698</v>
      </c>
      <c r="G10" s="53" t="s">
        <v>733</v>
      </c>
      <c r="H10" s="53" t="s">
        <v>734</v>
      </c>
      <c r="I10" s="51" t="s">
        <v>701</v>
      </c>
    </row>
    <row r="11" spans="1:9" ht="20.25" x14ac:dyDescent="0.4">
      <c r="A11" s="51" t="s">
        <v>582</v>
      </c>
      <c r="B11" s="52" t="s">
        <v>735</v>
      </c>
      <c r="C11" s="53" t="s">
        <v>725</v>
      </c>
      <c r="D11" s="53" t="s">
        <v>726</v>
      </c>
      <c r="E11" s="53" t="s">
        <v>697</v>
      </c>
      <c r="F11" s="53" t="s">
        <v>698</v>
      </c>
      <c r="G11" s="53" t="s">
        <v>736</v>
      </c>
      <c r="H11" s="53" t="s">
        <v>737</v>
      </c>
      <c r="I11" s="51" t="s">
        <v>701</v>
      </c>
    </row>
    <row r="12" spans="1:9" ht="20.25" x14ac:dyDescent="0.4">
      <c r="A12" s="51" t="s">
        <v>738</v>
      </c>
      <c r="B12" s="52" t="s">
        <v>739</v>
      </c>
      <c r="C12" s="53" t="s">
        <v>740</v>
      </c>
      <c r="D12" s="53" t="s">
        <v>741</v>
      </c>
      <c r="E12" s="53" t="s">
        <v>697</v>
      </c>
      <c r="F12" s="53" t="s">
        <v>698</v>
      </c>
      <c r="G12" s="53" t="s">
        <v>742</v>
      </c>
      <c r="H12" s="53" t="s">
        <v>743</v>
      </c>
      <c r="I12" s="51" t="s">
        <v>744</v>
      </c>
    </row>
    <row r="13" spans="1:9" ht="20.25" x14ac:dyDescent="0.4">
      <c r="A13" s="51" t="s">
        <v>745</v>
      </c>
      <c r="B13" s="52" t="s">
        <v>746</v>
      </c>
      <c r="C13" s="53" t="s">
        <v>740</v>
      </c>
      <c r="D13" s="53" t="s">
        <v>741</v>
      </c>
      <c r="E13" s="53" t="s">
        <v>697</v>
      </c>
      <c r="F13" s="53" t="s">
        <v>698</v>
      </c>
      <c r="G13" s="53" t="s">
        <v>747</v>
      </c>
      <c r="H13" s="53" t="s">
        <v>748</v>
      </c>
      <c r="I13" s="51" t="s">
        <v>701</v>
      </c>
    </row>
    <row r="14" spans="1:9" ht="20.25" x14ac:dyDescent="0.4">
      <c r="A14" s="51" t="s">
        <v>749</v>
      </c>
      <c r="B14" s="52" t="s">
        <v>750</v>
      </c>
      <c r="C14" s="53" t="s">
        <v>740</v>
      </c>
      <c r="D14" s="53" t="s">
        <v>741</v>
      </c>
      <c r="E14" s="53" t="s">
        <v>697</v>
      </c>
      <c r="F14" s="53" t="s">
        <v>698</v>
      </c>
      <c r="G14" s="53" t="s">
        <v>751</v>
      </c>
      <c r="H14" s="53" t="s">
        <v>752</v>
      </c>
      <c r="I14" s="51" t="s">
        <v>701</v>
      </c>
    </row>
    <row r="15" spans="1:9" ht="20.25" x14ac:dyDescent="0.4">
      <c r="A15" s="51" t="s">
        <v>753</v>
      </c>
      <c r="B15" s="52" t="s">
        <v>754</v>
      </c>
      <c r="C15" s="53" t="s">
        <v>740</v>
      </c>
      <c r="D15" s="53" t="s">
        <v>741</v>
      </c>
      <c r="E15" s="53" t="s">
        <v>697</v>
      </c>
      <c r="F15" s="53" t="s">
        <v>698</v>
      </c>
      <c r="G15" s="53" t="s">
        <v>755</v>
      </c>
      <c r="H15" s="53" t="s">
        <v>756</v>
      </c>
      <c r="I15" s="51" t="s">
        <v>701</v>
      </c>
    </row>
  </sheetData>
  <phoneticPr fontId="83" type="noConversion"/>
  <hyperlinks>
    <hyperlink ref="A4" r:id="rId1" xr:uid="{00000000-0004-0000-0300-000000000000}"/>
    <hyperlink ref="A3" r:id="rId2" xr:uid="{00000000-0004-0000-0300-000001000000}"/>
    <hyperlink ref="A5" r:id="rId3" xr:uid="{00000000-0004-0000-0300-000002000000}"/>
    <hyperlink ref="A2" r:id="rId4" xr:uid="{00000000-0004-0000-0300-000003000000}"/>
    <hyperlink ref="A7" r:id="rId5" xr:uid="{00000000-0004-0000-0300-000004000000}"/>
    <hyperlink ref="I4" r:id="rId6" xr:uid="{00000000-0004-0000-0300-000005000000}"/>
    <hyperlink ref="I3" r:id="rId7" xr:uid="{00000000-0004-0000-0300-000006000000}"/>
    <hyperlink ref="I5" r:id="rId8" xr:uid="{00000000-0004-0000-0300-000007000000}"/>
    <hyperlink ref="I2" r:id="rId9" xr:uid="{00000000-0004-0000-0300-000008000000}"/>
    <hyperlink ref="A12" r:id="rId10" xr:uid="{00000000-0004-0000-0300-000009000000}"/>
    <hyperlink ref="A8" r:id="rId11" xr:uid="{00000000-0004-0000-0300-00000A000000}"/>
    <hyperlink ref="I12" r:id="rId12" xr:uid="{00000000-0004-0000-0300-00000B000000}"/>
    <hyperlink ref="I8" r:id="rId13" xr:uid="{00000000-0004-0000-0300-00000C000000}"/>
    <hyperlink ref="A13" r:id="rId14" xr:uid="{00000000-0004-0000-0300-00000D000000}"/>
    <hyperlink ref="A9" r:id="rId15" xr:uid="{00000000-0004-0000-0300-00000E000000}"/>
    <hyperlink ref="I13" r:id="rId16" xr:uid="{00000000-0004-0000-0300-00000F000000}"/>
    <hyperlink ref="I9" r:id="rId17" xr:uid="{00000000-0004-0000-0300-000010000000}"/>
    <hyperlink ref="A14" r:id="rId18" xr:uid="{00000000-0004-0000-0300-000011000000}"/>
    <hyperlink ref="A10" r:id="rId19" xr:uid="{00000000-0004-0000-0300-000012000000}"/>
    <hyperlink ref="I14" r:id="rId20" xr:uid="{00000000-0004-0000-0300-000013000000}"/>
    <hyperlink ref="I10" r:id="rId21" xr:uid="{00000000-0004-0000-0300-000014000000}"/>
    <hyperlink ref="A15" r:id="rId22" xr:uid="{00000000-0004-0000-0300-000015000000}"/>
    <hyperlink ref="A11" r:id="rId23" xr:uid="{00000000-0004-0000-0300-000016000000}"/>
    <hyperlink ref="I15" r:id="rId24" xr:uid="{00000000-0004-0000-0300-000017000000}"/>
    <hyperlink ref="I11" r:id="rId25" xr:uid="{00000000-0004-0000-0300-000018000000}"/>
    <hyperlink ref="I6:I7" r:id="rId26" display="Approved with Comment (Proceed to Rev.C)" xr:uid="{00000000-0004-0000-0300-000019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6"/>
  <sheetViews>
    <sheetView workbookViewId="0">
      <pane ySplit="1" topLeftCell="A26" activePane="bottomLeft" state="frozen"/>
      <selection pane="bottomLeft" activeCell="A45" sqref="A45"/>
    </sheetView>
  </sheetViews>
  <sheetFormatPr defaultColWidth="9" defaultRowHeight="13.9" x14ac:dyDescent="0.4"/>
  <cols>
    <col min="1" max="1" width="7.86328125" style="2" customWidth="1"/>
    <col min="2" max="2" width="24.3984375" customWidth="1"/>
    <col min="3" max="3" width="7" style="2" customWidth="1"/>
    <col min="4" max="4" width="29.59765625" customWidth="1"/>
    <col min="5" max="5" width="9.06640625" customWidth="1"/>
    <col min="6" max="6" width="10.3984375" customWidth="1"/>
    <col min="7" max="7" width="9.1328125" style="3" customWidth="1"/>
    <col min="8" max="8" width="8.46484375" style="3" customWidth="1"/>
    <col min="9" max="9" width="12" style="3" customWidth="1"/>
    <col min="10" max="10" width="9.53125" style="4" customWidth="1"/>
    <col min="11" max="11" width="12.265625" customWidth="1"/>
    <col min="12" max="12" width="14.86328125" customWidth="1"/>
    <col min="13" max="13" width="15" customWidth="1"/>
  </cols>
  <sheetData>
    <row r="1" spans="1:12" ht="19.5" customHeight="1" x14ac:dyDescent="0.4">
      <c r="A1" s="5" t="s">
        <v>757</v>
      </c>
      <c r="B1" s="5" t="s">
        <v>758</v>
      </c>
      <c r="C1" s="5" t="s">
        <v>759</v>
      </c>
      <c r="D1" s="6" t="s">
        <v>760</v>
      </c>
      <c r="E1" s="5" t="s">
        <v>60</v>
      </c>
      <c r="F1" s="6" t="s">
        <v>761</v>
      </c>
      <c r="G1" s="7" t="s">
        <v>762</v>
      </c>
      <c r="H1" s="7" t="s">
        <v>763</v>
      </c>
      <c r="I1" s="7" t="s">
        <v>764</v>
      </c>
      <c r="J1" s="8" t="s">
        <v>765</v>
      </c>
      <c r="K1" s="8" t="s">
        <v>766</v>
      </c>
    </row>
    <row r="2" spans="1:12" ht="20.75" customHeight="1" x14ac:dyDescent="0.4">
      <c r="A2" s="9" t="s">
        <v>767</v>
      </c>
      <c r="B2" s="10" t="s">
        <v>768</v>
      </c>
      <c r="C2" s="9" t="s">
        <v>769</v>
      </c>
      <c r="D2" s="11" t="s">
        <v>770</v>
      </c>
      <c r="E2" s="9" t="s">
        <v>771</v>
      </c>
      <c r="F2" s="464">
        <v>420.97</v>
      </c>
      <c r="G2" s="13">
        <f>225296/1000</f>
        <v>225.29599999999999</v>
      </c>
      <c r="H2" s="464">
        <f>F2-G2-G3</f>
        <v>-2.1431599999999702</v>
      </c>
      <c r="I2" s="14" t="s">
        <v>772</v>
      </c>
      <c r="J2" s="15">
        <v>46195</v>
      </c>
      <c r="K2" s="16"/>
    </row>
    <row r="3" spans="1:12" ht="20.75" customHeight="1" x14ac:dyDescent="0.4">
      <c r="A3" s="9" t="s">
        <v>767</v>
      </c>
      <c r="B3" s="10" t="s">
        <v>768</v>
      </c>
      <c r="C3" s="9" t="s">
        <v>773</v>
      </c>
      <c r="D3" s="11" t="s">
        <v>774</v>
      </c>
      <c r="E3" s="9" t="s">
        <v>771</v>
      </c>
      <c r="F3" s="465"/>
      <c r="G3" s="13">
        <f>197817.16/1000</f>
        <v>197.81716</v>
      </c>
      <c r="H3" s="465"/>
      <c r="I3" s="14" t="s">
        <v>775</v>
      </c>
      <c r="J3" s="15">
        <v>46205</v>
      </c>
      <c r="K3" s="16"/>
    </row>
    <row r="4" spans="1:12" ht="20.75" customHeight="1" x14ac:dyDescent="0.4">
      <c r="A4" s="9" t="s">
        <v>767</v>
      </c>
      <c r="B4" s="10" t="s">
        <v>776</v>
      </c>
      <c r="C4" s="9" t="s">
        <v>769</v>
      </c>
      <c r="D4" s="11" t="s">
        <v>777</v>
      </c>
      <c r="E4" s="9" t="s">
        <v>771</v>
      </c>
      <c r="F4" s="464">
        <v>1877.39</v>
      </c>
      <c r="G4" s="13">
        <f>1296894.01/1000</f>
        <v>1296.89401</v>
      </c>
      <c r="H4" s="464">
        <f>F4-G4-G5</f>
        <v>13.6419700000001</v>
      </c>
      <c r="I4" s="17" t="s">
        <v>778</v>
      </c>
      <c r="J4" s="15">
        <v>46195</v>
      </c>
      <c r="K4" s="16"/>
    </row>
    <row r="5" spans="1:12" ht="20.75" customHeight="1" x14ac:dyDescent="0.4">
      <c r="A5" s="9" t="s">
        <v>767</v>
      </c>
      <c r="B5" s="10" t="s">
        <v>776</v>
      </c>
      <c r="C5" s="9" t="s">
        <v>773</v>
      </c>
      <c r="D5" s="11" t="s">
        <v>777</v>
      </c>
      <c r="E5" s="9" t="s">
        <v>771</v>
      </c>
      <c r="F5" s="465"/>
      <c r="G5" s="13">
        <f>566854.02/1000</f>
        <v>566.85401999999999</v>
      </c>
      <c r="H5" s="465"/>
      <c r="I5" s="17" t="s">
        <v>779</v>
      </c>
      <c r="J5" s="15">
        <v>46204</v>
      </c>
      <c r="K5" s="16"/>
    </row>
    <row r="6" spans="1:12" ht="21" customHeight="1" x14ac:dyDescent="0.4">
      <c r="A6" s="9" t="s">
        <v>767</v>
      </c>
      <c r="B6" s="10" t="s">
        <v>780</v>
      </c>
      <c r="C6" s="9" t="s">
        <v>781</v>
      </c>
      <c r="D6" s="11" t="s">
        <v>782</v>
      </c>
      <c r="E6" s="9" t="s">
        <v>771</v>
      </c>
      <c r="F6" s="464">
        <v>1581.53</v>
      </c>
      <c r="G6" s="13">
        <f>1049591.95/1000</f>
        <v>1049.59195</v>
      </c>
      <c r="H6" s="464">
        <f>F6-G6-G7-G8</f>
        <v>-14.13334</v>
      </c>
      <c r="I6" s="17" t="s">
        <v>783</v>
      </c>
      <c r="J6" s="15">
        <v>46195</v>
      </c>
      <c r="K6" s="16"/>
    </row>
    <row r="7" spans="1:12" ht="21" customHeight="1" x14ac:dyDescent="0.4">
      <c r="A7" s="9" t="s">
        <v>767</v>
      </c>
      <c r="B7" s="10" t="s">
        <v>780</v>
      </c>
      <c r="C7" s="9" t="s">
        <v>784</v>
      </c>
      <c r="D7" s="11" t="s">
        <v>782</v>
      </c>
      <c r="E7" s="9" t="s">
        <v>771</v>
      </c>
      <c r="F7" s="466"/>
      <c r="G7" s="13">
        <f>530026.49/1000</f>
        <v>530.02648999999997</v>
      </c>
      <c r="H7" s="466"/>
      <c r="I7" s="14" t="s">
        <v>785</v>
      </c>
      <c r="J7" s="15">
        <v>46205</v>
      </c>
      <c r="K7" s="16"/>
    </row>
    <row r="8" spans="1:12" ht="21" customHeight="1" x14ac:dyDescent="0.4">
      <c r="A8" s="9" t="s">
        <v>767</v>
      </c>
      <c r="B8" s="10" t="s">
        <v>780</v>
      </c>
      <c r="C8" s="9" t="s">
        <v>769</v>
      </c>
      <c r="D8" s="11" t="s">
        <v>782</v>
      </c>
      <c r="E8" s="9" t="s">
        <v>771</v>
      </c>
      <c r="F8" s="465"/>
      <c r="G8" s="13">
        <f>16044.9/1000</f>
        <v>16.044899999999998</v>
      </c>
      <c r="H8" s="465"/>
      <c r="I8" s="14" t="s">
        <v>786</v>
      </c>
      <c r="J8" s="15">
        <v>46230</v>
      </c>
      <c r="K8" s="16"/>
    </row>
    <row r="9" spans="1:12" ht="20.75" customHeight="1" x14ac:dyDescent="0.4">
      <c r="A9" s="9" t="s">
        <v>767</v>
      </c>
      <c r="B9" s="10" t="s">
        <v>787</v>
      </c>
      <c r="C9" s="9" t="s">
        <v>781</v>
      </c>
      <c r="D9" s="11" t="s">
        <v>788</v>
      </c>
      <c r="E9" s="9" t="s">
        <v>771</v>
      </c>
      <c r="F9" s="464">
        <v>65</v>
      </c>
      <c r="G9" s="13">
        <f>55551.55/1000</f>
        <v>55.551549999999999</v>
      </c>
      <c r="H9" s="464">
        <f>F9-G9-G11</f>
        <v>-27.341560000000001</v>
      </c>
      <c r="I9" s="17" t="s">
        <v>789</v>
      </c>
      <c r="J9" s="15">
        <v>46195</v>
      </c>
      <c r="K9" s="16"/>
    </row>
    <row r="10" spans="1:12" ht="20.75" customHeight="1" x14ac:dyDescent="0.4">
      <c r="A10" s="9" t="s">
        <v>767</v>
      </c>
      <c r="B10" s="10" t="s">
        <v>790</v>
      </c>
      <c r="C10" s="9" t="s">
        <v>791</v>
      </c>
      <c r="D10" s="11" t="s">
        <v>788</v>
      </c>
      <c r="E10" s="9" t="s">
        <v>771</v>
      </c>
      <c r="F10" s="466"/>
      <c r="G10" s="13"/>
      <c r="H10" s="466"/>
      <c r="I10" s="12"/>
      <c r="J10" s="15"/>
      <c r="K10" s="16"/>
    </row>
    <row r="11" spans="1:12" ht="20.75" customHeight="1" x14ac:dyDescent="0.4">
      <c r="A11" s="9" t="s">
        <v>767</v>
      </c>
      <c r="B11" s="10" t="s">
        <v>787</v>
      </c>
      <c r="C11" s="9" t="s">
        <v>784</v>
      </c>
      <c r="D11" s="11" t="s">
        <v>788</v>
      </c>
      <c r="E11" s="9" t="s">
        <v>771</v>
      </c>
      <c r="F11" s="465"/>
      <c r="G11" s="13">
        <f>36790.01/1000</f>
        <v>36.790010000000002</v>
      </c>
      <c r="H11" s="465"/>
      <c r="I11" s="17" t="s">
        <v>792</v>
      </c>
      <c r="J11" s="15">
        <v>46204</v>
      </c>
      <c r="K11" s="16"/>
    </row>
    <row r="12" spans="1:12" ht="20.75" customHeight="1" x14ac:dyDescent="0.4">
      <c r="A12" s="9" t="s">
        <v>767</v>
      </c>
      <c r="B12" s="10" t="s">
        <v>793</v>
      </c>
      <c r="C12" s="9"/>
      <c r="D12" s="11" t="s">
        <v>794</v>
      </c>
      <c r="E12" s="9" t="s">
        <v>771</v>
      </c>
      <c r="F12" s="464">
        <v>25.756</v>
      </c>
      <c r="G12" s="13">
        <f>9397.71/1000</f>
        <v>9.39771</v>
      </c>
      <c r="H12" s="464">
        <f>F12-G12-G13</f>
        <v>-20.225439999999999</v>
      </c>
      <c r="I12" s="12" t="s">
        <v>795</v>
      </c>
      <c r="J12" s="15">
        <v>46195</v>
      </c>
      <c r="K12" s="16"/>
    </row>
    <row r="13" spans="1:12" ht="20.75" customHeight="1" x14ac:dyDescent="0.4">
      <c r="A13" s="9" t="s">
        <v>767</v>
      </c>
      <c r="B13" s="10" t="s">
        <v>793</v>
      </c>
      <c r="C13" s="9" t="s">
        <v>791</v>
      </c>
      <c r="D13" s="11" t="s">
        <v>794</v>
      </c>
      <c r="E13" s="9" t="s">
        <v>771</v>
      </c>
      <c r="F13" s="465"/>
      <c r="G13" s="13">
        <f>36583.73/1000</f>
        <v>36.583730000000003</v>
      </c>
      <c r="H13" s="465"/>
      <c r="I13" s="14" t="s">
        <v>796</v>
      </c>
      <c r="J13" s="15">
        <v>46205</v>
      </c>
      <c r="K13" s="16"/>
    </row>
    <row r="14" spans="1:12" ht="20.75" customHeight="1" x14ac:dyDescent="0.4">
      <c r="A14" s="9" t="s">
        <v>767</v>
      </c>
      <c r="B14" s="10" t="s">
        <v>797</v>
      </c>
      <c r="C14" s="9" t="s">
        <v>798</v>
      </c>
      <c r="D14" s="11" t="s">
        <v>570</v>
      </c>
      <c r="E14" s="9" t="s">
        <v>771</v>
      </c>
      <c r="F14" s="13">
        <v>17.117000000000001</v>
      </c>
      <c r="G14" s="13">
        <f>47355.14/1000</f>
        <v>47.355139999999999</v>
      </c>
      <c r="H14" s="13">
        <f t="shared" ref="H14:H24" si="0">F14-G14</f>
        <v>-30.238140000000001</v>
      </c>
      <c r="I14" s="14" t="s">
        <v>799</v>
      </c>
      <c r="J14" s="15">
        <v>46209</v>
      </c>
      <c r="K14" s="16"/>
    </row>
    <row r="15" spans="1:12" ht="20.75" customHeight="1" x14ac:dyDescent="0.4">
      <c r="A15" s="9" t="s">
        <v>767</v>
      </c>
      <c r="B15" s="10" t="s">
        <v>800</v>
      </c>
      <c r="C15" s="9" t="s">
        <v>798</v>
      </c>
      <c r="D15" s="11" t="s">
        <v>580</v>
      </c>
      <c r="E15" s="9" t="s">
        <v>771</v>
      </c>
      <c r="F15" s="13">
        <v>437.53899999999999</v>
      </c>
      <c r="G15" s="13">
        <f>271819.08/1000</f>
        <v>271.81907999999999</v>
      </c>
      <c r="H15" s="13">
        <f t="shared" si="0"/>
        <v>165.71992</v>
      </c>
      <c r="I15" s="12" t="s">
        <v>801</v>
      </c>
      <c r="J15" s="15">
        <v>46195</v>
      </c>
      <c r="K15" s="16"/>
      <c r="L15" s="18"/>
    </row>
    <row r="16" spans="1:12" ht="20.75" customHeight="1" x14ac:dyDescent="0.4">
      <c r="A16" s="19"/>
      <c r="B16" s="20"/>
      <c r="C16" s="19"/>
      <c r="D16" s="21"/>
      <c r="E16" s="19"/>
      <c r="F16" s="22">
        <f>SUM(F2:F15)</f>
        <v>4425.3019999999997</v>
      </c>
      <c r="G16" s="22">
        <f>SUM(G2:G15)</f>
        <v>4340.0217499999999</v>
      </c>
      <c r="H16" s="23">
        <f t="shared" si="0"/>
        <v>85.280250000000706</v>
      </c>
      <c r="I16" s="24"/>
      <c r="J16" s="25"/>
      <c r="K16" s="26"/>
    </row>
    <row r="17" spans="1:12" ht="20.75" customHeight="1" x14ac:dyDescent="0.4">
      <c r="A17" s="9" t="s">
        <v>376</v>
      </c>
      <c r="B17" s="10" t="s">
        <v>802</v>
      </c>
      <c r="C17" s="9" t="s">
        <v>798</v>
      </c>
      <c r="D17" s="11" t="s">
        <v>803</v>
      </c>
      <c r="E17" s="9" t="s">
        <v>771</v>
      </c>
      <c r="F17" s="464">
        <v>1761</v>
      </c>
      <c r="G17" s="14">
        <f>1316780.78/1000</f>
        <v>1316.78078</v>
      </c>
      <c r="H17" s="462">
        <f>F17-G17-G18</f>
        <v>-67.385819999999995</v>
      </c>
      <c r="I17" s="17" t="s">
        <v>804</v>
      </c>
      <c r="J17" s="27">
        <v>46199</v>
      </c>
      <c r="K17" s="16"/>
    </row>
    <row r="18" spans="1:12" ht="20.75" customHeight="1" x14ac:dyDescent="0.4">
      <c r="A18" s="9" t="s">
        <v>376</v>
      </c>
      <c r="B18" s="10" t="s">
        <v>802</v>
      </c>
      <c r="C18" s="9" t="s">
        <v>791</v>
      </c>
      <c r="D18" s="11" t="s">
        <v>803</v>
      </c>
      <c r="E18" s="9" t="s">
        <v>771</v>
      </c>
      <c r="F18" s="465"/>
      <c r="G18" s="14">
        <f>511605.04/1000</f>
        <v>511.60503999999997</v>
      </c>
      <c r="H18" s="463"/>
      <c r="I18" s="17" t="s">
        <v>805</v>
      </c>
      <c r="J18" s="27">
        <v>46206</v>
      </c>
      <c r="K18" s="16"/>
    </row>
    <row r="19" spans="1:12" ht="20.75" customHeight="1" x14ac:dyDescent="0.4">
      <c r="A19" s="9" t="s">
        <v>376</v>
      </c>
      <c r="B19" s="10" t="s">
        <v>806</v>
      </c>
      <c r="C19" s="9" t="s">
        <v>798</v>
      </c>
      <c r="D19" s="11" t="s">
        <v>807</v>
      </c>
      <c r="E19" s="9" t="s">
        <v>771</v>
      </c>
      <c r="F19" s="464">
        <v>1514</v>
      </c>
      <c r="G19" s="14">
        <f>1555768.28/1000</f>
        <v>1555.76828</v>
      </c>
      <c r="H19" s="462">
        <f>F19-G19-G20</f>
        <v>-57.813180000000003</v>
      </c>
      <c r="I19" s="17" t="s">
        <v>808</v>
      </c>
      <c r="J19" s="27">
        <v>46206</v>
      </c>
      <c r="K19" s="16"/>
    </row>
    <row r="20" spans="1:12" ht="20.75" customHeight="1" x14ac:dyDescent="0.4">
      <c r="A20" s="9" t="s">
        <v>376</v>
      </c>
      <c r="B20" s="10" t="s">
        <v>806</v>
      </c>
      <c r="C20" s="9" t="s">
        <v>791</v>
      </c>
      <c r="D20" s="11" t="s">
        <v>807</v>
      </c>
      <c r="E20" s="9" t="s">
        <v>771</v>
      </c>
      <c r="F20" s="465"/>
      <c r="G20" s="14">
        <f>16044.9/1000</f>
        <v>16.044899999999998</v>
      </c>
      <c r="H20" s="463"/>
      <c r="I20" s="14" t="s">
        <v>809</v>
      </c>
      <c r="J20" s="15">
        <v>46230</v>
      </c>
      <c r="K20" s="16"/>
    </row>
    <row r="21" spans="1:12" ht="20.75" customHeight="1" x14ac:dyDescent="0.4">
      <c r="A21" s="9" t="s">
        <v>376</v>
      </c>
      <c r="B21" s="10" t="s">
        <v>810</v>
      </c>
      <c r="C21" s="9" t="s">
        <v>791</v>
      </c>
      <c r="D21" s="11" t="s">
        <v>811</v>
      </c>
      <c r="E21" s="9" t="s">
        <v>771</v>
      </c>
      <c r="F21" s="464">
        <v>65</v>
      </c>
      <c r="G21" s="14">
        <f>22701.82/1000</f>
        <v>22.701820000000001</v>
      </c>
      <c r="H21" s="462">
        <f>F21-G21-G22</f>
        <v>-27.341560000000001</v>
      </c>
      <c r="I21" s="17" t="s">
        <v>812</v>
      </c>
      <c r="J21" s="27">
        <v>46183</v>
      </c>
      <c r="K21" s="16"/>
    </row>
    <row r="22" spans="1:12" ht="20.75" customHeight="1" x14ac:dyDescent="0.4">
      <c r="A22" s="9" t="s">
        <v>376</v>
      </c>
      <c r="B22" s="10" t="s">
        <v>810</v>
      </c>
      <c r="C22" s="9" t="s">
        <v>813</v>
      </c>
      <c r="D22" s="11" t="s">
        <v>811</v>
      </c>
      <c r="E22" s="9" t="s">
        <v>771</v>
      </c>
      <c r="F22" s="465"/>
      <c r="G22" s="14">
        <f>69639.74/1000</f>
        <v>69.639740000000003</v>
      </c>
      <c r="H22" s="463"/>
      <c r="I22" s="17" t="s">
        <v>814</v>
      </c>
      <c r="J22" s="27">
        <v>46204</v>
      </c>
      <c r="K22" s="16"/>
    </row>
    <row r="23" spans="1:12" ht="20.75" customHeight="1" x14ac:dyDescent="0.4">
      <c r="A23" s="9" t="s">
        <v>376</v>
      </c>
      <c r="B23" s="10" t="s">
        <v>815</v>
      </c>
      <c r="C23" s="9" t="s">
        <v>798</v>
      </c>
      <c r="D23" s="28" t="s">
        <v>816</v>
      </c>
      <c r="E23" s="9" t="s">
        <v>771</v>
      </c>
      <c r="F23" s="13"/>
      <c r="G23" s="14">
        <f>49730.22/1000</f>
        <v>49.730220000000003</v>
      </c>
      <c r="H23" s="14">
        <f t="shared" si="0"/>
        <v>-49.730220000000003</v>
      </c>
      <c r="I23" s="17" t="s">
        <v>817</v>
      </c>
      <c r="J23" s="27">
        <v>46205</v>
      </c>
      <c r="K23" s="29"/>
    </row>
    <row r="24" spans="1:12" ht="20.75" customHeight="1" x14ac:dyDescent="0.4">
      <c r="A24" s="9" t="s">
        <v>376</v>
      </c>
      <c r="B24" s="10" t="s">
        <v>818</v>
      </c>
      <c r="C24" s="9" t="s">
        <v>798</v>
      </c>
      <c r="D24" s="11" t="s">
        <v>585</v>
      </c>
      <c r="E24" s="9" t="s">
        <v>771</v>
      </c>
      <c r="F24" s="13">
        <v>17.117000000000001</v>
      </c>
      <c r="G24" s="14">
        <f>47403.05/1000</f>
        <v>47.40305</v>
      </c>
      <c r="H24" s="14">
        <f t="shared" si="0"/>
        <v>-30.286049999999999</v>
      </c>
      <c r="I24" s="14" t="s">
        <v>819</v>
      </c>
      <c r="J24" s="15">
        <v>46230</v>
      </c>
      <c r="K24" s="16"/>
    </row>
    <row r="25" spans="1:12" ht="20.75" customHeight="1" x14ac:dyDescent="0.4">
      <c r="A25" s="9" t="s">
        <v>376</v>
      </c>
      <c r="B25" s="10" t="s">
        <v>820</v>
      </c>
      <c r="C25" s="9" t="s">
        <v>798</v>
      </c>
      <c r="D25" s="11" t="s">
        <v>590</v>
      </c>
      <c r="E25" s="9" t="s">
        <v>771</v>
      </c>
      <c r="F25" s="464">
        <v>437.53899999999999</v>
      </c>
      <c r="G25" s="14">
        <f>271857.2161/1000</f>
        <v>271.85721610000002</v>
      </c>
      <c r="H25" s="462">
        <f>F25-G25-G26</f>
        <v>-116.6958561</v>
      </c>
      <c r="I25" s="17" t="s">
        <v>821</v>
      </c>
      <c r="J25" s="27">
        <v>46217</v>
      </c>
      <c r="K25" s="16"/>
    </row>
    <row r="26" spans="1:12" ht="20.75" customHeight="1" x14ac:dyDescent="0.4">
      <c r="A26" s="9" t="s">
        <v>376</v>
      </c>
      <c r="B26" s="10" t="s">
        <v>820</v>
      </c>
      <c r="C26" s="9" t="s">
        <v>791</v>
      </c>
      <c r="D26" s="11" t="s">
        <v>590</v>
      </c>
      <c r="E26" s="9" t="s">
        <v>771</v>
      </c>
      <c r="F26" s="465"/>
      <c r="G26" s="14">
        <f>282377.64/1000</f>
        <v>282.37763999999999</v>
      </c>
      <c r="H26" s="463"/>
      <c r="I26" s="17" t="s">
        <v>822</v>
      </c>
      <c r="J26" s="27">
        <v>46223</v>
      </c>
      <c r="K26" s="16"/>
      <c r="L26" s="18"/>
    </row>
    <row r="27" spans="1:12" ht="20.75" customHeight="1" x14ac:dyDescent="0.4">
      <c r="A27" s="9" t="s">
        <v>376</v>
      </c>
      <c r="B27" s="10" t="s">
        <v>823</v>
      </c>
      <c r="C27" s="9" t="s">
        <v>798</v>
      </c>
      <c r="D27" s="11" t="s">
        <v>583</v>
      </c>
      <c r="E27" s="9" t="s">
        <v>771</v>
      </c>
      <c r="F27" s="464">
        <v>427.221</v>
      </c>
      <c r="G27" s="14">
        <f>274628/1000</f>
        <v>274.62799999999999</v>
      </c>
      <c r="H27" s="462">
        <f>F27-G27-G28</f>
        <v>24.518830000000001</v>
      </c>
      <c r="I27" s="17" t="s">
        <v>824</v>
      </c>
      <c r="J27" s="27">
        <v>46199</v>
      </c>
      <c r="K27" s="16"/>
    </row>
    <row r="28" spans="1:12" ht="20.75" customHeight="1" x14ac:dyDescent="0.4">
      <c r="A28" s="9" t="s">
        <v>376</v>
      </c>
      <c r="B28" s="10" t="s">
        <v>823</v>
      </c>
      <c r="C28" s="9" t="s">
        <v>791</v>
      </c>
      <c r="D28" s="11" t="s">
        <v>583</v>
      </c>
      <c r="E28" s="9" t="s">
        <v>771</v>
      </c>
      <c r="F28" s="465"/>
      <c r="G28" s="14">
        <f>128074.17/1000</f>
        <v>128.07417000000001</v>
      </c>
      <c r="H28" s="463"/>
      <c r="I28" s="17" t="s">
        <v>825</v>
      </c>
      <c r="J28" s="27">
        <v>46205</v>
      </c>
      <c r="K28" s="16"/>
    </row>
    <row r="29" spans="1:12" ht="20.75" customHeight="1" x14ac:dyDescent="0.4">
      <c r="A29" s="19"/>
      <c r="B29" s="20"/>
      <c r="C29" s="19"/>
      <c r="D29" s="21"/>
      <c r="E29" s="19"/>
      <c r="F29" s="22">
        <f>SUM(F17:F28)</f>
        <v>4221.8770000000004</v>
      </c>
      <c r="G29" s="22">
        <f>SUM(G17:G28)</f>
        <v>4546.6108561000001</v>
      </c>
      <c r="H29" s="30">
        <f>F29-G29</f>
        <v>-324.733856099999</v>
      </c>
      <c r="I29" s="30"/>
      <c r="J29" s="31"/>
      <c r="K29" s="26"/>
    </row>
    <row r="30" spans="1:12" ht="20.75" customHeight="1" x14ac:dyDescent="0.4">
      <c r="A30" s="9" t="s">
        <v>826</v>
      </c>
      <c r="B30" s="10" t="s">
        <v>827</v>
      </c>
      <c r="C30" s="9" t="s">
        <v>828</v>
      </c>
      <c r="D30" s="11" t="s">
        <v>829</v>
      </c>
      <c r="E30" s="9" t="s">
        <v>771</v>
      </c>
      <c r="F30" s="13">
        <v>1641</v>
      </c>
      <c r="G30" s="14">
        <f>1359541.23/1000</f>
        <v>1359.54123</v>
      </c>
      <c r="H30" s="14">
        <f>F30-G30</f>
        <v>281.45877000000002</v>
      </c>
      <c r="I30" s="14" t="s">
        <v>830</v>
      </c>
      <c r="J30" s="27">
        <v>46223</v>
      </c>
      <c r="K30" s="16"/>
    </row>
    <row r="31" spans="1:12" ht="20.75" customHeight="1" x14ac:dyDescent="0.4">
      <c r="A31" s="9" t="s">
        <v>826</v>
      </c>
      <c r="B31" s="10" t="s">
        <v>831</v>
      </c>
      <c r="C31" s="9" t="s">
        <v>828</v>
      </c>
      <c r="D31" s="11" t="s">
        <v>832</v>
      </c>
      <c r="E31" s="9" t="s">
        <v>771</v>
      </c>
      <c r="F31" s="13">
        <v>1439</v>
      </c>
      <c r="G31" s="14">
        <f>1031183.39/1000</f>
        <v>1031.1833899999999</v>
      </c>
      <c r="H31" s="14">
        <f>F31-G31</f>
        <v>407.81661000000003</v>
      </c>
      <c r="I31" s="14" t="s">
        <v>833</v>
      </c>
      <c r="J31" s="27">
        <v>46223</v>
      </c>
      <c r="K31" s="16"/>
    </row>
    <row r="32" spans="1:12" ht="20.75" customHeight="1" x14ac:dyDescent="0.4">
      <c r="A32" s="9" t="s">
        <v>826</v>
      </c>
      <c r="B32" s="10" t="s">
        <v>834</v>
      </c>
      <c r="C32" s="9" t="s">
        <v>828</v>
      </c>
      <c r="D32" s="11" t="s">
        <v>835</v>
      </c>
      <c r="E32" s="9" t="s">
        <v>771</v>
      </c>
      <c r="F32" s="13">
        <v>65</v>
      </c>
      <c r="G32" s="14">
        <f>76812.9879/1000</f>
        <v>76.812987899999996</v>
      </c>
      <c r="H32" s="14">
        <f>F32-G32</f>
        <v>-11.8129879</v>
      </c>
      <c r="I32" s="14" t="s">
        <v>836</v>
      </c>
      <c r="J32" s="27">
        <v>46219</v>
      </c>
      <c r="K32" s="16"/>
    </row>
    <row r="33" spans="1:11" ht="20.75" customHeight="1" x14ac:dyDescent="0.4">
      <c r="A33" s="9" t="s">
        <v>826</v>
      </c>
      <c r="B33" s="10" t="s">
        <v>837</v>
      </c>
      <c r="C33" s="9"/>
      <c r="D33" s="32" t="s">
        <v>838</v>
      </c>
      <c r="E33" s="9" t="s">
        <v>771</v>
      </c>
      <c r="F33" s="13"/>
      <c r="G33" s="467"/>
      <c r="H33" s="467"/>
      <c r="I33" s="467"/>
      <c r="J33" s="468"/>
      <c r="K33" s="29" t="s">
        <v>839</v>
      </c>
    </row>
    <row r="34" spans="1:11" ht="20.75" customHeight="1" x14ac:dyDescent="0.4">
      <c r="A34" s="9" t="s">
        <v>826</v>
      </c>
      <c r="B34" s="10" t="s">
        <v>840</v>
      </c>
      <c r="C34" s="9"/>
      <c r="D34" s="11" t="s">
        <v>601</v>
      </c>
      <c r="E34" s="9" t="s">
        <v>771</v>
      </c>
      <c r="F34" s="13">
        <v>17.117000000000001</v>
      </c>
      <c r="G34" s="467"/>
      <c r="H34" s="467"/>
      <c r="I34" s="467"/>
      <c r="J34" s="468"/>
      <c r="K34" s="16"/>
    </row>
    <row r="35" spans="1:11" ht="20.75" customHeight="1" x14ac:dyDescent="0.4">
      <c r="A35" s="9" t="s">
        <v>826</v>
      </c>
      <c r="B35" s="10" t="s">
        <v>841</v>
      </c>
      <c r="C35" s="9"/>
      <c r="D35" s="11" t="s">
        <v>606</v>
      </c>
      <c r="E35" s="9" t="s">
        <v>771</v>
      </c>
      <c r="F35" s="13">
        <v>465.60399999999998</v>
      </c>
      <c r="G35" s="467"/>
      <c r="H35" s="467"/>
      <c r="I35" s="467"/>
      <c r="J35" s="468"/>
      <c r="K35" s="16"/>
    </row>
    <row r="36" spans="1:11" ht="20.75" customHeight="1" x14ac:dyDescent="0.4">
      <c r="A36" s="9" t="s">
        <v>826</v>
      </c>
      <c r="B36" s="10" t="s">
        <v>842</v>
      </c>
      <c r="C36" s="9"/>
      <c r="D36" s="11" t="s">
        <v>600</v>
      </c>
      <c r="E36" s="9" t="s">
        <v>771</v>
      </c>
      <c r="F36" s="13">
        <v>393.73700000000002</v>
      </c>
      <c r="G36" s="467"/>
      <c r="H36" s="467"/>
      <c r="I36" s="467"/>
      <c r="J36" s="468"/>
      <c r="K36" s="16"/>
    </row>
    <row r="37" spans="1:11" ht="20.75" customHeight="1" x14ac:dyDescent="0.4">
      <c r="A37" s="9" t="s">
        <v>826</v>
      </c>
      <c r="B37" s="10" t="s">
        <v>843</v>
      </c>
      <c r="C37" s="9" t="s">
        <v>828</v>
      </c>
      <c r="D37" s="11"/>
      <c r="E37" s="9" t="s">
        <v>771</v>
      </c>
      <c r="F37" s="13"/>
      <c r="G37" s="14">
        <f>23566.05/1000</f>
        <v>23.566050000000001</v>
      </c>
      <c r="H37" s="14"/>
      <c r="I37" s="14" t="s">
        <v>844</v>
      </c>
      <c r="J37" s="27">
        <v>46223</v>
      </c>
      <c r="K37" s="16"/>
    </row>
    <row r="38" spans="1:11" ht="20.75" customHeight="1" x14ac:dyDescent="0.4">
      <c r="A38" s="19"/>
      <c r="B38" s="20"/>
      <c r="C38" s="19"/>
      <c r="D38" s="21"/>
      <c r="E38" s="19"/>
      <c r="F38" s="23"/>
      <c r="G38" s="471">
        <f>SUM(G30:G37)</f>
        <v>2491.1036578999997</v>
      </c>
      <c r="H38" s="30"/>
      <c r="I38" s="30"/>
      <c r="J38" s="31"/>
      <c r="K38" s="26"/>
    </row>
    <row r="39" spans="1:11" ht="20.75" customHeight="1" x14ac:dyDescent="0.4">
      <c r="A39" s="9" t="s">
        <v>845</v>
      </c>
      <c r="B39" s="10" t="s">
        <v>846</v>
      </c>
      <c r="C39" s="9" t="s">
        <v>828</v>
      </c>
      <c r="D39" s="11" t="s">
        <v>847</v>
      </c>
      <c r="E39" s="9" t="s">
        <v>771</v>
      </c>
      <c r="F39" s="13">
        <v>1696</v>
      </c>
      <c r="G39" s="14">
        <f>1359541.23/1000</f>
        <v>1359.54123</v>
      </c>
      <c r="H39" s="14">
        <f>F39-G39</f>
        <v>336.45877000000002</v>
      </c>
      <c r="I39" s="14" t="s">
        <v>848</v>
      </c>
      <c r="J39" s="27">
        <v>46216</v>
      </c>
      <c r="K39" s="16"/>
    </row>
    <row r="40" spans="1:11" ht="20.75" customHeight="1" x14ac:dyDescent="0.4">
      <c r="A40" s="9" t="s">
        <v>845</v>
      </c>
      <c r="B40" s="10" t="s">
        <v>849</v>
      </c>
      <c r="C40" s="9" t="s">
        <v>828</v>
      </c>
      <c r="D40" s="11" t="s">
        <v>850</v>
      </c>
      <c r="E40" s="9" t="s">
        <v>771</v>
      </c>
      <c r="F40" s="13">
        <v>1425</v>
      </c>
      <c r="G40" s="14">
        <f>1031183.393/1000</f>
        <v>1031.183393</v>
      </c>
      <c r="H40" s="14">
        <f>F40-G40</f>
        <v>393.81660699999998</v>
      </c>
      <c r="I40" s="14" t="s">
        <v>851</v>
      </c>
      <c r="J40" s="27">
        <v>46216</v>
      </c>
      <c r="K40" s="16"/>
    </row>
    <row r="41" spans="1:11" ht="20.75" customHeight="1" x14ac:dyDescent="0.4">
      <c r="A41" s="9" t="s">
        <v>845</v>
      </c>
      <c r="B41" s="10" t="s">
        <v>852</v>
      </c>
      <c r="C41" s="9" t="s">
        <v>828</v>
      </c>
      <c r="D41" s="11" t="s">
        <v>853</v>
      </c>
      <c r="E41" s="9" t="s">
        <v>771</v>
      </c>
      <c r="F41" s="13">
        <v>65</v>
      </c>
      <c r="G41" s="14">
        <f>76812.99/1000</f>
        <v>76.812989999999999</v>
      </c>
      <c r="H41" s="14">
        <f>F41-G41</f>
        <v>-11.812989999999999</v>
      </c>
      <c r="I41" s="14" t="s">
        <v>854</v>
      </c>
      <c r="J41" s="27">
        <v>46213</v>
      </c>
      <c r="K41" s="16"/>
    </row>
    <row r="42" spans="1:11" ht="20.75" customHeight="1" x14ac:dyDescent="0.4">
      <c r="A42" s="9" t="s">
        <v>845</v>
      </c>
      <c r="B42" s="10" t="s">
        <v>855</v>
      </c>
      <c r="C42" s="9"/>
      <c r="D42" s="32" t="s">
        <v>856</v>
      </c>
      <c r="E42" s="9" t="s">
        <v>771</v>
      </c>
      <c r="F42" s="13"/>
      <c r="G42" s="467"/>
      <c r="H42" s="467"/>
      <c r="I42" s="467"/>
      <c r="J42" s="469"/>
      <c r="K42" s="29" t="s">
        <v>839</v>
      </c>
    </row>
    <row r="43" spans="1:11" ht="20.75" customHeight="1" x14ac:dyDescent="0.4">
      <c r="A43" s="9" t="s">
        <v>845</v>
      </c>
      <c r="B43" s="10" t="s">
        <v>857</v>
      </c>
      <c r="C43" s="9"/>
      <c r="D43" s="11" t="s">
        <v>593</v>
      </c>
      <c r="E43" s="9" t="s">
        <v>771</v>
      </c>
      <c r="F43" s="13">
        <v>17.117000000000001</v>
      </c>
      <c r="G43" s="467"/>
      <c r="H43" s="467"/>
      <c r="I43" s="467"/>
      <c r="J43" s="469"/>
      <c r="K43" s="16"/>
    </row>
    <row r="44" spans="1:11" ht="20.75" customHeight="1" x14ac:dyDescent="0.4">
      <c r="A44" s="9" t="s">
        <v>845</v>
      </c>
      <c r="B44" s="10" t="s">
        <v>858</v>
      </c>
      <c r="C44" s="9"/>
      <c r="D44" s="11" t="s">
        <v>598</v>
      </c>
      <c r="E44" s="9" t="s">
        <v>771</v>
      </c>
      <c r="F44" s="13">
        <v>456.60399999999998</v>
      </c>
      <c r="G44" s="467"/>
      <c r="H44" s="467"/>
      <c r="I44" s="467"/>
      <c r="J44" s="469"/>
      <c r="K44" s="16"/>
    </row>
    <row r="45" spans="1:11" ht="20.75" customHeight="1" x14ac:dyDescent="0.4">
      <c r="A45" s="9" t="s">
        <v>845</v>
      </c>
      <c r="B45" s="10" t="s">
        <v>859</v>
      </c>
      <c r="C45" s="9" t="s">
        <v>860</v>
      </c>
      <c r="D45" s="11" t="s">
        <v>592</v>
      </c>
      <c r="E45" s="9" t="s">
        <v>771</v>
      </c>
      <c r="F45" s="13">
        <v>410.17700000000002</v>
      </c>
      <c r="G45" s="14">
        <f>349405.45/1000</f>
        <v>349.40544999999997</v>
      </c>
      <c r="H45" s="14">
        <f>F45-G45</f>
        <v>60.771549999999998</v>
      </c>
      <c r="I45" s="14" t="s">
        <v>861</v>
      </c>
      <c r="J45" s="27">
        <v>46230</v>
      </c>
      <c r="K45" s="16"/>
    </row>
    <row r="46" spans="1:11" ht="20.75" customHeight="1" x14ac:dyDescent="0.4">
      <c r="A46" s="9" t="s">
        <v>845</v>
      </c>
      <c r="B46" s="10" t="s">
        <v>862</v>
      </c>
      <c r="C46" s="9" t="s">
        <v>828</v>
      </c>
      <c r="D46" s="11"/>
      <c r="E46" s="9" t="s">
        <v>771</v>
      </c>
      <c r="F46" s="13"/>
      <c r="G46" s="14">
        <f>23822.02/1000</f>
        <v>23.822019999999998</v>
      </c>
      <c r="H46" s="14"/>
      <c r="I46" s="14" t="s">
        <v>863</v>
      </c>
      <c r="J46" s="27">
        <v>46223</v>
      </c>
      <c r="K46" s="16"/>
    </row>
    <row r="47" spans="1:11" ht="16.899999999999999" customHeight="1" x14ac:dyDescent="0.4">
      <c r="A47" s="33"/>
      <c r="B47" s="34"/>
      <c r="C47" s="33"/>
      <c r="D47" s="35"/>
      <c r="E47" s="33"/>
      <c r="F47" s="36"/>
      <c r="G47" s="470">
        <f>SUM(G39:G46)</f>
        <v>2840.7650829999998</v>
      </c>
      <c r="H47" s="36"/>
      <c r="I47" s="36"/>
      <c r="J47" s="37"/>
      <c r="K47" s="38"/>
    </row>
    <row r="48" spans="1:11" s="1" customFormat="1" ht="16.899999999999999" customHeight="1" x14ac:dyDescent="0.4">
      <c r="A48" s="39"/>
      <c r="B48" s="40"/>
      <c r="C48" s="39"/>
      <c r="D48" s="41"/>
      <c r="E48" s="39"/>
      <c r="F48" s="42"/>
      <c r="G48" s="42"/>
      <c r="H48" s="42"/>
      <c r="I48" s="42"/>
      <c r="J48" s="43"/>
    </row>
    <row r="49" spans="1:11" x14ac:dyDescent="0.4">
      <c r="A49" s="5" t="s">
        <v>757</v>
      </c>
      <c r="B49" s="5" t="s">
        <v>758</v>
      </c>
      <c r="C49" s="5"/>
      <c r="D49" s="6" t="s">
        <v>760</v>
      </c>
      <c r="E49" s="5" t="s">
        <v>60</v>
      </c>
      <c r="F49" s="6" t="s">
        <v>761</v>
      </c>
      <c r="G49" s="7" t="s">
        <v>762</v>
      </c>
      <c r="H49" s="7" t="s">
        <v>763</v>
      </c>
      <c r="I49" s="7" t="s">
        <v>764</v>
      </c>
      <c r="J49" s="8" t="s">
        <v>765</v>
      </c>
      <c r="K49" s="8" t="s">
        <v>766</v>
      </c>
    </row>
    <row r="50" spans="1:11" ht="22.5" x14ac:dyDescent="0.4">
      <c r="A50" s="44" t="s">
        <v>864</v>
      </c>
      <c r="B50" s="45" t="s">
        <v>865</v>
      </c>
      <c r="C50" s="44" t="s">
        <v>798</v>
      </c>
      <c r="D50" s="46" t="s">
        <v>866</v>
      </c>
      <c r="E50" s="44" t="s">
        <v>867</v>
      </c>
      <c r="F50" s="44"/>
      <c r="G50" s="47">
        <f>59989.22/1000</f>
        <v>59.989220000000003</v>
      </c>
      <c r="H50" s="47"/>
      <c r="I50" s="47" t="s">
        <v>868</v>
      </c>
      <c r="J50" s="48">
        <v>46190</v>
      </c>
      <c r="K50" s="44"/>
    </row>
    <row r="52" spans="1:11" x14ac:dyDescent="0.4">
      <c r="A52" s="5" t="s">
        <v>757</v>
      </c>
      <c r="B52" s="5" t="s">
        <v>758</v>
      </c>
      <c r="C52" s="5"/>
      <c r="D52" s="6" t="s">
        <v>760</v>
      </c>
      <c r="E52" s="5" t="s">
        <v>60</v>
      </c>
      <c r="F52" s="6" t="s">
        <v>761</v>
      </c>
      <c r="G52" s="7" t="s">
        <v>762</v>
      </c>
      <c r="H52" s="7" t="s">
        <v>763</v>
      </c>
      <c r="I52" s="7" t="s">
        <v>764</v>
      </c>
      <c r="J52" s="8" t="s">
        <v>765</v>
      </c>
      <c r="K52" s="8" t="s">
        <v>766</v>
      </c>
    </row>
    <row r="53" spans="1:11" x14ac:dyDescent="0.4">
      <c r="A53" s="44" t="s">
        <v>864</v>
      </c>
      <c r="B53" s="45" t="s">
        <v>869</v>
      </c>
      <c r="C53" s="44" t="s">
        <v>798</v>
      </c>
      <c r="D53" s="46" t="s">
        <v>870</v>
      </c>
      <c r="E53" s="44" t="s">
        <v>558</v>
      </c>
      <c r="F53" s="44">
        <v>418</v>
      </c>
      <c r="G53" s="47">
        <f>371601.6/1000</f>
        <v>371.60160000000002</v>
      </c>
      <c r="H53" s="47">
        <f>F53-G53</f>
        <v>46.398400000000002</v>
      </c>
      <c r="I53" s="47" t="s">
        <v>871</v>
      </c>
      <c r="J53" s="48">
        <v>46195</v>
      </c>
      <c r="K53" s="44"/>
    </row>
    <row r="55" spans="1:11" x14ac:dyDescent="0.4">
      <c r="A55" s="5" t="s">
        <v>757</v>
      </c>
      <c r="B55" s="5" t="s">
        <v>758</v>
      </c>
      <c r="C55" s="5"/>
      <c r="D55" s="6" t="s">
        <v>760</v>
      </c>
      <c r="E55" s="5" t="s">
        <v>60</v>
      </c>
      <c r="F55" s="6" t="s">
        <v>761</v>
      </c>
      <c r="G55" s="7" t="s">
        <v>762</v>
      </c>
      <c r="H55" s="7" t="s">
        <v>763</v>
      </c>
      <c r="I55" s="7" t="s">
        <v>764</v>
      </c>
      <c r="J55" s="8" t="s">
        <v>765</v>
      </c>
      <c r="K55" s="8" t="s">
        <v>766</v>
      </c>
    </row>
    <row r="56" spans="1:11" x14ac:dyDescent="0.4">
      <c r="A56" s="44" t="s">
        <v>864</v>
      </c>
      <c r="B56" s="45" t="s">
        <v>872</v>
      </c>
      <c r="C56" s="44" t="s">
        <v>798</v>
      </c>
      <c r="D56" s="46" t="s">
        <v>873</v>
      </c>
      <c r="E56" s="44" t="s">
        <v>558</v>
      </c>
      <c r="F56" s="44"/>
      <c r="G56" s="47">
        <v>250</v>
      </c>
      <c r="H56" s="47"/>
      <c r="I56" s="47" t="s">
        <v>874</v>
      </c>
      <c r="J56" s="48">
        <v>46216</v>
      </c>
      <c r="K56" s="44"/>
    </row>
  </sheetData>
  <autoFilter ref="A1:K47" xr:uid="{00000000-0009-0000-0000-000004000000}"/>
  <mergeCells count="20">
    <mergeCell ref="F2:F3"/>
    <mergeCell ref="F4:F5"/>
    <mergeCell ref="F6:F8"/>
    <mergeCell ref="F9:F11"/>
    <mergeCell ref="F12:F13"/>
    <mergeCell ref="F17:F18"/>
    <mergeCell ref="F19:F20"/>
    <mergeCell ref="F21:F22"/>
    <mergeCell ref="F25:F26"/>
    <mergeCell ref="F27:F28"/>
    <mergeCell ref="H2:H3"/>
    <mergeCell ref="H4:H5"/>
    <mergeCell ref="H6:H8"/>
    <mergeCell ref="H9:H11"/>
    <mergeCell ref="H12:H13"/>
    <mergeCell ref="H17:H18"/>
    <mergeCell ref="H19:H20"/>
    <mergeCell ref="H21:H22"/>
    <mergeCell ref="H25:H26"/>
    <mergeCell ref="H27:H28"/>
  </mergeCells>
  <phoneticPr fontId="83" type="noConversion"/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PSR</vt:lpstr>
      <vt:lpstr>Thai Holidays</vt:lpstr>
      <vt:lpstr>China Holidays</vt:lpstr>
      <vt:lpstr>STR MR</vt:lpstr>
      <vt:lpstr>Primary steel-plate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Zhang Juan</cp:lastModifiedBy>
  <cp:lastPrinted>2026-07-20T02:16:00Z</cp:lastPrinted>
  <dcterms:created xsi:type="dcterms:W3CDTF">2015-06-05T18:19:00Z</dcterms:created>
  <dcterms:modified xsi:type="dcterms:W3CDTF">2026-08-02T14:07:21Z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140EE7BC5BFF4F18AFADD19451E52797_12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